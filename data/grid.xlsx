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micha\Downloads\"/>
    </mc:Choice>
  </mc:AlternateContent>
  <xr:revisionPtr revIDLastSave="0" documentId="8_{781C1131-EFA6-4B37-B70B-35A5A691E502}" xr6:coauthVersionLast="47" xr6:coauthVersionMax="47" xr10:uidLastSave="{00000000-0000-0000-0000-000000000000}"/>
  <bookViews>
    <workbookView xWindow="1520" yWindow="750" windowWidth="21710" windowHeight="20850" activeTab="1" xr2:uid="{CDF70340-9C56-4D52-B77F-011FD0FB57C6}"/>
  </bookViews>
  <sheets>
    <sheet name="Included" sheetId="18" r:id="rId1"/>
    <sheet name="CPR Mar Exp Vs Feb Act" sheetId="2" r:id="rId2"/>
    <sheet name="Grid Data" sheetId="1" r:id="rId3"/>
    <sheet name="UIC" sheetId="11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H96" i="2" l="1"/>
  <c r="AG96" i="2"/>
  <c r="AF96" i="2"/>
  <c r="AE96" i="2"/>
  <c r="AD96" i="2"/>
  <c r="AC96" i="2"/>
  <c r="AB96" i="2"/>
  <c r="AA96" i="2"/>
  <c r="Z96" i="2"/>
  <c r="Y96" i="2"/>
  <c r="X96" i="2"/>
  <c r="W96" i="2"/>
  <c r="V96" i="2"/>
  <c r="U96" i="2"/>
  <c r="T96" i="2"/>
  <c r="S96" i="2"/>
  <c r="R96" i="2"/>
  <c r="Q96" i="2"/>
  <c r="P96" i="2"/>
  <c r="O96" i="2"/>
  <c r="N96" i="2"/>
  <c r="M96" i="2"/>
  <c r="L96" i="2"/>
  <c r="K96" i="2"/>
  <c r="J96" i="2"/>
  <c r="I96" i="2"/>
  <c r="H96" i="2"/>
  <c r="G96" i="2"/>
  <c r="F96" i="2"/>
  <c r="E96" i="2"/>
  <c r="AH95" i="2"/>
  <c r="AG95" i="2"/>
  <c r="AF95" i="2"/>
  <c r="AE95" i="2"/>
  <c r="AD95" i="2"/>
  <c r="AC95" i="2"/>
  <c r="AB95" i="2"/>
  <c r="AA95" i="2"/>
  <c r="Z95" i="2"/>
  <c r="Y95" i="2"/>
  <c r="X95" i="2"/>
  <c r="W95" i="2"/>
  <c r="V95" i="2"/>
  <c r="U95" i="2"/>
  <c r="T95" i="2"/>
  <c r="S95" i="2"/>
  <c r="R95" i="2"/>
  <c r="Q95" i="2"/>
  <c r="P95" i="2"/>
  <c r="O95" i="2"/>
  <c r="N95" i="2"/>
  <c r="M95" i="2"/>
  <c r="L95" i="2"/>
  <c r="K95" i="2"/>
  <c r="J95" i="2"/>
  <c r="I95" i="2"/>
  <c r="I64" i="2" s="1"/>
  <c r="H95" i="2"/>
  <c r="G95" i="2"/>
  <c r="F95" i="2"/>
  <c r="E95" i="2"/>
  <c r="AH94" i="2"/>
  <c r="AG94" i="2"/>
  <c r="AF94" i="2"/>
  <c r="AE94" i="2"/>
  <c r="AD94" i="2"/>
  <c r="AC94" i="2"/>
  <c r="AB94" i="2"/>
  <c r="AA94" i="2"/>
  <c r="Z94" i="2"/>
  <c r="Y94" i="2"/>
  <c r="X94" i="2"/>
  <c r="W94" i="2"/>
  <c r="V94" i="2"/>
  <c r="U94" i="2"/>
  <c r="T94" i="2"/>
  <c r="S94" i="2"/>
  <c r="R94" i="2"/>
  <c r="Q94" i="2"/>
  <c r="P94" i="2"/>
  <c r="O94" i="2"/>
  <c r="N94" i="2"/>
  <c r="M94" i="2"/>
  <c r="L94" i="2"/>
  <c r="K94" i="2"/>
  <c r="J94" i="2"/>
  <c r="I94" i="2"/>
  <c r="H94" i="2"/>
  <c r="G94" i="2"/>
  <c r="F94" i="2"/>
  <c r="E94" i="2"/>
  <c r="E63" i="2" s="1"/>
  <c r="AH93" i="2"/>
  <c r="AG93" i="2"/>
  <c r="AF93" i="2"/>
  <c r="AE93" i="2"/>
  <c r="AD93" i="2"/>
  <c r="AC93" i="2"/>
  <c r="AB93" i="2"/>
  <c r="AA93" i="2"/>
  <c r="Z93" i="2"/>
  <c r="Y93" i="2"/>
  <c r="X93" i="2"/>
  <c r="W93" i="2"/>
  <c r="V93" i="2"/>
  <c r="U93" i="2"/>
  <c r="T93" i="2"/>
  <c r="S93" i="2"/>
  <c r="R93" i="2"/>
  <c r="Q93" i="2"/>
  <c r="P93" i="2"/>
  <c r="O93" i="2"/>
  <c r="N93" i="2"/>
  <c r="M93" i="2"/>
  <c r="L93" i="2"/>
  <c r="K93" i="2"/>
  <c r="J93" i="2"/>
  <c r="I93" i="2"/>
  <c r="H93" i="2"/>
  <c r="G93" i="2"/>
  <c r="F93" i="2"/>
  <c r="E93" i="2"/>
  <c r="AH92" i="2"/>
  <c r="AG92" i="2"/>
  <c r="AF92" i="2"/>
  <c r="AE92" i="2"/>
  <c r="AD92" i="2"/>
  <c r="AC92" i="2"/>
  <c r="AB92" i="2"/>
  <c r="AA92" i="2"/>
  <c r="Z92" i="2"/>
  <c r="Y92" i="2"/>
  <c r="X92" i="2"/>
  <c r="W92" i="2"/>
  <c r="V92" i="2"/>
  <c r="U92" i="2"/>
  <c r="T92" i="2"/>
  <c r="S92" i="2"/>
  <c r="R92" i="2"/>
  <c r="Q92" i="2"/>
  <c r="P92" i="2"/>
  <c r="O92" i="2"/>
  <c r="N92" i="2"/>
  <c r="M92" i="2"/>
  <c r="L92" i="2"/>
  <c r="K92" i="2"/>
  <c r="J92" i="2"/>
  <c r="I92" i="2"/>
  <c r="H92" i="2"/>
  <c r="H61" i="2" s="1"/>
  <c r="G92" i="2"/>
  <c r="F92" i="2"/>
  <c r="E92" i="2"/>
  <c r="AH91" i="2"/>
  <c r="AG91" i="2"/>
  <c r="AF91" i="2"/>
  <c r="AE91" i="2"/>
  <c r="AD91" i="2"/>
  <c r="AC91" i="2"/>
  <c r="AB91" i="2"/>
  <c r="AA91" i="2"/>
  <c r="Z91" i="2"/>
  <c r="Y91" i="2"/>
  <c r="X91" i="2"/>
  <c r="W91" i="2"/>
  <c r="V91" i="2"/>
  <c r="U91" i="2"/>
  <c r="T91" i="2"/>
  <c r="S91" i="2"/>
  <c r="R91" i="2"/>
  <c r="Q91" i="2"/>
  <c r="P91" i="2"/>
  <c r="O91" i="2"/>
  <c r="N91" i="2"/>
  <c r="M91" i="2"/>
  <c r="L91" i="2"/>
  <c r="K91" i="2"/>
  <c r="J91" i="2"/>
  <c r="I91" i="2"/>
  <c r="H91" i="2"/>
  <c r="G91" i="2"/>
  <c r="F91" i="2"/>
  <c r="E91" i="2"/>
  <c r="AH90" i="2"/>
  <c r="AG90" i="2"/>
  <c r="AF90" i="2"/>
  <c r="AE90" i="2"/>
  <c r="AD90" i="2"/>
  <c r="AC90" i="2"/>
  <c r="AB90" i="2"/>
  <c r="AB59" i="2" s="1"/>
  <c r="AA90" i="2"/>
  <c r="Z90" i="2"/>
  <c r="Y90" i="2"/>
  <c r="X90" i="2"/>
  <c r="W90" i="2"/>
  <c r="V90" i="2"/>
  <c r="U90" i="2"/>
  <c r="T90" i="2"/>
  <c r="S90" i="2"/>
  <c r="R90" i="2"/>
  <c r="Q90" i="2"/>
  <c r="P90" i="2"/>
  <c r="O90" i="2"/>
  <c r="N90" i="2"/>
  <c r="M90" i="2"/>
  <c r="L90" i="2"/>
  <c r="K90" i="2"/>
  <c r="J90" i="2"/>
  <c r="I90" i="2"/>
  <c r="H90" i="2"/>
  <c r="G90" i="2"/>
  <c r="F90" i="2"/>
  <c r="E90" i="2"/>
  <c r="AH89" i="2"/>
  <c r="AG89" i="2"/>
  <c r="AF89" i="2"/>
  <c r="AE89" i="2"/>
  <c r="AD89" i="2"/>
  <c r="AC89" i="2"/>
  <c r="AB89" i="2"/>
  <c r="AA89" i="2"/>
  <c r="AA58" i="2" s="1"/>
  <c r="Z89" i="2"/>
  <c r="Y89" i="2"/>
  <c r="X89" i="2"/>
  <c r="W89" i="2"/>
  <c r="V89" i="2"/>
  <c r="U89" i="2"/>
  <c r="T89" i="2"/>
  <c r="S89" i="2"/>
  <c r="R89" i="2"/>
  <c r="Q89" i="2"/>
  <c r="P89" i="2"/>
  <c r="O89" i="2"/>
  <c r="N89" i="2"/>
  <c r="M89" i="2"/>
  <c r="L89" i="2"/>
  <c r="K89" i="2"/>
  <c r="J89" i="2"/>
  <c r="I89" i="2"/>
  <c r="H89" i="2"/>
  <c r="G89" i="2"/>
  <c r="F89" i="2"/>
  <c r="E89" i="2"/>
  <c r="AH88" i="2"/>
  <c r="AG88" i="2"/>
  <c r="AF88" i="2"/>
  <c r="AE88" i="2"/>
  <c r="AD88" i="2"/>
  <c r="AC88" i="2"/>
  <c r="AB88" i="2"/>
  <c r="AA88" i="2"/>
  <c r="Z88" i="2"/>
  <c r="Y88" i="2"/>
  <c r="X88" i="2"/>
  <c r="W88" i="2"/>
  <c r="V88" i="2"/>
  <c r="U88" i="2"/>
  <c r="T88" i="2"/>
  <c r="S88" i="2"/>
  <c r="R88" i="2"/>
  <c r="Q88" i="2"/>
  <c r="P88" i="2"/>
  <c r="O88" i="2"/>
  <c r="N88" i="2"/>
  <c r="M88" i="2"/>
  <c r="L88" i="2"/>
  <c r="K88" i="2"/>
  <c r="J88" i="2"/>
  <c r="I88" i="2"/>
  <c r="H88" i="2"/>
  <c r="G88" i="2"/>
  <c r="F88" i="2"/>
  <c r="E88" i="2"/>
  <c r="AH87" i="2"/>
  <c r="AG87" i="2"/>
  <c r="AF87" i="2"/>
  <c r="AE87" i="2"/>
  <c r="AD87" i="2"/>
  <c r="AC87" i="2"/>
  <c r="AB87" i="2"/>
  <c r="AA87" i="2"/>
  <c r="Z87" i="2"/>
  <c r="Y87" i="2"/>
  <c r="X87" i="2"/>
  <c r="W87" i="2"/>
  <c r="V87" i="2"/>
  <c r="U87" i="2"/>
  <c r="T87" i="2"/>
  <c r="S87" i="2"/>
  <c r="R87" i="2"/>
  <c r="Q87" i="2"/>
  <c r="P87" i="2"/>
  <c r="O87" i="2"/>
  <c r="N87" i="2"/>
  <c r="M87" i="2"/>
  <c r="L87" i="2"/>
  <c r="K87" i="2"/>
  <c r="J87" i="2"/>
  <c r="I87" i="2"/>
  <c r="H87" i="2"/>
  <c r="G87" i="2"/>
  <c r="F87" i="2"/>
  <c r="E87" i="2"/>
  <c r="AH86" i="2"/>
  <c r="AG86" i="2"/>
  <c r="AF86" i="2"/>
  <c r="AE86" i="2"/>
  <c r="AD86" i="2"/>
  <c r="AC86" i="2"/>
  <c r="AB86" i="2"/>
  <c r="AA86" i="2"/>
  <c r="Z86" i="2"/>
  <c r="Y86" i="2"/>
  <c r="X86" i="2"/>
  <c r="W86" i="2"/>
  <c r="V86" i="2"/>
  <c r="U86" i="2"/>
  <c r="T86" i="2"/>
  <c r="S86" i="2"/>
  <c r="R86" i="2"/>
  <c r="Q86" i="2"/>
  <c r="P86" i="2"/>
  <c r="O86" i="2"/>
  <c r="N86" i="2"/>
  <c r="M86" i="2"/>
  <c r="L86" i="2"/>
  <c r="K86" i="2"/>
  <c r="J86" i="2"/>
  <c r="I86" i="2"/>
  <c r="H86" i="2"/>
  <c r="G86" i="2"/>
  <c r="F86" i="2"/>
  <c r="E86" i="2"/>
  <c r="AH85" i="2"/>
  <c r="AG85" i="2"/>
  <c r="AF85" i="2"/>
  <c r="AE85" i="2"/>
  <c r="AD85" i="2"/>
  <c r="AC85" i="2"/>
  <c r="AB85" i="2"/>
  <c r="AA85" i="2"/>
  <c r="Z85" i="2"/>
  <c r="Y85" i="2"/>
  <c r="X85" i="2"/>
  <c r="W85" i="2"/>
  <c r="V85" i="2"/>
  <c r="U85" i="2"/>
  <c r="T85" i="2"/>
  <c r="S85" i="2"/>
  <c r="R85" i="2"/>
  <c r="Q85" i="2"/>
  <c r="P85" i="2"/>
  <c r="O85" i="2"/>
  <c r="N85" i="2"/>
  <c r="M85" i="2"/>
  <c r="L85" i="2"/>
  <c r="K85" i="2"/>
  <c r="J85" i="2"/>
  <c r="I85" i="2"/>
  <c r="H85" i="2"/>
  <c r="G85" i="2"/>
  <c r="F85" i="2"/>
  <c r="E85" i="2"/>
  <c r="AH84" i="2"/>
  <c r="AG84" i="2"/>
  <c r="AF84" i="2"/>
  <c r="AE84" i="2"/>
  <c r="AD84" i="2"/>
  <c r="AC84" i="2"/>
  <c r="AB84" i="2"/>
  <c r="AA84" i="2"/>
  <c r="Z84" i="2"/>
  <c r="Y84" i="2"/>
  <c r="X84" i="2"/>
  <c r="W84" i="2"/>
  <c r="V84" i="2"/>
  <c r="U84" i="2"/>
  <c r="T84" i="2"/>
  <c r="S84" i="2"/>
  <c r="R84" i="2"/>
  <c r="Q84" i="2"/>
  <c r="P84" i="2"/>
  <c r="O84" i="2"/>
  <c r="N84" i="2"/>
  <c r="M84" i="2"/>
  <c r="L84" i="2"/>
  <c r="K84" i="2"/>
  <c r="J84" i="2"/>
  <c r="I84" i="2"/>
  <c r="H84" i="2"/>
  <c r="G84" i="2"/>
  <c r="F84" i="2"/>
  <c r="E84" i="2"/>
  <c r="AH83" i="2"/>
  <c r="AG83" i="2"/>
  <c r="AF83" i="2"/>
  <c r="AE83" i="2"/>
  <c r="AD83" i="2"/>
  <c r="AC83" i="2"/>
  <c r="AB83" i="2"/>
  <c r="AA83" i="2"/>
  <c r="Z83" i="2"/>
  <c r="Y83" i="2"/>
  <c r="X83" i="2"/>
  <c r="W83" i="2"/>
  <c r="V83" i="2"/>
  <c r="U83" i="2"/>
  <c r="T83" i="2"/>
  <c r="S83" i="2"/>
  <c r="R83" i="2"/>
  <c r="R20" i="2" s="1"/>
  <c r="Q83" i="2"/>
  <c r="P83" i="2"/>
  <c r="O83" i="2"/>
  <c r="N83" i="2"/>
  <c r="M83" i="2"/>
  <c r="L83" i="2"/>
  <c r="K83" i="2"/>
  <c r="J83" i="2"/>
  <c r="I83" i="2"/>
  <c r="H83" i="2"/>
  <c r="G83" i="2"/>
  <c r="F83" i="2"/>
  <c r="E83" i="2"/>
  <c r="AH82" i="2"/>
  <c r="AG82" i="2"/>
  <c r="AF82" i="2"/>
  <c r="AE82" i="2"/>
  <c r="AD82" i="2"/>
  <c r="AC82" i="2"/>
  <c r="AB82" i="2"/>
  <c r="AA82" i="2"/>
  <c r="Z82" i="2"/>
  <c r="Y82" i="2"/>
  <c r="X82" i="2"/>
  <c r="W82" i="2"/>
  <c r="V82" i="2"/>
  <c r="U82" i="2"/>
  <c r="T82" i="2"/>
  <c r="S82" i="2"/>
  <c r="R82" i="2"/>
  <c r="Q82" i="2"/>
  <c r="P82" i="2"/>
  <c r="O82" i="2"/>
  <c r="N82" i="2"/>
  <c r="M82" i="2"/>
  <c r="L82" i="2"/>
  <c r="K82" i="2"/>
  <c r="J82" i="2"/>
  <c r="I82" i="2"/>
  <c r="H82" i="2"/>
  <c r="G82" i="2"/>
  <c r="F82" i="2"/>
  <c r="E82" i="2"/>
  <c r="AH81" i="2"/>
  <c r="AG81" i="2"/>
  <c r="AF81" i="2"/>
  <c r="AE81" i="2"/>
  <c r="AD81" i="2"/>
  <c r="AC81" i="2"/>
  <c r="AB81" i="2"/>
  <c r="AA81" i="2"/>
  <c r="Z81" i="2"/>
  <c r="Y81" i="2"/>
  <c r="X81" i="2"/>
  <c r="W81" i="2"/>
  <c r="V81" i="2"/>
  <c r="U81" i="2"/>
  <c r="T81" i="2"/>
  <c r="S81" i="2"/>
  <c r="R81" i="2"/>
  <c r="Q81" i="2"/>
  <c r="P81" i="2"/>
  <c r="O81" i="2"/>
  <c r="N81" i="2"/>
  <c r="M81" i="2"/>
  <c r="L81" i="2"/>
  <c r="K81" i="2"/>
  <c r="J81" i="2"/>
  <c r="I81" i="2"/>
  <c r="H81" i="2"/>
  <c r="G81" i="2"/>
  <c r="F81" i="2"/>
  <c r="E81" i="2"/>
  <c r="AH80" i="2"/>
  <c r="AG80" i="2"/>
  <c r="AF80" i="2"/>
  <c r="AE80" i="2"/>
  <c r="AD80" i="2"/>
  <c r="AC80" i="2"/>
  <c r="AB80" i="2"/>
  <c r="AA80" i="2"/>
  <c r="Z80" i="2"/>
  <c r="Y80" i="2"/>
  <c r="X80" i="2"/>
  <c r="W80" i="2"/>
  <c r="V80" i="2"/>
  <c r="U80" i="2"/>
  <c r="T80" i="2"/>
  <c r="S80" i="2"/>
  <c r="R80" i="2"/>
  <c r="Q80" i="2"/>
  <c r="P80" i="2"/>
  <c r="O80" i="2"/>
  <c r="N80" i="2"/>
  <c r="M80" i="2"/>
  <c r="L80" i="2"/>
  <c r="K80" i="2"/>
  <c r="J80" i="2"/>
  <c r="I80" i="2"/>
  <c r="H80" i="2"/>
  <c r="G80" i="2"/>
  <c r="F80" i="2"/>
  <c r="E80" i="2"/>
  <c r="AH79" i="2"/>
  <c r="AG79" i="2"/>
  <c r="AF79" i="2"/>
  <c r="AE79" i="2"/>
  <c r="AD79" i="2"/>
  <c r="AC79" i="2"/>
  <c r="AB79" i="2"/>
  <c r="AA79" i="2"/>
  <c r="Z79" i="2"/>
  <c r="Y79" i="2"/>
  <c r="X79" i="2"/>
  <c r="W79" i="2"/>
  <c r="V79" i="2"/>
  <c r="U79" i="2"/>
  <c r="T79" i="2"/>
  <c r="S79" i="2"/>
  <c r="R79" i="2"/>
  <c r="Q79" i="2"/>
  <c r="P79" i="2"/>
  <c r="O79" i="2"/>
  <c r="N79" i="2"/>
  <c r="M79" i="2"/>
  <c r="L79" i="2"/>
  <c r="K79" i="2"/>
  <c r="J79" i="2"/>
  <c r="I79" i="2"/>
  <c r="H79" i="2"/>
  <c r="G79" i="2"/>
  <c r="F79" i="2"/>
  <c r="E79" i="2"/>
  <c r="AH78" i="2"/>
  <c r="AG78" i="2"/>
  <c r="AF78" i="2"/>
  <c r="AE78" i="2"/>
  <c r="AD78" i="2"/>
  <c r="AC78" i="2"/>
  <c r="AB78" i="2"/>
  <c r="AA78" i="2"/>
  <c r="Z78" i="2"/>
  <c r="Y78" i="2"/>
  <c r="X78" i="2"/>
  <c r="W78" i="2"/>
  <c r="V78" i="2"/>
  <c r="U78" i="2"/>
  <c r="T78" i="2"/>
  <c r="S78" i="2"/>
  <c r="R78" i="2"/>
  <c r="Q78" i="2"/>
  <c r="P78" i="2"/>
  <c r="O78" i="2"/>
  <c r="N78" i="2"/>
  <c r="M78" i="2"/>
  <c r="L78" i="2"/>
  <c r="K78" i="2"/>
  <c r="J78" i="2"/>
  <c r="I78" i="2"/>
  <c r="H78" i="2"/>
  <c r="G78" i="2"/>
  <c r="F78" i="2"/>
  <c r="E78" i="2"/>
  <c r="AH77" i="2"/>
  <c r="AG77" i="2"/>
  <c r="AF77" i="2"/>
  <c r="AE77" i="2"/>
  <c r="AD77" i="2"/>
  <c r="AC77" i="2"/>
  <c r="AB77" i="2"/>
  <c r="AA77" i="2"/>
  <c r="Z77" i="2"/>
  <c r="Y77" i="2"/>
  <c r="Y14" i="2" s="1"/>
  <c r="X77" i="2"/>
  <c r="W77" i="2"/>
  <c r="V77" i="2"/>
  <c r="U77" i="2"/>
  <c r="T77" i="2"/>
  <c r="S77" i="2"/>
  <c r="R77" i="2"/>
  <c r="R14" i="2" s="1"/>
  <c r="Q77" i="2"/>
  <c r="P77" i="2"/>
  <c r="O77" i="2"/>
  <c r="N77" i="2"/>
  <c r="M77" i="2"/>
  <c r="L77" i="2"/>
  <c r="K77" i="2"/>
  <c r="J77" i="2"/>
  <c r="I77" i="2"/>
  <c r="H77" i="2"/>
  <c r="G77" i="2"/>
  <c r="F77" i="2"/>
  <c r="E77" i="2"/>
  <c r="AH76" i="2"/>
  <c r="AG76" i="2"/>
  <c r="AF76" i="2"/>
  <c r="AE76" i="2"/>
  <c r="AD76" i="2"/>
  <c r="AC76" i="2"/>
  <c r="AB76" i="2"/>
  <c r="AA76" i="2"/>
  <c r="Z76" i="2"/>
  <c r="Y76" i="2"/>
  <c r="X76" i="2"/>
  <c r="W76" i="2"/>
  <c r="V76" i="2"/>
  <c r="U76" i="2"/>
  <c r="T76" i="2"/>
  <c r="S76" i="2"/>
  <c r="R76" i="2"/>
  <c r="Q76" i="2"/>
  <c r="P76" i="2"/>
  <c r="O76" i="2"/>
  <c r="N76" i="2"/>
  <c r="M76" i="2"/>
  <c r="L76" i="2"/>
  <c r="K76" i="2"/>
  <c r="J76" i="2"/>
  <c r="I76" i="2"/>
  <c r="H76" i="2"/>
  <c r="G76" i="2"/>
  <c r="F76" i="2"/>
  <c r="E76" i="2"/>
  <c r="AH75" i="2"/>
  <c r="AG75" i="2"/>
  <c r="AF75" i="2"/>
  <c r="AE75" i="2"/>
  <c r="AD75" i="2"/>
  <c r="AC75" i="2"/>
  <c r="AB75" i="2"/>
  <c r="AA75" i="2"/>
  <c r="Z75" i="2"/>
  <c r="Y75" i="2"/>
  <c r="X75" i="2"/>
  <c r="W75" i="2"/>
  <c r="V75" i="2"/>
  <c r="U75" i="2"/>
  <c r="T75" i="2"/>
  <c r="S75" i="2"/>
  <c r="R75" i="2"/>
  <c r="Q75" i="2"/>
  <c r="P75" i="2"/>
  <c r="P44" i="2" s="1"/>
  <c r="O75" i="2"/>
  <c r="O44" i="2" s="1"/>
  <c r="N75" i="2"/>
  <c r="M75" i="2"/>
  <c r="L75" i="2"/>
  <c r="K75" i="2"/>
  <c r="J75" i="2"/>
  <c r="I75" i="2"/>
  <c r="H75" i="2"/>
  <c r="G75" i="2"/>
  <c r="F75" i="2"/>
  <c r="F44" i="2" s="1"/>
  <c r="E75" i="2"/>
  <c r="AH74" i="2"/>
  <c r="AG74" i="2"/>
  <c r="AF74" i="2"/>
  <c r="AE74" i="2"/>
  <c r="AD74" i="2"/>
  <c r="AC74" i="2"/>
  <c r="AB74" i="2"/>
  <c r="AA74" i="2"/>
  <c r="Z74" i="2"/>
  <c r="Y74" i="2"/>
  <c r="X74" i="2"/>
  <c r="W74" i="2"/>
  <c r="V74" i="2"/>
  <c r="U74" i="2"/>
  <c r="T74" i="2"/>
  <c r="S74" i="2"/>
  <c r="R74" i="2"/>
  <c r="Q74" i="2"/>
  <c r="P74" i="2"/>
  <c r="O74" i="2"/>
  <c r="N74" i="2"/>
  <c r="M74" i="2"/>
  <c r="L74" i="2"/>
  <c r="K74" i="2"/>
  <c r="J74" i="2"/>
  <c r="I74" i="2"/>
  <c r="H74" i="2"/>
  <c r="G74" i="2"/>
  <c r="F74" i="2"/>
  <c r="F43" i="2" s="1"/>
  <c r="E74" i="2"/>
  <c r="AH73" i="2"/>
  <c r="AG73" i="2"/>
  <c r="AF73" i="2"/>
  <c r="AE73" i="2"/>
  <c r="AD73" i="2"/>
  <c r="AC73" i="2"/>
  <c r="AB73" i="2"/>
  <c r="AA73" i="2"/>
  <c r="Z73" i="2"/>
  <c r="Y73" i="2"/>
  <c r="X73" i="2"/>
  <c r="W73" i="2"/>
  <c r="V73" i="2"/>
  <c r="U73" i="2"/>
  <c r="T73" i="2"/>
  <c r="S73" i="2"/>
  <c r="R73" i="2"/>
  <c r="Q73" i="2"/>
  <c r="Q42" i="2" s="1"/>
  <c r="P73" i="2"/>
  <c r="O73" i="2"/>
  <c r="N73" i="2"/>
  <c r="M73" i="2"/>
  <c r="L73" i="2"/>
  <c r="K73" i="2"/>
  <c r="J73" i="2"/>
  <c r="I73" i="2"/>
  <c r="I42" i="2" s="1"/>
  <c r="H73" i="2"/>
  <c r="G73" i="2"/>
  <c r="F73" i="2"/>
  <c r="E73" i="2"/>
  <c r="AH72" i="2"/>
  <c r="AH41" i="2" s="1"/>
  <c r="AG72" i="2"/>
  <c r="AF72" i="2"/>
  <c r="AE72" i="2"/>
  <c r="AD72" i="2"/>
  <c r="AC72" i="2"/>
  <c r="AB72" i="2"/>
  <c r="AA72" i="2"/>
  <c r="Z72" i="2"/>
  <c r="Y72" i="2"/>
  <c r="X72" i="2"/>
  <c r="W72" i="2"/>
  <c r="V72" i="2"/>
  <c r="U72" i="2"/>
  <c r="T72" i="2"/>
  <c r="S72" i="2"/>
  <c r="R72" i="2"/>
  <c r="Q72" i="2"/>
  <c r="P72" i="2"/>
  <c r="O72" i="2"/>
  <c r="N72" i="2"/>
  <c r="M72" i="2"/>
  <c r="L72" i="2"/>
  <c r="K72" i="2"/>
  <c r="J72" i="2"/>
  <c r="I72" i="2"/>
  <c r="H72" i="2"/>
  <c r="G72" i="2"/>
  <c r="F72" i="2"/>
  <c r="E72" i="2"/>
  <c r="AH71" i="2"/>
  <c r="AG71" i="2"/>
  <c r="AF71" i="2"/>
  <c r="AF40" i="2" s="1"/>
  <c r="AE71" i="2"/>
  <c r="AD71" i="2"/>
  <c r="AC71" i="2"/>
  <c r="AB71" i="2"/>
  <c r="AA71" i="2"/>
  <c r="Z71" i="2"/>
  <c r="Y71" i="2"/>
  <c r="X71" i="2"/>
  <c r="W71" i="2"/>
  <c r="V71" i="2"/>
  <c r="U71" i="2"/>
  <c r="T71" i="2"/>
  <c r="S71" i="2"/>
  <c r="R71" i="2"/>
  <c r="Q71" i="2"/>
  <c r="P71" i="2"/>
  <c r="P40" i="2" s="1"/>
  <c r="O71" i="2"/>
  <c r="N71" i="2"/>
  <c r="M71" i="2"/>
  <c r="L71" i="2"/>
  <c r="K71" i="2"/>
  <c r="J71" i="2"/>
  <c r="I71" i="2"/>
  <c r="H71" i="2"/>
  <c r="G71" i="2"/>
  <c r="F71" i="2"/>
  <c r="E71" i="2"/>
  <c r="AH70" i="2"/>
  <c r="AG70" i="2"/>
  <c r="AF70" i="2"/>
  <c r="AE70" i="2"/>
  <c r="AD70" i="2"/>
  <c r="AD39" i="2" s="1"/>
  <c r="AC70" i="2"/>
  <c r="AB70" i="2"/>
  <c r="AA70" i="2"/>
  <c r="Z70" i="2"/>
  <c r="Y70" i="2"/>
  <c r="X70" i="2"/>
  <c r="W70" i="2"/>
  <c r="V70" i="2"/>
  <c r="U70" i="2"/>
  <c r="T70" i="2"/>
  <c r="S70" i="2"/>
  <c r="R70" i="2"/>
  <c r="Q70" i="2"/>
  <c r="P70" i="2"/>
  <c r="O70" i="2"/>
  <c r="N70" i="2"/>
  <c r="M70" i="2"/>
  <c r="L70" i="2"/>
  <c r="K70" i="2"/>
  <c r="J70" i="2"/>
  <c r="I70" i="2"/>
  <c r="H70" i="2"/>
  <c r="G70" i="2"/>
  <c r="F70" i="2"/>
  <c r="F39" i="2" s="1"/>
  <c r="E70" i="2"/>
  <c r="AH69" i="2"/>
  <c r="AG69" i="2"/>
  <c r="AF69" i="2"/>
  <c r="AE69" i="2"/>
  <c r="AD69" i="2"/>
  <c r="AC69" i="2"/>
  <c r="AB69" i="2"/>
  <c r="AB38" i="2" s="1"/>
  <c r="AA69" i="2"/>
  <c r="Z69" i="2"/>
  <c r="Y69" i="2"/>
  <c r="X69" i="2"/>
  <c r="W69" i="2"/>
  <c r="V69" i="2"/>
  <c r="U69" i="2"/>
  <c r="T69" i="2"/>
  <c r="S69" i="2"/>
  <c r="R69" i="2"/>
  <c r="Q69" i="2"/>
  <c r="P69" i="2"/>
  <c r="O69" i="2"/>
  <c r="N69" i="2"/>
  <c r="M69" i="2"/>
  <c r="L69" i="2"/>
  <c r="K69" i="2"/>
  <c r="J69" i="2"/>
  <c r="I69" i="2"/>
  <c r="H69" i="2"/>
  <c r="G69" i="2"/>
  <c r="F69" i="2"/>
  <c r="E69" i="2"/>
  <c r="AH68" i="2"/>
  <c r="AG68" i="2"/>
  <c r="AF68" i="2"/>
  <c r="AE68" i="2"/>
  <c r="AD68" i="2"/>
  <c r="AC68" i="2"/>
  <c r="AB68" i="2"/>
  <c r="AA68" i="2"/>
  <c r="Z68" i="2"/>
  <c r="Y68" i="2"/>
  <c r="X68" i="2"/>
  <c r="W68" i="2"/>
  <c r="V68" i="2"/>
  <c r="U68" i="2"/>
  <c r="T68" i="2"/>
  <c r="S68" i="2"/>
  <c r="R68" i="2"/>
  <c r="Q68" i="2"/>
  <c r="P68" i="2"/>
  <c r="O68" i="2"/>
  <c r="N68" i="2"/>
  <c r="M68" i="2"/>
  <c r="L68" i="2"/>
  <c r="K68" i="2"/>
  <c r="J68" i="2"/>
  <c r="I68" i="2"/>
  <c r="H68" i="2"/>
  <c r="G68" i="2"/>
  <c r="F68" i="2"/>
  <c r="E68" i="2"/>
  <c r="Y46" i="2" l="1"/>
  <c r="I10" i="2"/>
  <c r="AG5" i="2"/>
  <c r="AG37" i="2"/>
  <c r="AC7" i="2"/>
  <c r="AC39" i="2" s="1"/>
  <c r="Q9" i="2"/>
  <c r="Q41" i="2"/>
  <c r="K5" i="2"/>
  <c r="K37" i="2"/>
  <c r="AC6" i="2"/>
  <c r="AC38" i="2"/>
  <c r="Q8" i="2"/>
  <c r="Q40" i="2"/>
  <c r="E10" i="2"/>
  <c r="E42" i="2"/>
  <c r="W11" i="2"/>
  <c r="O5" i="2"/>
  <c r="O37" i="2"/>
  <c r="AE5" i="2"/>
  <c r="AE37" i="2"/>
  <c r="Q6" i="2"/>
  <c r="Q38" i="2"/>
  <c r="AG6" i="2"/>
  <c r="AG38" i="2"/>
  <c r="S7" i="2"/>
  <c r="E8" i="2"/>
  <c r="E40" i="2"/>
  <c r="M37" i="2"/>
  <c r="S6" i="2"/>
  <c r="S38" i="2" s="1"/>
  <c r="O8" i="2"/>
  <c r="O40" i="2"/>
  <c r="AG9" i="2"/>
  <c r="AG41" i="2"/>
  <c r="E6" i="2"/>
  <c r="E38" i="2"/>
  <c r="W7" i="2"/>
  <c r="W39" i="2" s="1"/>
  <c r="AG8" i="2"/>
  <c r="AG40" i="2"/>
  <c r="U10" i="2"/>
  <c r="G5" i="2"/>
  <c r="G37" i="2"/>
  <c r="W5" i="2"/>
  <c r="W37" i="2"/>
  <c r="I6" i="2"/>
  <c r="I38" i="2"/>
  <c r="Y6" i="2"/>
  <c r="Y38" i="2"/>
  <c r="K7" i="2"/>
  <c r="K39" i="2"/>
  <c r="AA7" i="2"/>
  <c r="AA39" i="2"/>
  <c r="H5" i="2"/>
  <c r="H37" i="2"/>
  <c r="P5" i="2"/>
  <c r="P37" i="2"/>
  <c r="X5" i="2"/>
  <c r="X37" i="2"/>
  <c r="AF5" i="2"/>
  <c r="AF37" i="2"/>
  <c r="J6" i="2"/>
  <c r="R6" i="2"/>
  <c r="R38" i="2"/>
  <c r="Z6" i="2"/>
  <c r="Z38" i="2"/>
  <c r="AH6" i="2"/>
  <c r="AH38" i="2"/>
  <c r="L7" i="2"/>
  <c r="L39" i="2"/>
  <c r="T7" i="2"/>
  <c r="AB7" i="2"/>
  <c r="AB39" i="2"/>
  <c r="F8" i="2"/>
  <c r="F40" i="2"/>
  <c r="N8" i="2"/>
  <c r="V8" i="2"/>
  <c r="AD8" i="2"/>
  <c r="AD40" i="2"/>
  <c r="H9" i="2"/>
  <c r="H41" i="2"/>
  <c r="P9" i="2"/>
  <c r="P41" i="2"/>
  <c r="X9" i="2"/>
  <c r="X41" i="2" s="1"/>
  <c r="AF9" i="2"/>
  <c r="AF41" i="2"/>
  <c r="J10" i="2"/>
  <c r="J42" i="2"/>
  <c r="R10" i="2"/>
  <c r="R42" i="2" s="1"/>
  <c r="Z10" i="2"/>
  <c r="Z42" i="2" s="1"/>
  <c r="AH10" i="2"/>
  <c r="AH42" i="2"/>
  <c r="L11" i="2"/>
  <c r="L43" i="2"/>
  <c r="T11" i="2"/>
  <c r="AB11" i="2"/>
  <c r="AB43" i="2" s="1"/>
  <c r="J38" i="2"/>
  <c r="I5" i="2"/>
  <c r="I37" i="2"/>
  <c r="E7" i="2"/>
  <c r="E39" i="2"/>
  <c r="AE8" i="2"/>
  <c r="AE40" i="2"/>
  <c r="AA10" i="2"/>
  <c r="AA42" i="2" s="1"/>
  <c r="M11" i="2"/>
  <c r="M43" i="2"/>
  <c r="U11" i="2"/>
  <c r="U43" i="2" s="1"/>
  <c r="AC11" i="2"/>
  <c r="W12" i="2"/>
  <c r="W44" i="2" s="1"/>
  <c r="AE12" i="2"/>
  <c r="AE44" i="2"/>
  <c r="I13" i="2"/>
  <c r="I45" i="2" s="1"/>
  <c r="Y13" i="2"/>
  <c r="AG13" i="2"/>
  <c r="AG45" i="2"/>
  <c r="K14" i="2"/>
  <c r="S14" i="2"/>
  <c r="S46" i="2" s="1"/>
  <c r="AA14" i="2"/>
  <c r="AA46" i="2" s="1"/>
  <c r="E15" i="2"/>
  <c r="E47" i="2" s="1"/>
  <c r="M15" i="2"/>
  <c r="M47" i="2" s="1"/>
  <c r="U15" i="2"/>
  <c r="U47" i="2" s="1"/>
  <c r="AC15" i="2"/>
  <c r="G16" i="2"/>
  <c r="O16" i="2"/>
  <c r="O48" i="2" s="1"/>
  <c r="W16" i="2"/>
  <c r="AE16" i="2"/>
  <c r="AE48" i="2" s="1"/>
  <c r="I17" i="2"/>
  <c r="I49" i="2" s="1"/>
  <c r="Q17" i="2"/>
  <c r="Y17" i="2"/>
  <c r="Y49" i="2" s="1"/>
  <c r="AG17" i="2"/>
  <c r="AG49" i="2" s="1"/>
  <c r="K18" i="2"/>
  <c r="S18" i="2"/>
  <c r="S50" i="2" s="1"/>
  <c r="AA18" i="2"/>
  <c r="AA50" i="2" s="1"/>
  <c r="E19" i="2"/>
  <c r="E51" i="2" s="1"/>
  <c r="M19" i="2"/>
  <c r="U19" i="2"/>
  <c r="U51" i="2"/>
  <c r="AC19" i="2"/>
  <c r="AC51" i="2" s="1"/>
  <c r="G20" i="2"/>
  <c r="G52" i="2" s="1"/>
  <c r="O20" i="2"/>
  <c r="W20" i="2"/>
  <c r="W52" i="2"/>
  <c r="AE20" i="2"/>
  <c r="AE52" i="2" s="1"/>
  <c r="I21" i="2"/>
  <c r="I53" i="2" s="1"/>
  <c r="Q21" i="2"/>
  <c r="Y21" i="2"/>
  <c r="Y53" i="2"/>
  <c r="AG21" i="2"/>
  <c r="AG53" i="2" s="1"/>
  <c r="K22" i="2"/>
  <c r="K54" i="2" s="1"/>
  <c r="S22" i="2"/>
  <c r="S54" i="2" s="1"/>
  <c r="AA22" i="2"/>
  <c r="AA54" i="2"/>
  <c r="E23" i="2"/>
  <c r="E55" i="2" s="1"/>
  <c r="M23" i="2"/>
  <c r="U55" i="2"/>
  <c r="U23" i="2"/>
  <c r="AC23" i="2"/>
  <c r="AC55" i="2" s="1"/>
  <c r="G24" i="2"/>
  <c r="G56" i="2" s="1"/>
  <c r="O24" i="2"/>
  <c r="O56" i="2" s="1"/>
  <c r="W24" i="2"/>
  <c r="W56" i="2"/>
  <c r="AE24" i="2"/>
  <c r="AE56" i="2" s="1"/>
  <c r="Q39" i="2"/>
  <c r="J37" i="2"/>
  <c r="J5" i="2"/>
  <c r="R5" i="2"/>
  <c r="R37" i="2"/>
  <c r="Z5" i="2"/>
  <c r="Z37" i="2"/>
  <c r="AH5" i="2"/>
  <c r="AH37" i="2"/>
  <c r="L6" i="2"/>
  <c r="L38" i="2"/>
  <c r="N40" i="2"/>
  <c r="Q5" i="2"/>
  <c r="Q37" i="2"/>
  <c r="M7" i="2"/>
  <c r="M39" i="2"/>
  <c r="I9" i="2"/>
  <c r="I41" i="2"/>
  <c r="E11" i="2"/>
  <c r="E43" i="2" s="1"/>
  <c r="U6" i="2"/>
  <c r="U38" i="2" s="1"/>
  <c r="I8" i="2"/>
  <c r="I40" i="2"/>
  <c r="AA9" i="2"/>
  <c r="AA41" i="2" s="1"/>
  <c r="O11" i="2"/>
  <c r="O43" i="2"/>
  <c r="Y12" i="2"/>
  <c r="Y44" i="2" s="1"/>
  <c r="K13" i="2"/>
  <c r="S13" i="2"/>
  <c r="S45" i="2" s="1"/>
  <c r="AA13" i="2"/>
  <c r="AA45" i="2" s="1"/>
  <c r="E14" i="2"/>
  <c r="E46" i="2" s="1"/>
  <c r="M14" i="2"/>
  <c r="M46" i="2" s="1"/>
  <c r="U14" i="2"/>
  <c r="U46" i="2" s="1"/>
  <c r="AC14" i="2"/>
  <c r="G15" i="2"/>
  <c r="O15" i="2"/>
  <c r="W15" i="2"/>
  <c r="W47" i="2" s="1"/>
  <c r="AE15" i="2"/>
  <c r="AE47" i="2" s="1"/>
  <c r="I16" i="2"/>
  <c r="I48" i="2" s="1"/>
  <c r="Q16" i="2"/>
  <c r="Q48" i="2" s="1"/>
  <c r="Y16" i="2"/>
  <c r="Y48" i="2" s="1"/>
  <c r="AG16" i="2"/>
  <c r="AG48" i="2" s="1"/>
  <c r="K17" i="2"/>
  <c r="K49" i="2" s="1"/>
  <c r="S17" i="2"/>
  <c r="AA17" i="2"/>
  <c r="AA49" i="2" s="1"/>
  <c r="E18" i="2"/>
  <c r="E50" i="2" s="1"/>
  <c r="M18" i="2"/>
  <c r="M50" i="2" s="1"/>
  <c r="U18" i="2"/>
  <c r="U50" i="2" s="1"/>
  <c r="AC18" i="2"/>
  <c r="AC50" i="2" s="1"/>
  <c r="G19" i="2"/>
  <c r="O19" i="2"/>
  <c r="O51" i="2" s="1"/>
  <c r="W19" i="2"/>
  <c r="W51" i="2"/>
  <c r="AE19" i="2"/>
  <c r="AE51" i="2" s="1"/>
  <c r="I20" i="2"/>
  <c r="I52" i="2" s="1"/>
  <c r="Q20" i="2"/>
  <c r="Q52" i="2" s="1"/>
  <c r="Y20" i="2"/>
  <c r="Y52" i="2" s="1"/>
  <c r="AG20" i="2"/>
  <c r="AG52" i="2" s="1"/>
  <c r="K21" i="2"/>
  <c r="S21" i="2"/>
  <c r="S53" i="2" s="1"/>
  <c r="AA53" i="2"/>
  <c r="E22" i="2"/>
  <c r="M22" i="2"/>
  <c r="M54" i="2" s="1"/>
  <c r="U54" i="2"/>
  <c r="AC54" i="2"/>
  <c r="G23" i="2"/>
  <c r="G55" i="2" s="1"/>
  <c r="O23" i="2"/>
  <c r="O55" i="2" s="1"/>
  <c r="W55" i="2"/>
  <c r="AE23" i="2"/>
  <c r="AE55" i="2" s="1"/>
  <c r="I24" i="2"/>
  <c r="I56" i="2" s="1"/>
  <c r="Q24" i="2"/>
  <c r="Y56" i="2"/>
  <c r="AG24" i="2"/>
  <c r="AG56" i="2" s="1"/>
  <c r="K25" i="2"/>
  <c r="S25" i="2"/>
  <c r="S57" i="2" s="1"/>
  <c r="AA57" i="2"/>
  <c r="E26" i="2"/>
  <c r="M26" i="2"/>
  <c r="U58" i="2"/>
  <c r="AC26" i="2"/>
  <c r="AC58" i="2"/>
  <c r="G27" i="2"/>
  <c r="G59" i="2" s="1"/>
  <c r="O27" i="2"/>
  <c r="W59" i="2"/>
  <c r="AE27" i="2"/>
  <c r="AE59" i="2"/>
  <c r="I28" i="2"/>
  <c r="I60" i="2" s="1"/>
  <c r="Q28" i="2"/>
  <c r="Q60" i="2" s="1"/>
  <c r="Y60" i="2"/>
  <c r="AG28" i="2"/>
  <c r="AG60" i="2" s="1"/>
  <c r="K29" i="2"/>
  <c r="K61" i="2" s="1"/>
  <c r="S61" i="2"/>
  <c r="AA61" i="2"/>
  <c r="E30" i="2"/>
  <c r="E62" i="2" s="1"/>
  <c r="M30" i="2"/>
  <c r="M62" i="2" s="1"/>
  <c r="U62" i="2"/>
  <c r="AC62" i="2"/>
  <c r="G63" i="2"/>
  <c r="O63" i="2"/>
  <c r="W63" i="2"/>
  <c r="AE63" i="2"/>
  <c r="Y64" i="2"/>
  <c r="AG32" i="2"/>
  <c r="AG64" i="2" s="1"/>
  <c r="K65" i="2"/>
  <c r="S65" i="2"/>
  <c r="AA65" i="2"/>
  <c r="AA6" i="2"/>
  <c r="AA38" i="2"/>
  <c r="W8" i="2"/>
  <c r="S10" i="2"/>
  <c r="M6" i="2"/>
  <c r="M38" i="2"/>
  <c r="AE7" i="2"/>
  <c r="AE39" i="2"/>
  <c r="S9" i="2"/>
  <c r="S41" i="2" s="1"/>
  <c r="G11" i="2"/>
  <c r="G43" i="2"/>
  <c r="T5" i="2"/>
  <c r="T37" i="2" s="1"/>
  <c r="F6" i="2"/>
  <c r="F38" i="2"/>
  <c r="V6" i="2"/>
  <c r="H39" i="2"/>
  <c r="H7" i="2"/>
  <c r="X7" i="2"/>
  <c r="X39" i="2"/>
  <c r="J8" i="2"/>
  <c r="J40" i="2"/>
  <c r="AH8" i="2"/>
  <c r="AH40" i="2"/>
  <c r="F10" i="2"/>
  <c r="F42" i="2"/>
  <c r="N10" i="2"/>
  <c r="N42" i="2"/>
  <c r="V10" i="2"/>
  <c r="AD10" i="2"/>
  <c r="AD42" i="2"/>
  <c r="H11" i="2"/>
  <c r="H43" i="2"/>
  <c r="P11" i="2"/>
  <c r="P43" i="2"/>
  <c r="X11" i="2"/>
  <c r="AF11" i="2"/>
  <c r="AF43" i="2"/>
  <c r="J12" i="2"/>
  <c r="J44" i="2" s="1"/>
  <c r="R12" i="2"/>
  <c r="R44" i="2" s="1"/>
  <c r="Z12" i="2"/>
  <c r="Z44" i="2" s="1"/>
  <c r="AH12" i="2"/>
  <c r="AH44" i="2"/>
  <c r="L13" i="2"/>
  <c r="L45" i="2" s="1"/>
  <c r="T13" i="2"/>
  <c r="AB13" i="2"/>
  <c r="AB45" i="2" s="1"/>
  <c r="F14" i="2"/>
  <c r="F46" i="2" s="1"/>
  <c r="N14" i="2"/>
  <c r="V14" i="2"/>
  <c r="AD14" i="2"/>
  <c r="AD46" i="2" s="1"/>
  <c r="H15" i="2"/>
  <c r="P15" i="2"/>
  <c r="P47" i="2" s="1"/>
  <c r="X15" i="2"/>
  <c r="X47" i="2" s="1"/>
  <c r="K6" i="2"/>
  <c r="K38" i="2"/>
  <c r="G8" i="2"/>
  <c r="G40" i="2"/>
  <c r="Y9" i="2"/>
  <c r="Y41" i="2"/>
  <c r="S5" i="2"/>
  <c r="S37" i="2"/>
  <c r="G7" i="2"/>
  <c r="G39" i="2"/>
  <c r="Y8" i="2"/>
  <c r="Y40" i="2"/>
  <c r="M10" i="2"/>
  <c r="M42" i="2"/>
  <c r="AE43" i="2"/>
  <c r="AG44" i="2"/>
  <c r="L9" i="2"/>
  <c r="L41" i="2"/>
  <c r="T9" i="2"/>
  <c r="E37" i="2"/>
  <c r="U5" i="2"/>
  <c r="U37" i="2" s="1"/>
  <c r="G38" i="2"/>
  <c r="W6" i="2"/>
  <c r="I39" i="2"/>
  <c r="Y39" i="2"/>
  <c r="K40" i="2"/>
  <c r="AA8" i="2"/>
  <c r="AA40" i="2" s="1"/>
  <c r="M41" i="2"/>
  <c r="AC9" i="2"/>
  <c r="AC41" i="2" s="1"/>
  <c r="O42" i="2"/>
  <c r="AE42" i="2"/>
  <c r="Q43" i="2"/>
  <c r="AG43" i="2"/>
  <c r="S12" i="2"/>
  <c r="S44" i="2" s="1"/>
  <c r="E13" i="2"/>
  <c r="U13" i="2"/>
  <c r="U45" i="2" s="1"/>
  <c r="G14" i="2"/>
  <c r="G46" i="2" s="1"/>
  <c r="W14" i="2"/>
  <c r="W46" i="2" s="1"/>
  <c r="I15" i="2"/>
  <c r="Y15" i="2"/>
  <c r="Y47" i="2" s="1"/>
  <c r="K16" i="2"/>
  <c r="K48" i="2" s="1"/>
  <c r="AA16" i="2"/>
  <c r="M17" i="2"/>
  <c r="M49" i="2" s="1"/>
  <c r="AC17" i="2"/>
  <c r="AC49" i="2" s="1"/>
  <c r="O18" i="2"/>
  <c r="O50" i="2" s="1"/>
  <c r="AE18" i="2"/>
  <c r="AE50" i="2" s="1"/>
  <c r="Q19" i="2"/>
  <c r="Q51" i="2" s="1"/>
  <c r="AG19" i="2"/>
  <c r="S20" i="2"/>
  <c r="S52" i="2" s="1"/>
  <c r="E21" i="2"/>
  <c r="U53" i="2"/>
  <c r="G22" i="2"/>
  <c r="W54" i="2"/>
  <c r="AE22" i="2"/>
  <c r="I23" i="2"/>
  <c r="I55" i="2" s="1"/>
  <c r="Q23" i="2"/>
  <c r="Y55" i="2"/>
  <c r="AG23" i="2"/>
  <c r="AG55" i="2" s="1"/>
  <c r="K24" i="2"/>
  <c r="S24" i="2"/>
  <c r="AA56" i="2"/>
  <c r="E25" i="2"/>
  <c r="M25" i="2"/>
  <c r="M57" i="2" s="1"/>
  <c r="U57" i="2"/>
  <c r="AC57" i="2"/>
  <c r="G26" i="2"/>
  <c r="G58" i="2" s="1"/>
  <c r="O26" i="2"/>
  <c r="O58" i="2" s="1"/>
  <c r="W58" i="2"/>
  <c r="AE26" i="2"/>
  <c r="AE58" i="2" s="1"/>
  <c r="I27" i="2"/>
  <c r="Q27" i="2"/>
  <c r="Y59" i="2"/>
  <c r="AG27" i="2"/>
  <c r="K28" i="2"/>
  <c r="AA60" i="2"/>
  <c r="E29" i="2"/>
  <c r="E61" i="2"/>
  <c r="M29" i="2"/>
  <c r="M61" i="2" s="1"/>
  <c r="U61" i="2"/>
  <c r="AC61" i="2"/>
  <c r="G30" i="2"/>
  <c r="G62" i="2" s="1"/>
  <c r="O30" i="2"/>
  <c r="O62" i="2"/>
  <c r="W62" i="2"/>
  <c r="AE62" i="2"/>
  <c r="I63" i="2"/>
  <c r="Y63" i="2"/>
  <c r="AG31" i="2"/>
  <c r="K32" i="2"/>
  <c r="K64" i="2"/>
  <c r="S32" i="2"/>
  <c r="S64" i="2"/>
  <c r="AA32" i="2"/>
  <c r="AA64" i="2"/>
  <c r="E33" i="2"/>
  <c r="E65" i="2"/>
  <c r="M33" i="2"/>
  <c r="M65" i="2"/>
  <c r="U33" i="2"/>
  <c r="U65" i="2"/>
  <c r="AC33" i="2"/>
  <c r="AC65" i="2"/>
  <c r="Y5" i="2"/>
  <c r="Y37" i="2"/>
  <c r="U7" i="2"/>
  <c r="K10" i="2"/>
  <c r="K42" i="2"/>
  <c r="AA5" i="2"/>
  <c r="AA37" i="2"/>
  <c r="O7" i="2"/>
  <c r="O39" i="2"/>
  <c r="K9" i="2"/>
  <c r="K41" i="2"/>
  <c r="AC10" i="2"/>
  <c r="I12" i="2"/>
  <c r="I44" i="2"/>
  <c r="L5" i="2"/>
  <c r="L37" i="2"/>
  <c r="AB5" i="2"/>
  <c r="AB37" i="2"/>
  <c r="N6" i="2"/>
  <c r="N38" i="2"/>
  <c r="AD6" i="2"/>
  <c r="AD38" i="2"/>
  <c r="P7" i="2"/>
  <c r="P39" i="2"/>
  <c r="AF7" i="2"/>
  <c r="AF39" i="2"/>
  <c r="Z8" i="2"/>
  <c r="AB9" i="2"/>
  <c r="AC37" i="2"/>
  <c r="O38" i="2"/>
  <c r="AE38" i="2"/>
  <c r="AG39" i="2"/>
  <c r="S8" i="2"/>
  <c r="S40" i="2" s="1"/>
  <c r="E41" i="2"/>
  <c r="U9" i="2"/>
  <c r="U41" i="2" s="1"/>
  <c r="G42" i="2"/>
  <c r="W10" i="2"/>
  <c r="I43" i="2"/>
  <c r="Y11" i="2"/>
  <c r="Y43" i="2" s="1"/>
  <c r="K12" i="2"/>
  <c r="AA12" i="2"/>
  <c r="AA44" i="2" s="1"/>
  <c r="AC13" i="2"/>
  <c r="AC45" i="2" s="1"/>
  <c r="O14" i="2"/>
  <c r="AE14" i="2"/>
  <c r="AE46" i="2" s="1"/>
  <c r="Q15" i="2"/>
  <c r="Q47" i="2" s="1"/>
  <c r="AG15" i="2"/>
  <c r="AG47" i="2" s="1"/>
  <c r="S16" i="2"/>
  <c r="S48" i="2" s="1"/>
  <c r="E17" i="2"/>
  <c r="U17" i="2"/>
  <c r="U49" i="2"/>
  <c r="G18" i="2"/>
  <c r="G50" i="2" s="1"/>
  <c r="W18" i="2"/>
  <c r="W50" i="2" s="1"/>
  <c r="I19" i="2"/>
  <c r="Y19" i="2"/>
  <c r="Y51" i="2" s="1"/>
  <c r="K20" i="2"/>
  <c r="AA52" i="2"/>
  <c r="M21" i="2"/>
  <c r="AC53" i="2"/>
  <c r="O22" i="2"/>
  <c r="F5" i="2"/>
  <c r="F37" i="2"/>
  <c r="N5" i="2"/>
  <c r="N37" i="2"/>
  <c r="V5" i="2"/>
  <c r="V37" i="2" s="1"/>
  <c r="AD5" i="2"/>
  <c r="AD37" i="2"/>
  <c r="H6" i="2"/>
  <c r="H38" i="2"/>
  <c r="AF15" i="2"/>
  <c r="AF47" i="2"/>
  <c r="J16" i="2"/>
  <c r="J48" i="2" s="1"/>
  <c r="R16" i="2"/>
  <c r="AH16" i="2"/>
  <c r="AH48" i="2"/>
  <c r="L17" i="2"/>
  <c r="L49" i="2" s="1"/>
  <c r="T17" i="2"/>
  <c r="T49" i="2" s="1"/>
  <c r="AB17" i="2"/>
  <c r="AB49" i="2" s="1"/>
  <c r="F18" i="2"/>
  <c r="F50" i="2" s="1"/>
  <c r="N18" i="2"/>
  <c r="V18" i="2"/>
  <c r="V50" i="2" s="1"/>
  <c r="AD18" i="2"/>
  <c r="H19" i="2"/>
  <c r="P19" i="2"/>
  <c r="P51" i="2" s="1"/>
  <c r="X19" i="2"/>
  <c r="X51" i="2" s="1"/>
  <c r="AF19" i="2"/>
  <c r="J20" i="2"/>
  <c r="J52" i="2" s="1"/>
  <c r="R52" i="2"/>
  <c r="Z20" i="2"/>
  <c r="Z52" i="2" s="1"/>
  <c r="AH20" i="2"/>
  <c r="AH52" i="2" s="1"/>
  <c r="L21" i="2"/>
  <c r="L53" i="2" s="1"/>
  <c r="T21" i="2"/>
  <c r="T53" i="2" s="1"/>
  <c r="AB21" i="2"/>
  <c r="AB53" i="2"/>
  <c r="F22" i="2"/>
  <c r="F54" i="2" s="1"/>
  <c r="N22" i="2"/>
  <c r="N54" i="2" s="1"/>
  <c r="V22" i="2"/>
  <c r="V54" i="2"/>
  <c r="AD22" i="2"/>
  <c r="AD54" i="2" s="1"/>
  <c r="H23" i="2"/>
  <c r="H55" i="2" s="1"/>
  <c r="P23" i="2"/>
  <c r="P55" i="2" s="1"/>
  <c r="X23" i="2"/>
  <c r="X55" i="2"/>
  <c r="AF23" i="2"/>
  <c r="J24" i="2"/>
  <c r="J56" i="2" s="1"/>
  <c r="R24" i="2"/>
  <c r="R56" i="2" s="1"/>
  <c r="Z56" i="2"/>
  <c r="AH24" i="2"/>
  <c r="AH56" i="2" s="1"/>
  <c r="L25" i="2"/>
  <c r="T25" i="2"/>
  <c r="T57" i="2"/>
  <c r="AB57" i="2"/>
  <c r="F26" i="2"/>
  <c r="N26" i="2"/>
  <c r="N58" i="2" s="1"/>
  <c r="V26" i="2"/>
  <c r="V58" i="2"/>
  <c r="AD26" i="2"/>
  <c r="AD58" i="2"/>
  <c r="H27" i="2"/>
  <c r="H59" i="2" s="1"/>
  <c r="P27" i="2"/>
  <c r="P59" i="2" s="1"/>
  <c r="X27" i="2"/>
  <c r="X59" i="2"/>
  <c r="AF27" i="2"/>
  <c r="AF59" i="2" s="1"/>
  <c r="J28" i="2"/>
  <c r="R28" i="2"/>
  <c r="Z28" i="2"/>
  <c r="Z60" i="2"/>
  <c r="AH28" i="2"/>
  <c r="AH60" i="2" s="1"/>
  <c r="L29" i="2"/>
  <c r="L61" i="2" s="1"/>
  <c r="T29" i="2"/>
  <c r="T61" i="2"/>
  <c r="AB29" i="2"/>
  <c r="AB61" i="2"/>
  <c r="N30" i="2"/>
  <c r="N62" i="2" s="1"/>
  <c r="V30" i="2"/>
  <c r="V62" i="2"/>
  <c r="AD62" i="2"/>
  <c r="H31" i="2"/>
  <c r="H63" i="2"/>
  <c r="P31" i="2"/>
  <c r="P63" i="2"/>
  <c r="X31" i="2"/>
  <c r="X63" i="2"/>
  <c r="AF31" i="2"/>
  <c r="AF63" i="2"/>
  <c r="J32" i="2"/>
  <c r="J64" i="2"/>
  <c r="R32" i="2"/>
  <c r="R64" i="2"/>
  <c r="Z32" i="2"/>
  <c r="Z64" i="2"/>
  <c r="AH32" i="2"/>
  <c r="AH64" i="2" s="1"/>
  <c r="L33" i="2"/>
  <c r="L65" i="2"/>
  <c r="T33" i="2"/>
  <c r="T65" i="2"/>
  <c r="AB33" i="2"/>
  <c r="AB65" i="2"/>
  <c r="Z16" i="2"/>
  <c r="P6" i="2"/>
  <c r="P38" i="2"/>
  <c r="X6" i="2"/>
  <c r="X38" i="2"/>
  <c r="AF6" i="2"/>
  <c r="AF38" i="2"/>
  <c r="J7" i="2"/>
  <c r="J39" i="2"/>
  <c r="R7" i="2"/>
  <c r="R39" i="2"/>
  <c r="Z7" i="2"/>
  <c r="Z39" i="2"/>
  <c r="AH7" i="2"/>
  <c r="AH39" i="2"/>
  <c r="L8" i="2"/>
  <c r="L40" i="2"/>
  <c r="T8" i="2"/>
  <c r="F9" i="2"/>
  <c r="F41" i="2"/>
  <c r="N9" i="2"/>
  <c r="N41" i="2"/>
  <c r="V9" i="2"/>
  <c r="AD9" i="2"/>
  <c r="AD41" i="2" s="1"/>
  <c r="H10" i="2"/>
  <c r="H42" i="2"/>
  <c r="P10" i="2"/>
  <c r="P42" i="2"/>
  <c r="X10" i="2"/>
  <c r="X42" i="2" s="1"/>
  <c r="AF10" i="2"/>
  <c r="AF42" i="2"/>
  <c r="J11" i="2"/>
  <c r="J43" i="2"/>
  <c r="R11" i="2"/>
  <c r="Z11" i="2"/>
  <c r="AH11" i="2"/>
  <c r="AH43" i="2"/>
  <c r="L12" i="2"/>
  <c r="L44" i="2" s="1"/>
  <c r="T12" i="2"/>
  <c r="T44" i="2" s="1"/>
  <c r="AB12" i="2"/>
  <c r="AB44" i="2" s="1"/>
  <c r="F13" i="2"/>
  <c r="N13" i="2"/>
  <c r="N45" i="2"/>
  <c r="V13" i="2"/>
  <c r="V45" i="2" s="1"/>
  <c r="AD13" i="2"/>
  <c r="AD45" i="2" s="1"/>
  <c r="H14" i="2"/>
  <c r="H46" i="2" s="1"/>
  <c r="P14" i="2"/>
  <c r="P46" i="2" s="1"/>
  <c r="X14" i="2"/>
  <c r="AF14" i="2"/>
  <c r="AF46" i="2"/>
  <c r="J15" i="2"/>
  <c r="R15" i="2"/>
  <c r="Z15" i="2"/>
  <c r="Z47" i="2" s="1"/>
  <c r="AH15" i="2"/>
  <c r="AH47" i="2"/>
  <c r="L16" i="2"/>
  <c r="L48" i="2" s="1"/>
  <c r="T16" i="2"/>
  <c r="AB16" i="2"/>
  <c r="F17" i="2"/>
  <c r="F49" i="2" s="1"/>
  <c r="N17" i="2"/>
  <c r="V17" i="2"/>
  <c r="V49" i="2" s="1"/>
  <c r="AD17" i="2"/>
  <c r="AD49" i="2" s="1"/>
  <c r="H18" i="2"/>
  <c r="H50" i="2" s="1"/>
  <c r="P18" i="2"/>
  <c r="P50" i="2" s="1"/>
  <c r="X18" i="2"/>
  <c r="X50" i="2" s="1"/>
  <c r="AF18" i="2"/>
  <c r="AF50" i="2" s="1"/>
  <c r="J19" i="2"/>
  <c r="J51" i="2" s="1"/>
  <c r="R19" i="2"/>
  <c r="R51" i="2" s="1"/>
  <c r="Z19" i="2"/>
  <c r="Z51" i="2"/>
  <c r="AH19" i="2"/>
  <c r="AH51" i="2"/>
  <c r="L20" i="2"/>
  <c r="L52" i="2" s="1"/>
  <c r="T20" i="2"/>
  <c r="T52" i="2" s="1"/>
  <c r="AB20" i="2"/>
  <c r="AB52" i="2"/>
  <c r="F21" i="2"/>
  <c r="F53" i="2" s="1"/>
  <c r="N21" i="2"/>
  <c r="N53" i="2" s="1"/>
  <c r="V21" i="2"/>
  <c r="V53" i="2"/>
  <c r="AD21" i="2"/>
  <c r="AD53" i="2" s="1"/>
  <c r="H22" i="2"/>
  <c r="P22" i="2"/>
  <c r="P54" i="2" s="1"/>
  <c r="X22" i="2"/>
  <c r="X54" i="2"/>
  <c r="AF22" i="2"/>
  <c r="AF54" i="2" s="1"/>
  <c r="J23" i="2"/>
  <c r="R23" i="2"/>
  <c r="R55" i="2" s="1"/>
  <c r="Z23" i="2"/>
  <c r="Z55" i="2"/>
  <c r="AH23" i="2"/>
  <c r="AH55" i="2" s="1"/>
  <c r="L24" i="2"/>
  <c r="L56" i="2" s="1"/>
  <c r="T24" i="2"/>
  <c r="T56" i="2"/>
  <c r="AB24" i="2"/>
  <c r="AB56" i="2"/>
  <c r="F25" i="2"/>
  <c r="F57" i="2" s="1"/>
  <c r="N25" i="2"/>
  <c r="N57" i="2" s="1"/>
  <c r="V25" i="2"/>
  <c r="V57" i="2"/>
  <c r="AD25" i="2"/>
  <c r="AD57" i="2"/>
  <c r="H26" i="2"/>
  <c r="P26" i="2"/>
  <c r="P58" i="2" s="1"/>
  <c r="X26" i="2"/>
  <c r="X58" i="2"/>
  <c r="AF26" i="2"/>
  <c r="AF58" i="2" s="1"/>
  <c r="J27" i="2"/>
  <c r="R27" i="2"/>
  <c r="R59" i="2" s="1"/>
  <c r="Z59" i="2"/>
  <c r="AH27" i="2"/>
  <c r="AH59" i="2" s="1"/>
  <c r="L28" i="2"/>
  <c r="L60" i="2" s="1"/>
  <c r="T28" i="2"/>
  <c r="T60" i="2"/>
  <c r="AB28" i="2"/>
  <c r="AB60" i="2"/>
  <c r="F29" i="2"/>
  <c r="F61" i="2" s="1"/>
  <c r="N29" i="2"/>
  <c r="V29" i="2"/>
  <c r="V61" i="2"/>
  <c r="AD61" i="2"/>
  <c r="H30" i="2"/>
  <c r="H62" i="2"/>
  <c r="P30" i="2"/>
  <c r="X30" i="2"/>
  <c r="X62" i="2"/>
  <c r="AF30" i="2"/>
  <c r="AF62" i="2"/>
  <c r="J31" i="2"/>
  <c r="J63" i="2"/>
  <c r="R31" i="2"/>
  <c r="R63" i="2"/>
  <c r="Z31" i="2"/>
  <c r="Z63" i="2"/>
  <c r="AH31" i="2"/>
  <c r="AH63" i="2" s="1"/>
  <c r="L32" i="2"/>
  <c r="L64" i="2"/>
  <c r="T32" i="2"/>
  <c r="T64" i="2"/>
  <c r="AB32" i="2"/>
  <c r="AB64" i="2"/>
  <c r="F33" i="2"/>
  <c r="F65" i="2"/>
  <c r="N33" i="2"/>
  <c r="N65" i="2"/>
  <c r="V33" i="2"/>
  <c r="V65" i="2"/>
  <c r="AD33" i="2"/>
  <c r="AD65" i="2"/>
  <c r="M8" i="2"/>
  <c r="M40" i="2"/>
  <c r="U8" i="2"/>
  <c r="U40" i="2" s="1"/>
  <c r="AC8" i="2"/>
  <c r="G9" i="2"/>
  <c r="G41" i="2"/>
  <c r="O9" i="2"/>
  <c r="O41" i="2"/>
  <c r="W9" i="2"/>
  <c r="W41" i="2" s="1"/>
  <c r="AE9" i="2"/>
  <c r="AE41" i="2"/>
  <c r="Y10" i="2"/>
  <c r="Y42" i="2" s="1"/>
  <c r="AG10" i="2"/>
  <c r="AG42" i="2"/>
  <c r="K11" i="2"/>
  <c r="K43" i="2"/>
  <c r="S11" i="2"/>
  <c r="S43" i="2" s="1"/>
  <c r="AA11" i="2"/>
  <c r="AA43" i="2" s="1"/>
  <c r="E12" i="2"/>
  <c r="M12" i="2"/>
  <c r="M44" i="2" s="1"/>
  <c r="U12" i="2"/>
  <c r="AC12" i="2"/>
  <c r="AC44" i="2" s="1"/>
  <c r="G13" i="2"/>
  <c r="O13" i="2"/>
  <c r="O45" i="2"/>
  <c r="W13" i="2"/>
  <c r="AE13" i="2"/>
  <c r="AE45" i="2"/>
  <c r="I14" i="2"/>
  <c r="I46" i="2" s="1"/>
  <c r="Q14" i="2"/>
  <c r="Q46" i="2" s="1"/>
  <c r="AG14" i="2"/>
  <c r="AG46" i="2"/>
  <c r="K15" i="2"/>
  <c r="S15" i="2"/>
  <c r="AA15" i="2"/>
  <c r="E16" i="2"/>
  <c r="M16" i="2"/>
  <c r="U16" i="2"/>
  <c r="U48" i="2" s="1"/>
  <c r="AC16" i="2"/>
  <c r="G17" i="2"/>
  <c r="G49" i="2" s="1"/>
  <c r="O17" i="2"/>
  <c r="O49" i="2" s="1"/>
  <c r="W17" i="2"/>
  <c r="AE17" i="2"/>
  <c r="I18" i="2"/>
  <c r="Q18" i="2"/>
  <c r="Q50" i="2" s="1"/>
  <c r="Y18" i="2"/>
  <c r="Y50" i="2" s="1"/>
  <c r="AG18" i="2"/>
  <c r="K19" i="2"/>
  <c r="K51" i="2" s="1"/>
  <c r="S19" i="2"/>
  <c r="S51" i="2" s="1"/>
  <c r="AA19" i="2"/>
  <c r="AA51" i="2"/>
  <c r="E20" i="2"/>
  <c r="E52" i="2" s="1"/>
  <c r="M20" i="2"/>
  <c r="U20" i="2"/>
  <c r="U52" i="2"/>
  <c r="AC20" i="2"/>
  <c r="G21" i="2"/>
  <c r="O21" i="2"/>
  <c r="W21" i="2"/>
  <c r="W53" i="2"/>
  <c r="AE21" i="2"/>
  <c r="I22" i="2"/>
  <c r="I54" i="2" s="1"/>
  <c r="Q22" i="2"/>
  <c r="Y22" i="2"/>
  <c r="Y54" i="2" s="1"/>
  <c r="AG22" i="2"/>
  <c r="AG54" i="2" s="1"/>
  <c r="K23" i="2"/>
  <c r="S23" i="2"/>
  <c r="AA23" i="2"/>
  <c r="AA55" i="2"/>
  <c r="E24" i="2"/>
  <c r="M24" i="2"/>
  <c r="U24" i="2"/>
  <c r="U56" i="2"/>
  <c r="AC24" i="2"/>
  <c r="AC56" i="2"/>
  <c r="G25" i="2"/>
  <c r="O25" i="2"/>
  <c r="O57" i="2" s="1"/>
  <c r="W25" i="2"/>
  <c r="W57" i="2"/>
  <c r="AE25" i="2"/>
  <c r="I26" i="2"/>
  <c r="Q26" i="2"/>
  <c r="Q58" i="2" s="1"/>
  <c r="Y26" i="2"/>
  <c r="Y58" i="2"/>
  <c r="AG26" i="2"/>
  <c r="K27" i="2"/>
  <c r="S27" i="2"/>
  <c r="S59" i="2" s="1"/>
  <c r="AA27" i="2"/>
  <c r="AA59" i="2"/>
  <c r="E28" i="2"/>
  <c r="M28" i="2"/>
  <c r="U28" i="2"/>
  <c r="U60" i="2"/>
  <c r="AC28" i="2"/>
  <c r="AC60" i="2"/>
  <c r="O29" i="2"/>
  <c r="O61" i="2" s="1"/>
  <c r="W29" i="2"/>
  <c r="W61" i="2"/>
  <c r="AE29" i="2"/>
  <c r="AE61" i="2"/>
  <c r="I30" i="2"/>
  <c r="Q30" i="2"/>
  <c r="Q62" i="2" s="1"/>
  <c r="Y30" i="2"/>
  <c r="Y62" i="2"/>
  <c r="AG30" i="2"/>
  <c r="AG62" i="2" s="1"/>
  <c r="K31" i="2"/>
  <c r="K63" i="2"/>
  <c r="S31" i="2"/>
  <c r="S63" i="2"/>
  <c r="AA31" i="2"/>
  <c r="AA63" i="2"/>
  <c r="E32" i="2"/>
  <c r="E64" i="2"/>
  <c r="M32" i="2"/>
  <c r="M64" i="2"/>
  <c r="U32" i="2"/>
  <c r="U64" i="2"/>
  <c r="AC32" i="2"/>
  <c r="AC64" i="2"/>
  <c r="G33" i="2"/>
  <c r="G65" i="2"/>
  <c r="O33" i="2"/>
  <c r="O65" i="2"/>
  <c r="W33" i="2"/>
  <c r="W65" i="2"/>
  <c r="AE65" i="2"/>
  <c r="N12" i="2"/>
  <c r="N44" i="2"/>
  <c r="V12" i="2"/>
  <c r="AD12" i="2"/>
  <c r="AD44" i="2" s="1"/>
  <c r="H13" i="2"/>
  <c r="H45" i="2" s="1"/>
  <c r="P13" i="2"/>
  <c r="P45" i="2"/>
  <c r="X13" i="2"/>
  <c r="X45" i="2" s="1"/>
  <c r="AF13" i="2"/>
  <c r="AF45" i="2"/>
  <c r="J14" i="2"/>
  <c r="J46" i="2" s="1"/>
  <c r="Z14" i="2"/>
  <c r="Z46" i="2" s="1"/>
  <c r="AH14" i="2"/>
  <c r="AH46" i="2"/>
  <c r="L15" i="2"/>
  <c r="L47" i="2" s="1"/>
  <c r="T15" i="2"/>
  <c r="AB15" i="2"/>
  <c r="F16" i="2"/>
  <c r="F48" i="2" s="1"/>
  <c r="N16" i="2"/>
  <c r="V16" i="2"/>
  <c r="AD16" i="2"/>
  <c r="AD48" i="2" s="1"/>
  <c r="H17" i="2"/>
  <c r="P17" i="2"/>
  <c r="X17" i="2"/>
  <c r="AF17" i="2"/>
  <c r="AF49" i="2"/>
  <c r="J18" i="2"/>
  <c r="R18" i="2"/>
  <c r="R50" i="2" s="1"/>
  <c r="Z18" i="2"/>
  <c r="AH18" i="2"/>
  <c r="AH50" i="2"/>
  <c r="L19" i="2"/>
  <c r="L51" i="2" s="1"/>
  <c r="T19" i="2"/>
  <c r="T51" i="2" s="1"/>
  <c r="AB19" i="2"/>
  <c r="AB51" i="2" s="1"/>
  <c r="F20" i="2"/>
  <c r="F52" i="2" s="1"/>
  <c r="N20" i="2"/>
  <c r="N52" i="2" s="1"/>
  <c r="V20" i="2"/>
  <c r="V52" i="2"/>
  <c r="AD20" i="2"/>
  <c r="AD52" i="2" s="1"/>
  <c r="H21" i="2"/>
  <c r="P21" i="2"/>
  <c r="P53" i="2" s="1"/>
  <c r="X21" i="2"/>
  <c r="X53" i="2" s="1"/>
  <c r="AF21" i="2"/>
  <c r="J22" i="2"/>
  <c r="R22" i="2"/>
  <c r="R54" i="2" s="1"/>
  <c r="Z22" i="2"/>
  <c r="Z54" i="2"/>
  <c r="AH22" i="2"/>
  <c r="AH54" i="2"/>
  <c r="L23" i="2"/>
  <c r="T23" i="2"/>
  <c r="T55" i="2"/>
  <c r="AB23" i="2"/>
  <c r="AB55" i="2"/>
  <c r="F24" i="2"/>
  <c r="N24" i="2"/>
  <c r="N56" i="2" s="1"/>
  <c r="V24" i="2"/>
  <c r="V56" i="2"/>
  <c r="AD24" i="2"/>
  <c r="AD56" i="2"/>
  <c r="H25" i="2"/>
  <c r="H57" i="2" s="1"/>
  <c r="P25" i="2"/>
  <c r="X25" i="2"/>
  <c r="X57" i="2"/>
  <c r="AF25" i="2"/>
  <c r="AF57" i="2" s="1"/>
  <c r="J26" i="2"/>
  <c r="R26" i="2"/>
  <c r="R58" i="2" s="1"/>
  <c r="Z26" i="2"/>
  <c r="Z58" i="2"/>
  <c r="AH26" i="2"/>
  <c r="L27" i="2"/>
  <c r="T27" i="2"/>
  <c r="T59" i="2"/>
  <c r="F28" i="2"/>
  <c r="N28" i="2"/>
  <c r="V28" i="2"/>
  <c r="V60" i="2"/>
  <c r="AD28" i="2"/>
  <c r="AD60" i="2"/>
  <c r="P29" i="2"/>
  <c r="X29" i="2"/>
  <c r="X61" i="2"/>
  <c r="AF29" i="2"/>
  <c r="AF61" i="2"/>
  <c r="R30" i="2"/>
  <c r="R62" i="2"/>
  <c r="Z30" i="2"/>
  <c r="Z62" i="2"/>
  <c r="AH30" i="2"/>
  <c r="AH62" i="2" s="1"/>
  <c r="L31" i="2"/>
  <c r="L63" i="2"/>
  <c r="T31" i="2"/>
  <c r="T63" i="2"/>
  <c r="AB63" i="2"/>
  <c r="F32" i="2"/>
  <c r="F64" i="2"/>
  <c r="N32" i="2"/>
  <c r="N64" i="2"/>
  <c r="V32" i="2"/>
  <c r="V64" i="2"/>
  <c r="AD64" i="2"/>
  <c r="H33" i="2"/>
  <c r="H65" i="2"/>
  <c r="P33" i="2"/>
  <c r="P65" i="2"/>
  <c r="X33" i="2"/>
  <c r="X65" i="2"/>
  <c r="AF65" i="2"/>
  <c r="I25" i="2"/>
  <c r="Q25" i="2"/>
  <c r="Y25" i="2"/>
  <c r="AG25" i="2"/>
  <c r="AG57" i="2" s="1"/>
  <c r="K26" i="2"/>
  <c r="S26" i="2"/>
  <c r="S58" i="2" s="1"/>
  <c r="AA26" i="2"/>
  <c r="E27" i="2"/>
  <c r="M27" i="2"/>
  <c r="U27" i="2"/>
  <c r="U59" i="2"/>
  <c r="AC27" i="2"/>
  <c r="AC59" i="2"/>
  <c r="G28" i="2"/>
  <c r="G60" i="2" s="1"/>
  <c r="O28" i="2"/>
  <c r="W28" i="2"/>
  <c r="W60" i="2"/>
  <c r="AE28" i="2"/>
  <c r="AE60" i="2"/>
  <c r="I29" i="2"/>
  <c r="I61" i="2" s="1"/>
  <c r="Q29" i="2"/>
  <c r="Q61" i="2"/>
  <c r="Y29" i="2"/>
  <c r="Y61" i="2"/>
  <c r="AG29" i="2"/>
  <c r="AG61" i="2" s="1"/>
  <c r="K30" i="2"/>
  <c r="K62" i="2" s="1"/>
  <c r="S30" i="2"/>
  <c r="S62" i="2"/>
  <c r="AA30" i="2"/>
  <c r="AA62" i="2"/>
  <c r="E31" i="2"/>
  <c r="M31" i="2"/>
  <c r="M63" i="2"/>
  <c r="U31" i="2"/>
  <c r="U63" i="2"/>
  <c r="AC31" i="2"/>
  <c r="AC63" i="2"/>
  <c r="G32" i="2"/>
  <c r="G64" i="2"/>
  <c r="O64" i="2"/>
  <c r="W32" i="2"/>
  <c r="W64" i="2"/>
  <c r="AE64" i="2"/>
  <c r="I33" i="2"/>
  <c r="I65" i="2"/>
  <c r="Q33" i="2"/>
  <c r="Q65" i="2"/>
  <c r="Y33" i="2"/>
  <c r="Y65" i="2"/>
  <c r="AG65" i="2"/>
  <c r="R46" i="2"/>
  <c r="Y57" i="2"/>
  <c r="T6" i="2"/>
  <c r="T38" i="2" s="1"/>
  <c r="AB6" i="2"/>
  <c r="F7" i="2"/>
  <c r="N7" i="2"/>
  <c r="V7" i="2"/>
  <c r="AD7" i="2"/>
  <c r="H8" i="2"/>
  <c r="H40" i="2"/>
  <c r="P8" i="2"/>
  <c r="X8" i="2"/>
  <c r="X40" i="2" s="1"/>
  <c r="AF8" i="2"/>
  <c r="J9" i="2"/>
  <c r="J41" i="2"/>
  <c r="R9" i="2"/>
  <c r="Z9" i="2"/>
  <c r="Z41" i="2" s="1"/>
  <c r="AH9" i="2"/>
  <c r="L10" i="2"/>
  <c r="L42" i="2"/>
  <c r="T10" i="2"/>
  <c r="T42" i="2" s="1"/>
  <c r="AB10" i="2"/>
  <c r="AB42" i="2" s="1"/>
  <c r="F11" i="2"/>
  <c r="N11" i="2"/>
  <c r="N43" i="2"/>
  <c r="V11" i="2"/>
  <c r="V43" i="2" s="1"/>
  <c r="AD11" i="2"/>
  <c r="AD43" i="2"/>
  <c r="P12" i="2"/>
  <c r="X12" i="2"/>
  <c r="X44" i="2" s="1"/>
  <c r="AF12" i="2"/>
  <c r="AF44" i="2"/>
  <c r="J13" i="2"/>
  <c r="R13" i="2"/>
  <c r="Z13" i="2"/>
  <c r="AH13" i="2"/>
  <c r="AH45" i="2"/>
  <c r="L14" i="2"/>
  <c r="L46" i="2" s="1"/>
  <c r="T14" i="2"/>
  <c r="AB14" i="2"/>
  <c r="F15" i="2"/>
  <c r="N15" i="2"/>
  <c r="N47" i="2" s="1"/>
  <c r="V15" i="2"/>
  <c r="V47" i="2" s="1"/>
  <c r="AD15" i="2"/>
  <c r="AD47" i="2" s="1"/>
  <c r="H16" i="2"/>
  <c r="P16" i="2"/>
  <c r="P48" i="2" s="1"/>
  <c r="X16" i="2"/>
  <c r="X48" i="2" s="1"/>
  <c r="AF16" i="2"/>
  <c r="AF48" i="2"/>
  <c r="J17" i="2"/>
  <c r="R17" i="2"/>
  <c r="R49" i="2" s="1"/>
  <c r="Z17" i="2"/>
  <c r="Z49" i="2" s="1"/>
  <c r="AH17" i="2"/>
  <c r="AH49" i="2"/>
  <c r="L18" i="2"/>
  <c r="L50" i="2" s="1"/>
  <c r="T18" i="2"/>
  <c r="T50" i="2" s="1"/>
  <c r="AB18" i="2"/>
  <c r="AB50" i="2" s="1"/>
  <c r="F19" i="2"/>
  <c r="N19" i="2"/>
  <c r="V19" i="2"/>
  <c r="V51" i="2"/>
  <c r="AD19" i="2"/>
  <c r="AD51" i="2" s="1"/>
  <c r="H20" i="2"/>
  <c r="H52" i="2" s="1"/>
  <c r="P20" i="2"/>
  <c r="P52" i="2" s="1"/>
  <c r="X20" i="2"/>
  <c r="AF20" i="2"/>
  <c r="AF52" i="2"/>
  <c r="J21" i="2"/>
  <c r="R21" i="2"/>
  <c r="Z21" i="2"/>
  <c r="Z53" i="2"/>
  <c r="AH21" i="2"/>
  <c r="AH53" i="2" s="1"/>
  <c r="L22" i="2"/>
  <c r="L54" i="2" s="1"/>
  <c r="T22" i="2"/>
  <c r="T54" i="2"/>
  <c r="AB22" i="2"/>
  <c r="AB54" i="2"/>
  <c r="F23" i="2"/>
  <c r="F55" i="2" s="1"/>
  <c r="N23" i="2"/>
  <c r="V23" i="2"/>
  <c r="V55" i="2"/>
  <c r="AD23" i="2"/>
  <c r="AD55" i="2"/>
  <c r="H24" i="2"/>
  <c r="H56" i="2" s="1"/>
  <c r="P24" i="2"/>
  <c r="P56" i="2" s="1"/>
  <c r="X24" i="2"/>
  <c r="X56" i="2"/>
  <c r="AF24" i="2"/>
  <c r="AF56" i="2" s="1"/>
  <c r="J25" i="2"/>
  <c r="J57" i="2" s="1"/>
  <c r="R25" i="2"/>
  <c r="Z25" i="2"/>
  <c r="Z57" i="2"/>
  <c r="AH25" i="2"/>
  <c r="AH57" i="2" s="1"/>
  <c r="L26" i="2"/>
  <c r="L58" i="2" s="1"/>
  <c r="T26" i="2"/>
  <c r="T58" i="2"/>
  <c r="AB26" i="2"/>
  <c r="AB58" i="2"/>
  <c r="F27" i="2"/>
  <c r="F59" i="2" s="1"/>
  <c r="N27" i="2"/>
  <c r="N59" i="2" s="1"/>
  <c r="V27" i="2"/>
  <c r="V59" i="2"/>
  <c r="AD27" i="2"/>
  <c r="AD59" i="2"/>
  <c r="H28" i="2"/>
  <c r="H60" i="2" s="1"/>
  <c r="P28" i="2"/>
  <c r="X60" i="2"/>
  <c r="AF28" i="2"/>
  <c r="AF60" i="2"/>
  <c r="J29" i="2"/>
  <c r="J61" i="2"/>
  <c r="R29" i="2"/>
  <c r="R61" i="2"/>
  <c r="Z29" i="2"/>
  <c r="Z61" i="2"/>
  <c r="AH29" i="2"/>
  <c r="L30" i="2"/>
  <c r="L62" i="2"/>
  <c r="T30" i="2"/>
  <c r="T62" i="2"/>
  <c r="AB30" i="2"/>
  <c r="AB62" i="2"/>
  <c r="F31" i="2"/>
  <c r="F63" i="2"/>
  <c r="N31" i="2"/>
  <c r="N63" i="2"/>
  <c r="V31" i="2"/>
  <c r="V63" i="2"/>
  <c r="AD31" i="2"/>
  <c r="AD63" i="2"/>
  <c r="H32" i="2"/>
  <c r="H64" i="2"/>
  <c r="P32" i="2"/>
  <c r="P64" i="2"/>
  <c r="X32" i="2"/>
  <c r="X64" i="2"/>
  <c r="AF32" i="2"/>
  <c r="AF64" i="2"/>
  <c r="J33" i="2"/>
  <c r="J65" i="2"/>
  <c r="R33" i="2"/>
  <c r="R65" i="2"/>
  <c r="Z33" i="2"/>
  <c r="Z65" i="2"/>
  <c r="AH33" i="2"/>
  <c r="AH65" i="2"/>
  <c r="N39" i="2"/>
  <c r="Q10" i="2"/>
  <c r="AA25" i="2"/>
  <c r="J30" i="2"/>
  <c r="J62" i="2" s="1"/>
  <c r="AE10" i="2"/>
  <c r="S28" i="2"/>
  <c r="S60" i="2" s="1"/>
  <c r="U25" i="2"/>
  <c r="Z27" i="2"/>
  <c r="AD29" i="2"/>
  <c r="I7" i="2"/>
  <c r="Q7" i="2"/>
  <c r="Y7" i="2"/>
  <c r="AG7" i="2"/>
  <c r="AB8" i="2"/>
  <c r="AA24" i="2"/>
  <c r="W26" i="2"/>
  <c r="U29" i="2"/>
  <c r="Q31" i="2"/>
  <c r="Q63" i="2" s="1"/>
  <c r="G6" i="2"/>
  <c r="AE6" i="2"/>
  <c r="Y31" i="2"/>
  <c r="K8" i="2"/>
  <c r="AE33" i="2"/>
  <c r="O6" i="2"/>
  <c r="AB27" i="2"/>
  <c r="H29" i="2"/>
  <c r="AB31" i="2"/>
  <c r="AD32" i="2"/>
  <c r="AF33" i="2"/>
  <c r="E9" i="2"/>
  <c r="M5" i="2"/>
  <c r="AC5" i="2"/>
  <c r="I11" i="2"/>
  <c r="AE11" i="2"/>
  <c r="W23" i="2"/>
  <c r="AC25" i="2"/>
  <c r="AA28" i="2"/>
  <c r="G12" i="2"/>
  <c r="G44" i="2" s="1"/>
  <c r="O12" i="2"/>
  <c r="O32" i="2"/>
  <c r="AE32" i="2"/>
  <c r="AG33" i="2"/>
  <c r="AG11" i="2"/>
  <c r="Q13" i="2"/>
  <c r="U21" i="2"/>
  <c r="AC29" i="2"/>
  <c r="I31" i="2"/>
  <c r="H12" i="2"/>
  <c r="H44" i="2" s="1"/>
  <c r="X28" i="2"/>
  <c r="F12" i="2"/>
  <c r="K33" i="2"/>
  <c r="W22" i="2"/>
  <c r="Y23" i="2"/>
  <c r="AE30" i="2"/>
  <c r="M13" i="2"/>
  <c r="M45" i="2" s="1"/>
  <c r="Q12" i="2"/>
  <c r="AG12" i="2"/>
  <c r="AA21" i="2"/>
  <c r="U22" i="2"/>
  <c r="AC22" i="2"/>
  <c r="Y24" i="2"/>
  <c r="U26" i="2"/>
  <c r="Y28" i="2"/>
  <c r="S29" i="2"/>
  <c r="AA29" i="2"/>
  <c r="U30" i="2"/>
  <c r="AC30" i="2"/>
  <c r="G31" i="2"/>
  <c r="O31" i="2"/>
  <c r="W31" i="2"/>
  <c r="AE31" i="2"/>
  <c r="I32" i="2"/>
  <c r="Q32" i="2"/>
  <c r="Q64" i="2" s="1"/>
  <c r="Y32" i="2"/>
  <c r="G10" i="2"/>
  <c r="O10" i="2"/>
  <c r="Q11" i="2"/>
  <c r="W27" i="2"/>
  <c r="G29" i="2"/>
  <c r="G61" i="2" s="1"/>
  <c r="S33" i="2"/>
  <c r="AA20" i="2"/>
  <c r="W30" i="2"/>
  <c r="AB25" i="2"/>
  <c r="F30" i="2"/>
  <c r="F62" i="2" s="1"/>
  <c r="AD30" i="2"/>
  <c r="E5" i="2"/>
  <c r="R8" i="2"/>
  <c r="M9" i="2"/>
  <c r="AC21" i="2"/>
  <c r="Z24" i="2"/>
  <c r="Y27" i="2"/>
  <c r="AA33" i="2"/>
  <c r="J53" i="2" l="1"/>
  <c r="AC43" i="2"/>
  <c r="Y45" i="2"/>
  <c r="G57" i="2"/>
  <c r="X52" i="2"/>
  <c r="I57" i="2"/>
  <c r="E54" i="2"/>
  <c r="X49" i="2"/>
  <c r="K44" i="2"/>
  <c r="G54" i="2"/>
  <c r="J49" i="2"/>
  <c r="I47" i="2"/>
  <c r="M58" i="2"/>
  <c r="W42" i="2"/>
  <c r="AB41" i="2"/>
  <c r="F60" i="2"/>
  <c r="G45" i="2"/>
  <c r="G47" i="2"/>
  <c r="R53" i="2"/>
  <c r="V39" i="2"/>
  <c r="T40" i="2"/>
  <c r="J60" i="2"/>
  <c r="S47" i="2"/>
  <c r="E45" i="2"/>
  <c r="K52" i="2"/>
  <c r="E49" i="2"/>
  <c r="M59" i="2"/>
  <c r="N60" i="2"/>
  <c r="H53" i="2"/>
  <c r="H49" i="2"/>
  <c r="AE57" i="2"/>
  <c r="AG50" i="2"/>
  <c r="R47" i="2"/>
  <c r="O46" i="2"/>
  <c r="E58" i="2"/>
  <c r="J54" i="2"/>
  <c r="R43" i="2"/>
  <c r="Q56" i="2"/>
  <c r="M56" i="2"/>
  <c r="G53" i="2"/>
  <c r="AD50" i="2"/>
  <c r="AG51" i="2"/>
  <c r="Q53" i="2"/>
  <c r="Z45" i="2"/>
  <c r="N51" i="2"/>
  <c r="AB46" i="2"/>
  <c r="E59" i="2"/>
  <c r="Z50" i="2"/>
  <c r="M60" i="2"/>
  <c r="Q54" i="2"/>
  <c r="E44" i="2"/>
  <c r="N49" i="2"/>
  <c r="K57" i="2"/>
  <c r="G51" i="2"/>
  <c r="T39" i="2"/>
  <c r="P60" i="2"/>
  <c r="J45" i="2"/>
  <c r="Q57" i="2"/>
  <c r="L59" i="2"/>
  <c r="J50" i="2"/>
  <c r="AE53" i="2"/>
  <c r="K47" i="2"/>
  <c r="AB48" i="2"/>
  <c r="AG59" i="2"/>
  <c r="R57" i="2"/>
  <c r="O60" i="2"/>
  <c r="AH58" i="2"/>
  <c r="I50" i="2"/>
  <c r="J59" i="2"/>
  <c r="T48" i="2"/>
  <c r="F45" i="2"/>
  <c r="Z40" i="2"/>
  <c r="U39" i="2"/>
  <c r="AG63" i="2"/>
  <c r="AE54" i="2"/>
  <c r="X43" i="2"/>
  <c r="W43" i="2"/>
  <c r="F51" i="2"/>
  <c r="K58" i="2"/>
  <c r="N48" i="2"/>
  <c r="AC52" i="2"/>
  <c r="AA47" i="2"/>
  <c r="W45" i="2"/>
  <c r="F58" i="2"/>
  <c r="AF55" i="2"/>
  <c r="S39" i="2"/>
  <c r="K53" i="2"/>
  <c r="M51" i="2"/>
  <c r="R41" i="2"/>
  <c r="N55" i="2"/>
  <c r="I62" i="2"/>
  <c r="O53" i="2"/>
  <c r="I59" i="2"/>
  <c r="R45" i="2"/>
  <c r="I58" i="2"/>
  <c r="T41" i="2"/>
  <c r="AC46" i="2"/>
  <c r="J58" i="2"/>
  <c r="Z43" i="2"/>
  <c r="F47" i="2"/>
  <c r="V48" i="2"/>
  <c r="AG58" i="2"/>
  <c r="AC40" i="2"/>
  <c r="J55" i="2"/>
  <c r="L57" i="2"/>
  <c r="AF51" i="2"/>
  <c r="I51" i="2"/>
  <c r="E57" i="2"/>
  <c r="E53" i="2"/>
  <c r="W38" i="2"/>
  <c r="H47" i="2"/>
  <c r="P57" i="2"/>
  <c r="P49" i="2"/>
  <c r="E56" i="2"/>
  <c r="AA48" i="2"/>
  <c r="T45" i="2"/>
  <c r="S49" i="2"/>
  <c r="M55" i="2"/>
  <c r="O52" i="2"/>
  <c r="V44" i="2"/>
  <c r="U44" i="2"/>
  <c r="N50" i="2"/>
  <c r="AC42" i="2"/>
  <c r="O59" i="2"/>
  <c r="K45" i="2"/>
  <c r="Q49" i="2"/>
  <c r="AC47" i="2"/>
  <c r="Q45" i="2"/>
  <c r="V40" i="2"/>
  <c r="T46" i="2"/>
  <c r="AF53" i="2"/>
  <c r="Q59" i="2"/>
  <c r="K56" i="2"/>
  <c r="K50" i="2"/>
  <c r="K46" i="2"/>
  <c r="Q55" i="2"/>
  <c r="O47" i="2"/>
  <c r="Q44" i="2"/>
  <c r="H48" i="2"/>
  <c r="AB47" i="2"/>
  <c r="R60" i="2"/>
  <c r="H51" i="2"/>
  <c r="V38" i="2"/>
  <c r="W40" i="2"/>
  <c r="T43" i="2"/>
  <c r="R40" i="2"/>
  <c r="AH61" i="2"/>
  <c r="P61" i="2"/>
  <c r="L55" i="2"/>
  <c r="T47" i="2"/>
  <c r="E60" i="2"/>
  <c r="K59" i="2"/>
  <c r="K55" i="2"/>
  <c r="M52" i="2"/>
  <c r="AE49" i="2"/>
  <c r="H54" i="2"/>
  <c r="AB40" i="2"/>
  <c r="K60" i="2"/>
  <c r="W48" i="2"/>
  <c r="F56" i="2"/>
  <c r="W49" i="2"/>
  <c r="M48" i="2"/>
  <c r="N61" i="2"/>
  <c r="V41" i="2"/>
  <c r="R48" i="2"/>
  <c r="O54" i="2"/>
  <c r="U42" i="2"/>
  <c r="AC48" i="2"/>
  <c r="E48" i="2"/>
  <c r="Z48" i="2"/>
  <c r="N46" i="2"/>
  <c r="S55" i="2"/>
  <c r="P62" i="2"/>
  <c r="H58" i="2"/>
  <c r="X46" i="2"/>
  <c r="G48" i="2"/>
  <c r="M53" i="2"/>
  <c r="S56" i="2"/>
  <c r="J47" i="2"/>
  <c r="V46" i="2"/>
  <c r="V42" i="2"/>
  <c r="S42" i="2"/>
</calcChain>
</file>

<file path=xl/sharedStrings.xml><?xml version="1.0" encoding="utf-8"?>
<sst xmlns="http://schemas.openxmlformats.org/spreadsheetml/2006/main" count="7112" uniqueCount="237">
  <si>
    <t>F</t>
  </si>
  <si>
    <t>V</t>
  </si>
  <si>
    <t>R</t>
  </si>
  <si>
    <t>N</t>
  </si>
  <si>
    <t>Expected</t>
  </si>
  <si>
    <t>CPR</t>
  </si>
  <si>
    <t>CDR</t>
  </si>
  <si>
    <t>Change</t>
  </si>
  <si>
    <t>Red Means Faster</t>
  </si>
  <si>
    <t>Ln Count</t>
  </si>
  <si>
    <t>GWAC</t>
  </si>
  <si>
    <t>WAM</t>
  </si>
  <si>
    <t>WALA</t>
  </si>
  <si>
    <t>MA9243</t>
  </si>
  <si>
    <t>MA9306</t>
  </si>
  <si>
    <t>MA9307</t>
  </si>
  <si>
    <t>MA9363</t>
  </si>
  <si>
    <t>MA9364</t>
  </si>
  <si>
    <t>MA9424</t>
  </si>
  <si>
    <t>MA9425</t>
  </si>
  <si>
    <t>MA9488</t>
  </si>
  <si>
    <t>MA9489</t>
  </si>
  <si>
    <t>MA9490</t>
  </si>
  <si>
    <t>MA9541</t>
  </si>
  <si>
    <t>MA9542</t>
  </si>
  <si>
    <t>MA9543</t>
  </si>
  <si>
    <t>MA9605</t>
  </si>
  <si>
    <t>MA9606</t>
  </si>
  <si>
    <t>MA9607</t>
  </si>
  <si>
    <t>MA9668</t>
  </si>
  <si>
    <t>MA9669</t>
  </si>
  <si>
    <t>MA9670</t>
  </si>
  <si>
    <t>MA9725</t>
  </si>
  <si>
    <t>MA9726</t>
  </si>
  <si>
    <t>MA9727</t>
  </si>
  <si>
    <t>MA9779</t>
  </si>
  <si>
    <t>MA9780</t>
  </si>
  <si>
    <t>MA9781</t>
  </si>
  <si>
    <t>MA9851</t>
  </si>
  <si>
    <t>MA9852</t>
  </si>
  <si>
    <t>MA9853</t>
  </si>
  <si>
    <t>MA9906</t>
  </si>
  <si>
    <t>MA9907</t>
  </si>
  <si>
    <t>MA9908</t>
  </si>
  <si>
    <t>MA9965</t>
  </si>
  <si>
    <t>MA9966</t>
  </si>
  <si>
    <t>MA9967</t>
  </si>
  <si>
    <t>MB0026</t>
  </si>
  <si>
    <t>MB0027</t>
  </si>
  <si>
    <t>MB0028</t>
  </si>
  <si>
    <t>MB0092</t>
  </si>
  <si>
    <t>MB0093</t>
  </si>
  <si>
    <t>MB0094</t>
  </si>
  <si>
    <t>MB0147</t>
  </si>
  <si>
    <t>MB0148</t>
  </si>
  <si>
    <t>MB0149</t>
  </si>
  <si>
    <t>MB0205</t>
  </si>
  <si>
    <t>MB0206</t>
  </si>
  <si>
    <t>MB0207</t>
  </si>
  <si>
    <t>MB0259</t>
  </si>
  <si>
    <t>MB0260</t>
  </si>
  <si>
    <t>MB0261</t>
  </si>
  <si>
    <t>MB0308</t>
  </si>
  <si>
    <t>MB0309</t>
  </si>
  <si>
    <t>MB0310</t>
  </si>
  <si>
    <t>MB0366</t>
  </si>
  <si>
    <t>MB0367</t>
  </si>
  <si>
    <t>MB0368</t>
  </si>
  <si>
    <t>MB0424</t>
  </si>
  <si>
    <t>MB0425</t>
  </si>
  <si>
    <t>MB0426</t>
  </si>
  <si>
    <t>MB0485</t>
  </si>
  <si>
    <t>MB0486</t>
  </si>
  <si>
    <t>MB0487</t>
  </si>
  <si>
    <t>MB0556</t>
  </si>
  <si>
    <t>MB0557</t>
  </si>
  <si>
    <t>MB0558</t>
  </si>
  <si>
    <t>%</t>
  </si>
  <si>
    <t>No Streamline</t>
  </si>
  <si>
    <t>Past CPRs</t>
  </si>
  <si>
    <t>CUSIP</t>
  </si>
  <si>
    <t>Name</t>
  </si>
  <si>
    <t>VA</t>
  </si>
  <si>
    <t>FHA</t>
  </si>
  <si>
    <t>Total</t>
  </si>
  <si>
    <t>Jul</t>
  </si>
  <si>
    <t>Jun</t>
  </si>
  <si>
    <t>3618N5TQ2</t>
  </si>
  <si>
    <t>3618N5RH4</t>
  </si>
  <si>
    <t>3618N5PL7</t>
  </si>
  <si>
    <t>3618N5MS5</t>
  </si>
  <si>
    <t>3618N5KY4</t>
  </si>
  <si>
    <t>3618N5JF7</t>
  </si>
  <si>
    <t>3618N5GR4</t>
  </si>
  <si>
    <t>3618N5EX3</t>
  </si>
  <si>
    <t>3618N5C80</t>
  </si>
  <si>
    <t>3618N5A66</t>
  </si>
  <si>
    <t>36180ACC5</t>
  </si>
  <si>
    <t>36180AAH6</t>
  </si>
  <si>
    <t>36179Y5N0</t>
  </si>
  <si>
    <t>36179Y2N3</t>
  </si>
  <si>
    <t>36179YYY4</t>
  </si>
  <si>
    <t>36179YW75</t>
  </si>
  <si>
    <t>36179YU85</t>
  </si>
  <si>
    <t>36179YS88</t>
  </si>
  <si>
    <t>36179YRK2</t>
  </si>
  <si>
    <t>36179YPJ7</t>
  </si>
  <si>
    <t>36179YMM3</t>
  </si>
  <si>
    <t>36179YKU7</t>
  </si>
  <si>
    <t>36179YHU1</t>
  </si>
  <si>
    <t>3618N5TP4</t>
  </si>
  <si>
    <t>3618N5RG6</t>
  </si>
  <si>
    <t>3618N5PK9</t>
  </si>
  <si>
    <t>3618N5MR7</t>
  </si>
  <si>
    <t>3618N5KX6</t>
  </si>
  <si>
    <t>3618N5JE0</t>
  </si>
  <si>
    <t>3618N5GQ6</t>
  </si>
  <si>
    <t>3618N5EW5</t>
  </si>
  <si>
    <t>3618N5C72</t>
  </si>
  <si>
    <t>3618N5A58</t>
  </si>
  <si>
    <t>36180ACB7</t>
  </si>
  <si>
    <t>36180AAG8</t>
  </si>
  <si>
    <t>36179Y5M2</t>
  </si>
  <si>
    <t>36179Y2M5</t>
  </si>
  <si>
    <t>36179YYX6</t>
  </si>
  <si>
    <t>36179YW67</t>
  </si>
  <si>
    <t>36179YU77</t>
  </si>
  <si>
    <t>36179YS70</t>
  </si>
  <si>
    <t>36179YRJ5</t>
  </si>
  <si>
    <t>36179YPH1</t>
  </si>
  <si>
    <t>36179YML5</t>
  </si>
  <si>
    <t>36179YKT0</t>
  </si>
  <si>
    <t>3618N5VR7</t>
  </si>
  <si>
    <t>MB0623</t>
  </si>
  <si>
    <t>3618N5TN9</t>
  </si>
  <si>
    <t>3618N5RF8</t>
  </si>
  <si>
    <t>3618N5PJ2</t>
  </si>
  <si>
    <t>3618N5MQ9</t>
  </si>
  <si>
    <t>3618N5KW8</t>
  </si>
  <si>
    <t>3618N5JD2</t>
  </si>
  <si>
    <t>3618N5GP8</t>
  </si>
  <si>
    <t>3618N5EV7</t>
  </si>
  <si>
    <t>3618N5C64</t>
  </si>
  <si>
    <t>3618N5A41</t>
  </si>
  <si>
    <t>36180ACA9</t>
  </si>
  <si>
    <t>36180AAF0</t>
  </si>
  <si>
    <t>36179Y5L4</t>
  </si>
  <si>
    <t>36179Y2L7</t>
  </si>
  <si>
    <t>36179YYW8</t>
  </si>
  <si>
    <t>36179YW59</t>
  </si>
  <si>
    <t>36179YU69</t>
  </si>
  <si>
    <t>36179YS62</t>
  </si>
  <si>
    <t>36179YRH9</t>
  </si>
  <si>
    <t>3618N5VS5</t>
  </si>
  <si>
    <t>MB0624</t>
  </si>
  <si>
    <t>3618N5VT3</t>
  </si>
  <si>
    <t>MB0625</t>
  </si>
  <si>
    <t>program</t>
  </si>
  <si>
    <t>x</t>
  </si>
  <si>
    <t>Aug</t>
  </si>
  <si>
    <t>+25bp</t>
  </si>
  <si>
    <t>Flat</t>
  </si>
  <si>
    <t>-25bp</t>
  </si>
  <si>
    <t>MB0688</t>
  </si>
  <si>
    <t>3618N5XS3</t>
  </si>
  <si>
    <t>MB0687</t>
  </si>
  <si>
    <t>3618N5XR5</t>
  </si>
  <si>
    <t>MB0686</t>
  </si>
  <si>
    <t>Current</t>
  </si>
  <si>
    <t>Face</t>
  </si>
  <si>
    <t>MM</t>
  </si>
  <si>
    <t>Cpn</t>
  </si>
  <si>
    <t>Float</t>
  </si>
  <si>
    <t>Issue</t>
  </si>
  <si>
    <t>Month</t>
  </si>
  <si>
    <t>Oct</t>
  </si>
  <si>
    <t>Actual</t>
  </si>
  <si>
    <t>Nov</t>
  </si>
  <si>
    <t xml:space="preserve">Includes: </t>
  </si>
  <si>
    <t>Loan Count per bucket</t>
  </si>
  <si>
    <t>Expected Dec</t>
  </si>
  <si>
    <t>Report</t>
  </si>
  <si>
    <t>min Cnt</t>
  </si>
  <si>
    <t>Grids: New - Toggle between CPR and CDR</t>
  </si>
  <si>
    <t>MB0746</t>
  </si>
  <si>
    <t>MB0747</t>
  </si>
  <si>
    <t>MB0748</t>
  </si>
  <si>
    <t>3618N5ZL6</t>
  </si>
  <si>
    <t>3618N53Z0</t>
  </si>
  <si>
    <t>3618N56H7</t>
  </si>
  <si>
    <t>MB0871</t>
  </si>
  <si>
    <t>3618N53X5</t>
  </si>
  <si>
    <t>MB0813</t>
  </si>
  <si>
    <t>3618N5ZK8</t>
  </si>
  <si>
    <t>MB0745</t>
  </si>
  <si>
    <t>3618N5XP9</t>
  </si>
  <si>
    <t>MB0685</t>
  </si>
  <si>
    <t>3618N5VQ9</t>
  </si>
  <si>
    <t>MB0622</t>
  </si>
  <si>
    <t>3618N5TM1</t>
  </si>
  <si>
    <t>MB0555</t>
  </si>
  <si>
    <t>3618N5RE1</t>
  </si>
  <si>
    <t>MB0484</t>
  </si>
  <si>
    <t>3618N5PH6</t>
  </si>
  <si>
    <t>MB0423</t>
  </si>
  <si>
    <t>3618N5MP1</t>
  </si>
  <si>
    <t>MB0365</t>
  </si>
  <si>
    <t>3618N5KV0</t>
  </si>
  <si>
    <t>MB0307</t>
  </si>
  <si>
    <t>3618N5JC4</t>
  </si>
  <si>
    <t>MB0258</t>
  </si>
  <si>
    <t>3618N5GN3</t>
  </si>
  <si>
    <t>MB0204</t>
  </si>
  <si>
    <t>3618N53Y3</t>
  </si>
  <si>
    <t>MB0814</t>
  </si>
  <si>
    <t>MB0815</t>
  </si>
  <si>
    <t>3618N54A4</t>
  </si>
  <si>
    <t>MB0816</t>
  </si>
  <si>
    <t>Mar Exp</t>
  </si>
  <si>
    <t>Dec</t>
  </si>
  <si>
    <t>3618N56J3</t>
  </si>
  <si>
    <t>MB0872</t>
  </si>
  <si>
    <t>3618N56K0</t>
  </si>
  <si>
    <t>MB0873</t>
  </si>
  <si>
    <t>3618N56L8</t>
  </si>
  <si>
    <t>MB0874</t>
  </si>
  <si>
    <t>Jan</t>
  </si>
  <si>
    <t>Resid Feb</t>
  </si>
  <si>
    <t>Feb Act</t>
  </si>
  <si>
    <t>Apr Exp</t>
  </si>
  <si>
    <t>ha</t>
  </si>
  <si>
    <t>Actual Fen</t>
  </si>
  <si>
    <t>Expected Mar</t>
  </si>
  <si>
    <t>f</t>
  </si>
  <si>
    <t>Acutal Feb prepayment</t>
  </si>
  <si>
    <t>Actual Change Jan to Feb Prepayment</t>
  </si>
  <si>
    <t>Residual of Expected - Actual Feb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</si>
</sst>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.0%"/>
    <numFmt numFmtId="165" formatCode="#,##0.0;[Red]#,##0;&quot;--&quot;"/>
    <numFmt numFmtId="166" formatCode="#,##0.0;[Red]#,##0.0;&quot;--&quot;"/>
    <numFmt numFmtId="167" formatCode="0.0"/>
    <numFmt numFmtId="168" formatCode="0;[Red]0"/>
    <numFmt numFmtId="169" formatCode="#,##0.0"/>
  </numFmts>
  <fonts count="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b/>
      <sz val="14"/>
      <color theme="1"/>
      <name val="Arial"/>
      <family val="2"/>
    </font>
    <font>
      <b/>
      <sz val="14"/>
      <color rgb="FF000000"/>
      <name val="Arial"/>
      <family val="2"/>
    </font>
    <font>
      <sz val="12"/>
      <color rgb="FF000000"/>
      <name val="Arial"/>
      <family val="2"/>
    </font>
    <font>
      <sz val="12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7" tint="0.79998168889431442"/>
        <bgColor indexed="64"/>
      </patternFill>
    </fill>
  </fills>
  <borders count="16">
    <border>
      <left/>
      <right/>
      <top/>
      <bottom/>
      <diagonal/>
    </border>
    <border>
      <left style="medium">
        <color rgb="FFE0E0E0"/>
      </left>
      <right/>
      <top/>
      <bottom/>
      <diagonal/>
    </border>
    <border>
      <left/>
      <right style="medium">
        <color rgb="FFE0E0E0"/>
      </right>
      <top/>
      <bottom/>
      <diagonal/>
    </border>
    <border>
      <left/>
      <right/>
      <top/>
      <bottom style="medium">
        <color rgb="FFE0E0E0"/>
      </bottom>
      <diagonal/>
    </border>
    <border>
      <left style="medium">
        <color rgb="FFE0E0E0"/>
      </left>
      <right/>
      <top/>
      <bottom style="medium">
        <color rgb="FFE0E0E0"/>
      </bottom>
      <diagonal/>
    </border>
    <border>
      <left/>
      <right style="medium">
        <color rgb="FFE0E0E0"/>
      </right>
      <top/>
      <bottom style="medium">
        <color rgb="FFE0E0E0"/>
      </bottom>
      <diagonal/>
    </border>
    <border>
      <left/>
      <right/>
      <top style="medium">
        <color rgb="FFE0E0E0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medium">
        <color rgb="FFE0E0E0"/>
      </top>
      <bottom/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 style="medium">
        <color rgb="FFE0E0E0"/>
      </top>
      <bottom/>
      <diagonal/>
    </border>
    <border>
      <left style="medium">
        <color auto="1"/>
      </left>
      <right style="medium">
        <color auto="1"/>
      </right>
      <top/>
      <bottom/>
      <diagonal/>
    </border>
  </borders>
  <cellStyleXfs count="1">
    <xf numFmtId="0" fontId="0" fillId="0" borderId="0"/>
  </cellStyleXfs>
  <cellXfs count="59">
    <xf numFmtId="0" fontId="0" fillId="0" borderId="0" xfId="0"/>
    <xf numFmtId="164" fontId="0" fillId="0" borderId="0" xfId="0" applyNumberFormat="1"/>
    <xf numFmtId="3" fontId="0" fillId="0" borderId="0" xfId="0" applyNumberFormat="1"/>
    <xf numFmtId="0" fontId="1" fillId="0" borderId="0" xfId="0" applyFont="1"/>
    <xf numFmtId="165" fontId="0" fillId="0" borderId="0" xfId="0" applyNumberFormat="1"/>
    <xf numFmtId="166" fontId="0" fillId="0" borderId="0" xfId="0" applyNumberFormat="1"/>
    <xf numFmtId="0" fontId="2" fillId="0" borderId="0" xfId="0" applyFont="1"/>
    <xf numFmtId="0" fontId="3" fillId="2" borderId="0" xfId="0" applyFont="1" applyFill="1"/>
    <xf numFmtId="0" fontId="4" fillId="2" borderId="3" xfId="0" applyFont="1" applyFill="1" applyBorder="1" applyAlignment="1">
      <alignment horizontal="left" vertical="center" wrapText="1" indent="1"/>
    </xf>
    <xf numFmtId="0" fontId="4" fillId="2" borderId="3" xfId="0" applyFont="1" applyFill="1" applyBorder="1" applyAlignment="1">
      <alignment horizontal="right" vertical="center" wrapText="1" indent="1"/>
    </xf>
    <xf numFmtId="0" fontId="4" fillId="2" borderId="4" xfId="0" applyFont="1" applyFill="1" applyBorder="1" applyAlignment="1">
      <alignment horizontal="right" vertical="center" wrapText="1" indent="1"/>
    </xf>
    <xf numFmtId="0" fontId="4" fillId="2" borderId="5" xfId="0" applyFont="1" applyFill="1" applyBorder="1" applyAlignment="1">
      <alignment horizontal="right" vertical="center" wrapText="1" indent="1"/>
    </xf>
    <xf numFmtId="0" fontId="5" fillId="0" borderId="6" xfId="0" applyFont="1" applyBorder="1" applyAlignment="1">
      <alignment horizontal="left" vertical="center" wrapText="1" indent="1"/>
    </xf>
    <xf numFmtId="0" fontId="5" fillId="0" borderId="6" xfId="0" applyFont="1" applyBorder="1" applyAlignment="1">
      <alignment horizontal="right" vertical="center" wrapText="1" indent="1"/>
    </xf>
    <xf numFmtId="3" fontId="5" fillId="0" borderId="6" xfId="0" applyNumberFormat="1" applyFont="1" applyBorder="1" applyAlignment="1">
      <alignment horizontal="right" vertical="center" wrapText="1" indent="1"/>
    </xf>
    <xf numFmtId="2" fontId="5" fillId="0" borderId="6" xfId="0" applyNumberFormat="1" applyFont="1" applyBorder="1" applyAlignment="1">
      <alignment horizontal="right" vertical="center" wrapText="1" indent="1"/>
    </xf>
    <xf numFmtId="167" fontId="5" fillId="0" borderId="6" xfId="0" applyNumberFormat="1" applyFont="1" applyBorder="1" applyAlignment="1">
      <alignment horizontal="right" vertical="center" wrapText="1" indent="1"/>
    </xf>
    <xf numFmtId="0" fontId="5" fillId="0" borderId="0" xfId="0" applyFont="1" applyAlignment="1">
      <alignment horizontal="left" vertical="center" wrapText="1" indent="1"/>
    </xf>
    <xf numFmtId="0" fontId="5" fillId="0" borderId="0" xfId="0" applyFont="1" applyAlignment="1">
      <alignment horizontal="right" vertical="center" wrapText="1" indent="1"/>
    </xf>
    <xf numFmtId="3" fontId="5" fillId="0" borderId="0" xfId="0" applyNumberFormat="1" applyFont="1" applyAlignment="1">
      <alignment horizontal="right" vertical="center" wrapText="1" indent="1"/>
    </xf>
    <xf numFmtId="2" fontId="5" fillId="0" borderId="0" xfId="0" applyNumberFormat="1" applyFont="1" applyAlignment="1">
      <alignment horizontal="right" vertical="center" wrapText="1" indent="1"/>
    </xf>
    <xf numFmtId="167" fontId="5" fillId="0" borderId="0" xfId="0" applyNumberFormat="1" applyFont="1" applyAlignment="1">
      <alignment horizontal="right" vertical="center" wrapText="1" indent="1"/>
    </xf>
    <xf numFmtId="0" fontId="0" fillId="3" borderId="10" xfId="0" applyFill="1" applyBorder="1"/>
    <xf numFmtId="0" fontId="0" fillId="3" borderId="11" xfId="0" applyFill="1" applyBorder="1"/>
    <xf numFmtId="0" fontId="1" fillId="3" borderId="12" xfId="0" applyFont="1" applyFill="1" applyBorder="1"/>
    <xf numFmtId="0" fontId="1" fillId="3" borderId="13" xfId="0" applyFont="1" applyFill="1" applyBorder="1"/>
    <xf numFmtId="0" fontId="3" fillId="2" borderId="0" xfId="0" applyFont="1" applyFill="1" applyAlignment="1">
      <alignment horizontal="center"/>
    </xf>
    <xf numFmtId="168" fontId="5" fillId="0" borderId="0" xfId="0" applyNumberFormat="1" applyFont="1" applyAlignment="1">
      <alignment horizontal="right" vertical="center" wrapText="1" indent="1"/>
    </xf>
    <xf numFmtId="1" fontId="5" fillId="0" borderId="7" xfId="0" applyNumberFormat="1" applyFont="1" applyBorder="1" applyAlignment="1">
      <alignment horizontal="right" vertical="center" wrapText="1" indent="1"/>
    </xf>
    <xf numFmtId="168" fontId="5" fillId="0" borderId="7" xfId="0" applyNumberFormat="1" applyFont="1" applyBorder="1" applyAlignment="1">
      <alignment horizontal="right" vertical="center" wrapText="1" indent="1"/>
    </xf>
    <xf numFmtId="168" fontId="5" fillId="0" borderId="9" xfId="0" applyNumberFormat="1" applyFont="1" applyBorder="1" applyAlignment="1">
      <alignment horizontal="right" vertical="center" wrapText="1" indent="1"/>
    </xf>
    <xf numFmtId="1" fontId="5" fillId="0" borderId="14" xfId="0" applyNumberFormat="1" applyFont="1" applyBorder="1" applyAlignment="1">
      <alignment horizontal="right" vertical="center" wrapText="1" indent="1"/>
    </xf>
    <xf numFmtId="0" fontId="0" fillId="0" borderId="0" xfId="0" quotePrefix="1"/>
    <xf numFmtId="1" fontId="0" fillId="0" borderId="0" xfId="0" applyNumberFormat="1"/>
    <xf numFmtId="0" fontId="0" fillId="0" borderId="15" xfId="0" applyBorder="1"/>
    <xf numFmtId="168" fontId="5" fillId="0" borderId="14" xfId="0" applyNumberFormat="1" applyFont="1" applyBorder="1" applyAlignment="1">
      <alignment horizontal="right" vertical="center" wrapText="1" indent="1"/>
    </xf>
    <xf numFmtId="168" fontId="5" fillId="0" borderId="6" xfId="0" applyNumberFormat="1" applyFont="1" applyBorder="1" applyAlignment="1">
      <alignment horizontal="right" vertical="center" wrapText="1" indent="1"/>
    </xf>
    <xf numFmtId="168" fontId="5" fillId="0" borderId="8" xfId="0" applyNumberFormat="1" applyFont="1" applyBorder="1" applyAlignment="1">
      <alignment horizontal="right" vertical="center" wrapText="1" indent="1"/>
    </xf>
    <xf numFmtId="4" fontId="5" fillId="0" borderId="6" xfId="0" applyNumberFormat="1" applyFont="1" applyBorder="1" applyAlignment="1">
      <alignment horizontal="right" vertical="center" wrapText="1" indent="1"/>
    </xf>
    <xf numFmtId="1" fontId="5" fillId="0" borderId="0" xfId="0" applyNumberFormat="1" applyFont="1" applyAlignment="1">
      <alignment horizontal="right" vertical="center" wrapText="1" indent="1"/>
    </xf>
    <xf numFmtId="1" fontId="5" fillId="0" borderId="9" xfId="0" applyNumberFormat="1" applyFont="1" applyBorder="1" applyAlignment="1">
      <alignment horizontal="right" vertical="center" wrapText="1" indent="1"/>
    </xf>
    <xf numFmtId="0" fontId="4" fillId="2" borderId="4" xfId="0" quotePrefix="1" applyFont="1" applyFill="1" applyBorder="1" applyAlignment="1">
      <alignment horizontal="right" vertical="center" wrapText="1" indent="1"/>
    </xf>
    <xf numFmtId="0" fontId="4" fillId="2" borderId="5" xfId="0" quotePrefix="1" applyFont="1" applyFill="1" applyBorder="1" applyAlignment="1">
      <alignment horizontal="right" vertical="center" wrapText="1" indent="1"/>
    </xf>
    <xf numFmtId="1" fontId="5" fillId="0" borderId="6" xfId="0" applyNumberFormat="1" applyFont="1" applyBorder="1" applyAlignment="1">
      <alignment horizontal="right" vertical="center" wrapText="1" indent="1"/>
    </xf>
    <xf numFmtId="0" fontId="4" fillId="2" borderId="0" xfId="0" applyFont="1" applyFill="1" applyAlignment="1">
      <alignment horizontal="right" vertical="center" wrapText="1" indent="1"/>
    </xf>
    <xf numFmtId="4" fontId="5" fillId="0" borderId="0" xfId="0" applyNumberFormat="1" applyFont="1" applyAlignment="1">
      <alignment horizontal="right" vertical="center" wrapText="1" indent="1"/>
    </xf>
    <xf numFmtId="1" fontId="6" fillId="0" borderId="0" xfId="0" applyNumberFormat="1" applyFont="1"/>
    <xf numFmtId="0" fontId="0" fillId="0" borderId="7" xfId="0" applyBorder="1"/>
    <xf numFmtId="1" fontId="6" fillId="0" borderId="7" xfId="0" applyNumberFormat="1" applyFont="1" applyBorder="1"/>
    <xf numFmtId="1" fontId="5" fillId="0" borderId="0" xfId="0" applyNumberFormat="1" applyFont="1" applyAlignment="1">
      <alignment vertical="center" wrapText="1"/>
    </xf>
    <xf numFmtId="1" fontId="5" fillId="0" borderId="8" xfId="0" applyNumberFormat="1" applyFont="1" applyBorder="1" applyAlignment="1">
      <alignment horizontal="right" vertical="center" wrapText="1" indent="1"/>
    </xf>
    <xf numFmtId="169" fontId="5" fillId="0" borderId="6" xfId="0" applyNumberFormat="1" applyFont="1" applyBorder="1" applyAlignment="1">
      <alignment horizontal="right" vertical="center" wrapText="1" indent="1"/>
    </xf>
    <xf numFmtId="0" fontId="3" fillId="2" borderId="1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2" xfId="0" applyBorder="1" applyAlignment="1">
      <alignment horizontal="center"/>
    </xf>
    <xf numFmtId="2" fontId="3" fillId="2" borderId="1" xfId="0" applyNumberFormat="1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2" borderId="2" xfId="0" applyFont="1" applyFill="1" applyBorder="1" applyAlignment="1">
      <alignment horizontal="center"/>
    </xf>
    <xf numFmtId="2" fontId="3" fillId="2" borderId="0" xfId="0" applyNumberFormat="1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2B288C-06AE-46D2-A72B-1907B88BE118}">
  <dimension ref="A4:C9"/>
  <sheetViews>
    <sheetView workbookViewId="0">
      <selection activeCell="G9" sqref="G9"/>
    </sheetView>
  </sheetViews>
  <sheetFormatPr defaultRowHeight="14.5" x14ac:dyDescent="0.35"/>
  <sheetData>
    <row r="4" spans="1:3" x14ac:dyDescent="0.35">
      <c r="A4">
        <v>1</v>
      </c>
      <c r="B4" s="3" t="s">
        <v>183</v>
      </c>
    </row>
    <row r="5" spans="1:3" x14ac:dyDescent="0.35">
      <c r="B5" t="s">
        <v>178</v>
      </c>
    </row>
    <row r="6" spans="1:3" x14ac:dyDescent="0.35">
      <c r="B6" s="32"/>
      <c r="C6" t="s">
        <v>234</v>
      </c>
    </row>
    <row r="7" spans="1:3" x14ac:dyDescent="0.35">
      <c r="C7" t="s">
        <v>235</v>
      </c>
    </row>
    <row r="8" spans="1:3" x14ac:dyDescent="0.35">
      <c r="C8" t="s">
        <v>236</v>
      </c>
    </row>
    <row r="9" spans="1:3" x14ac:dyDescent="0.35">
      <c r="C9" t="s">
        <v>179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684B06-C479-493A-B178-0EA4F792E742}">
  <dimension ref="C1:AH96"/>
  <sheetViews>
    <sheetView tabSelected="1" workbookViewId="0">
      <selection activeCell="E28" sqref="E28"/>
    </sheetView>
  </sheetViews>
  <sheetFormatPr defaultRowHeight="14.5" x14ac:dyDescent="0.35"/>
  <cols>
    <col min="5" max="20" width="9.26953125" bestFit="1" customWidth="1"/>
    <col min="21" max="22" width="10.1796875" bestFit="1" customWidth="1"/>
    <col min="23" max="34" width="9.26953125" bestFit="1" customWidth="1"/>
  </cols>
  <sheetData>
    <row r="1" spans="4:34" x14ac:dyDescent="0.35">
      <c r="D1" s="22" t="s">
        <v>157</v>
      </c>
      <c r="E1" s="23" t="s">
        <v>182</v>
      </c>
      <c r="F1" s="34"/>
      <c r="G1" s="23" t="s">
        <v>181</v>
      </c>
    </row>
    <row r="2" spans="4:34" ht="15" thickBot="1" x14ac:dyDescent="0.4">
      <c r="D2" s="24" t="s">
        <v>233</v>
      </c>
      <c r="E2" s="25">
        <v>100</v>
      </c>
      <c r="F2" s="34"/>
      <c r="G2" s="25" t="s">
        <v>5</v>
      </c>
    </row>
    <row r="4" spans="4:34" x14ac:dyDescent="0.35">
      <c r="D4" s="3" t="s">
        <v>4</v>
      </c>
      <c r="E4">
        <v>5</v>
      </c>
      <c r="F4">
        <v>6</v>
      </c>
      <c r="G4">
        <v>7</v>
      </c>
      <c r="H4">
        <v>8</v>
      </c>
      <c r="I4">
        <v>9</v>
      </c>
      <c r="J4">
        <v>10</v>
      </c>
      <c r="K4">
        <v>12</v>
      </c>
      <c r="L4">
        <v>14</v>
      </c>
      <c r="M4">
        <v>16</v>
      </c>
      <c r="N4">
        <v>18</v>
      </c>
      <c r="O4">
        <v>20</v>
      </c>
      <c r="P4">
        <v>24</v>
      </c>
      <c r="Q4">
        <v>30</v>
      </c>
      <c r="R4">
        <v>36</v>
      </c>
      <c r="S4">
        <v>42</v>
      </c>
      <c r="T4">
        <v>48</v>
      </c>
      <c r="U4">
        <v>54</v>
      </c>
      <c r="V4">
        <v>60</v>
      </c>
      <c r="W4">
        <v>72</v>
      </c>
      <c r="X4">
        <v>84</v>
      </c>
      <c r="Y4">
        <v>96</v>
      </c>
      <c r="Z4">
        <v>108</v>
      </c>
      <c r="AA4">
        <v>120</v>
      </c>
      <c r="AB4">
        <v>144</v>
      </c>
      <c r="AC4">
        <v>168</v>
      </c>
      <c r="AD4">
        <v>192</v>
      </c>
      <c r="AE4">
        <v>216</v>
      </c>
      <c r="AF4">
        <v>240</v>
      </c>
      <c r="AG4">
        <v>320</v>
      </c>
      <c r="AH4">
        <v>360</v>
      </c>
    </row>
    <row r="5" spans="4:34" x14ac:dyDescent="0.35">
      <c r="D5">
        <v>2000</v>
      </c>
      <c r="E5" s="4">
        <f>IF(  E68&gt;$E$2, SUMIFS(IF($G$2="CPR",'Grid Data'!$J$4:$J$2342,'Grid Data'!$K$4:$K$2342),'Grid Data'!$B$4:$B$2342,$D5,'Grid Data'!$C$4:$C$2342,E$4,'Grid Data'!$A$4:$A$2342,$D$2)*100, 0)</f>
        <v>0</v>
      </c>
      <c r="F5" s="4">
        <f>IF(  F68&gt;$E$2, SUMIFS(IF($G$2="CPR",'Grid Data'!$J$4:$J$2342,'Grid Data'!$K$4:$K$2342),'Grid Data'!$B$4:$B$2342,$D5,'Grid Data'!$C$4:$C$2342,F$4,'Grid Data'!$A$4:$A$2342,$D$2)*100, 0)</f>
        <v>0</v>
      </c>
      <c r="G5" s="4">
        <f>IF(  G68&gt;$E$2, SUMIFS(IF($G$2="CPR",'Grid Data'!$J$4:$J$2342,'Grid Data'!$K$4:$K$2342),'Grid Data'!$B$4:$B$2342,$D5,'Grid Data'!$C$4:$C$2342,G$4,'Grid Data'!$A$4:$A$2342,$D$2)*100, 0)</f>
        <v>0</v>
      </c>
      <c r="H5" s="4">
        <f>IF(  H68&gt;$E$2, SUMIFS(IF($G$2="CPR",'Grid Data'!$J$4:$J$2342,'Grid Data'!$K$4:$K$2342),'Grid Data'!$B$4:$B$2342,$D5,'Grid Data'!$C$4:$C$2342,H$4,'Grid Data'!$A$4:$A$2342,$D$2)*100, 0)</f>
        <v>0</v>
      </c>
      <c r="I5" s="4">
        <f>IF(  I68&gt;$E$2, SUMIFS(IF($G$2="CPR",'Grid Data'!$J$4:$J$2342,'Grid Data'!$K$4:$K$2342),'Grid Data'!$B$4:$B$2342,$D5,'Grid Data'!$C$4:$C$2342,I$4,'Grid Data'!$A$4:$A$2342,$D$2)*100, 0)</f>
        <v>0</v>
      </c>
      <c r="J5" s="4">
        <f>IF(  J68&gt;$E$2, SUMIFS(IF($G$2="CPR",'Grid Data'!$J$4:$J$2342,'Grid Data'!$K$4:$K$2342),'Grid Data'!$B$4:$B$2342,$D5,'Grid Data'!$C$4:$C$2342,J$4,'Grid Data'!$A$4:$A$2342,$D$2)*100, 0)</f>
        <v>0</v>
      </c>
      <c r="K5" s="4">
        <f>IF(  K68&gt;$E$2, SUMIFS(IF($G$2="CPR",'Grid Data'!$J$4:$J$2342,'Grid Data'!$K$4:$K$2342),'Grid Data'!$B$4:$B$2342,$D5,'Grid Data'!$C$4:$C$2342,K$4,'Grid Data'!$A$4:$A$2342,$D$2)*100, 0)</f>
        <v>0</v>
      </c>
      <c r="L5" s="4">
        <f>IF(  L68&gt;$E$2, SUMIFS(IF($G$2="CPR",'Grid Data'!$J$4:$J$2342,'Grid Data'!$K$4:$K$2342),'Grid Data'!$B$4:$B$2342,$D5,'Grid Data'!$C$4:$C$2342,L$4,'Grid Data'!$A$4:$A$2342,$D$2)*100, 0)</f>
        <v>0</v>
      </c>
      <c r="M5" s="4">
        <f>IF(  M68&gt;$E$2, SUMIFS(IF($G$2="CPR",'Grid Data'!$J$4:$J$2342,'Grid Data'!$K$4:$K$2342),'Grid Data'!$B$4:$B$2342,$D5,'Grid Data'!$C$4:$C$2342,M$4,'Grid Data'!$A$4:$A$2342,$D$2)*100, 0)</f>
        <v>0</v>
      </c>
      <c r="N5" s="4">
        <f>IF(  N68&gt;$E$2, SUMIFS(IF($G$2="CPR",'Grid Data'!$J$4:$J$2342,'Grid Data'!$K$4:$K$2342),'Grid Data'!$B$4:$B$2342,$D5,'Grid Data'!$C$4:$C$2342,N$4,'Grid Data'!$A$4:$A$2342,$D$2)*100, 0)</f>
        <v>0</v>
      </c>
      <c r="O5" s="4">
        <f>IF(  O68&gt;$E$2, SUMIFS(IF($G$2="CPR",'Grid Data'!$J$4:$J$2342,'Grid Data'!$K$4:$K$2342),'Grid Data'!$B$4:$B$2342,$D5,'Grid Data'!$C$4:$C$2342,O$4,'Grid Data'!$A$4:$A$2342,$D$2)*100, 0)</f>
        <v>0</v>
      </c>
      <c r="P5" s="4">
        <f>IF(  P68&gt;$E$2, SUMIFS(IF($G$2="CPR",'Grid Data'!$J$4:$J$2342,'Grid Data'!$K$4:$K$2342),'Grid Data'!$B$4:$B$2342,$D5,'Grid Data'!$C$4:$C$2342,P$4,'Grid Data'!$A$4:$A$2342,$D$2)*100, 0)</f>
        <v>0</v>
      </c>
      <c r="Q5" s="4">
        <f>IF(  Q68&gt;$E$2, SUMIFS(IF($G$2="CPR",'Grid Data'!$J$4:$J$2342,'Grid Data'!$K$4:$K$2342),'Grid Data'!$B$4:$B$2342,$D5,'Grid Data'!$C$4:$C$2342,Q$4,'Grid Data'!$A$4:$A$2342,$D$2)*100, 0)</f>
        <v>0</v>
      </c>
      <c r="R5" s="4">
        <f>IF(  R68&gt;$E$2, SUMIFS(IF($G$2="CPR",'Grid Data'!$J$4:$J$2342,'Grid Data'!$K$4:$K$2342),'Grid Data'!$B$4:$B$2342,$D5,'Grid Data'!$C$4:$C$2342,R$4,'Grid Data'!$A$4:$A$2342,$D$2)*100, 0)</f>
        <v>0</v>
      </c>
      <c r="S5" s="4">
        <f>IF(  S68&gt;$E$2, SUMIFS(IF($G$2="CPR",'Grid Data'!$J$4:$J$2342,'Grid Data'!$K$4:$K$2342),'Grid Data'!$B$4:$B$2342,$D5,'Grid Data'!$C$4:$C$2342,S$4,'Grid Data'!$A$4:$A$2342,$D$2)*100, 0)</f>
        <v>0</v>
      </c>
      <c r="T5" s="4">
        <f>IF(  T68&gt;$E$2, SUMIFS(IF($G$2="CPR",'Grid Data'!$J$4:$J$2342,'Grid Data'!$K$4:$K$2342),'Grid Data'!$B$4:$B$2342,$D5,'Grid Data'!$C$4:$C$2342,T$4,'Grid Data'!$A$4:$A$2342,$D$2)*100, 0)</f>
        <v>0</v>
      </c>
      <c r="U5" s="4">
        <f>IF(  U68&gt;$E$2, SUMIFS(IF($G$2="CPR",'Grid Data'!$J$4:$J$2342,'Grid Data'!$K$4:$K$2342),'Grid Data'!$B$4:$B$2342,$D5,'Grid Data'!$C$4:$C$2342,U$4,'Grid Data'!$A$4:$A$2342,$D$2)*100, 0)</f>
        <v>4.9630999999999998</v>
      </c>
      <c r="V5" s="4">
        <f>IF(  V68&gt;$E$2, SUMIFS(IF($G$2="CPR",'Grid Data'!$J$4:$J$2342,'Grid Data'!$K$4:$K$2342),'Grid Data'!$B$4:$B$2342,$D5,'Grid Data'!$C$4:$C$2342,V$4,'Grid Data'!$A$4:$A$2342,$D$2)*100, 0)</f>
        <v>4.4840999999999998</v>
      </c>
      <c r="W5" s="4">
        <f>IF(  W68&gt;$E$2, SUMIFS(IF($G$2="CPR",'Grid Data'!$J$4:$J$2342,'Grid Data'!$K$4:$K$2342),'Grid Data'!$B$4:$B$2342,$D5,'Grid Data'!$C$4:$C$2342,W$4,'Grid Data'!$A$4:$A$2342,$D$2)*100, 0)</f>
        <v>0</v>
      </c>
      <c r="X5" s="4">
        <f>IF(  X68&gt;$E$2, SUMIFS(IF($G$2="CPR",'Grid Data'!$J$4:$J$2342,'Grid Data'!$K$4:$K$2342),'Grid Data'!$B$4:$B$2342,$D5,'Grid Data'!$C$4:$C$2342,X$4,'Grid Data'!$A$4:$A$2342,$D$2)*100, 0)</f>
        <v>0</v>
      </c>
      <c r="Y5" s="4">
        <f>IF(  Y68&gt;$E$2, SUMIFS(IF($G$2="CPR",'Grid Data'!$J$4:$J$2342,'Grid Data'!$K$4:$K$2342),'Grid Data'!$B$4:$B$2342,$D5,'Grid Data'!$C$4:$C$2342,Y$4,'Grid Data'!$A$4:$A$2342,$D$2)*100, 0)</f>
        <v>0</v>
      </c>
      <c r="Z5" s="4">
        <f>IF(  Z68&gt;$E$2, SUMIFS(IF($G$2="CPR",'Grid Data'!$J$4:$J$2342,'Grid Data'!$K$4:$K$2342),'Grid Data'!$B$4:$B$2342,$D5,'Grid Data'!$C$4:$C$2342,Z$4,'Grid Data'!$A$4:$A$2342,$D$2)*100, 0)</f>
        <v>0</v>
      </c>
      <c r="AA5" s="4">
        <f>IF(  AA68&gt;$E$2, SUMIFS(IF($G$2="CPR",'Grid Data'!$J$4:$J$2342,'Grid Data'!$K$4:$K$2342),'Grid Data'!$B$4:$B$2342,$D5,'Grid Data'!$C$4:$C$2342,AA$4,'Grid Data'!$A$4:$A$2342,$D$2)*100, 0)</f>
        <v>0</v>
      </c>
      <c r="AB5" s="4">
        <f>IF(  AB68&gt;$E$2, SUMIFS(IF($G$2="CPR",'Grid Data'!$J$4:$J$2342,'Grid Data'!$K$4:$K$2342),'Grid Data'!$B$4:$B$2342,$D5,'Grid Data'!$C$4:$C$2342,AB$4,'Grid Data'!$A$4:$A$2342,$D$2)*100, 0)</f>
        <v>0</v>
      </c>
      <c r="AC5" s="4">
        <f>IF(  AC68&gt;$E$2, SUMIFS(IF($G$2="CPR",'Grid Data'!$J$4:$J$2342,'Grid Data'!$K$4:$K$2342),'Grid Data'!$B$4:$B$2342,$D5,'Grid Data'!$C$4:$C$2342,AC$4,'Grid Data'!$A$4:$A$2342,$D$2)*100, 0)</f>
        <v>0</v>
      </c>
      <c r="AD5" s="4">
        <f>IF(  AD68&gt;$E$2, SUMIFS(IF($G$2="CPR",'Grid Data'!$J$4:$J$2342,'Grid Data'!$K$4:$K$2342),'Grid Data'!$B$4:$B$2342,$D5,'Grid Data'!$C$4:$C$2342,AD$4,'Grid Data'!$A$4:$A$2342,$D$2)*100, 0)</f>
        <v>0</v>
      </c>
      <c r="AE5" s="4">
        <f>IF(  AE68&gt;$E$2, SUMIFS(IF($G$2="CPR",'Grid Data'!$J$4:$J$2342,'Grid Data'!$K$4:$K$2342),'Grid Data'!$B$4:$B$2342,$D5,'Grid Data'!$C$4:$C$2342,AE$4,'Grid Data'!$A$4:$A$2342,$D$2)*100, 0)</f>
        <v>0</v>
      </c>
      <c r="AF5" s="4">
        <f>IF(  AF68&gt;$E$2, SUMIFS(IF($G$2="CPR",'Grid Data'!$J$4:$J$2342,'Grid Data'!$K$4:$K$2342),'Grid Data'!$B$4:$B$2342,$D5,'Grid Data'!$C$4:$C$2342,AF$4,'Grid Data'!$A$4:$A$2342,$D$2)*100, 0)</f>
        <v>0</v>
      </c>
      <c r="AG5" s="4">
        <f>IF(  AG68&gt;$E$2, SUMIFS(IF($G$2="CPR",'Grid Data'!$J$4:$J$2342,'Grid Data'!$K$4:$K$2342),'Grid Data'!$B$4:$B$2342,$D5,'Grid Data'!$C$4:$C$2342,AG$4,'Grid Data'!$A$4:$A$2342,$D$2)*100, 0)</f>
        <v>0</v>
      </c>
      <c r="AH5" s="4">
        <f>IF(  AH68&gt;$E$2, SUMIFS(IF($G$2="CPR",'Grid Data'!$J$4:$J$2342,'Grid Data'!$K$4:$K$2342),'Grid Data'!$B$4:$B$2342,$D5,'Grid Data'!$C$4:$C$2342,AH$4,'Grid Data'!$A$4:$A$2342,$D$2)*100, 0)</f>
        <v>0</v>
      </c>
    </row>
    <row r="6" spans="4:34" x14ac:dyDescent="0.35">
      <c r="D6">
        <v>2250</v>
      </c>
      <c r="E6" s="4">
        <f>IF(  E69&gt;$E$2, SUMIFS(IF($G$2="CPR",'Grid Data'!$J$4:$J$2342,'Grid Data'!$K$4:$K$2342),'Grid Data'!$B$4:$B$2342,$D6,'Grid Data'!$C$4:$C$2342,E$4,'Grid Data'!$A$4:$A$2342,$D$2)*100, 0)</f>
        <v>0</v>
      </c>
      <c r="F6" s="4">
        <f>IF(  F69&gt;$E$2, SUMIFS(IF($G$2="CPR",'Grid Data'!$J$4:$J$2342,'Grid Data'!$K$4:$K$2342),'Grid Data'!$B$4:$B$2342,$D6,'Grid Data'!$C$4:$C$2342,F$4,'Grid Data'!$A$4:$A$2342,$D$2)*100, 0)</f>
        <v>0</v>
      </c>
      <c r="G6" s="4">
        <f>IF(  G69&gt;$E$2, SUMIFS(IF($G$2="CPR",'Grid Data'!$J$4:$J$2342,'Grid Data'!$K$4:$K$2342),'Grid Data'!$B$4:$B$2342,$D6,'Grid Data'!$C$4:$C$2342,G$4,'Grid Data'!$A$4:$A$2342,$D$2)*100, 0)</f>
        <v>0</v>
      </c>
      <c r="H6" s="4">
        <f>IF(  H69&gt;$E$2, SUMIFS(IF($G$2="CPR",'Grid Data'!$J$4:$J$2342,'Grid Data'!$K$4:$K$2342),'Grid Data'!$B$4:$B$2342,$D6,'Grid Data'!$C$4:$C$2342,H$4,'Grid Data'!$A$4:$A$2342,$D$2)*100, 0)</f>
        <v>0</v>
      </c>
      <c r="I6" s="4">
        <f>IF(  I69&gt;$E$2, SUMIFS(IF($G$2="CPR",'Grid Data'!$J$4:$J$2342,'Grid Data'!$K$4:$K$2342),'Grid Data'!$B$4:$B$2342,$D6,'Grid Data'!$C$4:$C$2342,I$4,'Grid Data'!$A$4:$A$2342,$D$2)*100, 0)</f>
        <v>0</v>
      </c>
      <c r="J6" s="4">
        <f>IF(  J69&gt;$E$2, SUMIFS(IF($G$2="CPR",'Grid Data'!$J$4:$J$2342,'Grid Data'!$K$4:$K$2342),'Grid Data'!$B$4:$B$2342,$D6,'Grid Data'!$C$4:$C$2342,J$4,'Grid Data'!$A$4:$A$2342,$D$2)*100, 0)</f>
        <v>0</v>
      </c>
      <c r="K6" s="4">
        <f>IF(  K69&gt;$E$2, SUMIFS(IF($G$2="CPR",'Grid Data'!$J$4:$J$2342,'Grid Data'!$K$4:$K$2342),'Grid Data'!$B$4:$B$2342,$D6,'Grid Data'!$C$4:$C$2342,K$4,'Grid Data'!$A$4:$A$2342,$D$2)*100, 0)</f>
        <v>0</v>
      </c>
      <c r="L6" s="4">
        <f>IF(  L69&gt;$E$2, SUMIFS(IF($G$2="CPR",'Grid Data'!$J$4:$J$2342,'Grid Data'!$K$4:$K$2342),'Grid Data'!$B$4:$B$2342,$D6,'Grid Data'!$C$4:$C$2342,L$4,'Grid Data'!$A$4:$A$2342,$D$2)*100, 0)</f>
        <v>0</v>
      </c>
      <c r="M6" s="4">
        <f>IF(  M69&gt;$E$2, SUMIFS(IF($G$2="CPR",'Grid Data'!$J$4:$J$2342,'Grid Data'!$K$4:$K$2342),'Grid Data'!$B$4:$B$2342,$D6,'Grid Data'!$C$4:$C$2342,M$4,'Grid Data'!$A$4:$A$2342,$D$2)*100, 0)</f>
        <v>0</v>
      </c>
      <c r="N6" s="4">
        <f>IF(  N69&gt;$E$2, SUMIFS(IF($G$2="CPR",'Grid Data'!$J$4:$J$2342,'Grid Data'!$K$4:$K$2342),'Grid Data'!$B$4:$B$2342,$D6,'Grid Data'!$C$4:$C$2342,N$4,'Grid Data'!$A$4:$A$2342,$D$2)*100, 0)</f>
        <v>0</v>
      </c>
      <c r="O6" s="4">
        <f>IF(  O69&gt;$E$2, SUMIFS(IF($G$2="CPR",'Grid Data'!$J$4:$J$2342,'Grid Data'!$K$4:$K$2342),'Grid Data'!$B$4:$B$2342,$D6,'Grid Data'!$C$4:$C$2342,O$4,'Grid Data'!$A$4:$A$2342,$D$2)*100, 0)</f>
        <v>0</v>
      </c>
      <c r="P6" s="4">
        <f>IF(  P69&gt;$E$2, SUMIFS(IF($G$2="CPR",'Grid Data'!$J$4:$J$2342,'Grid Data'!$K$4:$K$2342),'Grid Data'!$B$4:$B$2342,$D6,'Grid Data'!$C$4:$C$2342,P$4,'Grid Data'!$A$4:$A$2342,$D$2)*100, 0)</f>
        <v>0</v>
      </c>
      <c r="Q6" s="4">
        <f>IF(  Q69&gt;$E$2, SUMIFS(IF($G$2="CPR",'Grid Data'!$J$4:$J$2342,'Grid Data'!$K$4:$K$2342),'Grid Data'!$B$4:$B$2342,$D6,'Grid Data'!$C$4:$C$2342,Q$4,'Grid Data'!$A$4:$A$2342,$D$2)*100, 0)</f>
        <v>0</v>
      </c>
      <c r="R6" s="4">
        <f>IF(  R69&gt;$E$2, SUMIFS(IF($G$2="CPR",'Grid Data'!$J$4:$J$2342,'Grid Data'!$K$4:$K$2342),'Grid Data'!$B$4:$B$2342,$D6,'Grid Data'!$C$4:$C$2342,R$4,'Grid Data'!$A$4:$A$2342,$D$2)*100, 0)</f>
        <v>0</v>
      </c>
      <c r="S6" s="4">
        <f>IF(  S69&gt;$E$2, SUMIFS(IF($G$2="CPR",'Grid Data'!$J$4:$J$2342,'Grid Data'!$K$4:$K$2342),'Grid Data'!$B$4:$B$2342,$D6,'Grid Data'!$C$4:$C$2342,S$4,'Grid Data'!$A$4:$A$2342,$D$2)*100, 0)</f>
        <v>0</v>
      </c>
      <c r="T6" s="4">
        <f>IF(  T69&gt;$E$2, SUMIFS(IF($G$2="CPR",'Grid Data'!$J$4:$J$2342,'Grid Data'!$K$4:$K$2342),'Grid Data'!$B$4:$B$2342,$D6,'Grid Data'!$C$4:$C$2342,T$4,'Grid Data'!$A$4:$A$2342,$D$2)*100, 0)</f>
        <v>4.8653000000000004</v>
      </c>
      <c r="U6" s="4">
        <f>IF(  U69&gt;$E$2, SUMIFS(IF($G$2="CPR",'Grid Data'!$J$4:$J$2342,'Grid Data'!$K$4:$K$2342),'Grid Data'!$B$4:$B$2342,$D6,'Grid Data'!$C$4:$C$2342,U$4,'Grid Data'!$A$4:$A$2342,$D$2)*100, 0)</f>
        <v>4.9432</v>
      </c>
      <c r="V6" s="4">
        <f>IF(  V69&gt;$E$2, SUMIFS(IF($G$2="CPR",'Grid Data'!$J$4:$J$2342,'Grid Data'!$K$4:$K$2342),'Grid Data'!$B$4:$B$2342,$D6,'Grid Data'!$C$4:$C$2342,V$4,'Grid Data'!$A$4:$A$2342,$D$2)*100, 0)</f>
        <v>4.6168000000000005</v>
      </c>
      <c r="W6" s="4">
        <f>IF(  W69&gt;$E$2, SUMIFS(IF($G$2="CPR",'Grid Data'!$J$4:$J$2342,'Grid Data'!$K$4:$K$2342),'Grid Data'!$B$4:$B$2342,$D6,'Grid Data'!$C$4:$C$2342,W$4,'Grid Data'!$A$4:$A$2342,$D$2)*100, 0)</f>
        <v>4.3780000000000001</v>
      </c>
      <c r="X6" s="4">
        <f>IF(  X69&gt;$E$2, SUMIFS(IF($G$2="CPR",'Grid Data'!$J$4:$J$2342,'Grid Data'!$K$4:$K$2342),'Grid Data'!$B$4:$B$2342,$D6,'Grid Data'!$C$4:$C$2342,X$4,'Grid Data'!$A$4:$A$2342,$D$2)*100, 0)</f>
        <v>0</v>
      </c>
      <c r="Y6" s="4">
        <f>IF(  Y69&gt;$E$2, SUMIFS(IF($G$2="CPR",'Grid Data'!$J$4:$J$2342,'Grid Data'!$K$4:$K$2342),'Grid Data'!$B$4:$B$2342,$D6,'Grid Data'!$C$4:$C$2342,Y$4,'Grid Data'!$A$4:$A$2342,$D$2)*100, 0)</f>
        <v>0</v>
      </c>
      <c r="Z6" s="4">
        <f>IF(  Z69&gt;$E$2, SUMIFS(IF($G$2="CPR",'Grid Data'!$J$4:$J$2342,'Grid Data'!$K$4:$K$2342),'Grid Data'!$B$4:$B$2342,$D6,'Grid Data'!$C$4:$C$2342,Z$4,'Grid Data'!$A$4:$A$2342,$D$2)*100, 0)</f>
        <v>0</v>
      </c>
      <c r="AA6" s="4">
        <f>IF(  AA69&gt;$E$2, SUMIFS(IF($G$2="CPR",'Grid Data'!$J$4:$J$2342,'Grid Data'!$K$4:$K$2342),'Grid Data'!$B$4:$B$2342,$D6,'Grid Data'!$C$4:$C$2342,AA$4,'Grid Data'!$A$4:$A$2342,$D$2)*100, 0)</f>
        <v>0</v>
      </c>
      <c r="AB6" s="4">
        <f>IF(  AB69&gt;$E$2, SUMIFS(IF($G$2="CPR",'Grid Data'!$J$4:$J$2342,'Grid Data'!$K$4:$K$2342),'Grid Data'!$B$4:$B$2342,$D6,'Grid Data'!$C$4:$C$2342,AB$4,'Grid Data'!$A$4:$A$2342,$D$2)*100, 0)</f>
        <v>0</v>
      </c>
      <c r="AC6" s="4">
        <f>IF(  AC69&gt;$E$2, SUMIFS(IF($G$2="CPR",'Grid Data'!$J$4:$J$2342,'Grid Data'!$K$4:$K$2342),'Grid Data'!$B$4:$B$2342,$D6,'Grid Data'!$C$4:$C$2342,AC$4,'Grid Data'!$A$4:$A$2342,$D$2)*100, 0)</f>
        <v>0</v>
      </c>
      <c r="AD6" s="4">
        <f>IF(  AD69&gt;$E$2, SUMIFS(IF($G$2="CPR",'Grid Data'!$J$4:$J$2342,'Grid Data'!$K$4:$K$2342),'Grid Data'!$B$4:$B$2342,$D6,'Grid Data'!$C$4:$C$2342,AD$4,'Grid Data'!$A$4:$A$2342,$D$2)*100, 0)</f>
        <v>0</v>
      </c>
      <c r="AE6" s="4">
        <f>IF(  AE69&gt;$E$2, SUMIFS(IF($G$2="CPR",'Grid Data'!$J$4:$J$2342,'Grid Data'!$K$4:$K$2342),'Grid Data'!$B$4:$B$2342,$D6,'Grid Data'!$C$4:$C$2342,AE$4,'Grid Data'!$A$4:$A$2342,$D$2)*100, 0)</f>
        <v>0</v>
      </c>
      <c r="AF6" s="4">
        <f>IF(  AF69&gt;$E$2, SUMIFS(IF($G$2="CPR",'Grid Data'!$J$4:$J$2342,'Grid Data'!$K$4:$K$2342),'Grid Data'!$B$4:$B$2342,$D6,'Grid Data'!$C$4:$C$2342,AF$4,'Grid Data'!$A$4:$A$2342,$D$2)*100, 0)</f>
        <v>0</v>
      </c>
      <c r="AG6" s="4">
        <f>IF(  AG69&gt;$E$2, SUMIFS(IF($G$2="CPR",'Grid Data'!$J$4:$J$2342,'Grid Data'!$K$4:$K$2342),'Grid Data'!$B$4:$B$2342,$D6,'Grid Data'!$C$4:$C$2342,AG$4,'Grid Data'!$A$4:$A$2342,$D$2)*100, 0)</f>
        <v>0</v>
      </c>
      <c r="AH6" s="4">
        <f>IF(  AH69&gt;$E$2, SUMIFS(IF($G$2="CPR",'Grid Data'!$J$4:$J$2342,'Grid Data'!$K$4:$K$2342),'Grid Data'!$B$4:$B$2342,$D6,'Grid Data'!$C$4:$C$2342,AH$4,'Grid Data'!$A$4:$A$2342,$D$2)*100, 0)</f>
        <v>0</v>
      </c>
    </row>
    <row r="7" spans="4:34" x14ac:dyDescent="0.35">
      <c r="D7">
        <v>2500</v>
      </c>
      <c r="E7" s="4">
        <f>IF(  E70&gt;$E$2, SUMIFS(IF($G$2="CPR",'Grid Data'!$J$4:$J$2342,'Grid Data'!$K$4:$K$2342),'Grid Data'!$B$4:$B$2342,$D7,'Grid Data'!$C$4:$C$2342,E$4,'Grid Data'!$A$4:$A$2342,$D$2)*100, 0)</f>
        <v>0</v>
      </c>
      <c r="F7" s="4">
        <f>IF(  F70&gt;$E$2, SUMIFS(IF($G$2="CPR",'Grid Data'!$J$4:$J$2342,'Grid Data'!$K$4:$K$2342),'Grid Data'!$B$4:$B$2342,$D7,'Grid Data'!$C$4:$C$2342,F$4,'Grid Data'!$A$4:$A$2342,$D$2)*100, 0)</f>
        <v>0</v>
      </c>
      <c r="G7" s="4">
        <f>IF(  G70&gt;$E$2, SUMIFS(IF($G$2="CPR",'Grid Data'!$J$4:$J$2342,'Grid Data'!$K$4:$K$2342),'Grid Data'!$B$4:$B$2342,$D7,'Grid Data'!$C$4:$C$2342,G$4,'Grid Data'!$A$4:$A$2342,$D$2)*100, 0)</f>
        <v>0</v>
      </c>
      <c r="H7" s="4">
        <f>IF(  H70&gt;$E$2, SUMIFS(IF($G$2="CPR",'Grid Data'!$J$4:$J$2342,'Grid Data'!$K$4:$K$2342),'Grid Data'!$B$4:$B$2342,$D7,'Grid Data'!$C$4:$C$2342,H$4,'Grid Data'!$A$4:$A$2342,$D$2)*100, 0)</f>
        <v>0</v>
      </c>
      <c r="I7" s="4">
        <f>IF(  I70&gt;$E$2, SUMIFS(IF($G$2="CPR",'Grid Data'!$J$4:$J$2342,'Grid Data'!$K$4:$K$2342),'Grid Data'!$B$4:$B$2342,$D7,'Grid Data'!$C$4:$C$2342,I$4,'Grid Data'!$A$4:$A$2342,$D$2)*100, 0)</f>
        <v>0</v>
      </c>
      <c r="J7" s="4">
        <f>IF(  J70&gt;$E$2, SUMIFS(IF($G$2="CPR",'Grid Data'!$J$4:$J$2342,'Grid Data'!$K$4:$K$2342),'Grid Data'!$B$4:$B$2342,$D7,'Grid Data'!$C$4:$C$2342,J$4,'Grid Data'!$A$4:$A$2342,$D$2)*100, 0)</f>
        <v>0</v>
      </c>
      <c r="K7" s="4">
        <f>IF(  K70&gt;$E$2, SUMIFS(IF($G$2="CPR",'Grid Data'!$J$4:$J$2342,'Grid Data'!$K$4:$K$2342),'Grid Data'!$B$4:$B$2342,$D7,'Grid Data'!$C$4:$C$2342,K$4,'Grid Data'!$A$4:$A$2342,$D$2)*100, 0)</f>
        <v>0</v>
      </c>
      <c r="L7" s="4">
        <f>IF(  L70&gt;$E$2, SUMIFS(IF($G$2="CPR",'Grid Data'!$J$4:$J$2342,'Grid Data'!$K$4:$K$2342),'Grid Data'!$B$4:$B$2342,$D7,'Grid Data'!$C$4:$C$2342,L$4,'Grid Data'!$A$4:$A$2342,$D$2)*100, 0)</f>
        <v>0</v>
      </c>
      <c r="M7" s="4">
        <f>IF(  M70&gt;$E$2, SUMIFS(IF($G$2="CPR",'Grid Data'!$J$4:$J$2342,'Grid Data'!$K$4:$K$2342),'Grid Data'!$B$4:$B$2342,$D7,'Grid Data'!$C$4:$C$2342,M$4,'Grid Data'!$A$4:$A$2342,$D$2)*100, 0)</f>
        <v>0</v>
      </c>
      <c r="N7" s="4">
        <f>IF(  N70&gt;$E$2, SUMIFS(IF($G$2="CPR",'Grid Data'!$J$4:$J$2342,'Grid Data'!$K$4:$K$2342),'Grid Data'!$B$4:$B$2342,$D7,'Grid Data'!$C$4:$C$2342,N$4,'Grid Data'!$A$4:$A$2342,$D$2)*100, 0)</f>
        <v>0</v>
      </c>
      <c r="O7" s="4">
        <f>IF(  O70&gt;$E$2, SUMIFS(IF($G$2="CPR",'Grid Data'!$J$4:$J$2342,'Grid Data'!$K$4:$K$2342),'Grid Data'!$B$4:$B$2342,$D7,'Grid Data'!$C$4:$C$2342,O$4,'Grid Data'!$A$4:$A$2342,$D$2)*100, 0)</f>
        <v>0</v>
      </c>
      <c r="P7" s="4">
        <f>IF(  P70&gt;$E$2, SUMIFS(IF($G$2="CPR",'Grid Data'!$J$4:$J$2342,'Grid Data'!$K$4:$K$2342),'Grid Data'!$B$4:$B$2342,$D7,'Grid Data'!$C$4:$C$2342,P$4,'Grid Data'!$A$4:$A$2342,$D$2)*100, 0)</f>
        <v>0</v>
      </c>
      <c r="Q7" s="4">
        <f>IF(  Q70&gt;$E$2, SUMIFS(IF($G$2="CPR",'Grid Data'!$J$4:$J$2342,'Grid Data'!$K$4:$K$2342),'Grid Data'!$B$4:$B$2342,$D7,'Grid Data'!$C$4:$C$2342,Q$4,'Grid Data'!$A$4:$A$2342,$D$2)*100, 0)</f>
        <v>0</v>
      </c>
      <c r="R7" s="4">
        <f>IF(  R70&gt;$E$2, SUMIFS(IF($G$2="CPR",'Grid Data'!$J$4:$J$2342,'Grid Data'!$K$4:$K$2342),'Grid Data'!$B$4:$B$2342,$D7,'Grid Data'!$C$4:$C$2342,R$4,'Grid Data'!$A$4:$A$2342,$D$2)*100, 0)</f>
        <v>0</v>
      </c>
      <c r="S7" s="4">
        <f>IF(  S70&gt;$E$2, SUMIFS(IF($G$2="CPR",'Grid Data'!$J$4:$J$2342,'Grid Data'!$K$4:$K$2342),'Grid Data'!$B$4:$B$2342,$D7,'Grid Data'!$C$4:$C$2342,S$4,'Grid Data'!$A$4:$A$2342,$D$2)*100, 0)</f>
        <v>0</v>
      </c>
      <c r="T7" s="4">
        <f>IF(  T70&gt;$E$2, SUMIFS(IF($G$2="CPR",'Grid Data'!$J$4:$J$2342,'Grid Data'!$K$4:$K$2342),'Grid Data'!$B$4:$B$2342,$D7,'Grid Data'!$C$4:$C$2342,T$4,'Grid Data'!$A$4:$A$2342,$D$2)*100, 0)</f>
        <v>4.8894000000000002</v>
      </c>
      <c r="U7" s="4">
        <f>IF(  U70&gt;$E$2, SUMIFS(IF($G$2="CPR",'Grid Data'!$J$4:$J$2342,'Grid Data'!$K$4:$K$2342),'Grid Data'!$B$4:$B$2342,$D7,'Grid Data'!$C$4:$C$2342,U$4,'Grid Data'!$A$4:$A$2342,$D$2)*100, 0)</f>
        <v>4.8010999999999999</v>
      </c>
      <c r="V7" s="4">
        <f>IF(  V70&gt;$E$2, SUMIFS(IF($G$2="CPR",'Grid Data'!$J$4:$J$2342,'Grid Data'!$K$4:$K$2342),'Grid Data'!$B$4:$B$2342,$D7,'Grid Data'!$C$4:$C$2342,V$4,'Grid Data'!$A$4:$A$2342,$D$2)*100, 0)</f>
        <v>4.9234</v>
      </c>
      <c r="W7" s="4">
        <f>IF(  W70&gt;$E$2, SUMIFS(IF($G$2="CPR",'Grid Data'!$J$4:$J$2342,'Grid Data'!$K$4:$K$2342),'Grid Data'!$B$4:$B$2342,$D7,'Grid Data'!$C$4:$C$2342,W$4,'Grid Data'!$A$4:$A$2342,$D$2)*100, 0)</f>
        <v>4.8136999999999999</v>
      </c>
      <c r="X7" s="4">
        <f>IF(  X70&gt;$E$2, SUMIFS(IF($G$2="CPR",'Grid Data'!$J$4:$J$2342,'Grid Data'!$K$4:$K$2342),'Grid Data'!$B$4:$B$2342,$D7,'Grid Data'!$C$4:$C$2342,X$4,'Grid Data'!$A$4:$A$2342,$D$2)*100, 0)</f>
        <v>0</v>
      </c>
      <c r="Y7" s="4">
        <f>IF(  Y70&gt;$E$2, SUMIFS(IF($G$2="CPR",'Grid Data'!$J$4:$J$2342,'Grid Data'!$K$4:$K$2342),'Grid Data'!$B$4:$B$2342,$D7,'Grid Data'!$C$4:$C$2342,Y$4,'Grid Data'!$A$4:$A$2342,$D$2)*100, 0)</f>
        <v>0</v>
      </c>
      <c r="Z7" s="4">
        <f>IF(  Z70&gt;$E$2, SUMIFS(IF($G$2="CPR",'Grid Data'!$J$4:$J$2342,'Grid Data'!$K$4:$K$2342),'Grid Data'!$B$4:$B$2342,$D7,'Grid Data'!$C$4:$C$2342,Z$4,'Grid Data'!$A$4:$A$2342,$D$2)*100, 0)</f>
        <v>0</v>
      </c>
      <c r="AA7" s="4">
        <f>IF(  AA70&gt;$E$2, SUMIFS(IF($G$2="CPR",'Grid Data'!$J$4:$J$2342,'Grid Data'!$K$4:$K$2342),'Grid Data'!$B$4:$B$2342,$D7,'Grid Data'!$C$4:$C$2342,AA$4,'Grid Data'!$A$4:$A$2342,$D$2)*100, 0)</f>
        <v>0</v>
      </c>
      <c r="AB7" s="4">
        <f>IF(  AB70&gt;$E$2, SUMIFS(IF($G$2="CPR",'Grid Data'!$J$4:$J$2342,'Grid Data'!$K$4:$K$2342),'Grid Data'!$B$4:$B$2342,$D7,'Grid Data'!$C$4:$C$2342,AB$4,'Grid Data'!$A$4:$A$2342,$D$2)*100, 0)</f>
        <v>0</v>
      </c>
      <c r="AC7" s="4">
        <f>IF(  AC70&gt;$E$2, SUMIFS(IF($G$2="CPR",'Grid Data'!$J$4:$J$2342,'Grid Data'!$K$4:$K$2342),'Grid Data'!$B$4:$B$2342,$D7,'Grid Data'!$C$4:$C$2342,AC$4,'Grid Data'!$A$4:$A$2342,$D$2)*100, 0)</f>
        <v>5.7262000000000004</v>
      </c>
      <c r="AD7" s="4">
        <f>IF(  AD70&gt;$E$2, SUMIFS(IF($G$2="CPR",'Grid Data'!$J$4:$J$2342,'Grid Data'!$K$4:$K$2342),'Grid Data'!$B$4:$B$2342,$D7,'Grid Data'!$C$4:$C$2342,AD$4,'Grid Data'!$A$4:$A$2342,$D$2)*100, 0)</f>
        <v>0</v>
      </c>
      <c r="AE7" s="4">
        <f>IF(  AE70&gt;$E$2, SUMIFS(IF($G$2="CPR",'Grid Data'!$J$4:$J$2342,'Grid Data'!$K$4:$K$2342),'Grid Data'!$B$4:$B$2342,$D7,'Grid Data'!$C$4:$C$2342,AE$4,'Grid Data'!$A$4:$A$2342,$D$2)*100, 0)</f>
        <v>0</v>
      </c>
      <c r="AF7" s="4">
        <f>IF(  AF70&gt;$E$2, SUMIFS(IF($G$2="CPR",'Grid Data'!$J$4:$J$2342,'Grid Data'!$K$4:$K$2342),'Grid Data'!$B$4:$B$2342,$D7,'Grid Data'!$C$4:$C$2342,AF$4,'Grid Data'!$A$4:$A$2342,$D$2)*100, 0)</f>
        <v>0</v>
      </c>
      <c r="AG7" s="4">
        <f>IF(  AG70&gt;$E$2, SUMIFS(IF($G$2="CPR",'Grid Data'!$J$4:$J$2342,'Grid Data'!$K$4:$K$2342),'Grid Data'!$B$4:$B$2342,$D7,'Grid Data'!$C$4:$C$2342,AG$4,'Grid Data'!$A$4:$A$2342,$D$2)*100, 0)</f>
        <v>0</v>
      </c>
      <c r="AH7" s="4">
        <f>IF(  AH70&gt;$E$2, SUMIFS(IF($G$2="CPR",'Grid Data'!$J$4:$J$2342,'Grid Data'!$K$4:$K$2342),'Grid Data'!$B$4:$B$2342,$D7,'Grid Data'!$C$4:$C$2342,AH$4,'Grid Data'!$A$4:$A$2342,$D$2)*100, 0)</f>
        <v>0</v>
      </c>
    </row>
    <row r="8" spans="4:34" x14ac:dyDescent="0.35">
      <c r="D8">
        <v>2750</v>
      </c>
      <c r="E8" s="4">
        <f>IF(  E71&gt;$E$2, SUMIFS(IF($G$2="CPR",'Grid Data'!$J$4:$J$2342,'Grid Data'!$K$4:$K$2342),'Grid Data'!$B$4:$B$2342,$D8,'Grid Data'!$C$4:$C$2342,E$4,'Grid Data'!$A$4:$A$2342,$D$2)*100, 0)</f>
        <v>0</v>
      </c>
      <c r="F8" s="4">
        <f>IF(  F71&gt;$E$2, SUMIFS(IF($G$2="CPR",'Grid Data'!$J$4:$J$2342,'Grid Data'!$K$4:$K$2342),'Grid Data'!$B$4:$B$2342,$D8,'Grid Data'!$C$4:$C$2342,F$4,'Grid Data'!$A$4:$A$2342,$D$2)*100, 0)</f>
        <v>0</v>
      </c>
      <c r="G8" s="4">
        <f>IF(  G71&gt;$E$2, SUMIFS(IF($G$2="CPR",'Grid Data'!$J$4:$J$2342,'Grid Data'!$K$4:$K$2342),'Grid Data'!$B$4:$B$2342,$D8,'Grid Data'!$C$4:$C$2342,G$4,'Grid Data'!$A$4:$A$2342,$D$2)*100, 0)</f>
        <v>0</v>
      </c>
      <c r="H8" s="4">
        <f>IF(  H71&gt;$E$2, SUMIFS(IF($G$2="CPR",'Grid Data'!$J$4:$J$2342,'Grid Data'!$K$4:$K$2342),'Grid Data'!$B$4:$B$2342,$D8,'Grid Data'!$C$4:$C$2342,H$4,'Grid Data'!$A$4:$A$2342,$D$2)*100, 0)</f>
        <v>0</v>
      </c>
      <c r="I8" s="4">
        <f>IF(  I71&gt;$E$2, SUMIFS(IF($G$2="CPR",'Grid Data'!$J$4:$J$2342,'Grid Data'!$K$4:$K$2342),'Grid Data'!$B$4:$B$2342,$D8,'Grid Data'!$C$4:$C$2342,I$4,'Grid Data'!$A$4:$A$2342,$D$2)*100, 0)</f>
        <v>0</v>
      </c>
      <c r="J8" s="4">
        <f>IF(  J71&gt;$E$2, SUMIFS(IF($G$2="CPR",'Grid Data'!$J$4:$J$2342,'Grid Data'!$K$4:$K$2342),'Grid Data'!$B$4:$B$2342,$D8,'Grid Data'!$C$4:$C$2342,J$4,'Grid Data'!$A$4:$A$2342,$D$2)*100, 0)</f>
        <v>0</v>
      </c>
      <c r="K8" s="4">
        <f>IF(  K71&gt;$E$2, SUMIFS(IF($G$2="CPR",'Grid Data'!$J$4:$J$2342,'Grid Data'!$K$4:$K$2342),'Grid Data'!$B$4:$B$2342,$D8,'Grid Data'!$C$4:$C$2342,K$4,'Grid Data'!$A$4:$A$2342,$D$2)*100, 0)</f>
        <v>0</v>
      </c>
      <c r="L8" s="4">
        <f>IF(  L71&gt;$E$2, SUMIFS(IF($G$2="CPR",'Grid Data'!$J$4:$J$2342,'Grid Data'!$K$4:$K$2342),'Grid Data'!$B$4:$B$2342,$D8,'Grid Data'!$C$4:$C$2342,L$4,'Grid Data'!$A$4:$A$2342,$D$2)*100, 0)</f>
        <v>0</v>
      </c>
      <c r="M8" s="4">
        <f>IF(  M71&gt;$E$2, SUMIFS(IF($G$2="CPR",'Grid Data'!$J$4:$J$2342,'Grid Data'!$K$4:$K$2342),'Grid Data'!$B$4:$B$2342,$D8,'Grid Data'!$C$4:$C$2342,M$4,'Grid Data'!$A$4:$A$2342,$D$2)*100, 0)</f>
        <v>0</v>
      </c>
      <c r="N8" s="4">
        <f>IF(  N71&gt;$E$2, SUMIFS(IF($G$2="CPR",'Grid Data'!$J$4:$J$2342,'Grid Data'!$K$4:$K$2342),'Grid Data'!$B$4:$B$2342,$D8,'Grid Data'!$C$4:$C$2342,N$4,'Grid Data'!$A$4:$A$2342,$D$2)*100, 0)</f>
        <v>0</v>
      </c>
      <c r="O8" s="4">
        <f>IF(  O71&gt;$E$2, SUMIFS(IF($G$2="CPR",'Grid Data'!$J$4:$J$2342,'Grid Data'!$K$4:$K$2342),'Grid Data'!$B$4:$B$2342,$D8,'Grid Data'!$C$4:$C$2342,O$4,'Grid Data'!$A$4:$A$2342,$D$2)*100, 0)</f>
        <v>0</v>
      </c>
      <c r="P8" s="4">
        <f>IF(  P71&gt;$E$2, SUMIFS(IF($G$2="CPR",'Grid Data'!$J$4:$J$2342,'Grid Data'!$K$4:$K$2342),'Grid Data'!$B$4:$B$2342,$D8,'Grid Data'!$C$4:$C$2342,P$4,'Grid Data'!$A$4:$A$2342,$D$2)*100, 0)</f>
        <v>0</v>
      </c>
      <c r="Q8" s="4">
        <f>IF(  Q71&gt;$E$2, SUMIFS(IF($G$2="CPR",'Grid Data'!$J$4:$J$2342,'Grid Data'!$K$4:$K$2342),'Grid Data'!$B$4:$B$2342,$D8,'Grid Data'!$C$4:$C$2342,Q$4,'Grid Data'!$A$4:$A$2342,$D$2)*100, 0)</f>
        <v>0</v>
      </c>
      <c r="R8" s="4">
        <f>IF(  R71&gt;$E$2, SUMIFS(IF($G$2="CPR",'Grid Data'!$J$4:$J$2342,'Grid Data'!$K$4:$K$2342),'Grid Data'!$B$4:$B$2342,$D8,'Grid Data'!$C$4:$C$2342,R$4,'Grid Data'!$A$4:$A$2342,$D$2)*100, 0)</f>
        <v>0</v>
      </c>
      <c r="S8" s="4">
        <f>IF(  S71&gt;$E$2, SUMIFS(IF($G$2="CPR",'Grid Data'!$J$4:$J$2342,'Grid Data'!$K$4:$K$2342),'Grid Data'!$B$4:$B$2342,$D8,'Grid Data'!$C$4:$C$2342,S$4,'Grid Data'!$A$4:$A$2342,$D$2)*100, 0)</f>
        <v>5.8433000000000002</v>
      </c>
      <c r="T8" s="4">
        <f>IF(  T71&gt;$E$2, SUMIFS(IF($G$2="CPR",'Grid Data'!$J$4:$J$2342,'Grid Data'!$K$4:$K$2342),'Grid Data'!$B$4:$B$2342,$D8,'Grid Data'!$C$4:$C$2342,T$4,'Grid Data'!$A$4:$A$2342,$D$2)*100, 0)</f>
        <v>4.4901</v>
      </c>
      <c r="U8" s="4">
        <f>IF(  U71&gt;$E$2, SUMIFS(IF($G$2="CPR",'Grid Data'!$J$4:$J$2342,'Grid Data'!$K$4:$K$2342),'Grid Data'!$B$4:$B$2342,$D8,'Grid Data'!$C$4:$C$2342,U$4,'Grid Data'!$A$4:$A$2342,$D$2)*100, 0)</f>
        <v>4.4830000000000005</v>
      </c>
      <c r="V8" s="4">
        <f>IF(  V71&gt;$E$2, SUMIFS(IF($G$2="CPR",'Grid Data'!$J$4:$J$2342,'Grid Data'!$K$4:$K$2342),'Grid Data'!$B$4:$B$2342,$D8,'Grid Data'!$C$4:$C$2342,V$4,'Grid Data'!$A$4:$A$2342,$D$2)*100, 0)</f>
        <v>4.7305999999999999</v>
      </c>
      <c r="W8" s="4">
        <f>IF(  W71&gt;$E$2, SUMIFS(IF($G$2="CPR",'Grid Data'!$J$4:$J$2342,'Grid Data'!$K$4:$K$2342),'Grid Data'!$B$4:$B$2342,$D8,'Grid Data'!$C$4:$C$2342,W$4,'Grid Data'!$A$4:$A$2342,$D$2)*100, 0)</f>
        <v>4.7329999999999997</v>
      </c>
      <c r="X8" s="4">
        <f>IF(  X71&gt;$E$2, SUMIFS(IF($G$2="CPR",'Grid Data'!$J$4:$J$2342,'Grid Data'!$K$4:$K$2342),'Grid Data'!$B$4:$B$2342,$D8,'Grid Data'!$C$4:$C$2342,X$4,'Grid Data'!$A$4:$A$2342,$D$2)*100, 0)</f>
        <v>4.4131999999999998</v>
      </c>
      <c r="Y8" s="4">
        <f>IF(  Y71&gt;$E$2, SUMIFS(IF($G$2="CPR",'Grid Data'!$J$4:$J$2342,'Grid Data'!$K$4:$K$2342),'Grid Data'!$B$4:$B$2342,$D8,'Grid Data'!$C$4:$C$2342,Y$4,'Grid Data'!$A$4:$A$2342,$D$2)*100, 0)</f>
        <v>0</v>
      </c>
      <c r="Z8" s="4">
        <f>IF(  Z71&gt;$E$2, SUMIFS(IF($G$2="CPR",'Grid Data'!$J$4:$J$2342,'Grid Data'!$K$4:$K$2342),'Grid Data'!$B$4:$B$2342,$D8,'Grid Data'!$C$4:$C$2342,Z$4,'Grid Data'!$A$4:$A$2342,$D$2)*100, 0)</f>
        <v>0</v>
      </c>
      <c r="AA8" s="4">
        <f>IF(  AA71&gt;$E$2, SUMIFS(IF($G$2="CPR",'Grid Data'!$J$4:$J$2342,'Grid Data'!$K$4:$K$2342),'Grid Data'!$B$4:$B$2342,$D8,'Grid Data'!$C$4:$C$2342,AA$4,'Grid Data'!$A$4:$A$2342,$D$2)*100, 0)</f>
        <v>5.5627999999999993</v>
      </c>
      <c r="AB8" s="4">
        <f>IF(  AB71&gt;$E$2, SUMIFS(IF($G$2="CPR",'Grid Data'!$J$4:$J$2342,'Grid Data'!$K$4:$K$2342),'Grid Data'!$B$4:$B$2342,$D8,'Grid Data'!$C$4:$C$2342,AB$4,'Grid Data'!$A$4:$A$2342,$D$2)*100, 0)</f>
        <v>0</v>
      </c>
      <c r="AC8" s="4">
        <f>IF(  AC71&gt;$E$2, SUMIFS(IF($G$2="CPR",'Grid Data'!$J$4:$J$2342,'Grid Data'!$K$4:$K$2342),'Grid Data'!$B$4:$B$2342,$D8,'Grid Data'!$C$4:$C$2342,AC$4,'Grid Data'!$A$4:$A$2342,$D$2)*100, 0)</f>
        <v>4.1551999999999998</v>
      </c>
      <c r="AD8" s="4">
        <f>IF(  AD71&gt;$E$2, SUMIFS(IF($G$2="CPR",'Grid Data'!$J$4:$J$2342,'Grid Data'!$K$4:$K$2342),'Grid Data'!$B$4:$B$2342,$D8,'Grid Data'!$C$4:$C$2342,AD$4,'Grid Data'!$A$4:$A$2342,$D$2)*100, 0)</f>
        <v>0</v>
      </c>
      <c r="AE8" s="4">
        <f>IF(  AE71&gt;$E$2, SUMIFS(IF($G$2="CPR",'Grid Data'!$J$4:$J$2342,'Grid Data'!$K$4:$K$2342),'Grid Data'!$B$4:$B$2342,$D8,'Grid Data'!$C$4:$C$2342,AE$4,'Grid Data'!$A$4:$A$2342,$D$2)*100, 0)</f>
        <v>0</v>
      </c>
      <c r="AF8" s="4">
        <f>IF(  AF71&gt;$E$2, SUMIFS(IF($G$2="CPR",'Grid Data'!$J$4:$J$2342,'Grid Data'!$K$4:$K$2342),'Grid Data'!$B$4:$B$2342,$D8,'Grid Data'!$C$4:$C$2342,AF$4,'Grid Data'!$A$4:$A$2342,$D$2)*100, 0)</f>
        <v>0</v>
      </c>
      <c r="AG8" s="4">
        <f>IF(  AG71&gt;$E$2, SUMIFS(IF($G$2="CPR",'Grid Data'!$J$4:$J$2342,'Grid Data'!$K$4:$K$2342),'Grid Data'!$B$4:$B$2342,$D8,'Grid Data'!$C$4:$C$2342,AG$4,'Grid Data'!$A$4:$A$2342,$D$2)*100, 0)</f>
        <v>0</v>
      </c>
      <c r="AH8" s="4">
        <f>IF(  AH71&gt;$E$2, SUMIFS(IF($G$2="CPR",'Grid Data'!$J$4:$J$2342,'Grid Data'!$K$4:$K$2342),'Grid Data'!$B$4:$B$2342,$D8,'Grid Data'!$C$4:$C$2342,AH$4,'Grid Data'!$A$4:$A$2342,$D$2)*100, 0)</f>
        <v>0</v>
      </c>
    </row>
    <row r="9" spans="4:34" x14ac:dyDescent="0.35">
      <c r="D9">
        <v>3000</v>
      </c>
      <c r="E9" s="4">
        <f>IF(  E72&gt;$E$2, SUMIFS(IF($G$2="CPR",'Grid Data'!$J$4:$J$2342,'Grid Data'!$K$4:$K$2342),'Grid Data'!$B$4:$B$2342,$D9,'Grid Data'!$C$4:$C$2342,E$4,'Grid Data'!$A$4:$A$2342,$D$2)*100, 0)</f>
        <v>0</v>
      </c>
      <c r="F9" s="4">
        <f>IF(  F72&gt;$E$2, SUMIFS(IF($G$2="CPR",'Grid Data'!$J$4:$J$2342,'Grid Data'!$K$4:$K$2342),'Grid Data'!$B$4:$B$2342,$D9,'Grid Data'!$C$4:$C$2342,F$4,'Grid Data'!$A$4:$A$2342,$D$2)*100, 0)</f>
        <v>0</v>
      </c>
      <c r="G9" s="4">
        <f>IF(  G72&gt;$E$2, SUMIFS(IF($G$2="CPR",'Grid Data'!$J$4:$J$2342,'Grid Data'!$K$4:$K$2342),'Grid Data'!$B$4:$B$2342,$D9,'Grid Data'!$C$4:$C$2342,G$4,'Grid Data'!$A$4:$A$2342,$D$2)*100, 0)</f>
        <v>0</v>
      </c>
      <c r="H9" s="4">
        <f>IF(  H72&gt;$E$2, SUMIFS(IF($G$2="CPR",'Grid Data'!$J$4:$J$2342,'Grid Data'!$K$4:$K$2342),'Grid Data'!$B$4:$B$2342,$D9,'Grid Data'!$C$4:$C$2342,H$4,'Grid Data'!$A$4:$A$2342,$D$2)*100, 0)</f>
        <v>0</v>
      </c>
      <c r="I9" s="4">
        <f>IF(  I72&gt;$E$2, SUMIFS(IF($G$2="CPR",'Grid Data'!$J$4:$J$2342,'Grid Data'!$K$4:$K$2342),'Grid Data'!$B$4:$B$2342,$D9,'Grid Data'!$C$4:$C$2342,I$4,'Grid Data'!$A$4:$A$2342,$D$2)*100, 0)</f>
        <v>0</v>
      </c>
      <c r="J9" s="4">
        <f>IF(  J72&gt;$E$2, SUMIFS(IF($G$2="CPR",'Grid Data'!$J$4:$J$2342,'Grid Data'!$K$4:$K$2342),'Grid Data'!$B$4:$B$2342,$D9,'Grid Data'!$C$4:$C$2342,J$4,'Grid Data'!$A$4:$A$2342,$D$2)*100, 0)</f>
        <v>0</v>
      </c>
      <c r="K9" s="4">
        <f>IF(  K72&gt;$E$2, SUMIFS(IF($G$2="CPR",'Grid Data'!$J$4:$J$2342,'Grid Data'!$K$4:$K$2342),'Grid Data'!$B$4:$B$2342,$D9,'Grid Data'!$C$4:$C$2342,K$4,'Grid Data'!$A$4:$A$2342,$D$2)*100, 0)</f>
        <v>0</v>
      </c>
      <c r="L9" s="4">
        <f>IF(  L72&gt;$E$2, SUMIFS(IF($G$2="CPR",'Grid Data'!$J$4:$J$2342,'Grid Data'!$K$4:$K$2342),'Grid Data'!$B$4:$B$2342,$D9,'Grid Data'!$C$4:$C$2342,L$4,'Grid Data'!$A$4:$A$2342,$D$2)*100, 0)</f>
        <v>0</v>
      </c>
      <c r="M9" s="4">
        <f>IF(  M72&gt;$E$2, SUMIFS(IF($G$2="CPR",'Grid Data'!$J$4:$J$2342,'Grid Data'!$K$4:$K$2342),'Grid Data'!$B$4:$B$2342,$D9,'Grid Data'!$C$4:$C$2342,M$4,'Grid Data'!$A$4:$A$2342,$D$2)*100, 0)</f>
        <v>0</v>
      </c>
      <c r="N9" s="4">
        <f>IF(  N72&gt;$E$2, SUMIFS(IF($G$2="CPR",'Grid Data'!$J$4:$J$2342,'Grid Data'!$K$4:$K$2342),'Grid Data'!$B$4:$B$2342,$D9,'Grid Data'!$C$4:$C$2342,N$4,'Grid Data'!$A$4:$A$2342,$D$2)*100, 0)</f>
        <v>0</v>
      </c>
      <c r="O9" s="4">
        <f>IF(  O72&gt;$E$2, SUMIFS(IF($G$2="CPR",'Grid Data'!$J$4:$J$2342,'Grid Data'!$K$4:$K$2342),'Grid Data'!$B$4:$B$2342,$D9,'Grid Data'!$C$4:$C$2342,O$4,'Grid Data'!$A$4:$A$2342,$D$2)*100, 0)</f>
        <v>0</v>
      </c>
      <c r="P9" s="4">
        <f>IF(  P72&gt;$E$2, SUMIFS(IF($G$2="CPR",'Grid Data'!$J$4:$J$2342,'Grid Data'!$K$4:$K$2342),'Grid Data'!$B$4:$B$2342,$D9,'Grid Data'!$C$4:$C$2342,P$4,'Grid Data'!$A$4:$A$2342,$D$2)*100, 0)</f>
        <v>0</v>
      </c>
      <c r="Q9" s="4">
        <f>IF(  Q72&gt;$E$2, SUMIFS(IF($G$2="CPR",'Grid Data'!$J$4:$J$2342,'Grid Data'!$K$4:$K$2342),'Grid Data'!$B$4:$B$2342,$D9,'Grid Data'!$C$4:$C$2342,Q$4,'Grid Data'!$A$4:$A$2342,$D$2)*100, 0)</f>
        <v>0</v>
      </c>
      <c r="R9" s="4">
        <f>IF(  R72&gt;$E$2, SUMIFS(IF($G$2="CPR",'Grid Data'!$J$4:$J$2342,'Grid Data'!$K$4:$K$2342),'Grid Data'!$B$4:$B$2342,$D9,'Grid Data'!$C$4:$C$2342,R$4,'Grid Data'!$A$4:$A$2342,$D$2)*100, 0)</f>
        <v>0</v>
      </c>
      <c r="S9" s="4">
        <f>IF(  S72&gt;$E$2, SUMIFS(IF($G$2="CPR",'Grid Data'!$J$4:$J$2342,'Grid Data'!$K$4:$K$2342),'Grid Data'!$B$4:$B$2342,$D9,'Grid Data'!$C$4:$C$2342,S$4,'Grid Data'!$A$4:$A$2342,$D$2)*100, 0)</f>
        <v>6.6461000000000006</v>
      </c>
      <c r="T9" s="4">
        <f>IF(  T72&gt;$E$2, SUMIFS(IF($G$2="CPR",'Grid Data'!$J$4:$J$2342,'Grid Data'!$K$4:$K$2342),'Grid Data'!$B$4:$B$2342,$D9,'Grid Data'!$C$4:$C$2342,T$4,'Grid Data'!$A$4:$A$2342,$D$2)*100, 0)</f>
        <v>5.2606999999999999</v>
      </c>
      <c r="U9" s="4">
        <f>IF(  U72&gt;$E$2, SUMIFS(IF($G$2="CPR",'Grid Data'!$J$4:$J$2342,'Grid Data'!$K$4:$K$2342),'Grid Data'!$B$4:$B$2342,$D9,'Grid Data'!$C$4:$C$2342,U$4,'Grid Data'!$A$4:$A$2342,$D$2)*100, 0)</f>
        <v>5.3305999999999996</v>
      </c>
      <c r="V9" s="4">
        <f>IF(  V72&gt;$E$2, SUMIFS(IF($G$2="CPR",'Grid Data'!$J$4:$J$2342,'Grid Data'!$K$4:$K$2342),'Grid Data'!$B$4:$B$2342,$D9,'Grid Data'!$C$4:$C$2342,V$4,'Grid Data'!$A$4:$A$2342,$D$2)*100, 0)</f>
        <v>5.5275999999999996</v>
      </c>
      <c r="W9" s="4">
        <f>IF(  W72&gt;$E$2, SUMIFS(IF($G$2="CPR",'Grid Data'!$J$4:$J$2342,'Grid Data'!$K$4:$K$2342),'Grid Data'!$B$4:$B$2342,$D9,'Grid Data'!$C$4:$C$2342,W$4,'Grid Data'!$A$4:$A$2342,$D$2)*100, 0)</f>
        <v>5.4767000000000001</v>
      </c>
      <c r="X9" s="4">
        <f>IF(  X72&gt;$E$2, SUMIFS(IF($G$2="CPR",'Grid Data'!$J$4:$J$2342,'Grid Data'!$K$4:$K$2342),'Grid Data'!$B$4:$B$2342,$D9,'Grid Data'!$C$4:$C$2342,X$4,'Grid Data'!$A$4:$A$2342,$D$2)*100, 0)</f>
        <v>4.9515000000000002</v>
      </c>
      <c r="Y9" s="4">
        <f>IF(  Y72&gt;$E$2, SUMIFS(IF($G$2="CPR",'Grid Data'!$J$4:$J$2342,'Grid Data'!$K$4:$K$2342),'Grid Data'!$B$4:$B$2342,$D9,'Grid Data'!$C$4:$C$2342,Y$4,'Grid Data'!$A$4:$A$2342,$D$2)*100, 0)</f>
        <v>0</v>
      </c>
      <c r="Z9" s="4">
        <f>IF(  Z72&gt;$E$2, SUMIFS(IF($G$2="CPR",'Grid Data'!$J$4:$J$2342,'Grid Data'!$K$4:$K$2342),'Grid Data'!$B$4:$B$2342,$D9,'Grid Data'!$C$4:$C$2342,Z$4,'Grid Data'!$A$4:$A$2342,$D$2)*100, 0)</f>
        <v>5.6162000000000001</v>
      </c>
      <c r="AA9" s="4">
        <f>IF(  AA72&gt;$E$2, SUMIFS(IF($G$2="CPR",'Grid Data'!$J$4:$J$2342,'Grid Data'!$K$4:$K$2342),'Grid Data'!$B$4:$B$2342,$D9,'Grid Data'!$C$4:$C$2342,AA$4,'Grid Data'!$A$4:$A$2342,$D$2)*100, 0)</f>
        <v>5.1701999999999995</v>
      </c>
      <c r="AB9" s="4">
        <f>IF(  AB72&gt;$E$2, SUMIFS(IF($G$2="CPR",'Grid Data'!$J$4:$J$2342,'Grid Data'!$K$4:$K$2342),'Grid Data'!$B$4:$B$2342,$D9,'Grid Data'!$C$4:$C$2342,AB$4,'Grid Data'!$A$4:$A$2342,$D$2)*100, 0)</f>
        <v>6.2332999999999998</v>
      </c>
      <c r="AC9" s="4">
        <f>IF(  AC72&gt;$E$2, SUMIFS(IF($G$2="CPR",'Grid Data'!$J$4:$J$2342,'Grid Data'!$K$4:$K$2342),'Grid Data'!$B$4:$B$2342,$D9,'Grid Data'!$C$4:$C$2342,AC$4,'Grid Data'!$A$4:$A$2342,$D$2)*100, 0)</f>
        <v>4.8287999999999993</v>
      </c>
      <c r="AD9" s="4">
        <f>IF(  AD72&gt;$E$2, SUMIFS(IF($G$2="CPR",'Grid Data'!$J$4:$J$2342,'Grid Data'!$K$4:$K$2342),'Grid Data'!$B$4:$B$2342,$D9,'Grid Data'!$C$4:$C$2342,AD$4,'Grid Data'!$A$4:$A$2342,$D$2)*100, 0)</f>
        <v>2.9662999999999999</v>
      </c>
      <c r="AE9" s="4">
        <f>IF(  AE72&gt;$E$2, SUMIFS(IF($G$2="CPR",'Grid Data'!$J$4:$J$2342,'Grid Data'!$K$4:$K$2342),'Grid Data'!$B$4:$B$2342,$D9,'Grid Data'!$C$4:$C$2342,AE$4,'Grid Data'!$A$4:$A$2342,$D$2)*100, 0)</f>
        <v>0</v>
      </c>
      <c r="AF9" s="4">
        <f>IF(  AF72&gt;$E$2, SUMIFS(IF($G$2="CPR",'Grid Data'!$J$4:$J$2342,'Grid Data'!$K$4:$K$2342),'Grid Data'!$B$4:$B$2342,$D9,'Grid Data'!$C$4:$C$2342,AF$4,'Grid Data'!$A$4:$A$2342,$D$2)*100, 0)</f>
        <v>0</v>
      </c>
      <c r="AG9" s="4">
        <f>IF(  AG72&gt;$E$2, SUMIFS(IF($G$2="CPR",'Grid Data'!$J$4:$J$2342,'Grid Data'!$K$4:$K$2342),'Grid Data'!$B$4:$B$2342,$D9,'Grid Data'!$C$4:$C$2342,AG$4,'Grid Data'!$A$4:$A$2342,$D$2)*100, 0)</f>
        <v>0</v>
      </c>
      <c r="AH9" s="4">
        <f>IF(  AH72&gt;$E$2, SUMIFS(IF($G$2="CPR",'Grid Data'!$J$4:$J$2342,'Grid Data'!$K$4:$K$2342),'Grid Data'!$B$4:$B$2342,$D9,'Grid Data'!$C$4:$C$2342,AH$4,'Grid Data'!$A$4:$A$2342,$D$2)*100, 0)</f>
        <v>0</v>
      </c>
    </row>
    <row r="10" spans="4:34" x14ac:dyDescent="0.35">
      <c r="D10">
        <v>3250</v>
      </c>
      <c r="E10" s="4">
        <f>IF(  E73&gt;$E$2, SUMIFS(IF($G$2="CPR",'Grid Data'!$J$4:$J$2342,'Grid Data'!$K$4:$K$2342),'Grid Data'!$B$4:$B$2342,$D10,'Grid Data'!$C$4:$C$2342,E$4,'Grid Data'!$A$4:$A$2342,$D$2)*100, 0)</f>
        <v>0</v>
      </c>
      <c r="F10" s="4">
        <f>IF(  F73&gt;$E$2, SUMIFS(IF($G$2="CPR",'Grid Data'!$J$4:$J$2342,'Grid Data'!$K$4:$K$2342),'Grid Data'!$B$4:$B$2342,$D10,'Grid Data'!$C$4:$C$2342,F$4,'Grid Data'!$A$4:$A$2342,$D$2)*100, 0)</f>
        <v>0</v>
      </c>
      <c r="G10" s="4">
        <f>IF(  G73&gt;$E$2, SUMIFS(IF($G$2="CPR",'Grid Data'!$J$4:$J$2342,'Grid Data'!$K$4:$K$2342),'Grid Data'!$B$4:$B$2342,$D10,'Grid Data'!$C$4:$C$2342,G$4,'Grid Data'!$A$4:$A$2342,$D$2)*100, 0)</f>
        <v>0</v>
      </c>
      <c r="H10" s="4">
        <f>IF(  H73&gt;$E$2, SUMIFS(IF($G$2="CPR",'Grid Data'!$J$4:$J$2342,'Grid Data'!$K$4:$K$2342),'Grid Data'!$B$4:$B$2342,$D10,'Grid Data'!$C$4:$C$2342,H$4,'Grid Data'!$A$4:$A$2342,$D$2)*100, 0)</f>
        <v>0</v>
      </c>
      <c r="I10" s="4">
        <f>IF(  I73&gt;$E$2, SUMIFS(IF($G$2="CPR",'Grid Data'!$J$4:$J$2342,'Grid Data'!$K$4:$K$2342),'Grid Data'!$B$4:$B$2342,$D10,'Grid Data'!$C$4:$C$2342,I$4,'Grid Data'!$A$4:$A$2342,$D$2)*100, 0)</f>
        <v>0</v>
      </c>
      <c r="J10" s="4">
        <f>IF(  J73&gt;$E$2, SUMIFS(IF($G$2="CPR",'Grid Data'!$J$4:$J$2342,'Grid Data'!$K$4:$K$2342),'Grid Data'!$B$4:$B$2342,$D10,'Grid Data'!$C$4:$C$2342,J$4,'Grid Data'!$A$4:$A$2342,$D$2)*100, 0)</f>
        <v>0</v>
      </c>
      <c r="K10" s="4">
        <f>IF(  K73&gt;$E$2, SUMIFS(IF($G$2="CPR",'Grid Data'!$J$4:$J$2342,'Grid Data'!$K$4:$K$2342),'Grid Data'!$B$4:$B$2342,$D10,'Grid Data'!$C$4:$C$2342,K$4,'Grid Data'!$A$4:$A$2342,$D$2)*100, 0)</f>
        <v>0</v>
      </c>
      <c r="L10" s="4">
        <f>IF(  L73&gt;$E$2, SUMIFS(IF($G$2="CPR",'Grid Data'!$J$4:$J$2342,'Grid Data'!$K$4:$K$2342),'Grid Data'!$B$4:$B$2342,$D10,'Grid Data'!$C$4:$C$2342,L$4,'Grid Data'!$A$4:$A$2342,$D$2)*100, 0)</f>
        <v>0</v>
      </c>
      <c r="M10" s="4">
        <f>IF(  M73&gt;$E$2, SUMIFS(IF($G$2="CPR",'Grid Data'!$J$4:$J$2342,'Grid Data'!$K$4:$K$2342),'Grid Data'!$B$4:$B$2342,$D10,'Grid Data'!$C$4:$C$2342,M$4,'Grid Data'!$A$4:$A$2342,$D$2)*100, 0)</f>
        <v>0</v>
      </c>
      <c r="N10" s="4">
        <f>IF(  N73&gt;$E$2, SUMIFS(IF($G$2="CPR",'Grid Data'!$J$4:$J$2342,'Grid Data'!$K$4:$K$2342),'Grid Data'!$B$4:$B$2342,$D10,'Grid Data'!$C$4:$C$2342,N$4,'Grid Data'!$A$4:$A$2342,$D$2)*100, 0)</f>
        <v>0</v>
      </c>
      <c r="O10" s="4">
        <f>IF(  O73&gt;$E$2, SUMIFS(IF($G$2="CPR",'Grid Data'!$J$4:$J$2342,'Grid Data'!$K$4:$K$2342),'Grid Data'!$B$4:$B$2342,$D10,'Grid Data'!$C$4:$C$2342,O$4,'Grid Data'!$A$4:$A$2342,$D$2)*100, 0)</f>
        <v>0</v>
      </c>
      <c r="P10" s="4">
        <f>IF(  P73&gt;$E$2, SUMIFS(IF($G$2="CPR",'Grid Data'!$J$4:$J$2342,'Grid Data'!$K$4:$K$2342),'Grid Data'!$B$4:$B$2342,$D10,'Grid Data'!$C$4:$C$2342,P$4,'Grid Data'!$A$4:$A$2342,$D$2)*100, 0)</f>
        <v>0</v>
      </c>
      <c r="Q10" s="4">
        <f>IF(  Q73&gt;$E$2, SUMIFS(IF($G$2="CPR",'Grid Data'!$J$4:$J$2342,'Grid Data'!$K$4:$K$2342),'Grid Data'!$B$4:$B$2342,$D10,'Grid Data'!$C$4:$C$2342,Q$4,'Grid Data'!$A$4:$A$2342,$D$2)*100, 0)</f>
        <v>0</v>
      </c>
      <c r="R10" s="4">
        <f>IF(  R73&gt;$E$2, SUMIFS(IF($G$2="CPR",'Grid Data'!$J$4:$J$2342,'Grid Data'!$K$4:$K$2342),'Grid Data'!$B$4:$B$2342,$D10,'Grid Data'!$C$4:$C$2342,R$4,'Grid Data'!$A$4:$A$2342,$D$2)*100, 0)</f>
        <v>0</v>
      </c>
      <c r="S10" s="4">
        <f>IF(  S73&gt;$E$2, SUMIFS(IF($G$2="CPR",'Grid Data'!$J$4:$J$2342,'Grid Data'!$K$4:$K$2342),'Grid Data'!$B$4:$B$2342,$D10,'Grid Data'!$C$4:$C$2342,S$4,'Grid Data'!$A$4:$A$2342,$D$2)*100, 0)</f>
        <v>8.1494999999999997</v>
      </c>
      <c r="T10" s="4">
        <f>IF(  T73&gt;$E$2, SUMIFS(IF($G$2="CPR",'Grid Data'!$J$4:$J$2342,'Grid Data'!$K$4:$K$2342),'Grid Data'!$B$4:$B$2342,$D10,'Grid Data'!$C$4:$C$2342,T$4,'Grid Data'!$A$4:$A$2342,$D$2)*100, 0)</f>
        <v>5.8296000000000001</v>
      </c>
      <c r="U10" s="4">
        <f>IF(  U73&gt;$E$2, SUMIFS(IF($G$2="CPR",'Grid Data'!$J$4:$J$2342,'Grid Data'!$K$4:$K$2342),'Grid Data'!$B$4:$B$2342,$D10,'Grid Data'!$C$4:$C$2342,U$4,'Grid Data'!$A$4:$A$2342,$D$2)*100, 0)</f>
        <v>5.9799999999999995</v>
      </c>
      <c r="V10" s="4">
        <f>IF(  V73&gt;$E$2, SUMIFS(IF($G$2="CPR",'Grid Data'!$J$4:$J$2342,'Grid Data'!$K$4:$K$2342),'Grid Data'!$B$4:$B$2342,$D10,'Grid Data'!$C$4:$C$2342,V$4,'Grid Data'!$A$4:$A$2342,$D$2)*100, 0)</f>
        <v>6.0738000000000003</v>
      </c>
      <c r="W10" s="4">
        <f>IF(  W73&gt;$E$2, SUMIFS(IF($G$2="CPR",'Grid Data'!$J$4:$J$2342,'Grid Data'!$K$4:$K$2342),'Grid Data'!$B$4:$B$2342,$D10,'Grid Data'!$C$4:$C$2342,W$4,'Grid Data'!$A$4:$A$2342,$D$2)*100, 0)</f>
        <v>6.1024000000000003</v>
      </c>
      <c r="X10" s="4">
        <f>IF(  X73&gt;$E$2, SUMIFS(IF($G$2="CPR",'Grid Data'!$J$4:$J$2342,'Grid Data'!$K$4:$K$2342),'Grid Data'!$B$4:$B$2342,$D10,'Grid Data'!$C$4:$C$2342,X$4,'Grid Data'!$A$4:$A$2342,$D$2)*100, 0)</f>
        <v>5.5307000000000004</v>
      </c>
      <c r="Y10" s="4">
        <f>IF(  Y73&gt;$E$2, SUMIFS(IF($G$2="CPR",'Grid Data'!$J$4:$J$2342,'Grid Data'!$K$4:$K$2342),'Grid Data'!$B$4:$B$2342,$D10,'Grid Data'!$C$4:$C$2342,Y$4,'Grid Data'!$A$4:$A$2342,$D$2)*100, 0)</f>
        <v>5.4474</v>
      </c>
      <c r="Z10" s="4">
        <f>IF(  Z73&gt;$E$2, SUMIFS(IF($G$2="CPR",'Grid Data'!$J$4:$J$2342,'Grid Data'!$K$4:$K$2342),'Grid Data'!$B$4:$B$2342,$D10,'Grid Data'!$C$4:$C$2342,Z$4,'Grid Data'!$A$4:$A$2342,$D$2)*100, 0)</f>
        <v>5.8527000000000005</v>
      </c>
      <c r="AA10" s="4">
        <f>IF(  AA73&gt;$E$2, SUMIFS(IF($G$2="CPR",'Grid Data'!$J$4:$J$2342,'Grid Data'!$K$4:$K$2342),'Grid Data'!$B$4:$B$2342,$D10,'Grid Data'!$C$4:$C$2342,AA$4,'Grid Data'!$A$4:$A$2342,$D$2)*100, 0)</f>
        <v>5.6315999999999997</v>
      </c>
      <c r="AB10" s="4">
        <f>IF(  AB73&gt;$E$2, SUMIFS(IF($G$2="CPR",'Grid Data'!$J$4:$J$2342,'Grid Data'!$K$4:$K$2342),'Grid Data'!$B$4:$B$2342,$D10,'Grid Data'!$C$4:$C$2342,AB$4,'Grid Data'!$A$4:$A$2342,$D$2)*100, 0)</f>
        <v>5.2020999999999997</v>
      </c>
      <c r="AC10" s="4">
        <f>IF(  AC73&gt;$E$2, SUMIFS(IF($G$2="CPR",'Grid Data'!$J$4:$J$2342,'Grid Data'!$K$4:$K$2342),'Grid Data'!$B$4:$B$2342,$D10,'Grid Data'!$C$4:$C$2342,AC$4,'Grid Data'!$A$4:$A$2342,$D$2)*100, 0)</f>
        <v>4.5430999999999999</v>
      </c>
      <c r="AD10" s="4">
        <f>IF(  AD73&gt;$E$2, SUMIFS(IF($G$2="CPR",'Grid Data'!$J$4:$J$2342,'Grid Data'!$K$4:$K$2342),'Grid Data'!$B$4:$B$2342,$D10,'Grid Data'!$C$4:$C$2342,AD$4,'Grid Data'!$A$4:$A$2342,$D$2)*100, 0)</f>
        <v>4.7158999999999995</v>
      </c>
      <c r="AE10" s="4">
        <f>IF(  AE73&gt;$E$2, SUMIFS(IF($G$2="CPR",'Grid Data'!$J$4:$J$2342,'Grid Data'!$K$4:$K$2342),'Grid Data'!$B$4:$B$2342,$D10,'Grid Data'!$C$4:$C$2342,AE$4,'Grid Data'!$A$4:$A$2342,$D$2)*100, 0)</f>
        <v>0</v>
      </c>
      <c r="AF10" s="4">
        <f>IF(  AF73&gt;$E$2, SUMIFS(IF($G$2="CPR",'Grid Data'!$J$4:$J$2342,'Grid Data'!$K$4:$K$2342),'Grid Data'!$B$4:$B$2342,$D10,'Grid Data'!$C$4:$C$2342,AF$4,'Grid Data'!$A$4:$A$2342,$D$2)*100, 0)</f>
        <v>0</v>
      </c>
      <c r="AG10" s="4">
        <f>IF(  AG73&gt;$E$2, SUMIFS(IF($G$2="CPR",'Grid Data'!$J$4:$J$2342,'Grid Data'!$K$4:$K$2342),'Grid Data'!$B$4:$B$2342,$D10,'Grid Data'!$C$4:$C$2342,AG$4,'Grid Data'!$A$4:$A$2342,$D$2)*100, 0)</f>
        <v>0</v>
      </c>
      <c r="AH10" s="4">
        <f>IF(  AH73&gt;$E$2, SUMIFS(IF($G$2="CPR",'Grid Data'!$J$4:$J$2342,'Grid Data'!$K$4:$K$2342),'Grid Data'!$B$4:$B$2342,$D10,'Grid Data'!$C$4:$C$2342,AH$4,'Grid Data'!$A$4:$A$2342,$D$2)*100, 0)</f>
        <v>0</v>
      </c>
    </row>
    <row r="11" spans="4:34" x14ac:dyDescent="0.35">
      <c r="D11">
        <v>3500</v>
      </c>
      <c r="E11" s="4">
        <f>IF(  E74&gt;$E$2, SUMIFS(IF($G$2="CPR",'Grid Data'!$J$4:$J$2342,'Grid Data'!$K$4:$K$2342),'Grid Data'!$B$4:$B$2342,$D11,'Grid Data'!$C$4:$C$2342,E$4,'Grid Data'!$A$4:$A$2342,$D$2)*100, 0)</f>
        <v>0.1799</v>
      </c>
      <c r="F11" s="4">
        <f>IF(  F74&gt;$E$2, SUMIFS(IF($G$2="CPR",'Grid Data'!$J$4:$J$2342,'Grid Data'!$K$4:$K$2342),'Grid Data'!$B$4:$B$2342,$D11,'Grid Data'!$C$4:$C$2342,F$4,'Grid Data'!$A$4:$A$2342,$D$2)*100, 0)</f>
        <v>0</v>
      </c>
      <c r="G11" s="4">
        <f>IF(  G74&gt;$E$2, SUMIFS(IF($G$2="CPR",'Grid Data'!$J$4:$J$2342,'Grid Data'!$K$4:$K$2342),'Grid Data'!$B$4:$B$2342,$D11,'Grid Data'!$C$4:$C$2342,G$4,'Grid Data'!$A$4:$A$2342,$D$2)*100, 0)</f>
        <v>0</v>
      </c>
      <c r="H11" s="4">
        <f>IF(  H74&gt;$E$2, SUMIFS(IF($G$2="CPR",'Grid Data'!$J$4:$J$2342,'Grid Data'!$K$4:$K$2342),'Grid Data'!$B$4:$B$2342,$D11,'Grid Data'!$C$4:$C$2342,H$4,'Grid Data'!$A$4:$A$2342,$D$2)*100, 0)</f>
        <v>0</v>
      </c>
      <c r="I11" s="4">
        <f>IF(  I74&gt;$E$2, SUMIFS(IF($G$2="CPR",'Grid Data'!$J$4:$J$2342,'Grid Data'!$K$4:$K$2342),'Grid Data'!$B$4:$B$2342,$D11,'Grid Data'!$C$4:$C$2342,I$4,'Grid Data'!$A$4:$A$2342,$D$2)*100, 0)</f>
        <v>0</v>
      </c>
      <c r="J11" s="4">
        <f>IF(  J74&gt;$E$2, SUMIFS(IF($G$2="CPR",'Grid Data'!$J$4:$J$2342,'Grid Data'!$K$4:$K$2342),'Grid Data'!$B$4:$B$2342,$D11,'Grid Data'!$C$4:$C$2342,J$4,'Grid Data'!$A$4:$A$2342,$D$2)*100, 0)</f>
        <v>0</v>
      </c>
      <c r="K11" s="4">
        <f>IF(  K74&gt;$E$2, SUMIFS(IF($G$2="CPR",'Grid Data'!$J$4:$J$2342,'Grid Data'!$K$4:$K$2342),'Grid Data'!$B$4:$B$2342,$D11,'Grid Data'!$C$4:$C$2342,K$4,'Grid Data'!$A$4:$A$2342,$D$2)*100, 0)</f>
        <v>0</v>
      </c>
      <c r="L11" s="4">
        <f>IF(  L74&gt;$E$2, SUMIFS(IF($G$2="CPR",'Grid Data'!$J$4:$J$2342,'Grid Data'!$K$4:$K$2342),'Grid Data'!$B$4:$B$2342,$D11,'Grid Data'!$C$4:$C$2342,L$4,'Grid Data'!$A$4:$A$2342,$D$2)*100, 0)</f>
        <v>0</v>
      </c>
      <c r="M11" s="4">
        <f>IF(  M74&gt;$E$2, SUMIFS(IF($G$2="CPR",'Grid Data'!$J$4:$J$2342,'Grid Data'!$K$4:$K$2342),'Grid Data'!$B$4:$B$2342,$D11,'Grid Data'!$C$4:$C$2342,M$4,'Grid Data'!$A$4:$A$2342,$D$2)*100, 0)</f>
        <v>0</v>
      </c>
      <c r="N11" s="4">
        <f>IF(  N74&gt;$E$2, SUMIFS(IF($G$2="CPR",'Grid Data'!$J$4:$J$2342,'Grid Data'!$K$4:$K$2342),'Grid Data'!$B$4:$B$2342,$D11,'Grid Data'!$C$4:$C$2342,N$4,'Grid Data'!$A$4:$A$2342,$D$2)*100, 0)</f>
        <v>0</v>
      </c>
      <c r="O11" s="4">
        <f>IF(  O74&gt;$E$2, SUMIFS(IF($G$2="CPR",'Grid Data'!$J$4:$J$2342,'Grid Data'!$K$4:$K$2342),'Grid Data'!$B$4:$B$2342,$D11,'Grid Data'!$C$4:$C$2342,O$4,'Grid Data'!$A$4:$A$2342,$D$2)*100, 0)</f>
        <v>0</v>
      </c>
      <c r="P11" s="4">
        <f>IF(  P74&gt;$E$2, SUMIFS(IF($G$2="CPR",'Grid Data'!$J$4:$J$2342,'Grid Data'!$K$4:$K$2342),'Grid Data'!$B$4:$B$2342,$D11,'Grid Data'!$C$4:$C$2342,P$4,'Grid Data'!$A$4:$A$2342,$D$2)*100, 0)</f>
        <v>0</v>
      </c>
      <c r="Q11" s="4">
        <f>IF(  Q74&gt;$E$2, SUMIFS(IF($G$2="CPR",'Grid Data'!$J$4:$J$2342,'Grid Data'!$K$4:$K$2342),'Grid Data'!$B$4:$B$2342,$D11,'Grid Data'!$C$4:$C$2342,Q$4,'Grid Data'!$A$4:$A$2342,$D$2)*100, 0)</f>
        <v>0</v>
      </c>
      <c r="R11" s="4">
        <f>IF(  R74&gt;$E$2, SUMIFS(IF($G$2="CPR",'Grid Data'!$J$4:$J$2342,'Grid Data'!$K$4:$K$2342),'Grid Data'!$B$4:$B$2342,$D11,'Grid Data'!$C$4:$C$2342,R$4,'Grid Data'!$A$4:$A$2342,$D$2)*100, 0)</f>
        <v>0</v>
      </c>
      <c r="S11" s="4">
        <f>IF(  S74&gt;$E$2, SUMIFS(IF($G$2="CPR",'Grid Data'!$J$4:$J$2342,'Grid Data'!$K$4:$K$2342),'Grid Data'!$B$4:$B$2342,$D11,'Grid Data'!$C$4:$C$2342,S$4,'Grid Data'!$A$4:$A$2342,$D$2)*100, 0)</f>
        <v>6.6715</v>
      </c>
      <c r="T11" s="4">
        <f>IF(  T74&gt;$E$2, SUMIFS(IF($G$2="CPR",'Grid Data'!$J$4:$J$2342,'Grid Data'!$K$4:$K$2342),'Grid Data'!$B$4:$B$2342,$D11,'Grid Data'!$C$4:$C$2342,T$4,'Grid Data'!$A$4:$A$2342,$D$2)*100, 0)</f>
        <v>5.5598999999999998</v>
      </c>
      <c r="U11" s="4">
        <f>IF(  U74&gt;$E$2, SUMIFS(IF($G$2="CPR",'Grid Data'!$J$4:$J$2342,'Grid Data'!$K$4:$K$2342),'Grid Data'!$B$4:$B$2342,$D11,'Grid Data'!$C$4:$C$2342,U$4,'Grid Data'!$A$4:$A$2342,$D$2)*100, 0)</f>
        <v>5.5113000000000003</v>
      </c>
      <c r="V11" s="4">
        <f>IF(  V74&gt;$E$2, SUMIFS(IF($G$2="CPR",'Grid Data'!$J$4:$J$2342,'Grid Data'!$K$4:$K$2342),'Grid Data'!$B$4:$B$2342,$D11,'Grid Data'!$C$4:$C$2342,V$4,'Grid Data'!$A$4:$A$2342,$D$2)*100, 0)</f>
        <v>5.9938000000000002</v>
      </c>
      <c r="W11" s="4">
        <f>IF(  W74&gt;$E$2, SUMIFS(IF($G$2="CPR",'Grid Data'!$J$4:$J$2342,'Grid Data'!$K$4:$K$2342),'Grid Data'!$B$4:$B$2342,$D11,'Grid Data'!$C$4:$C$2342,W$4,'Grid Data'!$A$4:$A$2342,$D$2)*100, 0)</f>
        <v>6.5262000000000002</v>
      </c>
      <c r="X11" s="4">
        <f>IF(  X74&gt;$E$2, SUMIFS(IF($G$2="CPR",'Grid Data'!$J$4:$J$2342,'Grid Data'!$K$4:$K$2342),'Grid Data'!$B$4:$B$2342,$D11,'Grid Data'!$C$4:$C$2342,X$4,'Grid Data'!$A$4:$A$2342,$D$2)*100, 0)</f>
        <v>6.0027999999999997</v>
      </c>
      <c r="Y11" s="4">
        <f>IF(  Y74&gt;$E$2, SUMIFS(IF($G$2="CPR",'Grid Data'!$J$4:$J$2342,'Grid Data'!$K$4:$K$2342),'Grid Data'!$B$4:$B$2342,$D11,'Grid Data'!$C$4:$C$2342,Y$4,'Grid Data'!$A$4:$A$2342,$D$2)*100, 0)</f>
        <v>6.0824000000000007</v>
      </c>
      <c r="Z11" s="4">
        <f>IF(  Z74&gt;$E$2, SUMIFS(IF($G$2="CPR",'Grid Data'!$J$4:$J$2342,'Grid Data'!$K$4:$K$2342),'Grid Data'!$B$4:$B$2342,$D11,'Grid Data'!$C$4:$C$2342,Z$4,'Grid Data'!$A$4:$A$2342,$D$2)*100, 0)</f>
        <v>5.8320999999999996</v>
      </c>
      <c r="AA11" s="4">
        <f>IF(  AA74&gt;$E$2, SUMIFS(IF($G$2="CPR",'Grid Data'!$J$4:$J$2342,'Grid Data'!$K$4:$K$2342),'Grid Data'!$B$4:$B$2342,$D11,'Grid Data'!$C$4:$C$2342,AA$4,'Grid Data'!$A$4:$A$2342,$D$2)*100, 0)</f>
        <v>5.7140000000000004</v>
      </c>
      <c r="AB11" s="4">
        <f>IF(  AB74&gt;$E$2, SUMIFS(IF($G$2="CPR",'Grid Data'!$J$4:$J$2342,'Grid Data'!$K$4:$K$2342),'Grid Data'!$B$4:$B$2342,$D11,'Grid Data'!$C$4:$C$2342,AB$4,'Grid Data'!$A$4:$A$2342,$D$2)*100, 0)</f>
        <v>5.5558999999999994</v>
      </c>
      <c r="AC11" s="4">
        <f>IF(  AC74&gt;$E$2, SUMIFS(IF($G$2="CPR",'Grid Data'!$J$4:$J$2342,'Grid Data'!$K$4:$K$2342),'Grid Data'!$B$4:$B$2342,$D11,'Grid Data'!$C$4:$C$2342,AC$4,'Grid Data'!$A$4:$A$2342,$D$2)*100, 0)</f>
        <v>4.8929999999999998</v>
      </c>
      <c r="AD11" s="4">
        <f>IF(  AD74&gt;$E$2, SUMIFS(IF($G$2="CPR",'Grid Data'!$J$4:$J$2342,'Grid Data'!$K$4:$K$2342),'Grid Data'!$B$4:$B$2342,$D11,'Grid Data'!$C$4:$C$2342,AD$4,'Grid Data'!$A$4:$A$2342,$D$2)*100, 0)</f>
        <v>4.4498000000000006</v>
      </c>
      <c r="AE11" s="4">
        <f>IF(  AE74&gt;$E$2, SUMIFS(IF($G$2="CPR",'Grid Data'!$J$4:$J$2342,'Grid Data'!$K$4:$K$2342),'Grid Data'!$B$4:$B$2342,$D11,'Grid Data'!$C$4:$C$2342,AE$4,'Grid Data'!$A$4:$A$2342,$D$2)*100, 0)</f>
        <v>0</v>
      </c>
      <c r="AF11" s="4">
        <f>IF(  AF74&gt;$E$2, SUMIFS(IF($G$2="CPR",'Grid Data'!$J$4:$J$2342,'Grid Data'!$K$4:$K$2342),'Grid Data'!$B$4:$B$2342,$D11,'Grid Data'!$C$4:$C$2342,AF$4,'Grid Data'!$A$4:$A$2342,$D$2)*100, 0)</f>
        <v>0</v>
      </c>
      <c r="AG11" s="4">
        <f>IF(  AG74&gt;$E$2, SUMIFS(IF($G$2="CPR",'Grid Data'!$J$4:$J$2342,'Grid Data'!$K$4:$K$2342),'Grid Data'!$B$4:$B$2342,$D11,'Grid Data'!$C$4:$C$2342,AG$4,'Grid Data'!$A$4:$A$2342,$D$2)*100, 0)</f>
        <v>0</v>
      </c>
      <c r="AH11" s="4">
        <f>IF(  AH74&gt;$E$2, SUMIFS(IF($G$2="CPR",'Grid Data'!$J$4:$J$2342,'Grid Data'!$K$4:$K$2342),'Grid Data'!$B$4:$B$2342,$D11,'Grid Data'!$C$4:$C$2342,AH$4,'Grid Data'!$A$4:$A$2342,$D$2)*100, 0)</f>
        <v>0</v>
      </c>
    </row>
    <row r="12" spans="4:34" x14ac:dyDescent="0.35">
      <c r="D12">
        <v>3750</v>
      </c>
      <c r="E12" s="4">
        <f>IF(  E75&gt;$E$2, SUMIFS(IF($G$2="CPR",'Grid Data'!$J$4:$J$2342,'Grid Data'!$K$4:$K$2342),'Grid Data'!$B$4:$B$2342,$D12,'Grid Data'!$C$4:$C$2342,E$4,'Grid Data'!$A$4:$A$2342,$D$2)*100, 0)</f>
        <v>0.10660000000000001</v>
      </c>
      <c r="F12" s="4">
        <f>IF(  F75&gt;$E$2, SUMIFS(IF($G$2="CPR",'Grid Data'!$J$4:$J$2342,'Grid Data'!$K$4:$K$2342),'Grid Data'!$B$4:$B$2342,$D12,'Grid Data'!$C$4:$C$2342,F$4,'Grid Data'!$A$4:$A$2342,$D$2)*100, 0)</f>
        <v>0</v>
      </c>
      <c r="G12" s="4">
        <f>IF(  G75&gt;$E$2, SUMIFS(IF($G$2="CPR",'Grid Data'!$J$4:$J$2342,'Grid Data'!$K$4:$K$2342),'Grid Data'!$B$4:$B$2342,$D12,'Grid Data'!$C$4:$C$2342,G$4,'Grid Data'!$A$4:$A$2342,$D$2)*100, 0)</f>
        <v>0.33700000000000002</v>
      </c>
      <c r="H12" s="4">
        <f>IF(  H75&gt;$E$2, SUMIFS(IF($G$2="CPR",'Grid Data'!$J$4:$J$2342,'Grid Data'!$K$4:$K$2342),'Grid Data'!$B$4:$B$2342,$D12,'Grid Data'!$C$4:$C$2342,H$4,'Grid Data'!$A$4:$A$2342,$D$2)*100, 0)</f>
        <v>0.52379999999999993</v>
      </c>
      <c r="I12" s="4">
        <f>IF(  I75&gt;$E$2, SUMIFS(IF($G$2="CPR",'Grid Data'!$J$4:$J$2342,'Grid Data'!$K$4:$K$2342),'Grid Data'!$B$4:$B$2342,$D12,'Grid Data'!$C$4:$C$2342,I$4,'Grid Data'!$A$4:$A$2342,$D$2)*100, 0)</f>
        <v>0</v>
      </c>
      <c r="J12" s="4">
        <f>IF(  J75&gt;$E$2, SUMIFS(IF($G$2="CPR",'Grid Data'!$J$4:$J$2342,'Grid Data'!$K$4:$K$2342),'Grid Data'!$B$4:$B$2342,$D12,'Grid Data'!$C$4:$C$2342,J$4,'Grid Data'!$A$4:$A$2342,$D$2)*100, 0)</f>
        <v>0</v>
      </c>
      <c r="K12" s="4">
        <f>IF(  K75&gt;$E$2, SUMIFS(IF($G$2="CPR",'Grid Data'!$J$4:$J$2342,'Grid Data'!$K$4:$K$2342),'Grid Data'!$B$4:$B$2342,$D12,'Grid Data'!$C$4:$C$2342,K$4,'Grid Data'!$A$4:$A$2342,$D$2)*100, 0)</f>
        <v>0.47039999999999998</v>
      </c>
      <c r="L12" s="4">
        <f>IF(  L75&gt;$E$2, SUMIFS(IF($G$2="CPR",'Grid Data'!$J$4:$J$2342,'Grid Data'!$K$4:$K$2342),'Grid Data'!$B$4:$B$2342,$D12,'Grid Data'!$C$4:$C$2342,L$4,'Grid Data'!$A$4:$A$2342,$D$2)*100, 0)</f>
        <v>0.75880000000000003</v>
      </c>
      <c r="M12" s="4">
        <f>IF(  M75&gt;$E$2, SUMIFS(IF($G$2="CPR",'Grid Data'!$J$4:$J$2342,'Grid Data'!$K$4:$K$2342),'Grid Data'!$B$4:$B$2342,$D12,'Grid Data'!$C$4:$C$2342,M$4,'Grid Data'!$A$4:$A$2342,$D$2)*100, 0)</f>
        <v>0.80549999999999999</v>
      </c>
      <c r="N12" s="4">
        <f>IF(  N75&gt;$E$2, SUMIFS(IF($G$2="CPR",'Grid Data'!$J$4:$J$2342,'Grid Data'!$K$4:$K$2342),'Grid Data'!$B$4:$B$2342,$D12,'Grid Data'!$C$4:$C$2342,N$4,'Grid Data'!$A$4:$A$2342,$D$2)*100, 0)</f>
        <v>0</v>
      </c>
      <c r="O12" s="4">
        <f>IF(  O75&gt;$E$2, SUMIFS(IF($G$2="CPR",'Grid Data'!$J$4:$J$2342,'Grid Data'!$K$4:$K$2342),'Grid Data'!$B$4:$B$2342,$D12,'Grid Data'!$C$4:$C$2342,O$4,'Grid Data'!$A$4:$A$2342,$D$2)*100, 0)</f>
        <v>0</v>
      </c>
      <c r="P12" s="4">
        <f>IF(  P75&gt;$E$2, SUMIFS(IF($G$2="CPR",'Grid Data'!$J$4:$J$2342,'Grid Data'!$K$4:$K$2342),'Grid Data'!$B$4:$B$2342,$D12,'Grid Data'!$C$4:$C$2342,P$4,'Grid Data'!$A$4:$A$2342,$D$2)*100, 0)</f>
        <v>0</v>
      </c>
      <c r="Q12" s="4">
        <f>IF(  Q75&gt;$E$2, SUMIFS(IF($G$2="CPR",'Grid Data'!$J$4:$J$2342,'Grid Data'!$K$4:$K$2342),'Grid Data'!$B$4:$B$2342,$D12,'Grid Data'!$C$4:$C$2342,Q$4,'Grid Data'!$A$4:$A$2342,$D$2)*100, 0)</f>
        <v>0</v>
      </c>
      <c r="R12" s="4">
        <f>IF(  R75&gt;$E$2, SUMIFS(IF($G$2="CPR",'Grid Data'!$J$4:$J$2342,'Grid Data'!$K$4:$K$2342),'Grid Data'!$B$4:$B$2342,$D12,'Grid Data'!$C$4:$C$2342,R$4,'Grid Data'!$A$4:$A$2342,$D$2)*100, 0)</f>
        <v>5.8456000000000001</v>
      </c>
      <c r="S12" s="4">
        <f>IF(  S75&gt;$E$2, SUMIFS(IF($G$2="CPR",'Grid Data'!$J$4:$J$2342,'Grid Data'!$K$4:$K$2342),'Grid Data'!$B$4:$B$2342,$D12,'Grid Data'!$C$4:$C$2342,S$4,'Grid Data'!$A$4:$A$2342,$D$2)*100, 0)</f>
        <v>6.2423000000000002</v>
      </c>
      <c r="T12" s="4">
        <f>IF(  T75&gt;$E$2, SUMIFS(IF($G$2="CPR",'Grid Data'!$J$4:$J$2342,'Grid Data'!$K$4:$K$2342),'Grid Data'!$B$4:$B$2342,$D12,'Grid Data'!$C$4:$C$2342,T$4,'Grid Data'!$A$4:$A$2342,$D$2)*100, 0)</f>
        <v>5.5833000000000004</v>
      </c>
      <c r="U12" s="4">
        <f>IF(  U75&gt;$E$2, SUMIFS(IF($G$2="CPR",'Grid Data'!$J$4:$J$2342,'Grid Data'!$K$4:$K$2342),'Grid Data'!$B$4:$B$2342,$D12,'Grid Data'!$C$4:$C$2342,U$4,'Grid Data'!$A$4:$A$2342,$D$2)*100, 0)</f>
        <v>5.5648</v>
      </c>
      <c r="V12" s="4">
        <f>IF(  V75&gt;$E$2, SUMIFS(IF($G$2="CPR",'Grid Data'!$J$4:$J$2342,'Grid Data'!$K$4:$K$2342),'Grid Data'!$B$4:$B$2342,$D12,'Grid Data'!$C$4:$C$2342,V$4,'Grid Data'!$A$4:$A$2342,$D$2)*100, 0)</f>
        <v>6.2027999999999999</v>
      </c>
      <c r="W12" s="4">
        <f>IF(  W75&gt;$E$2, SUMIFS(IF($G$2="CPR",'Grid Data'!$J$4:$J$2342,'Grid Data'!$K$4:$K$2342),'Grid Data'!$B$4:$B$2342,$D12,'Grid Data'!$C$4:$C$2342,W$4,'Grid Data'!$A$4:$A$2342,$D$2)*100, 0)</f>
        <v>6.5175000000000001</v>
      </c>
      <c r="X12" s="4">
        <f>IF(  X75&gt;$E$2, SUMIFS(IF($G$2="CPR",'Grid Data'!$J$4:$J$2342,'Grid Data'!$K$4:$K$2342),'Grid Data'!$B$4:$B$2342,$D12,'Grid Data'!$C$4:$C$2342,X$4,'Grid Data'!$A$4:$A$2342,$D$2)*100, 0)</f>
        <v>6.0608000000000004</v>
      </c>
      <c r="Y12" s="4">
        <f>IF(  Y75&gt;$E$2, SUMIFS(IF($G$2="CPR",'Grid Data'!$J$4:$J$2342,'Grid Data'!$K$4:$K$2342),'Grid Data'!$B$4:$B$2342,$D12,'Grid Data'!$C$4:$C$2342,Y$4,'Grid Data'!$A$4:$A$2342,$D$2)*100, 0)</f>
        <v>6.4752000000000001</v>
      </c>
      <c r="Z12" s="4">
        <f>IF(  Z75&gt;$E$2, SUMIFS(IF($G$2="CPR",'Grid Data'!$J$4:$J$2342,'Grid Data'!$K$4:$K$2342),'Grid Data'!$B$4:$B$2342,$D12,'Grid Data'!$C$4:$C$2342,Z$4,'Grid Data'!$A$4:$A$2342,$D$2)*100, 0)</f>
        <v>6.0301</v>
      </c>
      <c r="AA12" s="4">
        <f>IF(  AA75&gt;$E$2, SUMIFS(IF($G$2="CPR",'Grid Data'!$J$4:$J$2342,'Grid Data'!$K$4:$K$2342),'Grid Data'!$B$4:$B$2342,$D12,'Grid Data'!$C$4:$C$2342,AA$4,'Grid Data'!$A$4:$A$2342,$D$2)*100, 0)</f>
        <v>5.9110999999999994</v>
      </c>
      <c r="AB12" s="4">
        <f>IF(  AB75&gt;$E$2, SUMIFS(IF($G$2="CPR",'Grid Data'!$J$4:$J$2342,'Grid Data'!$K$4:$K$2342),'Grid Data'!$B$4:$B$2342,$D12,'Grid Data'!$C$4:$C$2342,AB$4,'Grid Data'!$A$4:$A$2342,$D$2)*100, 0)</f>
        <v>5.7717999999999998</v>
      </c>
      <c r="AC12" s="4">
        <f>IF(  AC75&gt;$E$2, SUMIFS(IF($G$2="CPR",'Grid Data'!$J$4:$J$2342,'Grid Data'!$K$4:$K$2342),'Grid Data'!$B$4:$B$2342,$D12,'Grid Data'!$C$4:$C$2342,AC$4,'Grid Data'!$A$4:$A$2342,$D$2)*100, 0)</f>
        <v>5.2160000000000002</v>
      </c>
      <c r="AD12" s="4">
        <f>IF(  AD75&gt;$E$2, SUMIFS(IF($G$2="CPR",'Grid Data'!$J$4:$J$2342,'Grid Data'!$K$4:$K$2342),'Grid Data'!$B$4:$B$2342,$D12,'Grid Data'!$C$4:$C$2342,AD$4,'Grid Data'!$A$4:$A$2342,$D$2)*100, 0)</f>
        <v>5.1669</v>
      </c>
      <c r="AE12" s="4">
        <f>IF(  AE75&gt;$E$2, SUMIFS(IF($G$2="CPR",'Grid Data'!$J$4:$J$2342,'Grid Data'!$K$4:$K$2342),'Grid Data'!$B$4:$B$2342,$D12,'Grid Data'!$C$4:$C$2342,AE$4,'Grid Data'!$A$4:$A$2342,$D$2)*100, 0)</f>
        <v>0</v>
      </c>
      <c r="AF12" s="4">
        <f>IF(  AF75&gt;$E$2, SUMIFS(IF($G$2="CPR",'Grid Data'!$J$4:$J$2342,'Grid Data'!$K$4:$K$2342),'Grid Data'!$B$4:$B$2342,$D12,'Grid Data'!$C$4:$C$2342,AF$4,'Grid Data'!$A$4:$A$2342,$D$2)*100, 0)</f>
        <v>0</v>
      </c>
      <c r="AG12" s="4">
        <f>IF(  AG75&gt;$E$2, SUMIFS(IF($G$2="CPR",'Grid Data'!$J$4:$J$2342,'Grid Data'!$K$4:$K$2342),'Grid Data'!$B$4:$B$2342,$D12,'Grid Data'!$C$4:$C$2342,AG$4,'Grid Data'!$A$4:$A$2342,$D$2)*100, 0)</f>
        <v>0</v>
      </c>
      <c r="AH12" s="4">
        <f>IF(  AH75&gt;$E$2, SUMIFS(IF($G$2="CPR",'Grid Data'!$J$4:$J$2342,'Grid Data'!$K$4:$K$2342),'Grid Data'!$B$4:$B$2342,$D12,'Grid Data'!$C$4:$C$2342,AH$4,'Grid Data'!$A$4:$A$2342,$D$2)*100, 0)</f>
        <v>0</v>
      </c>
    </row>
    <row r="13" spans="4:34" x14ac:dyDescent="0.35">
      <c r="D13">
        <v>4000</v>
      </c>
      <c r="E13" s="4">
        <f>IF(  E76&gt;$E$2, SUMIFS(IF($G$2="CPR",'Grid Data'!$J$4:$J$2342,'Grid Data'!$K$4:$K$2342),'Grid Data'!$B$4:$B$2342,$D13,'Grid Data'!$C$4:$C$2342,E$4,'Grid Data'!$A$4:$A$2342,$D$2)*100, 0)</f>
        <v>0.19880000000000003</v>
      </c>
      <c r="F13" s="4">
        <f>IF(  F76&gt;$E$2, SUMIFS(IF($G$2="CPR",'Grid Data'!$J$4:$J$2342,'Grid Data'!$K$4:$K$2342),'Grid Data'!$B$4:$B$2342,$D13,'Grid Data'!$C$4:$C$2342,F$4,'Grid Data'!$A$4:$A$2342,$D$2)*100, 0)</f>
        <v>0.27490000000000003</v>
      </c>
      <c r="G13" s="4">
        <f>IF(  G76&gt;$E$2, SUMIFS(IF($G$2="CPR",'Grid Data'!$J$4:$J$2342,'Grid Data'!$K$4:$K$2342),'Grid Data'!$B$4:$B$2342,$D13,'Grid Data'!$C$4:$C$2342,G$4,'Grid Data'!$A$4:$A$2342,$D$2)*100, 0)</f>
        <v>0.42749999999999999</v>
      </c>
      <c r="H13" s="4">
        <f>IF(  H76&gt;$E$2, SUMIFS(IF($G$2="CPR",'Grid Data'!$J$4:$J$2342,'Grid Data'!$K$4:$K$2342),'Grid Data'!$B$4:$B$2342,$D13,'Grid Data'!$C$4:$C$2342,H$4,'Grid Data'!$A$4:$A$2342,$D$2)*100, 0)</f>
        <v>0.46789999999999998</v>
      </c>
      <c r="I13" s="4">
        <f>IF(  I76&gt;$E$2, SUMIFS(IF($G$2="CPR",'Grid Data'!$J$4:$J$2342,'Grid Data'!$K$4:$K$2342),'Grid Data'!$B$4:$B$2342,$D13,'Grid Data'!$C$4:$C$2342,I$4,'Grid Data'!$A$4:$A$2342,$D$2)*100, 0)</f>
        <v>0.48329999999999995</v>
      </c>
      <c r="J13" s="4">
        <f>IF(  J76&gt;$E$2, SUMIFS(IF($G$2="CPR",'Grid Data'!$J$4:$J$2342,'Grid Data'!$K$4:$K$2342),'Grid Data'!$B$4:$B$2342,$D13,'Grid Data'!$C$4:$C$2342,J$4,'Grid Data'!$A$4:$A$2342,$D$2)*100, 0)</f>
        <v>0.45849999999999996</v>
      </c>
      <c r="K13" s="4">
        <f>IF(  K76&gt;$E$2, SUMIFS(IF($G$2="CPR",'Grid Data'!$J$4:$J$2342,'Grid Data'!$K$4:$K$2342),'Grid Data'!$B$4:$B$2342,$D13,'Grid Data'!$C$4:$C$2342,K$4,'Grid Data'!$A$4:$A$2342,$D$2)*100, 0)</f>
        <v>0.65570000000000006</v>
      </c>
      <c r="L13" s="4">
        <f>IF(  L76&gt;$E$2, SUMIFS(IF($G$2="CPR",'Grid Data'!$J$4:$J$2342,'Grid Data'!$K$4:$K$2342),'Grid Data'!$B$4:$B$2342,$D13,'Grid Data'!$C$4:$C$2342,L$4,'Grid Data'!$A$4:$A$2342,$D$2)*100, 0)</f>
        <v>0.82520000000000004</v>
      </c>
      <c r="M13" s="4">
        <f>IF(  M76&gt;$E$2, SUMIFS(IF($G$2="CPR",'Grid Data'!$J$4:$J$2342,'Grid Data'!$K$4:$K$2342),'Grid Data'!$B$4:$B$2342,$D13,'Grid Data'!$C$4:$C$2342,M$4,'Grid Data'!$A$4:$A$2342,$D$2)*100, 0)</f>
        <v>1.0365</v>
      </c>
      <c r="N13" s="4">
        <f>IF(  N76&gt;$E$2, SUMIFS(IF($G$2="CPR",'Grid Data'!$J$4:$J$2342,'Grid Data'!$K$4:$K$2342),'Grid Data'!$B$4:$B$2342,$D13,'Grid Data'!$C$4:$C$2342,N$4,'Grid Data'!$A$4:$A$2342,$D$2)*100, 0)</f>
        <v>0</v>
      </c>
      <c r="O13" s="4">
        <f>IF(  O76&gt;$E$2, SUMIFS(IF($G$2="CPR",'Grid Data'!$J$4:$J$2342,'Grid Data'!$K$4:$K$2342),'Grid Data'!$B$4:$B$2342,$D13,'Grid Data'!$C$4:$C$2342,O$4,'Grid Data'!$A$4:$A$2342,$D$2)*100, 0)</f>
        <v>0</v>
      </c>
      <c r="P13" s="4">
        <f>IF(  P76&gt;$E$2, SUMIFS(IF($G$2="CPR",'Grid Data'!$J$4:$J$2342,'Grid Data'!$K$4:$K$2342),'Grid Data'!$B$4:$B$2342,$D13,'Grid Data'!$C$4:$C$2342,P$4,'Grid Data'!$A$4:$A$2342,$D$2)*100, 0)</f>
        <v>0</v>
      </c>
      <c r="Q13" s="4">
        <f>IF(  Q76&gt;$E$2, SUMIFS(IF($G$2="CPR",'Grid Data'!$J$4:$J$2342,'Grid Data'!$K$4:$K$2342),'Grid Data'!$B$4:$B$2342,$D13,'Grid Data'!$C$4:$C$2342,Q$4,'Grid Data'!$A$4:$A$2342,$D$2)*100, 0)</f>
        <v>0</v>
      </c>
      <c r="R13" s="4">
        <f>IF(  R76&gt;$E$2, SUMIFS(IF($G$2="CPR",'Grid Data'!$J$4:$J$2342,'Grid Data'!$K$4:$K$2342),'Grid Data'!$B$4:$B$2342,$D13,'Grid Data'!$C$4:$C$2342,R$4,'Grid Data'!$A$4:$A$2342,$D$2)*100, 0)</f>
        <v>5.4542000000000002</v>
      </c>
      <c r="S13" s="4">
        <f>IF(  S76&gt;$E$2, SUMIFS(IF($G$2="CPR",'Grid Data'!$J$4:$J$2342,'Grid Data'!$K$4:$K$2342),'Grid Data'!$B$4:$B$2342,$D13,'Grid Data'!$C$4:$C$2342,S$4,'Grid Data'!$A$4:$A$2342,$D$2)*100, 0)</f>
        <v>6.0531000000000006</v>
      </c>
      <c r="T13" s="4">
        <f>IF(  T76&gt;$E$2, SUMIFS(IF($G$2="CPR",'Grid Data'!$J$4:$J$2342,'Grid Data'!$K$4:$K$2342),'Grid Data'!$B$4:$B$2342,$D13,'Grid Data'!$C$4:$C$2342,T$4,'Grid Data'!$A$4:$A$2342,$D$2)*100, 0)</f>
        <v>5.7395000000000005</v>
      </c>
      <c r="U13" s="4">
        <f>IF(  U76&gt;$E$2, SUMIFS(IF($G$2="CPR",'Grid Data'!$J$4:$J$2342,'Grid Data'!$K$4:$K$2342),'Grid Data'!$B$4:$B$2342,$D13,'Grid Data'!$C$4:$C$2342,U$4,'Grid Data'!$A$4:$A$2342,$D$2)*100, 0)</f>
        <v>5.6147</v>
      </c>
      <c r="V13" s="4">
        <f>IF(  V76&gt;$E$2, SUMIFS(IF($G$2="CPR",'Grid Data'!$J$4:$J$2342,'Grid Data'!$K$4:$K$2342),'Grid Data'!$B$4:$B$2342,$D13,'Grid Data'!$C$4:$C$2342,V$4,'Grid Data'!$A$4:$A$2342,$D$2)*100, 0)</f>
        <v>6.4375</v>
      </c>
      <c r="W13" s="4">
        <f>IF(  W76&gt;$E$2, SUMIFS(IF($G$2="CPR",'Grid Data'!$J$4:$J$2342,'Grid Data'!$K$4:$K$2342),'Grid Data'!$B$4:$B$2342,$D13,'Grid Data'!$C$4:$C$2342,W$4,'Grid Data'!$A$4:$A$2342,$D$2)*100, 0)</f>
        <v>7.6194999999999995</v>
      </c>
      <c r="X13" s="4">
        <f>IF(  X76&gt;$E$2, SUMIFS(IF($G$2="CPR",'Grid Data'!$J$4:$J$2342,'Grid Data'!$K$4:$K$2342),'Grid Data'!$B$4:$B$2342,$D13,'Grid Data'!$C$4:$C$2342,X$4,'Grid Data'!$A$4:$A$2342,$D$2)*100, 0)</f>
        <v>6.8363999999999994</v>
      </c>
      <c r="Y13" s="4">
        <f>IF(  Y76&gt;$E$2, SUMIFS(IF($G$2="CPR",'Grid Data'!$J$4:$J$2342,'Grid Data'!$K$4:$K$2342),'Grid Data'!$B$4:$B$2342,$D13,'Grid Data'!$C$4:$C$2342,Y$4,'Grid Data'!$A$4:$A$2342,$D$2)*100, 0)</f>
        <v>6.4392000000000005</v>
      </c>
      <c r="Z13" s="4">
        <f>IF(  Z76&gt;$E$2, SUMIFS(IF($G$2="CPR",'Grid Data'!$J$4:$J$2342,'Grid Data'!$K$4:$K$2342),'Grid Data'!$B$4:$B$2342,$D13,'Grid Data'!$C$4:$C$2342,Z$4,'Grid Data'!$A$4:$A$2342,$D$2)*100, 0)</f>
        <v>6</v>
      </c>
      <c r="AA13" s="4">
        <f>IF(  AA76&gt;$E$2, SUMIFS(IF($G$2="CPR",'Grid Data'!$J$4:$J$2342,'Grid Data'!$K$4:$K$2342),'Grid Data'!$B$4:$B$2342,$D13,'Grid Data'!$C$4:$C$2342,AA$4,'Grid Data'!$A$4:$A$2342,$D$2)*100, 0)</f>
        <v>5.9428999999999998</v>
      </c>
      <c r="AB13" s="4">
        <f>IF(  AB76&gt;$E$2, SUMIFS(IF($G$2="CPR",'Grid Data'!$J$4:$J$2342,'Grid Data'!$K$4:$K$2342),'Grid Data'!$B$4:$B$2342,$D13,'Grid Data'!$C$4:$C$2342,AB$4,'Grid Data'!$A$4:$A$2342,$D$2)*100, 0)</f>
        <v>5.8483000000000001</v>
      </c>
      <c r="AC13" s="4">
        <f>IF(  AC76&gt;$E$2, SUMIFS(IF($G$2="CPR",'Grid Data'!$J$4:$J$2342,'Grid Data'!$K$4:$K$2342),'Grid Data'!$B$4:$B$2342,$D13,'Grid Data'!$C$4:$C$2342,AC$4,'Grid Data'!$A$4:$A$2342,$D$2)*100, 0)</f>
        <v>5.0754999999999999</v>
      </c>
      <c r="AD13" s="4">
        <f>IF(  AD76&gt;$E$2, SUMIFS(IF($G$2="CPR",'Grid Data'!$J$4:$J$2342,'Grid Data'!$K$4:$K$2342),'Grid Data'!$B$4:$B$2342,$D13,'Grid Data'!$C$4:$C$2342,AD$4,'Grid Data'!$A$4:$A$2342,$D$2)*100, 0)</f>
        <v>4.7484999999999999</v>
      </c>
      <c r="AE13" s="4">
        <f>IF(  AE76&gt;$E$2, SUMIFS(IF($G$2="CPR",'Grid Data'!$J$4:$J$2342,'Grid Data'!$K$4:$K$2342),'Grid Data'!$B$4:$B$2342,$D13,'Grid Data'!$C$4:$C$2342,AE$4,'Grid Data'!$A$4:$A$2342,$D$2)*100, 0)</f>
        <v>0</v>
      </c>
      <c r="AF13" s="4">
        <f>IF(  AF76&gt;$E$2, SUMIFS(IF($G$2="CPR",'Grid Data'!$J$4:$J$2342,'Grid Data'!$K$4:$K$2342),'Grid Data'!$B$4:$B$2342,$D13,'Grid Data'!$C$4:$C$2342,AF$4,'Grid Data'!$A$4:$A$2342,$D$2)*100, 0)</f>
        <v>0</v>
      </c>
      <c r="AG13" s="4">
        <f>IF(  AG76&gt;$E$2, SUMIFS(IF($G$2="CPR",'Grid Data'!$J$4:$J$2342,'Grid Data'!$K$4:$K$2342),'Grid Data'!$B$4:$B$2342,$D13,'Grid Data'!$C$4:$C$2342,AG$4,'Grid Data'!$A$4:$A$2342,$D$2)*100, 0)</f>
        <v>0</v>
      </c>
      <c r="AH13" s="4">
        <f>IF(  AH76&gt;$E$2, SUMIFS(IF($G$2="CPR",'Grid Data'!$J$4:$J$2342,'Grid Data'!$K$4:$K$2342),'Grid Data'!$B$4:$B$2342,$D13,'Grid Data'!$C$4:$C$2342,AH$4,'Grid Data'!$A$4:$A$2342,$D$2)*100, 0)</f>
        <v>0</v>
      </c>
    </row>
    <row r="14" spans="4:34" x14ac:dyDescent="0.35">
      <c r="D14">
        <v>4250</v>
      </c>
      <c r="E14" s="4">
        <f>IF(  E77&gt;$E$2, SUMIFS(IF($G$2="CPR",'Grid Data'!$J$4:$J$2342,'Grid Data'!$K$4:$K$2342),'Grid Data'!$B$4:$B$2342,$D14,'Grid Data'!$C$4:$C$2342,E$4,'Grid Data'!$A$4:$A$2342,$D$2)*100, 0)</f>
        <v>0.20810000000000001</v>
      </c>
      <c r="F14" s="4">
        <f>IF(  F77&gt;$E$2, SUMIFS(IF($G$2="CPR",'Grid Data'!$J$4:$J$2342,'Grid Data'!$K$4:$K$2342),'Grid Data'!$B$4:$B$2342,$D14,'Grid Data'!$C$4:$C$2342,F$4,'Grid Data'!$A$4:$A$2342,$D$2)*100, 0)</f>
        <v>0.25850000000000001</v>
      </c>
      <c r="G14" s="4">
        <f>IF(  G77&gt;$E$2, SUMIFS(IF($G$2="CPR",'Grid Data'!$J$4:$J$2342,'Grid Data'!$K$4:$K$2342),'Grid Data'!$B$4:$B$2342,$D14,'Grid Data'!$C$4:$C$2342,G$4,'Grid Data'!$A$4:$A$2342,$D$2)*100, 0)</f>
        <v>0.38169999999999998</v>
      </c>
      <c r="H14" s="4">
        <f>IF(  H77&gt;$E$2, SUMIFS(IF($G$2="CPR",'Grid Data'!$J$4:$J$2342,'Grid Data'!$K$4:$K$2342),'Grid Data'!$B$4:$B$2342,$D14,'Grid Data'!$C$4:$C$2342,H$4,'Grid Data'!$A$4:$A$2342,$D$2)*100, 0)</f>
        <v>0.4274</v>
      </c>
      <c r="I14" s="4">
        <f>IF(  I77&gt;$E$2, SUMIFS(IF($G$2="CPR",'Grid Data'!$J$4:$J$2342,'Grid Data'!$K$4:$K$2342),'Grid Data'!$B$4:$B$2342,$D14,'Grid Data'!$C$4:$C$2342,I$4,'Grid Data'!$A$4:$A$2342,$D$2)*100, 0)</f>
        <v>0.43769999999999998</v>
      </c>
      <c r="J14" s="4">
        <f>IF(  J77&gt;$E$2, SUMIFS(IF($G$2="CPR",'Grid Data'!$J$4:$J$2342,'Grid Data'!$K$4:$K$2342),'Grid Data'!$B$4:$B$2342,$D14,'Grid Data'!$C$4:$C$2342,J$4,'Grid Data'!$A$4:$A$2342,$D$2)*100, 0)</f>
        <v>0.3523</v>
      </c>
      <c r="K14" s="4">
        <f>IF(  K77&gt;$E$2, SUMIFS(IF($G$2="CPR",'Grid Data'!$J$4:$J$2342,'Grid Data'!$K$4:$K$2342),'Grid Data'!$B$4:$B$2342,$D14,'Grid Data'!$C$4:$C$2342,K$4,'Grid Data'!$A$4:$A$2342,$D$2)*100, 0)</f>
        <v>0.80120000000000002</v>
      </c>
      <c r="L14" s="4">
        <f>IF(  L77&gt;$E$2, SUMIFS(IF($G$2="CPR",'Grid Data'!$J$4:$J$2342,'Grid Data'!$K$4:$K$2342),'Grid Data'!$B$4:$B$2342,$D14,'Grid Data'!$C$4:$C$2342,L$4,'Grid Data'!$A$4:$A$2342,$D$2)*100, 0)</f>
        <v>0.90749999999999997</v>
      </c>
      <c r="M14" s="4">
        <f>IF(  M77&gt;$E$2, SUMIFS(IF($G$2="CPR",'Grid Data'!$J$4:$J$2342,'Grid Data'!$K$4:$K$2342),'Grid Data'!$B$4:$B$2342,$D14,'Grid Data'!$C$4:$C$2342,M$4,'Grid Data'!$A$4:$A$2342,$D$2)*100, 0)</f>
        <v>1.0498000000000001</v>
      </c>
      <c r="N14" s="4">
        <f>IF(  N77&gt;$E$2, SUMIFS(IF($G$2="CPR",'Grid Data'!$J$4:$J$2342,'Grid Data'!$K$4:$K$2342),'Grid Data'!$B$4:$B$2342,$D14,'Grid Data'!$C$4:$C$2342,N$4,'Grid Data'!$A$4:$A$2342,$D$2)*100, 0)</f>
        <v>1.3487</v>
      </c>
      <c r="O14" s="4">
        <f>IF(  O77&gt;$E$2, SUMIFS(IF($G$2="CPR",'Grid Data'!$J$4:$J$2342,'Grid Data'!$K$4:$K$2342),'Grid Data'!$B$4:$B$2342,$D14,'Grid Data'!$C$4:$C$2342,O$4,'Grid Data'!$A$4:$A$2342,$D$2)*100, 0)</f>
        <v>1.5051000000000001</v>
      </c>
      <c r="P14" s="4">
        <f>IF(  P77&gt;$E$2, SUMIFS(IF($G$2="CPR",'Grid Data'!$J$4:$J$2342,'Grid Data'!$K$4:$K$2342),'Grid Data'!$B$4:$B$2342,$D14,'Grid Data'!$C$4:$C$2342,P$4,'Grid Data'!$A$4:$A$2342,$D$2)*100, 0)</f>
        <v>3.0510999999999999</v>
      </c>
      <c r="Q14" s="4">
        <f>IF(  Q77&gt;$E$2, SUMIFS(IF($G$2="CPR",'Grid Data'!$J$4:$J$2342,'Grid Data'!$K$4:$K$2342),'Grid Data'!$B$4:$B$2342,$D14,'Grid Data'!$C$4:$C$2342,Q$4,'Grid Data'!$A$4:$A$2342,$D$2)*100, 0)</f>
        <v>3.1713999999999998</v>
      </c>
      <c r="R14" s="4">
        <f>IF(  R77&gt;$E$2, SUMIFS(IF($G$2="CPR",'Grid Data'!$J$4:$J$2342,'Grid Data'!$K$4:$K$2342),'Grid Data'!$B$4:$B$2342,$D14,'Grid Data'!$C$4:$C$2342,R$4,'Grid Data'!$A$4:$A$2342,$D$2)*100, 0)</f>
        <v>4.4658999999999995</v>
      </c>
      <c r="S14" s="4">
        <f>IF(  S77&gt;$E$2, SUMIFS(IF($G$2="CPR",'Grid Data'!$J$4:$J$2342,'Grid Data'!$K$4:$K$2342),'Grid Data'!$B$4:$B$2342,$D14,'Grid Data'!$C$4:$C$2342,S$4,'Grid Data'!$A$4:$A$2342,$D$2)*100, 0)</f>
        <v>6.3674999999999997</v>
      </c>
      <c r="T14" s="4">
        <f>IF(  T77&gt;$E$2, SUMIFS(IF($G$2="CPR",'Grid Data'!$J$4:$J$2342,'Grid Data'!$K$4:$K$2342),'Grid Data'!$B$4:$B$2342,$D14,'Grid Data'!$C$4:$C$2342,T$4,'Grid Data'!$A$4:$A$2342,$D$2)*100, 0)</f>
        <v>6.234</v>
      </c>
      <c r="U14" s="4">
        <f>IF(  U77&gt;$E$2, SUMIFS(IF($G$2="CPR",'Grid Data'!$J$4:$J$2342,'Grid Data'!$K$4:$K$2342),'Grid Data'!$B$4:$B$2342,$D14,'Grid Data'!$C$4:$C$2342,U$4,'Grid Data'!$A$4:$A$2342,$D$2)*100, 0)</f>
        <v>6.8150000000000004</v>
      </c>
      <c r="V14" s="4">
        <f>IF(  V77&gt;$E$2, SUMIFS(IF($G$2="CPR",'Grid Data'!$J$4:$J$2342,'Grid Data'!$K$4:$K$2342),'Grid Data'!$B$4:$B$2342,$D14,'Grid Data'!$C$4:$C$2342,V$4,'Grid Data'!$A$4:$A$2342,$D$2)*100, 0)</f>
        <v>7.3727999999999998</v>
      </c>
      <c r="W14" s="4">
        <f>IF(  W77&gt;$E$2, SUMIFS(IF($G$2="CPR",'Grid Data'!$J$4:$J$2342,'Grid Data'!$K$4:$K$2342),'Grid Data'!$B$4:$B$2342,$D14,'Grid Data'!$C$4:$C$2342,W$4,'Grid Data'!$A$4:$A$2342,$D$2)*100, 0)</f>
        <v>7.9103999999999992</v>
      </c>
      <c r="X14" s="4">
        <f>IF(  X77&gt;$E$2, SUMIFS(IF($G$2="CPR",'Grid Data'!$J$4:$J$2342,'Grid Data'!$K$4:$K$2342),'Grid Data'!$B$4:$B$2342,$D14,'Grid Data'!$C$4:$C$2342,X$4,'Grid Data'!$A$4:$A$2342,$D$2)*100, 0)</f>
        <v>7.6038999999999994</v>
      </c>
      <c r="Y14" s="4">
        <f>IF(  Y77&gt;$E$2, SUMIFS(IF($G$2="CPR",'Grid Data'!$J$4:$J$2342,'Grid Data'!$K$4:$K$2342),'Grid Data'!$B$4:$B$2342,$D14,'Grid Data'!$C$4:$C$2342,Y$4,'Grid Data'!$A$4:$A$2342,$D$2)*100, 0)</f>
        <v>7.1700999999999997</v>
      </c>
      <c r="Z14" s="4">
        <f>IF(  Z77&gt;$E$2, SUMIFS(IF($G$2="CPR",'Grid Data'!$J$4:$J$2342,'Grid Data'!$K$4:$K$2342),'Grid Data'!$B$4:$B$2342,$D14,'Grid Data'!$C$4:$C$2342,Z$4,'Grid Data'!$A$4:$A$2342,$D$2)*100, 0)</f>
        <v>6.3824000000000005</v>
      </c>
      <c r="AA14" s="4">
        <f>IF(  AA77&gt;$E$2, SUMIFS(IF($G$2="CPR",'Grid Data'!$J$4:$J$2342,'Grid Data'!$K$4:$K$2342),'Grid Data'!$B$4:$B$2342,$D14,'Grid Data'!$C$4:$C$2342,AA$4,'Grid Data'!$A$4:$A$2342,$D$2)*100, 0)</f>
        <v>6.4731999999999994</v>
      </c>
      <c r="AB14" s="4">
        <f>IF(  AB77&gt;$E$2, SUMIFS(IF($G$2="CPR",'Grid Data'!$J$4:$J$2342,'Grid Data'!$K$4:$K$2342),'Grid Data'!$B$4:$B$2342,$D14,'Grid Data'!$C$4:$C$2342,AB$4,'Grid Data'!$A$4:$A$2342,$D$2)*100, 0)</f>
        <v>6.0153999999999996</v>
      </c>
      <c r="AC14" s="4">
        <f>IF(  AC77&gt;$E$2, SUMIFS(IF($G$2="CPR",'Grid Data'!$J$4:$J$2342,'Grid Data'!$K$4:$K$2342),'Grid Data'!$B$4:$B$2342,$D14,'Grid Data'!$C$4:$C$2342,AC$4,'Grid Data'!$A$4:$A$2342,$D$2)*100, 0)</f>
        <v>5.3177000000000003</v>
      </c>
      <c r="AD14" s="4">
        <f>IF(  AD77&gt;$E$2, SUMIFS(IF($G$2="CPR",'Grid Data'!$J$4:$J$2342,'Grid Data'!$K$4:$K$2342),'Grid Data'!$B$4:$B$2342,$D14,'Grid Data'!$C$4:$C$2342,AD$4,'Grid Data'!$A$4:$A$2342,$D$2)*100, 0)</f>
        <v>5.0370999999999997</v>
      </c>
      <c r="AE14" s="4">
        <f>IF(  AE77&gt;$E$2, SUMIFS(IF($G$2="CPR",'Grid Data'!$J$4:$J$2342,'Grid Data'!$K$4:$K$2342),'Grid Data'!$B$4:$B$2342,$D14,'Grid Data'!$C$4:$C$2342,AE$4,'Grid Data'!$A$4:$A$2342,$D$2)*100, 0)</f>
        <v>3.2145000000000001</v>
      </c>
      <c r="AF14" s="4">
        <f>IF(  AF77&gt;$E$2, SUMIFS(IF($G$2="CPR",'Grid Data'!$J$4:$J$2342,'Grid Data'!$K$4:$K$2342),'Grid Data'!$B$4:$B$2342,$D14,'Grid Data'!$C$4:$C$2342,AF$4,'Grid Data'!$A$4:$A$2342,$D$2)*100, 0)</f>
        <v>0</v>
      </c>
      <c r="AG14" s="4">
        <f>IF(  AG77&gt;$E$2, SUMIFS(IF($G$2="CPR",'Grid Data'!$J$4:$J$2342,'Grid Data'!$K$4:$K$2342),'Grid Data'!$B$4:$B$2342,$D14,'Grid Data'!$C$4:$C$2342,AG$4,'Grid Data'!$A$4:$A$2342,$D$2)*100, 0)</f>
        <v>0</v>
      </c>
      <c r="AH14" s="4">
        <f>IF(  AH77&gt;$E$2, SUMIFS(IF($G$2="CPR",'Grid Data'!$J$4:$J$2342,'Grid Data'!$K$4:$K$2342),'Grid Data'!$B$4:$B$2342,$D14,'Grid Data'!$C$4:$C$2342,AH$4,'Grid Data'!$A$4:$A$2342,$D$2)*100, 0)</f>
        <v>0</v>
      </c>
    </row>
    <row r="15" spans="4:34" x14ac:dyDescent="0.35">
      <c r="D15">
        <v>4500</v>
      </c>
      <c r="E15" s="4">
        <f>IF(  E78&gt;$E$2, SUMIFS(IF($G$2="CPR",'Grid Data'!$J$4:$J$2342,'Grid Data'!$K$4:$K$2342),'Grid Data'!$B$4:$B$2342,$D15,'Grid Data'!$C$4:$C$2342,E$4,'Grid Data'!$A$4:$A$2342,$D$2)*100, 0)</f>
        <v>0.26960000000000001</v>
      </c>
      <c r="F15" s="4">
        <f>IF(  F78&gt;$E$2, SUMIFS(IF($G$2="CPR",'Grid Data'!$J$4:$J$2342,'Grid Data'!$K$4:$K$2342),'Grid Data'!$B$4:$B$2342,$D15,'Grid Data'!$C$4:$C$2342,F$4,'Grid Data'!$A$4:$A$2342,$D$2)*100, 0)</f>
        <v>0.54860000000000009</v>
      </c>
      <c r="G15" s="4">
        <f>IF(  G78&gt;$E$2, SUMIFS(IF($G$2="CPR",'Grid Data'!$J$4:$J$2342,'Grid Data'!$K$4:$K$2342),'Grid Data'!$B$4:$B$2342,$D15,'Grid Data'!$C$4:$C$2342,G$4,'Grid Data'!$A$4:$A$2342,$D$2)*100, 0)</f>
        <v>0.45339999999999997</v>
      </c>
      <c r="H15" s="4">
        <f>IF(  H78&gt;$E$2, SUMIFS(IF($G$2="CPR",'Grid Data'!$J$4:$J$2342,'Grid Data'!$K$4:$K$2342),'Grid Data'!$B$4:$B$2342,$D15,'Grid Data'!$C$4:$C$2342,H$4,'Grid Data'!$A$4:$A$2342,$D$2)*100, 0)</f>
        <v>0.47590000000000005</v>
      </c>
      <c r="I15" s="4">
        <f>IF(  I78&gt;$E$2, SUMIFS(IF($G$2="CPR",'Grid Data'!$J$4:$J$2342,'Grid Data'!$K$4:$K$2342),'Grid Data'!$B$4:$B$2342,$D15,'Grid Data'!$C$4:$C$2342,I$4,'Grid Data'!$A$4:$A$2342,$D$2)*100, 0)</f>
        <v>0.54469999999999996</v>
      </c>
      <c r="J15" s="4">
        <f>IF(  J78&gt;$E$2, SUMIFS(IF($G$2="CPR",'Grid Data'!$J$4:$J$2342,'Grid Data'!$K$4:$K$2342),'Grid Data'!$B$4:$B$2342,$D15,'Grid Data'!$C$4:$C$2342,J$4,'Grid Data'!$A$4:$A$2342,$D$2)*100, 0)</f>
        <v>0.83549999999999991</v>
      </c>
      <c r="K15" s="4">
        <f>IF(  K78&gt;$E$2, SUMIFS(IF($G$2="CPR",'Grid Data'!$J$4:$J$2342,'Grid Data'!$K$4:$K$2342),'Grid Data'!$B$4:$B$2342,$D15,'Grid Data'!$C$4:$C$2342,K$4,'Grid Data'!$A$4:$A$2342,$D$2)*100, 0)</f>
        <v>1.0311000000000001</v>
      </c>
      <c r="L15" s="4">
        <f>IF(  L78&gt;$E$2, SUMIFS(IF($G$2="CPR",'Grid Data'!$J$4:$J$2342,'Grid Data'!$K$4:$K$2342),'Grid Data'!$B$4:$B$2342,$D15,'Grid Data'!$C$4:$C$2342,L$4,'Grid Data'!$A$4:$A$2342,$D$2)*100, 0)</f>
        <v>1.452</v>
      </c>
      <c r="M15" s="4">
        <f>IF(  M78&gt;$E$2, SUMIFS(IF($G$2="CPR",'Grid Data'!$J$4:$J$2342,'Grid Data'!$K$4:$K$2342),'Grid Data'!$B$4:$B$2342,$D15,'Grid Data'!$C$4:$C$2342,M$4,'Grid Data'!$A$4:$A$2342,$D$2)*100, 0)</f>
        <v>1.5045999999999999</v>
      </c>
      <c r="N15" s="4">
        <f>IF(  N78&gt;$E$2, SUMIFS(IF($G$2="CPR",'Grid Data'!$J$4:$J$2342,'Grid Data'!$K$4:$K$2342),'Grid Data'!$B$4:$B$2342,$D15,'Grid Data'!$C$4:$C$2342,N$4,'Grid Data'!$A$4:$A$2342,$D$2)*100, 0)</f>
        <v>1.7499</v>
      </c>
      <c r="O15" s="4">
        <f>IF(  O78&gt;$E$2, SUMIFS(IF($G$2="CPR",'Grid Data'!$J$4:$J$2342,'Grid Data'!$K$4:$K$2342),'Grid Data'!$B$4:$B$2342,$D15,'Grid Data'!$C$4:$C$2342,O$4,'Grid Data'!$A$4:$A$2342,$D$2)*100, 0)</f>
        <v>1.9207999999999998</v>
      </c>
      <c r="P15" s="4">
        <f>IF(  P78&gt;$E$2, SUMIFS(IF($G$2="CPR",'Grid Data'!$J$4:$J$2342,'Grid Data'!$K$4:$K$2342),'Grid Data'!$B$4:$B$2342,$D15,'Grid Data'!$C$4:$C$2342,P$4,'Grid Data'!$A$4:$A$2342,$D$2)*100, 0)</f>
        <v>2.9319000000000002</v>
      </c>
      <c r="Q15" s="4">
        <f>IF(  Q78&gt;$E$2, SUMIFS(IF($G$2="CPR",'Grid Data'!$J$4:$J$2342,'Grid Data'!$K$4:$K$2342),'Grid Data'!$B$4:$B$2342,$D15,'Grid Data'!$C$4:$C$2342,Q$4,'Grid Data'!$A$4:$A$2342,$D$2)*100, 0)</f>
        <v>3.5782000000000003</v>
      </c>
      <c r="R15" s="4">
        <f>IF(  R78&gt;$E$2, SUMIFS(IF($G$2="CPR",'Grid Data'!$J$4:$J$2342,'Grid Data'!$K$4:$K$2342),'Grid Data'!$B$4:$B$2342,$D15,'Grid Data'!$C$4:$C$2342,R$4,'Grid Data'!$A$4:$A$2342,$D$2)*100, 0)</f>
        <v>5.2793000000000001</v>
      </c>
      <c r="S15" s="4">
        <f>IF(  S78&gt;$E$2, SUMIFS(IF($G$2="CPR",'Grid Data'!$J$4:$J$2342,'Grid Data'!$K$4:$K$2342),'Grid Data'!$B$4:$B$2342,$D15,'Grid Data'!$C$4:$C$2342,S$4,'Grid Data'!$A$4:$A$2342,$D$2)*100, 0)</f>
        <v>6.4500999999999999</v>
      </c>
      <c r="T15" s="4">
        <f>IF(  T78&gt;$E$2, SUMIFS(IF($G$2="CPR",'Grid Data'!$J$4:$J$2342,'Grid Data'!$K$4:$K$2342),'Grid Data'!$B$4:$B$2342,$D15,'Grid Data'!$C$4:$C$2342,T$4,'Grid Data'!$A$4:$A$2342,$D$2)*100, 0)</f>
        <v>6.1483999999999996</v>
      </c>
      <c r="U15" s="4">
        <f>IF(  U78&gt;$E$2, SUMIFS(IF($G$2="CPR",'Grid Data'!$J$4:$J$2342,'Grid Data'!$K$4:$K$2342),'Grid Data'!$B$4:$B$2342,$D15,'Grid Data'!$C$4:$C$2342,U$4,'Grid Data'!$A$4:$A$2342,$D$2)*100, 0)</f>
        <v>6.6671999999999993</v>
      </c>
      <c r="V15" s="4">
        <f>IF(  V78&gt;$E$2, SUMIFS(IF($G$2="CPR",'Grid Data'!$J$4:$J$2342,'Grid Data'!$K$4:$K$2342),'Grid Data'!$B$4:$B$2342,$D15,'Grid Data'!$C$4:$C$2342,V$4,'Grid Data'!$A$4:$A$2342,$D$2)*100, 0)</f>
        <v>7.4092000000000002</v>
      </c>
      <c r="W15" s="4">
        <f>IF(  W78&gt;$E$2, SUMIFS(IF($G$2="CPR",'Grid Data'!$J$4:$J$2342,'Grid Data'!$K$4:$K$2342),'Grid Data'!$B$4:$B$2342,$D15,'Grid Data'!$C$4:$C$2342,W$4,'Grid Data'!$A$4:$A$2342,$D$2)*100, 0)</f>
        <v>7.6615000000000002</v>
      </c>
      <c r="X15" s="4">
        <f>IF(  X78&gt;$E$2, SUMIFS(IF($G$2="CPR",'Grid Data'!$J$4:$J$2342,'Grid Data'!$K$4:$K$2342),'Grid Data'!$B$4:$B$2342,$D15,'Grid Data'!$C$4:$C$2342,X$4,'Grid Data'!$A$4:$A$2342,$D$2)*100, 0)</f>
        <v>7.5161000000000007</v>
      </c>
      <c r="Y15" s="4">
        <f>IF(  Y78&gt;$E$2, SUMIFS(IF($G$2="CPR",'Grid Data'!$J$4:$J$2342,'Grid Data'!$K$4:$K$2342),'Grid Data'!$B$4:$B$2342,$D15,'Grid Data'!$C$4:$C$2342,Y$4,'Grid Data'!$A$4:$A$2342,$D$2)*100, 0)</f>
        <v>6.5259</v>
      </c>
      <c r="Z15" s="4">
        <f>IF(  Z78&gt;$E$2, SUMIFS(IF($G$2="CPR",'Grid Data'!$J$4:$J$2342,'Grid Data'!$K$4:$K$2342),'Grid Data'!$B$4:$B$2342,$D15,'Grid Data'!$C$4:$C$2342,Z$4,'Grid Data'!$A$4:$A$2342,$D$2)*100, 0)</f>
        <v>6.3687999999999994</v>
      </c>
      <c r="AA15" s="4">
        <f>IF(  AA78&gt;$E$2, SUMIFS(IF($G$2="CPR",'Grid Data'!$J$4:$J$2342,'Grid Data'!$K$4:$K$2342),'Grid Data'!$B$4:$B$2342,$D15,'Grid Data'!$C$4:$C$2342,AA$4,'Grid Data'!$A$4:$A$2342,$D$2)*100, 0)</f>
        <v>6.0796000000000001</v>
      </c>
      <c r="AB15" s="4">
        <f>IF(  AB78&gt;$E$2, SUMIFS(IF($G$2="CPR",'Grid Data'!$J$4:$J$2342,'Grid Data'!$K$4:$K$2342),'Grid Data'!$B$4:$B$2342,$D15,'Grid Data'!$C$4:$C$2342,AB$4,'Grid Data'!$A$4:$A$2342,$D$2)*100, 0)</f>
        <v>5.9250999999999996</v>
      </c>
      <c r="AC15" s="4">
        <f>IF(  AC78&gt;$E$2, SUMIFS(IF($G$2="CPR",'Grid Data'!$J$4:$J$2342,'Grid Data'!$K$4:$K$2342),'Grid Data'!$B$4:$B$2342,$D15,'Grid Data'!$C$4:$C$2342,AC$4,'Grid Data'!$A$4:$A$2342,$D$2)*100, 0)</f>
        <v>5.2577999999999996</v>
      </c>
      <c r="AD15" s="4">
        <f>IF(  AD78&gt;$E$2, SUMIFS(IF($G$2="CPR",'Grid Data'!$J$4:$J$2342,'Grid Data'!$K$4:$K$2342),'Grid Data'!$B$4:$B$2342,$D15,'Grid Data'!$C$4:$C$2342,AD$4,'Grid Data'!$A$4:$A$2342,$D$2)*100, 0)</f>
        <v>5.1261000000000001</v>
      </c>
      <c r="AE15" s="4">
        <f>IF(  AE78&gt;$E$2, SUMIFS(IF($G$2="CPR",'Grid Data'!$J$4:$J$2342,'Grid Data'!$K$4:$K$2342),'Grid Data'!$B$4:$B$2342,$D15,'Grid Data'!$C$4:$C$2342,AE$4,'Grid Data'!$A$4:$A$2342,$D$2)*100, 0)</f>
        <v>4.1116000000000001</v>
      </c>
      <c r="AF15" s="4">
        <f>IF(  AF78&gt;$E$2, SUMIFS(IF($G$2="CPR",'Grid Data'!$J$4:$J$2342,'Grid Data'!$K$4:$K$2342),'Grid Data'!$B$4:$B$2342,$D15,'Grid Data'!$C$4:$C$2342,AF$4,'Grid Data'!$A$4:$A$2342,$D$2)*100, 0)</f>
        <v>0</v>
      </c>
      <c r="AG15" s="4">
        <f>IF(  AG78&gt;$E$2, SUMIFS(IF($G$2="CPR",'Grid Data'!$J$4:$J$2342,'Grid Data'!$K$4:$K$2342),'Grid Data'!$B$4:$B$2342,$D15,'Grid Data'!$C$4:$C$2342,AG$4,'Grid Data'!$A$4:$A$2342,$D$2)*100, 0)</f>
        <v>8.1221999999999994</v>
      </c>
      <c r="AH15" s="4">
        <f>IF(  AH78&gt;$E$2, SUMIFS(IF($G$2="CPR",'Grid Data'!$J$4:$J$2342,'Grid Data'!$K$4:$K$2342),'Grid Data'!$B$4:$B$2342,$D15,'Grid Data'!$C$4:$C$2342,AH$4,'Grid Data'!$A$4:$A$2342,$D$2)*100, 0)</f>
        <v>0</v>
      </c>
    </row>
    <row r="16" spans="4:34" x14ac:dyDescent="0.35">
      <c r="D16">
        <v>4750</v>
      </c>
      <c r="E16" s="4">
        <f>IF(  E79&gt;$E$2, SUMIFS(IF($G$2="CPR",'Grid Data'!$J$4:$J$2342,'Grid Data'!$K$4:$K$2342),'Grid Data'!$B$4:$B$2342,$D16,'Grid Data'!$C$4:$C$2342,E$4,'Grid Data'!$A$4:$A$2342,$D$2)*100, 0)</f>
        <v>0.38129999999999997</v>
      </c>
      <c r="F16" s="4">
        <f>IF(  F79&gt;$E$2, SUMIFS(IF($G$2="CPR",'Grid Data'!$J$4:$J$2342,'Grid Data'!$K$4:$K$2342),'Grid Data'!$B$4:$B$2342,$D16,'Grid Data'!$C$4:$C$2342,F$4,'Grid Data'!$A$4:$A$2342,$D$2)*100, 0)</f>
        <v>0.81320000000000003</v>
      </c>
      <c r="G16" s="4">
        <f>IF(  G79&gt;$E$2, SUMIFS(IF($G$2="CPR",'Grid Data'!$J$4:$J$2342,'Grid Data'!$K$4:$K$2342),'Grid Data'!$B$4:$B$2342,$D16,'Grid Data'!$C$4:$C$2342,G$4,'Grid Data'!$A$4:$A$2342,$D$2)*100, 0)</f>
        <v>0.80599999999999994</v>
      </c>
      <c r="H16" s="4">
        <f>IF(  H79&gt;$E$2, SUMIFS(IF($G$2="CPR",'Grid Data'!$J$4:$J$2342,'Grid Data'!$K$4:$K$2342),'Grid Data'!$B$4:$B$2342,$D16,'Grid Data'!$C$4:$C$2342,H$4,'Grid Data'!$A$4:$A$2342,$D$2)*100, 0)</f>
        <v>0.98060000000000003</v>
      </c>
      <c r="I16" s="4">
        <f>IF(  I79&gt;$E$2, SUMIFS(IF($G$2="CPR",'Grid Data'!$J$4:$J$2342,'Grid Data'!$K$4:$K$2342),'Grid Data'!$B$4:$B$2342,$D16,'Grid Data'!$C$4:$C$2342,I$4,'Grid Data'!$A$4:$A$2342,$D$2)*100, 0)</f>
        <v>0.97240000000000004</v>
      </c>
      <c r="J16" s="4">
        <f>IF(  J79&gt;$E$2, SUMIFS(IF($G$2="CPR",'Grid Data'!$J$4:$J$2342,'Grid Data'!$K$4:$K$2342),'Grid Data'!$B$4:$B$2342,$D16,'Grid Data'!$C$4:$C$2342,J$4,'Grid Data'!$A$4:$A$2342,$D$2)*100, 0)</f>
        <v>1.1389</v>
      </c>
      <c r="K16" s="4">
        <f>IF(  K79&gt;$E$2, SUMIFS(IF($G$2="CPR",'Grid Data'!$J$4:$J$2342,'Grid Data'!$K$4:$K$2342),'Grid Data'!$B$4:$B$2342,$D16,'Grid Data'!$C$4:$C$2342,K$4,'Grid Data'!$A$4:$A$2342,$D$2)*100, 0)</f>
        <v>1.5125999999999999</v>
      </c>
      <c r="L16" s="4">
        <f>IF(  L79&gt;$E$2, SUMIFS(IF($G$2="CPR",'Grid Data'!$J$4:$J$2342,'Grid Data'!$K$4:$K$2342),'Grid Data'!$B$4:$B$2342,$D16,'Grid Data'!$C$4:$C$2342,L$4,'Grid Data'!$A$4:$A$2342,$D$2)*100, 0)</f>
        <v>3.9460000000000002</v>
      </c>
      <c r="M16" s="4">
        <f>IF(  M79&gt;$E$2, SUMIFS(IF($G$2="CPR",'Grid Data'!$J$4:$J$2342,'Grid Data'!$K$4:$K$2342),'Grid Data'!$B$4:$B$2342,$D16,'Grid Data'!$C$4:$C$2342,M$4,'Grid Data'!$A$4:$A$2342,$D$2)*100, 0)</f>
        <v>2.3723000000000001</v>
      </c>
      <c r="N16" s="4">
        <f>IF(  N79&gt;$E$2, SUMIFS(IF($G$2="CPR",'Grid Data'!$J$4:$J$2342,'Grid Data'!$K$4:$K$2342),'Grid Data'!$B$4:$B$2342,$D16,'Grid Data'!$C$4:$C$2342,N$4,'Grid Data'!$A$4:$A$2342,$D$2)*100, 0)</f>
        <v>1.9480000000000002</v>
      </c>
      <c r="O16" s="4">
        <f>IF(  O79&gt;$E$2, SUMIFS(IF($G$2="CPR",'Grid Data'!$J$4:$J$2342,'Grid Data'!$K$4:$K$2342),'Grid Data'!$B$4:$B$2342,$D16,'Grid Data'!$C$4:$C$2342,O$4,'Grid Data'!$A$4:$A$2342,$D$2)*100, 0)</f>
        <v>2.4702000000000002</v>
      </c>
      <c r="P16" s="4">
        <f>IF(  P79&gt;$E$2, SUMIFS(IF($G$2="CPR",'Grid Data'!$J$4:$J$2342,'Grid Data'!$K$4:$K$2342),'Grid Data'!$B$4:$B$2342,$D16,'Grid Data'!$C$4:$C$2342,P$4,'Grid Data'!$A$4:$A$2342,$D$2)*100, 0)</f>
        <v>3.3176999999999999</v>
      </c>
      <c r="Q16" s="4">
        <f>IF(  Q79&gt;$E$2, SUMIFS(IF($G$2="CPR",'Grid Data'!$J$4:$J$2342,'Grid Data'!$K$4:$K$2342),'Grid Data'!$B$4:$B$2342,$D16,'Grid Data'!$C$4:$C$2342,Q$4,'Grid Data'!$A$4:$A$2342,$D$2)*100, 0)</f>
        <v>4.6852999999999998</v>
      </c>
      <c r="R16" s="4">
        <f>IF(  R79&gt;$E$2, SUMIFS(IF($G$2="CPR",'Grid Data'!$J$4:$J$2342,'Grid Data'!$K$4:$K$2342),'Grid Data'!$B$4:$B$2342,$D16,'Grid Data'!$C$4:$C$2342,R$4,'Grid Data'!$A$4:$A$2342,$D$2)*100, 0)</f>
        <v>6.2460000000000004</v>
      </c>
      <c r="S16" s="4">
        <f>IF(  S79&gt;$E$2, SUMIFS(IF($G$2="CPR",'Grid Data'!$J$4:$J$2342,'Grid Data'!$K$4:$K$2342),'Grid Data'!$B$4:$B$2342,$D16,'Grid Data'!$C$4:$C$2342,S$4,'Grid Data'!$A$4:$A$2342,$D$2)*100, 0)</f>
        <v>6.2</v>
      </c>
      <c r="T16" s="4">
        <f>IF(  T79&gt;$E$2, SUMIFS(IF($G$2="CPR",'Grid Data'!$J$4:$J$2342,'Grid Data'!$K$4:$K$2342),'Grid Data'!$B$4:$B$2342,$D16,'Grid Data'!$C$4:$C$2342,T$4,'Grid Data'!$A$4:$A$2342,$D$2)*100, 0)</f>
        <v>6.1196000000000002</v>
      </c>
      <c r="U16" s="4">
        <f>IF(  U79&gt;$E$2, SUMIFS(IF($G$2="CPR",'Grid Data'!$J$4:$J$2342,'Grid Data'!$K$4:$K$2342),'Grid Data'!$B$4:$B$2342,$D16,'Grid Data'!$C$4:$C$2342,U$4,'Grid Data'!$A$4:$A$2342,$D$2)*100, 0)</f>
        <v>6.8542000000000005</v>
      </c>
      <c r="V16" s="4">
        <f>IF(  V79&gt;$E$2, SUMIFS(IF($G$2="CPR",'Grid Data'!$J$4:$J$2342,'Grid Data'!$K$4:$K$2342),'Grid Data'!$B$4:$B$2342,$D16,'Grid Data'!$C$4:$C$2342,V$4,'Grid Data'!$A$4:$A$2342,$D$2)*100, 0)</f>
        <v>8.1167999999999996</v>
      </c>
      <c r="W16" s="4">
        <f>IF(  W79&gt;$E$2, SUMIFS(IF($G$2="CPR",'Grid Data'!$J$4:$J$2342,'Grid Data'!$K$4:$K$2342),'Grid Data'!$B$4:$B$2342,$D16,'Grid Data'!$C$4:$C$2342,W$4,'Grid Data'!$A$4:$A$2342,$D$2)*100, 0)</f>
        <v>8.0102000000000011</v>
      </c>
      <c r="X16" s="4">
        <f>IF(  X79&gt;$E$2, SUMIFS(IF($G$2="CPR",'Grid Data'!$J$4:$J$2342,'Grid Data'!$K$4:$K$2342),'Grid Data'!$B$4:$B$2342,$D16,'Grid Data'!$C$4:$C$2342,X$4,'Grid Data'!$A$4:$A$2342,$D$2)*100, 0)</f>
        <v>8.3780000000000001</v>
      </c>
      <c r="Y16" s="4">
        <f>IF(  Y79&gt;$E$2, SUMIFS(IF($G$2="CPR",'Grid Data'!$J$4:$J$2342,'Grid Data'!$K$4:$K$2342),'Grid Data'!$B$4:$B$2342,$D16,'Grid Data'!$C$4:$C$2342,Y$4,'Grid Data'!$A$4:$A$2342,$D$2)*100, 0)</f>
        <v>7.5928999999999993</v>
      </c>
      <c r="Z16" s="4">
        <f>IF(  Z79&gt;$E$2, SUMIFS(IF($G$2="CPR",'Grid Data'!$J$4:$J$2342,'Grid Data'!$K$4:$K$2342),'Grid Data'!$B$4:$B$2342,$D16,'Grid Data'!$C$4:$C$2342,Z$4,'Grid Data'!$A$4:$A$2342,$D$2)*100, 0)</f>
        <v>7.3705999999999996</v>
      </c>
      <c r="AA16" s="4">
        <f>IF(  AA79&gt;$E$2, SUMIFS(IF($G$2="CPR",'Grid Data'!$J$4:$J$2342,'Grid Data'!$K$4:$K$2342),'Grid Data'!$B$4:$B$2342,$D16,'Grid Data'!$C$4:$C$2342,AA$4,'Grid Data'!$A$4:$A$2342,$D$2)*100, 0)</f>
        <v>7.4316999999999993</v>
      </c>
      <c r="AB16" s="4">
        <f>IF(  AB79&gt;$E$2, SUMIFS(IF($G$2="CPR",'Grid Data'!$J$4:$J$2342,'Grid Data'!$K$4:$K$2342),'Grid Data'!$B$4:$B$2342,$D16,'Grid Data'!$C$4:$C$2342,AB$4,'Grid Data'!$A$4:$A$2342,$D$2)*100, 0)</f>
        <v>6.7543000000000006</v>
      </c>
      <c r="AC16" s="4">
        <f>IF(  AC79&gt;$E$2, SUMIFS(IF($G$2="CPR",'Grid Data'!$J$4:$J$2342,'Grid Data'!$K$4:$K$2342),'Grid Data'!$B$4:$B$2342,$D16,'Grid Data'!$C$4:$C$2342,AC$4,'Grid Data'!$A$4:$A$2342,$D$2)*100, 0)</f>
        <v>5.9210000000000003</v>
      </c>
      <c r="AD16" s="4">
        <f>IF(  AD79&gt;$E$2, SUMIFS(IF($G$2="CPR",'Grid Data'!$J$4:$J$2342,'Grid Data'!$K$4:$K$2342),'Grid Data'!$B$4:$B$2342,$D16,'Grid Data'!$C$4:$C$2342,AD$4,'Grid Data'!$A$4:$A$2342,$D$2)*100, 0)</f>
        <v>5.4904999999999999</v>
      </c>
      <c r="AE16" s="4">
        <f>IF(  AE79&gt;$E$2, SUMIFS(IF($G$2="CPR",'Grid Data'!$J$4:$J$2342,'Grid Data'!$K$4:$K$2342),'Grid Data'!$B$4:$B$2342,$D16,'Grid Data'!$C$4:$C$2342,AE$4,'Grid Data'!$A$4:$A$2342,$D$2)*100, 0)</f>
        <v>4.5373999999999999</v>
      </c>
      <c r="AF16" s="4">
        <f>IF(  AF79&gt;$E$2, SUMIFS(IF($G$2="CPR",'Grid Data'!$J$4:$J$2342,'Grid Data'!$K$4:$K$2342),'Grid Data'!$B$4:$B$2342,$D16,'Grid Data'!$C$4:$C$2342,AF$4,'Grid Data'!$A$4:$A$2342,$D$2)*100, 0)</f>
        <v>0</v>
      </c>
      <c r="AG16" s="4">
        <f>IF(  AG79&gt;$E$2, SUMIFS(IF($G$2="CPR",'Grid Data'!$J$4:$J$2342,'Grid Data'!$K$4:$K$2342),'Grid Data'!$B$4:$B$2342,$D16,'Grid Data'!$C$4:$C$2342,AG$4,'Grid Data'!$A$4:$A$2342,$D$2)*100, 0)</f>
        <v>8.2551000000000005</v>
      </c>
      <c r="AH16" s="4">
        <f>IF(  AH79&gt;$E$2, SUMIFS(IF($G$2="CPR",'Grid Data'!$J$4:$J$2342,'Grid Data'!$K$4:$K$2342),'Grid Data'!$B$4:$B$2342,$D16,'Grid Data'!$C$4:$C$2342,AH$4,'Grid Data'!$A$4:$A$2342,$D$2)*100, 0)</f>
        <v>0</v>
      </c>
    </row>
    <row r="17" spans="4:34" x14ac:dyDescent="0.35">
      <c r="D17">
        <v>5000</v>
      </c>
      <c r="E17" s="4">
        <f>IF(  E80&gt;$E$2, SUMIFS(IF($G$2="CPR",'Grid Data'!$J$4:$J$2342,'Grid Data'!$K$4:$K$2342),'Grid Data'!$B$4:$B$2342,$D17,'Grid Data'!$C$4:$C$2342,E$4,'Grid Data'!$A$4:$A$2342,$D$2)*100, 0)</f>
        <v>0.39200000000000002</v>
      </c>
      <c r="F17" s="4">
        <f>IF(  F80&gt;$E$2, SUMIFS(IF($G$2="CPR",'Grid Data'!$J$4:$J$2342,'Grid Data'!$K$4:$K$2342),'Grid Data'!$B$4:$B$2342,$D17,'Grid Data'!$C$4:$C$2342,F$4,'Grid Data'!$A$4:$A$2342,$D$2)*100, 0)</f>
        <v>1.0279</v>
      </c>
      <c r="G17" s="4">
        <f>IF(  G80&gt;$E$2, SUMIFS(IF($G$2="CPR",'Grid Data'!$J$4:$J$2342,'Grid Data'!$K$4:$K$2342),'Grid Data'!$B$4:$B$2342,$D17,'Grid Data'!$C$4:$C$2342,G$4,'Grid Data'!$A$4:$A$2342,$D$2)*100, 0)</f>
        <v>1.0054000000000001</v>
      </c>
      <c r="H17" s="4">
        <f>IF(  H80&gt;$E$2, SUMIFS(IF($G$2="CPR",'Grid Data'!$J$4:$J$2342,'Grid Data'!$K$4:$K$2342),'Grid Data'!$B$4:$B$2342,$D17,'Grid Data'!$C$4:$C$2342,H$4,'Grid Data'!$A$4:$A$2342,$D$2)*100, 0)</f>
        <v>1.2</v>
      </c>
      <c r="I17" s="4">
        <f>IF(  I80&gt;$E$2, SUMIFS(IF($G$2="CPR",'Grid Data'!$J$4:$J$2342,'Grid Data'!$K$4:$K$2342),'Grid Data'!$B$4:$B$2342,$D17,'Grid Data'!$C$4:$C$2342,I$4,'Grid Data'!$A$4:$A$2342,$D$2)*100, 0)</f>
        <v>1.1151</v>
      </c>
      <c r="J17" s="4">
        <f>IF(  J80&gt;$E$2, SUMIFS(IF($G$2="CPR",'Grid Data'!$J$4:$J$2342,'Grid Data'!$K$4:$K$2342),'Grid Data'!$B$4:$B$2342,$D17,'Grid Data'!$C$4:$C$2342,J$4,'Grid Data'!$A$4:$A$2342,$D$2)*100, 0)</f>
        <v>1.0889</v>
      </c>
      <c r="K17" s="4">
        <f>IF(  K80&gt;$E$2, SUMIFS(IF($G$2="CPR",'Grid Data'!$J$4:$J$2342,'Grid Data'!$K$4:$K$2342),'Grid Data'!$B$4:$B$2342,$D17,'Grid Data'!$C$4:$C$2342,K$4,'Grid Data'!$A$4:$A$2342,$D$2)*100, 0)</f>
        <v>1.8013999999999999</v>
      </c>
      <c r="L17" s="4">
        <f>IF(  L80&gt;$E$2, SUMIFS(IF($G$2="CPR",'Grid Data'!$J$4:$J$2342,'Grid Data'!$K$4:$K$2342),'Grid Data'!$B$4:$B$2342,$D17,'Grid Data'!$C$4:$C$2342,L$4,'Grid Data'!$A$4:$A$2342,$D$2)*100, 0)</f>
        <v>4.1505999999999998</v>
      </c>
      <c r="M17" s="4">
        <f>IF(  M80&gt;$E$2, SUMIFS(IF($G$2="CPR",'Grid Data'!$J$4:$J$2342,'Grid Data'!$K$4:$K$2342),'Grid Data'!$B$4:$B$2342,$D17,'Grid Data'!$C$4:$C$2342,M$4,'Grid Data'!$A$4:$A$2342,$D$2)*100, 0)</f>
        <v>3.0406</v>
      </c>
      <c r="N17" s="4">
        <f>IF(  N80&gt;$E$2, SUMIFS(IF($G$2="CPR",'Grid Data'!$J$4:$J$2342,'Grid Data'!$K$4:$K$2342),'Grid Data'!$B$4:$B$2342,$D17,'Grid Data'!$C$4:$C$2342,N$4,'Grid Data'!$A$4:$A$2342,$D$2)*100, 0)</f>
        <v>2.6623999999999999</v>
      </c>
      <c r="O17" s="4">
        <f>IF(  O80&gt;$E$2, SUMIFS(IF($G$2="CPR",'Grid Data'!$J$4:$J$2342,'Grid Data'!$K$4:$K$2342),'Grid Data'!$B$4:$B$2342,$D17,'Grid Data'!$C$4:$C$2342,O$4,'Grid Data'!$A$4:$A$2342,$D$2)*100, 0)</f>
        <v>2.8406000000000002</v>
      </c>
      <c r="P17" s="4">
        <f>IF(  P80&gt;$E$2, SUMIFS(IF($G$2="CPR",'Grid Data'!$J$4:$J$2342,'Grid Data'!$K$4:$K$2342),'Grid Data'!$B$4:$B$2342,$D17,'Grid Data'!$C$4:$C$2342,P$4,'Grid Data'!$A$4:$A$2342,$D$2)*100, 0)</f>
        <v>4.5490000000000004</v>
      </c>
      <c r="Q17" s="4">
        <f>IF(  Q80&gt;$E$2, SUMIFS(IF($G$2="CPR",'Grid Data'!$J$4:$J$2342,'Grid Data'!$K$4:$K$2342),'Grid Data'!$B$4:$B$2342,$D17,'Grid Data'!$C$4:$C$2342,Q$4,'Grid Data'!$A$4:$A$2342,$D$2)*100, 0)</f>
        <v>5.7255000000000003</v>
      </c>
      <c r="R17" s="4">
        <f>IF(  R80&gt;$E$2, SUMIFS(IF($G$2="CPR",'Grid Data'!$J$4:$J$2342,'Grid Data'!$K$4:$K$2342),'Grid Data'!$B$4:$B$2342,$D17,'Grid Data'!$C$4:$C$2342,R$4,'Grid Data'!$A$4:$A$2342,$D$2)*100, 0)</f>
        <v>6.9821999999999997</v>
      </c>
      <c r="S17" s="4">
        <f>IF(  S80&gt;$E$2, SUMIFS(IF($G$2="CPR",'Grid Data'!$J$4:$J$2342,'Grid Data'!$K$4:$K$2342),'Grid Data'!$B$4:$B$2342,$D17,'Grid Data'!$C$4:$C$2342,S$4,'Grid Data'!$A$4:$A$2342,$D$2)*100, 0)</f>
        <v>6.4677999999999995</v>
      </c>
      <c r="T17" s="4">
        <f>IF(  T80&gt;$E$2, SUMIFS(IF($G$2="CPR",'Grid Data'!$J$4:$J$2342,'Grid Data'!$K$4:$K$2342),'Grid Data'!$B$4:$B$2342,$D17,'Grid Data'!$C$4:$C$2342,T$4,'Grid Data'!$A$4:$A$2342,$D$2)*100, 0)</f>
        <v>5.8928000000000003</v>
      </c>
      <c r="U17" s="4">
        <f>IF(  U80&gt;$E$2, SUMIFS(IF($G$2="CPR",'Grid Data'!$J$4:$J$2342,'Grid Data'!$K$4:$K$2342),'Grid Data'!$B$4:$B$2342,$D17,'Grid Data'!$C$4:$C$2342,U$4,'Grid Data'!$A$4:$A$2342,$D$2)*100, 0)</f>
        <v>6.2637</v>
      </c>
      <c r="V17" s="4">
        <f>IF(  V80&gt;$E$2, SUMIFS(IF($G$2="CPR",'Grid Data'!$J$4:$J$2342,'Grid Data'!$K$4:$K$2342),'Grid Data'!$B$4:$B$2342,$D17,'Grid Data'!$C$4:$C$2342,V$4,'Grid Data'!$A$4:$A$2342,$D$2)*100, 0)</f>
        <v>9.0054999999999996</v>
      </c>
      <c r="W17" s="4">
        <f>IF(  W80&gt;$E$2, SUMIFS(IF($G$2="CPR",'Grid Data'!$J$4:$J$2342,'Grid Data'!$K$4:$K$2342),'Grid Data'!$B$4:$B$2342,$D17,'Grid Data'!$C$4:$C$2342,W$4,'Grid Data'!$A$4:$A$2342,$D$2)*100, 0)</f>
        <v>8.8190000000000008</v>
      </c>
      <c r="X17" s="4">
        <f>IF(  X80&gt;$E$2, SUMIFS(IF($G$2="CPR",'Grid Data'!$J$4:$J$2342,'Grid Data'!$K$4:$K$2342),'Grid Data'!$B$4:$B$2342,$D17,'Grid Data'!$C$4:$C$2342,X$4,'Grid Data'!$A$4:$A$2342,$D$2)*100, 0)</f>
        <v>8.7713000000000001</v>
      </c>
      <c r="Y17" s="4">
        <f>IF(  Y80&gt;$E$2, SUMIFS(IF($G$2="CPR",'Grid Data'!$J$4:$J$2342,'Grid Data'!$K$4:$K$2342),'Grid Data'!$B$4:$B$2342,$D17,'Grid Data'!$C$4:$C$2342,Y$4,'Grid Data'!$A$4:$A$2342,$D$2)*100, 0)</f>
        <v>7.7392000000000003</v>
      </c>
      <c r="Z17" s="4">
        <f>IF(  Z80&gt;$E$2, SUMIFS(IF($G$2="CPR",'Grid Data'!$J$4:$J$2342,'Grid Data'!$K$4:$K$2342),'Grid Data'!$B$4:$B$2342,$D17,'Grid Data'!$C$4:$C$2342,Z$4,'Grid Data'!$A$4:$A$2342,$D$2)*100, 0)</f>
        <v>8.0914999999999999</v>
      </c>
      <c r="AA17" s="4">
        <f>IF(  AA80&gt;$E$2, SUMIFS(IF($G$2="CPR",'Grid Data'!$J$4:$J$2342,'Grid Data'!$K$4:$K$2342),'Grid Data'!$B$4:$B$2342,$D17,'Grid Data'!$C$4:$C$2342,AA$4,'Grid Data'!$A$4:$A$2342,$D$2)*100, 0)</f>
        <v>7.5832999999999995</v>
      </c>
      <c r="AB17" s="4">
        <f>IF(  AB80&gt;$E$2, SUMIFS(IF($G$2="CPR",'Grid Data'!$J$4:$J$2342,'Grid Data'!$K$4:$K$2342),'Grid Data'!$B$4:$B$2342,$D17,'Grid Data'!$C$4:$C$2342,AB$4,'Grid Data'!$A$4:$A$2342,$D$2)*100, 0)</f>
        <v>7.1552000000000007</v>
      </c>
      <c r="AC17" s="4">
        <f>IF(  AC80&gt;$E$2, SUMIFS(IF($G$2="CPR",'Grid Data'!$J$4:$J$2342,'Grid Data'!$K$4:$K$2342),'Grid Data'!$B$4:$B$2342,$D17,'Grid Data'!$C$4:$C$2342,AC$4,'Grid Data'!$A$4:$A$2342,$D$2)*100, 0)</f>
        <v>6.1424000000000003</v>
      </c>
      <c r="AD17" s="4">
        <f>IF(  AD80&gt;$E$2, SUMIFS(IF($G$2="CPR",'Grid Data'!$J$4:$J$2342,'Grid Data'!$K$4:$K$2342),'Grid Data'!$B$4:$B$2342,$D17,'Grid Data'!$C$4:$C$2342,AD$4,'Grid Data'!$A$4:$A$2342,$D$2)*100, 0)</f>
        <v>5.7482999999999995</v>
      </c>
      <c r="AE17" s="4">
        <f>IF(  AE80&gt;$E$2, SUMIFS(IF($G$2="CPR",'Grid Data'!$J$4:$J$2342,'Grid Data'!$K$4:$K$2342),'Grid Data'!$B$4:$B$2342,$D17,'Grid Data'!$C$4:$C$2342,AE$4,'Grid Data'!$A$4:$A$2342,$D$2)*100, 0)</f>
        <v>5.6402999999999999</v>
      </c>
      <c r="AF17" s="4">
        <f>IF(  AF80&gt;$E$2, SUMIFS(IF($G$2="CPR",'Grid Data'!$J$4:$J$2342,'Grid Data'!$K$4:$K$2342),'Grid Data'!$B$4:$B$2342,$D17,'Grid Data'!$C$4:$C$2342,AF$4,'Grid Data'!$A$4:$A$2342,$D$2)*100, 0)</f>
        <v>5.7743000000000002</v>
      </c>
      <c r="AG17" s="4">
        <f>IF(  AG80&gt;$E$2, SUMIFS(IF($G$2="CPR",'Grid Data'!$J$4:$J$2342,'Grid Data'!$K$4:$K$2342),'Grid Data'!$B$4:$B$2342,$D17,'Grid Data'!$C$4:$C$2342,AG$4,'Grid Data'!$A$4:$A$2342,$D$2)*100, 0)</f>
        <v>8.8927999999999994</v>
      </c>
      <c r="AH17" s="4">
        <f>IF(  AH80&gt;$E$2, SUMIFS(IF($G$2="CPR",'Grid Data'!$J$4:$J$2342,'Grid Data'!$K$4:$K$2342),'Grid Data'!$B$4:$B$2342,$D17,'Grid Data'!$C$4:$C$2342,AH$4,'Grid Data'!$A$4:$A$2342,$D$2)*100, 0)</f>
        <v>0</v>
      </c>
    </row>
    <row r="18" spans="4:34" x14ac:dyDescent="0.35">
      <c r="D18">
        <v>5250</v>
      </c>
      <c r="E18" s="4">
        <f>IF(  E81&gt;$E$2, SUMIFS(IF($G$2="CPR",'Grid Data'!$J$4:$J$2342,'Grid Data'!$K$4:$K$2342),'Grid Data'!$B$4:$B$2342,$D18,'Grid Data'!$C$4:$C$2342,E$4,'Grid Data'!$A$4:$A$2342,$D$2)*100, 0)</f>
        <v>0.69369999999999998</v>
      </c>
      <c r="F18" s="4">
        <f>IF(  F81&gt;$E$2, SUMIFS(IF($G$2="CPR",'Grid Data'!$J$4:$J$2342,'Grid Data'!$K$4:$K$2342),'Grid Data'!$B$4:$B$2342,$D18,'Grid Data'!$C$4:$C$2342,F$4,'Grid Data'!$A$4:$A$2342,$D$2)*100, 0)</f>
        <v>1.8453000000000002</v>
      </c>
      <c r="G18" s="4">
        <f>IF(  G81&gt;$E$2, SUMIFS(IF($G$2="CPR",'Grid Data'!$J$4:$J$2342,'Grid Data'!$K$4:$K$2342),'Grid Data'!$B$4:$B$2342,$D18,'Grid Data'!$C$4:$C$2342,G$4,'Grid Data'!$A$4:$A$2342,$D$2)*100, 0)</f>
        <v>2.9420999999999999</v>
      </c>
      <c r="H18" s="4">
        <f>IF(  H81&gt;$E$2, SUMIFS(IF($G$2="CPR",'Grid Data'!$J$4:$J$2342,'Grid Data'!$K$4:$K$2342),'Grid Data'!$B$4:$B$2342,$D18,'Grid Data'!$C$4:$C$2342,H$4,'Grid Data'!$A$4:$A$2342,$D$2)*100, 0)</f>
        <v>3.3477000000000001</v>
      </c>
      <c r="I18" s="4">
        <f>IF(  I81&gt;$E$2, SUMIFS(IF($G$2="CPR",'Grid Data'!$J$4:$J$2342,'Grid Data'!$K$4:$K$2342),'Grid Data'!$B$4:$B$2342,$D18,'Grid Data'!$C$4:$C$2342,I$4,'Grid Data'!$A$4:$A$2342,$D$2)*100, 0)</f>
        <v>2.8077999999999999</v>
      </c>
      <c r="J18" s="4">
        <f>IF(  J81&gt;$E$2, SUMIFS(IF($G$2="CPR",'Grid Data'!$J$4:$J$2342,'Grid Data'!$K$4:$K$2342),'Grid Data'!$B$4:$B$2342,$D18,'Grid Data'!$C$4:$C$2342,J$4,'Grid Data'!$A$4:$A$2342,$D$2)*100, 0)</f>
        <v>2.2703000000000002</v>
      </c>
      <c r="K18" s="4">
        <f>IF(  K81&gt;$E$2, SUMIFS(IF($G$2="CPR",'Grid Data'!$J$4:$J$2342,'Grid Data'!$K$4:$K$2342),'Grid Data'!$B$4:$B$2342,$D18,'Grid Data'!$C$4:$C$2342,K$4,'Grid Data'!$A$4:$A$2342,$D$2)*100, 0)</f>
        <v>6.2888000000000002</v>
      </c>
      <c r="L18" s="4">
        <f>IF(  L81&gt;$E$2, SUMIFS(IF($G$2="CPR",'Grid Data'!$J$4:$J$2342,'Grid Data'!$K$4:$K$2342),'Grid Data'!$B$4:$B$2342,$D18,'Grid Data'!$C$4:$C$2342,L$4,'Grid Data'!$A$4:$A$2342,$D$2)*100, 0)</f>
        <v>7.5296000000000003</v>
      </c>
      <c r="M18" s="4">
        <f>IF(  M81&gt;$E$2, SUMIFS(IF($G$2="CPR",'Grid Data'!$J$4:$J$2342,'Grid Data'!$K$4:$K$2342),'Grid Data'!$B$4:$B$2342,$D18,'Grid Data'!$C$4:$C$2342,M$4,'Grid Data'!$A$4:$A$2342,$D$2)*100, 0)</f>
        <v>6.5351000000000008</v>
      </c>
      <c r="N18" s="4">
        <f>IF(  N81&gt;$E$2, SUMIFS(IF($G$2="CPR",'Grid Data'!$J$4:$J$2342,'Grid Data'!$K$4:$K$2342),'Grid Data'!$B$4:$B$2342,$D18,'Grid Data'!$C$4:$C$2342,N$4,'Grid Data'!$A$4:$A$2342,$D$2)*100, 0)</f>
        <v>4.3325000000000005</v>
      </c>
      <c r="O18" s="4">
        <f>IF(  O81&gt;$E$2, SUMIFS(IF($G$2="CPR",'Grid Data'!$J$4:$J$2342,'Grid Data'!$K$4:$K$2342),'Grid Data'!$B$4:$B$2342,$D18,'Grid Data'!$C$4:$C$2342,O$4,'Grid Data'!$A$4:$A$2342,$D$2)*100, 0)</f>
        <v>4.5947000000000005</v>
      </c>
      <c r="P18" s="4">
        <f>IF(  P81&gt;$E$2, SUMIFS(IF($G$2="CPR",'Grid Data'!$J$4:$J$2342,'Grid Data'!$K$4:$K$2342),'Grid Data'!$B$4:$B$2342,$D18,'Grid Data'!$C$4:$C$2342,P$4,'Grid Data'!$A$4:$A$2342,$D$2)*100, 0)</f>
        <v>6.3504000000000005</v>
      </c>
      <c r="Q18" s="4">
        <f>IF(  Q81&gt;$E$2, SUMIFS(IF($G$2="CPR",'Grid Data'!$J$4:$J$2342,'Grid Data'!$K$4:$K$2342),'Grid Data'!$B$4:$B$2342,$D18,'Grid Data'!$C$4:$C$2342,Q$4,'Grid Data'!$A$4:$A$2342,$D$2)*100, 0)</f>
        <v>7.1070999999999991</v>
      </c>
      <c r="R18" s="4">
        <f>IF(  R81&gt;$E$2, SUMIFS(IF($G$2="CPR",'Grid Data'!$J$4:$J$2342,'Grid Data'!$K$4:$K$2342),'Grid Data'!$B$4:$B$2342,$D18,'Grid Data'!$C$4:$C$2342,R$4,'Grid Data'!$A$4:$A$2342,$D$2)*100, 0)</f>
        <v>8.2704000000000004</v>
      </c>
      <c r="S18" s="4">
        <f>IF(  S81&gt;$E$2, SUMIFS(IF($G$2="CPR",'Grid Data'!$J$4:$J$2342,'Grid Data'!$K$4:$K$2342),'Grid Data'!$B$4:$B$2342,$D18,'Grid Data'!$C$4:$C$2342,S$4,'Grid Data'!$A$4:$A$2342,$D$2)*100, 0)</f>
        <v>6.9128999999999996</v>
      </c>
      <c r="T18" s="4">
        <f>IF(  T81&gt;$E$2, SUMIFS(IF($G$2="CPR",'Grid Data'!$J$4:$J$2342,'Grid Data'!$K$4:$K$2342),'Grid Data'!$B$4:$B$2342,$D18,'Grid Data'!$C$4:$C$2342,T$4,'Grid Data'!$A$4:$A$2342,$D$2)*100, 0)</f>
        <v>6.2880000000000003</v>
      </c>
      <c r="U18" s="4">
        <f>IF(  U81&gt;$E$2, SUMIFS(IF($G$2="CPR",'Grid Data'!$J$4:$J$2342,'Grid Data'!$K$4:$K$2342),'Grid Data'!$B$4:$B$2342,$D18,'Grid Data'!$C$4:$C$2342,U$4,'Grid Data'!$A$4:$A$2342,$D$2)*100, 0)</f>
        <v>8.1582000000000008</v>
      </c>
      <c r="V18" s="4">
        <f>IF(  V81&gt;$E$2, SUMIFS(IF($G$2="CPR",'Grid Data'!$J$4:$J$2342,'Grid Data'!$K$4:$K$2342),'Grid Data'!$B$4:$B$2342,$D18,'Grid Data'!$C$4:$C$2342,V$4,'Grid Data'!$A$4:$A$2342,$D$2)*100, 0)</f>
        <v>10.8125</v>
      </c>
      <c r="W18" s="4">
        <f>IF(  W81&gt;$E$2, SUMIFS(IF($G$2="CPR",'Grid Data'!$J$4:$J$2342,'Grid Data'!$K$4:$K$2342),'Grid Data'!$B$4:$B$2342,$D18,'Grid Data'!$C$4:$C$2342,W$4,'Grid Data'!$A$4:$A$2342,$D$2)*100, 0)</f>
        <v>9.0627999999999993</v>
      </c>
      <c r="X18" s="4">
        <f>IF(  X81&gt;$E$2, SUMIFS(IF($G$2="CPR",'Grid Data'!$J$4:$J$2342,'Grid Data'!$K$4:$K$2342),'Grid Data'!$B$4:$B$2342,$D18,'Grid Data'!$C$4:$C$2342,X$4,'Grid Data'!$A$4:$A$2342,$D$2)*100, 0)</f>
        <v>8.4598999999999993</v>
      </c>
      <c r="Y18" s="4">
        <f>IF(  Y81&gt;$E$2, SUMIFS(IF($G$2="CPR",'Grid Data'!$J$4:$J$2342,'Grid Data'!$K$4:$K$2342),'Grid Data'!$B$4:$B$2342,$D18,'Grid Data'!$C$4:$C$2342,Y$4,'Grid Data'!$A$4:$A$2342,$D$2)*100, 0)</f>
        <v>7.6829999999999998</v>
      </c>
      <c r="Z18" s="4">
        <f>IF(  Z81&gt;$E$2, SUMIFS(IF($G$2="CPR",'Grid Data'!$J$4:$J$2342,'Grid Data'!$K$4:$K$2342),'Grid Data'!$B$4:$B$2342,$D18,'Grid Data'!$C$4:$C$2342,Z$4,'Grid Data'!$A$4:$A$2342,$D$2)*100, 0)</f>
        <v>8.5535999999999994</v>
      </c>
      <c r="AA18" s="4">
        <f>IF(  AA81&gt;$E$2, SUMIFS(IF($G$2="CPR",'Grid Data'!$J$4:$J$2342,'Grid Data'!$K$4:$K$2342),'Grid Data'!$B$4:$B$2342,$D18,'Grid Data'!$C$4:$C$2342,AA$4,'Grid Data'!$A$4:$A$2342,$D$2)*100, 0)</f>
        <v>8.5396999999999998</v>
      </c>
      <c r="AB18" s="4">
        <f>IF(  AB81&gt;$E$2, SUMIFS(IF($G$2="CPR",'Grid Data'!$J$4:$J$2342,'Grid Data'!$K$4:$K$2342),'Grid Data'!$B$4:$B$2342,$D18,'Grid Data'!$C$4:$C$2342,AB$4,'Grid Data'!$A$4:$A$2342,$D$2)*100, 0)</f>
        <v>7.5</v>
      </c>
      <c r="AC18" s="4">
        <f>IF(  AC81&gt;$E$2, SUMIFS(IF($G$2="CPR",'Grid Data'!$J$4:$J$2342,'Grid Data'!$K$4:$K$2342),'Grid Data'!$B$4:$B$2342,$D18,'Grid Data'!$C$4:$C$2342,AC$4,'Grid Data'!$A$4:$A$2342,$D$2)*100, 0)</f>
        <v>6.1636000000000006</v>
      </c>
      <c r="AD18" s="4">
        <f>IF(  AD81&gt;$E$2, SUMIFS(IF($G$2="CPR",'Grid Data'!$J$4:$J$2342,'Grid Data'!$K$4:$K$2342),'Grid Data'!$B$4:$B$2342,$D18,'Grid Data'!$C$4:$C$2342,AD$4,'Grid Data'!$A$4:$A$2342,$D$2)*100, 0)</f>
        <v>5.8293999999999997</v>
      </c>
      <c r="AE18" s="4">
        <f>IF(  AE81&gt;$E$2, SUMIFS(IF($G$2="CPR",'Grid Data'!$J$4:$J$2342,'Grid Data'!$K$4:$K$2342),'Grid Data'!$B$4:$B$2342,$D18,'Grid Data'!$C$4:$C$2342,AE$4,'Grid Data'!$A$4:$A$2342,$D$2)*100, 0)</f>
        <v>5.4368999999999996</v>
      </c>
      <c r="AF18" s="4">
        <f>IF(  AF81&gt;$E$2, SUMIFS(IF($G$2="CPR",'Grid Data'!$J$4:$J$2342,'Grid Data'!$K$4:$K$2342),'Grid Data'!$B$4:$B$2342,$D18,'Grid Data'!$C$4:$C$2342,AF$4,'Grid Data'!$A$4:$A$2342,$D$2)*100, 0)</f>
        <v>5.5986000000000002</v>
      </c>
      <c r="AG18" s="4">
        <f>IF(  AG81&gt;$E$2, SUMIFS(IF($G$2="CPR",'Grid Data'!$J$4:$J$2342,'Grid Data'!$K$4:$K$2342),'Grid Data'!$B$4:$B$2342,$D18,'Grid Data'!$C$4:$C$2342,AG$4,'Grid Data'!$A$4:$A$2342,$D$2)*100, 0)</f>
        <v>9.0827000000000009</v>
      </c>
      <c r="AH18" s="4">
        <f>IF(  AH81&gt;$E$2, SUMIFS(IF($G$2="CPR",'Grid Data'!$J$4:$J$2342,'Grid Data'!$K$4:$K$2342),'Grid Data'!$B$4:$B$2342,$D18,'Grid Data'!$C$4:$C$2342,AH$4,'Grid Data'!$A$4:$A$2342,$D$2)*100, 0)</f>
        <v>0</v>
      </c>
    </row>
    <row r="19" spans="4:34" x14ac:dyDescent="0.35">
      <c r="D19">
        <v>5500</v>
      </c>
      <c r="E19" s="4">
        <f>IF(  E82&gt;$E$2, SUMIFS(IF($G$2="CPR",'Grid Data'!$J$4:$J$2342,'Grid Data'!$K$4:$K$2342),'Grid Data'!$B$4:$B$2342,$D19,'Grid Data'!$C$4:$C$2342,E$4,'Grid Data'!$A$4:$A$2342,$D$2)*100, 0)</f>
        <v>1.0363</v>
      </c>
      <c r="F19" s="4">
        <f>IF(  F82&gt;$E$2, SUMIFS(IF($G$2="CPR",'Grid Data'!$J$4:$J$2342,'Grid Data'!$K$4:$K$2342),'Grid Data'!$B$4:$B$2342,$D19,'Grid Data'!$C$4:$C$2342,F$4,'Grid Data'!$A$4:$A$2342,$D$2)*100, 0)</f>
        <v>3.1042000000000001</v>
      </c>
      <c r="G19" s="4">
        <f>IF(  G82&gt;$E$2, SUMIFS(IF($G$2="CPR",'Grid Data'!$J$4:$J$2342,'Grid Data'!$K$4:$K$2342),'Grid Data'!$B$4:$B$2342,$D19,'Grid Data'!$C$4:$C$2342,G$4,'Grid Data'!$A$4:$A$2342,$D$2)*100, 0)</f>
        <v>4.0381</v>
      </c>
      <c r="H19" s="4">
        <f>IF(  H82&gt;$E$2, SUMIFS(IF($G$2="CPR",'Grid Data'!$J$4:$J$2342,'Grid Data'!$K$4:$K$2342),'Grid Data'!$B$4:$B$2342,$D19,'Grid Data'!$C$4:$C$2342,H$4,'Grid Data'!$A$4:$A$2342,$D$2)*100, 0)</f>
        <v>4.1992000000000003</v>
      </c>
      <c r="I19" s="4">
        <f>IF(  I82&gt;$E$2, SUMIFS(IF($G$2="CPR",'Grid Data'!$J$4:$J$2342,'Grid Data'!$K$4:$K$2342),'Grid Data'!$B$4:$B$2342,$D19,'Grid Data'!$C$4:$C$2342,I$4,'Grid Data'!$A$4:$A$2342,$D$2)*100, 0)</f>
        <v>3.3323999999999998</v>
      </c>
      <c r="J19" s="4">
        <f>IF(  J82&gt;$E$2, SUMIFS(IF($G$2="CPR",'Grid Data'!$J$4:$J$2342,'Grid Data'!$K$4:$K$2342),'Grid Data'!$B$4:$B$2342,$D19,'Grid Data'!$C$4:$C$2342,J$4,'Grid Data'!$A$4:$A$2342,$D$2)*100, 0)</f>
        <v>3.7574000000000005</v>
      </c>
      <c r="K19" s="4">
        <f>IF(  K82&gt;$E$2, SUMIFS(IF($G$2="CPR",'Grid Data'!$J$4:$J$2342,'Grid Data'!$K$4:$K$2342),'Grid Data'!$B$4:$B$2342,$D19,'Grid Data'!$C$4:$C$2342,K$4,'Grid Data'!$A$4:$A$2342,$D$2)*100, 0)</f>
        <v>6.4994999999999994</v>
      </c>
      <c r="L19" s="4">
        <f>IF(  L82&gt;$E$2, SUMIFS(IF($G$2="CPR",'Grid Data'!$J$4:$J$2342,'Grid Data'!$K$4:$K$2342),'Grid Data'!$B$4:$B$2342,$D19,'Grid Data'!$C$4:$C$2342,L$4,'Grid Data'!$A$4:$A$2342,$D$2)*100, 0)</f>
        <v>7.8294000000000006</v>
      </c>
      <c r="M19" s="4">
        <f>IF(  M82&gt;$E$2, SUMIFS(IF($G$2="CPR",'Grid Data'!$J$4:$J$2342,'Grid Data'!$K$4:$K$2342),'Grid Data'!$B$4:$B$2342,$D19,'Grid Data'!$C$4:$C$2342,M$4,'Grid Data'!$A$4:$A$2342,$D$2)*100, 0)</f>
        <v>6.5338999999999992</v>
      </c>
      <c r="N19" s="4">
        <f>IF(  N82&gt;$E$2, SUMIFS(IF($G$2="CPR",'Grid Data'!$J$4:$J$2342,'Grid Data'!$K$4:$K$2342),'Grid Data'!$B$4:$B$2342,$D19,'Grid Data'!$C$4:$C$2342,N$4,'Grid Data'!$A$4:$A$2342,$D$2)*100, 0)</f>
        <v>4.9420000000000002</v>
      </c>
      <c r="O19" s="4">
        <f>IF(  O82&gt;$E$2, SUMIFS(IF($G$2="CPR",'Grid Data'!$J$4:$J$2342,'Grid Data'!$K$4:$K$2342),'Grid Data'!$B$4:$B$2342,$D19,'Grid Data'!$C$4:$C$2342,O$4,'Grid Data'!$A$4:$A$2342,$D$2)*100, 0)</f>
        <v>5.6963999999999997</v>
      </c>
      <c r="P19" s="4">
        <f>IF(  P82&gt;$E$2, SUMIFS(IF($G$2="CPR",'Grid Data'!$J$4:$J$2342,'Grid Data'!$K$4:$K$2342),'Grid Data'!$B$4:$B$2342,$D19,'Grid Data'!$C$4:$C$2342,P$4,'Grid Data'!$A$4:$A$2342,$D$2)*100, 0)</f>
        <v>7.5866000000000007</v>
      </c>
      <c r="Q19" s="4">
        <f>IF(  Q82&gt;$E$2, SUMIFS(IF($G$2="CPR",'Grid Data'!$J$4:$J$2342,'Grid Data'!$K$4:$K$2342),'Grid Data'!$B$4:$B$2342,$D19,'Grid Data'!$C$4:$C$2342,Q$4,'Grid Data'!$A$4:$A$2342,$D$2)*100, 0)</f>
        <v>7.9994999999999994</v>
      </c>
      <c r="R19" s="4">
        <f>IF(  R82&gt;$E$2, SUMIFS(IF($G$2="CPR",'Grid Data'!$J$4:$J$2342,'Grid Data'!$K$4:$K$2342),'Grid Data'!$B$4:$B$2342,$D19,'Grid Data'!$C$4:$C$2342,R$4,'Grid Data'!$A$4:$A$2342,$D$2)*100, 0)</f>
        <v>8.8853000000000009</v>
      </c>
      <c r="S19" s="4">
        <f>IF(  S82&gt;$E$2, SUMIFS(IF($G$2="CPR",'Grid Data'!$J$4:$J$2342,'Grid Data'!$K$4:$K$2342),'Grid Data'!$B$4:$B$2342,$D19,'Grid Data'!$C$4:$C$2342,S$4,'Grid Data'!$A$4:$A$2342,$D$2)*100, 0)</f>
        <v>7.3930999999999996</v>
      </c>
      <c r="T19" s="4">
        <f>IF(  T82&gt;$E$2, SUMIFS(IF($G$2="CPR",'Grid Data'!$J$4:$J$2342,'Grid Data'!$K$4:$K$2342),'Grid Data'!$B$4:$B$2342,$D19,'Grid Data'!$C$4:$C$2342,T$4,'Grid Data'!$A$4:$A$2342,$D$2)*100, 0)</f>
        <v>6.1545999999999994</v>
      </c>
      <c r="U19" s="4">
        <f>IF(  U82&gt;$E$2, SUMIFS(IF($G$2="CPR",'Grid Data'!$J$4:$J$2342,'Grid Data'!$K$4:$K$2342),'Grid Data'!$B$4:$B$2342,$D19,'Grid Data'!$C$4:$C$2342,U$4,'Grid Data'!$A$4:$A$2342,$D$2)*100, 0)</f>
        <v>0</v>
      </c>
      <c r="V19" s="4">
        <f>IF(  V82&gt;$E$2, SUMIFS(IF($G$2="CPR",'Grid Data'!$J$4:$J$2342,'Grid Data'!$K$4:$K$2342),'Grid Data'!$B$4:$B$2342,$D19,'Grid Data'!$C$4:$C$2342,V$4,'Grid Data'!$A$4:$A$2342,$D$2)*100, 0)</f>
        <v>0</v>
      </c>
      <c r="W19" s="4">
        <f>IF(  W82&gt;$E$2, SUMIFS(IF($G$2="CPR",'Grid Data'!$J$4:$J$2342,'Grid Data'!$K$4:$K$2342),'Grid Data'!$B$4:$B$2342,$D19,'Grid Data'!$C$4:$C$2342,W$4,'Grid Data'!$A$4:$A$2342,$D$2)*100, 0)</f>
        <v>9.2240000000000002</v>
      </c>
      <c r="X19" s="4">
        <f>IF(  X82&gt;$E$2, SUMIFS(IF($G$2="CPR",'Grid Data'!$J$4:$J$2342,'Grid Data'!$K$4:$K$2342),'Grid Data'!$B$4:$B$2342,$D19,'Grid Data'!$C$4:$C$2342,X$4,'Grid Data'!$A$4:$A$2342,$D$2)*100, 0)</f>
        <v>8.3520000000000003</v>
      </c>
      <c r="Y19" s="4">
        <f>IF(  Y82&gt;$E$2, SUMIFS(IF($G$2="CPR",'Grid Data'!$J$4:$J$2342,'Grid Data'!$K$4:$K$2342),'Grid Data'!$B$4:$B$2342,$D19,'Grid Data'!$C$4:$C$2342,Y$4,'Grid Data'!$A$4:$A$2342,$D$2)*100, 0)</f>
        <v>8.1058000000000003</v>
      </c>
      <c r="Z19" s="4">
        <f>IF(  Z82&gt;$E$2, SUMIFS(IF($G$2="CPR",'Grid Data'!$J$4:$J$2342,'Grid Data'!$K$4:$K$2342),'Grid Data'!$B$4:$B$2342,$D19,'Grid Data'!$C$4:$C$2342,Z$4,'Grid Data'!$A$4:$A$2342,$D$2)*100, 0)</f>
        <v>8.5230999999999995</v>
      </c>
      <c r="AA19" s="4">
        <f>IF(  AA82&gt;$E$2, SUMIFS(IF($G$2="CPR",'Grid Data'!$J$4:$J$2342,'Grid Data'!$K$4:$K$2342),'Grid Data'!$B$4:$B$2342,$D19,'Grid Data'!$C$4:$C$2342,AA$4,'Grid Data'!$A$4:$A$2342,$D$2)*100, 0)</f>
        <v>8.4166000000000007</v>
      </c>
      <c r="AB19" s="4">
        <f>IF(  AB82&gt;$E$2, SUMIFS(IF($G$2="CPR",'Grid Data'!$J$4:$J$2342,'Grid Data'!$K$4:$K$2342),'Grid Data'!$B$4:$B$2342,$D19,'Grid Data'!$C$4:$C$2342,AB$4,'Grid Data'!$A$4:$A$2342,$D$2)*100, 0)</f>
        <v>8.2376000000000005</v>
      </c>
      <c r="AC19" s="4">
        <f>IF(  AC82&gt;$E$2, SUMIFS(IF($G$2="CPR",'Grid Data'!$J$4:$J$2342,'Grid Data'!$K$4:$K$2342),'Grid Data'!$B$4:$B$2342,$D19,'Grid Data'!$C$4:$C$2342,AC$4,'Grid Data'!$A$4:$A$2342,$D$2)*100, 0)</f>
        <v>7.2860999999999994</v>
      </c>
      <c r="AD19" s="4">
        <f>IF(  AD82&gt;$E$2, SUMIFS(IF($G$2="CPR",'Grid Data'!$J$4:$J$2342,'Grid Data'!$K$4:$K$2342),'Grid Data'!$B$4:$B$2342,$D19,'Grid Data'!$C$4:$C$2342,AD$4,'Grid Data'!$A$4:$A$2342,$D$2)*100, 0)</f>
        <v>6.2877000000000001</v>
      </c>
      <c r="AE19" s="4">
        <f>IF(  AE82&gt;$E$2, SUMIFS(IF($G$2="CPR",'Grid Data'!$J$4:$J$2342,'Grid Data'!$K$4:$K$2342),'Grid Data'!$B$4:$B$2342,$D19,'Grid Data'!$C$4:$C$2342,AE$4,'Grid Data'!$A$4:$A$2342,$D$2)*100, 0)</f>
        <v>5.5752000000000006</v>
      </c>
      <c r="AF19" s="4">
        <f>IF(  AF82&gt;$E$2, SUMIFS(IF($G$2="CPR",'Grid Data'!$J$4:$J$2342,'Grid Data'!$K$4:$K$2342),'Grid Data'!$B$4:$B$2342,$D19,'Grid Data'!$C$4:$C$2342,AF$4,'Grid Data'!$A$4:$A$2342,$D$2)*100, 0)</f>
        <v>5.3118999999999996</v>
      </c>
      <c r="AG19" s="4">
        <f>IF(  AG82&gt;$E$2, SUMIFS(IF($G$2="CPR",'Grid Data'!$J$4:$J$2342,'Grid Data'!$K$4:$K$2342),'Grid Data'!$B$4:$B$2342,$D19,'Grid Data'!$C$4:$C$2342,AG$4,'Grid Data'!$A$4:$A$2342,$D$2)*100, 0)</f>
        <v>9.0344999999999995</v>
      </c>
      <c r="AH19" s="4">
        <f>IF(  AH82&gt;$E$2, SUMIFS(IF($G$2="CPR",'Grid Data'!$J$4:$J$2342,'Grid Data'!$K$4:$K$2342),'Grid Data'!$B$4:$B$2342,$D19,'Grid Data'!$C$4:$C$2342,AH$4,'Grid Data'!$A$4:$A$2342,$D$2)*100, 0)</f>
        <v>0</v>
      </c>
    </row>
    <row r="20" spans="4:34" x14ac:dyDescent="0.35">
      <c r="D20">
        <v>5750</v>
      </c>
      <c r="E20" s="4">
        <f>IF(  E83&gt;$E$2, SUMIFS(IF($G$2="CPR",'Grid Data'!$J$4:$J$2342,'Grid Data'!$K$4:$K$2342),'Grid Data'!$B$4:$B$2342,$D20,'Grid Data'!$C$4:$C$2342,E$4,'Grid Data'!$A$4:$A$2342,$D$2)*100, 0)</f>
        <v>1.2344000000000002</v>
      </c>
      <c r="F20" s="4">
        <f>IF(  F83&gt;$E$2, SUMIFS(IF($G$2="CPR",'Grid Data'!$J$4:$J$2342,'Grid Data'!$K$4:$K$2342),'Grid Data'!$B$4:$B$2342,$D20,'Grid Data'!$C$4:$C$2342,F$4,'Grid Data'!$A$4:$A$2342,$D$2)*100, 0)</f>
        <v>5.2149000000000001</v>
      </c>
      <c r="G20" s="4">
        <f>IF(  G83&gt;$E$2, SUMIFS(IF($G$2="CPR",'Grid Data'!$J$4:$J$2342,'Grid Data'!$K$4:$K$2342),'Grid Data'!$B$4:$B$2342,$D20,'Grid Data'!$C$4:$C$2342,G$4,'Grid Data'!$A$4:$A$2342,$D$2)*100, 0)</f>
        <v>8.0460000000000012</v>
      </c>
      <c r="H20" s="4">
        <f>IF(  H83&gt;$E$2, SUMIFS(IF($G$2="CPR",'Grid Data'!$J$4:$J$2342,'Grid Data'!$K$4:$K$2342),'Grid Data'!$B$4:$B$2342,$D20,'Grid Data'!$C$4:$C$2342,H$4,'Grid Data'!$A$4:$A$2342,$D$2)*100, 0)</f>
        <v>6.2520000000000007</v>
      </c>
      <c r="I20" s="4">
        <f>IF(  I83&gt;$E$2, SUMIFS(IF($G$2="CPR",'Grid Data'!$J$4:$J$2342,'Grid Data'!$K$4:$K$2342),'Grid Data'!$B$4:$B$2342,$D20,'Grid Data'!$C$4:$C$2342,I$4,'Grid Data'!$A$4:$A$2342,$D$2)*100, 0)</f>
        <v>6.1668000000000003</v>
      </c>
      <c r="J20" s="4">
        <f>IF(  J83&gt;$E$2, SUMIFS(IF($G$2="CPR",'Grid Data'!$J$4:$J$2342,'Grid Data'!$K$4:$K$2342),'Grid Data'!$B$4:$B$2342,$D20,'Grid Data'!$C$4:$C$2342,J$4,'Grid Data'!$A$4:$A$2342,$D$2)*100, 0)</f>
        <v>7.1481000000000003</v>
      </c>
      <c r="K20" s="4">
        <f>IF(  K83&gt;$E$2, SUMIFS(IF($G$2="CPR",'Grid Data'!$J$4:$J$2342,'Grid Data'!$K$4:$K$2342),'Grid Data'!$B$4:$B$2342,$D20,'Grid Data'!$C$4:$C$2342,K$4,'Grid Data'!$A$4:$A$2342,$D$2)*100, 0)</f>
        <v>8.9664999999999999</v>
      </c>
      <c r="L20" s="4">
        <f>IF(  L83&gt;$E$2, SUMIFS(IF($G$2="CPR",'Grid Data'!$J$4:$J$2342,'Grid Data'!$K$4:$K$2342),'Grid Data'!$B$4:$B$2342,$D20,'Grid Data'!$C$4:$C$2342,L$4,'Grid Data'!$A$4:$A$2342,$D$2)*100, 0)</f>
        <v>9.6068999999999996</v>
      </c>
      <c r="M20" s="4">
        <f>IF(  M83&gt;$E$2, SUMIFS(IF($G$2="CPR",'Grid Data'!$J$4:$J$2342,'Grid Data'!$K$4:$K$2342),'Grid Data'!$B$4:$B$2342,$D20,'Grid Data'!$C$4:$C$2342,M$4,'Grid Data'!$A$4:$A$2342,$D$2)*100, 0)</f>
        <v>9.5372000000000003</v>
      </c>
      <c r="N20" s="4">
        <f>IF(  N83&gt;$E$2, SUMIFS(IF($G$2="CPR",'Grid Data'!$J$4:$J$2342,'Grid Data'!$K$4:$K$2342),'Grid Data'!$B$4:$B$2342,$D20,'Grid Data'!$C$4:$C$2342,N$4,'Grid Data'!$A$4:$A$2342,$D$2)*100, 0)</f>
        <v>8.3815000000000008</v>
      </c>
      <c r="O20" s="4">
        <f>IF(  O83&gt;$E$2, SUMIFS(IF($G$2="CPR",'Grid Data'!$J$4:$J$2342,'Grid Data'!$K$4:$K$2342),'Grid Data'!$B$4:$B$2342,$D20,'Grid Data'!$C$4:$C$2342,O$4,'Grid Data'!$A$4:$A$2342,$D$2)*100, 0)</f>
        <v>8.7149000000000001</v>
      </c>
      <c r="P20" s="4">
        <f>IF(  P83&gt;$E$2, SUMIFS(IF($G$2="CPR",'Grid Data'!$J$4:$J$2342,'Grid Data'!$K$4:$K$2342),'Grid Data'!$B$4:$B$2342,$D20,'Grid Data'!$C$4:$C$2342,P$4,'Grid Data'!$A$4:$A$2342,$D$2)*100, 0)</f>
        <v>9.2818000000000005</v>
      </c>
      <c r="Q20" s="4">
        <f>IF(  Q83&gt;$E$2, SUMIFS(IF($G$2="CPR",'Grid Data'!$J$4:$J$2342,'Grid Data'!$K$4:$K$2342),'Grid Data'!$B$4:$B$2342,$D20,'Grid Data'!$C$4:$C$2342,Q$4,'Grid Data'!$A$4:$A$2342,$D$2)*100, 0)</f>
        <v>9.5107999999999997</v>
      </c>
      <c r="R20" s="4">
        <f>IF(  R83&gt;$E$2, SUMIFS(IF($G$2="CPR",'Grid Data'!$J$4:$J$2342,'Grid Data'!$K$4:$K$2342),'Grid Data'!$B$4:$B$2342,$D20,'Grid Data'!$C$4:$C$2342,R$4,'Grid Data'!$A$4:$A$2342,$D$2)*100, 0)</f>
        <v>9.8384999999999998</v>
      </c>
      <c r="S20" s="4">
        <f>IF(  S83&gt;$E$2, SUMIFS(IF($G$2="CPR",'Grid Data'!$J$4:$J$2342,'Grid Data'!$K$4:$K$2342),'Grid Data'!$B$4:$B$2342,$D20,'Grid Data'!$C$4:$C$2342,S$4,'Grid Data'!$A$4:$A$2342,$D$2)*100, 0)</f>
        <v>8.82</v>
      </c>
      <c r="T20" s="4">
        <f>IF(  T83&gt;$E$2, SUMIFS(IF($G$2="CPR",'Grid Data'!$J$4:$J$2342,'Grid Data'!$K$4:$K$2342),'Grid Data'!$B$4:$B$2342,$D20,'Grid Data'!$C$4:$C$2342,T$4,'Grid Data'!$A$4:$A$2342,$D$2)*100, 0)</f>
        <v>7.5546000000000006</v>
      </c>
      <c r="U20" s="4">
        <f>IF(  U83&gt;$E$2, SUMIFS(IF($G$2="CPR",'Grid Data'!$J$4:$J$2342,'Grid Data'!$K$4:$K$2342),'Grid Data'!$B$4:$B$2342,$D20,'Grid Data'!$C$4:$C$2342,U$4,'Grid Data'!$A$4:$A$2342,$D$2)*100, 0)</f>
        <v>0</v>
      </c>
      <c r="V20" s="4">
        <f>IF(  V83&gt;$E$2, SUMIFS(IF($G$2="CPR",'Grid Data'!$J$4:$J$2342,'Grid Data'!$K$4:$K$2342),'Grid Data'!$B$4:$B$2342,$D20,'Grid Data'!$C$4:$C$2342,V$4,'Grid Data'!$A$4:$A$2342,$D$2)*100, 0)</f>
        <v>0</v>
      </c>
      <c r="W20" s="4">
        <f>IF(  W83&gt;$E$2, SUMIFS(IF($G$2="CPR",'Grid Data'!$J$4:$J$2342,'Grid Data'!$K$4:$K$2342),'Grid Data'!$B$4:$B$2342,$D20,'Grid Data'!$C$4:$C$2342,W$4,'Grid Data'!$A$4:$A$2342,$D$2)*100, 0)</f>
        <v>9.8679000000000006</v>
      </c>
      <c r="X20" s="4">
        <f>IF(  X83&gt;$E$2, SUMIFS(IF($G$2="CPR",'Grid Data'!$J$4:$J$2342,'Grid Data'!$K$4:$K$2342),'Grid Data'!$B$4:$B$2342,$D20,'Grid Data'!$C$4:$C$2342,X$4,'Grid Data'!$A$4:$A$2342,$D$2)*100, 0)</f>
        <v>8.7759</v>
      </c>
      <c r="Y20" s="4">
        <f>IF(  Y83&gt;$E$2, SUMIFS(IF($G$2="CPR",'Grid Data'!$J$4:$J$2342,'Grid Data'!$K$4:$K$2342),'Grid Data'!$B$4:$B$2342,$D20,'Grid Data'!$C$4:$C$2342,Y$4,'Grid Data'!$A$4:$A$2342,$D$2)*100, 0)</f>
        <v>8.7629000000000001</v>
      </c>
      <c r="Z20" s="4">
        <f>IF(  Z83&gt;$E$2, SUMIFS(IF($G$2="CPR",'Grid Data'!$J$4:$J$2342,'Grid Data'!$K$4:$K$2342),'Grid Data'!$B$4:$B$2342,$D20,'Grid Data'!$C$4:$C$2342,Z$4,'Grid Data'!$A$4:$A$2342,$D$2)*100, 0)</f>
        <v>9.7285000000000004</v>
      </c>
      <c r="AA20" s="4">
        <f>IF(  AA83&gt;$E$2, SUMIFS(IF($G$2="CPR",'Grid Data'!$J$4:$J$2342,'Grid Data'!$K$4:$K$2342),'Grid Data'!$B$4:$B$2342,$D20,'Grid Data'!$C$4:$C$2342,AA$4,'Grid Data'!$A$4:$A$2342,$D$2)*100, 0)</f>
        <v>0</v>
      </c>
      <c r="AB20" s="4">
        <f>IF(  AB83&gt;$E$2, SUMIFS(IF($G$2="CPR",'Grid Data'!$J$4:$J$2342,'Grid Data'!$K$4:$K$2342),'Grid Data'!$B$4:$B$2342,$D20,'Grid Data'!$C$4:$C$2342,AB$4,'Grid Data'!$A$4:$A$2342,$D$2)*100, 0)</f>
        <v>9.4742000000000015</v>
      </c>
      <c r="AC20" s="4">
        <f>IF(  AC83&gt;$E$2, SUMIFS(IF($G$2="CPR",'Grid Data'!$J$4:$J$2342,'Grid Data'!$K$4:$K$2342),'Grid Data'!$B$4:$B$2342,$D20,'Grid Data'!$C$4:$C$2342,AC$4,'Grid Data'!$A$4:$A$2342,$D$2)*100, 0)</f>
        <v>0</v>
      </c>
      <c r="AD20" s="4">
        <f>IF(  AD83&gt;$E$2, SUMIFS(IF($G$2="CPR",'Grid Data'!$J$4:$J$2342,'Grid Data'!$K$4:$K$2342),'Grid Data'!$B$4:$B$2342,$D20,'Grid Data'!$C$4:$C$2342,AD$4,'Grid Data'!$A$4:$A$2342,$D$2)*100, 0)</f>
        <v>6.6091999999999995</v>
      </c>
      <c r="AE20" s="4">
        <f>IF(  AE83&gt;$E$2, SUMIFS(IF($G$2="CPR",'Grid Data'!$J$4:$J$2342,'Grid Data'!$K$4:$K$2342),'Grid Data'!$B$4:$B$2342,$D20,'Grid Data'!$C$4:$C$2342,AE$4,'Grid Data'!$A$4:$A$2342,$D$2)*100, 0)</f>
        <v>6.04</v>
      </c>
      <c r="AF20" s="4">
        <f>IF(  AF83&gt;$E$2, SUMIFS(IF($G$2="CPR",'Grid Data'!$J$4:$J$2342,'Grid Data'!$K$4:$K$2342),'Grid Data'!$B$4:$B$2342,$D20,'Grid Data'!$C$4:$C$2342,AF$4,'Grid Data'!$A$4:$A$2342,$D$2)*100, 0)</f>
        <v>5.6931000000000003</v>
      </c>
      <c r="AG20" s="4">
        <f>IF(  AG83&gt;$E$2, SUMIFS(IF($G$2="CPR",'Grid Data'!$J$4:$J$2342,'Grid Data'!$K$4:$K$2342),'Grid Data'!$B$4:$B$2342,$D20,'Grid Data'!$C$4:$C$2342,AG$4,'Grid Data'!$A$4:$A$2342,$D$2)*100, 0)</f>
        <v>8.5950000000000006</v>
      </c>
      <c r="AH20" s="4">
        <f>IF(  AH83&gt;$E$2, SUMIFS(IF($G$2="CPR",'Grid Data'!$J$4:$J$2342,'Grid Data'!$K$4:$K$2342),'Grid Data'!$B$4:$B$2342,$D20,'Grid Data'!$C$4:$C$2342,AH$4,'Grid Data'!$A$4:$A$2342,$D$2)*100, 0)</f>
        <v>9.7458000000000009</v>
      </c>
    </row>
    <row r="21" spans="4:34" x14ac:dyDescent="0.35">
      <c r="D21">
        <v>6000</v>
      </c>
      <c r="E21" s="4">
        <f>IF(  E84&gt;$E$2, SUMIFS(IF($G$2="CPR",'Grid Data'!$J$4:$J$2342,'Grid Data'!$K$4:$K$2342),'Grid Data'!$B$4:$B$2342,$D21,'Grid Data'!$C$4:$C$2342,E$4,'Grid Data'!$A$4:$A$2342,$D$2)*100, 0)</f>
        <v>1.7673000000000001</v>
      </c>
      <c r="F21" s="4">
        <f>IF(  F84&gt;$E$2, SUMIFS(IF($G$2="CPR",'Grid Data'!$J$4:$J$2342,'Grid Data'!$K$4:$K$2342),'Grid Data'!$B$4:$B$2342,$D21,'Grid Data'!$C$4:$C$2342,F$4,'Grid Data'!$A$4:$A$2342,$D$2)*100, 0)</f>
        <v>9.7239000000000004</v>
      </c>
      <c r="G21" s="4">
        <f>IF(  G84&gt;$E$2, SUMIFS(IF($G$2="CPR",'Grid Data'!$J$4:$J$2342,'Grid Data'!$K$4:$K$2342),'Grid Data'!$B$4:$B$2342,$D21,'Grid Data'!$C$4:$C$2342,G$4,'Grid Data'!$A$4:$A$2342,$D$2)*100, 0)</f>
        <v>13.494300000000001</v>
      </c>
      <c r="H21" s="4">
        <f>IF(  H84&gt;$E$2, SUMIFS(IF($G$2="CPR",'Grid Data'!$J$4:$J$2342,'Grid Data'!$K$4:$K$2342),'Grid Data'!$B$4:$B$2342,$D21,'Grid Data'!$C$4:$C$2342,H$4,'Grid Data'!$A$4:$A$2342,$D$2)*100, 0)</f>
        <v>12.251900000000001</v>
      </c>
      <c r="I21" s="4">
        <f>IF(  I84&gt;$E$2, SUMIFS(IF($G$2="CPR",'Grid Data'!$J$4:$J$2342,'Grid Data'!$K$4:$K$2342),'Grid Data'!$B$4:$B$2342,$D21,'Grid Data'!$C$4:$C$2342,I$4,'Grid Data'!$A$4:$A$2342,$D$2)*100, 0)</f>
        <v>11.6425</v>
      </c>
      <c r="J21" s="4">
        <f>IF(  J84&gt;$E$2, SUMIFS(IF($G$2="CPR",'Grid Data'!$J$4:$J$2342,'Grid Data'!$K$4:$K$2342),'Grid Data'!$B$4:$B$2342,$D21,'Grid Data'!$C$4:$C$2342,J$4,'Grid Data'!$A$4:$A$2342,$D$2)*100, 0)</f>
        <v>11.506399999999999</v>
      </c>
      <c r="K21" s="4">
        <f>IF(  K84&gt;$E$2, SUMIFS(IF($G$2="CPR",'Grid Data'!$J$4:$J$2342,'Grid Data'!$K$4:$K$2342),'Grid Data'!$B$4:$B$2342,$D21,'Grid Data'!$C$4:$C$2342,K$4,'Grid Data'!$A$4:$A$2342,$D$2)*100, 0)</f>
        <v>14.317600000000001</v>
      </c>
      <c r="L21" s="4">
        <f>IF(  L84&gt;$E$2, SUMIFS(IF($G$2="CPR",'Grid Data'!$J$4:$J$2342,'Grid Data'!$K$4:$K$2342),'Grid Data'!$B$4:$B$2342,$D21,'Grid Data'!$C$4:$C$2342,L$4,'Grid Data'!$A$4:$A$2342,$D$2)*100, 0)</f>
        <v>15.784699999999999</v>
      </c>
      <c r="M21" s="4">
        <f>IF(  M84&gt;$E$2, SUMIFS(IF($G$2="CPR",'Grid Data'!$J$4:$J$2342,'Grid Data'!$K$4:$K$2342),'Grid Data'!$B$4:$B$2342,$D21,'Grid Data'!$C$4:$C$2342,M$4,'Grid Data'!$A$4:$A$2342,$D$2)*100, 0)</f>
        <v>15.039300000000001</v>
      </c>
      <c r="N21" s="4">
        <f>IF(  N84&gt;$E$2, SUMIFS(IF($G$2="CPR",'Grid Data'!$J$4:$J$2342,'Grid Data'!$K$4:$K$2342),'Grid Data'!$B$4:$B$2342,$D21,'Grid Data'!$C$4:$C$2342,N$4,'Grid Data'!$A$4:$A$2342,$D$2)*100, 0)</f>
        <v>13.0906</v>
      </c>
      <c r="O21" s="4">
        <f>IF(  O84&gt;$E$2, SUMIFS(IF($G$2="CPR",'Grid Data'!$J$4:$J$2342,'Grid Data'!$K$4:$K$2342),'Grid Data'!$B$4:$B$2342,$D21,'Grid Data'!$C$4:$C$2342,O$4,'Grid Data'!$A$4:$A$2342,$D$2)*100, 0)</f>
        <v>13.228400000000001</v>
      </c>
      <c r="P21" s="4">
        <f>IF(  P84&gt;$E$2, SUMIFS(IF($G$2="CPR",'Grid Data'!$J$4:$J$2342,'Grid Data'!$K$4:$K$2342),'Grid Data'!$B$4:$B$2342,$D21,'Grid Data'!$C$4:$C$2342,P$4,'Grid Data'!$A$4:$A$2342,$D$2)*100, 0)</f>
        <v>13.303999999999998</v>
      </c>
      <c r="Q21" s="4">
        <f>IF(  Q84&gt;$E$2, SUMIFS(IF($G$2="CPR",'Grid Data'!$J$4:$J$2342,'Grid Data'!$K$4:$K$2342),'Grid Data'!$B$4:$B$2342,$D21,'Grid Data'!$C$4:$C$2342,Q$4,'Grid Data'!$A$4:$A$2342,$D$2)*100, 0)</f>
        <v>13.098599999999999</v>
      </c>
      <c r="R21" s="4">
        <f>IF(  R84&gt;$E$2, SUMIFS(IF($G$2="CPR",'Grid Data'!$J$4:$J$2342,'Grid Data'!$K$4:$K$2342),'Grid Data'!$B$4:$B$2342,$D21,'Grid Data'!$C$4:$C$2342,R$4,'Grid Data'!$A$4:$A$2342,$D$2)*100, 0)</f>
        <v>12.6739</v>
      </c>
      <c r="S21" s="4">
        <f>IF(  S84&gt;$E$2, SUMIFS(IF($G$2="CPR",'Grid Data'!$J$4:$J$2342,'Grid Data'!$K$4:$K$2342),'Grid Data'!$B$4:$B$2342,$D21,'Grid Data'!$C$4:$C$2342,S$4,'Grid Data'!$A$4:$A$2342,$D$2)*100, 0)</f>
        <v>11.081799999999999</v>
      </c>
      <c r="T21" s="4">
        <f>IF(  T84&gt;$E$2, SUMIFS(IF($G$2="CPR",'Grid Data'!$J$4:$J$2342,'Grid Data'!$K$4:$K$2342),'Grid Data'!$B$4:$B$2342,$D21,'Grid Data'!$C$4:$C$2342,T$4,'Grid Data'!$A$4:$A$2342,$D$2)*100, 0)</f>
        <v>8.6219999999999999</v>
      </c>
      <c r="U21" s="4">
        <f>IF(  U84&gt;$E$2, SUMIFS(IF($G$2="CPR",'Grid Data'!$J$4:$J$2342,'Grid Data'!$K$4:$K$2342),'Grid Data'!$B$4:$B$2342,$D21,'Grid Data'!$C$4:$C$2342,U$4,'Grid Data'!$A$4:$A$2342,$D$2)*100, 0)</f>
        <v>0</v>
      </c>
      <c r="V21" s="4">
        <f>IF(  V84&gt;$E$2, SUMIFS(IF($G$2="CPR",'Grid Data'!$J$4:$J$2342,'Grid Data'!$K$4:$K$2342),'Grid Data'!$B$4:$B$2342,$D21,'Grid Data'!$C$4:$C$2342,V$4,'Grid Data'!$A$4:$A$2342,$D$2)*100, 0)</f>
        <v>0</v>
      </c>
      <c r="W21" s="4">
        <f>IF(  W84&gt;$E$2, SUMIFS(IF($G$2="CPR",'Grid Data'!$J$4:$J$2342,'Grid Data'!$K$4:$K$2342),'Grid Data'!$B$4:$B$2342,$D21,'Grid Data'!$C$4:$C$2342,W$4,'Grid Data'!$A$4:$A$2342,$D$2)*100, 0)</f>
        <v>0</v>
      </c>
      <c r="X21" s="4">
        <f>IF(  X84&gt;$E$2, SUMIFS(IF($G$2="CPR",'Grid Data'!$J$4:$J$2342,'Grid Data'!$K$4:$K$2342),'Grid Data'!$B$4:$B$2342,$D21,'Grid Data'!$C$4:$C$2342,X$4,'Grid Data'!$A$4:$A$2342,$D$2)*100, 0)</f>
        <v>9.7645999999999997</v>
      </c>
      <c r="Y21" s="4">
        <f>IF(  Y84&gt;$E$2, SUMIFS(IF($G$2="CPR",'Grid Data'!$J$4:$J$2342,'Grid Data'!$K$4:$K$2342),'Grid Data'!$B$4:$B$2342,$D21,'Grid Data'!$C$4:$C$2342,Y$4,'Grid Data'!$A$4:$A$2342,$D$2)*100, 0)</f>
        <v>10.9711</v>
      </c>
      <c r="Z21" s="4">
        <f>IF(  Z84&gt;$E$2, SUMIFS(IF($G$2="CPR",'Grid Data'!$J$4:$J$2342,'Grid Data'!$K$4:$K$2342),'Grid Data'!$B$4:$B$2342,$D21,'Grid Data'!$C$4:$C$2342,Z$4,'Grid Data'!$A$4:$A$2342,$D$2)*100, 0)</f>
        <v>0</v>
      </c>
      <c r="AA21" s="4">
        <f>IF(  AA84&gt;$E$2, SUMIFS(IF($G$2="CPR",'Grid Data'!$J$4:$J$2342,'Grid Data'!$K$4:$K$2342),'Grid Data'!$B$4:$B$2342,$D21,'Grid Data'!$C$4:$C$2342,AA$4,'Grid Data'!$A$4:$A$2342,$D$2)*100, 0)</f>
        <v>0</v>
      </c>
      <c r="AB21" s="4">
        <f>IF(  AB84&gt;$E$2, SUMIFS(IF($G$2="CPR",'Grid Data'!$J$4:$J$2342,'Grid Data'!$K$4:$K$2342),'Grid Data'!$B$4:$B$2342,$D21,'Grid Data'!$C$4:$C$2342,AB$4,'Grid Data'!$A$4:$A$2342,$D$2)*100, 0)</f>
        <v>0</v>
      </c>
      <c r="AC21" s="4">
        <f>IF(  AC84&gt;$E$2, SUMIFS(IF($G$2="CPR",'Grid Data'!$J$4:$J$2342,'Grid Data'!$K$4:$K$2342),'Grid Data'!$B$4:$B$2342,$D21,'Grid Data'!$C$4:$C$2342,AC$4,'Grid Data'!$A$4:$A$2342,$D$2)*100, 0)</f>
        <v>0</v>
      </c>
      <c r="AD21" s="4">
        <f>IF(  AD84&gt;$E$2, SUMIFS(IF($G$2="CPR",'Grid Data'!$J$4:$J$2342,'Grid Data'!$K$4:$K$2342),'Grid Data'!$B$4:$B$2342,$D21,'Grid Data'!$C$4:$C$2342,AD$4,'Grid Data'!$A$4:$A$2342,$D$2)*100, 0)</f>
        <v>6.8733000000000004</v>
      </c>
      <c r="AE21" s="4">
        <f>IF(  AE84&gt;$E$2, SUMIFS(IF($G$2="CPR",'Grid Data'!$J$4:$J$2342,'Grid Data'!$K$4:$K$2342),'Grid Data'!$B$4:$B$2342,$D21,'Grid Data'!$C$4:$C$2342,AE$4,'Grid Data'!$A$4:$A$2342,$D$2)*100, 0)</f>
        <v>6.1395</v>
      </c>
      <c r="AF21" s="4">
        <f>IF(  AF84&gt;$E$2, SUMIFS(IF($G$2="CPR",'Grid Data'!$J$4:$J$2342,'Grid Data'!$K$4:$K$2342),'Grid Data'!$B$4:$B$2342,$D21,'Grid Data'!$C$4:$C$2342,AF$4,'Grid Data'!$A$4:$A$2342,$D$2)*100, 0)</f>
        <v>5.726</v>
      </c>
      <c r="AG21" s="4">
        <f>IF(  AG84&gt;$E$2, SUMIFS(IF($G$2="CPR",'Grid Data'!$J$4:$J$2342,'Grid Data'!$K$4:$K$2342),'Grid Data'!$B$4:$B$2342,$D21,'Grid Data'!$C$4:$C$2342,AG$4,'Grid Data'!$A$4:$A$2342,$D$2)*100, 0)</f>
        <v>9.0298999999999996</v>
      </c>
      <c r="AH21" s="4">
        <f>IF(  AH84&gt;$E$2, SUMIFS(IF($G$2="CPR",'Grid Data'!$J$4:$J$2342,'Grid Data'!$K$4:$K$2342),'Grid Data'!$B$4:$B$2342,$D21,'Grid Data'!$C$4:$C$2342,AH$4,'Grid Data'!$A$4:$A$2342,$D$2)*100, 0)</f>
        <v>9.7480999999999991</v>
      </c>
    </row>
    <row r="22" spans="4:34" x14ac:dyDescent="0.35">
      <c r="D22">
        <v>6250</v>
      </c>
      <c r="E22" s="4">
        <f>IF(  E85&gt;$E$2, SUMIFS(IF($G$2="CPR",'Grid Data'!$J$4:$J$2342,'Grid Data'!$K$4:$K$2342),'Grid Data'!$B$4:$B$2342,$D22,'Grid Data'!$C$4:$C$2342,E$4,'Grid Data'!$A$4:$A$2342,$D$2)*100, 0)</f>
        <v>2.0615999999999999</v>
      </c>
      <c r="F22" s="4">
        <f>IF(  F85&gt;$E$2, SUMIFS(IF($G$2="CPR",'Grid Data'!$J$4:$J$2342,'Grid Data'!$K$4:$K$2342),'Grid Data'!$B$4:$B$2342,$D22,'Grid Data'!$C$4:$C$2342,F$4,'Grid Data'!$A$4:$A$2342,$D$2)*100, 0)</f>
        <v>17.615300000000001</v>
      </c>
      <c r="G22" s="4">
        <f>IF(  G85&gt;$E$2, SUMIFS(IF($G$2="CPR",'Grid Data'!$J$4:$J$2342,'Grid Data'!$K$4:$K$2342),'Grid Data'!$B$4:$B$2342,$D22,'Grid Data'!$C$4:$C$2342,G$4,'Grid Data'!$A$4:$A$2342,$D$2)*100, 0)</f>
        <v>26.5274</v>
      </c>
      <c r="H22" s="4">
        <f>IF(  H85&gt;$E$2, SUMIFS(IF($G$2="CPR",'Grid Data'!$J$4:$J$2342,'Grid Data'!$K$4:$K$2342),'Grid Data'!$B$4:$B$2342,$D22,'Grid Data'!$C$4:$C$2342,H$4,'Grid Data'!$A$4:$A$2342,$D$2)*100, 0)</f>
        <v>23.181899999999999</v>
      </c>
      <c r="I22" s="4">
        <f>IF(  I85&gt;$E$2, SUMIFS(IF($G$2="CPR",'Grid Data'!$J$4:$J$2342,'Grid Data'!$K$4:$K$2342),'Grid Data'!$B$4:$B$2342,$D22,'Grid Data'!$C$4:$C$2342,I$4,'Grid Data'!$A$4:$A$2342,$D$2)*100, 0)</f>
        <v>20.535299999999999</v>
      </c>
      <c r="J22" s="4">
        <f>IF(  J85&gt;$E$2, SUMIFS(IF($G$2="CPR",'Grid Data'!$J$4:$J$2342,'Grid Data'!$K$4:$K$2342),'Grid Data'!$B$4:$B$2342,$D22,'Grid Data'!$C$4:$C$2342,J$4,'Grid Data'!$A$4:$A$2342,$D$2)*100, 0)</f>
        <v>20.6372</v>
      </c>
      <c r="K22" s="4">
        <f>IF(  K85&gt;$E$2, SUMIFS(IF($G$2="CPR",'Grid Data'!$J$4:$J$2342,'Grid Data'!$K$4:$K$2342),'Grid Data'!$B$4:$B$2342,$D22,'Grid Data'!$C$4:$C$2342,K$4,'Grid Data'!$A$4:$A$2342,$D$2)*100, 0)</f>
        <v>21.561900000000001</v>
      </c>
      <c r="L22" s="4">
        <f>IF(  L85&gt;$E$2, SUMIFS(IF($G$2="CPR",'Grid Data'!$J$4:$J$2342,'Grid Data'!$K$4:$K$2342),'Grid Data'!$B$4:$B$2342,$D22,'Grid Data'!$C$4:$C$2342,L$4,'Grid Data'!$A$4:$A$2342,$D$2)*100, 0)</f>
        <v>23.136799999999997</v>
      </c>
      <c r="M22" s="4">
        <f>IF(  M85&gt;$E$2, SUMIFS(IF($G$2="CPR",'Grid Data'!$J$4:$J$2342,'Grid Data'!$K$4:$K$2342),'Grid Data'!$B$4:$B$2342,$D22,'Grid Data'!$C$4:$C$2342,M$4,'Grid Data'!$A$4:$A$2342,$D$2)*100, 0)</f>
        <v>22.713699999999999</v>
      </c>
      <c r="N22" s="4">
        <f>IF(  N85&gt;$E$2, SUMIFS(IF($G$2="CPR",'Grid Data'!$J$4:$J$2342,'Grid Data'!$K$4:$K$2342),'Grid Data'!$B$4:$B$2342,$D22,'Grid Data'!$C$4:$C$2342,N$4,'Grid Data'!$A$4:$A$2342,$D$2)*100, 0)</f>
        <v>20.148800000000001</v>
      </c>
      <c r="O22" s="4">
        <f>IF(  O85&gt;$E$2, SUMIFS(IF($G$2="CPR",'Grid Data'!$J$4:$J$2342,'Grid Data'!$K$4:$K$2342),'Grid Data'!$B$4:$B$2342,$D22,'Grid Data'!$C$4:$C$2342,O$4,'Grid Data'!$A$4:$A$2342,$D$2)*100, 0)</f>
        <v>18.938800000000001</v>
      </c>
      <c r="P22" s="4">
        <f>IF(  P85&gt;$E$2, SUMIFS(IF($G$2="CPR",'Grid Data'!$J$4:$J$2342,'Grid Data'!$K$4:$K$2342),'Grid Data'!$B$4:$B$2342,$D22,'Grid Data'!$C$4:$C$2342,P$4,'Grid Data'!$A$4:$A$2342,$D$2)*100, 0)</f>
        <v>19.052199999999999</v>
      </c>
      <c r="Q22" s="4">
        <f>IF(  Q85&gt;$E$2, SUMIFS(IF($G$2="CPR",'Grid Data'!$J$4:$J$2342,'Grid Data'!$K$4:$K$2342),'Grid Data'!$B$4:$B$2342,$D22,'Grid Data'!$C$4:$C$2342,Q$4,'Grid Data'!$A$4:$A$2342,$D$2)*100, 0)</f>
        <v>17.4207</v>
      </c>
      <c r="R22" s="4">
        <f>IF(  R85&gt;$E$2, SUMIFS(IF($G$2="CPR",'Grid Data'!$J$4:$J$2342,'Grid Data'!$K$4:$K$2342),'Grid Data'!$B$4:$B$2342,$D22,'Grid Data'!$C$4:$C$2342,R$4,'Grid Data'!$A$4:$A$2342,$D$2)*100, 0)</f>
        <v>16.779900000000001</v>
      </c>
      <c r="S22" s="4">
        <f>IF(  S85&gt;$E$2, SUMIFS(IF($G$2="CPR",'Grid Data'!$J$4:$J$2342,'Grid Data'!$K$4:$K$2342),'Grid Data'!$B$4:$B$2342,$D22,'Grid Data'!$C$4:$C$2342,S$4,'Grid Data'!$A$4:$A$2342,$D$2)*100, 0)</f>
        <v>14.898700000000002</v>
      </c>
      <c r="T22" s="4">
        <f>IF(  T85&gt;$E$2, SUMIFS(IF($G$2="CPR",'Grid Data'!$J$4:$J$2342,'Grid Data'!$K$4:$K$2342),'Grid Data'!$B$4:$B$2342,$D22,'Grid Data'!$C$4:$C$2342,T$4,'Grid Data'!$A$4:$A$2342,$D$2)*100, 0)</f>
        <v>11.608000000000001</v>
      </c>
      <c r="U22" s="4">
        <f>IF(  U85&gt;$E$2, SUMIFS(IF($G$2="CPR",'Grid Data'!$J$4:$J$2342,'Grid Data'!$K$4:$K$2342),'Grid Data'!$B$4:$B$2342,$D22,'Grid Data'!$C$4:$C$2342,U$4,'Grid Data'!$A$4:$A$2342,$D$2)*100, 0)</f>
        <v>0</v>
      </c>
      <c r="V22" s="4">
        <f>IF(  V85&gt;$E$2, SUMIFS(IF($G$2="CPR",'Grid Data'!$J$4:$J$2342,'Grid Data'!$K$4:$K$2342),'Grid Data'!$B$4:$B$2342,$D22,'Grid Data'!$C$4:$C$2342,V$4,'Grid Data'!$A$4:$A$2342,$D$2)*100, 0)</f>
        <v>0</v>
      </c>
      <c r="W22" s="4">
        <f>IF(  W85&gt;$E$2, SUMIFS(IF($G$2="CPR",'Grid Data'!$J$4:$J$2342,'Grid Data'!$K$4:$K$2342),'Grid Data'!$B$4:$B$2342,$D22,'Grid Data'!$C$4:$C$2342,W$4,'Grid Data'!$A$4:$A$2342,$D$2)*100, 0)</f>
        <v>0</v>
      </c>
      <c r="X22" s="4">
        <f>IF(  X85&gt;$E$2, SUMIFS(IF($G$2="CPR",'Grid Data'!$J$4:$J$2342,'Grid Data'!$K$4:$K$2342),'Grid Data'!$B$4:$B$2342,$D22,'Grid Data'!$C$4:$C$2342,X$4,'Grid Data'!$A$4:$A$2342,$D$2)*100, 0)</f>
        <v>13.3337</v>
      </c>
      <c r="Y22" s="4">
        <f>IF(  Y85&gt;$E$2, SUMIFS(IF($G$2="CPR",'Grid Data'!$J$4:$J$2342,'Grid Data'!$K$4:$K$2342),'Grid Data'!$B$4:$B$2342,$D22,'Grid Data'!$C$4:$C$2342,Y$4,'Grid Data'!$A$4:$A$2342,$D$2)*100, 0)</f>
        <v>12.341900000000001</v>
      </c>
      <c r="Z22" s="4">
        <f>IF(  Z85&gt;$E$2, SUMIFS(IF($G$2="CPR",'Grid Data'!$J$4:$J$2342,'Grid Data'!$K$4:$K$2342),'Grid Data'!$B$4:$B$2342,$D22,'Grid Data'!$C$4:$C$2342,Z$4,'Grid Data'!$A$4:$A$2342,$D$2)*100, 0)</f>
        <v>0</v>
      </c>
      <c r="AA22" s="4">
        <f>IF(  AA85&gt;$E$2, SUMIFS(IF($G$2="CPR",'Grid Data'!$J$4:$J$2342,'Grid Data'!$K$4:$K$2342),'Grid Data'!$B$4:$B$2342,$D22,'Grid Data'!$C$4:$C$2342,AA$4,'Grid Data'!$A$4:$A$2342,$D$2)*100, 0)</f>
        <v>0</v>
      </c>
      <c r="AB22" s="4">
        <f>IF(  AB85&gt;$E$2, SUMIFS(IF($G$2="CPR",'Grid Data'!$J$4:$J$2342,'Grid Data'!$K$4:$K$2342),'Grid Data'!$B$4:$B$2342,$D22,'Grid Data'!$C$4:$C$2342,AB$4,'Grid Data'!$A$4:$A$2342,$D$2)*100, 0)</f>
        <v>0</v>
      </c>
      <c r="AC22" s="4">
        <f>IF(  AC85&gt;$E$2, SUMIFS(IF($G$2="CPR",'Grid Data'!$J$4:$J$2342,'Grid Data'!$K$4:$K$2342),'Grid Data'!$B$4:$B$2342,$D22,'Grid Data'!$C$4:$C$2342,AC$4,'Grid Data'!$A$4:$A$2342,$D$2)*100, 0)</f>
        <v>0</v>
      </c>
      <c r="AD22" s="4">
        <f>IF(  AD85&gt;$E$2, SUMIFS(IF($G$2="CPR",'Grid Data'!$J$4:$J$2342,'Grid Data'!$K$4:$K$2342),'Grid Data'!$B$4:$B$2342,$D22,'Grid Data'!$C$4:$C$2342,AD$4,'Grid Data'!$A$4:$A$2342,$D$2)*100, 0)</f>
        <v>5.6619000000000002</v>
      </c>
      <c r="AE22" s="4">
        <f>IF(  AE85&gt;$E$2, SUMIFS(IF($G$2="CPR",'Grid Data'!$J$4:$J$2342,'Grid Data'!$K$4:$K$2342),'Grid Data'!$B$4:$B$2342,$D22,'Grid Data'!$C$4:$C$2342,AE$4,'Grid Data'!$A$4:$A$2342,$D$2)*100, 0)</f>
        <v>5.9853000000000005</v>
      </c>
      <c r="AF22" s="4">
        <f>IF(  AF85&gt;$E$2, SUMIFS(IF($G$2="CPR",'Grid Data'!$J$4:$J$2342,'Grid Data'!$K$4:$K$2342),'Grid Data'!$B$4:$B$2342,$D22,'Grid Data'!$C$4:$C$2342,AF$4,'Grid Data'!$A$4:$A$2342,$D$2)*100, 0)</f>
        <v>6.2214999999999998</v>
      </c>
      <c r="AG22" s="4">
        <f>IF(  AG85&gt;$E$2, SUMIFS(IF($G$2="CPR",'Grid Data'!$J$4:$J$2342,'Grid Data'!$K$4:$K$2342),'Grid Data'!$B$4:$B$2342,$D22,'Grid Data'!$C$4:$C$2342,AG$4,'Grid Data'!$A$4:$A$2342,$D$2)*100, 0)</f>
        <v>8.7399000000000004</v>
      </c>
      <c r="AH22" s="4">
        <f>IF(  AH85&gt;$E$2, SUMIFS(IF($G$2="CPR",'Grid Data'!$J$4:$J$2342,'Grid Data'!$K$4:$K$2342),'Grid Data'!$B$4:$B$2342,$D22,'Grid Data'!$C$4:$C$2342,AH$4,'Grid Data'!$A$4:$A$2342,$D$2)*100, 0)</f>
        <v>9.7264999999999997</v>
      </c>
    </row>
    <row r="23" spans="4:34" x14ac:dyDescent="0.35">
      <c r="D23">
        <v>6500</v>
      </c>
      <c r="E23" s="4">
        <f>IF(  E86&gt;$E$2, SUMIFS(IF($G$2="CPR",'Grid Data'!$J$4:$J$2342,'Grid Data'!$K$4:$K$2342),'Grid Data'!$B$4:$B$2342,$D23,'Grid Data'!$C$4:$C$2342,E$4,'Grid Data'!$A$4:$A$2342,$D$2)*100, 0)</f>
        <v>3.0364999999999998</v>
      </c>
      <c r="F23" s="4">
        <f>IF(  F86&gt;$E$2, SUMIFS(IF($G$2="CPR",'Grid Data'!$J$4:$J$2342,'Grid Data'!$K$4:$K$2342),'Grid Data'!$B$4:$B$2342,$D23,'Grid Data'!$C$4:$C$2342,F$4,'Grid Data'!$A$4:$A$2342,$D$2)*100, 0)</f>
        <v>24.469799999999999</v>
      </c>
      <c r="G23" s="4">
        <f>IF(  G86&gt;$E$2, SUMIFS(IF($G$2="CPR",'Grid Data'!$J$4:$J$2342,'Grid Data'!$K$4:$K$2342),'Grid Data'!$B$4:$B$2342,$D23,'Grid Data'!$C$4:$C$2342,G$4,'Grid Data'!$A$4:$A$2342,$D$2)*100, 0)</f>
        <v>30.740200000000002</v>
      </c>
      <c r="H23" s="4">
        <f>IF(  H86&gt;$E$2, SUMIFS(IF($G$2="CPR",'Grid Data'!$J$4:$J$2342,'Grid Data'!$K$4:$K$2342),'Grid Data'!$B$4:$B$2342,$D23,'Grid Data'!$C$4:$C$2342,H$4,'Grid Data'!$A$4:$A$2342,$D$2)*100, 0)</f>
        <v>26.185599999999997</v>
      </c>
      <c r="I23" s="4">
        <f>IF(  I86&gt;$E$2, SUMIFS(IF($G$2="CPR",'Grid Data'!$J$4:$J$2342,'Grid Data'!$K$4:$K$2342),'Grid Data'!$B$4:$B$2342,$D23,'Grid Data'!$C$4:$C$2342,I$4,'Grid Data'!$A$4:$A$2342,$D$2)*100, 0)</f>
        <v>24.408799999999999</v>
      </c>
      <c r="J23" s="4">
        <f>IF(  J86&gt;$E$2, SUMIFS(IF($G$2="CPR",'Grid Data'!$J$4:$J$2342,'Grid Data'!$K$4:$K$2342),'Grid Data'!$B$4:$B$2342,$D23,'Grid Data'!$C$4:$C$2342,J$4,'Grid Data'!$A$4:$A$2342,$D$2)*100, 0)</f>
        <v>25.109500000000001</v>
      </c>
      <c r="K23" s="4">
        <f>IF(  K86&gt;$E$2, SUMIFS(IF($G$2="CPR",'Grid Data'!$J$4:$J$2342,'Grid Data'!$K$4:$K$2342),'Grid Data'!$B$4:$B$2342,$D23,'Grid Data'!$C$4:$C$2342,K$4,'Grid Data'!$A$4:$A$2342,$D$2)*100, 0)</f>
        <v>26.1312</v>
      </c>
      <c r="L23" s="4">
        <f>IF(  L86&gt;$E$2, SUMIFS(IF($G$2="CPR",'Grid Data'!$J$4:$J$2342,'Grid Data'!$K$4:$K$2342),'Grid Data'!$B$4:$B$2342,$D23,'Grid Data'!$C$4:$C$2342,L$4,'Grid Data'!$A$4:$A$2342,$D$2)*100, 0)</f>
        <v>26.399899999999999</v>
      </c>
      <c r="M23" s="4">
        <f>IF(  M86&gt;$E$2, SUMIFS(IF($G$2="CPR",'Grid Data'!$J$4:$J$2342,'Grid Data'!$K$4:$K$2342),'Grid Data'!$B$4:$B$2342,$D23,'Grid Data'!$C$4:$C$2342,M$4,'Grid Data'!$A$4:$A$2342,$D$2)*100, 0)</f>
        <v>26.839500000000001</v>
      </c>
      <c r="N23" s="4">
        <f>IF(  N86&gt;$E$2, SUMIFS(IF($G$2="CPR",'Grid Data'!$J$4:$J$2342,'Grid Data'!$K$4:$K$2342),'Grid Data'!$B$4:$B$2342,$D23,'Grid Data'!$C$4:$C$2342,N$4,'Grid Data'!$A$4:$A$2342,$D$2)*100, 0)</f>
        <v>25.033999999999999</v>
      </c>
      <c r="O23" s="4">
        <f>IF(  O86&gt;$E$2, SUMIFS(IF($G$2="CPR",'Grid Data'!$J$4:$J$2342,'Grid Data'!$K$4:$K$2342),'Grid Data'!$B$4:$B$2342,$D23,'Grid Data'!$C$4:$C$2342,O$4,'Grid Data'!$A$4:$A$2342,$D$2)*100, 0)</f>
        <v>24.517900000000001</v>
      </c>
      <c r="P23" s="4">
        <f>IF(  P86&gt;$E$2, SUMIFS(IF($G$2="CPR",'Grid Data'!$J$4:$J$2342,'Grid Data'!$K$4:$K$2342),'Grid Data'!$B$4:$B$2342,$D23,'Grid Data'!$C$4:$C$2342,P$4,'Grid Data'!$A$4:$A$2342,$D$2)*100, 0)</f>
        <v>24.1069</v>
      </c>
      <c r="Q23" s="4">
        <f>IF(  Q86&gt;$E$2, SUMIFS(IF($G$2="CPR",'Grid Data'!$J$4:$J$2342,'Grid Data'!$K$4:$K$2342),'Grid Data'!$B$4:$B$2342,$D23,'Grid Data'!$C$4:$C$2342,Q$4,'Grid Data'!$A$4:$A$2342,$D$2)*100, 0)</f>
        <v>21.338699999999999</v>
      </c>
      <c r="R23" s="4">
        <f>IF(  R86&gt;$E$2, SUMIFS(IF($G$2="CPR",'Grid Data'!$J$4:$J$2342,'Grid Data'!$K$4:$K$2342),'Grid Data'!$B$4:$B$2342,$D23,'Grid Data'!$C$4:$C$2342,R$4,'Grid Data'!$A$4:$A$2342,$D$2)*100, 0)</f>
        <v>19.831599999999998</v>
      </c>
      <c r="S23" s="4">
        <f>IF(  S86&gt;$E$2, SUMIFS(IF($G$2="CPR",'Grid Data'!$J$4:$J$2342,'Grid Data'!$K$4:$K$2342),'Grid Data'!$B$4:$B$2342,$D23,'Grid Data'!$C$4:$C$2342,S$4,'Grid Data'!$A$4:$A$2342,$D$2)*100, 0)</f>
        <v>17.1648</v>
      </c>
      <c r="T23" s="4">
        <f>IF(  T86&gt;$E$2, SUMIFS(IF($G$2="CPR",'Grid Data'!$J$4:$J$2342,'Grid Data'!$K$4:$K$2342),'Grid Data'!$B$4:$B$2342,$D23,'Grid Data'!$C$4:$C$2342,T$4,'Grid Data'!$A$4:$A$2342,$D$2)*100, 0)</f>
        <v>9.2872000000000003</v>
      </c>
      <c r="U23" s="4">
        <f>IF(  U86&gt;$E$2, SUMIFS(IF($G$2="CPR",'Grid Data'!$J$4:$J$2342,'Grid Data'!$K$4:$K$2342),'Grid Data'!$B$4:$B$2342,$D23,'Grid Data'!$C$4:$C$2342,U$4,'Grid Data'!$A$4:$A$2342,$D$2)*100, 0)</f>
        <v>0</v>
      </c>
      <c r="V23" s="4">
        <f>IF(  V86&gt;$E$2, SUMIFS(IF($G$2="CPR",'Grid Data'!$J$4:$J$2342,'Grid Data'!$K$4:$K$2342),'Grid Data'!$B$4:$B$2342,$D23,'Grid Data'!$C$4:$C$2342,V$4,'Grid Data'!$A$4:$A$2342,$D$2)*100, 0)</f>
        <v>0</v>
      </c>
      <c r="W23" s="4">
        <f>IF(  W86&gt;$E$2, SUMIFS(IF($G$2="CPR",'Grid Data'!$J$4:$J$2342,'Grid Data'!$K$4:$K$2342),'Grid Data'!$B$4:$B$2342,$D23,'Grid Data'!$C$4:$C$2342,W$4,'Grid Data'!$A$4:$A$2342,$D$2)*100, 0)</f>
        <v>0</v>
      </c>
      <c r="X23" s="4">
        <f>IF(  X86&gt;$E$2, SUMIFS(IF($G$2="CPR",'Grid Data'!$J$4:$J$2342,'Grid Data'!$K$4:$K$2342),'Grid Data'!$B$4:$B$2342,$D23,'Grid Data'!$C$4:$C$2342,X$4,'Grid Data'!$A$4:$A$2342,$D$2)*100, 0)</f>
        <v>0</v>
      </c>
      <c r="Y23" s="4">
        <f>IF(  Y86&gt;$E$2, SUMIFS(IF($G$2="CPR",'Grid Data'!$J$4:$J$2342,'Grid Data'!$K$4:$K$2342),'Grid Data'!$B$4:$B$2342,$D23,'Grid Data'!$C$4:$C$2342,Y$4,'Grid Data'!$A$4:$A$2342,$D$2)*100, 0)</f>
        <v>0</v>
      </c>
      <c r="Z23" s="4">
        <f>IF(  Z86&gt;$E$2, SUMIFS(IF($G$2="CPR",'Grid Data'!$J$4:$J$2342,'Grid Data'!$K$4:$K$2342),'Grid Data'!$B$4:$B$2342,$D23,'Grid Data'!$C$4:$C$2342,Z$4,'Grid Data'!$A$4:$A$2342,$D$2)*100, 0)</f>
        <v>0</v>
      </c>
      <c r="AA23" s="4">
        <f>IF(  AA86&gt;$E$2, SUMIFS(IF($G$2="CPR",'Grid Data'!$J$4:$J$2342,'Grid Data'!$K$4:$K$2342),'Grid Data'!$B$4:$B$2342,$D23,'Grid Data'!$C$4:$C$2342,AA$4,'Grid Data'!$A$4:$A$2342,$D$2)*100, 0)</f>
        <v>0</v>
      </c>
      <c r="AB23" s="4">
        <f>IF(  AB86&gt;$E$2, SUMIFS(IF($G$2="CPR",'Grid Data'!$J$4:$J$2342,'Grid Data'!$K$4:$K$2342),'Grid Data'!$B$4:$B$2342,$D23,'Grid Data'!$C$4:$C$2342,AB$4,'Grid Data'!$A$4:$A$2342,$D$2)*100, 0)</f>
        <v>0</v>
      </c>
      <c r="AC23" s="4">
        <f>IF(  AC86&gt;$E$2, SUMIFS(IF($G$2="CPR",'Grid Data'!$J$4:$J$2342,'Grid Data'!$K$4:$K$2342),'Grid Data'!$B$4:$B$2342,$D23,'Grid Data'!$C$4:$C$2342,AC$4,'Grid Data'!$A$4:$A$2342,$D$2)*100, 0)</f>
        <v>7.2650000000000006</v>
      </c>
      <c r="AD23" s="4">
        <f>IF(  AD86&gt;$E$2, SUMIFS(IF($G$2="CPR",'Grid Data'!$J$4:$J$2342,'Grid Data'!$K$4:$K$2342),'Grid Data'!$B$4:$B$2342,$D23,'Grid Data'!$C$4:$C$2342,AD$4,'Grid Data'!$A$4:$A$2342,$D$2)*100, 0)</f>
        <v>7.3608999999999991</v>
      </c>
      <c r="AE23" s="4">
        <f>IF(  AE86&gt;$E$2, SUMIFS(IF($G$2="CPR",'Grid Data'!$J$4:$J$2342,'Grid Data'!$K$4:$K$2342),'Grid Data'!$B$4:$B$2342,$D23,'Grid Data'!$C$4:$C$2342,AE$4,'Grid Data'!$A$4:$A$2342,$D$2)*100, 0)</f>
        <v>6.4554</v>
      </c>
      <c r="AF23" s="4">
        <f>IF(  AF86&gt;$E$2, SUMIFS(IF($G$2="CPR",'Grid Data'!$J$4:$J$2342,'Grid Data'!$K$4:$K$2342),'Grid Data'!$B$4:$B$2342,$D23,'Grid Data'!$C$4:$C$2342,AF$4,'Grid Data'!$A$4:$A$2342,$D$2)*100, 0)</f>
        <v>6.3119999999999994</v>
      </c>
      <c r="AG23" s="4">
        <f>IF(  AG86&gt;$E$2, SUMIFS(IF($G$2="CPR",'Grid Data'!$J$4:$J$2342,'Grid Data'!$K$4:$K$2342),'Grid Data'!$B$4:$B$2342,$D23,'Grid Data'!$C$4:$C$2342,AG$4,'Grid Data'!$A$4:$A$2342,$D$2)*100, 0)</f>
        <v>9.2728000000000002</v>
      </c>
      <c r="AH23" s="4">
        <f>IF(  AH86&gt;$E$2, SUMIFS(IF($G$2="CPR",'Grid Data'!$J$4:$J$2342,'Grid Data'!$K$4:$K$2342),'Grid Data'!$B$4:$B$2342,$D23,'Grid Data'!$C$4:$C$2342,AH$4,'Grid Data'!$A$4:$A$2342,$D$2)*100, 0)</f>
        <v>9.7579999999999991</v>
      </c>
    </row>
    <row r="24" spans="4:34" x14ac:dyDescent="0.35">
      <c r="D24">
        <v>6750</v>
      </c>
      <c r="E24" s="4">
        <f>IF(  E87&gt;$E$2, SUMIFS(IF($G$2="CPR",'Grid Data'!$J$4:$J$2342,'Grid Data'!$K$4:$K$2342),'Grid Data'!$B$4:$B$2342,$D24,'Grid Data'!$C$4:$C$2342,E$4,'Grid Data'!$A$4:$A$2342,$D$2)*100, 0)</f>
        <v>4.0840000000000005</v>
      </c>
      <c r="F24" s="4">
        <f>IF(  F87&gt;$E$2, SUMIFS(IF($G$2="CPR",'Grid Data'!$J$4:$J$2342,'Grid Data'!$K$4:$K$2342),'Grid Data'!$B$4:$B$2342,$D24,'Grid Data'!$C$4:$C$2342,F$4,'Grid Data'!$A$4:$A$2342,$D$2)*100, 0)</f>
        <v>32.355600000000003</v>
      </c>
      <c r="G24" s="4">
        <f>IF(  G87&gt;$E$2, SUMIFS(IF($G$2="CPR",'Grid Data'!$J$4:$J$2342,'Grid Data'!$K$4:$K$2342),'Grid Data'!$B$4:$B$2342,$D24,'Grid Data'!$C$4:$C$2342,G$4,'Grid Data'!$A$4:$A$2342,$D$2)*100, 0)</f>
        <v>39.020400000000002</v>
      </c>
      <c r="H24" s="4">
        <f>IF(  H87&gt;$E$2, SUMIFS(IF($G$2="CPR",'Grid Data'!$J$4:$J$2342,'Grid Data'!$K$4:$K$2342),'Grid Data'!$B$4:$B$2342,$D24,'Grid Data'!$C$4:$C$2342,H$4,'Grid Data'!$A$4:$A$2342,$D$2)*100, 0)</f>
        <v>33.160400000000003</v>
      </c>
      <c r="I24" s="4">
        <f>IF(  I87&gt;$E$2, SUMIFS(IF($G$2="CPR",'Grid Data'!$J$4:$J$2342,'Grid Data'!$K$4:$K$2342),'Grid Data'!$B$4:$B$2342,$D24,'Grid Data'!$C$4:$C$2342,I$4,'Grid Data'!$A$4:$A$2342,$D$2)*100, 0)</f>
        <v>30.240000000000002</v>
      </c>
      <c r="J24" s="4">
        <f>IF(  J87&gt;$E$2, SUMIFS(IF($G$2="CPR",'Grid Data'!$J$4:$J$2342,'Grid Data'!$K$4:$K$2342),'Grid Data'!$B$4:$B$2342,$D24,'Grid Data'!$C$4:$C$2342,J$4,'Grid Data'!$A$4:$A$2342,$D$2)*100, 0)</f>
        <v>30.1294</v>
      </c>
      <c r="K24" s="4">
        <f>IF(  K87&gt;$E$2, SUMIFS(IF($G$2="CPR",'Grid Data'!$J$4:$J$2342,'Grid Data'!$K$4:$K$2342),'Grid Data'!$B$4:$B$2342,$D24,'Grid Data'!$C$4:$C$2342,K$4,'Grid Data'!$A$4:$A$2342,$D$2)*100, 0)</f>
        <v>30.9315</v>
      </c>
      <c r="L24" s="4">
        <f>IF(  L87&gt;$E$2, SUMIFS(IF($G$2="CPR",'Grid Data'!$J$4:$J$2342,'Grid Data'!$K$4:$K$2342),'Grid Data'!$B$4:$B$2342,$D24,'Grid Data'!$C$4:$C$2342,L$4,'Grid Data'!$A$4:$A$2342,$D$2)*100, 0)</f>
        <v>31.323399999999999</v>
      </c>
      <c r="M24" s="4">
        <f>IF(  M87&gt;$E$2, SUMIFS(IF($G$2="CPR",'Grid Data'!$J$4:$J$2342,'Grid Data'!$K$4:$K$2342),'Grid Data'!$B$4:$B$2342,$D24,'Grid Data'!$C$4:$C$2342,M$4,'Grid Data'!$A$4:$A$2342,$D$2)*100, 0)</f>
        <v>28.99</v>
      </c>
      <c r="N24" s="4">
        <f>IF(  N87&gt;$E$2, SUMIFS(IF($G$2="CPR",'Grid Data'!$J$4:$J$2342,'Grid Data'!$K$4:$K$2342),'Grid Data'!$B$4:$B$2342,$D24,'Grid Data'!$C$4:$C$2342,N$4,'Grid Data'!$A$4:$A$2342,$D$2)*100, 0)</f>
        <v>27.020600000000002</v>
      </c>
      <c r="O24" s="4">
        <f>IF(  O87&gt;$E$2, SUMIFS(IF($G$2="CPR",'Grid Data'!$J$4:$J$2342,'Grid Data'!$K$4:$K$2342),'Grid Data'!$B$4:$B$2342,$D24,'Grid Data'!$C$4:$C$2342,O$4,'Grid Data'!$A$4:$A$2342,$D$2)*100, 0)</f>
        <v>26.955500000000001</v>
      </c>
      <c r="P24" s="4">
        <f>IF(  P87&gt;$E$2, SUMIFS(IF($G$2="CPR",'Grid Data'!$J$4:$J$2342,'Grid Data'!$K$4:$K$2342),'Grid Data'!$B$4:$B$2342,$D24,'Grid Data'!$C$4:$C$2342,P$4,'Grid Data'!$A$4:$A$2342,$D$2)*100, 0)</f>
        <v>27.363500000000002</v>
      </c>
      <c r="Q24" s="4">
        <f>IF(  Q87&gt;$E$2, SUMIFS(IF($G$2="CPR",'Grid Data'!$J$4:$J$2342,'Grid Data'!$K$4:$K$2342),'Grid Data'!$B$4:$B$2342,$D24,'Grid Data'!$C$4:$C$2342,Q$4,'Grid Data'!$A$4:$A$2342,$D$2)*100, 0)</f>
        <v>23.8339</v>
      </c>
      <c r="R24" s="4">
        <f>IF(  R87&gt;$E$2, SUMIFS(IF($G$2="CPR",'Grid Data'!$J$4:$J$2342,'Grid Data'!$K$4:$K$2342),'Grid Data'!$B$4:$B$2342,$D24,'Grid Data'!$C$4:$C$2342,R$4,'Grid Data'!$A$4:$A$2342,$D$2)*100, 0)</f>
        <v>23.473500000000001</v>
      </c>
      <c r="S24" s="4">
        <f>IF(  S87&gt;$E$2, SUMIFS(IF($G$2="CPR",'Grid Data'!$J$4:$J$2342,'Grid Data'!$K$4:$K$2342),'Grid Data'!$B$4:$B$2342,$D24,'Grid Data'!$C$4:$C$2342,S$4,'Grid Data'!$A$4:$A$2342,$D$2)*100, 0)</f>
        <v>21.954099999999997</v>
      </c>
      <c r="T24" s="4">
        <f>IF(  T87&gt;$E$2, SUMIFS(IF($G$2="CPR",'Grid Data'!$J$4:$J$2342,'Grid Data'!$K$4:$K$2342),'Grid Data'!$B$4:$B$2342,$D24,'Grid Data'!$C$4:$C$2342,T$4,'Grid Data'!$A$4:$A$2342,$D$2)*100, 0)</f>
        <v>9.9205000000000005</v>
      </c>
      <c r="U24" s="4">
        <f>IF(  U87&gt;$E$2, SUMIFS(IF($G$2="CPR",'Grid Data'!$J$4:$J$2342,'Grid Data'!$K$4:$K$2342),'Grid Data'!$B$4:$B$2342,$D24,'Grid Data'!$C$4:$C$2342,U$4,'Grid Data'!$A$4:$A$2342,$D$2)*100, 0)</f>
        <v>0</v>
      </c>
      <c r="V24" s="4">
        <f>IF(  V87&gt;$E$2, SUMIFS(IF($G$2="CPR",'Grid Data'!$J$4:$J$2342,'Grid Data'!$K$4:$K$2342),'Grid Data'!$B$4:$B$2342,$D24,'Grid Data'!$C$4:$C$2342,V$4,'Grid Data'!$A$4:$A$2342,$D$2)*100, 0)</f>
        <v>0</v>
      </c>
      <c r="W24" s="4">
        <f>IF(  W87&gt;$E$2, SUMIFS(IF($G$2="CPR",'Grid Data'!$J$4:$J$2342,'Grid Data'!$K$4:$K$2342),'Grid Data'!$B$4:$B$2342,$D24,'Grid Data'!$C$4:$C$2342,W$4,'Grid Data'!$A$4:$A$2342,$D$2)*100, 0)</f>
        <v>0</v>
      </c>
      <c r="X24" s="4">
        <f>IF(  X87&gt;$E$2, SUMIFS(IF($G$2="CPR",'Grid Data'!$J$4:$J$2342,'Grid Data'!$K$4:$K$2342),'Grid Data'!$B$4:$B$2342,$D24,'Grid Data'!$C$4:$C$2342,X$4,'Grid Data'!$A$4:$A$2342,$D$2)*100, 0)</f>
        <v>0</v>
      </c>
      <c r="Y24" s="4">
        <f>IF(  Y87&gt;$E$2, SUMIFS(IF($G$2="CPR",'Grid Data'!$J$4:$J$2342,'Grid Data'!$K$4:$K$2342),'Grid Data'!$B$4:$B$2342,$D24,'Grid Data'!$C$4:$C$2342,Y$4,'Grid Data'!$A$4:$A$2342,$D$2)*100, 0)</f>
        <v>0</v>
      </c>
      <c r="Z24" s="4">
        <f>IF(  Z87&gt;$E$2, SUMIFS(IF($G$2="CPR",'Grid Data'!$J$4:$J$2342,'Grid Data'!$K$4:$K$2342),'Grid Data'!$B$4:$B$2342,$D24,'Grid Data'!$C$4:$C$2342,Z$4,'Grid Data'!$A$4:$A$2342,$D$2)*100, 0)</f>
        <v>0</v>
      </c>
      <c r="AA24" s="4">
        <f>IF(  AA87&gt;$E$2, SUMIFS(IF($G$2="CPR",'Grid Data'!$J$4:$J$2342,'Grid Data'!$K$4:$K$2342),'Grid Data'!$B$4:$B$2342,$D24,'Grid Data'!$C$4:$C$2342,AA$4,'Grid Data'!$A$4:$A$2342,$D$2)*100, 0)</f>
        <v>0</v>
      </c>
      <c r="AB24" s="4">
        <f>IF(  AB87&gt;$E$2, SUMIFS(IF($G$2="CPR",'Grid Data'!$J$4:$J$2342,'Grid Data'!$K$4:$K$2342),'Grid Data'!$B$4:$B$2342,$D24,'Grid Data'!$C$4:$C$2342,AB$4,'Grid Data'!$A$4:$A$2342,$D$2)*100, 0)</f>
        <v>0</v>
      </c>
      <c r="AC24" s="4">
        <f>IF(  AC87&gt;$E$2, SUMIFS(IF($G$2="CPR",'Grid Data'!$J$4:$J$2342,'Grid Data'!$K$4:$K$2342),'Grid Data'!$B$4:$B$2342,$D24,'Grid Data'!$C$4:$C$2342,AC$4,'Grid Data'!$A$4:$A$2342,$D$2)*100, 0)</f>
        <v>0</v>
      </c>
      <c r="AD24" s="4">
        <f>IF(  AD87&gt;$E$2, SUMIFS(IF($G$2="CPR",'Grid Data'!$J$4:$J$2342,'Grid Data'!$K$4:$K$2342),'Grid Data'!$B$4:$B$2342,$D24,'Grid Data'!$C$4:$C$2342,AD$4,'Grid Data'!$A$4:$A$2342,$D$2)*100, 0)</f>
        <v>0</v>
      </c>
      <c r="AE24" s="4">
        <f>IF(  AE87&gt;$E$2, SUMIFS(IF($G$2="CPR",'Grid Data'!$J$4:$J$2342,'Grid Data'!$K$4:$K$2342),'Grid Data'!$B$4:$B$2342,$D24,'Grid Data'!$C$4:$C$2342,AE$4,'Grid Data'!$A$4:$A$2342,$D$2)*100, 0)</f>
        <v>7.0373000000000001</v>
      </c>
      <c r="AF24" s="4">
        <f>IF(  AF87&gt;$E$2, SUMIFS(IF($G$2="CPR",'Grid Data'!$J$4:$J$2342,'Grid Data'!$K$4:$K$2342),'Grid Data'!$B$4:$B$2342,$D24,'Grid Data'!$C$4:$C$2342,AF$4,'Grid Data'!$A$4:$A$2342,$D$2)*100, 0)</f>
        <v>5.8864000000000001</v>
      </c>
      <c r="AG24" s="4">
        <f>IF(  AG87&gt;$E$2, SUMIFS(IF($G$2="CPR",'Grid Data'!$J$4:$J$2342,'Grid Data'!$K$4:$K$2342),'Grid Data'!$B$4:$B$2342,$D24,'Grid Data'!$C$4:$C$2342,AG$4,'Grid Data'!$A$4:$A$2342,$D$2)*100, 0)</f>
        <v>9.2791999999999994</v>
      </c>
      <c r="AH24" s="4">
        <f>IF(  AH87&gt;$E$2, SUMIFS(IF($G$2="CPR",'Grid Data'!$J$4:$J$2342,'Grid Data'!$K$4:$K$2342),'Grid Data'!$B$4:$B$2342,$D24,'Grid Data'!$C$4:$C$2342,AH$4,'Grid Data'!$A$4:$A$2342,$D$2)*100, 0)</f>
        <v>9.6898</v>
      </c>
    </row>
    <row r="25" spans="4:34" x14ac:dyDescent="0.35">
      <c r="D25">
        <v>7000</v>
      </c>
      <c r="E25" s="4">
        <f>IF(  E88&gt;$E$2, SUMIFS(IF($G$2="CPR",'Grid Data'!$J$4:$J$2342,'Grid Data'!$K$4:$K$2342),'Grid Data'!$B$4:$B$2342,$D25,'Grid Data'!$C$4:$C$2342,E$4,'Grid Data'!$A$4:$A$2342,$D$2)*100, 0)</f>
        <v>4.2149999999999999</v>
      </c>
      <c r="F25" s="4">
        <f>IF(  F88&gt;$E$2, SUMIFS(IF($G$2="CPR",'Grid Data'!$J$4:$J$2342,'Grid Data'!$K$4:$K$2342),'Grid Data'!$B$4:$B$2342,$D25,'Grid Data'!$C$4:$C$2342,F$4,'Grid Data'!$A$4:$A$2342,$D$2)*100, 0)</f>
        <v>33.772200000000005</v>
      </c>
      <c r="G25" s="4">
        <f>IF(  G88&gt;$E$2, SUMIFS(IF($G$2="CPR",'Grid Data'!$J$4:$J$2342,'Grid Data'!$K$4:$K$2342),'Grid Data'!$B$4:$B$2342,$D25,'Grid Data'!$C$4:$C$2342,G$4,'Grid Data'!$A$4:$A$2342,$D$2)*100, 0)</f>
        <v>39.807700000000004</v>
      </c>
      <c r="H25" s="4">
        <f>IF(  H88&gt;$E$2, SUMIFS(IF($G$2="CPR",'Grid Data'!$J$4:$J$2342,'Grid Data'!$K$4:$K$2342),'Grid Data'!$B$4:$B$2342,$D25,'Grid Data'!$C$4:$C$2342,H$4,'Grid Data'!$A$4:$A$2342,$D$2)*100, 0)</f>
        <v>32.275399999999998</v>
      </c>
      <c r="I25" s="4">
        <f>IF(  I88&gt;$E$2, SUMIFS(IF($G$2="CPR",'Grid Data'!$J$4:$J$2342,'Grid Data'!$K$4:$K$2342),'Grid Data'!$B$4:$B$2342,$D25,'Grid Data'!$C$4:$C$2342,I$4,'Grid Data'!$A$4:$A$2342,$D$2)*100, 0)</f>
        <v>27.205000000000002</v>
      </c>
      <c r="J25" s="4">
        <f>IF(  J88&gt;$E$2, SUMIFS(IF($G$2="CPR",'Grid Data'!$J$4:$J$2342,'Grid Data'!$K$4:$K$2342),'Grid Data'!$B$4:$B$2342,$D25,'Grid Data'!$C$4:$C$2342,J$4,'Grid Data'!$A$4:$A$2342,$D$2)*100, 0)</f>
        <v>29.555700000000002</v>
      </c>
      <c r="K25" s="4">
        <f>IF(  K88&gt;$E$2, SUMIFS(IF($G$2="CPR",'Grid Data'!$J$4:$J$2342,'Grid Data'!$K$4:$K$2342),'Grid Data'!$B$4:$B$2342,$D25,'Grid Data'!$C$4:$C$2342,K$4,'Grid Data'!$A$4:$A$2342,$D$2)*100, 0)</f>
        <v>29.701300000000003</v>
      </c>
      <c r="L25" s="4">
        <f>IF(  L88&gt;$E$2, SUMIFS(IF($G$2="CPR",'Grid Data'!$J$4:$J$2342,'Grid Data'!$K$4:$K$2342),'Grid Data'!$B$4:$B$2342,$D25,'Grid Data'!$C$4:$C$2342,L$4,'Grid Data'!$A$4:$A$2342,$D$2)*100, 0)</f>
        <v>29.206399999999999</v>
      </c>
      <c r="M25" s="4">
        <f>IF(  M88&gt;$E$2, SUMIFS(IF($G$2="CPR",'Grid Data'!$J$4:$J$2342,'Grid Data'!$K$4:$K$2342),'Grid Data'!$B$4:$B$2342,$D25,'Grid Data'!$C$4:$C$2342,M$4,'Grid Data'!$A$4:$A$2342,$D$2)*100, 0)</f>
        <v>28.169499999999996</v>
      </c>
      <c r="N25" s="4">
        <f>IF(  N88&gt;$E$2, SUMIFS(IF($G$2="CPR",'Grid Data'!$J$4:$J$2342,'Grid Data'!$K$4:$K$2342),'Grid Data'!$B$4:$B$2342,$D25,'Grid Data'!$C$4:$C$2342,N$4,'Grid Data'!$A$4:$A$2342,$D$2)*100, 0)</f>
        <v>26.688000000000002</v>
      </c>
      <c r="O25" s="4">
        <f>IF(  O88&gt;$E$2, SUMIFS(IF($G$2="CPR",'Grid Data'!$J$4:$J$2342,'Grid Data'!$K$4:$K$2342),'Grid Data'!$B$4:$B$2342,$D25,'Grid Data'!$C$4:$C$2342,O$4,'Grid Data'!$A$4:$A$2342,$D$2)*100, 0)</f>
        <v>26.081</v>
      </c>
      <c r="P25" s="4">
        <f>IF(  P88&gt;$E$2, SUMIFS(IF($G$2="CPR",'Grid Data'!$J$4:$J$2342,'Grid Data'!$K$4:$K$2342),'Grid Data'!$B$4:$B$2342,$D25,'Grid Data'!$C$4:$C$2342,P$4,'Grid Data'!$A$4:$A$2342,$D$2)*100, 0)</f>
        <v>27.8109</v>
      </c>
      <c r="Q25" s="4">
        <f>IF(  Q88&gt;$E$2, SUMIFS(IF($G$2="CPR",'Grid Data'!$J$4:$J$2342,'Grid Data'!$K$4:$K$2342),'Grid Data'!$B$4:$B$2342,$D25,'Grid Data'!$C$4:$C$2342,Q$4,'Grid Data'!$A$4:$A$2342,$D$2)*100, 0)</f>
        <v>24.545200000000001</v>
      </c>
      <c r="R25" s="4">
        <f>IF(  R88&gt;$E$2, SUMIFS(IF($G$2="CPR",'Grid Data'!$J$4:$J$2342,'Grid Data'!$K$4:$K$2342),'Grid Data'!$B$4:$B$2342,$D25,'Grid Data'!$C$4:$C$2342,R$4,'Grid Data'!$A$4:$A$2342,$D$2)*100, 0)</f>
        <v>23.054400000000001</v>
      </c>
      <c r="S25" s="4">
        <f>IF(  S88&gt;$E$2, SUMIFS(IF($G$2="CPR",'Grid Data'!$J$4:$J$2342,'Grid Data'!$K$4:$K$2342),'Grid Data'!$B$4:$B$2342,$D25,'Grid Data'!$C$4:$C$2342,S$4,'Grid Data'!$A$4:$A$2342,$D$2)*100, 0)</f>
        <v>19.4754</v>
      </c>
      <c r="T25" s="4">
        <f>IF(  T88&gt;$E$2, SUMIFS(IF($G$2="CPR",'Grid Data'!$J$4:$J$2342,'Grid Data'!$K$4:$K$2342),'Grid Data'!$B$4:$B$2342,$D25,'Grid Data'!$C$4:$C$2342,T$4,'Grid Data'!$A$4:$A$2342,$D$2)*100, 0)</f>
        <v>0</v>
      </c>
      <c r="U25" s="4">
        <f>IF(  U88&gt;$E$2, SUMIFS(IF($G$2="CPR",'Grid Data'!$J$4:$J$2342,'Grid Data'!$K$4:$K$2342),'Grid Data'!$B$4:$B$2342,$D25,'Grid Data'!$C$4:$C$2342,U$4,'Grid Data'!$A$4:$A$2342,$D$2)*100, 0)</f>
        <v>0</v>
      </c>
      <c r="V25" s="4">
        <f>IF(  V88&gt;$E$2, SUMIFS(IF($G$2="CPR",'Grid Data'!$J$4:$J$2342,'Grid Data'!$K$4:$K$2342),'Grid Data'!$B$4:$B$2342,$D25,'Grid Data'!$C$4:$C$2342,V$4,'Grid Data'!$A$4:$A$2342,$D$2)*100, 0)</f>
        <v>0</v>
      </c>
      <c r="W25" s="4">
        <f>IF(  W88&gt;$E$2, SUMIFS(IF($G$2="CPR",'Grid Data'!$J$4:$J$2342,'Grid Data'!$K$4:$K$2342),'Grid Data'!$B$4:$B$2342,$D25,'Grid Data'!$C$4:$C$2342,W$4,'Grid Data'!$A$4:$A$2342,$D$2)*100, 0)</f>
        <v>0</v>
      </c>
      <c r="X25" s="4">
        <f>IF(  X88&gt;$E$2, SUMIFS(IF($G$2="CPR",'Grid Data'!$J$4:$J$2342,'Grid Data'!$K$4:$K$2342),'Grid Data'!$B$4:$B$2342,$D25,'Grid Data'!$C$4:$C$2342,X$4,'Grid Data'!$A$4:$A$2342,$D$2)*100, 0)</f>
        <v>0</v>
      </c>
      <c r="Y25" s="4">
        <f>IF(  Y88&gt;$E$2, SUMIFS(IF($G$2="CPR",'Grid Data'!$J$4:$J$2342,'Grid Data'!$K$4:$K$2342),'Grid Data'!$B$4:$B$2342,$D25,'Grid Data'!$C$4:$C$2342,Y$4,'Grid Data'!$A$4:$A$2342,$D$2)*100, 0)</f>
        <v>0</v>
      </c>
      <c r="Z25" s="4">
        <f>IF(  Z88&gt;$E$2, SUMIFS(IF($G$2="CPR",'Grid Data'!$J$4:$J$2342,'Grid Data'!$K$4:$K$2342),'Grid Data'!$B$4:$B$2342,$D25,'Grid Data'!$C$4:$C$2342,Z$4,'Grid Data'!$A$4:$A$2342,$D$2)*100, 0)</f>
        <v>0</v>
      </c>
      <c r="AA25" s="4">
        <f>IF(  AA88&gt;$E$2, SUMIFS(IF($G$2="CPR",'Grid Data'!$J$4:$J$2342,'Grid Data'!$K$4:$K$2342),'Grid Data'!$B$4:$B$2342,$D25,'Grid Data'!$C$4:$C$2342,AA$4,'Grid Data'!$A$4:$A$2342,$D$2)*100, 0)</f>
        <v>0</v>
      </c>
      <c r="AB25" s="4">
        <f>IF(  AB88&gt;$E$2, SUMIFS(IF($G$2="CPR",'Grid Data'!$J$4:$J$2342,'Grid Data'!$K$4:$K$2342),'Grid Data'!$B$4:$B$2342,$D25,'Grid Data'!$C$4:$C$2342,AB$4,'Grid Data'!$A$4:$A$2342,$D$2)*100, 0)</f>
        <v>0</v>
      </c>
      <c r="AC25" s="4">
        <f>IF(  AC88&gt;$E$2, SUMIFS(IF($G$2="CPR",'Grid Data'!$J$4:$J$2342,'Grid Data'!$K$4:$K$2342),'Grid Data'!$B$4:$B$2342,$D25,'Grid Data'!$C$4:$C$2342,AC$4,'Grid Data'!$A$4:$A$2342,$D$2)*100, 0)</f>
        <v>0</v>
      </c>
      <c r="AD25" s="4">
        <f>IF(  AD88&gt;$E$2, SUMIFS(IF($G$2="CPR",'Grid Data'!$J$4:$J$2342,'Grid Data'!$K$4:$K$2342),'Grid Data'!$B$4:$B$2342,$D25,'Grid Data'!$C$4:$C$2342,AD$4,'Grid Data'!$A$4:$A$2342,$D$2)*100, 0)</f>
        <v>0</v>
      </c>
      <c r="AE25" s="4">
        <f>IF(  AE88&gt;$E$2, SUMIFS(IF($G$2="CPR",'Grid Data'!$J$4:$J$2342,'Grid Data'!$K$4:$K$2342),'Grid Data'!$B$4:$B$2342,$D25,'Grid Data'!$C$4:$C$2342,AE$4,'Grid Data'!$A$4:$A$2342,$D$2)*100, 0)</f>
        <v>6.0632000000000001</v>
      </c>
      <c r="AF25" s="4">
        <f>IF(  AF88&gt;$E$2, SUMIFS(IF($G$2="CPR",'Grid Data'!$J$4:$J$2342,'Grid Data'!$K$4:$K$2342),'Grid Data'!$B$4:$B$2342,$D25,'Grid Data'!$C$4:$C$2342,AF$4,'Grid Data'!$A$4:$A$2342,$D$2)*100, 0)</f>
        <v>5.5190000000000001</v>
      </c>
      <c r="AG25" s="4">
        <f>IF(  AG88&gt;$E$2, SUMIFS(IF($G$2="CPR",'Grid Data'!$J$4:$J$2342,'Grid Data'!$K$4:$K$2342),'Grid Data'!$B$4:$B$2342,$D25,'Grid Data'!$C$4:$C$2342,AG$4,'Grid Data'!$A$4:$A$2342,$D$2)*100, 0)</f>
        <v>9.7919</v>
      </c>
      <c r="AH25" s="4">
        <f>IF(  AH88&gt;$E$2, SUMIFS(IF($G$2="CPR",'Grid Data'!$J$4:$J$2342,'Grid Data'!$K$4:$K$2342),'Grid Data'!$B$4:$B$2342,$D25,'Grid Data'!$C$4:$C$2342,AH$4,'Grid Data'!$A$4:$A$2342,$D$2)*100, 0)</f>
        <v>9.7337000000000007</v>
      </c>
    </row>
    <row r="26" spans="4:34" x14ac:dyDescent="0.35">
      <c r="D26">
        <v>7250</v>
      </c>
      <c r="E26" s="4">
        <f>IF(  E89&gt;$E$2, SUMIFS(IF($G$2="CPR",'Grid Data'!$J$4:$J$2342,'Grid Data'!$K$4:$K$2342),'Grid Data'!$B$4:$B$2342,$D26,'Grid Data'!$C$4:$C$2342,E$4,'Grid Data'!$A$4:$A$2342,$D$2)*100, 0)</f>
        <v>4.8978999999999999</v>
      </c>
      <c r="F26" s="4">
        <f>IF(  F89&gt;$E$2, SUMIFS(IF($G$2="CPR",'Grid Data'!$J$4:$J$2342,'Grid Data'!$K$4:$K$2342),'Grid Data'!$B$4:$B$2342,$D26,'Grid Data'!$C$4:$C$2342,F$4,'Grid Data'!$A$4:$A$2342,$D$2)*100, 0)</f>
        <v>40.705100000000002</v>
      </c>
      <c r="G26" s="4">
        <f>IF(  G89&gt;$E$2, SUMIFS(IF($G$2="CPR",'Grid Data'!$J$4:$J$2342,'Grid Data'!$K$4:$K$2342),'Grid Data'!$B$4:$B$2342,$D26,'Grid Data'!$C$4:$C$2342,G$4,'Grid Data'!$A$4:$A$2342,$D$2)*100, 0)</f>
        <v>48.392299999999999</v>
      </c>
      <c r="H26" s="4">
        <f>IF(  H89&gt;$E$2, SUMIFS(IF($G$2="CPR",'Grid Data'!$J$4:$J$2342,'Grid Data'!$K$4:$K$2342),'Grid Data'!$B$4:$B$2342,$D26,'Grid Data'!$C$4:$C$2342,H$4,'Grid Data'!$A$4:$A$2342,$D$2)*100, 0)</f>
        <v>36.783999999999999</v>
      </c>
      <c r="I26" s="4">
        <f>IF(  I89&gt;$E$2, SUMIFS(IF($G$2="CPR",'Grid Data'!$J$4:$J$2342,'Grid Data'!$K$4:$K$2342),'Grid Data'!$B$4:$B$2342,$D26,'Grid Data'!$C$4:$C$2342,I$4,'Grid Data'!$A$4:$A$2342,$D$2)*100, 0)</f>
        <v>28.087600000000002</v>
      </c>
      <c r="J26" s="4">
        <f>IF(  J89&gt;$E$2, SUMIFS(IF($G$2="CPR",'Grid Data'!$J$4:$J$2342,'Grid Data'!$K$4:$K$2342),'Grid Data'!$B$4:$B$2342,$D26,'Grid Data'!$C$4:$C$2342,J$4,'Grid Data'!$A$4:$A$2342,$D$2)*100, 0)</f>
        <v>27.857700000000001</v>
      </c>
      <c r="K26" s="4">
        <f>IF(  K89&gt;$E$2, SUMIFS(IF($G$2="CPR",'Grid Data'!$J$4:$J$2342,'Grid Data'!$K$4:$K$2342),'Grid Data'!$B$4:$B$2342,$D26,'Grid Data'!$C$4:$C$2342,K$4,'Grid Data'!$A$4:$A$2342,$D$2)*100, 0)</f>
        <v>31.404</v>
      </c>
      <c r="L26" s="4">
        <f>IF(  L89&gt;$E$2, SUMIFS(IF($G$2="CPR",'Grid Data'!$J$4:$J$2342,'Grid Data'!$K$4:$K$2342),'Grid Data'!$B$4:$B$2342,$D26,'Grid Data'!$C$4:$C$2342,L$4,'Grid Data'!$A$4:$A$2342,$D$2)*100, 0)</f>
        <v>31.324800000000003</v>
      </c>
      <c r="M26" s="4">
        <f>IF(  M89&gt;$E$2, SUMIFS(IF($G$2="CPR",'Grid Data'!$J$4:$J$2342,'Grid Data'!$K$4:$K$2342),'Grid Data'!$B$4:$B$2342,$D26,'Grid Data'!$C$4:$C$2342,M$4,'Grid Data'!$A$4:$A$2342,$D$2)*100, 0)</f>
        <v>29.640100000000004</v>
      </c>
      <c r="N26" s="4">
        <f>IF(  N89&gt;$E$2, SUMIFS(IF($G$2="CPR",'Grid Data'!$J$4:$J$2342,'Grid Data'!$K$4:$K$2342),'Grid Data'!$B$4:$B$2342,$D26,'Grid Data'!$C$4:$C$2342,N$4,'Grid Data'!$A$4:$A$2342,$D$2)*100, 0)</f>
        <v>28.990199999999998</v>
      </c>
      <c r="O26" s="4">
        <f>IF(  O89&gt;$E$2, SUMIFS(IF($G$2="CPR",'Grid Data'!$J$4:$J$2342,'Grid Data'!$K$4:$K$2342),'Grid Data'!$B$4:$B$2342,$D26,'Grid Data'!$C$4:$C$2342,O$4,'Grid Data'!$A$4:$A$2342,$D$2)*100, 0)</f>
        <v>28.796100000000003</v>
      </c>
      <c r="P26" s="4">
        <f>IF(  P89&gt;$E$2, SUMIFS(IF($G$2="CPR",'Grid Data'!$J$4:$J$2342,'Grid Data'!$K$4:$K$2342),'Grid Data'!$B$4:$B$2342,$D26,'Grid Data'!$C$4:$C$2342,P$4,'Grid Data'!$A$4:$A$2342,$D$2)*100, 0)</f>
        <v>29.3947</v>
      </c>
      <c r="Q26" s="4">
        <f>IF(  Q89&gt;$E$2, SUMIFS(IF($G$2="CPR",'Grid Data'!$J$4:$J$2342,'Grid Data'!$K$4:$K$2342),'Grid Data'!$B$4:$B$2342,$D26,'Grid Data'!$C$4:$C$2342,Q$4,'Grid Data'!$A$4:$A$2342,$D$2)*100, 0)</f>
        <v>25.010100000000001</v>
      </c>
      <c r="R26" s="4">
        <f>IF(  R89&gt;$E$2, SUMIFS(IF($G$2="CPR",'Grid Data'!$J$4:$J$2342,'Grid Data'!$K$4:$K$2342),'Grid Data'!$B$4:$B$2342,$D26,'Grid Data'!$C$4:$C$2342,R$4,'Grid Data'!$A$4:$A$2342,$D$2)*100, 0)</f>
        <v>24.131599999999999</v>
      </c>
      <c r="S26" s="4">
        <f>IF(  S89&gt;$E$2, SUMIFS(IF($G$2="CPR",'Grid Data'!$J$4:$J$2342,'Grid Data'!$K$4:$K$2342),'Grid Data'!$B$4:$B$2342,$D26,'Grid Data'!$C$4:$C$2342,S$4,'Grid Data'!$A$4:$A$2342,$D$2)*100, 0)</f>
        <v>19.799299999999999</v>
      </c>
      <c r="T26" s="4">
        <f>IF(  T89&gt;$E$2, SUMIFS(IF($G$2="CPR",'Grid Data'!$J$4:$J$2342,'Grid Data'!$K$4:$K$2342),'Grid Data'!$B$4:$B$2342,$D26,'Grid Data'!$C$4:$C$2342,T$4,'Grid Data'!$A$4:$A$2342,$D$2)*100, 0)</f>
        <v>0</v>
      </c>
      <c r="U26" s="4">
        <f>IF(  U89&gt;$E$2, SUMIFS(IF($G$2="CPR",'Grid Data'!$J$4:$J$2342,'Grid Data'!$K$4:$K$2342),'Grid Data'!$B$4:$B$2342,$D26,'Grid Data'!$C$4:$C$2342,U$4,'Grid Data'!$A$4:$A$2342,$D$2)*100, 0)</f>
        <v>0</v>
      </c>
      <c r="V26" s="4">
        <f>IF(  V89&gt;$E$2, SUMIFS(IF($G$2="CPR",'Grid Data'!$J$4:$J$2342,'Grid Data'!$K$4:$K$2342),'Grid Data'!$B$4:$B$2342,$D26,'Grid Data'!$C$4:$C$2342,V$4,'Grid Data'!$A$4:$A$2342,$D$2)*100, 0)</f>
        <v>0</v>
      </c>
      <c r="W26" s="4">
        <f>IF(  W89&gt;$E$2, SUMIFS(IF($G$2="CPR",'Grid Data'!$J$4:$J$2342,'Grid Data'!$K$4:$K$2342),'Grid Data'!$B$4:$B$2342,$D26,'Grid Data'!$C$4:$C$2342,W$4,'Grid Data'!$A$4:$A$2342,$D$2)*100, 0)</f>
        <v>0</v>
      </c>
      <c r="X26" s="4">
        <f>IF(  X89&gt;$E$2, SUMIFS(IF($G$2="CPR",'Grid Data'!$J$4:$J$2342,'Grid Data'!$K$4:$K$2342),'Grid Data'!$B$4:$B$2342,$D26,'Grid Data'!$C$4:$C$2342,X$4,'Grid Data'!$A$4:$A$2342,$D$2)*100, 0)</f>
        <v>0</v>
      </c>
      <c r="Y26" s="4">
        <f>IF(  Y89&gt;$E$2, SUMIFS(IF($G$2="CPR",'Grid Data'!$J$4:$J$2342,'Grid Data'!$K$4:$K$2342),'Grid Data'!$B$4:$B$2342,$D26,'Grid Data'!$C$4:$C$2342,Y$4,'Grid Data'!$A$4:$A$2342,$D$2)*100, 0)</f>
        <v>0</v>
      </c>
      <c r="Z26" s="4">
        <f>IF(  Z89&gt;$E$2, SUMIFS(IF($G$2="CPR",'Grid Data'!$J$4:$J$2342,'Grid Data'!$K$4:$K$2342),'Grid Data'!$B$4:$B$2342,$D26,'Grid Data'!$C$4:$C$2342,Z$4,'Grid Data'!$A$4:$A$2342,$D$2)*100, 0)</f>
        <v>0</v>
      </c>
      <c r="AA26" s="4">
        <f>IF(  AA89&gt;$E$2, SUMIFS(IF($G$2="CPR",'Grid Data'!$J$4:$J$2342,'Grid Data'!$K$4:$K$2342),'Grid Data'!$B$4:$B$2342,$D26,'Grid Data'!$C$4:$C$2342,AA$4,'Grid Data'!$A$4:$A$2342,$D$2)*100, 0)</f>
        <v>0</v>
      </c>
      <c r="AB26" s="4">
        <f>IF(  AB89&gt;$E$2, SUMIFS(IF($G$2="CPR",'Grid Data'!$J$4:$J$2342,'Grid Data'!$K$4:$K$2342),'Grid Data'!$B$4:$B$2342,$D26,'Grid Data'!$C$4:$C$2342,AB$4,'Grid Data'!$A$4:$A$2342,$D$2)*100, 0)</f>
        <v>0</v>
      </c>
      <c r="AC26" s="4">
        <f>IF(  AC89&gt;$E$2, SUMIFS(IF($G$2="CPR",'Grid Data'!$J$4:$J$2342,'Grid Data'!$K$4:$K$2342),'Grid Data'!$B$4:$B$2342,$D26,'Grid Data'!$C$4:$C$2342,AC$4,'Grid Data'!$A$4:$A$2342,$D$2)*100, 0)</f>
        <v>0</v>
      </c>
      <c r="AD26" s="4">
        <f>IF(  AD89&gt;$E$2, SUMIFS(IF($G$2="CPR",'Grid Data'!$J$4:$J$2342,'Grid Data'!$K$4:$K$2342),'Grid Data'!$B$4:$B$2342,$D26,'Grid Data'!$C$4:$C$2342,AD$4,'Grid Data'!$A$4:$A$2342,$D$2)*100, 0)</f>
        <v>0</v>
      </c>
      <c r="AE26" s="4">
        <f>IF(  AE89&gt;$E$2, SUMIFS(IF($G$2="CPR",'Grid Data'!$J$4:$J$2342,'Grid Data'!$K$4:$K$2342),'Grid Data'!$B$4:$B$2342,$D26,'Grid Data'!$C$4:$C$2342,AE$4,'Grid Data'!$A$4:$A$2342,$D$2)*100, 0)</f>
        <v>4.8464999999999998</v>
      </c>
      <c r="AF26" s="4">
        <f>IF(  AF89&gt;$E$2, SUMIFS(IF($G$2="CPR",'Grid Data'!$J$4:$J$2342,'Grid Data'!$K$4:$K$2342),'Grid Data'!$B$4:$B$2342,$D26,'Grid Data'!$C$4:$C$2342,AF$4,'Grid Data'!$A$4:$A$2342,$D$2)*100, 0)</f>
        <v>7.2989999999999995</v>
      </c>
      <c r="AG26" s="4">
        <f>IF(  AG89&gt;$E$2, SUMIFS(IF($G$2="CPR",'Grid Data'!$J$4:$J$2342,'Grid Data'!$K$4:$K$2342),'Grid Data'!$B$4:$B$2342,$D26,'Grid Data'!$C$4:$C$2342,AG$4,'Grid Data'!$A$4:$A$2342,$D$2)*100, 0)</f>
        <v>9.8780999999999999</v>
      </c>
      <c r="AH26" s="4">
        <f>IF(  AH89&gt;$E$2, SUMIFS(IF($G$2="CPR",'Grid Data'!$J$4:$J$2342,'Grid Data'!$K$4:$K$2342),'Grid Data'!$B$4:$B$2342,$D26,'Grid Data'!$C$4:$C$2342,AH$4,'Grid Data'!$A$4:$A$2342,$D$2)*100, 0)</f>
        <v>9.6760000000000002</v>
      </c>
    </row>
    <row r="27" spans="4:34" x14ac:dyDescent="0.35">
      <c r="D27">
        <v>7500</v>
      </c>
      <c r="E27" s="4">
        <f>IF(  E90&gt;$E$2, SUMIFS(IF($G$2="CPR",'Grid Data'!$J$4:$J$2342,'Grid Data'!$K$4:$K$2342),'Grid Data'!$B$4:$B$2342,$D27,'Grid Data'!$C$4:$C$2342,E$4,'Grid Data'!$A$4:$A$2342,$D$2)*100, 0)</f>
        <v>4.4382000000000001</v>
      </c>
      <c r="F27" s="4">
        <f>IF(  F90&gt;$E$2, SUMIFS(IF($G$2="CPR",'Grid Data'!$J$4:$J$2342,'Grid Data'!$K$4:$K$2342),'Grid Data'!$B$4:$B$2342,$D27,'Grid Data'!$C$4:$C$2342,F$4,'Grid Data'!$A$4:$A$2342,$D$2)*100, 0)</f>
        <v>38.823599999999999</v>
      </c>
      <c r="G27" s="4">
        <f>IF(  G90&gt;$E$2, SUMIFS(IF($G$2="CPR",'Grid Data'!$J$4:$J$2342,'Grid Data'!$K$4:$K$2342),'Grid Data'!$B$4:$B$2342,$D27,'Grid Data'!$C$4:$C$2342,G$4,'Grid Data'!$A$4:$A$2342,$D$2)*100, 0)</f>
        <v>47.267399999999995</v>
      </c>
      <c r="H27" s="4">
        <f>IF(  H90&gt;$E$2, SUMIFS(IF($G$2="CPR",'Grid Data'!$J$4:$J$2342,'Grid Data'!$K$4:$K$2342),'Grid Data'!$B$4:$B$2342,$D27,'Grid Data'!$C$4:$C$2342,H$4,'Grid Data'!$A$4:$A$2342,$D$2)*100, 0)</f>
        <v>32.837200000000003</v>
      </c>
      <c r="I27" s="4">
        <f>IF(  I90&gt;$E$2, SUMIFS(IF($G$2="CPR",'Grid Data'!$J$4:$J$2342,'Grid Data'!$K$4:$K$2342),'Grid Data'!$B$4:$B$2342,$D27,'Grid Data'!$C$4:$C$2342,I$4,'Grid Data'!$A$4:$A$2342,$D$2)*100, 0)</f>
        <v>25.896200000000004</v>
      </c>
      <c r="J27" s="4">
        <f>IF(  J90&gt;$E$2, SUMIFS(IF($G$2="CPR",'Grid Data'!$J$4:$J$2342,'Grid Data'!$K$4:$K$2342),'Grid Data'!$B$4:$B$2342,$D27,'Grid Data'!$C$4:$C$2342,J$4,'Grid Data'!$A$4:$A$2342,$D$2)*100, 0)</f>
        <v>27.769400000000001</v>
      </c>
      <c r="K27" s="4">
        <f>IF(  K90&gt;$E$2, SUMIFS(IF($G$2="CPR",'Grid Data'!$J$4:$J$2342,'Grid Data'!$K$4:$K$2342),'Grid Data'!$B$4:$B$2342,$D27,'Grid Data'!$C$4:$C$2342,K$4,'Grid Data'!$A$4:$A$2342,$D$2)*100, 0)</f>
        <v>28.4314</v>
      </c>
      <c r="L27" s="4">
        <f>IF(  L90&gt;$E$2, SUMIFS(IF($G$2="CPR",'Grid Data'!$J$4:$J$2342,'Grid Data'!$K$4:$K$2342),'Grid Data'!$B$4:$B$2342,$D27,'Grid Data'!$C$4:$C$2342,L$4,'Grid Data'!$A$4:$A$2342,$D$2)*100, 0)</f>
        <v>24.022500000000001</v>
      </c>
      <c r="M27" s="4">
        <f>IF(  M90&gt;$E$2, SUMIFS(IF($G$2="CPR",'Grid Data'!$J$4:$J$2342,'Grid Data'!$K$4:$K$2342),'Grid Data'!$B$4:$B$2342,$D27,'Grid Data'!$C$4:$C$2342,M$4,'Grid Data'!$A$4:$A$2342,$D$2)*100, 0)</f>
        <v>24.6511</v>
      </c>
      <c r="N27" s="4">
        <f>IF(  N90&gt;$E$2, SUMIFS(IF($G$2="CPR",'Grid Data'!$J$4:$J$2342,'Grid Data'!$K$4:$K$2342),'Grid Data'!$B$4:$B$2342,$D27,'Grid Data'!$C$4:$C$2342,N$4,'Grid Data'!$A$4:$A$2342,$D$2)*100, 0)</f>
        <v>22.608700000000002</v>
      </c>
      <c r="O27" s="4">
        <f>IF(  O90&gt;$E$2, SUMIFS(IF($G$2="CPR",'Grid Data'!$J$4:$J$2342,'Grid Data'!$K$4:$K$2342),'Grid Data'!$B$4:$B$2342,$D27,'Grid Data'!$C$4:$C$2342,O$4,'Grid Data'!$A$4:$A$2342,$D$2)*100, 0)</f>
        <v>24.873100000000001</v>
      </c>
      <c r="P27" s="4">
        <f>IF(  P90&gt;$E$2, SUMIFS(IF($G$2="CPR",'Grid Data'!$J$4:$J$2342,'Grid Data'!$K$4:$K$2342),'Grid Data'!$B$4:$B$2342,$D27,'Grid Data'!$C$4:$C$2342,P$4,'Grid Data'!$A$4:$A$2342,$D$2)*100, 0)</f>
        <v>28.827199999999998</v>
      </c>
      <c r="Q27" s="4">
        <f>IF(  Q90&gt;$E$2, SUMIFS(IF($G$2="CPR",'Grid Data'!$J$4:$J$2342,'Grid Data'!$K$4:$K$2342),'Grid Data'!$B$4:$B$2342,$D27,'Grid Data'!$C$4:$C$2342,Q$4,'Grid Data'!$A$4:$A$2342,$D$2)*100, 0)</f>
        <v>22.753599999999999</v>
      </c>
      <c r="R27" s="4">
        <f>IF(  R90&gt;$E$2, SUMIFS(IF($G$2="CPR",'Grid Data'!$J$4:$J$2342,'Grid Data'!$K$4:$K$2342),'Grid Data'!$B$4:$B$2342,$D27,'Grid Data'!$C$4:$C$2342,R$4,'Grid Data'!$A$4:$A$2342,$D$2)*100, 0)</f>
        <v>19.868300000000001</v>
      </c>
      <c r="S27" s="4">
        <f>IF(  S90&gt;$E$2, SUMIFS(IF($G$2="CPR",'Grid Data'!$J$4:$J$2342,'Grid Data'!$K$4:$K$2342),'Grid Data'!$B$4:$B$2342,$D27,'Grid Data'!$C$4:$C$2342,S$4,'Grid Data'!$A$4:$A$2342,$D$2)*100, 0)</f>
        <v>17.1494</v>
      </c>
      <c r="T27" s="4">
        <f>IF(  T90&gt;$E$2, SUMIFS(IF($G$2="CPR",'Grid Data'!$J$4:$J$2342,'Grid Data'!$K$4:$K$2342),'Grid Data'!$B$4:$B$2342,$D27,'Grid Data'!$C$4:$C$2342,T$4,'Grid Data'!$A$4:$A$2342,$D$2)*100, 0)</f>
        <v>0</v>
      </c>
      <c r="U27" s="4">
        <f>IF(  U90&gt;$E$2, SUMIFS(IF($G$2="CPR",'Grid Data'!$J$4:$J$2342,'Grid Data'!$K$4:$K$2342),'Grid Data'!$B$4:$B$2342,$D27,'Grid Data'!$C$4:$C$2342,U$4,'Grid Data'!$A$4:$A$2342,$D$2)*100, 0)</f>
        <v>0</v>
      </c>
      <c r="V27" s="4">
        <f>IF(  V90&gt;$E$2, SUMIFS(IF($G$2="CPR",'Grid Data'!$J$4:$J$2342,'Grid Data'!$K$4:$K$2342),'Grid Data'!$B$4:$B$2342,$D27,'Grid Data'!$C$4:$C$2342,V$4,'Grid Data'!$A$4:$A$2342,$D$2)*100, 0)</f>
        <v>0</v>
      </c>
      <c r="W27" s="4">
        <f>IF(  W90&gt;$E$2, SUMIFS(IF($G$2="CPR",'Grid Data'!$J$4:$J$2342,'Grid Data'!$K$4:$K$2342),'Grid Data'!$B$4:$B$2342,$D27,'Grid Data'!$C$4:$C$2342,W$4,'Grid Data'!$A$4:$A$2342,$D$2)*100, 0)</f>
        <v>0</v>
      </c>
      <c r="X27" s="4">
        <f>IF(  X90&gt;$E$2, SUMIFS(IF($G$2="CPR",'Grid Data'!$J$4:$J$2342,'Grid Data'!$K$4:$K$2342),'Grid Data'!$B$4:$B$2342,$D27,'Grid Data'!$C$4:$C$2342,X$4,'Grid Data'!$A$4:$A$2342,$D$2)*100, 0)</f>
        <v>0</v>
      </c>
      <c r="Y27" s="4">
        <f>IF(  Y90&gt;$E$2, SUMIFS(IF($G$2="CPR",'Grid Data'!$J$4:$J$2342,'Grid Data'!$K$4:$K$2342),'Grid Data'!$B$4:$B$2342,$D27,'Grid Data'!$C$4:$C$2342,Y$4,'Grid Data'!$A$4:$A$2342,$D$2)*100, 0)</f>
        <v>0</v>
      </c>
      <c r="Z27" s="4">
        <f>IF(  Z90&gt;$E$2, SUMIFS(IF($G$2="CPR",'Grid Data'!$J$4:$J$2342,'Grid Data'!$K$4:$K$2342),'Grid Data'!$B$4:$B$2342,$D27,'Grid Data'!$C$4:$C$2342,Z$4,'Grid Data'!$A$4:$A$2342,$D$2)*100, 0)</f>
        <v>0</v>
      </c>
      <c r="AA27" s="4">
        <f>IF(  AA90&gt;$E$2, SUMIFS(IF($G$2="CPR",'Grid Data'!$J$4:$J$2342,'Grid Data'!$K$4:$K$2342),'Grid Data'!$B$4:$B$2342,$D27,'Grid Data'!$C$4:$C$2342,AA$4,'Grid Data'!$A$4:$A$2342,$D$2)*100, 0)</f>
        <v>0</v>
      </c>
      <c r="AB27" s="4">
        <f>IF(  AB90&gt;$E$2, SUMIFS(IF($G$2="CPR",'Grid Data'!$J$4:$J$2342,'Grid Data'!$K$4:$K$2342),'Grid Data'!$B$4:$B$2342,$D27,'Grid Data'!$C$4:$C$2342,AB$4,'Grid Data'!$A$4:$A$2342,$D$2)*100, 0)</f>
        <v>0</v>
      </c>
      <c r="AC27" s="4">
        <f>IF(  AC90&gt;$E$2, SUMIFS(IF($G$2="CPR",'Grid Data'!$J$4:$J$2342,'Grid Data'!$K$4:$K$2342),'Grid Data'!$B$4:$B$2342,$D27,'Grid Data'!$C$4:$C$2342,AC$4,'Grid Data'!$A$4:$A$2342,$D$2)*100, 0)</f>
        <v>0</v>
      </c>
      <c r="AD27" s="4">
        <f>IF(  AD90&gt;$E$2, SUMIFS(IF($G$2="CPR",'Grid Data'!$J$4:$J$2342,'Grid Data'!$K$4:$K$2342),'Grid Data'!$B$4:$B$2342,$D27,'Grid Data'!$C$4:$C$2342,AD$4,'Grid Data'!$A$4:$A$2342,$D$2)*100, 0)</f>
        <v>0</v>
      </c>
      <c r="AE27" s="4">
        <f>IF(  AE90&gt;$E$2, SUMIFS(IF($G$2="CPR",'Grid Data'!$J$4:$J$2342,'Grid Data'!$K$4:$K$2342),'Grid Data'!$B$4:$B$2342,$D27,'Grid Data'!$C$4:$C$2342,AE$4,'Grid Data'!$A$4:$A$2342,$D$2)*100, 0)</f>
        <v>4.8841000000000001</v>
      </c>
      <c r="AF27" s="4">
        <f>IF(  AF90&gt;$E$2, SUMIFS(IF($G$2="CPR",'Grid Data'!$J$4:$J$2342,'Grid Data'!$K$4:$K$2342),'Grid Data'!$B$4:$B$2342,$D27,'Grid Data'!$C$4:$C$2342,AF$4,'Grid Data'!$A$4:$A$2342,$D$2)*100, 0)</f>
        <v>8.2301000000000002</v>
      </c>
      <c r="AG27" s="4">
        <f>IF(  AG90&gt;$E$2, SUMIFS(IF($G$2="CPR",'Grid Data'!$J$4:$J$2342,'Grid Data'!$K$4:$K$2342),'Grid Data'!$B$4:$B$2342,$D27,'Grid Data'!$C$4:$C$2342,AG$4,'Grid Data'!$A$4:$A$2342,$D$2)*100, 0)</f>
        <v>9.8476999999999997</v>
      </c>
      <c r="AH27" s="4">
        <f>IF(  AH90&gt;$E$2, SUMIFS(IF($G$2="CPR",'Grid Data'!$J$4:$J$2342,'Grid Data'!$K$4:$K$2342),'Grid Data'!$B$4:$B$2342,$D27,'Grid Data'!$C$4:$C$2342,AH$4,'Grid Data'!$A$4:$A$2342,$D$2)*100, 0)</f>
        <v>9.6906999999999996</v>
      </c>
    </row>
    <row r="28" spans="4:34" x14ac:dyDescent="0.35">
      <c r="D28">
        <v>7750</v>
      </c>
      <c r="E28" s="4">
        <f>IF(  E91&gt;$E$2, SUMIFS(IF($G$2="CPR",'Grid Data'!$J$4:$J$2342,'Grid Data'!$K$4:$K$2342),'Grid Data'!$B$4:$B$2342,$D28,'Grid Data'!$C$4:$C$2342,E$4,'Grid Data'!$A$4:$A$2342,$D$2)*100, 0)</f>
        <v>2.7534999999999998</v>
      </c>
      <c r="F28" s="4">
        <f>IF(  F91&gt;$E$2, SUMIFS(IF($G$2="CPR",'Grid Data'!$J$4:$J$2342,'Grid Data'!$K$4:$K$2342),'Grid Data'!$B$4:$B$2342,$D28,'Grid Data'!$C$4:$C$2342,F$4,'Grid Data'!$A$4:$A$2342,$D$2)*100, 0)</f>
        <v>31.0946</v>
      </c>
      <c r="G28" s="4">
        <f>IF(  G91&gt;$E$2, SUMIFS(IF($G$2="CPR",'Grid Data'!$J$4:$J$2342,'Grid Data'!$K$4:$K$2342),'Grid Data'!$B$4:$B$2342,$D28,'Grid Data'!$C$4:$C$2342,G$4,'Grid Data'!$A$4:$A$2342,$D$2)*100, 0)</f>
        <v>41.965000000000003</v>
      </c>
      <c r="H28" s="4">
        <f>IF(  H91&gt;$E$2, SUMIFS(IF($G$2="CPR",'Grid Data'!$J$4:$J$2342,'Grid Data'!$K$4:$K$2342),'Grid Data'!$B$4:$B$2342,$D28,'Grid Data'!$C$4:$C$2342,H$4,'Grid Data'!$A$4:$A$2342,$D$2)*100, 0)</f>
        <v>30.494300000000003</v>
      </c>
      <c r="I28" s="4">
        <f>IF(  I91&gt;$E$2, SUMIFS(IF($G$2="CPR",'Grid Data'!$J$4:$J$2342,'Grid Data'!$K$4:$K$2342),'Grid Data'!$B$4:$B$2342,$D28,'Grid Data'!$C$4:$C$2342,I$4,'Grid Data'!$A$4:$A$2342,$D$2)*100, 0)</f>
        <v>23.414899999999999</v>
      </c>
      <c r="J28" s="4">
        <f>IF(  J91&gt;$E$2, SUMIFS(IF($G$2="CPR",'Grid Data'!$J$4:$J$2342,'Grid Data'!$K$4:$K$2342),'Grid Data'!$B$4:$B$2342,$D28,'Grid Data'!$C$4:$C$2342,J$4,'Grid Data'!$A$4:$A$2342,$D$2)*100, 0)</f>
        <v>25.641199999999998</v>
      </c>
      <c r="K28" s="4">
        <f>IF(  K91&gt;$E$2, SUMIFS(IF($G$2="CPR",'Grid Data'!$J$4:$J$2342,'Grid Data'!$K$4:$K$2342),'Grid Data'!$B$4:$B$2342,$D28,'Grid Data'!$C$4:$C$2342,K$4,'Grid Data'!$A$4:$A$2342,$D$2)*100, 0)</f>
        <v>25.717099999999999</v>
      </c>
      <c r="L28" s="4">
        <f>IF(  L91&gt;$E$2, SUMIFS(IF($G$2="CPR",'Grid Data'!$J$4:$J$2342,'Grid Data'!$K$4:$K$2342),'Grid Data'!$B$4:$B$2342,$D28,'Grid Data'!$C$4:$C$2342,L$4,'Grid Data'!$A$4:$A$2342,$D$2)*100, 0)</f>
        <v>25.514700000000001</v>
      </c>
      <c r="M28" s="4">
        <f>IF(  M91&gt;$E$2, SUMIFS(IF($G$2="CPR",'Grid Data'!$J$4:$J$2342,'Grid Data'!$K$4:$K$2342),'Grid Data'!$B$4:$B$2342,$D28,'Grid Data'!$C$4:$C$2342,M$4,'Grid Data'!$A$4:$A$2342,$D$2)*100, 0)</f>
        <v>25.71</v>
      </c>
      <c r="N28" s="4">
        <f>IF(  N91&gt;$E$2, SUMIFS(IF($G$2="CPR",'Grid Data'!$J$4:$J$2342,'Grid Data'!$K$4:$K$2342),'Grid Data'!$B$4:$B$2342,$D28,'Grid Data'!$C$4:$C$2342,N$4,'Grid Data'!$A$4:$A$2342,$D$2)*100, 0)</f>
        <v>27.535999999999998</v>
      </c>
      <c r="O28" s="4">
        <f>IF(  O91&gt;$E$2, SUMIFS(IF($G$2="CPR",'Grid Data'!$J$4:$J$2342,'Grid Data'!$K$4:$K$2342),'Grid Data'!$B$4:$B$2342,$D28,'Grid Data'!$C$4:$C$2342,O$4,'Grid Data'!$A$4:$A$2342,$D$2)*100, 0)</f>
        <v>28.814099999999996</v>
      </c>
      <c r="P28" s="4">
        <f>IF(  P91&gt;$E$2, SUMIFS(IF($G$2="CPR",'Grid Data'!$J$4:$J$2342,'Grid Data'!$K$4:$K$2342),'Grid Data'!$B$4:$B$2342,$D28,'Grid Data'!$C$4:$C$2342,P$4,'Grid Data'!$A$4:$A$2342,$D$2)*100, 0)</f>
        <v>30.1404</v>
      </c>
      <c r="Q28" s="4">
        <f>IF(  Q91&gt;$E$2, SUMIFS(IF($G$2="CPR",'Grid Data'!$J$4:$J$2342,'Grid Data'!$K$4:$K$2342),'Grid Data'!$B$4:$B$2342,$D28,'Grid Data'!$C$4:$C$2342,Q$4,'Grid Data'!$A$4:$A$2342,$D$2)*100, 0)</f>
        <v>24.4482</v>
      </c>
      <c r="R28" s="4">
        <f>IF(  R91&gt;$E$2, SUMIFS(IF($G$2="CPR",'Grid Data'!$J$4:$J$2342,'Grid Data'!$K$4:$K$2342),'Grid Data'!$B$4:$B$2342,$D28,'Grid Data'!$C$4:$C$2342,R$4,'Grid Data'!$A$4:$A$2342,$D$2)*100, 0)</f>
        <v>19.865600000000001</v>
      </c>
      <c r="S28" s="4">
        <f>IF(  S91&gt;$E$2, SUMIFS(IF($G$2="CPR",'Grid Data'!$J$4:$J$2342,'Grid Data'!$K$4:$K$2342),'Grid Data'!$B$4:$B$2342,$D28,'Grid Data'!$C$4:$C$2342,S$4,'Grid Data'!$A$4:$A$2342,$D$2)*100, 0)</f>
        <v>19.875599999999999</v>
      </c>
      <c r="T28" s="4">
        <f>IF(  T91&gt;$E$2, SUMIFS(IF($G$2="CPR",'Grid Data'!$J$4:$J$2342,'Grid Data'!$K$4:$K$2342),'Grid Data'!$B$4:$B$2342,$D28,'Grid Data'!$C$4:$C$2342,T$4,'Grid Data'!$A$4:$A$2342,$D$2)*100, 0)</f>
        <v>0</v>
      </c>
      <c r="U28" s="4">
        <f>IF(  U91&gt;$E$2, SUMIFS(IF($G$2="CPR",'Grid Data'!$J$4:$J$2342,'Grid Data'!$K$4:$K$2342),'Grid Data'!$B$4:$B$2342,$D28,'Grid Data'!$C$4:$C$2342,U$4,'Grid Data'!$A$4:$A$2342,$D$2)*100, 0)</f>
        <v>0</v>
      </c>
      <c r="V28" s="4">
        <f>IF(  V91&gt;$E$2, SUMIFS(IF($G$2="CPR",'Grid Data'!$J$4:$J$2342,'Grid Data'!$K$4:$K$2342),'Grid Data'!$B$4:$B$2342,$D28,'Grid Data'!$C$4:$C$2342,V$4,'Grid Data'!$A$4:$A$2342,$D$2)*100, 0)</f>
        <v>0</v>
      </c>
      <c r="W28" s="4">
        <f>IF(  W91&gt;$E$2, SUMIFS(IF($G$2="CPR",'Grid Data'!$J$4:$J$2342,'Grid Data'!$K$4:$K$2342),'Grid Data'!$B$4:$B$2342,$D28,'Grid Data'!$C$4:$C$2342,W$4,'Grid Data'!$A$4:$A$2342,$D$2)*100, 0)</f>
        <v>0</v>
      </c>
      <c r="X28" s="4">
        <f>IF(  X91&gt;$E$2, SUMIFS(IF($G$2="CPR",'Grid Data'!$J$4:$J$2342,'Grid Data'!$K$4:$K$2342),'Grid Data'!$B$4:$B$2342,$D28,'Grid Data'!$C$4:$C$2342,X$4,'Grid Data'!$A$4:$A$2342,$D$2)*100, 0)</f>
        <v>0</v>
      </c>
      <c r="Y28" s="4">
        <f>IF(  Y91&gt;$E$2, SUMIFS(IF($G$2="CPR",'Grid Data'!$J$4:$J$2342,'Grid Data'!$K$4:$K$2342),'Grid Data'!$B$4:$B$2342,$D28,'Grid Data'!$C$4:$C$2342,Y$4,'Grid Data'!$A$4:$A$2342,$D$2)*100, 0)</f>
        <v>0</v>
      </c>
      <c r="Z28" s="4">
        <f>IF(  Z91&gt;$E$2, SUMIFS(IF($G$2="CPR",'Grid Data'!$J$4:$J$2342,'Grid Data'!$K$4:$K$2342),'Grid Data'!$B$4:$B$2342,$D28,'Grid Data'!$C$4:$C$2342,Z$4,'Grid Data'!$A$4:$A$2342,$D$2)*100, 0)</f>
        <v>0</v>
      </c>
      <c r="AA28" s="4">
        <f>IF(  AA91&gt;$E$2, SUMIFS(IF($G$2="CPR",'Grid Data'!$J$4:$J$2342,'Grid Data'!$K$4:$K$2342),'Grid Data'!$B$4:$B$2342,$D28,'Grid Data'!$C$4:$C$2342,AA$4,'Grid Data'!$A$4:$A$2342,$D$2)*100, 0)</f>
        <v>0</v>
      </c>
      <c r="AB28" s="4">
        <f>IF(  AB91&gt;$E$2, SUMIFS(IF($G$2="CPR",'Grid Data'!$J$4:$J$2342,'Grid Data'!$K$4:$K$2342),'Grid Data'!$B$4:$B$2342,$D28,'Grid Data'!$C$4:$C$2342,AB$4,'Grid Data'!$A$4:$A$2342,$D$2)*100, 0)</f>
        <v>0</v>
      </c>
      <c r="AC28" s="4">
        <f>IF(  AC91&gt;$E$2, SUMIFS(IF($G$2="CPR",'Grid Data'!$J$4:$J$2342,'Grid Data'!$K$4:$K$2342),'Grid Data'!$B$4:$B$2342,$D28,'Grid Data'!$C$4:$C$2342,AC$4,'Grid Data'!$A$4:$A$2342,$D$2)*100, 0)</f>
        <v>0</v>
      </c>
      <c r="AD28" s="4">
        <f>IF(  AD91&gt;$E$2, SUMIFS(IF($G$2="CPR",'Grid Data'!$J$4:$J$2342,'Grid Data'!$K$4:$K$2342),'Grid Data'!$B$4:$B$2342,$D28,'Grid Data'!$C$4:$C$2342,AD$4,'Grid Data'!$A$4:$A$2342,$D$2)*100, 0)</f>
        <v>0</v>
      </c>
      <c r="AE28" s="4">
        <f>IF(  AE91&gt;$E$2, SUMIFS(IF($G$2="CPR",'Grid Data'!$J$4:$J$2342,'Grid Data'!$K$4:$K$2342),'Grid Data'!$B$4:$B$2342,$D28,'Grid Data'!$C$4:$C$2342,AE$4,'Grid Data'!$A$4:$A$2342,$D$2)*100, 0)</f>
        <v>0</v>
      </c>
      <c r="AF28" s="4">
        <f>IF(  AF91&gt;$E$2, SUMIFS(IF($G$2="CPR",'Grid Data'!$J$4:$J$2342,'Grid Data'!$K$4:$K$2342),'Grid Data'!$B$4:$B$2342,$D28,'Grid Data'!$C$4:$C$2342,AF$4,'Grid Data'!$A$4:$A$2342,$D$2)*100, 0)</f>
        <v>0</v>
      </c>
      <c r="AG28" s="4">
        <f>IF(  AG91&gt;$E$2, SUMIFS(IF($G$2="CPR",'Grid Data'!$J$4:$J$2342,'Grid Data'!$K$4:$K$2342),'Grid Data'!$B$4:$B$2342,$D28,'Grid Data'!$C$4:$C$2342,AG$4,'Grid Data'!$A$4:$A$2342,$D$2)*100, 0)</f>
        <v>9.8923000000000005</v>
      </c>
      <c r="AH28" s="4">
        <f>IF(  AH91&gt;$E$2, SUMIFS(IF($G$2="CPR",'Grid Data'!$J$4:$J$2342,'Grid Data'!$K$4:$K$2342),'Grid Data'!$B$4:$B$2342,$D28,'Grid Data'!$C$4:$C$2342,AH$4,'Grid Data'!$A$4:$A$2342,$D$2)*100, 0)</f>
        <v>9.6656000000000013</v>
      </c>
    </row>
    <row r="29" spans="4:34" x14ac:dyDescent="0.35">
      <c r="D29">
        <v>8000</v>
      </c>
      <c r="E29" s="4">
        <f>IF(  E92&gt;$E$2, SUMIFS(IF($G$2="CPR",'Grid Data'!$J$4:$J$2342,'Grid Data'!$K$4:$K$2342),'Grid Data'!$B$4:$B$2342,$D29,'Grid Data'!$C$4:$C$2342,E$4,'Grid Data'!$A$4:$A$2342,$D$2)*100, 0)</f>
        <v>1.5270000000000001</v>
      </c>
      <c r="F29" s="4">
        <f>IF(  F92&gt;$E$2, SUMIFS(IF($G$2="CPR",'Grid Data'!$J$4:$J$2342,'Grid Data'!$K$4:$K$2342),'Grid Data'!$B$4:$B$2342,$D29,'Grid Data'!$C$4:$C$2342,F$4,'Grid Data'!$A$4:$A$2342,$D$2)*100, 0)</f>
        <v>29.9267</v>
      </c>
      <c r="G29" s="4">
        <f>IF(  G92&gt;$E$2, SUMIFS(IF($G$2="CPR",'Grid Data'!$J$4:$J$2342,'Grid Data'!$K$4:$K$2342),'Grid Data'!$B$4:$B$2342,$D29,'Grid Data'!$C$4:$C$2342,G$4,'Grid Data'!$A$4:$A$2342,$D$2)*100, 0)</f>
        <v>43.7331</v>
      </c>
      <c r="H29" s="4">
        <f>IF(  H92&gt;$E$2, SUMIFS(IF($G$2="CPR",'Grid Data'!$J$4:$J$2342,'Grid Data'!$K$4:$K$2342),'Grid Data'!$B$4:$B$2342,$D29,'Grid Data'!$C$4:$C$2342,H$4,'Grid Data'!$A$4:$A$2342,$D$2)*100, 0)</f>
        <v>0</v>
      </c>
      <c r="I29" s="4">
        <f>IF(  I92&gt;$E$2, SUMIFS(IF($G$2="CPR",'Grid Data'!$J$4:$J$2342,'Grid Data'!$K$4:$K$2342),'Grid Data'!$B$4:$B$2342,$D29,'Grid Data'!$C$4:$C$2342,I$4,'Grid Data'!$A$4:$A$2342,$D$2)*100, 0)</f>
        <v>0</v>
      </c>
      <c r="J29" s="4">
        <f>IF(  J92&gt;$E$2, SUMIFS(IF($G$2="CPR",'Grid Data'!$J$4:$J$2342,'Grid Data'!$K$4:$K$2342),'Grid Data'!$B$4:$B$2342,$D29,'Grid Data'!$C$4:$C$2342,J$4,'Grid Data'!$A$4:$A$2342,$D$2)*100, 0)</f>
        <v>0</v>
      </c>
      <c r="K29" s="4">
        <f>IF(  K92&gt;$E$2, SUMIFS(IF($G$2="CPR",'Grid Data'!$J$4:$J$2342,'Grid Data'!$K$4:$K$2342),'Grid Data'!$B$4:$B$2342,$D29,'Grid Data'!$C$4:$C$2342,K$4,'Grid Data'!$A$4:$A$2342,$D$2)*100, 0)</f>
        <v>25.8842</v>
      </c>
      <c r="L29" s="4">
        <f>IF(  L92&gt;$E$2, SUMIFS(IF($G$2="CPR",'Grid Data'!$J$4:$J$2342,'Grid Data'!$K$4:$K$2342),'Grid Data'!$B$4:$B$2342,$D29,'Grid Data'!$C$4:$C$2342,L$4,'Grid Data'!$A$4:$A$2342,$D$2)*100, 0)</f>
        <v>27.400600000000004</v>
      </c>
      <c r="M29" s="4">
        <f>IF(  M92&gt;$E$2, SUMIFS(IF($G$2="CPR",'Grid Data'!$J$4:$J$2342,'Grid Data'!$K$4:$K$2342),'Grid Data'!$B$4:$B$2342,$D29,'Grid Data'!$C$4:$C$2342,M$4,'Grid Data'!$A$4:$A$2342,$D$2)*100, 0)</f>
        <v>31.451099999999997</v>
      </c>
      <c r="N29" s="4">
        <f>IF(  N92&gt;$E$2, SUMIFS(IF($G$2="CPR",'Grid Data'!$J$4:$J$2342,'Grid Data'!$K$4:$K$2342),'Grid Data'!$B$4:$B$2342,$D29,'Grid Data'!$C$4:$C$2342,N$4,'Grid Data'!$A$4:$A$2342,$D$2)*100, 0)</f>
        <v>27.967500000000001</v>
      </c>
      <c r="O29" s="4">
        <f>IF(  O92&gt;$E$2, SUMIFS(IF($G$2="CPR",'Grid Data'!$J$4:$J$2342,'Grid Data'!$K$4:$K$2342),'Grid Data'!$B$4:$B$2342,$D29,'Grid Data'!$C$4:$C$2342,O$4,'Grid Data'!$A$4:$A$2342,$D$2)*100, 0)</f>
        <v>26.1158</v>
      </c>
      <c r="P29" s="4">
        <f>IF(  P92&gt;$E$2, SUMIFS(IF($G$2="CPR",'Grid Data'!$J$4:$J$2342,'Grid Data'!$K$4:$K$2342),'Grid Data'!$B$4:$B$2342,$D29,'Grid Data'!$C$4:$C$2342,P$4,'Grid Data'!$A$4:$A$2342,$D$2)*100, 0)</f>
        <v>26.017400000000002</v>
      </c>
      <c r="Q29" s="4">
        <f>IF(  Q92&gt;$E$2, SUMIFS(IF($G$2="CPR",'Grid Data'!$J$4:$J$2342,'Grid Data'!$K$4:$K$2342),'Grid Data'!$B$4:$B$2342,$D29,'Grid Data'!$C$4:$C$2342,Q$4,'Grid Data'!$A$4:$A$2342,$D$2)*100, 0)</f>
        <v>22.8399</v>
      </c>
      <c r="R29" s="4">
        <f>IF(  R92&gt;$E$2, SUMIFS(IF($G$2="CPR",'Grid Data'!$J$4:$J$2342,'Grid Data'!$K$4:$K$2342),'Grid Data'!$B$4:$B$2342,$D29,'Grid Data'!$C$4:$C$2342,R$4,'Grid Data'!$A$4:$A$2342,$D$2)*100, 0)</f>
        <v>18.4086</v>
      </c>
      <c r="S29" s="4">
        <f>IF(  S92&gt;$E$2, SUMIFS(IF($G$2="CPR",'Grid Data'!$J$4:$J$2342,'Grid Data'!$K$4:$K$2342),'Grid Data'!$B$4:$B$2342,$D29,'Grid Data'!$C$4:$C$2342,S$4,'Grid Data'!$A$4:$A$2342,$D$2)*100, 0)</f>
        <v>0</v>
      </c>
      <c r="T29" s="4">
        <f>IF(  T92&gt;$E$2, SUMIFS(IF($G$2="CPR",'Grid Data'!$J$4:$J$2342,'Grid Data'!$K$4:$K$2342),'Grid Data'!$B$4:$B$2342,$D29,'Grid Data'!$C$4:$C$2342,T$4,'Grid Data'!$A$4:$A$2342,$D$2)*100, 0)</f>
        <v>0</v>
      </c>
      <c r="U29" s="4">
        <f>IF(  U92&gt;$E$2, SUMIFS(IF($G$2="CPR",'Grid Data'!$J$4:$J$2342,'Grid Data'!$K$4:$K$2342),'Grid Data'!$B$4:$B$2342,$D29,'Grid Data'!$C$4:$C$2342,U$4,'Grid Data'!$A$4:$A$2342,$D$2)*100, 0)</f>
        <v>0</v>
      </c>
      <c r="V29" s="4">
        <f>IF(  V92&gt;$E$2, SUMIFS(IF($G$2="CPR",'Grid Data'!$J$4:$J$2342,'Grid Data'!$K$4:$K$2342),'Grid Data'!$B$4:$B$2342,$D29,'Grid Data'!$C$4:$C$2342,V$4,'Grid Data'!$A$4:$A$2342,$D$2)*100, 0)</f>
        <v>0</v>
      </c>
      <c r="W29" s="4">
        <f>IF(  W92&gt;$E$2, SUMIFS(IF($G$2="CPR",'Grid Data'!$J$4:$J$2342,'Grid Data'!$K$4:$K$2342),'Grid Data'!$B$4:$B$2342,$D29,'Grid Data'!$C$4:$C$2342,W$4,'Grid Data'!$A$4:$A$2342,$D$2)*100, 0)</f>
        <v>0</v>
      </c>
      <c r="X29" s="4">
        <f>IF(  X92&gt;$E$2, SUMIFS(IF($G$2="CPR",'Grid Data'!$J$4:$J$2342,'Grid Data'!$K$4:$K$2342),'Grid Data'!$B$4:$B$2342,$D29,'Grid Data'!$C$4:$C$2342,X$4,'Grid Data'!$A$4:$A$2342,$D$2)*100, 0)</f>
        <v>0</v>
      </c>
      <c r="Y29" s="4">
        <f>IF(  Y92&gt;$E$2, SUMIFS(IF($G$2="CPR",'Grid Data'!$J$4:$J$2342,'Grid Data'!$K$4:$K$2342),'Grid Data'!$B$4:$B$2342,$D29,'Grid Data'!$C$4:$C$2342,Y$4,'Grid Data'!$A$4:$A$2342,$D$2)*100, 0)</f>
        <v>0</v>
      </c>
      <c r="Z29" s="4">
        <f>IF(  Z92&gt;$E$2, SUMIFS(IF($G$2="CPR",'Grid Data'!$J$4:$J$2342,'Grid Data'!$K$4:$K$2342),'Grid Data'!$B$4:$B$2342,$D29,'Grid Data'!$C$4:$C$2342,Z$4,'Grid Data'!$A$4:$A$2342,$D$2)*100, 0)</f>
        <v>0</v>
      </c>
      <c r="AA29" s="4">
        <f>IF(  AA92&gt;$E$2, SUMIFS(IF($G$2="CPR",'Grid Data'!$J$4:$J$2342,'Grid Data'!$K$4:$K$2342),'Grid Data'!$B$4:$B$2342,$D29,'Grid Data'!$C$4:$C$2342,AA$4,'Grid Data'!$A$4:$A$2342,$D$2)*100, 0)</f>
        <v>0</v>
      </c>
      <c r="AB29" s="4">
        <f>IF(  AB92&gt;$E$2, SUMIFS(IF($G$2="CPR",'Grid Data'!$J$4:$J$2342,'Grid Data'!$K$4:$K$2342),'Grid Data'!$B$4:$B$2342,$D29,'Grid Data'!$C$4:$C$2342,AB$4,'Grid Data'!$A$4:$A$2342,$D$2)*100, 0)</f>
        <v>0</v>
      </c>
      <c r="AC29" s="4">
        <f>IF(  AC92&gt;$E$2, SUMIFS(IF($G$2="CPR",'Grid Data'!$J$4:$J$2342,'Grid Data'!$K$4:$K$2342),'Grid Data'!$B$4:$B$2342,$D29,'Grid Data'!$C$4:$C$2342,AC$4,'Grid Data'!$A$4:$A$2342,$D$2)*100, 0)</f>
        <v>0</v>
      </c>
      <c r="AD29" s="4">
        <f>IF(  AD92&gt;$E$2, SUMIFS(IF($G$2="CPR",'Grid Data'!$J$4:$J$2342,'Grid Data'!$K$4:$K$2342),'Grid Data'!$B$4:$B$2342,$D29,'Grid Data'!$C$4:$C$2342,AD$4,'Grid Data'!$A$4:$A$2342,$D$2)*100, 0)</f>
        <v>0</v>
      </c>
      <c r="AE29" s="4">
        <f>IF(  AE92&gt;$E$2, SUMIFS(IF($G$2="CPR",'Grid Data'!$J$4:$J$2342,'Grid Data'!$K$4:$K$2342),'Grid Data'!$B$4:$B$2342,$D29,'Grid Data'!$C$4:$C$2342,AE$4,'Grid Data'!$A$4:$A$2342,$D$2)*100, 0)</f>
        <v>0</v>
      </c>
      <c r="AF29" s="4">
        <f>IF(  AF92&gt;$E$2, SUMIFS(IF($G$2="CPR",'Grid Data'!$J$4:$J$2342,'Grid Data'!$K$4:$K$2342),'Grid Data'!$B$4:$B$2342,$D29,'Grid Data'!$C$4:$C$2342,AF$4,'Grid Data'!$A$4:$A$2342,$D$2)*100, 0)</f>
        <v>0</v>
      </c>
      <c r="AG29" s="4">
        <f>IF(  AG92&gt;$E$2, SUMIFS(IF($G$2="CPR",'Grid Data'!$J$4:$J$2342,'Grid Data'!$K$4:$K$2342),'Grid Data'!$B$4:$B$2342,$D29,'Grid Data'!$C$4:$C$2342,AG$4,'Grid Data'!$A$4:$A$2342,$D$2)*100, 0)</f>
        <v>9.8559000000000001</v>
      </c>
      <c r="AH29" s="4">
        <f>IF(  AH92&gt;$E$2, SUMIFS(IF($G$2="CPR",'Grid Data'!$J$4:$J$2342,'Grid Data'!$K$4:$K$2342),'Grid Data'!$B$4:$B$2342,$D29,'Grid Data'!$C$4:$C$2342,AH$4,'Grid Data'!$A$4:$A$2342,$D$2)*100, 0)</f>
        <v>9.5950999999999986</v>
      </c>
    </row>
    <row r="30" spans="4:34" x14ac:dyDescent="0.35">
      <c r="D30">
        <v>8250</v>
      </c>
      <c r="E30" s="4">
        <f>IF(  E93&gt;$E$2, SUMIFS(IF($G$2="CPR",'Grid Data'!$J$4:$J$2342,'Grid Data'!$K$4:$K$2342),'Grid Data'!$B$4:$B$2342,$D30,'Grid Data'!$C$4:$C$2342,E$4,'Grid Data'!$A$4:$A$2342,$D$2)*100, 0)</f>
        <v>1.5238</v>
      </c>
      <c r="F30" s="4">
        <f>IF(  F93&gt;$E$2, SUMIFS(IF($G$2="CPR",'Grid Data'!$J$4:$J$2342,'Grid Data'!$K$4:$K$2342),'Grid Data'!$B$4:$B$2342,$D30,'Grid Data'!$C$4:$C$2342,F$4,'Grid Data'!$A$4:$A$2342,$D$2)*100, 0)</f>
        <v>35.684399999999997</v>
      </c>
      <c r="G30" s="4">
        <f>IF(  G93&gt;$E$2, SUMIFS(IF($G$2="CPR",'Grid Data'!$J$4:$J$2342,'Grid Data'!$K$4:$K$2342),'Grid Data'!$B$4:$B$2342,$D30,'Grid Data'!$C$4:$C$2342,G$4,'Grid Data'!$A$4:$A$2342,$D$2)*100, 0)</f>
        <v>0</v>
      </c>
      <c r="H30" s="4">
        <f>IF(  H93&gt;$E$2, SUMIFS(IF($G$2="CPR",'Grid Data'!$J$4:$J$2342,'Grid Data'!$K$4:$K$2342),'Grid Data'!$B$4:$B$2342,$D30,'Grid Data'!$C$4:$C$2342,H$4,'Grid Data'!$A$4:$A$2342,$D$2)*100, 0)</f>
        <v>0</v>
      </c>
      <c r="I30" s="4">
        <f>IF(  I93&gt;$E$2, SUMIFS(IF($G$2="CPR",'Grid Data'!$J$4:$J$2342,'Grid Data'!$K$4:$K$2342),'Grid Data'!$B$4:$B$2342,$D30,'Grid Data'!$C$4:$C$2342,I$4,'Grid Data'!$A$4:$A$2342,$D$2)*100, 0)</f>
        <v>0</v>
      </c>
      <c r="J30" s="4">
        <f>IF(  J93&gt;$E$2, SUMIFS(IF($G$2="CPR",'Grid Data'!$J$4:$J$2342,'Grid Data'!$K$4:$K$2342),'Grid Data'!$B$4:$B$2342,$D30,'Grid Data'!$C$4:$C$2342,J$4,'Grid Data'!$A$4:$A$2342,$D$2)*100, 0)</f>
        <v>20.1465</v>
      </c>
      <c r="K30" s="4">
        <f>IF(  K93&gt;$E$2, SUMIFS(IF($G$2="CPR",'Grid Data'!$J$4:$J$2342,'Grid Data'!$K$4:$K$2342),'Grid Data'!$B$4:$B$2342,$D30,'Grid Data'!$C$4:$C$2342,K$4,'Grid Data'!$A$4:$A$2342,$D$2)*100, 0)</f>
        <v>24.601700000000001</v>
      </c>
      <c r="L30" s="4">
        <f>IF(  L93&gt;$E$2, SUMIFS(IF($G$2="CPR",'Grid Data'!$J$4:$J$2342,'Grid Data'!$K$4:$K$2342),'Grid Data'!$B$4:$B$2342,$D30,'Grid Data'!$C$4:$C$2342,L$4,'Grid Data'!$A$4:$A$2342,$D$2)*100, 0)</f>
        <v>22.7562</v>
      </c>
      <c r="M30" s="4">
        <f>IF(  M93&gt;$E$2, SUMIFS(IF($G$2="CPR",'Grid Data'!$J$4:$J$2342,'Grid Data'!$K$4:$K$2342),'Grid Data'!$B$4:$B$2342,$D30,'Grid Data'!$C$4:$C$2342,M$4,'Grid Data'!$A$4:$A$2342,$D$2)*100, 0)</f>
        <v>23.719100000000001</v>
      </c>
      <c r="N30" s="4">
        <f>IF(  N93&gt;$E$2, SUMIFS(IF($G$2="CPR",'Grid Data'!$J$4:$J$2342,'Grid Data'!$K$4:$K$2342),'Grid Data'!$B$4:$B$2342,$D30,'Grid Data'!$C$4:$C$2342,N$4,'Grid Data'!$A$4:$A$2342,$D$2)*100, 0)</f>
        <v>25.1174</v>
      </c>
      <c r="O30" s="4">
        <f>IF(  O93&gt;$E$2, SUMIFS(IF($G$2="CPR",'Grid Data'!$J$4:$J$2342,'Grid Data'!$K$4:$K$2342),'Grid Data'!$B$4:$B$2342,$D30,'Grid Data'!$C$4:$C$2342,O$4,'Grid Data'!$A$4:$A$2342,$D$2)*100, 0)</f>
        <v>28.2713</v>
      </c>
      <c r="P30" s="4">
        <f>IF(  P93&gt;$E$2, SUMIFS(IF($G$2="CPR",'Grid Data'!$J$4:$J$2342,'Grid Data'!$K$4:$K$2342),'Grid Data'!$B$4:$B$2342,$D30,'Grid Data'!$C$4:$C$2342,P$4,'Grid Data'!$A$4:$A$2342,$D$2)*100, 0)</f>
        <v>30.102</v>
      </c>
      <c r="Q30" s="4">
        <f>IF(  Q93&gt;$E$2, SUMIFS(IF($G$2="CPR",'Grid Data'!$J$4:$J$2342,'Grid Data'!$K$4:$K$2342),'Grid Data'!$B$4:$B$2342,$D30,'Grid Data'!$C$4:$C$2342,Q$4,'Grid Data'!$A$4:$A$2342,$D$2)*100, 0)</f>
        <v>23.1844</v>
      </c>
      <c r="R30" s="4">
        <f>IF(  R93&gt;$E$2, SUMIFS(IF($G$2="CPR",'Grid Data'!$J$4:$J$2342,'Grid Data'!$K$4:$K$2342),'Grid Data'!$B$4:$B$2342,$D30,'Grid Data'!$C$4:$C$2342,R$4,'Grid Data'!$A$4:$A$2342,$D$2)*100, 0)</f>
        <v>0</v>
      </c>
      <c r="S30" s="4">
        <f>IF(  S93&gt;$E$2, SUMIFS(IF($G$2="CPR",'Grid Data'!$J$4:$J$2342,'Grid Data'!$K$4:$K$2342),'Grid Data'!$B$4:$B$2342,$D30,'Grid Data'!$C$4:$C$2342,S$4,'Grid Data'!$A$4:$A$2342,$D$2)*100, 0)</f>
        <v>0</v>
      </c>
      <c r="T30" s="4">
        <f>IF(  T93&gt;$E$2, SUMIFS(IF($G$2="CPR",'Grid Data'!$J$4:$J$2342,'Grid Data'!$K$4:$K$2342),'Grid Data'!$B$4:$B$2342,$D30,'Grid Data'!$C$4:$C$2342,T$4,'Grid Data'!$A$4:$A$2342,$D$2)*100, 0)</f>
        <v>0</v>
      </c>
      <c r="U30" s="4">
        <f>IF(  U93&gt;$E$2, SUMIFS(IF($G$2="CPR",'Grid Data'!$J$4:$J$2342,'Grid Data'!$K$4:$K$2342),'Grid Data'!$B$4:$B$2342,$D30,'Grid Data'!$C$4:$C$2342,U$4,'Grid Data'!$A$4:$A$2342,$D$2)*100, 0)</f>
        <v>0</v>
      </c>
      <c r="V30" s="4">
        <f>IF(  V93&gt;$E$2, SUMIFS(IF($G$2="CPR",'Grid Data'!$J$4:$J$2342,'Grid Data'!$K$4:$K$2342),'Grid Data'!$B$4:$B$2342,$D30,'Grid Data'!$C$4:$C$2342,V$4,'Grid Data'!$A$4:$A$2342,$D$2)*100, 0)</f>
        <v>0</v>
      </c>
      <c r="W30" s="4">
        <f>IF(  W93&gt;$E$2, SUMIFS(IF($G$2="CPR",'Grid Data'!$J$4:$J$2342,'Grid Data'!$K$4:$K$2342),'Grid Data'!$B$4:$B$2342,$D30,'Grid Data'!$C$4:$C$2342,W$4,'Grid Data'!$A$4:$A$2342,$D$2)*100, 0)</f>
        <v>0</v>
      </c>
      <c r="X30" s="4">
        <f>IF(  X93&gt;$E$2, SUMIFS(IF($G$2="CPR",'Grid Data'!$J$4:$J$2342,'Grid Data'!$K$4:$K$2342),'Grid Data'!$B$4:$B$2342,$D30,'Grid Data'!$C$4:$C$2342,X$4,'Grid Data'!$A$4:$A$2342,$D$2)*100, 0)</f>
        <v>0</v>
      </c>
      <c r="Y30" s="4">
        <f>IF(  Y93&gt;$E$2, SUMIFS(IF($G$2="CPR",'Grid Data'!$J$4:$J$2342,'Grid Data'!$K$4:$K$2342),'Grid Data'!$B$4:$B$2342,$D30,'Grid Data'!$C$4:$C$2342,Y$4,'Grid Data'!$A$4:$A$2342,$D$2)*100, 0)</f>
        <v>0</v>
      </c>
      <c r="Z30" s="4">
        <f>IF(  Z93&gt;$E$2, SUMIFS(IF($G$2="CPR",'Grid Data'!$J$4:$J$2342,'Grid Data'!$K$4:$K$2342),'Grid Data'!$B$4:$B$2342,$D30,'Grid Data'!$C$4:$C$2342,Z$4,'Grid Data'!$A$4:$A$2342,$D$2)*100, 0)</f>
        <v>0</v>
      </c>
      <c r="AA30" s="4">
        <f>IF(  AA93&gt;$E$2, SUMIFS(IF($G$2="CPR",'Grid Data'!$J$4:$J$2342,'Grid Data'!$K$4:$K$2342),'Grid Data'!$B$4:$B$2342,$D30,'Grid Data'!$C$4:$C$2342,AA$4,'Grid Data'!$A$4:$A$2342,$D$2)*100, 0)</f>
        <v>0</v>
      </c>
      <c r="AB30" s="4">
        <f>IF(  AB93&gt;$E$2, SUMIFS(IF($G$2="CPR",'Grid Data'!$J$4:$J$2342,'Grid Data'!$K$4:$K$2342),'Grid Data'!$B$4:$B$2342,$D30,'Grid Data'!$C$4:$C$2342,AB$4,'Grid Data'!$A$4:$A$2342,$D$2)*100, 0)</f>
        <v>0</v>
      </c>
      <c r="AC30" s="4">
        <f>IF(  AC93&gt;$E$2, SUMIFS(IF($G$2="CPR",'Grid Data'!$J$4:$J$2342,'Grid Data'!$K$4:$K$2342),'Grid Data'!$B$4:$B$2342,$D30,'Grid Data'!$C$4:$C$2342,AC$4,'Grid Data'!$A$4:$A$2342,$D$2)*100, 0)</f>
        <v>0</v>
      </c>
      <c r="AD30" s="4">
        <f>IF(  AD93&gt;$E$2, SUMIFS(IF($G$2="CPR",'Grid Data'!$J$4:$J$2342,'Grid Data'!$K$4:$K$2342),'Grid Data'!$B$4:$B$2342,$D30,'Grid Data'!$C$4:$C$2342,AD$4,'Grid Data'!$A$4:$A$2342,$D$2)*100, 0)</f>
        <v>0</v>
      </c>
      <c r="AE30" s="4">
        <f>IF(  AE93&gt;$E$2, SUMIFS(IF($G$2="CPR",'Grid Data'!$J$4:$J$2342,'Grid Data'!$K$4:$K$2342),'Grid Data'!$B$4:$B$2342,$D30,'Grid Data'!$C$4:$C$2342,AE$4,'Grid Data'!$A$4:$A$2342,$D$2)*100, 0)</f>
        <v>0</v>
      </c>
      <c r="AF30" s="4">
        <f>IF(  AF93&gt;$E$2, SUMIFS(IF($G$2="CPR",'Grid Data'!$J$4:$J$2342,'Grid Data'!$K$4:$K$2342),'Grid Data'!$B$4:$B$2342,$D30,'Grid Data'!$C$4:$C$2342,AF$4,'Grid Data'!$A$4:$A$2342,$D$2)*100, 0)</f>
        <v>0</v>
      </c>
      <c r="AG30" s="4">
        <f>IF(  AG93&gt;$E$2, SUMIFS(IF($G$2="CPR",'Grid Data'!$J$4:$J$2342,'Grid Data'!$K$4:$K$2342),'Grid Data'!$B$4:$B$2342,$D30,'Grid Data'!$C$4:$C$2342,AG$4,'Grid Data'!$A$4:$A$2342,$D$2)*100, 0)</f>
        <v>9.8694000000000006</v>
      </c>
      <c r="AH30" s="4">
        <f>IF(  AH93&gt;$E$2, SUMIFS(IF($G$2="CPR",'Grid Data'!$J$4:$J$2342,'Grid Data'!$K$4:$K$2342),'Grid Data'!$B$4:$B$2342,$D30,'Grid Data'!$C$4:$C$2342,AH$4,'Grid Data'!$A$4:$A$2342,$D$2)*100, 0)</f>
        <v>9.5417000000000005</v>
      </c>
    </row>
    <row r="31" spans="4:34" x14ac:dyDescent="0.35">
      <c r="D31">
        <v>8500</v>
      </c>
      <c r="E31" s="4">
        <f>IF(  E94&gt;$E$2, SUMIFS(IF($G$2="CPR",'Grid Data'!$J$4:$J$2342,'Grid Data'!$K$4:$K$2342),'Grid Data'!$B$4:$B$2342,$D31,'Grid Data'!$C$4:$C$2342,E$4,'Grid Data'!$A$4:$A$2342,$D$2)*100, 0)</f>
        <v>0</v>
      </c>
      <c r="F31" s="4">
        <f>IF(  F94&gt;$E$2, SUMIFS(IF($G$2="CPR",'Grid Data'!$J$4:$J$2342,'Grid Data'!$K$4:$K$2342),'Grid Data'!$B$4:$B$2342,$D31,'Grid Data'!$C$4:$C$2342,F$4,'Grid Data'!$A$4:$A$2342,$D$2)*100, 0)</f>
        <v>0</v>
      </c>
      <c r="G31" s="4">
        <f>IF(  G94&gt;$E$2, SUMIFS(IF($G$2="CPR",'Grid Data'!$J$4:$J$2342,'Grid Data'!$K$4:$K$2342),'Grid Data'!$B$4:$B$2342,$D31,'Grid Data'!$C$4:$C$2342,G$4,'Grid Data'!$A$4:$A$2342,$D$2)*100, 0)</f>
        <v>0</v>
      </c>
      <c r="H31" s="4">
        <f>IF(  H94&gt;$E$2, SUMIFS(IF($G$2="CPR",'Grid Data'!$J$4:$J$2342,'Grid Data'!$K$4:$K$2342),'Grid Data'!$B$4:$B$2342,$D31,'Grid Data'!$C$4:$C$2342,H$4,'Grid Data'!$A$4:$A$2342,$D$2)*100, 0)</f>
        <v>0</v>
      </c>
      <c r="I31" s="4">
        <f>IF(  I94&gt;$E$2, SUMIFS(IF($G$2="CPR",'Grid Data'!$J$4:$J$2342,'Grid Data'!$K$4:$K$2342),'Grid Data'!$B$4:$B$2342,$D31,'Grid Data'!$C$4:$C$2342,I$4,'Grid Data'!$A$4:$A$2342,$D$2)*100, 0)</f>
        <v>0</v>
      </c>
      <c r="J31" s="4">
        <f>IF(  J94&gt;$E$2, SUMIFS(IF($G$2="CPR",'Grid Data'!$J$4:$J$2342,'Grid Data'!$K$4:$K$2342),'Grid Data'!$B$4:$B$2342,$D31,'Grid Data'!$C$4:$C$2342,J$4,'Grid Data'!$A$4:$A$2342,$D$2)*100, 0)</f>
        <v>0</v>
      </c>
      <c r="K31" s="4">
        <f>IF(  K94&gt;$E$2, SUMIFS(IF($G$2="CPR",'Grid Data'!$J$4:$J$2342,'Grid Data'!$K$4:$K$2342),'Grid Data'!$B$4:$B$2342,$D31,'Grid Data'!$C$4:$C$2342,K$4,'Grid Data'!$A$4:$A$2342,$D$2)*100, 0)</f>
        <v>0</v>
      </c>
      <c r="L31" s="4">
        <f>IF(  L94&gt;$E$2, SUMIFS(IF($G$2="CPR",'Grid Data'!$J$4:$J$2342,'Grid Data'!$K$4:$K$2342),'Grid Data'!$B$4:$B$2342,$D31,'Grid Data'!$C$4:$C$2342,L$4,'Grid Data'!$A$4:$A$2342,$D$2)*100, 0)</f>
        <v>0</v>
      </c>
      <c r="M31" s="4">
        <f>IF(  M94&gt;$E$2, SUMIFS(IF($G$2="CPR",'Grid Data'!$J$4:$J$2342,'Grid Data'!$K$4:$K$2342),'Grid Data'!$B$4:$B$2342,$D31,'Grid Data'!$C$4:$C$2342,M$4,'Grid Data'!$A$4:$A$2342,$D$2)*100, 0)</f>
        <v>0</v>
      </c>
      <c r="N31" s="4">
        <f>IF(  N94&gt;$E$2, SUMIFS(IF($G$2="CPR",'Grid Data'!$J$4:$J$2342,'Grid Data'!$K$4:$K$2342),'Grid Data'!$B$4:$B$2342,$D31,'Grid Data'!$C$4:$C$2342,N$4,'Grid Data'!$A$4:$A$2342,$D$2)*100, 0)</f>
        <v>0</v>
      </c>
      <c r="O31" s="4">
        <f>IF(  O94&gt;$E$2, SUMIFS(IF($G$2="CPR",'Grid Data'!$J$4:$J$2342,'Grid Data'!$K$4:$K$2342),'Grid Data'!$B$4:$B$2342,$D31,'Grid Data'!$C$4:$C$2342,O$4,'Grid Data'!$A$4:$A$2342,$D$2)*100, 0)</f>
        <v>0</v>
      </c>
      <c r="P31" s="4">
        <f>IF(  P94&gt;$E$2, SUMIFS(IF($G$2="CPR",'Grid Data'!$J$4:$J$2342,'Grid Data'!$K$4:$K$2342),'Grid Data'!$B$4:$B$2342,$D31,'Grid Data'!$C$4:$C$2342,P$4,'Grid Data'!$A$4:$A$2342,$D$2)*100, 0)</f>
        <v>22.026799999999998</v>
      </c>
      <c r="Q31" s="4">
        <f>IF(  Q94&gt;$E$2, SUMIFS(IF($G$2="CPR",'Grid Data'!$J$4:$J$2342,'Grid Data'!$K$4:$K$2342),'Grid Data'!$B$4:$B$2342,$D31,'Grid Data'!$C$4:$C$2342,Q$4,'Grid Data'!$A$4:$A$2342,$D$2)*100, 0)</f>
        <v>18.228000000000002</v>
      </c>
      <c r="R31" s="4">
        <f>IF(  R94&gt;$E$2, SUMIFS(IF($G$2="CPR",'Grid Data'!$J$4:$J$2342,'Grid Data'!$K$4:$K$2342),'Grid Data'!$B$4:$B$2342,$D31,'Grid Data'!$C$4:$C$2342,R$4,'Grid Data'!$A$4:$A$2342,$D$2)*100, 0)</f>
        <v>0</v>
      </c>
      <c r="S31" s="4">
        <f>IF(  S94&gt;$E$2, SUMIFS(IF($G$2="CPR",'Grid Data'!$J$4:$J$2342,'Grid Data'!$K$4:$K$2342),'Grid Data'!$B$4:$B$2342,$D31,'Grid Data'!$C$4:$C$2342,S$4,'Grid Data'!$A$4:$A$2342,$D$2)*100, 0)</f>
        <v>0</v>
      </c>
      <c r="T31" s="4">
        <f>IF(  T94&gt;$E$2, SUMIFS(IF($G$2="CPR",'Grid Data'!$J$4:$J$2342,'Grid Data'!$K$4:$K$2342),'Grid Data'!$B$4:$B$2342,$D31,'Grid Data'!$C$4:$C$2342,T$4,'Grid Data'!$A$4:$A$2342,$D$2)*100, 0)</f>
        <v>0</v>
      </c>
      <c r="U31" s="4">
        <f>IF(  U94&gt;$E$2, SUMIFS(IF($G$2="CPR",'Grid Data'!$J$4:$J$2342,'Grid Data'!$K$4:$K$2342),'Grid Data'!$B$4:$B$2342,$D31,'Grid Data'!$C$4:$C$2342,U$4,'Grid Data'!$A$4:$A$2342,$D$2)*100, 0)</f>
        <v>0</v>
      </c>
      <c r="V31" s="4">
        <f>IF(  V94&gt;$E$2, SUMIFS(IF($G$2="CPR",'Grid Data'!$J$4:$J$2342,'Grid Data'!$K$4:$K$2342),'Grid Data'!$B$4:$B$2342,$D31,'Grid Data'!$C$4:$C$2342,V$4,'Grid Data'!$A$4:$A$2342,$D$2)*100, 0)</f>
        <v>0</v>
      </c>
      <c r="W31" s="4">
        <f>IF(  W94&gt;$E$2, SUMIFS(IF($G$2="CPR",'Grid Data'!$J$4:$J$2342,'Grid Data'!$K$4:$K$2342),'Grid Data'!$B$4:$B$2342,$D31,'Grid Data'!$C$4:$C$2342,W$4,'Grid Data'!$A$4:$A$2342,$D$2)*100, 0)</f>
        <v>0</v>
      </c>
      <c r="X31" s="4">
        <f>IF(  X94&gt;$E$2, SUMIFS(IF($G$2="CPR",'Grid Data'!$J$4:$J$2342,'Grid Data'!$K$4:$K$2342),'Grid Data'!$B$4:$B$2342,$D31,'Grid Data'!$C$4:$C$2342,X$4,'Grid Data'!$A$4:$A$2342,$D$2)*100, 0)</f>
        <v>0</v>
      </c>
      <c r="Y31" s="4">
        <f>IF(  Y94&gt;$E$2, SUMIFS(IF($G$2="CPR",'Grid Data'!$J$4:$J$2342,'Grid Data'!$K$4:$K$2342),'Grid Data'!$B$4:$B$2342,$D31,'Grid Data'!$C$4:$C$2342,Y$4,'Grid Data'!$A$4:$A$2342,$D$2)*100, 0)</f>
        <v>0</v>
      </c>
      <c r="Z31" s="4">
        <f>IF(  Z94&gt;$E$2, SUMIFS(IF($G$2="CPR",'Grid Data'!$J$4:$J$2342,'Grid Data'!$K$4:$K$2342),'Grid Data'!$B$4:$B$2342,$D31,'Grid Data'!$C$4:$C$2342,Z$4,'Grid Data'!$A$4:$A$2342,$D$2)*100, 0)</f>
        <v>0</v>
      </c>
      <c r="AA31" s="4">
        <f>IF(  AA94&gt;$E$2, SUMIFS(IF($G$2="CPR",'Grid Data'!$J$4:$J$2342,'Grid Data'!$K$4:$K$2342),'Grid Data'!$B$4:$B$2342,$D31,'Grid Data'!$C$4:$C$2342,AA$4,'Grid Data'!$A$4:$A$2342,$D$2)*100, 0)</f>
        <v>0</v>
      </c>
      <c r="AB31" s="4">
        <f>IF(  AB94&gt;$E$2, SUMIFS(IF($G$2="CPR",'Grid Data'!$J$4:$J$2342,'Grid Data'!$K$4:$K$2342),'Grid Data'!$B$4:$B$2342,$D31,'Grid Data'!$C$4:$C$2342,AB$4,'Grid Data'!$A$4:$A$2342,$D$2)*100, 0)</f>
        <v>0</v>
      </c>
      <c r="AC31" s="4">
        <f>IF(  AC94&gt;$E$2, SUMIFS(IF($G$2="CPR",'Grid Data'!$J$4:$J$2342,'Grid Data'!$K$4:$K$2342),'Grid Data'!$B$4:$B$2342,$D31,'Grid Data'!$C$4:$C$2342,AC$4,'Grid Data'!$A$4:$A$2342,$D$2)*100, 0)</f>
        <v>0</v>
      </c>
      <c r="AD31" s="4">
        <f>IF(  AD94&gt;$E$2, SUMIFS(IF($G$2="CPR",'Grid Data'!$J$4:$J$2342,'Grid Data'!$K$4:$K$2342),'Grid Data'!$B$4:$B$2342,$D31,'Grid Data'!$C$4:$C$2342,AD$4,'Grid Data'!$A$4:$A$2342,$D$2)*100, 0)</f>
        <v>0</v>
      </c>
      <c r="AE31" s="4">
        <f>IF(  AE94&gt;$E$2, SUMIFS(IF($G$2="CPR",'Grid Data'!$J$4:$J$2342,'Grid Data'!$K$4:$K$2342),'Grid Data'!$B$4:$B$2342,$D31,'Grid Data'!$C$4:$C$2342,AE$4,'Grid Data'!$A$4:$A$2342,$D$2)*100, 0)</f>
        <v>0</v>
      </c>
      <c r="AF31" s="4">
        <f>IF(  AF94&gt;$E$2, SUMIFS(IF($G$2="CPR",'Grid Data'!$J$4:$J$2342,'Grid Data'!$K$4:$K$2342),'Grid Data'!$B$4:$B$2342,$D31,'Grid Data'!$C$4:$C$2342,AF$4,'Grid Data'!$A$4:$A$2342,$D$2)*100, 0)</f>
        <v>0</v>
      </c>
      <c r="AG31" s="4">
        <f>IF(  AG94&gt;$E$2, SUMIFS(IF($G$2="CPR",'Grid Data'!$J$4:$J$2342,'Grid Data'!$K$4:$K$2342),'Grid Data'!$B$4:$B$2342,$D31,'Grid Data'!$C$4:$C$2342,AG$4,'Grid Data'!$A$4:$A$2342,$D$2)*100, 0)</f>
        <v>9.9425000000000008</v>
      </c>
      <c r="AH31" s="4">
        <f>IF(  AH94&gt;$E$2, SUMIFS(IF($G$2="CPR",'Grid Data'!$J$4:$J$2342,'Grid Data'!$K$4:$K$2342),'Grid Data'!$B$4:$B$2342,$D31,'Grid Data'!$C$4:$C$2342,AH$4,'Grid Data'!$A$4:$A$2342,$D$2)*100, 0)</f>
        <v>9.4094999999999995</v>
      </c>
    </row>
    <row r="32" spans="4:34" x14ac:dyDescent="0.35">
      <c r="D32">
        <v>9000</v>
      </c>
      <c r="E32" s="4">
        <f>IF(  E95&gt;$E$2, SUMIFS(IF($G$2="CPR",'Grid Data'!$J$4:$J$2342,'Grid Data'!$K$4:$K$2342),'Grid Data'!$B$4:$B$2342,$D32,'Grid Data'!$C$4:$C$2342,E$4,'Grid Data'!$A$4:$A$2342,$D$2)*100, 0)</f>
        <v>0</v>
      </c>
      <c r="F32" s="4">
        <f>IF(  F95&gt;$E$2, SUMIFS(IF($G$2="CPR",'Grid Data'!$J$4:$J$2342,'Grid Data'!$K$4:$K$2342),'Grid Data'!$B$4:$B$2342,$D32,'Grid Data'!$C$4:$C$2342,F$4,'Grid Data'!$A$4:$A$2342,$D$2)*100, 0)</f>
        <v>0</v>
      </c>
      <c r="G32" s="4">
        <f>IF(  G95&gt;$E$2, SUMIFS(IF($G$2="CPR",'Grid Data'!$J$4:$J$2342,'Grid Data'!$K$4:$K$2342),'Grid Data'!$B$4:$B$2342,$D32,'Grid Data'!$C$4:$C$2342,G$4,'Grid Data'!$A$4:$A$2342,$D$2)*100, 0)</f>
        <v>0</v>
      </c>
      <c r="H32" s="4">
        <f>IF(  H95&gt;$E$2, SUMIFS(IF($G$2="CPR",'Grid Data'!$J$4:$J$2342,'Grid Data'!$K$4:$K$2342),'Grid Data'!$B$4:$B$2342,$D32,'Grid Data'!$C$4:$C$2342,H$4,'Grid Data'!$A$4:$A$2342,$D$2)*100, 0)</f>
        <v>0</v>
      </c>
      <c r="I32" s="4">
        <f>IF(  I95&gt;$E$2, SUMIFS(IF($G$2="CPR",'Grid Data'!$J$4:$J$2342,'Grid Data'!$K$4:$K$2342),'Grid Data'!$B$4:$B$2342,$D32,'Grid Data'!$C$4:$C$2342,I$4,'Grid Data'!$A$4:$A$2342,$D$2)*100, 0)</f>
        <v>0</v>
      </c>
      <c r="J32" s="4">
        <f>IF(  J95&gt;$E$2, SUMIFS(IF($G$2="CPR",'Grid Data'!$J$4:$J$2342,'Grid Data'!$K$4:$K$2342),'Grid Data'!$B$4:$B$2342,$D32,'Grid Data'!$C$4:$C$2342,J$4,'Grid Data'!$A$4:$A$2342,$D$2)*100, 0)</f>
        <v>0</v>
      </c>
      <c r="K32" s="4">
        <f>IF(  K95&gt;$E$2, SUMIFS(IF($G$2="CPR",'Grid Data'!$J$4:$J$2342,'Grid Data'!$K$4:$K$2342),'Grid Data'!$B$4:$B$2342,$D32,'Grid Data'!$C$4:$C$2342,K$4,'Grid Data'!$A$4:$A$2342,$D$2)*100, 0)</f>
        <v>0</v>
      </c>
      <c r="L32" s="4">
        <f>IF(  L95&gt;$E$2, SUMIFS(IF($G$2="CPR",'Grid Data'!$J$4:$J$2342,'Grid Data'!$K$4:$K$2342),'Grid Data'!$B$4:$B$2342,$D32,'Grid Data'!$C$4:$C$2342,L$4,'Grid Data'!$A$4:$A$2342,$D$2)*100, 0)</f>
        <v>0</v>
      </c>
      <c r="M32" s="4">
        <f>IF(  M95&gt;$E$2, SUMIFS(IF($G$2="CPR",'Grid Data'!$J$4:$J$2342,'Grid Data'!$K$4:$K$2342),'Grid Data'!$B$4:$B$2342,$D32,'Grid Data'!$C$4:$C$2342,M$4,'Grid Data'!$A$4:$A$2342,$D$2)*100, 0)</f>
        <v>0</v>
      </c>
      <c r="N32" s="4">
        <f>IF(  N95&gt;$E$2, SUMIFS(IF($G$2="CPR",'Grid Data'!$J$4:$J$2342,'Grid Data'!$K$4:$K$2342),'Grid Data'!$B$4:$B$2342,$D32,'Grid Data'!$C$4:$C$2342,N$4,'Grid Data'!$A$4:$A$2342,$D$2)*100, 0)</f>
        <v>0</v>
      </c>
      <c r="O32" s="4">
        <f>IF(  O95&gt;$E$2, SUMIFS(IF($G$2="CPR",'Grid Data'!$J$4:$J$2342,'Grid Data'!$K$4:$K$2342),'Grid Data'!$B$4:$B$2342,$D32,'Grid Data'!$C$4:$C$2342,O$4,'Grid Data'!$A$4:$A$2342,$D$2)*100, 0)</f>
        <v>0</v>
      </c>
      <c r="P32" s="4">
        <f>IF(  P95&gt;$E$2, SUMIFS(IF($G$2="CPR",'Grid Data'!$J$4:$J$2342,'Grid Data'!$K$4:$K$2342),'Grid Data'!$B$4:$B$2342,$D32,'Grid Data'!$C$4:$C$2342,P$4,'Grid Data'!$A$4:$A$2342,$D$2)*100, 0)</f>
        <v>25.108900000000002</v>
      </c>
      <c r="Q32" s="4">
        <f>IF(  Q95&gt;$E$2, SUMIFS(IF($G$2="CPR",'Grid Data'!$J$4:$J$2342,'Grid Data'!$K$4:$K$2342),'Grid Data'!$B$4:$B$2342,$D32,'Grid Data'!$C$4:$C$2342,Q$4,'Grid Data'!$A$4:$A$2342,$D$2)*100, 0)</f>
        <v>15.3438</v>
      </c>
      <c r="R32" s="4">
        <f>IF(  R95&gt;$E$2, SUMIFS(IF($G$2="CPR",'Grid Data'!$J$4:$J$2342,'Grid Data'!$K$4:$K$2342),'Grid Data'!$B$4:$B$2342,$D32,'Grid Data'!$C$4:$C$2342,R$4,'Grid Data'!$A$4:$A$2342,$D$2)*100, 0)</f>
        <v>0</v>
      </c>
      <c r="S32" s="4">
        <f>IF(  S95&gt;$E$2, SUMIFS(IF($G$2="CPR",'Grid Data'!$J$4:$J$2342,'Grid Data'!$K$4:$K$2342),'Grid Data'!$B$4:$B$2342,$D32,'Grid Data'!$C$4:$C$2342,S$4,'Grid Data'!$A$4:$A$2342,$D$2)*100, 0)</f>
        <v>0</v>
      </c>
      <c r="T32" s="4">
        <f>IF(  T95&gt;$E$2, SUMIFS(IF($G$2="CPR",'Grid Data'!$J$4:$J$2342,'Grid Data'!$K$4:$K$2342),'Grid Data'!$B$4:$B$2342,$D32,'Grid Data'!$C$4:$C$2342,T$4,'Grid Data'!$A$4:$A$2342,$D$2)*100, 0)</f>
        <v>0</v>
      </c>
      <c r="U32" s="4">
        <f>IF(  U95&gt;$E$2, SUMIFS(IF($G$2="CPR",'Grid Data'!$J$4:$J$2342,'Grid Data'!$K$4:$K$2342),'Grid Data'!$B$4:$B$2342,$D32,'Grid Data'!$C$4:$C$2342,U$4,'Grid Data'!$A$4:$A$2342,$D$2)*100, 0)</f>
        <v>0</v>
      </c>
      <c r="V32" s="4">
        <f>IF(  V95&gt;$E$2, SUMIFS(IF($G$2="CPR",'Grid Data'!$J$4:$J$2342,'Grid Data'!$K$4:$K$2342),'Grid Data'!$B$4:$B$2342,$D32,'Grid Data'!$C$4:$C$2342,V$4,'Grid Data'!$A$4:$A$2342,$D$2)*100, 0)</f>
        <v>0</v>
      </c>
      <c r="W32" s="4">
        <f>IF(  W95&gt;$E$2, SUMIFS(IF($G$2="CPR",'Grid Data'!$J$4:$J$2342,'Grid Data'!$K$4:$K$2342),'Grid Data'!$B$4:$B$2342,$D32,'Grid Data'!$C$4:$C$2342,W$4,'Grid Data'!$A$4:$A$2342,$D$2)*100, 0)</f>
        <v>0</v>
      </c>
      <c r="X32" s="4">
        <f>IF(  X95&gt;$E$2, SUMIFS(IF($G$2="CPR",'Grid Data'!$J$4:$J$2342,'Grid Data'!$K$4:$K$2342),'Grid Data'!$B$4:$B$2342,$D32,'Grid Data'!$C$4:$C$2342,X$4,'Grid Data'!$A$4:$A$2342,$D$2)*100, 0)</f>
        <v>0</v>
      </c>
      <c r="Y32" s="4">
        <f>IF(  Y95&gt;$E$2, SUMIFS(IF($G$2="CPR",'Grid Data'!$J$4:$J$2342,'Grid Data'!$K$4:$K$2342),'Grid Data'!$B$4:$B$2342,$D32,'Grid Data'!$C$4:$C$2342,Y$4,'Grid Data'!$A$4:$A$2342,$D$2)*100, 0)</f>
        <v>0</v>
      </c>
      <c r="Z32" s="4">
        <f>IF(  Z95&gt;$E$2, SUMIFS(IF($G$2="CPR",'Grid Data'!$J$4:$J$2342,'Grid Data'!$K$4:$K$2342),'Grid Data'!$B$4:$B$2342,$D32,'Grid Data'!$C$4:$C$2342,Z$4,'Grid Data'!$A$4:$A$2342,$D$2)*100, 0)</f>
        <v>0</v>
      </c>
      <c r="AA32" s="4">
        <f>IF(  AA95&gt;$E$2, SUMIFS(IF($G$2="CPR",'Grid Data'!$J$4:$J$2342,'Grid Data'!$K$4:$K$2342),'Grid Data'!$B$4:$B$2342,$D32,'Grid Data'!$C$4:$C$2342,AA$4,'Grid Data'!$A$4:$A$2342,$D$2)*100, 0)</f>
        <v>0</v>
      </c>
      <c r="AB32" s="4">
        <f>IF(  AB95&gt;$E$2, SUMIFS(IF($G$2="CPR",'Grid Data'!$J$4:$J$2342,'Grid Data'!$K$4:$K$2342),'Grid Data'!$B$4:$B$2342,$D32,'Grid Data'!$C$4:$C$2342,AB$4,'Grid Data'!$A$4:$A$2342,$D$2)*100, 0)</f>
        <v>0</v>
      </c>
      <c r="AC32" s="4">
        <f>IF(  AC95&gt;$E$2, SUMIFS(IF($G$2="CPR",'Grid Data'!$J$4:$J$2342,'Grid Data'!$K$4:$K$2342),'Grid Data'!$B$4:$B$2342,$D32,'Grid Data'!$C$4:$C$2342,AC$4,'Grid Data'!$A$4:$A$2342,$D$2)*100, 0)</f>
        <v>0</v>
      </c>
      <c r="AD32" s="4">
        <f>IF(  AD95&gt;$E$2, SUMIFS(IF($G$2="CPR",'Grid Data'!$J$4:$J$2342,'Grid Data'!$K$4:$K$2342),'Grid Data'!$B$4:$B$2342,$D32,'Grid Data'!$C$4:$C$2342,AD$4,'Grid Data'!$A$4:$A$2342,$D$2)*100, 0)</f>
        <v>0</v>
      </c>
      <c r="AE32" s="4">
        <f>IF(  AE95&gt;$E$2, SUMIFS(IF($G$2="CPR",'Grid Data'!$J$4:$J$2342,'Grid Data'!$K$4:$K$2342),'Grid Data'!$B$4:$B$2342,$D32,'Grid Data'!$C$4:$C$2342,AE$4,'Grid Data'!$A$4:$A$2342,$D$2)*100, 0)</f>
        <v>0</v>
      </c>
      <c r="AF32" s="4">
        <f>IF(  AF95&gt;$E$2, SUMIFS(IF($G$2="CPR",'Grid Data'!$J$4:$J$2342,'Grid Data'!$K$4:$K$2342),'Grid Data'!$B$4:$B$2342,$D32,'Grid Data'!$C$4:$C$2342,AF$4,'Grid Data'!$A$4:$A$2342,$D$2)*100, 0)</f>
        <v>0</v>
      </c>
      <c r="AG32" s="4">
        <f>IF(  AG95&gt;$E$2, SUMIFS(IF($G$2="CPR",'Grid Data'!$J$4:$J$2342,'Grid Data'!$K$4:$K$2342),'Grid Data'!$B$4:$B$2342,$D32,'Grid Data'!$C$4:$C$2342,AG$4,'Grid Data'!$A$4:$A$2342,$D$2)*100, 0)</f>
        <v>9.8586999999999989</v>
      </c>
      <c r="AH32" s="4">
        <f>IF(  AH95&gt;$E$2, SUMIFS(IF($G$2="CPR",'Grid Data'!$J$4:$J$2342,'Grid Data'!$K$4:$K$2342),'Grid Data'!$B$4:$B$2342,$D32,'Grid Data'!$C$4:$C$2342,AH$4,'Grid Data'!$A$4:$A$2342,$D$2)*100, 0)</f>
        <v>9.3451000000000004</v>
      </c>
    </row>
    <row r="33" spans="3:34" x14ac:dyDescent="0.35">
      <c r="D33">
        <v>20000</v>
      </c>
      <c r="E33" s="4">
        <f>IF(  E96&gt;$E$2, SUMIFS(IF($G$2="CPR",'Grid Data'!$J$4:$J$2342,'Grid Data'!$K$4:$K$2342),'Grid Data'!$B$4:$B$2342,$D33,'Grid Data'!$C$4:$C$2342,E$4,'Grid Data'!$A$4:$A$2342,$D$2)*100, 0)</f>
        <v>0</v>
      </c>
      <c r="F33" s="4">
        <f>IF(  F96&gt;$E$2, SUMIFS(IF($G$2="CPR",'Grid Data'!$J$4:$J$2342,'Grid Data'!$K$4:$K$2342),'Grid Data'!$B$4:$B$2342,$D33,'Grid Data'!$C$4:$C$2342,F$4,'Grid Data'!$A$4:$A$2342,$D$2)*100, 0)</f>
        <v>0</v>
      </c>
      <c r="G33" s="4">
        <f>IF(  G96&gt;$E$2, SUMIFS(IF($G$2="CPR",'Grid Data'!$J$4:$J$2342,'Grid Data'!$K$4:$K$2342),'Grid Data'!$B$4:$B$2342,$D33,'Grid Data'!$C$4:$C$2342,G$4,'Grid Data'!$A$4:$A$2342,$D$2)*100, 0)</f>
        <v>0</v>
      </c>
      <c r="H33" s="4">
        <f>IF(  H96&gt;$E$2, SUMIFS(IF($G$2="CPR",'Grid Data'!$J$4:$J$2342,'Grid Data'!$K$4:$K$2342),'Grid Data'!$B$4:$B$2342,$D33,'Grid Data'!$C$4:$C$2342,H$4,'Grid Data'!$A$4:$A$2342,$D$2)*100, 0)</f>
        <v>0</v>
      </c>
      <c r="I33" s="4">
        <f>IF(  I96&gt;$E$2, SUMIFS(IF($G$2="CPR",'Grid Data'!$J$4:$J$2342,'Grid Data'!$K$4:$K$2342),'Grid Data'!$B$4:$B$2342,$D33,'Grid Data'!$C$4:$C$2342,I$4,'Grid Data'!$A$4:$A$2342,$D$2)*100, 0)</f>
        <v>0</v>
      </c>
      <c r="J33" s="4">
        <f>IF(  J96&gt;$E$2, SUMIFS(IF($G$2="CPR",'Grid Data'!$J$4:$J$2342,'Grid Data'!$K$4:$K$2342),'Grid Data'!$B$4:$B$2342,$D33,'Grid Data'!$C$4:$C$2342,J$4,'Grid Data'!$A$4:$A$2342,$D$2)*100, 0)</f>
        <v>0</v>
      </c>
      <c r="K33" s="4">
        <f>IF(  K96&gt;$E$2, SUMIFS(IF($G$2="CPR",'Grid Data'!$J$4:$J$2342,'Grid Data'!$K$4:$K$2342),'Grid Data'!$B$4:$B$2342,$D33,'Grid Data'!$C$4:$C$2342,K$4,'Grid Data'!$A$4:$A$2342,$D$2)*100, 0)</f>
        <v>0</v>
      </c>
      <c r="L33" s="4">
        <f>IF(  L96&gt;$E$2, SUMIFS(IF($G$2="CPR",'Grid Data'!$J$4:$J$2342,'Grid Data'!$K$4:$K$2342),'Grid Data'!$B$4:$B$2342,$D33,'Grid Data'!$C$4:$C$2342,L$4,'Grid Data'!$A$4:$A$2342,$D$2)*100, 0)</f>
        <v>0</v>
      </c>
      <c r="M33" s="4">
        <f>IF(  M96&gt;$E$2, SUMIFS(IF($G$2="CPR",'Grid Data'!$J$4:$J$2342,'Grid Data'!$K$4:$K$2342),'Grid Data'!$B$4:$B$2342,$D33,'Grid Data'!$C$4:$C$2342,M$4,'Grid Data'!$A$4:$A$2342,$D$2)*100, 0)</f>
        <v>0</v>
      </c>
      <c r="N33" s="4">
        <f>IF(  N96&gt;$E$2, SUMIFS(IF($G$2="CPR",'Grid Data'!$J$4:$J$2342,'Grid Data'!$K$4:$K$2342),'Grid Data'!$B$4:$B$2342,$D33,'Grid Data'!$C$4:$C$2342,N$4,'Grid Data'!$A$4:$A$2342,$D$2)*100, 0)</f>
        <v>0</v>
      </c>
      <c r="O33" s="4">
        <f>IF(  O96&gt;$E$2, SUMIFS(IF($G$2="CPR",'Grid Data'!$J$4:$J$2342,'Grid Data'!$K$4:$K$2342),'Grid Data'!$B$4:$B$2342,$D33,'Grid Data'!$C$4:$C$2342,O$4,'Grid Data'!$A$4:$A$2342,$D$2)*100, 0)</f>
        <v>0</v>
      </c>
      <c r="P33" s="4">
        <f>IF(  P96&gt;$E$2, SUMIFS(IF($G$2="CPR",'Grid Data'!$J$4:$J$2342,'Grid Data'!$K$4:$K$2342),'Grid Data'!$B$4:$B$2342,$D33,'Grid Data'!$C$4:$C$2342,P$4,'Grid Data'!$A$4:$A$2342,$D$2)*100, 0)</f>
        <v>0</v>
      </c>
      <c r="Q33" s="4">
        <f>IF(  Q96&gt;$E$2, SUMIFS(IF($G$2="CPR",'Grid Data'!$J$4:$J$2342,'Grid Data'!$K$4:$K$2342),'Grid Data'!$B$4:$B$2342,$D33,'Grid Data'!$C$4:$C$2342,Q$4,'Grid Data'!$A$4:$A$2342,$D$2)*100, 0)</f>
        <v>0</v>
      </c>
      <c r="R33" s="4">
        <f>IF(  R96&gt;$E$2, SUMIFS(IF($G$2="CPR",'Grid Data'!$J$4:$J$2342,'Grid Data'!$K$4:$K$2342),'Grid Data'!$B$4:$B$2342,$D33,'Grid Data'!$C$4:$C$2342,R$4,'Grid Data'!$A$4:$A$2342,$D$2)*100, 0)</f>
        <v>0</v>
      </c>
      <c r="S33" s="4">
        <f>IF(  S96&gt;$E$2, SUMIFS(IF($G$2="CPR",'Grid Data'!$J$4:$J$2342,'Grid Data'!$K$4:$K$2342),'Grid Data'!$B$4:$B$2342,$D33,'Grid Data'!$C$4:$C$2342,S$4,'Grid Data'!$A$4:$A$2342,$D$2)*100, 0)</f>
        <v>0</v>
      </c>
      <c r="T33" s="4">
        <f>IF(  T96&gt;$E$2, SUMIFS(IF($G$2="CPR",'Grid Data'!$J$4:$J$2342,'Grid Data'!$K$4:$K$2342),'Grid Data'!$B$4:$B$2342,$D33,'Grid Data'!$C$4:$C$2342,T$4,'Grid Data'!$A$4:$A$2342,$D$2)*100, 0)</f>
        <v>0</v>
      </c>
      <c r="U33" s="4">
        <f>IF(  U96&gt;$E$2, SUMIFS(IF($G$2="CPR",'Grid Data'!$J$4:$J$2342,'Grid Data'!$K$4:$K$2342),'Grid Data'!$B$4:$B$2342,$D33,'Grid Data'!$C$4:$C$2342,U$4,'Grid Data'!$A$4:$A$2342,$D$2)*100, 0)</f>
        <v>0</v>
      </c>
      <c r="V33" s="4">
        <f>IF(  V96&gt;$E$2, SUMIFS(IF($G$2="CPR",'Grid Data'!$J$4:$J$2342,'Grid Data'!$K$4:$K$2342),'Grid Data'!$B$4:$B$2342,$D33,'Grid Data'!$C$4:$C$2342,V$4,'Grid Data'!$A$4:$A$2342,$D$2)*100, 0)</f>
        <v>0</v>
      </c>
      <c r="W33" s="4">
        <f>IF(  W96&gt;$E$2, SUMIFS(IF($G$2="CPR",'Grid Data'!$J$4:$J$2342,'Grid Data'!$K$4:$K$2342),'Grid Data'!$B$4:$B$2342,$D33,'Grid Data'!$C$4:$C$2342,W$4,'Grid Data'!$A$4:$A$2342,$D$2)*100, 0)</f>
        <v>0</v>
      </c>
      <c r="X33" s="4">
        <f>IF(  X96&gt;$E$2, SUMIFS(IF($G$2="CPR",'Grid Data'!$J$4:$J$2342,'Grid Data'!$K$4:$K$2342),'Grid Data'!$B$4:$B$2342,$D33,'Grid Data'!$C$4:$C$2342,X$4,'Grid Data'!$A$4:$A$2342,$D$2)*100, 0)</f>
        <v>0</v>
      </c>
      <c r="Y33" s="4">
        <f>IF(  Y96&gt;$E$2, SUMIFS(IF($G$2="CPR",'Grid Data'!$J$4:$J$2342,'Grid Data'!$K$4:$K$2342),'Grid Data'!$B$4:$B$2342,$D33,'Grid Data'!$C$4:$C$2342,Y$4,'Grid Data'!$A$4:$A$2342,$D$2)*100, 0)</f>
        <v>0</v>
      </c>
      <c r="Z33" s="4">
        <f>IF(  Z96&gt;$E$2, SUMIFS(IF($G$2="CPR",'Grid Data'!$J$4:$J$2342,'Grid Data'!$K$4:$K$2342),'Grid Data'!$B$4:$B$2342,$D33,'Grid Data'!$C$4:$C$2342,Z$4,'Grid Data'!$A$4:$A$2342,$D$2)*100, 0)</f>
        <v>0</v>
      </c>
      <c r="AA33" s="4">
        <f>IF(  AA96&gt;$E$2, SUMIFS(IF($G$2="CPR",'Grid Data'!$J$4:$J$2342,'Grid Data'!$K$4:$K$2342),'Grid Data'!$B$4:$B$2342,$D33,'Grid Data'!$C$4:$C$2342,AA$4,'Grid Data'!$A$4:$A$2342,$D$2)*100, 0)</f>
        <v>0</v>
      </c>
      <c r="AB33" s="4">
        <f>IF(  AB96&gt;$E$2, SUMIFS(IF($G$2="CPR",'Grid Data'!$J$4:$J$2342,'Grid Data'!$K$4:$K$2342),'Grid Data'!$B$4:$B$2342,$D33,'Grid Data'!$C$4:$C$2342,AB$4,'Grid Data'!$A$4:$A$2342,$D$2)*100, 0)</f>
        <v>0</v>
      </c>
      <c r="AC33" s="4">
        <f>IF(  AC96&gt;$E$2, SUMIFS(IF($G$2="CPR",'Grid Data'!$J$4:$J$2342,'Grid Data'!$K$4:$K$2342),'Grid Data'!$B$4:$B$2342,$D33,'Grid Data'!$C$4:$C$2342,AC$4,'Grid Data'!$A$4:$A$2342,$D$2)*100, 0)</f>
        <v>0</v>
      </c>
      <c r="AD33" s="4">
        <f>IF(  AD96&gt;$E$2, SUMIFS(IF($G$2="CPR",'Grid Data'!$J$4:$J$2342,'Grid Data'!$K$4:$K$2342),'Grid Data'!$B$4:$B$2342,$D33,'Grid Data'!$C$4:$C$2342,AD$4,'Grid Data'!$A$4:$A$2342,$D$2)*100, 0)</f>
        <v>0</v>
      </c>
      <c r="AE33" s="4">
        <f>IF(  AE96&gt;$E$2, SUMIFS(IF($G$2="CPR",'Grid Data'!$J$4:$J$2342,'Grid Data'!$K$4:$K$2342),'Grid Data'!$B$4:$B$2342,$D33,'Grid Data'!$C$4:$C$2342,AE$4,'Grid Data'!$A$4:$A$2342,$D$2)*100, 0)</f>
        <v>0</v>
      </c>
      <c r="AF33" s="4">
        <f>IF(  AF96&gt;$E$2, SUMIFS(IF($G$2="CPR",'Grid Data'!$J$4:$J$2342,'Grid Data'!$K$4:$K$2342),'Grid Data'!$B$4:$B$2342,$D33,'Grid Data'!$C$4:$C$2342,AF$4,'Grid Data'!$A$4:$A$2342,$D$2)*100, 0)</f>
        <v>0</v>
      </c>
      <c r="AG33" s="4">
        <f>IF(  AG96&gt;$E$2, SUMIFS(IF($G$2="CPR",'Grid Data'!$J$4:$J$2342,'Grid Data'!$K$4:$K$2342),'Grid Data'!$B$4:$B$2342,$D33,'Grid Data'!$C$4:$C$2342,AG$4,'Grid Data'!$A$4:$A$2342,$D$2)*100, 0)</f>
        <v>0</v>
      </c>
      <c r="AH33" s="4">
        <f>IF(  AH96&gt;$E$2, SUMIFS(IF($G$2="CPR",'Grid Data'!$J$4:$J$2342,'Grid Data'!$K$4:$K$2342),'Grid Data'!$B$4:$B$2342,$D33,'Grid Data'!$C$4:$C$2342,AH$4,'Grid Data'!$A$4:$A$2342,$D$2)*100, 0)</f>
        <v>0</v>
      </c>
    </row>
    <row r="34" spans="3:34" x14ac:dyDescent="0.35"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</row>
    <row r="35" spans="3:34" x14ac:dyDescent="0.35">
      <c r="E35" s="6" t="s">
        <v>8</v>
      </c>
    </row>
    <row r="36" spans="3:34" x14ac:dyDescent="0.35">
      <c r="C36" s="3" t="s">
        <v>4</v>
      </c>
      <c r="D36" s="3" t="s">
        <v>7</v>
      </c>
      <c r="E36">
        <v>5</v>
      </c>
      <c r="F36">
        <v>6</v>
      </c>
      <c r="G36">
        <v>7</v>
      </c>
      <c r="H36">
        <v>8</v>
      </c>
      <c r="I36">
        <v>9</v>
      </c>
      <c r="J36">
        <v>10</v>
      </c>
      <c r="K36">
        <v>12</v>
      </c>
      <c r="L36">
        <v>14</v>
      </c>
      <c r="M36">
        <v>16</v>
      </c>
      <c r="N36">
        <v>18</v>
      </c>
      <c r="O36">
        <v>20</v>
      </c>
      <c r="P36">
        <v>24</v>
      </c>
      <c r="Q36">
        <v>30</v>
      </c>
      <c r="R36">
        <v>36</v>
      </c>
      <c r="S36">
        <v>42</v>
      </c>
      <c r="T36">
        <v>48</v>
      </c>
      <c r="U36">
        <v>54</v>
      </c>
      <c r="V36">
        <v>60</v>
      </c>
      <c r="W36">
        <v>72</v>
      </c>
      <c r="X36">
        <v>84</v>
      </c>
      <c r="Y36">
        <v>96</v>
      </c>
      <c r="Z36">
        <v>108</v>
      </c>
      <c r="AA36">
        <v>120</v>
      </c>
      <c r="AB36">
        <v>144</v>
      </c>
      <c r="AC36">
        <v>168</v>
      </c>
      <c r="AD36">
        <v>192</v>
      </c>
      <c r="AE36">
        <v>216</v>
      </c>
      <c r="AF36">
        <v>240</v>
      </c>
      <c r="AG36">
        <v>320</v>
      </c>
      <c r="AH36">
        <v>360</v>
      </c>
    </row>
    <row r="37" spans="3:34" x14ac:dyDescent="0.35">
      <c r="D37">
        <v>2000</v>
      </c>
      <c r="E37" s="5" t="str">
        <f>IF(  E68&gt;$E$2, SUMIFS(IF($G$2="CPR",'Grid Data'!$AH$4:$AH$2342,'Grid Data'!$AI$4:$AI$2342),'Grid Data'!$Z$4:$Z$2342,$D37,'Grid Data'!$AA$4:$AA$2342,E$4,'Grid Data'!$Y$4:$Y$2342,$D$2)*100-E5, "--")</f>
        <v>--</v>
      </c>
      <c r="F37" s="5" t="str">
        <f>IF(  F68&gt;$E$2, SUMIFS(IF($G$2="CPR",'Grid Data'!$AH$4:$AH$2342,'Grid Data'!$AI$4:$AI$2342),'Grid Data'!$Z$4:$Z$2342,$D37,'Grid Data'!$AA$4:$AA$2342,F$4,'Grid Data'!$Y$4:$Y$2342,$D$2)*100-F5, "--")</f>
        <v>--</v>
      </c>
      <c r="G37" s="5" t="str">
        <f>IF(  G68&gt;$E$2, SUMIFS(IF($G$2="CPR",'Grid Data'!$AH$4:$AH$2342,'Grid Data'!$AI$4:$AI$2342),'Grid Data'!$Z$4:$Z$2342,$D37,'Grid Data'!$AA$4:$AA$2342,G$4,'Grid Data'!$Y$4:$Y$2342,$D$2)*100-G5, "--")</f>
        <v>--</v>
      </c>
      <c r="H37" s="5" t="str">
        <f>IF(  H68&gt;$E$2, SUMIFS(IF($G$2="CPR",'Grid Data'!$AH$4:$AH$2342,'Grid Data'!$AI$4:$AI$2342),'Grid Data'!$Z$4:$Z$2342,$D37,'Grid Data'!$AA$4:$AA$2342,H$4,'Grid Data'!$Y$4:$Y$2342,$D$2)*100-H5, "--")</f>
        <v>--</v>
      </c>
      <c r="I37" s="5" t="str">
        <f>IF(  I68&gt;$E$2, SUMIFS(IF($G$2="CPR",'Grid Data'!$AH$4:$AH$2342,'Grid Data'!$AI$4:$AI$2342),'Grid Data'!$Z$4:$Z$2342,$D37,'Grid Data'!$AA$4:$AA$2342,I$4,'Grid Data'!$Y$4:$Y$2342,$D$2)*100-I5, "--")</f>
        <v>--</v>
      </c>
      <c r="J37" s="5" t="str">
        <f>IF(  J68&gt;$E$2, SUMIFS(IF($G$2="CPR",'Grid Data'!$AH$4:$AH$2342,'Grid Data'!$AI$4:$AI$2342),'Grid Data'!$Z$4:$Z$2342,$D37,'Grid Data'!$AA$4:$AA$2342,J$4,'Grid Data'!$Y$4:$Y$2342,$D$2)*100-J5, "--")</f>
        <v>--</v>
      </c>
      <c r="K37" s="5" t="str">
        <f>IF(  K68&gt;$E$2, SUMIFS(IF($G$2="CPR",'Grid Data'!$AH$4:$AH$2342,'Grid Data'!$AI$4:$AI$2342),'Grid Data'!$Z$4:$Z$2342,$D37,'Grid Data'!$AA$4:$AA$2342,K$4,'Grid Data'!$Y$4:$Y$2342,$D$2)*100-K5, "--")</f>
        <v>--</v>
      </c>
      <c r="L37" s="5" t="str">
        <f>IF(  L68&gt;$E$2, SUMIFS(IF($G$2="CPR",'Grid Data'!$AH$4:$AH$2342,'Grid Data'!$AI$4:$AI$2342),'Grid Data'!$Z$4:$Z$2342,$D37,'Grid Data'!$AA$4:$AA$2342,L$4,'Grid Data'!$Y$4:$Y$2342,$D$2)*100-L5, "--")</f>
        <v>--</v>
      </c>
      <c r="M37" s="5" t="str">
        <f>IF(  M68&gt;$E$2, SUMIFS(IF($G$2="CPR",'Grid Data'!$AH$4:$AH$2342,'Grid Data'!$AI$4:$AI$2342),'Grid Data'!$Z$4:$Z$2342,$D37,'Grid Data'!$AA$4:$AA$2342,M$4,'Grid Data'!$Y$4:$Y$2342,$D$2)*100-M5, "--")</f>
        <v>--</v>
      </c>
      <c r="N37" s="5" t="str">
        <f>IF(  N68&gt;$E$2, SUMIFS(IF($G$2="CPR",'Grid Data'!$AH$4:$AH$2342,'Grid Data'!$AI$4:$AI$2342),'Grid Data'!$Z$4:$Z$2342,$D37,'Grid Data'!$AA$4:$AA$2342,N$4,'Grid Data'!$Y$4:$Y$2342,$D$2)*100-N5, "--")</f>
        <v>--</v>
      </c>
      <c r="O37" s="5" t="str">
        <f>IF(  O68&gt;$E$2, SUMIFS(IF($G$2="CPR",'Grid Data'!$AH$4:$AH$2342,'Grid Data'!$AI$4:$AI$2342),'Grid Data'!$Z$4:$Z$2342,$D37,'Grid Data'!$AA$4:$AA$2342,O$4,'Grid Data'!$Y$4:$Y$2342,$D$2)*100-O5, "--")</f>
        <v>--</v>
      </c>
      <c r="P37" s="5" t="str">
        <f>IF(  P68&gt;$E$2, SUMIFS(IF($G$2="CPR",'Grid Data'!$AH$4:$AH$2342,'Grid Data'!$AI$4:$AI$2342),'Grid Data'!$Z$4:$Z$2342,$D37,'Grid Data'!$AA$4:$AA$2342,P$4,'Grid Data'!$Y$4:$Y$2342,$D$2)*100-P5, "--")</f>
        <v>--</v>
      </c>
      <c r="Q37" s="5" t="str">
        <f>IF(  Q68&gt;$E$2, SUMIFS(IF($G$2="CPR",'Grid Data'!$AH$4:$AH$2342,'Grid Data'!$AI$4:$AI$2342),'Grid Data'!$Z$4:$Z$2342,$D37,'Grid Data'!$AA$4:$AA$2342,Q$4,'Grid Data'!$Y$4:$Y$2342,$D$2)*100-Q5, "--")</f>
        <v>--</v>
      </c>
      <c r="R37" s="5" t="str">
        <f>IF(  R68&gt;$E$2, SUMIFS(IF($G$2="CPR",'Grid Data'!$AH$4:$AH$2342,'Grid Data'!$AI$4:$AI$2342),'Grid Data'!$Z$4:$Z$2342,$D37,'Grid Data'!$AA$4:$AA$2342,R$4,'Grid Data'!$Y$4:$Y$2342,$D$2)*100-R5, "--")</f>
        <v>--</v>
      </c>
      <c r="S37" s="5" t="str">
        <f>IF(  S68&gt;$E$2, SUMIFS(IF($G$2="CPR",'Grid Data'!$AH$4:$AH$2342,'Grid Data'!$AI$4:$AI$2342),'Grid Data'!$Z$4:$Z$2342,$D37,'Grid Data'!$AA$4:$AA$2342,S$4,'Grid Data'!$Y$4:$Y$2342,$D$2)*100-S5, "--")</f>
        <v>--</v>
      </c>
      <c r="T37" s="5" t="str">
        <f>IF(  T68&gt;$E$2, SUMIFS(IF($G$2="CPR",'Grid Data'!$AH$4:$AH$2342,'Grid Data'!$AI$4:$AI$2342),'Grid Data'!$Z$4:$Z$2342,$D37,'Grid Data'!$AA$4:$AA$2342,T$4,'Grid Data'!$Y$4:$Y$2342,$D$2)*100-T5, "--")</f>
        <v>--</v>
      </c>
      <c r="U37" s="5">
        <f>IF(  U68&gt;$E$2, SUMIFS(IF($G$2="CPR",'Grid Data'!$AH$4:$AH$2342,'Grid Data'!$AI$4:$AI$2342),'Grid Data'!$Z$4:$Z$2342,$D37,'Grid Data'!$AA$4:$AA$2342,U$4,'Grid Data'!$Y$4:$Y$2342,$D$2)*100-U5, "--")</f>
        <v>-5.2768999999999995</v>
      </c>
      <c r="V37" s="5">
        <f>IF(  V68&gt;$E$2, SUMIFS(IF($G$2="CPR",'Grid Data'!$AH$4:$AH$2342,'Grid Data'!$AI$4:$AI$2342),'Grid Data'!$Z$4:$Z$2342,$D37,'Grid Data'!$AA$4:$AA$2342,V$4,'Grid Data'!$Y$4:$Y$2342,$D$2)*100-V5, "--")</f>
        <v>-4.5026000000000002</v>
      </c>
      <c r="W37" s="5" t="str">
        <f>IF(  W68&gt;$E$2, SUMIFS(IF($G$2="CPR",'Grid Data'!$AH$4:$AH$2342,'Grid Data'!$AI$4:$AI$2342),'Grid Data'!$Z$4:$Z$2342,$D37,'Grid Data'!$AA$4:$AA$2342,W$4,'Grid Data'!$Y$4:$Y$2342,$D$2)*100-W5, "--")</f>
        <v>--</v>
      </c>
      <c r="X37" s="5" t="str">
        <f>IF(  X68&gt;$E$2, SUMIFS(IF($G$2="CPR",'Grid Data'!$AH$4:$AH$2342,'Grid Data'!$AI$4:$AI$2342),'Grid Data'!$Z$4:$Z$2342,$D37,'Grid Data'!$AA$4:$AA$2342,X$4,'Grid Data'!$Y$4:$Y$2342,$D$2)*100-X5, "--")</f>
        <v>--</v>
      </c>
      <c r="Y37" s="5" t="str">
        <f>IF(  Y68&gt;$E$2, SUMIFS(IF($G$2="CPR",'Grid Data'!$AH$4:$AH$2342,'Grid Data'!$AI$4:$AI$2342),'Grid Data'!$Z$4:$Z$2342,$D37,'Grid Data'!$AA$4:$AA$2342,Y$4,'Grid Data'!$Y$4:$Y$2342,$D$2)*100-Y5, "--")</f>
        <v>--</v>
      </c>
      <c r="Z37" s="5" t="str">
        <f>IF(  Z68&gt;$E$2, SUMIFS(IF($G$2="CPR",'Grid Data'!$AH$4:$AH$2342,'Grid Data'!$AI$4:$AI$2342),'Grid Data'!$Z$4:$Z$2342,$D37,'Grid Data'!$AA$4:$AA$2342,Z$4,'Grid Data'!$Y$4:$Y$2342,$D$2)*100-Z5, "--")</f>
        <v>--</v>
      </c>
      <c r="AA37" s="5" t="str">
        <f>IF(  AA68&gt;$E$2, SUMIFS(IF($G$2="CPR",'Grid Data'!$AH$4:$AH$2342,'Grid Data'!$AI$4:$AI$2342),'Grid Data'!$Z$4:$Z$2342,$D37,'Grid Data'!$AA$4:$AA$2342,AA$4,'Grid Data'!$Y$4:$Y$2342,$D$2)*100-AA5, "--")</f>
        <v>--</v>
      </c>
      <c r="AB37" s="5" t="str">
        <f>IF(  AB68&gt;$E$2, SUMIFS(IF($G$2="CPR",'Grid Data'!$AH$4:$AH$2342,'Grid Data'!$AI$4:$AI$2342),'Grid Data'!$Z$4:$Z$2342,$D37,'Grid Data'!$AA$4:$AA$2342,AB$4,'Grid Data'!$Y$4:$Y$2342,$D$2)*100-AB5, "--")</f>
        <v>--</v>
      </c>
      <c r="AC37" s="5" t="str">
        <f>IF(  AC68&gt;$E$2, SUMIFS(IF($G$2="CPR",'Grid Data'!$AH$4:$AH$2342,'Grid Data'!$AI$4:$AI$2342),'Grid Data'!$Z$4:$Z$2342,$D37,'Grid Data'!$AA$4:$AA$2342,AC$4,'Grid Data'!$Y$4:$Y$2342,$D$2)*100-AC5, "--")</f>
        <v>--</v>
      </c>
      <c r="AD37" s="5" t="str">
        <f>IF(  AD68&gt;$E$2, SUMIFS(IF($G$2="CPR",'Grid Data'!$AH$4:$AH$2342,'Grid Data'!$AI$4:$AI$2342),'Grid Data'!$Z$4:$Z$2342,$D37,'Grid Data'!$AA$4:$AA$2342,AD$4,'Grid Data'!$Y$4:$Y$2342,$D$2)*100-AD5, "--")</f>
        <v>--</v>
      </c>
      <c r="AE37" s="5" t="str">
        <f>IF(  AE68&gt;$E$2, SUMIFS(IF($G$2="CPR",'Grid Data'!$AH$4:$AH$2342,'Grid Data'!$AI$4:$AI$2342),'Grid Data'!$Z$4:$Z$2342,$D37,'Grid Data'!$AA$4:$AA$2342,AE$4,'Grid Data'!$Y$4:$Y$2342,$D$2)*100-AE5, "--")</f>
        <v>--</v>
      </c>
      <c r="AF37" s="5" t="str">
        <f>IF(  AF68&gt;$E$2, SUMIFS(IF($G$2="CPR",'Grid Data'!$AH$4:$AH$2342,'Grid Data'!$AI$4:$AI$2342),'Grid Data'!$Z$4:$Z$2342,$D37,'Grid Data'!$AA$4:$AA$2342,AF$4,'Grid Data'!$Y$4:$Y$2342,$D$2)*100-AF5, "--")</f>
        <v>--</v>
      </c>
      <c r="AG37" s="5" t="str">
        <f>IF(  AG68&gt;$E$2, SUMIFS(IF($G$2="CPR",'Grid Data'!$AH$4:$AH$2342,'Grid Data'!$AI$4:$AI$2342),'Grid Data'!$Z$4:$Z$2342,$D37,'Grid Data'!$AA$4:$AA$2342,AG$4,'Grid Data'!$Y$4:$Y$2342,$D$2)*100-AG5, "--")</f>
        <v>--</v>
      </c>
      <c r="AH37" s="5" t="str">
        <f>IF(  AH68&gt;$E$2, SUMIFS(IF($G$2="CPR",'Grid Data'!$AH$4:$AH$2342,'Grid Data'!$AI$4:$AI$2342),'Grid Data'!$Z$4:$Z$2342,$D37,'Grid Data'!$AA$4:$AA$2342,AH$4,'Grid Data'!$Y$4:$Y$2342,$D$2)*100-AH5, "--")</f>
        <v>--</v>
      </c>
    </row>
    <row r="38" spans="3:34" x14ac:dyDescent="0.35">
      <c r="D38">
        <v>2250</v>
      </c>
      <c r="E38" s="5" t="str">
        <f>IF(  E69&gt;$E$2, SUMIFS(IF($G$2="CPR",'Grid Data'!$AH$4:$AH$2342,'Grid Data'!$AI$4:$AI$2342),'Grid Data'!$Z$4:$Z$2342,$D38,'Grid Data'!$AA$4:$AA$2342,E$4,'Grid Data'!$Y$4:$Y$2342,$D$2)*100-E6, "--")</f>
        <v>--</v>
      </c>
      <c r="F38" s="5" t="str">
        <f>IF(  F69&gt;$E$2, SUMIFS(IF($G$2="CPR",'Grid Data'!$AH$4:$AH$2342,'Grid Data'!$AI$4:$AI$2342),'Grid Data'!$Z$4:$Z$2342,$D38,'Grid Data'!$AA$4:$AA$2342,F$4,'Grid Data'!$Y$4:$Y$2342,$D$2)*100-F6, "--")</f>
        <v>--</v>
      </c>
      <c r="G38" s="5" t="str">
        <f>IF(  G69&gt;$E$2, SUMIFS(IF($G$2="CPR",'Grid Data'!$AH$4:$AH$2342,'Grid Data'!$AI$4:$AI$2342),'Grid Data'!$Z$4:$Z$2342,$D38,'Grid Data'!$AA$4:$AA$2342,G$4,'Grid Data'!$Y$4:$Y$2342,$D$2)*100-G6, "--")</f>
        <v>--</v>
      </c>
      <c r="H38" s="5" t="str">
        <f>IF(  H69&gt;$E$2, SUMIFS(IF($G$2="CPR",'Grid Data'!$AH$4:$AH$2342,'Grid Data'!$AI$4:$AI$2342),'Grid Data'!$Z$4:$Z$2342,$D38,'Grid Data'!$AA$4:$AA$2342,H$4,'Grid Data'!$Y$4:$Y$2342,$D$2)*100-H6, "--")</f>
        <v>--</v>
      </c>
      <c r="I38" s="5" t="str">
        <f>IF(  I69&gt;$E$2, SUMIFS(IF($G$2="CPR",'Grid Data'!$AH$4:$AH$2342,'Grid Data'!$AI$4:$AI$2342),'Grid Data'!$Z$4:$Z$2342,$D38,'Grid Data'!$AA$4:$AA$2342,I$4,'Grid Data'!$Y$4:$Y$2342,$D$2)*100-I6, "--")</f>
        <v>--</v>
      </c>
      <c r="J38" s="5" t="str">
        <f>IF(  J69&gt;$E$2, SUMIFS(IF($G$2="CPR",'Grid Data'!$AH$4:$AH$2342,'Grid Data'!$AI$4:$AI$2342),'Grid Data'!$Z$4:$Z$2342,$D38,'Grid Data'!$AA$4:$AA$2342,J$4,'Grid Data'!$Y$4:$Y$2342,$D$2)*100-J6, "--")</f>
        <v>--</v>
      </c>
      <c r="K38" s="5" t="str">
        <f>IF(  K69&gt;$E$2, SUMIFS(IF($G$2="CPR",'Grid Data'!$AH$4:$AH$2342,'Grid Data'!$AI$4:$AI$2342),'Grid Data'!$Z$4:$Z$2342,$D38,'Grid Data'!$AA$4:$AA$2342,K$4,'Grid Data'!$Y$4:$Y$2342,$D$2)*100-K6, "--")</f>
        <v>--</v>
      </c>
      <c r="L38" s="5" t="str">
        <f>IF(  L69&gt;$E$2, SUMIFS(IF($G$2="CPR",'Grid Data'!$AH$4:$AH$2342,'Grid Data'!$AI$4:$AI$2342),'Grid Data'!$Z$4:$Z$2342,$D38,'Grid Data'!$AA$4:$AA$2342,L$4,'Grid Data'!$Y$4:$Y$2342,$D$2)*100-L6, "--")</f>
        <v>--</v>
      </c>
      <c r="M38" s="5" t="str">
        <f>IF(  M69&gt;$E$2, SUMIFS(IF($G$2="CPR",'Grid Data'!$AH$4:$AH$2342,'Grid Data'!$AI$4:$AI$2342),'Grid Data'!$Z$4:$Z$2342,$D38,'Grid Data'!$AA$4:$AA$2342,M$4,'Grid Data'!$Y$4:$Y$2342,$D$2)*100-M6, "--")</f>
        <v>--</v>
      </c>
      <c r="N38" s="5" t="str">
        <f>IF(  N69&gt;$E$2, SUMIFS(IF($G$2="CPR",'Grid Data'!$AH$4:$AH$2342,'Grid Data'!$AI$4:$AI$2342),'Grid Data'!$Z$4:$Z$2342,$D38,'Grid Data'!$AA$4:$AA$2342,N$4,'Grid Data'!$Y$4:$Y$2342,$D$2)*100-N6, "--")</f>
        <v>--</v>
      </c>
      <c r="O38" s="5" t="str">
        <f>IF(  O69&gt;$E$2, SUMIFS(IF($G$2="CPR",'Grid Data'!$AH$4:$AH$2342,'Grid Data'!$AI$4:$AI$2342),'Grid Data'!$Z$4:$Z$2342,$D38,'Grid Data'!$AA$4:$AA$2342,O$4,'Grid Data'!$Y$4:$Y$2342,$D$2)*100-O6, "--")</f>
        <v>--</v>
      </c>
      <c r="P38" s="5" t="str">
        <f>IF(  P69&gt;$E$2, SUMIFS(IF($G$2="CPR",'Grid Data'!$AH$4:$AH$2342,'Grid Data'!$AI$4:$AI$2342),'Grid Data'!$Z$4:$Z$2342,$D38,'Grid Data'!$AA$4:$AA$2342,P$4,'Grid Data'!$Y$4:$Y$2342,$D$2)*100-P6, "--")</f>
        <v>--</v>
      </c>
      <c r="Q38" s="5" t="str">
        <f>IF(  Q69&gt;$E$2, SUMIFS(IF($G$2="CPR",'Grid Data'!$AH$4:$AH$2342,'Grid Data'!$AI$4:$AI$2342),'Grid Data'!$Z$4:$Z$2342,$D38,'Grid Data'!$AA$4:$AA$2342,Q$4,'Grid Data'!$Y$4:$Y$2342,$D$2)*100-Q6, "--")</f>
        <v>--</v>
      </c>
      <c r="R38" s="5" t="str">
        <f>IF(  R69&gt;$E$2, SUMIFS(IF($G$2="CPR",'Grid Data'!$AH$4:$AH$2342,'Grid Data'!$AI$4:$AI$2342),'Grid Data'!$Z$4:$Z$2342,$D38,'Grid Data'!$AA$4:$AA$2342,R$4,'Grid Data'!$Y$4:$Y$2342,$D$2)*100-R6, "--")</f>
        <v>--</v>
      </c>
      <c r="S38" s="5" t="str">
        <f>IF(  S69&gt;$E$2, SUMIFS(IF($G$2="CPR",'Grid Data'!$AH$4:$AH$2342,'Grid Data'!$AI$4:$AI$2342),'Grid Data'!$Z$4:$Z$2342,$D38,'Grid Data'!$AA$4:$AA$2342,S$4,'Grid Data'!$Y$4:$Y$2342,$D$2)*100-S6, "--")</f>
        <v>--</v>
      </c>
      <c r="T38" s="5">
        <f>IF(  T69&gt;$E$2, SUMIFS(IF($G$2="CPR",'Grid Data'!$AH$4:$AH$2342,'Grid Data'!$AI$4:$AI$2342),'Grid Data'!$Z$4:$Z$2342,$D38,'Grid Data'!$AA$4:$AA$2342,T$4,'Grid Data'!$Y$4:$Y$2342,$D$2)*100-T6, "--")</f>
        <v>-1.5057000000000005</v>
      </c>
      <c r="U38" s="5">
        <f>IF(  U69&gt;$E$2, SUMIFS(IF($G$2="CPR",'Grid Data'!$AH$4:$AH$2342,'Grid Data'!$AI$4:$AI$2342),'Grid Data'!$Z$4:$Z$2342,$D38,'Grid Data'!$AA$4:$AA$2342,U$4,'Grid Data'!$Y$4:$Y$2342,$D$2)*100-U6, "--")</f>
        <v>-2.0110000000000001</v>
      </c>
      <c r="V38" s="5">
        <f>IF(  V69&gt;$E$2, SUMIFS(IF($G$2="CPR",'Grid Data'!$AH$4:$AH$2342,'Grid Data'!$AI$4:$AI$2342),'Grid Data'!$Z$4:$Z$2342,$D38,'Grid Data'!$AA$4:$AA$2342,V$4,'Grid Data'!$Y$4:$Y$2342,$D$2)*100-V6, "--")</f>
        <v>-1.2893000000000008</v>
      </c>
      <c r="W38" s="5">
        <f>IF(  W69&gt;$E$2, SUMIFS(IF($G$2="CPR",'Grid Data'!$AH$4:$AH$2342,'Grid Data'!$AI$4:$AI$2342),'Grid Data'!$Z$4:$Z$2342,$D38,'Grid Data'!$AA$4:$AA$2342,W$4,'Grid Data'!$Y$4:$Y$2342,$D$2)*100-W6, "--")</f>
        <v>-1.2526000000000006</v>
      </c>
      <c r="X38" s="5" t="str">
        <f>IF(  X69&gt;$E$2, SUMIFS(IF($G$2="CPR",'Grid Data'!$AH$4:$AH$2342,'Grid Data'!$AI$4:$AI$2342),'Grid Data'!$Z$4:$Z$2342,$D38,'Grid Data'!$AA$4:$AA$2342,X$4,'Grid Data'!$Y$4:$Y$2342,$D$2)*100-X6, "--")</f>
        <v>--</v>
      </c>
      <c r="Y38" s="5" t="str">
        <f>IF(  Y69&gt;$E$2, SUMIFS(IF($G$2="CPR",'Grid Data'!$AH$4:$AH$2342,'Grid Data'!$AI$4:$AI$2342),'Grid Data'!$Z$4:$Z$2342,$D38,'Grid Data'!$AA$4:$AA$2342,Y$4,'Grid Data'!$Y$4:$Y$2342,$D$2)*100-Y6, "--")</f>
        <v>--</v>
      </c>
      <c r="Z38" s="5" t="str">
        <f>IF(  Z69&gt;$E$2, SUMIFS(IF($G$2="CPR",'Grid Data'!$AH$4:$AH$2342,'Grid Data'!$AI$4:$AI$2342),'Grid Data'!$Z$4:$Z$2342,$D38,'Grid Data'!$AA$4:$AA$2342,Z$4,'Grid Data'!$Y$4:$Y$2342,$D$2)*100-Z6, "--")</f>
        <v>--</v>
      </c>
      <c r="AA38" s="5" t="str">
        <f>IF(  AA69&gt;$E$2, SUMIFS(IF($G$2="CPR",'Grid Data'!$AH$4:$AH$2342,'Grid Data'!$AI$4:$AI$2342),'Grid Data'!$Z$4:$Z$2342,$D38,'Grid Data'!$AA$4:$AA$2342,AA$4,'Grid Data'!$Y$4:$Y$2342,$D$2)*100-AA6, "--")</f>
        <v>--</v>
      </c>
      <c r="AB38" s="5" t="str">
        <f>IF(  AB69&gt;$E$2, SUMIFS(IF($G$2="CPR",'Grid Data'!$AH$4:$AH$2342,'Grid Data'!$AI$4:$AI$2342),'Grid Data'!$Z$4:$Z$2342,$D38,'Grid Data'!$AA$4:$AA$2342,AB$4,'Grid Data'!$Y$4:$Y$2342,$D$2)*100-AB6, "--")</f>
        <v>--</v>
      </c>
      <c r="AC38" s="5" t="str">
        <f>IF(  AC69&gt;$E$2, SUMIFS(IF($G$2="CPR",'Grid Data'!$AH$4:$AH$2342,'Grid Data'!$AI$4:$AI$2342),'Grid Data'!$Z$4:$Z$2342,$D38,'Grid Data'!$AA$4:$AA$2342,AC$4,'Grid Data'!$Y$4:$Y$2342,$D$2)*100-AC6, "--")</f>
        <v>--</v>
      </c>
      <c r="AD38" s="5" t="str">
        <f>IF(  AD69&gt;$E$2, SUMIFS(IF($G$2="CPR",'Grid Data'!$AH$4:$AH$2342,'Grid Data'!$AI$4:$AI$2342),'Grid Data'!$Z$4:$Z$2342,$D38,'Grid Data'!$AA$4:$AA$2342,AD$4,'Grid Data'!$Y$4:$Y$2342,$D$2)*100-AD6, "--")</f>
        <v>--</v>
      </c>
      <c r="AE38" s="5" t="str">
        <f>IF(  AE69&gt;$E$2, SUMIFS(IF($G$2="CPR",'Grid Data'!$AH$4:$AH$2342,'Grid Data'!$AI$4:$AI$2342),'Grid Data'!$Z$4:$Z$2342,$D38,'Grid Data'!$AA$4:$AA$2342,AE$4,'Grid Data'!$Y$4:$Y$2342,$D$2)*100-AE6, "--")</f>
        <v>--</v>
      </c>
      <c r="AF38" s="5" t="str">
        <f>IF(  AF69&gt;$E$2, SUMIFS(IF($G$2="CPR",'Grid Data'!$AH$4:$AH$2342,'Grid Data'!$AI$4:$AI$2342),'Grid Data'!$Z$4:$Z$2342,$D38,'Grid Data'!$AA$4:$AA$2342,AF$4,'Grid Data'!$Y$4:$Y$2342,$D$2)*100-AF6, "--")</f>
        <v>--</v>
      </c>
      <c r="AG38" s="5" t="str">
        <f>IF(  AG69&gt;$E$2, SUMIFS(IF($G$2="CPR",'Grid Data'!$AH$4:$AH$2342,'Grid Data'!$AI$4:$AI$2342),'Grid Data'!$Z$4:$Z$2342,$D38,'Grid Data'!$AA$4:$AA$2342,AG$4,'Grid Data'!$Y$4:$Y$2342,$D$2)*100-AG6, "--")</f>
        <v>--</v>
      </c>
      <c r="AH38" s="5" t="str">
        <f>IF(  AH69&gt;$E$2, SUMIFS(IF($G$2="CPR",'Grid Data'!$AH$4:$AH$2342,'Grid Data'!$AI$4:$AI$2342),'Grid Data'!$Z$4:$Z$2342,$D38,'Grid Data'!$AA$4:$AA$2342,AH$4,'Grid Data'!$Y$4:$Y$2342,$D$2)*100-AH6, "--")</f>
        <v>--</v>
      </c>
    </row>
    <row r="39" spans="3:34" x14ac:dyDescent="0.35">
      <c r="D39">
        <v>2500</v>
      </c>
      <c r="E39" s="5" t="str">
        <f>IF(  E70&gt;$E$2, SUMIFS(IF($G$2="CPR",'Grid Data'!$AH$4:$AH$2342,'Grid Data'!$AI$4:$AI$2342),'Grid Data'!$Z$4:$Z$2342,$D39,'Grid Data'!$AA$4:$AA$2342,E$4,'Grid Data'!$Y$4:$Y$2342,$D$2)*100-E7, "--")</f>
        <v>--</v>
      </c>
      <c r="F39" s="5" t="str">
        <f>IF(  F70&gt;$E$2, SUMIFS(IF($G$2="CPR",'Grid Data'!$AH$4:$AH$2342,'Grid Data'!$AI$4:$AI$2342),'Grid Data'!$Z$4:$Z$2342,$D39,'Grid Data'!$AA$4:$AA$2342,F$4,'Grid Data'!$Y$4:$Y$2342,$D$2)*100-F7, "--")</f>
        <v>--</v>
      </c>
      <c r="G39" s="5" t="str">
        <f>IF(  G70&gt;$E$2, SUMIFS(IF($G$2="CPR",'Grid Data'!$AH$4:$AH$2342,'Grid Data'!$AI$4:$AI$2342),'Grid Data'!$Z$4:$Z$2342,$D39,'Grid Data'!$AA$4:$AA$2342,G$4,'Grid Data'!$Y$4:$Y$2342,$D$2)*100-G7, "--")</f>
        <v>--</v>
      </c>
      <c r="H39" s="5" t="str">
        <f>IF(  H70&gt;$E$2, SUMIFS(IF($G$2="CPR",'Grid Data'!$AH$4:$AH$2342,'Grid Data'!$AI$4:$AI$2342),'Grid Data'!$Z$4:$Z$2342,$D39,'Grid Data'!$AA$4:$AA$2342,H$4,'Grid Data'!$Y$4:$Y$2342,$D$2)*100-H7, "--")</f>
        <v>--</v>
      </c>
      <c r="I39" s="5" t="str">
        <f>IF(  I70&gt;$E$2, SUMIFS(IF($G$2="CPR",'Grid Data'!$AH$4:$AH$2342,'Grid Data'!$AI$4:$AI$2342),'Grid Data'!$Z$4:$Z$2342,$D39,'Grid Data'!$AA$4:$AA$2342,I$4,'Grid Data'!$Y$4:$Y$2342,$D$2)*100-I7, "--")</f>
        <v>--</v>
      </c>
      <c r="J39" s="5" t="str">
        <f>IF(  J70&gt;$E$2, SUMIFS(IF($G$2="CPR",'Grid Data'!$AH$4:$AH$2342,'Grid Data'!$AI$4:$AI$2342),'Grid Data'!$Z$4:$Z$2342,$D39,'Grid Data'!$AA$4:$AA$2342,J$4,'Grid Data'!$Y$4:$Y$2342,$D$2)*100-J7, "--")</f>
        <v>--</v>
      </c>
      <c r="K39" s="5" t="str">
        <f>IF(  K70&gt;$E$2, SUMIFS(IF($G$2="CPR",'Grid Data'!$AH$4:$AH$2342,'Grid Data'!$AI$4:$AI$2342),'Grid Data'!$Z$4:$Z$2342,$D39,'Grid Data'!$AA$4:$AA$2342,K$4,'Grid Data'!$Y$4:$Y$2342,$D$2)*100-K7, "--")</f>
        <v>--</v>
      </c>
      <c r="L39" s="5" t="str">
        <f>IF(  L70&gt;$E$2, SUMIFS(IF($G$2="CPR",'Grid Data'!$AH$4:$AH$2342,'Grid Data'!$AI$4:$AI$2342),'Grid Data'!$Z$4:$Z$2342,$D39,'Grid Data'!$AA$4:$AA$2342,L$4,'Grid Data'!$Y$4:$Y$2342,$D$2)*100-L7, "--")</f>
        <v>--</v>
      </c>
      <c r="M39" s="5" t="str">
        <f>IF(  M70&gt;$E$2, SUMIFS(IF($G$2="CPR",'Grid Data'!$AH$4:$AH$2342,'Grid Data'!$AI$4:$AI$2342),'Grid Data'!$Z$4:$Z$2342,$D39,'Grid Data'!$AA$4:$AA$2342,M$4,'Grid Data'!$Y$4:$Y$2342,$D$2)*100-M7, "--")</f>
        <v>--</v>
      </c>
      <c r="N39" s="5" t="str">
        <f>IF(  N70&gt;$E$2, SUMIFS(IF($G$2="CPR",'Grid Data'!$AH$4:$AH$2342,'Grid Data'!$AI$4:$AI$2342),'Grid Data'!$Z$4:$Z$2342,$D39,'Grid Data'!$AA$4:$AA$2342,N$4,'Grid Data'!$Y$4:$Y$2342,$D$2)*100-N7, "--")</f>
        <v>--</v>
      </c>
      <c r="O39" s="5" t="str">
        <f>IF(  O70&gt;$E$2, SUMIFS(IF($G$2="CPR",'Grid Data'!$AH$4:$AH$2342,'Grid Data'!$AI$4:$AI$2342),'Grid Data'!$Z$4:$Z$2342,$D39,'Grid Data'!$AA$4:$AA$2342,O$4,'Grid Data'!$Y$4:$Y$2342,$D$2)*100-O7, "--")</f>
        <v>--</v>
      </c>
      <c r="P39" s="5" t="str">
        <f>IF(  P70&gt;$E$2, SUMIFS(IF($G$2="CPR",'Grid Data'!$AH$4:$AH$2342,'Grid Data'!$AI$4:$AI$2342),'Grid Data'!$Z$4:$Z$2342,$D39,'Grid Data'!$AA$4:$AA$2342,P$4,'Grid Data'!$Y$4:$Y$2342,$D$2)*100-P7, "--")</f>
        <v>--</v>
      </c>
      <c r="Q39" s="5" t="str">
        <f>IF(  Q70&gt;$E$2, SUMIFS(IF($G$2="CPR",'Grid Data'!$AH$4:$AH$2342,'Grid Data'!$AI$4:$AI$2342),'Grid Data'!$Z$4:$Z$2342,$D39,'Grid Data'!$AA$4:$AA$2342,Q$4,'Grid Data'!$Y$4:$Y$2342,$D$2)*100-Q7, "--")</f>
        <v>--</v>
      </c>
      <c r="R39" s="5" t="str">
        <f>IF(  R70&gt;$E$2, SUMIFS(IF($G$2="CPR",'Grid Data'!$AH$4:$AH$2342,'Grid Data'!$AI$4:$AI$2342),'Grid Data'!$Z$4:$Z$2342,$D39,'Grid Data'!$AA$4:$AA$2342,R$4,'Grid Data'!$Y$4:$Y$2342,$D$2)*100-R7, "--")</f>
        <v>--</v>
      </c>
      <c r="S39" s="5" t="str">
        <f>IF(  S70&gt;$E$2, SUMIFS(IF($G$2="CPR",'Grid Data'!$AH$4:$AH$2342,'Grid Data'!$AI$4:$AI$2342),'Grid Data'!$Z$4:$Z$2342,$D39,'Grid Data'!$AA$4:$AA$2342,S$4,'Grid Data'!$Y$4:$Y$2342,$D$2)*100-S7, "--")</f>
        <v>--</v>
      </c>
      <c r="T39" s="5">
        <f>IF(  T70&gt;$E$2, SUMIFS(IF($G$2="CPR",'Grid Data'!$AH$4:$AH$2342,'Grid Data'!$AI$4:$AI$2342),'Grid Data'!$Z$4:$Z$2342,$D39,'Grid Data'!$AA$4:$AA$2342,T$4,'Grid Data'!$Y$4:$Y$2342,$D$2)*100-T7, "--")</f>
        <v>-2.1491000000000002</v>
      </c>
      <c r="U39" s="5">
        <f>IF(  U70&gt;$E$2, SUMIFS(IF($G$2="CPR",'Grid Data'!$AH$4:$AH$2342,'Grid Data'!$AI$4:$AI$2342),'Grid Data'!$Z$4:$Z$2342,$D39,'Grid Data'!$AA$4:$AA$2342,U$4,'Grid Data'!$Y$4:$Y$2342,$D$2)*100-U7, "--")</f>
        <v>-1.4308999999999998</v>
      </c>
      <c r="V39" s="5">
        <f>IF(  V70&gt;$E$2, SUMIFS(IF($G$2="CPR",'Grid Data'!$AH$4:$AH$2342,'Grid Data'!$AI$4:$AI$2342),'Grid Data'!$Z$4:$Z$2342,$D39,'Grid Data'!$AA$4:$AA$2342,V$4,'Grid Data'!$Y$4:$Y$2342,$D$2)*100-V7, "--")</f>
        <v>-1.2883</v>
      </c>
      <c r="W39" s="5">
        <f>IF(  W70&gt;$E$2, SUMIFS(IF($G$2="CPR",'Grid Data'!$AH$4:$AH$2342,'Grid Data'!$AI$4:$AI$2342),'Grid Data'!$Z$4:$Z$2342,$D39,'Grid Data'!$AA$4:$AA$2342,W$4,'Grid Data'!$Y$4:$Y$2342,$D$2)*100-W7, "--")</f>
        <v>-1.3632</v>
      </c>
      <c r="X39" s="5" t="str">
        <f>IF(  X70&gt;$E$2, SUMIFS(IF($G$2="CPR",'Grid Data'!$AH$4:$AH$2342,'Grid Data'!$AI$4:$AI$2342),'Grid Data'!$Z$4:$Z$2342,$D39,'Grid Data'!$AA$4:$AA$2342,X$4,'Grid Data'!$Y$4:$Y$2342,$D$2)*100-X7, "--")</f>
        <v>--</v>
      </c>
      <c r="Y39" s="5" t="str">
        <f>IF(  Y70&gt;$E$2, SUMIFS(IF($G$2="CPR",'Grid Data'!$AH$4:$AH$2342,'Grid Data'!$AI$4:$AI$2342),'Grid Data'!$Z$4:$Z$2342,$D39,'Grid Data'!$AA$4:$AA$2342,Y$4,'Grid Data'!$Y$4:$Y$2342,$D$2)*100-Y7, "--")</f>
        <v>--</v>
      </c>
      <c r="Z39" s="5" t="str">
        <f>IF(  Z70&gt;$E$2, SUMIFS(IF($G$2="CPR",'Grid Data'!$AH$4:$AH$2342,'Grid Data'!$AI$4:$AI$2342),'Grid Data'!$Z$4:$Z$2342,$D39,'Grid Data'!$AA$4:$AA$2342,Z$4,'Grid Data'!$Y$4:$Y$2342,$D$2)*100-Z7, "--")</f>
        <v>--</v>
      </c>
      <c r="AA39" s="5" t="str">
        <f>IF(  AA70&gt;$E$2, SUMIFS(IF($G$2="CPR",'Grid Data'!$AH$4:$AH$2342,'Grid Data'!$AI$4:$AI$2342),'Grid Data'!$Z$4:$Z$2342,$D39,'Grid Data'!$AA$4:$AA$2342,AA$4,'Grid Data'!$Y$4:$Y$2342,$D$2)*100-AA7, "--")</f>
        <v>--</v>
      </c>
      <c r="AB39" s="5" t="str">
        <f>IF(  AB70&gt;$E$2, SUMIFS(IF($G$2="CPR",'Grid Data'!$AH$4:$AH$2342,'Grid Data'!$AI$4:$AI$2342),'Grid Data'!$Z$4:$Z$2342,$D39,'Grid Data'!$AA$4:$AA$2342,AB$4,'Grid Data'!$Y$4:$Y$2342,$D$2)*100-AB7, "--")</f>
        <v>--</v>
      </c>
      <c r="AC39" s="5">
        <f>IF(  AC70&gt;$E$2, SUMIFS(IF($G$2="CPR",'Grid Data'!$AH$4:$AH$2342,'Grid Data'!$AI$4:$AI$2342),'Grid Data'!$Z$4:$Z$2342,$D39,'Grid Data'!$AA$4:$AA$2342,AC$4,'Grid Data'!$Y$4:$Y$2342,$D$2)*100-AC7, "--")</f>
        <v>-5.1778000000000004</v>
      </c>
      <c r="AD39" s="5" t="str">
        <f>IF(  AD70&gt;$E$2, SUMIFS(IF($G$2="CPR",'Grid Data'!$AH$4:$AH$2342,'Grid Data'!$AI$4:$AI$2342),'Grid Data'!$Z$4:$Z$2342,$D39,'Grid Data'!$AA$4:$AA$2342,AD$4,'Grid Data'!$Y$4:$Y$2342,$D$2)*100-AD7, "--")</f>
        <v>--</v>
      </c>
      <c r="AE39" s="5" t="str">
        <f>IF(  AE70&gt;$E$2, SUMIFS(IF($G$2="CPR",'Grid Data'!$AH$4:$AH$2342,'Grid Data'!$AI$4:$AI$2342),'Grid Data'!$Z$4:$Z$2342,$D39,'Grid Data'!$AA$4:$AA$2342,AE$4,'Grid Data'!$Y$4:$Y$2342,$D$2)*100-AE7, "--")</f>
        <v>--</v>
      </c>
      <c r="AF39" s="5" t="str">
        <f>IF(  AF70&gt;$E$2, SUMIFS(IF($G$2="CPR",'Grid Data'!$AH$4:$AH$2342,'Grid Data'!$AI$4:$AI$2342),'Grid Data'!$Z$4:$Z$2342,$D39,'Grid Data'!$AA$4:$AA$2342,AF$4,'Grid Data'!$Y$4:$Y$2342,$D$2)*100-AF7, "--")</f>
        <v>--</v>
      </c>
      <c r="AG39" s="5" t="str">
        <f>IF(  AG70&gt;$E$2, SUMIFS(IF($G$2="CPR",'Grid Data'!$AH$4:$AH$2342,'Grid Data'!$AI$4:$AI$2342),'Grid Data'!$Z$4:$Z$2342,$D39,'Grid Data'!$AA$4:$AA$2342,AG$4,'Grid Data'!$Y$4:$Y$2342,$D$2)*100-AG7, "--")</f>
        <v>--</v>
      </c>
      <c r="AH39" s="5" t="str">
        <f>IF(  AH70&gt;$E$2, SUMIFS(IF($G$2="CPR",'Grid Data'!$AH$4:$AH$2342,'Grid Data'!$AI$4:$AI$2342),'Grid Data'!$Z$4:$Z$2342,$D39,'Grid Data'!$AA$4:$AA$2342,AH$4,'Grid Data'!$Y$4:$Y$2342,$D$2)*100-AH7, "--")</f>
        <v>--</v>
      </c>
    </row>
    <row r="40" spans="3:34" x14ac:dyDescent="0.35">
      <c r="D40">
        <v>2750</v>
      </c>
      <c r="E40" s="5" t="str">
        <f>IF(  E71&gt;$E$2, SUMIFS(IF($G$2="CPR",'Grid Data'!$AH$4:$AH$2342,'Grid Data'!$AI$4:$AI$2342),'Grid Data'!$Z$4:$Z$2342,$D40,'Grid Data'!$AA$4:$AA$2342,E$4,'Grid Data'!$Y$4:$Y$2342,$D$2)*100-E8, "--")</f>
        <v>--</v>
      </c>
      <c r="F40" s="5" t="str">
        <f>IF(  F71&gt;$E$2, SUMIFS(IF($G$2="CPR",'Grid Data'!$AH$4:$AH$2342,'Grid Data'!$AI$4:$AI$2342),'Grid Data'!$Z$4:$Z$2342,$D40,'Grid Data'!$AA$4:$AA$2342,F$4,'Grid Data'!$Y$4:$Y$2342,$D$2)*100-F8, "--")</f>
        <v>--</v>
      </c>
      <c r="G40" s="5" t="str">
        <f>IF(  G71&gt;$E$2, SUMIFS(IF($G$2="CPR",'Grid Data'!$AH$4:$AH$2342,'Grid Data'!$AI$4:$AI$2342),'Grid Data'!$Z$4:$Z$2342,$D40,'Grid Data'!$AA$4:$AA$2342,G$4,'Grid Data'!$Y$4:$Y$2342,$D$2)*100-G8, "--")</f>
        <v>--</v>
      </c>
      <c r="H40" s="5" t="str">
        <f>IF(  H71&gt;$E$2, SUMIFS(IF($G$2="CPR",'Grid Data'!$AH$4:$AH$2342,'Grid Data'!$AI$4:$AI$2342),'Grid Data'!$Z$4:$Z$2342,$D40,'Grid Data'!$AA$4:$AA$2342,H$4,'Grid Data'!$Y$4:$Y$2342,$D$2)*100-H8, "--")</f>
        <v>--</v>
      </c>
      <c r="I40" s="5" t="str">
        <f>IF(  I71&gt;$E$2, SUMIFS(IF($G$2="CPR",'Grid Data'!$AH$4:$AH$2342,'Grid Data'!$AI$4:$AI$2342),'Grid Data'!$Z$4:$Z$2342,$D40,'Grid Data'!$AA$4:$AA$2342,I$4,'Grid Data'!$Y$4:$Y$2342,$D$2)*100-I8, "--")</f>
        <v>--</v>
      </c>
      <c r="J40" s="5" t="str">
        <f>IF(  J71&gt;$E$2, SUMIFS(IF($G$2="CPR",'Grid Data'!$AH$4:$AH$2342,'Grid Data'!$AI$4:$AI$2342),'Grid Data'!$Z$4:$Z$2342,$D40,'Grid Data'!$AA$4:$AA$2342,J$4,'Grid Data'!$Y$4:$Y$2342,$D$2)*100-J8, "--")</f>
        <v>--</v>
      </c>
      <c r="K40" s="5" t="str">
        <f>IF(  K71&gt;$E$2, SUMIFS(IF($G$2="CPR",'Grid Data'!$AH$4:$AH$2342,'Grid Data'!$AI$4:$AI$2342),'Grid Data'!$Z$4:$Z$2342,$D40,'Grid Data'!$AA$4:$AA$2342,K$4,'Grid Data'!$Y$4:$Y$2342,$D$2)*100-K8, "--")</f>
        <v>--</v>
      </c>
      <c r="L40" s="5" t="str">
        <f>IF(  L71&gt;$E$2, SUMIFS(IF($G$2="CPR",'Grid Data'!$AH$4:$AH$2342,'Grid Data'!$AI$4:$AI$2342),'Grid Data'!$Z$4:$Z$2342,$D40,'Grid Data'!$AA$4:$AA$2342,L$4,'Grid Data'!$Y$4:$Y$2342,$D$2)*100-L8, "--")</f>
        <v>--</v>
      </c>
      <c r="M40" s="5" t="str">
        <f>IF(  M71&gt;$E$2, SUMIFS(IF($G$2="CPR",'Grid Data'!$AH$4:$AH$2342,'Grid Data'!$AI$4:$AI$2342),'Grid Data'!$Z$4:$Z$2342,$D40,'Grid Data'!$AA$4:$AA$2342,M$4,'Grid Data'!$Y$4:$Y$2342,$D$2)*100-M8, "--")</f>
        <v>--</v>
      </c>
      <c r="N40" s="5" t="str">
        <f>IF(  N71&gt;$E$2, SUMIFS(IF($G$2="CPR",'Grid Data'!$AH$4:$AH$2342,'Grid Data'!$AI$4:$AI$2342),'Grid Data'!$Z$4:$Z$2342,$D40,'Grid Data'!$AA$4:$AA$2342,N$4,'Grid Data'!$Y$4:$Y$2342,$D$2)*100-N8, "--")</f>
        <v>--</v>
      </c>
      <c r="O40" s="5" t="str">
        <f>IF(  O71&gt;$E$2, SUMIFS(IF($G$2="CPR",'Grid Data'!$AH$4:$AH$2342,'Grid Data'!$AI$4:$AI$2342),'Grid Data'!$Z$4:$Z$2342,$D40,'Grid Data'!$AA$4:$AA$2342,O$4,'Grid Data'!$Y$4:$Y$2342,$D$2)*100-O8, "--")</f>
        <v>--</v>
      </c>
      <c r="P40" s="5" t="str">
        <f>IF(  P71&gt;$E$2, SUMIFS(IF($G$2="CPR",'Grid Data'!$AH$4:$AH$2342,'Grid Data'!$AI$4:$AI$2342),'Grid Data'!$Z$4:$Z$2342,$D40,'Grid Data'!$AA$4:$AA$2342,P$4,'Grid Data'!$Y$4:$Y$2342,$D$2)*100-P8, "--")</f>
        <v>--</v>
      </c>
      <c r="Q40" s="5" t="str">
        <f>IF(  Q71&gt;$E$2, SUMIFS(IF($G$2="CPR",'Grid Data'!$AH$4:$AH$2342,'Grid Data'!$AI$4:$AI$2342),'Grid Data'!$Z$4:$Z$2342,$D40,'Grid Data'!$AA$4:$AA$2342,Q$4,'Grid Data'!$Y$4:$Y$2342,$D$2)*100-Q8, "--")</f>
        <v>--</v>
      </c>
      <c r="R40" s="5" t="str">
        <f>IF(  R71&gt;$E$2, SUMIFS(IF($G$2="CPR",'Grid Data'!$AH$4:$AH$2342,'Grid Data'!$AI$4:$AI$2342),'Grid Data'!$Z$4:$Z$2342,$D40,'Grid Data'!$AA$4:$AA$2342,R$4,'Grid Data'!$Y$4:$Y$2342,$D$2)*100-R8, "--")</f>
        <v>--</v>
      </c>
      <c r="S40" s="5">
        <f>IF(  S71&gt;$E$2, SUMIFS(IF($G$2="CPR",'Grid Data'!$AH$4:$AH$2342,'Grid Data'!$AI$4:$AI$2342),'Grid Data'!$Z$4:$Z$2342,$D40,'Grid Data'!$AA$4:$AA$2342,S$4,'Grid Data'!$Y$4:$Y$2342,$D$2)*100-S8, "--")</f>
        <v>-1.7732999999999999</v>
      </c>
      <c r="T40" s="5">
        <f>IF(  T71&gt;$E$2, SUMIFS(IF($G$2="CPR",'Grid Data'!$AH$4:$AH$2342,'Grid Data'!$AI$4:$AI$2342),'Grid Data'!$Z$4:$Z$2342,$D40,'Grid Data'!$AA$4:$AA$2342,T$4,'Grid Data'!$Y$4:$Y$2342,$D$2)*100-T8, "--")</f>
        <v>-0.57889999999999997</v>
      </c>
      <c r="U40" s="5">
        <f>IF(  U71&gt;$E$2, SUMIFS(IF($G$2="CPR",'Grid Data'!$AH$4:$AH$2342,'Grid Data'!$AI$4:$AI$2342),'Grid Data'!$Z$4:$Z$2342,$D40,'Grid Data'!$AA$4:$AA$2342,U$4,'Grid Data'!$Y$4:$Y$2342,$D$2)*100-U8, "--")</f>
        <v>-1.2234000000000007</v>
      </c>
      <c r="V40" s="5">
        <f>IF(  V71&gt;$E$2, SUMIFS(IF($G$2="CPR",'Grid Data'!$AH$4:$AH$2342,'Grid Data'!$AI$4:$AI$2342),'Grid Data'!$Z$4:$Z$2342,$D40,'Grid Data'!$AA$4:$AA$2342,V$4,'Grid Data'!$Y$4:$Y$2342,$D$2)*100-V8, "--")</f>
        <v>-0.65859999999999985</v>
      </c>
      <c r="W40" s="5">
        <f>IF(  W71&gt;$E$2, SUMIFS(IF($G$2="CPR",'Grid Data'!$AH$4:$AH$2342,'Grid Data'!$AI$4:$AI$2342),'Grid Data'!$Z$4:$Z$2342,$D40,'Grid Data'!$AA$4:$AA$2342,W$4,'Grid Data'!$Y$4:$Y$2342,$D$2)*100-W8, "--")</f>
        <v>-1.1407999999999996</v>
      </c>
      <c r="X40" s="5">
        <f>IF(  X71&gt;$E$2, SUMIFS(IF($G$2="CPR",'Grid Data'!$AH$4:$AH$2342,'Grid Data'!$AI$4:$AI$2342),'Grid Data'!$Z$4:$Z$2342,$D40,'Grid Data'!$AA$4:$AA$2342,X$4,'Grid Data'!$Y$4:$Y$2342,$D$2)*100-X8, "--")</f>
        <v>-4.2096999999999998</v>
      </c>
      <c r="Y40" s="5" t="str">
        <f>IF(  Y71&gt;$E$2, SUMIFS(IF($G$2="CPR",'Grid Data'!$AH$4:$AH$2342,'Grid Data'!$AI$4:$AI$2342),'Grid Data'!$Z$4:$Z$2342,$D40,'Grid Data'!$AA$4:$AA$2342,Y$4,'Grid Data'!$Y$4:$Y$2342,$D$2)*100-Y8, "--")</f>
        <v>--</v>
      </c>
      <c r="Z40" s="5" t="str">
        <f>IF(  Z71&gt;$E$2, SUMIFS(IF($G$2="CPR",'Grid Data'!$AH$4:$AH$2342,'Grid Data'!$AI$4:$AI$2342),'Grid Data'!$Z$4:$Z$2342,$D40,'Grid Data'!$AA$4:$AA$2342,Z$4,'Grid Data'!$Y$4:$Y$2342,$D$2)*100-Z8, "--")</f>
        <v>--</v>
      </c>
      <c r="AA40" s="5">
        <f>IF(  AA71&gt;$E$2, SUMIFS(IF($G$2="CPR",'Grid Data'!$AH$4:$AH$2342,'Grid Data'!$AI$4:$AI$2342),'Grid Data'!$Z$4:$Z$2342,$D40,'Grid Data'!$AA$4:$AA$2342,AA$4,'Grid Data'!$Y$4:$Y$2342,$D$2)*100-AA8, "--")</f>
        <v>-5.4682999999999993</v>
      </c>
      <c r="AB40" s="5" t="str">
        <f>IF(  AB71&gt;$E$2, SUMIFS(IF($G$2="CPR",'Grid Data'!$AH$4:$AH$2342,'Grid Data'!$AI$4:$AI$2342),'Grid Data'!$Z$4:$Z$2342,$D40,'Grid Data'!$AA$4:$AA$2342,AB$4,'Grid Data'!$Y$4:$Y$2342,$D$2)*100-AB8, "--")</f>
        <v>--</v>
      </c>
      <c r="AC40" s="5">
        <f>IF(  AC71&gt;$E$2, SUMIFS(IF($G$2="CPR",'Grid Data'!$AH$4:$AH$2342,'Grid Data'!$AI$4:$AI$2342),'Grid Data'!$Z$4:$Z$2342,$D40,'Grid Data'!$AA$4:$AA$2342,AC$4,'Grid Data'!$Y$4:$Y$2342,$D$2)*100-AC8, "--")</f>
        <v>-2.9716999999999998</v>
      </c>
      <c r="AD40" s="5" t="str">
        <f>IF(  AD71&gt;$E$2, SUMIFS(IF($G$2="CPR",'Grid Data'!$AH$4:$AH$2342,'Grid Data'!$AI$4:$AI$2342),'Grid Data'!$Z$4:$Z$2342,$D40,'Grid Data'!$AA$4:$AA$2342,AD$4,'Grid Data'!$Y$4:$Y$2342,$D$2)*100-AD8, "--")</f>
        <v>--</v>
      </c>
      <c r="AE40" s="5" t="str">
        <f>IF(  AE71&gt;$E$2, SUMIFS(IF($G$2="CPR",'Grid Data'!$AH$4:$AH$2342,'Grid Data'!$AI$4:$AI$2342),'Grid Data'!$Z$4:$Z$2342,$D40,'Grid Data'!$AA$4:$AA$2342,AE$4,'Grid Data'!$Y$4:$Y$2342,$D$2)*100-AE8, "--")</f>
        <v>--</v>
      </c>
      <c r="AF40" s="5" t="str">
        <f>IF(  AF71&gt;$E$2, SUMIFS(IF($G$2="CPR",'Grid Data'!$AH$4:$AH$2342,'Grid Data'!$AI$4:$AI$2342),'Grid Data'!$Z$4:$Z$2342,$D40,'Grid Data'!$AA$4:$AA$2342,AF$4,'Grid Data'!$Y$4:$Y$2342,$D$2)*100-AF8, "--")</f>
        <v>--</v>
      </c>
      <c r="AG40" s="5" t="str">
        <f>IF(  AG71&gt;$E$2, SUMIFS(IF($G$2="CPR",'Grid Data'!$AH$4:$AH$2342,'Grid Data'!$AI$4:$AI$2342),'Grid Data'!$Z$4:$Z$2342,$D40,'Grid Data'!$AA$4:$AA$2342,AG$4,'Grid Data'!$Y$4:$Y$2342,$D$2)*100-AG8, "--")</f>
        <v>--</v>
      </c>
      <c r="AH40" s="5" t="str">
        <f>IF(  AH71&gt;$E$2, SUMIFS(IF($G$2="CPR",'Grid Data'!$AH$4:$AH$2342,'Grid Data'!$AI$4:$AI$2342),'Grid Data'!$Z$4:$Z$2342,$D40,'Grid Data'!$AA$4:$AA$2342,AH$4,'Grid Data'!$Y$4:$Y$2342,$D$2)*100-AH8, "--")</f>
        <v>--</v>
      </c>
    </row>
    <row r="41" spans="3:34" x14ac:dyDescent="0.35">
      <c r="D41">
        <v>3000</v>
      </c>
      <c r="E41" s="5" t="str">
        <f>IF(  E72&gt;$E$2, SUMIFS(IF($G$2="CPR",'Grid Data'!$AH$4:$AH$2342,'Grid Data'!$AI$4:$AI$2342),'Grid Data'!$Z$4:$Z$2342,$D41,'Grid Data'!$AA$4:$AA$2342,E$4,'Grid Data'!$Y$4:$Y$2342,$D$2)*100-E9, "--")</f>
        <v>--</v>
      </c>
      <c r="F41" s="5" t="str">
        <f>IF(  F72&gt;$E$2, SUMIFS(IF($G$2="CPR",'Grid Data'!$AH$4:$AH$2342,'Grid Data'!$AI$4:$AI$2342),'Grid Data'!$Z$4:$Z$2342,$D41,'Grid Data'!$AA$4:$AA$2342,F$4,'Grid Data'!$Y$4:$Y$2342,$D$2)*100-F9, "--")</f>
        <v>--</v>
      </c>
      <c r="G41" s="5" t="str">
        <f>IF(  G72&gt;$E$2, SUMIFS(IF($G$2="CPR",'Grid Data'!$AH$4:$AH$2342,'Grid Data'!$AI$4:$AI$2342),'Grid Data'!$Z$4:$Z$2342,$D41,'Grid Data'!$AA$4:$AA$2342,G$4,'Grid Data'!$Y$4:$Y$2342,$D$2)*100-G9, "--")</f>
        <v>--</v>
      </c>
      <c r="H41" s="5" t="str">
        <f>IF(  H72&gt;$E$2, SUMIFS(IF($G$2="CPR",'Grid Data'!$AH$4:$AH$2342,'Grid Data'!$AI$4:$AI$2342),'Grid Data'!$Z$4:$Z$2342,$D41,'Grid Data'!$AA$4:$AA$2342,H$4,'Grid Data'!$Y$4:$Y$2342,$D$2)*100-H9, "--")</f>
        <v>--</v>
      </c>
      <c r="I41" s="5" t="str">
        <f>IF(  I72&gt;$E$2, SUMIFS(IF($G$2="CPR",'Grid Data'!$AH$4:$AH$2342,'Grid Data'!$AI$4:$AI$2342),'Grid Data'!$Z$4:$Z$2342,$D41,'Grid Data'!$AA$4:$AA$2342,I$4,'Grid Data'!$Y$4:$Y$2342,$D$2)*100-I9, "--")</f>
        <v>--</v>
      </c>
      <c r="J41" s="5" t="str">
        <f>IF(  J72&gt;$E$2, SUMIFS(IF($G$2="CPR",'Grid Data'!$AH$4:$AH$2342,'Grid Data'!$AI$4:$AI$2342),'Grid Data'!$Z$4:$Z$2342,$D41,'Grid Data'!$AA$4:$AA$2342,J$4,'Grid Data'!$Y$4:$Y$2342,$D$2)*100-J9, "--")</f>
        <v>--</v>
      </c>
      <c r="K41" s="5" t="str">
        <f>IF(  K72&gt;$E$2, SUMIFS(IF($G$2="CPR",'Grid Data'!$AH$4:$AH$2342,'Grid Data'!$AI$4:$AI$2342),'Grid Data'!$Z$4:$Z$2342,$D41,'Grid Data'!$AA$4:$AA$2342,K$4,'Grid Data'!$Y$4:$Y$2342,$D$2)*100-K9, "--")</f>
        <v>--</v>
      </c>
      <c r="L41" s="5" t="str">
        <f>IF(  L72&gt;$E$2, SUMIFS(IF($G$2="CPR",'Grid Data'!$AH$4:$AH$2342,'Grid Data'!$AI$4:$AI$2342),'Grid Data'!$Z$4:$Z$2342,$D41,'Grid Data'!$AA$4:$AA$2342,L$4,'Grid Data'!$Y$4:$Y$2342,$D$2)*100-L9, "--")</f>
        <v>--</v>
      </c>
      <c r="M41" s="5" t="str">
        <f>IF(  M72&gt;$E$2, SUMIFS(IF($G$2="CPR",'Grid Data'!$AH$4:$AH$2342,'Grid Data'!$AI$4:$AI$2342),'Grid Data'!$Z$4:$Z$2342,$D41,'Grid Data'!$AA$4:$AA$2342,M$4,'Grid Data'!$Y$4:$Y$2342,$D$2)*100-M9, "--")</f>
        <v>--</v>
      </c>
      <c r="N41" s="5" t="str">
        <f>IF(  N72&gt;$E$2, SUMIFS(IF($G$2="CPR",'Grid Data'!$AH$4:$AH$2342,'Grid Data'!$AI$4:$AI$2342),'Grid Data'!$Z$4:$Z$2342,$D41,'Grid Data'!$AA$4:$AA$2342,N$4,'Grid Data'!$Y$4:$Y$2342,$D$2)*100-N9, "--")</f>
        <v>--</v>
      </c>
      <c r="O41" s="5" t="str">
        <f>IF(  O72&gt;$E$2, SUMIFS(IF($G$2="CPR",'Grid Data'!$AH$4:$AH$2342,'Grid Data'!$AI$4:$AI$2342),'Grid Data'!$Z$4:$Z$2342,$D41,'Grid Data'!$AA$4:$AA$2342,O$4,'Grid Data'!$Y$4:$Y$2342,$D$2)*100-O9, "--")</f>
        <v>--</v>
      </c>
      <c r="P41" s="5" t="str">
        <f>IF(  P72&gt;$E$2, SUMIFS(IF($G$2="CPR",'Grid Data'!$AH$4:$AH$2342,'Grid Data'!$AI$4:$AI$2342),'Grid Data'!$Z$4:$Z$2342,$D41,'Grid Data'!$AA$4:$AA$2342,P$4,'Grid Data'!$Y$4:$Y$2342,$D$2)*100-P9, "--")</f>
        <v>--</v>
      </c>
      <c r="Q41" s="5" t="str">
        <f>IF(  Q72&gt;$E$2, SUMIFS(IF($G$2="CPR",'Grid Data'!$AH$4:$AH$2342,'Grid Data'!$AI$4:$AI$2342),'Grid Data'!$Z$4:$Z$2342,$D41,'Grid Data'!$AA$4:$AA$2342,Q$4,'Grid Data'!$Y$4:$Y$2342,$D$2)*100-Q9, "--")</f>
        <v>--</v>
      </c>
      <c r="R41" s="5" t="str">
        <f>IF(  R72&gt;$E$2, SUMIFS(IF($G$2="CPR",'Grid Data'!$AH$4:$AH$2342,'Grid Data'!$AI$4:$AI$2342),'Grid Data'!$Z$4:$Z$2342,$D41,'Grid Data'!$AA$4:$AA$2342,R$4,'Grid Data'!$Y$4:$Y$2342,$D$2)*100-R9, "--")</f>
        <v>--</v>
      </c>
      <c r="S41" s="5">
        <f>IF(  S72&gt;$E$2, SUMIFS(IF($G$2="CPR",'Grid Data'!$AH$4:$AH$2342,'Grid Data'!$AI$4:$AI$2342),'Grid Data'!$Z$4:$Z$2342,$D41,'Grid Data'!$AA$4:$AA$2342,S$4,'Grid Data'!$Y$4:$Y$2342,$D$2)*100-S9, "--")</f>
        <v>-3.2532000000000005</v>
      </c>
      <c r="T41" s="5">
        <f>IF(  T72&gt;$E$2, SUMIFS(IF($G$2="CPR",'Grid Data'!$AH$4:$AH$2342,'Grid Data'!$AI$4:$AI$2342),'Grid Data'!$Z$4:$Z$2342,$D41,'Grid Data'!$AA$4:$AA$2342,T$4,'Grid Data'!$Y$4:$Y$2342,$D$2)*100-T9, "--")</f>
        <v>-1.7164999999999999</v>
      </c>
      <c r="U41" s="5">
        <f>IF(  U72&gt;$E$2, SUMIFS(IF($G$2="CPR",'Grid Data'!$AH$4:$AH$2342,'Grid Data'!$AI$4:$AI$2342),'Grid Data'!$Z$4:$Z$2342,$D41,'Grid Data'!$AA$4:$AA$2342,U$4,'Grid Data'!$Y$4:$Y$2342,$D$2)*100-U9, "--")</f>
        <v>-1.6260999999999992</v>
      </c>
      <c r="V41" s="5">
        <f>IF(  V72&gt;$E$2, SUMIFS(IF($G$2="CPR",'Grid Data'!$AH$4:$AH$2342,'Grid Data'!$AI$4:$AI$2342),'Grid Data'!$Z$4:$Z$2342,$D41,'Grid Data'!$AA$4:$AA$2342,V$4,'Grid Data'!$Y$4:$Y$2342,$D$2)*100-V9, "--")</f>
        <v>-1.5427999999999993</v>
      </c>
      <c r="W41" s="5">
        <f>IF(  W72&gt;$E$2, SUMIFS(IF($G$2="CPR",'Grid Data'!$AH$4:$AH$2342,'Grid Data'!$AI$4:$AI$2342),'Grid Data'!$Z$4:$Z$2342,$D41,'Grid Data'!$AA$4:$AA$2342,W$4,'Grid Data'!$Y$4:$Y$2342,$D$2)*100-W9, "--")</f>
        <v>-1.3357000000000001</v>
      </c>
      <c r="X41" s="5">
        <f>IF(  X72&gt;$E$2, SUMIFS(IF($G$2="CPR",'Grid Data'!$AH$4:$AH$2342,'Grid Data'!$AI$4:$AI$2342),'Grid Data'!$Z$4:$Z$2342,$D41,'Grid Data'!$AA$4:$AA$2342,X$4,'Grid Data'!$Y$4:$Y$2342,$D$2)*100-X9, "--")</f>
        <v>-3.3982000000000001</v>
      </c>
      <c r="Y41" s="5" t="str">
        <f>IF(  Y72&gt;$E$2, SUMIFS(IF($G$2="CPR",'Grid Data'!$AH$4:$AH$2342,'Grid Data'!$AI$4:$AI$2342),'Grid Data'!$Z$4:$Z$2342,$D41,'Grid Data'!$AA$4:$AA$2342,Y$4,'Grid Data'!$Y$4:$Y$2342,$D$2)*100-Y9, "--")</f>
        <v>--</v>
      </c>
      <c r="Z41" s="5">
        <f>IF(  Z72&gt;$E$2, SUMIFS(IF($G$2="CPR",'Grid Data'!$AH$4:$AH$2342,'Grid Data'!$AI$4:$AI$2342),'Grid Data'!$Z$4:$Z$2342,$D41,'Grid Data'!$AA$4:$AA$2342,Z$4,'Grid Data'!$Y$4:$Y$2342,$D$2)*100-Z9, "--")</f>
        <v>-4.9001999999999999</v>
      </c>
      <c r="AA41" s="5">
        <f>IF(  AA72&gt;$E$2, SUMIFS(IF($G$2="CPR",'Grid Data'!$AH$4:$AH$2342,'Grid Data'!$AI$4:$AI$2342),'Grid Data'!$Z$4:$Z$2342,$D41,'Grid Data'!$AA$4:$AA$2342,AA$4,'Grid Data'!$Y$4:$Y$2342,$D$2)*100-AA9, "--")</f>
        <v>-1.5913999999999993</v>
      </c>
      <c r="AB41" s="5">
        <f>IF(  AB72&gt;$E$2, SUMIFS(IF($G$2="CPR",'Grid Data'!$AH$4:$AH$2342,'Grid Data'!$AI$4:$AI$2342),'Grid Data'!$Z$4:$Z$2342,$D41,'Grid Data'!$AA$4:$AA$2342,AB$4,'Grid Data'!$Y$4:$Y$2342,$D$2)*100-AB9, "--")</f>
        <v>-5.7369000000000003</v>
      </c>
      <c r="AC41" s="5">
        <f>IF(  AC72&gt;$E$2, SUMIFS(IF($G$2="CPR",'Grid Data'!$AH$4:$AH$2342,'Grid Data'!$AI$4:$AI$2342),'Grid Data'!$Z$4:$Z$2342,$D41,'Grid Data'!$AA$4:$AA$2342,AC$4,'Grid Data'!$Y$4:$Y$2342,$D$2)*100-AC9, "--")</f>
        <v>-0.34959999999999969</v>
      </c>
      <c r="AD41" s="5">
        <f>IF(  AD72&gt;$E$2, SUMIFS(IF($G$2="CPR",'Grid Data'!$AH$4:$AH$2342,'Grid Data'!$AI$4:$AI$2342),'Grid Data'!$Z$4:$Z$2342,$D41,'Grid Data'!$AA$4:$AA$2342,AD$4,'Grid Data'!$Y$4:$Y$2342,$D$2)*100-AD9, "--")</f>
        <v>-2.3273999999999999</v>
      </c>
      <c r="AE41" s="5" t="str">
        <f>IF(  AE72&gt;$E$2, SUMIFS(IF($G$2="CPR",'Grid Data'!$AH$4:$AH$2342,'Grid Data'!$AI$4:$AI$2342),'Grid Data'!$Z$4:$Z$2342,$D41,'Grid Data'!$AA$4:$AA$2342,AE$4,'Grid Data'!$Y$4:$Y$2342,$D$2)*100-AE9, "--")</f>
        <v>--</v>
      </c>
      <c r="AF41" s="5" t="str">
        <f>IF(  AF72&gt;$E$2, SUMIFS(IF($G$2="CPR",'Grid Data'!$AH$4:$AH$2342,'Grid Data'!$AI$4:$AI$2342),'Grid Data'!$Z$4:$Z$2342,$D41,'Grid Data'!$AA$4:$AA$2342,AF$4,'Grid Data'!$Y$4:$Y$2342,$D$2)*100-AF9, "--")</f>
        <v>--</v>
      </c>
      <c r="AG41" s="5" t="str">
        <f>IF(  AG72&gt;$E$2, SUMIFS(IF($G$2="CPR",'Grid Data'!$AH$4:$AH$2342,'Grid Data'!$AI$4:$AI$2342),'Grid Data'!$Z$4:$Z$2342,$D41,'Grid Data'!$AA$4:$AA$2342,AG$4,'Grid Data'!$Y$4:$Y$2342,$D$2)*100-AG9, "--")</f>
        <v>--</v>
      </c>
      <c r="AH41" s="5" t="str">
        <f>IF(  AH72&gt;$E$2, SUMIFS(IF($G$2="CPR",'Grid Data'!$AH$4:$AH$2342,'Grid Data'!$AI$4:$AI$2342),'Grid Data'!$Z$4:$Z$2342,$D41,'Grid Data'!$AA$4:$AA$2342,AH$4,'Grid Data'!$Y$4:$Y$2342,$D$2)*100-AH9, "--")</f>
        <v>--</v>
      </c>
    </row>
    <row r="42" spans="3:34" x14ac:dyDescent="0.35">
      <c r="D42">
        <v>3250</v>
      </c>
      <c r="E42" s="5" t="str">
        <f>IF(  E73&gt;$E$2, SUMIFS(IF($G$2="CPR",'Grid Data'!$AH$4:$AH$2342,'Grid Data'!$AI$4:$AI$2342),'Grid Data'!$Z$4:$Z$2342,$D42,'Grid Data'!$AA$4:$AA$2342,E$4,'Grid Data'!$Y$4:$Y$2342,$D$2)*100-E10, "--")</f>
        <v>--</v>
      </c>
      <c r="F42" s="5" t="str">
        <f>IF(  F73&gt;$E$2, SUMIFS(IF($G$2="CPR",'Grid Data'!$AH$4:$AH$2342,'Grid Data'!$AI$4:$AI$2342),'Grid Data'!$Z$4:$Z$2342,$D42,'Grid Data'!$AA$4:$AA$2342,F$4,'Grid Data'!$Y$4:$Y$2342,$D$2)*100-F10, "--")</f>
        <v>--</v>
      </c>
      <c r="G42" s="5" t="str">
        <f>IF(  G73&gt;$E$2, SUMIFS(IF($G$2="CPR",'Grid Data'!$AH$4:$AH$2342,'Grid Data'!$AI$4:$AI$2342),'Grid Data'!$Z$4:$Z$2342,$D42,'Grid Data'!$AA$4:$AA$2342,G$4,'Grid Data'!$Y$4:$Y$2342,$D$2)*100-G10, "--")</f>
        <v>--</v>
      </c>
      <c r="H42" s="5" t="str">
        <f>IF(  H73&gt;$E$2, SUMIFS(IF($G$2="CPR",'Grid Data'!$AH$4:$AH$2342,'Grid Data'!$AI$4:$AI$2342),'Grid Data'!$Z$4:$Z$2342,$D42,'Grid Data'!$AA$4:$AA$2342,H$4,'Grid Data'!$Y$4:$Y$2342,$D$2)*100-H10, "--")</f>
        <v>--</v>
      </c>
      <c r="I42" s="5" t="str">
        <f>IF(  I73&gt;$E$2, SUMIFS(IF($G$2="CPR",'Grid Data'!$AH$4:$AH$2342,'Grid Data'!$AI$4:$AI$2342),'Grid Data'!$Z$4:$Z$2342,$D42,'Grid Data'!$AA$4:$AA$2342,I$4,'Grid Data'!$Y$4:$Y$2342,$D$2)*100-I10, "--")</f>
        <v>--</v>
      </c>
      <c r="J42" s="5" t="str">
        <f>IF(  J73&gt;$E$2, SUMIFS(IF($G$2="CPR",'Grid Data'!$AH$4:$AH$2342,'Grid Data'!$AI$4:$AI$2342),'Grid Data'!$Z$4:$Z$2342,$D42,'Grid Data'!$AA$4:$AA$2342,J$4,'Grid Data'!$Y$4:$Y$2342,$D$2)*100-J10, "--")</f>
        <v>--</v>
      </c>
      <c r="K42" s="5" t="str">
        <f>IF(  K73&gt;$E$2, SUMIFS(IF($G$2="CPR",'Grid Data'!$AH$4:$AH$2342,'Grid Data'!$AI$4:$AI$2342),'Grid Data'!$Z$4:$Z$2342,$D42,'Grid Data'!$AA$4:$AA$2342,K$4,'Grid Data'!$Y$4:$Y$2342,$D$2)*100-K10, "--")</f>
        <v>--</v>
      </c>
      <c r="L42" s="5" t="str">
        <f>IF(  L73&gt;$E$2, SUMIFS(IF($G$2="CPR",'Grid Data'!$AH$4:$AH$2342,'Grid Data'!$AI$4:$AI$2342),'Grid Data'!$Z$4:$Z$2342,$D42,'Grid Data'!$AA$4:$AA$2342,L$4,'Grid Data'!$Y$4:$Y$2342,$D$2)*100-L10, "--")</f>
        <v>--</v>
      </c>
      <c r="M42" s="5" t="str">
        <f>IF(  M73&gt;$E$2, SUMIFS(IF($G$2="CPR",'Grid Data'!$AH$4:$AH$2342,'Grid Data'!$AI$4:$AI$2342),'Grid Data'!$Z$4:$Z$2342,$D42,'Grid Data'!$AA$4:$AA$2342,M$4,'Grid Data'!$Y$4:$Y$2342,$D$2)*100-M10, "--")</f>
        <v>--</v>
      </c>
      <c r="N42" s="5" t="str">
        <f>IF(  N73&gt;$E$2, SUMIFS(IF($G$2="CPR",'Grid Data'!$AH$4:$AH$2342,'Grid Data'!$AI$4:$AI$2342),'Grid Data'!$Z$4:$Z$2342,$D42,'Grid Data'!$AA$4:$AA$2342,N$4,'Grid Data'!$Y$4:$Y$2342,$D$2)*100-N10, "--")</f>
        <v>--</v>
      </c>
      <c r="O42" s="5" t="str">
        <f>IF(  O73&gt;$E$2, SUMIFS(IF($G$2="CPR",'Grid Data'!$AH$4:$AH$2342,'Grid Data'!$AI$4:$AI$2342),'Grid Data'!$Z$4:$Z$2342,$D42,'Grid Data'!$AA$4:$AA$2342,O$4,'Grid Data'!$Y$4:$Y$2342,$D$2)*100-O10, "--")</f>
        <v>--</v>
      </c>
      <c r="P42" s="5" t="str">
        <f>IF(  P73&gt;$E$2, SUMIFS(IF($G$2="CPR",'Grid Data'!$AH$4:$AH$2342,'Grid Data'!$AI$4:$AI$2342),'Grid Data'!$Z$4:$Z$2342,$D42,'Grid Data'!$AA$4:$AA$2342,P$4,'Grid Data'!$Y$4:$Y$2342,$D$2)*100-P10, "--")</f>
        <v>--</v>
      </c>
      <c r="Q42" s="5" t="str">
        <f>IF(  Q73&gt;$E$2, SUMIFS(IF($G$2="CPR",'Grid Data'!$AH$4:$AH$2342,'Grid Data'!$AI$4:$AI$2342),'Grid Data'!$Z$4:$Z$2342,$D42,'Grid Data'!$AA$4:$AA$2342,Q$4,'Grid Data'!$Y$4:$Y$2342,$D$2)*100-Q10, "--")</f>
        <v>--</v>
      </c>
      <c r="R42" s="5" t="str">
        <f>IF(  R73&gt;$E$2, SUMIFS(IF($G$2="CPR",'Grid Data'!$AH$4:$AH$2342,'Grid Data'!$AI$4:$AI$2342),'Grid Data'!$Z$4:$Z$2342,$D42,'Grid Data'!$AA$4:$AA$2342,R$4,'Grid Data'!$Y$4:$Y$2342,$D$2)*100-R10, "--")</f>
        <v>--</v>
      </c>
      <c r="S42" s="5">
        <f>IF(  S73&gt;$E$2, SUMIFS(IF($G$2="CPR",'Grid Data'!$AH$4:$AH$2342,'Grid Data'!$AI$4:$AI$2342),'Grid Data'!$Z$4:$Z$2342,$D42,'Grid Data'!$AA$4:$AA$2342,S$4,'Grid Data'!$Y$4:$Y$2342,$D$2)*100-S10, "--")</f>
        <v>-3.3346999999999998</v>
      </c>
      <c r="T42" s="5">
        <f>IF(  T73&gt;$E$2, SUMIFS(IF($G$2="CPR",'Grid Data'!$AH$4:$AH$2342,'Grid Data'!$AI$4:$AI$2342),'Grid Data'!$Z$4:$Z$2342,$D42,'Grid Data'!$AA$4:$AA$2342,T$4,'Grid Data'!$Y$4:$Y$2342,$D$2)*100-T10, "--")</f>
        <v>-2.0347000000000004</v>
      </c>
      <c r="U42" s="5">
        <f>IF(  U73&gt;$E$2, SUMIFS(IF($G$2="CPR",'Grid Data'!$AH$4:$AH$2342,'Grid Data'!$AI$4:$AI$2342),'Grid Data'!$Z$4:$Z$2342,$D42,'Grid Data'!$AA$4:$AA$2342,U$4,'Grid Data'!$Y$4:$Y$2342,$D$2)*100-U10, "--")</f>
        <v>-2.4180999999999999</v>
      </c>
      <c r="V42" s="5">
        <f>IF(  V73&gt;$E$2, SUMIFS(IF($G$2="CPR",'Grid Data'!$AH$4:$AH$2342,'Grid Data'!$AI$4:$AI$2342),'Grid Data'!$Z$4:$Z$2342,$D42,'Grid Data'!$AA$4:$AA$2342,V$4,'Grid Data'!$Y$4:$Y$2342,$D$2)*100-V10, "--")</f>
        <v>-2.0232000000000001</v>
      </c>
      <c r="W42" s="5">
        <f>IF(  W73&gt;$E$2, SUMIFS(IF($G$2="CPR",'Grid Data'!$AH$4:$AH$2342,'Grid Data'!$AI$4:$AI$2342),'Grid Data'!$Z$4:$Z$2342,$D42,'Grid Data'!$AA$4:$AA$2342,W$4,'Grid Data'!$Y$4:$Y$2342,$D$2)*100-W10, "--")</f>
        <v>-1.5927000000000007</v>
      </c>
      <c r="X42" s="5">
        <f>IF(  X73&gt;$E$2, SUMIFS(IF($G$2="CPR",'Grid Data'!$AH$4:$AH$2342,'Grid Data'!$AI$4:$AI$2342),'Grid Data'!$Z$4:$Z$2342,$D42,'Grid Data'!$AA$4:$AA$2342,X$4,'Grid Data'!$Y$4:$Y$2342,$D$2)*100-X10, "--")</f>
        <v>-1.0812000000000008</v>
      </c>
      <c r="Y42" s="5">
        <f>IF(  Y73&gt;$E$2, SUMIFS(IF($G$2="CPR",'Grid Data'!$AH$4:$AH$2342,'Grid Data'!$AI$4:$AI$2342),'Grid Data'!$Z$4:$Z$2342,$D42,'Grid Data'!$AA$4:$AA$2342,Y$4,'Grid Data'!$Y$4:$Y$2342,$D$2)*100-Y10, "--")</f>
        <v>-0.8996000000000004</v>
      </c>
      <c r="Z42" s="5">
        <f>IF(  Z73&gt;$E$2, SUMIFS(IF($G$2="CPR",'Grid Data'!$AH$4:$AH$2342,'Grid Data'!$AI$4:$AI$2342),'Grid Data'!$Z$4:$Z$2342,$D42,'Grid Data'!$AA$4:$AA$2342,Z$4,'Grid Data'!$Y$4:$Y$2342,$D$2)*100-Z10, "--")</f>
        <v>-0.28060000000000063</v>
      </c>
      <c r="AA42" s="5">
        <f>IF(  AA73&gt;$E$2, SUMIFS(IF($G$2="CPR",'Grid Data'!$AH$4:$AH$2342,'Grid Data'!$AI$4:$AI$2342),'Grid Data'!$Z$4:$Z$2342,$D42,'Grid Data'!$AA$4:$AA$2342,AA$4,'Grid Data'!$Y$4:$Y$2342,$D$2)*100-AA10, "--")</f>
        <v>-1.1679999999999993</v>
      </c>
      <c r="AB42" s="5">
        <f>IF(  AB73&gt;$E$2, SUMIFS(IF($G$2="CPR",'Grid Data'!$AH$4:$AH$2342,'Grid Data'!$AI$4:$AI$2342),'Grid Data'!$Z$4:$Z$2342,$D42,'Grid Data'!$AA$4:$AA$2342,AB$4,'Grid Data'!$Y$4:$Y$2342,$D$2)*100-AB10, "--")</f>
        <v>-0.78869999999999951</v>
      </c>
      <c r="AC42" s="5">
        <f>IF(  AC73&gt;$E$2, SUMIFS(IF($G$2="CPR",'Grid Data'!$AH$4:$AH$2342,'Grid Data'!$AI$4:$AI$2342),'Grid Data'!$Z$4:$Z$2342,$D42,'Grid Data'!$AA$4:$AA$2342,AC$4,'Grid Data'!$Y$4:$Y$2342,$D$2)*100-AC10, "--")</f>
        <v>0.40669999999999984</v>
      </c>
      <c r="AD42" s="5">
        <f>IF(  AD73&gt;$E$2, SUMIFS(IF($G$2="CPR",'Grid Data'!$AH$4:$AH$2342,'Grid Data'!$AI$4:$AI$2342),'Grid Data'!$Z$4:$Z$2342,$D42,'Grid Data'!$AA$4:$AA$2342,AD$4,'Grid Data'!$Y$4:$Y$2342,$D$2)*100-AD10, "--")</f>
        <v>-3.1943999999999999</v>
      </c>
      <c r="AE42" s="5" t="str">
        <f>IF(  AE73&gt;$E$2, SUMIFS(IF($G$2="CPR",'Grid Data'!$AH$4:$AH$2342,'Grid Data'!$AI$4:$AI$2342),'Grid Data'!$Z$4:$Z$2342,$D42,'Grid Data'!$AA$4:$AA$2342,AE$4,'Grid Data'!$Y$4:$Y$2342,$D$2)*100-AE10, "--")</f>
        <v>--</v>
      </c>
      <c r="AF42" s="5" t="str">
        <f>IF(  AF73&gt;$E$2, SUMIFS(IF($G$2="CPR",'Grid Data'!$AH$4:$AH$2342,'Grid Data'!$AI$4:$AI$2342),'Grid Data'!$Z$4:$Z$2342,$D42,'Grid Data'!$AA$4:$AA$2342,AF$4,'Grid Data'!$Y$4:$Y$2342,$D$2)*100-AF10, "--")</f>
        <v>--</v>
      </c>
      <c r="AG42" s="5" t="str">
        <f>IF(  AG73&gt;$E$2, SUMIFS(IF($G$2="CPR",'Grid Data'!$AH$4:$AH$2342,'Grid Data'!$AI$4:$AI$2342),'Grid Data'!$Z$4:$Z$2342,$D42,'Grid Data'!$AA$4:$AA$2342,AG$4,'Grid Data'!$Y$4:$Y$2342,$D$2)*100-AG10, "--")</f>
        <v>--</v>
      </c>
      <c r="AH42" s="5" t="str">
        <f>IF(  AH73&gt;$E$2, SUMIFS(IF($G$2="CPR",'Grid Data'!$AH$4:$AH$2342,'Grid Data'!$AI$4:$AI$2342),'Grid Data'!$Z$4:$Z$2342,$D42,'Grid Data'!$AA$4:$AA$2342,AH$4,'Grid Data'!$Y$4:$Y$2342,$D$2)*100-AH10, "--")</f>
        <v>--</v>
      </c>
    </row>
    <row r="43" spans="3:34" x14ac:dyDescent="0.35">
      <c r="D43">
        <v>3500</v>
      </c>
      <c r="E43" s="5">
        <f>IF(  E74&gt;$E$2, SUMIFS(IF($G$2="CPR",'Grid Data'!$AH$4:$AH$2342,'Grid Data'!$AI$4:$AI$2342),'Grid Data'!$Z$4:$Z$2342,$D43,'Grid Data'!$AA$4:$AA$2342,E$4,'Grid Data'!$Y$4:$Y$2342,$D$2)*100-E11, "--")</f>
        <v>-1.7890999999999999</v>
      </c>
      <c r="F43" s="5" t="str">
        <f>IF(  F74&gt;$E$2, SUMIFS(IF($G$2="CPR",'Grid Data'!$AH$4:$AH$2342,'Grid Data'!$AI$4:$AI$2342),'Grid Data'!$Z$4:$Z$2342,$D43,'Grid Data'!$AA$4:$AA$2342,F$4,'Grid Data'!$Y$4:$Y$2342,$D$2)*100-F11, "--")</f>
        <v>--</v>
      </c>
      <c r="G43" s="5" t="str">
        <f>IF(  G74&gt;$E$2, SUMIFS(IF($G$2="CPR",'Grid Data'!$AH$4:$AH$2342,'Grid Data'!$AI$4:$AI$2342),'Grid Data'!$Z$4:$Z$2342,$D43,'Grid Data'!$AA$4:$AA$2342,G$4,'Grid Data'!$Y$4:$Y$2342,$D$2)*100-G11, "--")</f>
        <v>--</v>
      </c>
      <c r="H43" s="5" t="str">
        <f>IF(  H74&gt;$E$2, SUMIFS(IF($G$2="CPR",'Grid Data'!$AH$4:$AH$2342,'Grid Data'!$AI$4:$AI$2342),'Grid Data'!$Z$4:$Z$2342,$D43,'Grid Data'!$AA$4:$AA$2342,H$4,'Grid Data'!$Y$4:$Y$2342,$D$2)*100-H11, "--")</f>
        <v>--</v>
      </c>
      <c r="I43" s="5" t="str">
        <f>IF(  I74&gt;$E$2, SUMIFS(IF($G$2="CPR",'Grid Data'!$AH$4:$AH$2342,'Grid Data'!$AI$4:$AI$2342),'Grid Data'!$Z$4:$Z$2342,$D43,'Grid Data'!$AA$4:$AA$2342,I$4,'Grid Data'!$Y$4:$Y$2342,$D$2)*100-I11, "--")</f>
        <v>--</v>
      </c>
      <c r="J43" s="5" t="str">
        <f>IF(  J74&gt;$E$2, SUMIFS(IF($G$2="CPR",'Grid Data'!$AH$4:$AH$2342,'Grid Data'!$AI$4:$AI$2342),'Grid Data'!$Z$4:$Z$2342,$D43,'Grid Data'!$AA$4:$AA$2342,J$4,'Grid Data'!$Y$4:$Y$2342,$D$2)*100-J11, "--")</f>
        <v>--</v>
      </c>
      <c r="K43" s="5" t="str">
        <f>IF(  K74&gt;$E$2, SUMIFS(IF($G$2="CPR",'Grid Data'!$AH$4:$AH$2342,'Grid Data'!$AI$4:$AI$2342),'Grid Data'!$Z$4:$Z$2342,$D43,'Grid Data'!$AA$4:$AA$2342,K$4,'Grid Data'!$Y$4:$Y$2342,$D$2)*100-K11, "--")</f>
        <v>--</v>
      </c>
      <c r="L43" s="5" t="str">
        <f>IF(  L74&gt;$E$2, SUMIFS(IF($G$2="CPR",'Grid Data'!$AH$4:$AH$2342,'Grid Data'!$AI$4:$AI$2342),'Grid Data'!$Z$4:$Z$2342,$D43,'Grid Data'!$AA$4:$AA$2342,L$4,'Grid Data'!$Y$4:$Y$2342,$D$2)*100-L11, "--")</f>
        <v>--</v>
      </c>
      <c r="M43" s="5" t="str">
        <f>IF(  M74&gt;$E$2, SUMIFS(IF($G$2="CPR",'Grid Data'!$AH$4:$AH$2342,'Grid Data'!$AI$4:$AI$2342),'Grid Data'!$Z$4:$Z$2342,$D43,'Grid Data'!$AA$4:$AA$2342,M$4,'Grid Data'!$Y$4:$Y$2342,$D$2)*100-M11, "--")</f>
        <v>--</v>
      </c>
      <c r="N43" s="5" t="str">
        <f>IF(  N74&gt;$E$2, SUMIFS(IF($G$2="CPR",'Grid Data'!$AH$4:$AH$2342,'Grid Data'!$AI$4:$AI$2342),'Grid Data'!$Z$4:$Z$2342,$D43,'Grid Data'!$AA$4:$AA$2342,N$4,'Grid Data'!$Y$4:$Y$2342,$D$2)*100-N11, "--")</f>
        <v>--</v>
      </c>
      <c r="O43" s="5" t="str">
        <f>IF(  O74&gt;$E$2, SUMIFS(IF($G$2="CPR",'Grid Data'!$AH$4:$AH$2342,'Grid Data'!$AI$4:$AI$2342),'Grid Data'!$Z$4:$Z$2342,$D43,'Grid Data'!$AA$4:$AA$2342,O$4,'Grid Data'!$Y$4:$Y$2342,$D$2)*100-O11, "--")</f>
        <v>--</v>
      </c>
      <c r="P43" s="5" t="str">
        <f>IF(  P74&gt;$E$2, SUMIFS(IF($G$2="CPR",'Grid Data'!$AH$4:$AH$2342,'Grid Data'!$AI$4:$AI$2342),'Grid Data'!$Z$4:$Z$2342,$D43,'Grid Data'!$AA$4:$AA$2342,P$4,'Grid Data'!$Y$4:$Y$2342,$D$2)*100-P11, "--")</f>
        <v>--</v>
      </c>
      <c r="Q43" s="5" t="str">
        <f>IF(  Q74&gt;$E$2, SUMIFS(IF($G$2="CPR",'Grid Data'!$AH$4:$AH$2342,'Grid Data'!$AI$4:$AI$2342),'Grid Data'!$Z$4:$Z$2342,$D43,'Grid Data'!$AA$4:$AA$2342,Q$4,'Grid Data'!$Y$4:$Y$2342,$D$2)*100-Q11, "--")</f>
        <v>--</v>
      </c>
      <c r="R43" s="5" t="str">
        <f>IF(  R74&gt;$E$2, SUMIFS(IF($G$2="CPR",'Grid Data'!$AH$4:$AH$2342,'Grid Data'!$AI$4:$AI$2342),'Grid Data'!$Z$4:$Z$2342,$D43,'Grid Data'!$AA$4:$AA$2342,R$4,'Grid Data'!$Y$4:$Y$2342,$D$2)*100-R11, "--")</f>
        <v>--</v>
      </c>
      <c r="S43" s="5">
        <f>IF(  S74&gt;$E$2, SUMIFS(IF($G$2="CPR",'Grid Data'!$AH$4:$AH$2342,'Grid Data'!$AI$4:$AI$2342),'Grid Data'!$Z$4:$Z$2342,$D43,'Grid Data'!$AA$4:$AA$2342,S$4,'Grid Data'!$Y$4:$Y$2342,$D$2)*100-S11, "--")</f>
        <v>-3.5661999999999998</v>
      </c>
      <c r="T43" s="5">
        <f>IF(  T74&gt;$E$2, SUMIFS(IF($G$2="CPR",'Grid Data'!$AH$4:$AH$2342,'Grid Data'!$AI$4:$AI$2342),'Grid Data'!$Z$4:$Z$2342,$D43,'Grid Data'!$AA$4:$AA$2342,T$4,'Grid Data'!$Y$4:$Y$2342,$D$2)*100-T11, "--")</f>
        <v>-1.6569999999999996</v>
      </c>
      <c r="U43" s="5">
        <f>IF(  U74&gt;$E$2, SUMIFS(IF($G$2="CPR",'Grid Data'!$AH$4:$AH$2342,'Grid Data'!$AI$4:$AI$2342),'Grid Data'!$Z$4:$Z$2342,$D43,'Grid Data'!$AA$4:$AA$2342,U$4,'Grid Data'!$Y$4:$Y$2342,$D$2)*100-U11, "--")</f>
        <v>-1.0835000000000008</v>
      </c>
      <c r="V43" s="5">
        <f>IF(  V74&gt;$E$2, SUMIFS(IF($G$2="CPR",'Grid Data'!$AH$4:$AH$2342,'Grid Data'!$AI$4:$AI$2342),'Grid Data'!$Z$4:$Z$2342,$D43,'Grid Data'!$AA$4:$AA$2342,V$4,'Grid Data'!$Y$4:$Y$2342,$D$2)*100-V11, "--")</f>
        <v>-1.7850000000000001</v>
      </c>
      <c r="W43" s="5">
        <f>IF(  W74&gt;$E$2, SUMIFS(IF($G$2="CPR",'Grid Data'!$AH$4:$AH$2342,'Grid Data'!$AI$4:$AI$2342),'Grid Data'!$Z$4:$Z$2342,$D43,'Grid Data'!$AA$4:$AA$2342,W$4,'Grid Data'!$Y$4:$Y$2342,$D$2)*100-W11, "--")</f>
        <v>-1.8187000000000006</v>
      </c>
      <c r="X43" s="5">
        <f>IF(  X74&gt;$E$2, SUMIFS(IF($G$2="CPR",'Grid Data'!$AH$4:$AH$2342,'Grid Data'!$AI$4:$AI$2342),'Grid Data'!$Z$4:$Z$2342,$D43,'Grid Data'!$AA$4:$AA$2342,X$4,'Grid Data'!$Y$4:$Y$2342,$D$2)*100-X11, "--")</f>
        <v>-1.9701999999999993</v>
      </c>
      <c r="Y43" s="5">
        <f>IF(  Y74&gt;$E$2, SUMIFS(IF($G$2="CPR",'Grid Data'!$AH$4:$AH$2342,'Grid Data'!$AI$4:$AI$2342),'Grid Data'!$Z$4:$Z$2342,$D43,'Grid Data'!$AA$4:$AA$2342,Y$4,'Grid Data'!$Y$4:$Y$2342,$D$2)*100-Y11, "--")</f>
        <v>-2.8873000000000006</v>
      </c>
      <c r="Z43" s="5">
        <f>IF(  Z74&gt;$E$2, SUMIFS(IF($G$2="CPR",'Grid Data'!$AH$4:$AH$2342,'Grid Data'!$AI$4:$AI$2342),'Grid Data'!$Z$4:$Z$2342,$D43,'Grid Data'!$AA$4:$AA$2342,Z$4,'Grid Data'!$Y$4:$Y$2342,$D$2)*100-Z11, "--")</f>
        <v>-0.44139999999999979</v>
      </c>
      <c r="AA43" s="5">
        <f>IF(  AA74&gt;$E$2, SUMIFS(IF($G$2="CPR",'Grid Data'!$AH$4:$AH$2342,'Grid Data'!$AI$4:$AI$2342),'Grid Data'!$Z$4:$Z$2342,$D43,'Grid Data'!$AA$4:$AA$2342,AA$4,'Grid Data'!$Y$4:$Y$2342,$D$2)*100-AA11, "--")</f>
        <v>-0.73070000000000057</v>
      </c>
      <c r="AB43" s="5">
        <f>IF(  AB74&gt;$E$2, SUMIFS(IF($G$2="CPR",'Grid Data'!$AH$4:$AH$2342,'Grid Data'!$AI$4:$AI$2342),'Grid Data'!$Z$4:$Z$2342,$D43,'Grid Data'!$AA$4:$AA$2342,AB$4,'Grid Data'!$Y$4:$Y$2342,$D$2)*100-AB11, "--")</f>
        <v>-0.5660999999999996</v>
      </c>
      <c r="AC43" s="5">
        <f>IF(  AC74&gt;$E$2, SUMIFS(IF($G$2="CPR",'Grid Data'!$AH$4:$AH$2342,'Grid Data'!$AI$4:$AI$2342),'Grid Data'!$Z$4:$Z$2342,$D43,'Grid Data'!$AA$4:$AA$2342,AC$4,'Grid Data'!$Y$4:$Y$2342,$D$2)*100-AC11, "--")</f>
        <v>0.23390000000000022</v>
      </c>
      <c r="AD43" s="5">
        <f>IF(  AD74&gt;$E$2, SUMIFS(IF($G$2="CPR",'Grid Data'!$AH$4:$AH$2342,'Grid Data'!$AI$4:$AI$2342),'Grid Data'!$Z$4:$Z$2342,$D43,'Grid Data'!$AA$4:$AA$2342,AD$4,'Grid Data'!$Y$4:$Y$2342,$D$2)*100-AD11, "--")</f>
        <v>-1.3131000000000008</v>
      </c>
      <c r="AE43" s="5" t="str">
        <f>IF(  AE74&gt;$E$2, SUMIFS(IF($G$2="CPR",'Grid Data'!$AH$4:$AH$2342,'Grid Data'!$AI$4:$AI$2342),'Grid Data'!$Z$4:$Z$2342,$D43,'Grid Data'!$AA$4:$AA$2342,AE$4,'Grid Data'!$Y$4:$Y$2342,$D$2)*100-AE11, "--")</f>
        <v>--</v>
      </c>
      <c r="AF43" s="5" t="str">
        <f>IF(  AF74&gt;$E$2, SUMIFS(IF($G$2="CPR",'Grid Data'!$AH$4:$AH$2342,'Grid Data'!$AI$4:$AI$2342),'Grid Data'!$Z$4:$Z$2342,$D43,'Grid Data'!$AA$4:$AA$2342,AF$4,'Grid Data'!$Y$4:$Y$2342,$D$2)*100-AF11, "--")</f>
        <v>--</v>
      </c>
      <c r="AG43" s="5" t="str">
        <f>IF(  AG74&gt;$E$2, SUMIFS(IF($G$2="CPR",'Grid Data'!$AH$4:$AH$2342,'Grid Data'!$AI$4:$AI$2342),'Grid Data'!$Z$4:$Z$2342,$D43,'Grid Data'!$AA$4:$AA$2342,AG$4,'Grid Data'!$Y$4:$Y$2342,$D$2)*100-AG11, "--")</f>
        <v>--</v>
      </c>
      <c r="AH43" s="5" t="str">
        <f>IF(  AH74&gt;$E$2, SUMIFS(IF($G$2="CPR",'Grid Data'!$AH$4:$AH$2342,'Grid Data'!$AI$4:$AI$2342),'Grid Data'!$Z$4:$Z$2342,$D43,'Grid Data'!$AA$4:$AA$2342,AH$4,'Grid Data'!$Y$4:$Y$2342,$D$2)*100-AH11, "--")</f>
        <v>--</v>
      </c>
    </row>
    <row r="44" spans="3:34" x14ac:dyDescent="0.35">
      <c r="D44">
        <v>3750</v>
      </c>
      <c r="E44" s="5">
        <f>IF(  E75&gt;$E$2, SUMIFS(IF($G$2="CPR",'Grid Data'!$AH$4:$AH$2342,'Grid Data'!$AI$4:$AI$2342),'Grid Data'!$Z$4:$Z$2342,$D44,'Grid Data'!$AA$4:$AA$2342,E$4,'Grid Data'!$Y$4:$Y$2342,$D$2)*100-E12, "--")</f>
        <v>-1.1720999999999999</v>
      </c>
      <c r="F44" s="5" t="str">
        <f>IF(  F75&gt;$E$2, SUMIFS(IF($G$2="CPR",'Grid Data'!$AH$4:$AH$2342,'Grid Data'!$AI$4:$AI$2342),'Grid Data'!$Z$4:$Z$2342,$D44,'Grid Data'!$AA$4:$AA$2342,F$4,'Grid Data'!$Y$4:$Y$2342,$D$2)*100-F12, "--")</f>
        <v>--</v>
      </c>
      <c r="G44" s="5">
        <f>IF(  G75&gt;$E$2, SUMIFS(IF($G$2="CPR",'Grid Data'!$AH$4:$AH$2342,'Grid Data'!$AI$4:$AI$2342),'Grid Data'!$Z$4:$Z$2342,$D44,'Grid Data'!$AA$4:$AA$2342,G$4,'Grid Data'!$Y$4:$Y$2342,$D$2)*100-G12, "--")</f>
        <v>0.46029999999999988</v>
      </c>
      <c r="H44" s="5">
        <f>IF(  H75&gt;$E$2, SUMIFS(IF($G$2="CPR",'Grid Data'!$AH$4:$AH$2342,'Grid Data'!$AI$4:$AI$2342),'Grid Data'!$Z$4:$Z$2342,$D44,'Grid Data'!$AA$4:$AA$2342,H$4,'Grid Data'!$Y$4:$Y$2342,$D$2)*100-H12, "--")</f>
        <v>-0.56469999999999998</v>
      </c>
      <c r="I44" s="5" t="str">
        <f>IF(  I75&gt;$E$2, SUMIFS(IF($G$2="CPR",'Grid Data'!$AH$4:$AH$2342,'Grid Data'!$AI$4:$AI$2342),'Grid Data'!$Z$4:$Z$2342,$D44,'Grid Data'!$AA$4:$AA$2342,I$4,'Grid Data'!$Y$4:$Y$2342,$D$2)*100-I12, "--")</f>
        <v>--</v>
      </c>
      <c r="J44" s="5" t="str">
        <f>IF(  J75&gt;$E$2, SUMIFS(IF($G$2="CPR",'Grid Data'!$AH$4:$AH$2342,'Grid Data'!$AI$4:$AI$2342),'Grid Data'!$Z$4:$Z$2342,$D44,'Grid Data'!$AA$4:$AA$2342,J$4,'Grid Data'!$Y$4:$Y$2342,$D$2)*100-J12, "--")</f>
        <v>--</v>
      </c>
      <c r="K44" s="5">
        <f>IF(  K75&gt;$E$2, SUMIFS(IF($G$2="CPR",'Grid Data'!$AH$4:$AH$2342,'Grid Data'!$AI$4:$AI$2342),'Grid Data'!$Z$4:$Z$2342,$D44,'Grid Data'!$AA$4:$AA$2342,K$4,'Grid Data'!$Y$4:$Y$2342,$D$2)*100-K12, "--")</f>
        <v>-0.35189999999999999</v>
      </c>
      <c r="L44" s="5">
        <f>IF(  L75&gt;$E$2, SUMIFS(IF($G$2="CPR",'Grid Data'!$AH$4:$AH$2342,'Grid Data'!$AI$4:$AI$2342),'Grid Data'!$Z$4:$Z$2342,$D44,'Grid Data'!$AA$4:$AA$2342,L$4,'Grid Data'!$Y$4:$Y$2342,$D$2)*100-L12, "--")</f>
        <v>-0.61150000000000004</v>
      </c>
      <c r="M44" s="5">
        <f>IF(  M75&gt;$E$2, SUMIFS(IF($G$2="CPR",'Grid Data'!$AH$4:$AH$2342,'Grid Data'!$AI$4:$AI$2342),'Grid Data'!$Z$4:$Z$2342,$D44,'Grid Data'!$AA$4:$AA$2342,M$4,'Grid Data'!$Y$4:$Y$2342,$D$2)*100-M12, "--")</f>
        <v>-0.88629999999999998</v>
      </c>
      <c r="N44" s="5" t="str">
        <f>IF(  N75&gt;$E$2, SUMIFS(IF($G$2="CPR",'Grid Data'!$AH$4:$AH$2342,'Grid Data'!$AI$4:$AI$2342),'Grid Data'!$Z$4:$Z$2342,$D44,'Grid Data'!$AA$4:$AA$2342,N$4,'Grid Data'!$Y$4:$Y$2342,$D$2)*100-N12, "--")</f>
        <v>--</v>
      </c>
      <c r="O44" s="5" t="str">
        <f>IF(  O75&gt;$E$2, SUMIFS(IF($G$2="CPR",'Grid Data'!$AH$4:$AH$2342,'Grid Data'!$AI$4:$AI$2342),'Grid Data'!$Z$4:$Z$2342,$D44,'Grid Data'!$AA$4:$AA$2342,O$4,'Grid Data'!$Y$4:$Y$2342,$D$2)*100-O12, "--")</f>
        <v>--</v>
      </c>
      <c r="P44" s="5" t="str">
        <f>IF(  P75&gt;$E$2, SUMIFS(IF($G$2="CPR",'Grid Data'!$AH$4:$AH$2342,'Grid Data'!$AI$4:$AI$2342),'Grid Data'!$Z$4:$Z$2342,$D44,'Grid Data'!$AA$4:$AA$2342,P$4,'Grid Data'!$Y$4:$Y$2342,$D$2)*100-P12, "--")</f>
        <v>--</v>
      </c>
      <c r="Q44" s="5" t="str">
        <f>IF(  Q75&gt;$E$2, SUMIFS(IF($G$2="CPR",'Grid Data'!$AH$4:$AH$2342,'Grid Data'!$AI$4:$AI$2342),'Grid Data'!$Z$4:$Z$2342,$D44,'Grid Data'!$AA$4:$AA$2342,Q$4,'Grid Data'!$Y$4:$Y$2342,$D$2)*100-Q12, "--")</f>
        <v>--</v>
      </c>
      <c r="R44" s="5">
        <f>IF(  R75&gt;$E$2, SUMIFS(IF($G$2="CPR",'Grid Data'!$AH$4:$AH$2342,'Grid Data'!$AI$4:$AI$2342),'Grid Data'!$Z$4:$Z$2342,$D44,'Grid Data'!$AA$4:$AA$2342,R$4,'Grid Data'!$Y$4:$Y$2342,$D$2)*100-R12, "--")</f>
        <v>-2.0337000000000001</v>
      </c>
      <c r="S44" s="5">
        <f>IF(  S75&gt;$E$2, SUMIFS(IF($G$2="CPR",'Grid Data'!$AH$4:$AH$2342,'Grid Data'!$AI$4:$AI$2342),'Grid Data'!$Z$4:$Z$2342,$D44,'Grid Data'!$AA$4:$AA$2342,S$4,'Grid Data'!$Y$4:$Y$2342,$D$2)*100-S12, "--")</f>
        <v>-3.7363000000000004</v>
      </c>
      <c r="T44" s="5">
        <f>IF(  T75&gt;$E$2, SUMIFS(IF($G$2="CPR",'Grid Data'!$AH$4:$AH$2342,'Grid Data'!$AI$4:$AI$2342),'Grid Data'!$Z$4:$Z$2342,$D44,'Grid Data'!$AA$4:$AA$2342,T$4,'Grid Data'!$Y$4:$Y$2342,$D$2)*100-T12, "--")</f>
        <v>-1.5321000000000007</v>
      </c>
      <c r="U44" s="5">
        <f>IF(  U75&gt;$E$2, SUMIFS(IF($G$2="CPR",'Grid Data'!$AH$4:$AH$2342,'Grid Data'!$AI$4:$AI$2342),'Grid Data'!$Z$4:$Z$2342,$D44,'Grid Data'!$AA$4:$AA$2342,U$4,'Grid Data'!$Y$4:$Y$2342,$D$2)*100-U12, "--")</f>
        <v>-1.9079000000000002</v>
      </c>
      <c r="V44" s="5">
        <f>IF(  V75&gt;$E$2, SUMIFS(IF($G$2="CPR",'Grid Data'!$AH$4:$AH$2342,'Grid Data'!$AI$4:$AI$2342),'Grid Data'!$Z$4:$Z$2342,$D44,'Grid Data'!$AA$4:$AA$2342,V$4,'Grid Data'!$Y$4:$Y$2342,$D$2)*100-V12, "--")</f>
        <v>-1.3874999999999993</v>
      </c>
      <c r="W44" s="5">
        <f>IF(  W75&gt;$E$2, SUMIFS(IF($G$2="CPR",'Grid Data'!$AH$4:$AH$2342,'Grid Data'!$AI$4:$AI$2342),'Grid Data'!$Z$4:$Z$2342,$D44,'Grid Data'!$AA$4:$AA$2342,W$4,'Grid Data'!$Y$4:$Y$2342,$D$2)*100-W12, "--")</f>
        <v>-1.4588000000000001</v>
      </c>
      <c r="X44" s="5">
        <f>IF(  X75&gt;$E$2, SUMIFS(IF($G$2="CPR",'Grid Data'!$AH$4:$AH$2342,'Grid Data'!$AI$4:$AI$2342),'Grid Data'!$Z$4:$Z$2342,$D44,'Grid Data'!$AA$4:$AA$2342,X$4,'Grid Data'!$Y$4:$Y$2342,$D$2)*100-X12, "--")</f>
        <v>-1.9910000000000005</v>
      </c>
      <c r="Y44" s="5">
        <f>IF(  Y75&gt;$E$2, SUMIFS(IF($G$2="CPR",'Grid Data'!$AH$4:$AH$2342,'Grid Data'!$AI$4:$AI$2342),'Grid Data'!$Z$4:$Z$2342,$D44,'Grid Data'!$AA$4:$AA$2342,Y$4,'Grid Data'!$Y$4:$Y$2342,$D$2)*100-Y12, "--")</f>
        <v>-2.2533000000000003</v>
      </c>
      <c r="Z44" s="5">
        <f>IF(  Z75&gt;$E$2, SUMIFS(IF($G$2="CPR",'Grid Data'!$AH$4:$AH$2342,'Grid Data'!$AI$4:$AI$2342),'Grid Data'!$Z$4:$Z$2342,$D44,'Grid Data'!$AA$4:$AA$2342,Z$4,'Grid Data'!$Y$4:$Y$2342,$D$2)*100-Z12, "--")</f>
        <v>-1.1460999999999997</v>
      </c>
      <c r="AA44" s="5">
        <f>IF(  AA75&gt;$E$2, SUMIFS(IF($G$2="CPR",'Grid Data'!$AH$4:$AH$2342,'Grid Data'!$AI$4:$AI$2342),'Grid Data'!$Z$4:$Z$2342,$D44,'Grid Data'!$AA$4:$AA$2342,AA$4,'Grid Data'!$Y$4:$Y$2342,$D$2)*100-AA12, "--")</f>
        <v>-0.63819999999999943</v>
      </c>
      <c r="AB44" s="5">
        <f>IF(  AB75&gt;$E$2, SUMIFS(IF($G$2="CPR",'Grid Data'!$AH$4:$AH$2342,'Grid Data'!$AI$4:$AI$2342),'Grid Data'!$Z$4:$Z$2342,$D44,'Grid Data'!$AA$4:$AA$2342,AB$4,'Grid Data'!$Y$4:$Y$2342,$D$2)*100-AB12, "--")</f>
        <v>-0.91009999999999991</v>
      </c>
      <c r="AC44" s="5">
        <f>IF(  AC75&gt;$E$2, SUMIFS(IF($G$2="CPR",'Grid Data'!$AH$4:$AH$2342,'Grid Data'!$AI$4:$AI$2342),'Grid Data'!$Z$4:$Z$2342,$D44,'Grid Data'!$AA$4:$AA$2342,AC$4,'Grid Data'!$Y$4:$Y$2342,$D$2)*100-AC12, "--")</f>
        <v>-5.400000000000027E-2</v>
      </c>
      <c r="AD44" s="5">
        <f>IF(  AD75&gt;$E$2, SUMIFS(IF($G$2="CPR",'Grid Data'!$AH$4:$AH$2342,'Grid Data'!$AI$4:$AI$2342),'Grid Data'!$Z$4:$Z$2342,$D44,'Grid Data'!$AA$4:$AA$2342,AD$4,'Grid Data'!$Y$4:$Y$2342,$D$2)*100-AD12, "--")</f>
        <v>-0.50950000000000006</v>
      </c>
      <c r="AE44" s="5" t="str">
        <f>IF(  AE75&gt;$E$2, SUMIFS(IF($G$2="CPR",'Grid Data'!$AH$4:$AH$2342,'Grid Data'!$AI$4:$AI$2342),'Grid Data'!$Z$4:$Z$2342,$D44,'Grid Data'!$AA$4:$AA$2342,AE$4,'Grid Data'!$Y$4:$Y$2342,$D$2)*100-AE12, "--")</f>
        <v>--</v>
      </c>
      <c r="AF44" s="5" t="str">
        <f>IF(  AF75&gt;$E$2, SUMIFS(IF($G$2="CPR",'Grid Data'!$AH$4:$AH$2342,'Grid Data'!$AI$4:$AI$2342),'Grid Data'!$Z$4:$Z$2342,$D44,'Grid Data'!$AA$4:$AA$2342,AF$4,'Grid Data'!$Y$4:$Y$2342,$D$2)*100-AF12, "--")</f>
        <v>--</v>
      </c>
      <c r="AG44" s="5" t="str">
        <f>IF(  AG75&gt;$E$2, SUMIFS(IF($G$2="CPR",'Grid Data'!$AH$4:$AH$2342,'Grid Data'!$AI$4:$AI$2342),'Grid Data'!$Z$4:$Z$2342,$D44,'Grid Data'!$AA$4:$AA$2342,AG$4,'Grid Data'!$Y$4:$Y$2342,$D$2)*100-AG12, "--")</f>
        <v>--</v>
      </c>
      <c r="AH44" s="5" t="str">
        <f>IF(  AH75&gt;$E$2, SUMIFS(IF($G$2="CPR",'Grid Data'!$AH$4:$AH$2342,'Grid Data'!$AI$4:$AI$2342),'Grid Data'!$Z$4:$Z$2342,$D44,'Grid Data'!$AA$4:$AA$2342,AH$4,'Grid Data'!$Y$4:$Y$2342,$D$2)*100-AH12, "--")</f>
        <v>--</v>
      </c>
    </row>
    <row r="45" spans="3:34" x14ac:dyDescent="0.35">
      <c r="D45">
        <v>4000</v>
      </c>
      <c r="E45" s="5">
        <f>IF(  E76&gt;$E$2, SUMIFS(IF($G$2="CPR",'Grid Data'!$AH$4:$AH$2342,'Grid Data'!$AI$4:$AI$2342),'Grid Data'!$Z$4:$Z$2342,$D45,'Grid Data'!$AA$4:$AA$2342,E$4,'Grid Data'!$Y$4:$Y$2342,$D$2)*100-E13, "--")</f>
        <v>-0.19230000000000003</v>
      </c>
      <c r="F45" s="5">
        <f>IF(  F76&gt;$E$2, SUMIFS(IF($G$2="CPR",'Grid Data'!$AH$4:$AH$2342,'Grid Data'!$AI$4:$AI$2342),'Grid Data'!$Z$4:$Z$2342,$D45,'Grid Data'!$AA$4:$AA$2342,F$4,'Grid Data'!$Y$4:$Y$2342,$D$2)*100-F13, "--")</f>
        <v>1.6688999999999998</v>
      </c>
      <c r="G45" s="5">
        <f>IF(  G76&gt;$E$2, SUMIFS(IF($G$2="CPR",'Grid Data'!$AH$4:$AH$2342,'Grid Data'!$AI$4:$AI$2342),'Grid Data'!$Z$4:$Z$2342,$D45,'Grid Data'!$AA$4:$AA$2342,G$4,'Grid Data'!$Y$4:$Y$2342,$D$2)*100-G13, "--")</f>
        <v>-0.35289999999999999</v>
      </c>
      <c r="H45" s="5">
        <f>IF(  H76&gt;$E$2, SUMIFS(IF($G$2="CPR",'Grid Data'!$AH$4:$AH$2342,'Grid Data'!$AI$4:$AI$2342),'Grid Data'!$Z$4:$Z$2342,$D45,'Grid Data'!$AA$4:$AA$2342,H$4,'Grid Data'!$Y$4:$Y$2342,$D$2)*100-H13, "--")</f>
        <v>-0.42619999999999997</v>
      </c>
      <c r="I45" s="5">
        <f>IF(  I76&gt;$E$2, SUMIFS(IF($G$2="CPR",'Grid Data'!$AH$4:$AH$2342,'Grid Data'!$AI$4:$AI$2342),'Grid Data'!$Z$4:$Z$2342,$D45,'Grid Data'!$AA$4:$AA$2342,I$4,'Grid Data'!$Y$4:$Y$2342,$D$2)*100-I13, "--")</f>
        <v>-0.34169999999999995</v>
      </c>
      <c r="J45" s="5">
        <f>IF(  J76&gt;$E$2, SUMIFS(IF($G$2="CPR",'Grid Data'!$AH$4:$AH$2342,'Grid Data'!$AI$4:$AI$2342),'Grid Data'!$Z$4:$Z$2342,$D45,'Grid Data'!$AA$4:$AA$2342,J$4,'Grid Data'!$Y$4:$Y$2342,$D$2)*100-J13, "--")</f>
        <v>-0.32879999999999998</v>
      </c>
      <c r="K45" s="5">
        <f>IF(  K76&gt;$E$2, SUMIFS(IF($G$2="CPR",'Grid Data'!$AH$4:$AH$2342,'Grid Data'!$AI$4:$AI$2342),'Grid Data'!$Z$4:$Z$2342,$D45,'Grid Data'!$AA$4:$AA$2342,K$4,'Grid Data'!$Y$4:$Y$2342,$D$2)*100-K13, "--")</f>
        <v>0.30039999999999989</v>
      </c>
      <c r="L45" s="5">
        <f>IF(  L76&gt;$E$2, SUMIFS(IF($G$2="CPR",'Grid Data'!$AH$4:$AH$2342,'Grid Data'!$AI$4:$AI$2342),'Grid Data'!$Z$4:$Z$2342,$D45,'Grid Data'!$AA$4:$AA$2342,L$4,'Grid Data'!$Y$4:$Y$2342,$D$2)*100-L13, "--")</f>
        <v>-0.68969999999999998</v>
      </c>
      <c r="M45" s="5">
        <f>IF(  M76&gt;$E$2, SUMIFS(IF($G$2="CPR",'Grid Data'!$AH$4:$AH$2342,'Grid Data'!$AI$4:$AI$2342),'Grid Data'!$Z$4:$Z$2342,$D45,'Grid Data'!$AA$4:$AA$2342,M$4,'Grid Data'!$Y$4:$Y$2342,$D$2)*100-M13, "--")</f>
        <v>-0.82089999999999996</v>
      </c>
      <c r="N45" s="5" t="str">
        <f>IF(  N76&gt;$E$2, SUMIFS(IF($G$2="CPR",'Grid Data'!$AH$4:$AH$2342,'Grid Data'!$AI$4:$AI$2342),'Grid Data'!$Z$4:$Z$2342,$D45,'Grid Data'!$AA$4:$AA$2342,N$4,'Grid Data'!$Y$4:$Y$2342,$D$2)*100-N13, "--")</f>
        <v>--</v>
      </c>
      <c r="O45" s="5" t="str">
        <f>IF(  O76&gt;$E$2, SUMIFS(IF($G$2="CPR",'Grid Data'!$AH$4:$AH$2342,'Grid Data'!$AI$4:$AI$2342),'Grid Data'!$Z$4:$Z$2342,$D45,'Grid Data'!$AA$4:$AA$2342,O$4,'Grid Data'!$Y$4:$Y$2342,$D$2)*100-O13, "--")</f>
        <v>--</v>
      </c>
      <c r="P45" s="5" t="str">
        <f>IF(  P76&gt;$E$2, SUMIFS(IF($G$2="CPR",'Grid Data'!$AH$4:$AH$2342,'Grid Data'!$AI$4:$AI$2342),'Grid Data'!$Z$4:$Z$2342,$D45,'Grid Data'!$AA$4:$AA$2342,P$4,'Grid Data'!$Y$4:$Y$2342,$D$2)*100-P13, "--")</f>
        <v>--</v>
      </c>
      <c r="Q45" s="5" t="str">
        <f>IF(  Q76&gt;$E$2, SUMIFS(IF($G$2="CPR",'Grid Data'!$AH$4:$AH$2342,'Grid Data'!$AI$4:$AI$2342),'Grid Data'!$Z$4:$Z$2342,$D45,'Grid Data'!$AA$4:$AA$2342,Q$4,'Grid Data'!$Y$4:$Y$2342,$D$2)*100-Q13, "--")</f>
        <v>--</v>
      </c>
      <c r="R45" s="5">
        <f>IF(  R76&gt;$E$2, SUMIFS(IF($G$2="CPR",'Grid Data'!$AH$4:$AH$2342,'Grid Data'!$AI$4:$AI$2342),'Grid Data'!$Z$4:$Z$2342,$D45,'Grid Data'!$AA$4:$AA$2342,R$4,'Grid Data'!$Y$4:$Y$2342,$D$2)*100-R13, "--")</f>
        <v>-2.8482000000000003</v>
      </c>
      <c r="S45" s="5">
        <f>IF(  S76&gt;$E$2, SUMIFS(IF($G$2="CPR",'Grid Data'!$AH$4:$AH$2342,'Grid Data'!$AI$4:$AI$2342),'Grid Data'!$Z$4:$Z$2342,$D45,'Grid Data'!$AA$4:$AA$2342,S$4,'Grid Data'!$Y$4:$Y$2342,$D$2)*100-S13, "--")</f>
        <v>-3.2896000000000005</v>
      </c>
      <c r="T45" s="5">
        <f>IF(  T76&gt;$E$2, SUMIFS(IF($G$2="CPR",'Grid Data'!$AH$4:$AH$2342,'Grid Data'!$AI$4:$AI$2342),'Grid Data'!$Z$4:$Z$2342,$D45,'Grid Data'!$AA$4:$AA$2342,T$4,'Grid Data'!$Y$4:$Y$2342,$D$2)*100-T13, "--")</f>
        <v>-1.6659000000000006</v>
      </c>
      <c r="U45" s="5">
        <f>IF(  U76&gt;$E$2, SUMIFS(IF($G$2="CPR",'Grid Data'!$AH$4:$AH$2342,'Grid Data'!$AI$4:$AI$2342),'Grid Data'!$Z$4:$Z$2342,$D45,'Grid Data'!$AA$4:$AA$2342,U$4,'Grid Data'!$Y$4:$Y$2342,$D$2)*100-U13, "--")</f>
        <v>-1.7234999999999996</v>
      </c>
      <c r="V45" s="5">
        <f>IF(  V76&gt;$E$2, SUMIFS(IF($G$2="CPR",'Grid Data'!$AH$4:$AH$2342,'Grid Data'!$AI$4:$AI$2342),'Grid Data'!$Z$4:$Z$2342,$D45,'Grid Data'!$AA$4:$AA$2342,V$4,'Grid Data'!$Y$4:$Y$2342,$D$2)*100-V13, "--")</f>
        <v>-1.9600999999999997</v>
      </c>
      <c r="W45" s="5">
        <f>IF(  W76&gt;$E$2, SUMIFS(IF($G$2="CPR",'Grid Data'!$AH$4:$AH$2342,'Grid Data'!$AI$4:$AI$2342),'Grid Data'!$Z$4:$Z$2342,$D45,'Grid Data'!$AA$4:$AA$2342,W$4,'Grid Data'!$Y$4:$Y$2342,$D$2)*100-W13, "--")</f>
        <v>-1.8491999999999997</v>
      </c>
      <c r="X45" s="5">
        <f>IF(  X76&gt;$E$2, SUMIFS(IF($G$2="CPR",'Grid Data'!$AH$4:$AH$2342,'Grid Data'!$AI$4:$AI$2342),'Grid Data'!$Z$4:$Z$2342,$D45,'Grid Data'!$AA$4:$AA$2342,X$4,'Grid Data'!$Y$4:$Y$2342,$D$2)*100-X13, "--")</f>
        <v>-1.3982999999999999</v>
      </c>
      <c r="Y45" s="5">
        <f>IF(  Y76&gt;$E$2, SUMIFS(IF($G$2="CPR",'Grid Data'!$AH$4:$AH$2342,'Grid Data'!$AI$4:$AI$2342),'Grid Data'!$Z$4:$Z$2342,$D45,'Grid Data'!$AA$4:$AA$2342,Y$4,'Grid Data'!$Y$4:$Y$2342,$D$2)*100-Y13, "--")</f>
        <v>-1.6372000000000009</v>
      </c>
      <c r="Z45" s="5">
        <f>IF(  Z76&gt;$E$2, SUMIFS(IF($G$2="CPR",'Grid Data'!$AH$4:$AH$2342,'Grid Data'!$AI$4:$AI$2342),'Grid Data'!$Z$4:$Z$2342,$D45,'Grid Data'!$AA$4:$AA$2342,Z$4,'Grid Data'!$Y$4:$Y$2342,$D$2)*100-Z13, "--")</f>
        <v>-0.90599999999999969</v>
      </c>
      <c r="AA45" s="5">
        <f>IF(  AA76&gt;$E$2, SUMIFS(IF($G$2="CPR",'Grid Data'!$AH$4:$AH$2342,'Grid Data'!$AI$4:$AI$2342),'Grid Data'!$Z$4:$Z$2342,$D45,'Grid Data'!$AA$4:$AA$2342,AA$4,'Grid Data'!$Y$4:$Y$2342,$D$2)*100-AA13, "--")</f>
        <v>-0.93619999999999948</v>
      </c>
      <c r="AB45" s="5">
        <f>IF(  AB76&gt;$E$2, SUMIFS(IF($G$2="CPR",'Grid Data'!$AH$4:$AH$2342,'Grid Data'!$AI$4:$AI$2342),'Grid Data'!$Z$4:$Z$2342,$D45,'Grid Data'!$AA$4:$AA$2342,AB$4,'Grid Data'!$Y$4:$Y$2342,$D$2)*100-AB13, "--")</f>
        <v>-0.57920000000000016</v>
      </c>
      <c r="AC45" s="5">
        <f>IF(  AC76&gt;$E$2, SUMIFS(IF($G$2="CPR",'Grid Data'!$AH$4:$AH$2342,'Grid Data'!$AI$4:$AI$2342),'Grid Data'!$Z$4:$Z$2342,$D45,'Grid Data'!$AA$4:$AA$2342,AC$4,'Grid Data'!$Y$4:$Y$2342,$D$2)*100-AC13, "--")</f>
        <v>0.36460000000000026</v>
      </c>
      <c r="AD45" s="5">
        <f>IF(  AD76&gt;$E$2, SUMIFS(IF($G$2="CPR",'Grid Data'!$AH$4:$AH$2342,'Grid Data'!$AI$4:$AI$2342),'Grid Data'!$Z$4:$Z$2342,$D45,'Grid Data'!$AA$4:$AA$2342,AD$4,'Grid Data'!$Y$4:$Y$2342,$D$2)*100-AD13, "--")</f>
        <v>-0.54530000000000012</v>
      </c>
      <c r="AE45" s="5" t="str">
        <f>IF(  AE76&gt;$E$2, SUMIFS(IF($G$2="CPR",'Grid Data'!$AH$4:$AH$2342,'Grid Data'!$AI$4:$AI$2342),'Grid Data'!$Z$4:$Z$2342,$D45,'Grid Data'!$AA$4:$AA$2342,AE$4,'Grid Data'!$Y$4:$Y$2342,$D$2)*100-AE13, "--")</f>
        <v>--</v>
      </c>
      <c r="AF45" s="5" t="str">
        <f>IF(  AF76&gt;$E$2, SUMIFS(IF($G$2="CPR",'Grid Data'!$AH$4:$AH$2342,'Grid Data'!$AI$4:$AI$2342),'Grid Data'!$Z$4:$Z$2342,$D45,'Grid Data'!$AA$4:$AA$2342,AF$4,'Grid Data'!$Y$4:$Y$2342,$D$2)*100-AF13, "--")</f>
        <v>--</v>
      </c>
      <c r="AG45" s="5" t="str">
        <f>IF(  AG76&gt;$E$2, SUMIFS(IF($G$2="CPR",'Grid Data'!$AH$4:$AH$2342,'Grid Data'!$AI$4:$AI$2342),'Grid Data'!$Z$4:$Z$2342,$D45,'Grid Data'!$AA$4:$AA$2342,AG$4,'Grid Data'!$Y$4:$Y$2342,$D$2)*100-AG13, "--")</f>
        <v>--</v>
      </c>
      <c r="AH45" s="5" t="str">
        <f>IF(  AH76&gt;$E$2, SUMIFS(IF($G$2="CPR",'Grid Data'!$AH$4:$AH$2342,'Grid Data'!$AI$4:$AI$2342),'Grid Data'!$Z$4:$Z$2342,$D45,'Grid Data'!$AA$4:$AA$2342,AH$4,'Grid Data'!$Y$4:$Y$2342,$D$2)*100-AH13, "--")</f>
        <v>--</v>
      </c>
    </row>
    <row r="46" spans="3:34" x14ac:dyDescent="0.35">
      <c r="D46">
        <v>4250</v>
      </c>
      <c r="E46" s="5">
        <f>IF(  E77&gt;$E$2, SUMIFS(IF($G$2="CPR",'Grid Data'!$AH$4:$AH$2342,'Grid Data'!$AI$4:$AI$2342),'Grid Data'!$Z$4:$Z$2342,$D46,'Grid Data'!$AA$4:$AA$2342,E$4,'Grid Data'!$Y$4:$Y$2342,$D$2)*100-E14, "--")</f>
        <v>-0.3004</v>
      </c>
      <c r="F46" s="5">
        <f>IF(  F77&gt;$E$2, SUMIFS(IF($G$2="CPR",'Grid Data'!$AH$4:$AH$2342,'Grid Data'!$AI$4:$AI$2342),'Grid Data'!$Z$4:$Z$2342,$D46,'Grid Data'!$AA$4:$AA$2342,F$4,'Grid Data'!$Y$4:$Y$2342,$D$2)*100-F14, "--")</f>
        <v>3.6259999999999994</v>
      </c>
      <c r="G46" s="5">
        <f>IF(  G77&gt;$E$2, SUMIFS(IF($G$2="CPR",'Grid Data'!$AH$4:$AH$2342,'Grid Data'!$AI$4:$AI$2342),'Grid Data'!$Z$4:$Z$2342,$D46,'Grid Data'!$AA$4:$AA$2342,G$4,'Grid Data'!$Y$4:$Y$2342,$D$2)*100-G14, "--")</f>
        <v>0.17050000000000004</v>
      </c>
      <c r="H46" s="5">
        <f>IF(  H77&gt;$E$2, SUMIFS(IF($G$2="CPR",'Grid Data'!$AH$4:$AH$2342,'Grid Data'!$AI$4:$AI$2342),'Grid Data'!$Z$4:$Z$2342,$D46,'Grid Data'!$AA$4:$AA$2342,H$4,'Grid Data'!$Y$4:$Y$2342,$D$2)*100-H14, "--")</f>
        <v>-0.3407</v>
      </c>
      <c r="I46" s="5">
        <f>IF(  I77&gt;$E$2, SUMIFS(IF($G$2="CPR",'Grid Data'!$AH$4:$AH$2342,'Grid Data'!$AI$4:$AI$2342),'Grid Data'!$Z$4:$Z$2342,$D46,'Grid Data'!$AA$4:$AA$2342,I$4,'Grid Data'!$Y$4:$Y$2342,$D$2)*100-I14, "--")</f>
        <v>-0.41859999999999997</v>
      </c>
      <c r="J46" s="5">
        <f>IF(  J77&gt;$E$2, SUMIFS(IF($G$2="CPR",'Grid Data'!$AH$4:$AH$2342,'Grid Data'!$AI$4:$AI$2342),'Grid Data'!$Z$4:$Z$2342,$D46,'Grid Data'!$AA$4:$AA$2342,J$4,'Grid Data'!$Y$4:$Y$2342,$D$2)*100-J14, "--")</f>
        <v>-0.34320000000000001</v>
      </c>
      <c r="K46" s="5">
        <f>IF(  K77&gt;$E$2, SUMIFS(IF($G$2="CPR",'Grid Data'!$AH$4:$AH$2342,'Grid Data'!$AI$4:$AI$2342),'Grid Data'!$Z$4:$Z$2342,$D46,'Grid Data'!$AA$4:$AA$2342,K$4,'Grid Data'!$Y$4:$Y$2342,$D$2)*100-K14, "--")</f>
        <v>-0.73780000000000001</v>
      </c>
      <c r="L46" s="5">
        <f>IF(  L77&gt;$E$2, SUMIFS(IF($G$2="CPR",'Grid Data'!$AH$4:$AH$2342,'Grid Data'!$AI$4:$AI$2342),'Grid Data'!$Z$4:$Z$2342,$D46,'Grid Data'!$AA$4:$AA$2342,L$4,'Grid Data'!$Y$4:$Y$2342,$D$2)*100-L14, "--")</f>
        <v>-0.80589999999999995</v>
      </c>
      <c r="M46" s="5">
        <f>IF(  M77&gt;$E$2, SUMIFS(IF($G$2="CPR",'Grid Data'!$AH$4:$AH$2342,'Grid Data'!$AI$4:$AI$2342),'Grid Data'!$Z$4:$Z$2342,$D46,'Grid Data'!$AA$4:$AA$2342,M$4,'Grid Data'!$Y$4:$Y$2342,$D$2)*100-M14, "--")</f>
        <v>-0.98110000000000008</v>
      </c>
      <c r="N46" s="5">
        <f>IF(  N77&gt;$E$2, SUMIFS(IF($G$2="CPR",'Grid Data'!$AH$4:$AH$2342,'Grid Data'!$AI$4:$AI$2342),'Grid Data'!$Z$4:$Z$2342,$D46,'Grid Data'!$AA$4:$AA$2342,N$4,'Grid Data'!$Y$4:$Y$2342,$D$2)*100-N14, "--")</f>
        <v>-1.0026999999999999</v>
      </c>
      <c r="O46" s="5">
        <f>IF(  O77&gt;$E$2, SUMIFS(IF($G$2="CPR",'Grid Data'!$AH$4:$AH$2342,'Grid Data'!$AI$4:$AI$2342),'Grid Data'!$Z$4:$Z$2342,$D46,'Grid Data'!$AA$4:$AA$2342,O$4,'Grid Data'!$Y$4:$Y$2342,$D$2)*100-O14, "--")</f>
        <v>-1.3416000000000001</v>
      </c>
      <c r="P46" s="5">
        <f>IF(  P77&gt;$E$2, SUMIFS(IF($G$2="CPR",'Grid Data'!$AH$4:$AH$2342,'Grid Data'!$AI$4:$AI$2342),'Grid Data'!$Z$4:$Z$2342,$D46,'Grid Data'!$AA$4:$AA$2342,P$4,'Grid Data'!$Y$4:$Y$2342,$D$2)*100-P14, "--")</f>
        <v>-0.22229999999999972</v>
      </c>
      <c r="Q46" s="5">
        <f>IF(  Q77&gt;$E$2, SUMIFS(IF($G$2="CPR",'Grid Data'!$AH$4:$AH$2342,'Grid Data'!$AI$4:$AI$2342),'Grid Data'!$Z$4:$Z$2342,$D46,'Grid Data'!$AA$4:$AA$2342,Q$4,'Grid Data'!$Y$4:$Y$2342,$D$2)*100-Q14, "--")</f>
        <v>-1.0590999999999999</v>
      </c>
      <c r="R46" s="5">
        <f>IF(  R77&gt;$E$2, SUMIFS(IF($G$2="CPR",'Grid Data'!$AH$4:$AH$2342,'Grid Data'!$AI$4:$AI$2342),'Grid Data'!$Z$4:$Z$2342,$D46,'Grid Data'!$AA$4:$AA$2342,R$4,'Grid Data'!$Y$4:$Y$2342,$D$2)*100-R14, "--")</f>
        <v>-1.7905999999999995</v>
      </c>
      <c r="S46" s="5">
        <f>IF(  S77&gt;$E$2, SUMIFS(IF($G$2="CPR",'Grid Data'!$AH$4:$AH$2342,'Grid Data'!$AI$4:$AI$2342),'Grid Data'!$Z$4:$Z$2342,$D46,'Grid Data'!$AA$4:$AA$2342,S$4,'Grid Data'!$Y$4:$Y$2342,$D$2)*100-S14, "--")</f>
        <v>-2.4027999999999996</v>
      </c>
      <c r="T46" s="5">
        <f>IF(  T77&gt;$E$2, SUMIFS(IF($G$2="CPR",'Grid Data'!$AH$4:$AH$2342,'Grid Data'!$AI$4:$AI$2342),'Grid Data'!$Z$4:$Z$2342,$D46,'Grid Data'!$AA$4:$AA$2342,T$4,'Grid Data'!$Y$4:$Y$2342,$D$2)*100-T14, "--")</f>
        <v>-1.7282000000000002</v>
      </c>
      <c r="U46" s="5">
        <f>IF(  U77&gt;$E$2, SUMIFS(IF($G$2="CPR",'Grid Data'!$AH$4:$AH$2342,'Grid Data'!$AI$4:$AI$2342),'Grid Data'!$Z$4:$Z$2342,$D46,'Grid Data'!$AA$4:$AA$2342,U$4,'Grid Data'!$Y$4:$Y$2342,$D$2)*100-U14, "--")</f>
        <v>-2.3841000000000001</v>
      </c>
      <c r="V46" s="5">
        <f>IF(  V77&gt;$E$2, SUMIFS(IF($G$2="CPR",'Grid Data'!$AH$4:$AH$2342,'Grid Data'!$AI$4:$AI$2342),'Grid Data'!$Z$4:$Z$2342,$D46,'Grid Data'!$AA$4:$AA$2342,V$4,'Grid Data'!$Y$4:$Y$2342,$D$2)*100-V14, "--")</f>
        <v>-3.0805999999999996</v>
      </c>
      <c r="W46" s="5">
        <f>IF(  W77&gt;$E$2, SUMIFS(IF($G$2="CPR",'Grid Data'!$AH$4:$AH$2342,'Grid Data'!$AI$4:$AI$2342),'Grid Data'!$Z$4:$Z$2342,$D46,'Grid Data'!$AA$4:$AA$2342,W$4,'Grid Data'!$Y$4:$Y$2342,$D$2)*100-W14, "--")</f>
        <v>-2.5985999999999994</v>
      </c>
      <c r="X46" s="5">
        <f>IF(  X77&gt;$E$2, SUMIFS(IF($G$2="CPR",'Grid Data'!$AH$4:$AH$2342,'Grid Data'!$AI$4:$AI$2342),'Grid Data'!$Z$4:$Z$2342,$D46,'Grid Data'!$AA$4:$AA$2342,X$4,'Grid Data'!$Y$4:$Y$2342,$D$2)*100-X14, "--")</f>
        <v>-2.7555999999999994</v>
      </c>
      <c r="Y46" s="5">
        <f>IF(  Y77&gt;$E$2, SUMIFS(IF($G$2="CPR",'Grid Data'!$AH$4:$AH$2342,'Grid Data'!$AI$4:$AI$2342),'Grid Data'!$Z$4:$Z$2342,$D46,'Grid Data'!$AA$4:$AA$2342,Y$4,'Grid Data'!$Y$4:$Y$2342,$D$2)*100-Y14, "--")</f>
        <v>-1.1834999999999996</v>
      </c>
      <c r="Z46" s="5">
        <f>IF(  Z77&gt;$E$2, SUMIFS(IF($G$2="CPR",'Grid Data'!$AH$4:$AH$2342,'Grid Data'!$AI$4:$AI$2342),'Grid Data'!$Z$4:$Z$2342,$D46,'Grid Data'!$AA$4:$AA$2342,Z$4,'Grid Data'!$Y$4:$Y$2342,$D$2)*100-Z14, "--")</f>
        <v>-0.95280000000000076</v>
      </c>
      <c r="AA46" s="5">
        <f>IF(  AA77&gt;$E$2, SUMIFS(IF($G$2="CPR",'Grid Data'!$AH$4:$AH$2342,'Grid Data'!$AI$4:$AI$2342),'Grid Data'!$Z$4:$Z$2342,$D46,'Grid Data'!$AA$4:$AA$2342,AA$4,'Grid Data'!$Y$4:$Y$2342,$D$2)*100-AA14, "--")</f>
        <v>-1.4025999999999996</v>
      </c>
      <c r="AB46" s="5">
        <f>IF(  AB77&gt;$E$2, SUMIFS(IF($G$2="CPR",'Grid Data'!$AH$4:$AH$2342,'Grid Data'!$AI$4:$AI$2342),'Grid Data'!$Z$4:$Z$2342,$D46,'Grid Data'!$AA$4:$AA$2342,AB$4,'Grid Data'!$Y$4:$Y$2342,$D$2)*100-AB14, "--")</f>
        <v>-0.68780000000000019</v>
      </c>
      <c r="AC46" s="5">
        <f>IF(  AC77&gt;$E$2, SUMIFS(IF($G$2="CPR",'Grid Data'!$AH$4:$AH$2342,'Grid Data'!$AI$4:$AI$2342),'Grid Data'!$Z$4:$Z$2342,$D46,'Grid Data'!$AA$4:$AA$2342,AC$4,'Grid Data'!$Y$4:$Y$2342,$D$2)*100-AC14, "--")</f>
        <v>0.70199999999999996</v>
      </c>
      <c r="AD46" s="5">
        <f>IF(  AD77&gt;$E$2, SUMIFS(IF($G$2="CPR",'Grid Data'!$AH$4:$AH$2342,'Grid Data'!$AI$4:$AI$2342),'Grid Data'!$Z$4:$Z$2342,$D46,'Grid Data'!$AA$4:$AA$2342,AD$4,'Grid Data'!$Y$4:$Y$2342,$D$2)*100-AD14, "--")</f>
        <v>1.3269000000000002</v>
      </c>
      <c r="AE46" s="5">
        <f>IF(  AE77&gt;$E$2, SUMIFS(IF($G$2="CPR",'Grid Data'!$AH$4:$AH$2342,'Grid Data'!$AI$4:$AI$2342),'Grid Data'!$Z$4:$Z$2342,$D46,'Grid Data'!$AA$4:$AA$2342,AE$4,'Grid Data'!$Y$4:$Y$2342,$D$2)*100-AE14, "--")</f>
        <v>-0.65650000000000031</v>
      </c>
      <c r="AF46" s="5" t="str">
        <f>IF(  AF77&gt;$E$2, SUMIFS(IF($G$2="CPR",'Grid Data'!$AH$4:$AH$2342,'Grid Data'!$AI$4:$AI$2342),'Grid Data'!$Z$4:$Z$2342,$D46,'Grid Data'!$AA$4:$AA$2342,AF$4,'Grid Data'!$Y$4:$Y$2342,$D$2)*100-AF14, "--")</f>
        <v>--</v>
      </c>
      <c r="AG46" s="5" t="str">
        <f>IF(  AG77&gt;$E$2, SUMIFS(IF($G$2="CPR",'Grid Data'!$AH$4:$AH$2342,'Grid Data'!$AI$4:$AI$2342),'Grid Data'!$Z$4:$Z$2342,$D46,'Grid Data'!$AA$4:$AA$2342,AG$4,'Grid Data'!$Y$4:$Y$2342,$D$2)*100-AG14, "--")</f>
        <v>--</v>
      </c>
      <c r="AH46" s="5" t="str">
        <f>IF(  AH77&gt;$E$2, SUMIFS(IF($G$2="CPR",'Grid Data'!$AH$4:$AH$2342,'Grid Data'!$AI$4:$AI$2342),'Grid Data'!$Z$4:$Z$2342,$D46,'Grid Data'!$AA$4:$AA$2342,AH$4,'Grid Data'!$Y$4:$Y$2342,$D$2)*100-AH14, "--")</f>
        <v>--</v>
      </c>
    </row>
    <row r="47" spans="3:34" x14ac:dyDescent="0.35">
      <c r="D47">
        <v>4500</v>
      </c>
      <c r="E47" s="5">
        <f>IF(  E78&gt;$E$2, SUMIFS(IF($G$2="CPR",'Grid Data'!$AH$4:$AH$2342,'Grid Data'!$AI$4:$AI$2342),'Grid Data'!$Z$4:$Z$2342,$D47,'Grid Data'!$AA$4:$AA$2342,E$4,'Grid Data'!$Y$4:$Y$2342,$D$2)*100-E15, "--")</f>
        <v>-0.18540000000000001</v>
      </c>
      <c r="F47" s="5">
        <f>IF(  F78&gt;$E$2, SUMIFS(IF($G$2="CPR",'Grid Data'!$AH$4:$AH$2342,'Grid Data'!$AI$4:$AI$2342),'Grid Data'!$Z$4:$Z$2342,$D47,'Grid Data'!$AA$4:$AA$2342,F$4,'Grid Data'!$Y$4:$Y$2342,$D$2)*100-F15, "--")</f>
        <v>1.5991</v>
      </c>
      <c r="G47" s="5">
        <f>IF(  G78&gt;$E$2, SUMIFS(IF($G$2="CPR",'Grid Data'!$AH$4:$AH$2342,'Grid Data'!$AI$4:$AI$2342),'Grid Data'!$Z$4:$Z$2342,$D47,'Grid Data'!$AA$4:$AA$2342,G$4,'Grid Data'!$Y$4:$Y$2342,$D$2)*100-G15, "--")</f>
        <v>-0.41549999999999998</v>
      </c>
      <c r="H47" s="5">
        <f>IF(  H78&gt;$E$2, SUMIFS(IF($G$2="CPR",'Grid Data'!$AH$4:$AH$2342,'Grid Data'!$AI$4:$AI$2342),'Grid Data'!$Z$4:$Z$2342,$D47,'Grid Data'!$AA$4:$AA$2342,H$4,'Grid Data'!$Y$4:$Y$2342,$D$2)*100-H15, "--")</f>
        <v>-0.40260000000000007</v>
      </c>
      <c r="I47" s="5">
        <f>IF(  I78&gt;$E$2, SUMIFS(IF($G$2="CPR",'Grid Data'!$AH$4:$AH$2342,'Grid Data'!$AI$4:$AI$2342),'Grid Data'!$Z$4:$Z$2342,$D47,'Grid Data'!$AA$4:$AA$2342,I$4,'Grid Data'!$Y$4:$Y$2342,$D$2)*100-I15, "--")</f>
        <v>-0.47249999999999998</v>
      </c>
      <c r="J47" s="5">
        <f>IF(  J78&gt;$E$2, SUMIFS(IF($G$2="CPR",'Grid Data'!$AH$4:$AH$2342,'Grid Data'!$AI$4:$AI$2342),'Grid Data'!$Z$4:$Z$2342,$D47,'Grid Data'!$AA$4:$AA$2342,J$4,'Grid Data'!$Y$4:$Y$2342,$D$2)*100-J15, "--")</f>
        <v>-0.69129999999999991</v>
      </c>
      <c r="K47" s="5">
        <f>IF(  K78&gt;$E$2, SUMIFS(IF($G$2="CPR",'Grid Data'!$AH$4:$AH$2342,'Grid Data'!$AI$4:$AI$2342),'Grid Data'!$Z$4:$Z$2342,$D47,'Grid Data'!$AA$4:$AA$2342,K$4,'Grid Data'!$Y$4:$Y$2342,$D$2)*100-K15, "--")</f>
        <v>0.28749999999999987</v>
      </c>
      <c r="L47" s="5">
        <f>IF(  L78&gt;$E$2, SUMIFS(IF($G$2="CPR",'Grid Data'!$AH$4:$AH$2342,'Grid Data'!$AI$4:$AI$2342),'Grid Data'!$Z$4:$Z$2342,$D47,'Grid Data'!$AA$4:$AA$2342,L$4,'Grid Data'!$Y$4:$Y$2342,$D$2)*100-L15, "--")</f>
        <v>-1.3651</v>
      </c>
      <c r="M47" s="5">
        <f>IF(  M78&gt;$E$2, SUMIFS(IF($G$2="CPR",'Grid Data'!$AH$4:$AH$2342,'Grid Data'!$AI$4:$AI$2342),'Grid Data'!$Z$4:$Z$2342,$D47,'Grid Data'!$AA$4:$AA$2342,M$4,'Grid Data'!$Y$4:$Y$2342,$D$2)*100-M15, "--")</f>
        <v>-1.3871</v>
      </c>
      <c r="N47" s="5">
        <f>IF(  N78&gt;$E$2, SUMIFS(IF($G$2="CPR",'Grid Data'!$AH$4:$AH$2342,'Grid Data'!$AI$4:$AI$2342),'Grid Data'!$Z$4:$Z$2342,$D47,'Grid Data'!$AA$4:$AA$2342,N$4,'Grid Data'!$Y$4:$Y$2342,$D$2)*100-N15, "--")</f>
        <v>-1.6463000000000001</v>
      </c>
      <c r="O47" s="5">
        <f>IF(  O78&gt;$E$2, SUMIFS(IF($G$2="CPR",'Grid Data'!$AH$4:$AH$2342,'Grid Data'!$AI$4:$AI$2342),'Grid Data'!$Z$4:$Z$2342,$D47,'Grid Data'!$AA$4:$AA$2342,O$4,'Grid Data'!$Y$4:$Y$2342,$D$2)*100-O15, "--")</f>
        <v>9.0400000000000258E-2</v>
      </c>
      <c r="P47" s="5">
        <f>IF(  P78&gt;$E$2, SUMIFS(IF($G$2="CPR",'Grid Data'!$AH$4:$AH$2342,'Grid Data'!$AI$4:$AI$2342),'Grid Data'!$Z$4:$Z$2342,$D47,'Grid Data'!$AA$4:$AA$2342,P$4,'Grid Data'!$Y$4:$Y$2342,$D$2)*100-P15, "--")</f>
        <v>-0.10430000000000028</v>
      </c>
      <c r="Q47" s="5">
        <f>IF(  Q78&gt;$E$2, SUMIFS(IF($G$2="CPR",'Grid Data'!$AH$4:$AH$2342,'Grid Data'!$AI$4:$AI$2342),'Grid Data'!$Z$4:$Z$2342,$D47,'Grid Data'!$AA$4:$AA$2342,Q$4,'Grid Data'!$Y$4:$Y$2342,$D$2)*100-Q15, "--")</f>
        <v>-1.3582000000000001</v>
      </c>
      <c r="R47" s="5">
        <f>IF(  R78&gt;$E$2, SUMIFS(IF($G$2="CPR",'Grid Data'!$AH$4:$AH$2342,'Grid Data'!$AI$4:$AI$2342),'Grid Data'!$Z$4:$Z$2342,$D47,'Grid Data'!$AA$4:$AA$2342,R$4,'Grid Data'!$Y$4:$Y$2342,$D$2)*100-R15, "--")</f>
        <v>-2.9741</v>
      </c>
      <c r="S47" s="5">
        <f>IF(  S78&gt;$E$2, SUMIFS(IF($G$2="CPR",'Grid Data'!$AH$4:$AH$2342,'Grid Data'!$AI$4:$AI$2342),'Grid Data'!$Z$4:$Z$2342,$D47,'Grid Data'!$AA$4:$AA$2342,S$4,'Grid Data'!$Y$4:$Y$2342,$D$2)*100-S15, "--")</f>
        <v>-2.7439</v>
      </c>
      <c r="T47" s="5">
        <f>IF(  T78&gt;$E$2, SUMIFS(IF($G$2="CPR",'Grid Data'!$AH$4:$AH$2342,'Grid Data'!$AI$4:$AI$2342),'Grid Data'!$Z$4:$Z$2342,$D47,'Grid Data'!$AA$4:$AA$2342,T$4,'Grid Data'!$Y$4:$Y$2342,$D$2)*100-T15, "--")</f>
        <v>-0.52579999999999938</v>
      </c>
      <c r="U47" s="5">
        <f>IF(  U78&gt;$E$2, SUMIFS(IF($G$2="CPR",'Grid Data'!$AH$4:$AH$2342,'Grid Data'!$AI$4:$AI$2342),'Grid Data'!$Z$4:$Z$2342,$D47,'Grid Data'!$AA$4:$AA$2342,U$4,'Grid Data'!$Y$4:$Y$2342,$D$2)*100-U15, "--")</f>
        <v>-3.4625999999999997</v>
      </c>
      <c r="V47" s="5">
        <f>IF(  V78&gt;$E$2, SUMIFS(IF($G$2="CPR",'Grid Data'!$AH$4:$AH$2342,'Grid Data'!$AI$4:$AI$2342),'Grid Data'!$Z$4:$Z$2342,$D47,'Grid Data'!$AA$4:$AA$2342,V$4,'Grid Data'!$Y$4:$Y$2342,$D$2)*100-V15, "--")</f>
        <v>-1.5557000000000007</v>
      </c>
      <c r="W47" s="5">
        <f>IF(  W78&gt;$E$2, SUMIFS(IF($G$2="CPR",'Grid Data'!$AH$4:$AH$2342,'Grid Data'!$AI$4:$AI$2342),'Grid Data'!$Z$4:$Z$2342,$D47,'Grid Data'!$AA$4:$AA$2342,W$4,'Grid Data'!$Y$4:$Y$2342,$D$2)*100-W15, "--")</f>
        <v>-1.8422000000000001</v>
      </c>
      <c r="X47" s="5">
        <f>IF(  X78&gt;$E$2, SUMIFS(IF($G$2="CPR",'Grid Data'!$AH$4:$AH$2342,'Grid Data'!$AI$4:$AI$2342),'Grid Data'!$Z$4:$Z$2342,$D47,'Grid Data'!$AA$4:$AA$2342,X$4,'Grid Data'!$Y$4:$Y$2342,$D$2)*100-X15, "--")</f>
        <v>-0.19950000000000134</v>
      </c>
      <c r="Y47" s="5">
        <f>IF(  Y78&gt;$E$2, SUMIFS(IF($G$2="CPR",'Grid Data'!$AH$4:$AH$2342,'Grid Data'!$AI$4:$AI$2342),'Grid Data'!$Z$4:$Z$2342,$D47,'Grid Data'!$AA$4:$AA$2342,Y$4,'Grid Data'!$Y$4:$Y$2342,$D$2)*100-Y15, "--")</f>
        <v>-1.2831999999999999</v>
      </c>
      <c r="Z47" s="5">
        <f>IF(  Z78&gt;$E$2, SUMIFS(IF($G$2="CPR",'Grid Data'!$AH$4:$AH$2342,'Grid Data'!$AI$4:$AI$2342),'Grid Data'!$Z$4:$Z$2342,$D47,'Grid Data'!$AA$4:$AA$2342,Z$4,'Grid Data'!$Y$4:$Y$2342,$D$2)*100-Z15, "--")</f>
        <v>-0.39899999999999913</v>
      </c>
      <c r="AA47" s="5">
        <f>IF(  AA78&gt;$E$2, SUMIFS(IF($G$2="CPR",'Grid Data'!$AH$4:$AH$2342,'Grid Data'!$AI$4:$AI$2342),'Grid Data'!$Z$4:$Z$2342,$D47,'Grid Data'!$AA$4:$AA$2342,AA$4,'Grid Data'!$Y$4:$Y$2342,$D$2)*100-AA15, "--")</f>
        <v>-7.5500000000000789E-2</v>
      </c>
      <c r="AB47" s="5">
        <f>IF(  AB78&gt;$E$2, SUMIFS(IF($G$2="CPR",'Grid Data'!$AH$4:$AH$2342,'Grid Data'!$AI$4:$AI$2342),'Grid Data'!$Z$4:$Z$2342,$D47,'Grid Data'!$AA$4:$AA$2342,AB$4,'Grid Data'!$Y$4:$Y$2342,$D$2)*100-AB15, "--")</f>
        <v>2.5400000000000311E-2</v>
      </c>
      <c r="AC47" s="5">
        <f>IF(  AC78&gt;$E$2, SUMIFS(IF($G$2="CPR",'Grid Data'!$AH$4:$AH$2342,'Grid Data'!$AI$4:$AI$2342),'Grid Data'!$Z$4:$Z$2342,$D47,'Grid Data'!$AA$4:$AA$2342,AC$4,'Grid Data'!$Y$4:$Y$2342,$D$2)*100-AC15, "--")</f>
        <v>1.5586000000000002</v>
      </c>
      <c r="AD47" s="5">
        <f>IF(  AD78&gt;$E$2, SUMIFS(IF($G$2="CPR",'Grid Data'!$AH$4:$AH$2342,'Grid Data'!$AI$4:$AI$2342),'Grid Data'!$Z$4:$Z$2342,$D47,'Grid Data'!$AA$4:$AA$2342,AD$4,'Grid Data'!$Y$4:$Y$2342,$D$2)*100-AD15, "--")</f>
        <v>0.65799999999999947</v>
      </c>
      <c r="AE47" s="5">
        <f>IF(  AE78&gt;$E$2, SUMIFS(IF($G$2="CPR",'Grid Data'!$AH$4:$AH$2342,'Grid Data'!$AI$4:$AI$2342),'Grid Data'!$Z$4:$Z$2342,$D47,'Grid Data'!$AA$4:$AA$2342,AE$4,'Grid Data'!$Y$4:$Y$2342,$D$2)*100-AE15, "--")</f>
        <v>2.9749999999999996</v>
      </c>
      <c r="AF47" s="5" t="str">
        <f>IF(  AF78&gt;$E$2, SUMIFS(IF($G$2="CPR",'Grid Data'!$AH$4:$AH$2342,'Grid Data'!$AI$4:$AI$2342),'Grid Data'!$Z$4:$Z$2342,$D47,'Grid Data'!$AA$4:$AA$2342,AF$4,'Grid Data'!$Y$4:$Y$2342,$D$2)*100-AF15, "--")</f>
        <v>--</v>
      </c>
      <c r="AG47" s="5">
        <f>IF(  AG78&gt;$E$2, SUMIFS(IF($G$2="CPR",'Grid Data'!$AH$4:$AH$2342,'Grid Data'!$AI$4:$AI$2342),'Grid Data'!$Z$4:$Z$2342,$D47,'Grid Data'!$AA$4:$AA$2342,AG$4,'Grid Data'!$Y$4:$Y$2342,$D$2)*100-AG15, "--")</f>
        <v>-5.2654999999999994</v>
      </c>
      <c r="AH47" s="5" t="str">
        <f>IF(  AH78&gt;$E$2, SUMIFS(IF($G$2="CPR",'Grid Data'!$AH$4:$AH$2342,'Grid Data'!$AI$4:$AI$2342),'Grid Data'!$Z$4:$Z$2342,$D47,'Grid Data'!$AA$4:$AA$2342,AH$4,'Grid Data'!$Y$4:$Y$2342,$D$2)*100-AH15, "--")</f>
        <v>--</v>
      </c>
    </row>
    <row r="48" spans="3:34" x14ac:dyDescent="0.35">
      <c r="D48">
        <v>4750</v>
      </c>
      <c r="E48" s="5">
        <f>IF(  E79&gt;$E$2, SUMIFS(IF($G$2="CPR",'Grid Data'!$AH$4:$AH$2342,'Grid Data'!$AI$4:$AI$2342),'Grid Data'!$Z$4:$Z$2342,$D48,'Grid Data'!$AA$4:$AA$2342,E$4,'Grid Data'!$Y$4:$Y$2342,$D$2)*100-E16, "--")</f>
        <v>-0.68890000000000007</v>
      </c>
      <c r="F48" s="5">
        <f>IF(  F79&gt;$E$2, SUMIFS(IF($G$2="CPR",'Grid Data'!$AH$4:$AH$2342,'Grid Data'!$AI$4:$AI$2342),'Grid Data'!$Z$4:$Z$2342,$D48,'Grid Data'!$AA$4:$AA$2342,F$4,'Grid Data'!$Y$4:$Y$2342,$D$2)*100-F16, "--")</f>
        <v>1.4891999999999999</v>
      </c>
      <c r="G48" s="5">
        <f>IF(  G79&gt;$E$2, SUMIFS(IF($G$2="CPR",'Grid Data'!$AH$4:$AH$2342,'Grid Data'!$AI$4:$AI$2342),'Grid Data'!$Z$4:$Z$2342,$D48,'Grid Data'!$AA$4:$AA$2342,G$4,'Grid Data'!$Y$4:$Y$2342,$D$2)*100-G16, "--")</f>
        <v>-0.48849999999999993</v>
      </c>
      <c r="H48" s="5">
        <f>IF(  H79&gt;$E$2, SUMIFS(IF($G$2="CPR",'Grid Data'!$AH$4:$AH$2342,'Grid Data'!$AI$4:$AI$2342),'Grid Data'!$Z$4:$Z$2342,$D48,'Grid Data'!$AA$4:$AA$2342,H$4,'Grid Data'!$Y$4:$Y$2342,$D$2)*100-H16, "--")</f>
        <v>-0.85550000000000004</v>
      </c>
      <c r="I48" s="5">
        <f>IF(  I79&gt;$E$2, SUMIFS(IF($G$2="CPR",'Grid Data'!$AH$4:$AH$2342,'Grid Data'!$AI$4:$AI$2342),'Grid Data'!$Z$4:$Z$2342,$D48,'Grid Data'!$AA$4:$AA$2342,I$4,'Grid Data'!$Y$4:$Y$2342,$D$2)*100-I16, "--")</f>
        <v>-0.87570000000000003</v>
      </c>
      <c r="J48" s="5">
        <f>IF(  J79&gt;$E$2, SUMIFS(IF($G$2="CPR",'Grid Data'!$AH$4:$AH$2342,'Grid Data'!$AI$4:$AI$2342),'Grid Data'!$Z$4:$Z$2342,$D48,'Grid Data'!$AA$4:$AA$2342,J$4,'Grid Data'!$Y$4:$Y$2342,$D$2)*100-J16, "--")</f>
        <v>-1.0886</v>
      </c>
      <c r="K48" s="5">
        <f>IF(  K79&gt;$E$2, SUMIFS(IF($G$2="CPR",'Grid Data'!$AH$4:$AH$2342,'Grid Data'!$AI$4:$AI$2342),'Grid Data'!$Z$4:$Z$2342,$D48,'Grid Data'!$AA$4:$AA$2342,K$4,'Grid Data'!$Y$4:$Y$2342,$D$2)*100-K16, "--")</f>
        <v>-1.4455</v>
      </c>
      <c r="L48" s="5">
        <f>IF(  L79&gt;$E$2, SUMIFS(IF($G$2="CPR",'Grid Data'!$AH$4:$AH$2342,'Grid Data'!$AI$4:$AI$2342),'Grid Data'!$Z$4:$Z$2342,$D48,'Grid Data'!$AA$4:$AA$2342,L$4,'Grid Data'!$Y$4:$Y$2342,$D$2)*100-L16, "--")</f>
        <v>-0.98459999999999992</v>
      </c>
      <c r="M48" s="5">
        <f>IF(  M79&gt;$E$2, SUMIFS(IF($G$2="CPR",'Grid Data'!$AH$4:$AH$2342,'Grid Data'!$AI$4:$AI$2342),'Grid Data'!$Z$4:$Z$2342,$D48,'Grid Data'!$AA$4:$AA$2342,M$4,'Grid Data'!$Y$4:$Y$2342,$D$2)*100-M16, "--")</f>
        <v>-1.3463000000000001</v>
      </c>
      <c r="N48" s="5">
        <f>IF(  N79&gt;$E$2, SUMIFS(IF($G$2="CPR",'Grid Data'!$AH$4:$AH$2342,'Grid Data'!$AI$4:$AI$2342),'Grid Data'!$Z$4:$Z$2342,$D48,'Grid Data'!$AA$4:$AA$2342,N$4,'Grid Data'!$Y$4:$Y$2342,$D$2)*100-N16, "--")</f>
        <v>-1.8973000000000002</v>
      </c>
      <c r="O48" s="5">
        <f>IF(  O79&gt;$E$2, SUMIFS(IF($G$2="CPR",'Grid Data'!$AH$4:$AH$2342,'Grid Data'!$AI$4:$AI$2342),'Grid Data'!$Z$4:$Z$2342,$D48,'Grid Data'!$AA$4:$AA$2342,O$4,'Grid Data'!$Y$4:$Y$2342,$D$2)*100-O16, "--")</f>
        <v>-2.4565000000000001</v>
      </c>
      <c r="P48" s="5">
        <f>IF(  P79&gt;$E$2, SUMIFS(IF($G$2="CPR",'Grid Data'!$AH$4:$AH$2342,'Grid Data'!$AI$4:$AI$2342),'Grid Data'!$Z$4:$Z$2342,$D48,'Grid Data'!$AA$4:$AA$2342,P$4,'Grid Data'!$Y$4:$Y$2342,$D$2)*100-P16, "--")</f>
        <v>-1.9577</v>
      </c>
      <c r="Q48" s="5">
        <f>IF(  Q79&gt;$E$2, SUMIFS(IF($G$2="CPR",'Grid Data'!$AH$4:$AH$2342,'Grid Data'!$AI$4:$AI$2342),'Grid Data'!$Z$4:$Z$2342,$D48,'Grid Data'!$AA$4:$AA$2342,Q$4,'Grid Data'!$Y$4:$Y$2342,$D$2)*100-Q16, "--")</f>
        <v>-0.39569999999999972</v>
      </c>
      <c r="R48" s="5">
        <f>IF(  R79&gt;$E$2, SUMIFS(IF($G$2="CPR",'Grid Data'!$AH$4:$AH$2342,'Grid Data'!$AI$4:$AI$2342),'Grid Data'!$Z$4:$Z$2342,$D48,'Grid Data'!$AA$4:$AA$2342,R$4,'Grid Data'!$Y$4:$Y$2342,$D$2)*100-R16, "--")</f>
        <v>-2.7010000000000001</v>
      </c>
      <c r="S48" s="5">
        <f>IF(  S79&gt;$E$2, SUMIFS(IF($G$2="CPR",'Grid Data'!$AH$4:$AH$2342,'Grid Data'!$AI$4:$AI$2342),'Grid Data'!$Z$4:$Z$2342,$D48,'Grid Data'!$AA$4:$AA$2342,S$4,'Grid Data'!$Y$4:$Y$2342,$D$2)*100-S16, "--")</f>
        <v>-1.4013</v>
      </c>
      <c r="T48" s="5">
        <f>IF(  T79&gt;$E$2, SUMIFS(IF($G$2="CPR",'Grid Data'!$AH$4:$AH$2342,'Grid Data'!$AI$4:$AI$2342),'Grid Data'!$Z$4:$Z$2342,$D48,'Grid Data'!$AA$4:$AA$2342,T$4,'Grid Data'!$Y$4:$Y$2342,$D$2)*100-T16, "--")</f>
        <v>-0.8102999999999998</v>
      </c>
      <c r="U48" s="5">
        <f>IF(  U79&gt;$E$2, SUMIFS(IF($G$2="CPR",'Grid Data'!$AH$4:$AH$2342,'Grid Data'!$AI$4:$AI$2342),'Grid Data'!$Z$4:$Z$2342,$D48,'Grid Data'!$AA$4:$AA$2342,U$4,'Grid Data'!$Y$4:$Y$2342,$D$2)*100-U16, "--")</f>
        <v>-2.1460000000000008</v>
      </c>
      <c r="V48" s="5">
        <f>IF(  V79&gt;$E$2, SUMIFS(IF($G$2="CPR",'Grid Data'!$AH$4:$AH$2342,'Grid Data'!$AI$4:$AI$2342),'Grid Data'!$Z$4:$Z$2342,$D48,'Grid Data'!$AA$4:$AA$2342,V$4,'Grid Data'!$Y$4:$Y$2342,$D$2)*100-V16, "--")</f>
        <v>0.15390000000000015</v>
      </c>
      <c r="W48" s="5">
        <f>IF(  W79&gt;$E$2, SUMIFS(IF($G$2="CPR",'Grid Data'!$AH$4:$AH$2342,'Grid Data'!$AI$4:$AI$2342),'Grid Data'!$Z$4:$Z$2342,$D48,'Grid Data'!$AA$4:$AA$2342,W$4,'Grid Data'!$Y$4:$Y$2342,$D$2)*100-W16, "--")</f>
        <v>-1.5661000000000014</v>
      </c>
      <c r="X48" s="5">
        <f>IF(  X79&gt;$E$2, SUMIFS(IF($G$2="CPR",'Grid Data'!$AH$4:$AH$2342,'Grid Data'!$AI$4:$AI$2342),'Grid Data'!$Z$4:$Z$2342,$D48,'Grid Data'!$AA$4:$AA$2342,X$4,'Grid Data'!$Y$4:$Y$2342,$D$2)*100-X16, "--")</f>
        <v>-2.9547999999999996</v>
      </c>
      <c r="Y48" s="5">
        <f>IF(  Y79&gt;$E$2, SUMIFS(IF($G$2="CPR",'Grid Data'!$AH$4:$AH$2342,'Grid Data'!$AI$4:$AI$2342),'Grid Data'!$Z$4:$Z$2342,$D48,'Grid Data'!$AA$4:$AA$2342,Y$4,'Grid Data'!$Y$4:$Y$2342,$D$2)*100-Y16, "--")</f>
        <v>-1.5026999999999999</v>
      </c>
      <c r="Z48" s="5">
        <f>IF(  Z79&gt;$E$2, SUMIFS(IF($G$2="CPR",'Grid Data'!$AH$4:$AH$2342,'Grid Data'!$AI$4:$AI$2342),'Grid Data'!$Z$4:$Z$2342,$D48,'Grid Data'!$AA$4:$AA$2342,Z$4,'Grid Data'!$Y$4:$Y$2342,$D$2)*100-Z16, "--")</f>
        <v>-1.5157999999999996</v>
      </c>
      <c r="AA48" s="5">
        <f>IF(  AA79&gt;$E$2, SUMIFS(IF($G$2="CPR",'Grid Data'!$AH$4:$AH$2342,'Grid Data'!$AI$4:$AI$2342),'Grid Data'!$Z$4:$Z$2342,$D48,'Grid Data'!$AA$4:$AA$2342,AA$4,'Grid Data'!$Y$4:$Y$2342,$D$2)*100-AA16, "--")</f>
        <v>-1.6440999999999999</v>
      </c>
      <c r="AB48" s="5">
        <f>IF(  AB79&gt;$E$2, SUMIFS(IF($G$2="CPR",'Grid Data'!$AH$4:$AH$2342,'Grid Data'!$AI$4:$AI$2342),'Grid Data'!$Z$4:$Z$2342,$D48,'Grid Data'!$AA$4:$AA$2342,AB$4,'Grid Data'!$Y$4:$Y$2342,$D$2)*100-AB16, "--")</f>
        <v>-1.1849000000000007</v>
      </c>
      <c r="AC48" s="5">
        <f>IF(  AC79&gt;$E$2, SUMIFS(IF($G$2="CPR",'Grid Data'!$AH$4:$AH$2342,'Grid Data'!$AI$4:$AI$2342),'Grid Data'!$Z$4:$Z$2342,$D48,'Grid Data'!$AA$4:$AA$2342,AC$4,'Grid Data'!$Y$4:$Y$2342,$D$2)*100-AC16, "--")</f>
        <v>0.80700000000000038</v>
      </c>
      <c r="AD48" s="5">
        <f>IF(  AD79&gt;$E$2, SUMIFS(IF($G$2="CPR",'Grid Data'!$AH$4:$AH$2342,'Grid Data'!$AI$4:$AI$2342),'Grid Data'!$Z$4:$Z$2342,$D48,'Grid Data'!$AA$4:$AA$2342,AD$4,'Grid Data'!$Y$4:$Y$2342,$D$2)*100-AD16, "--")</f>
        <v>0.13780000000000037</v>
      </c>
      <c r="AE48" s="5">
        <f>IF(  AE79&gt;$E$2, SUMIFS(IF($G$2="CPR",'Grid Data'!$AH$4:$AH$2342,'Grid Data'!$AI$4:$AI$2342),'Grid Data'!$Z$4:$Z$2342,$D48,'Grid Data'!$AA$4:$AA$2342,AE$4,'Grid Data'!$Y$4:$Y$2342,$D$2)*100-AE16, "--")</f>
        <v>3.9807000000000006</v>
      </c>
      <c r="AF48" s="5" t="str">
        <f>IF(  AF79&gt;$E$2, SUMIFS(IF($G$2="CPR",'Grid Data'!$AH$4:$AH$2342,'Grid Data'!$AI$4:$AI$2342),'Grid Data'!$Z$4:$Z$2342,$D48,'Grid Data'!$AA$4:$AA$2342,AF$4,'Grid Data'!$Y$4:$Y$2342,$D$2)*100-AF16, "--")</f>
        <v>--</v>
      </c>
      <c r="AG48" s="5">
        <f>IF(  AG79&gt;$E$2, SUMIFS(IF($G$2="CPR",'Grid Data'!$AH$4:$AH$2342,'Grid Data'!$AI$4:$AI$2342),'Grid Data'!$Z$4:$Z$2342,$D48,'Grid Data'!$AA$4:$AA$2342,AG$4,'Grid Data'!$Y$4:$Y$2342,$D$2)*100-AG16, "--")</f>
        <v>-6.1394000000000002</v>
      </c>
      <c r="AH48" s="5" t="str">
        <f>IF(  AH79&gt;$E$2, SUMIFS(IF($G$2="CPR",'Grid Data'!$AH$4:$AH$2342,'Grid Data'!$AI$4:$AI$2342),'Grid Data'!$Z$4:$Z$2342,$D48,'Grid Data'!$AA$4:$AA$2342,AH$4,'Grid Data'!$Y$4:$Y$2342,$D$2)*100-AH16, "--")</f>
        <v>--</v>
      </c>
    </row>
    <row r="49" spans="4:34" x14ac:dyDescent="0.35">
      <c r="D49">
        <v>5000</v>
      </c>
      <c r="E49" s="5">
        <f>IF(  E80&gt;$E$2, SUMIFS(IF($G$2="CPR",'Grid Data'!$AH$4:$AH$2342,'Grid Data'!$AI$4:$AI$2342),'Grid Data'!$Z$4:$Z$2342,$D49,'Grid Data'!$AA$4:$AA$2342,E$4,'Grid Data'!$Y$4:$Y$2342,$D$2)*100-E17, "--")</f>
        <v>-0.78120000000000001</v>
      </c>
      <c r="F49" s="5">
        <f>IF(  F80&gt;$E$2, SUMIFS(IF($G$2="CPR",'Grid Data'!$AH$4:$AH$2342,'Grid Data'!$AI$4:$AI$2342),'Grid Data'!$Z$4:$Z$2342,$D49,'Grid Data'!$AA$4:$AA$2342,F$4,'Grid Data'!$Y$4:$Y$2342,$D$2)*100-F17, "--")</f>
        <v>1.8351</v>
      </c>
      <c r="G49" s="5">
        <f>IF(  G80&gt;$E$2, SUMIFS(IF($G$2="CPR",'Grid Data'!$AH$4:$AH$2342,'Grid Data'!$AI$4:$AI$2342),'Grid Data'!$Z$4:$Z$2342,$D49,'Grid Data'!$AA$4:$AA$2342,G$4,'Grid Data'!$Y$4:$Y$2342,$D$2)*100-G17, "--")</f>
        <v>1.0868</v>
      </c>
      <c r="H49" s="5">
        <f>IF(  H80&gt;$E$2, SUMIFS(IF($G$2="CPR",'Grid Data'!$AH$4:$AH$2342,'Grid Data'!$AI$4:$AI$2342),'Grid Data'!$Z$4:$Z$2342,$D49,'Grid Data'!$AA$4:$AA$2342,H$4,'Grid Data'!$Y$4:$Y$2342,$D$2)*100-H17, "--")</f>
        <v>-0.17779999999999996</v>
      </c>
      <c r="I49" s="5">
        <f>IF(  I80&gt;$E$2, SUMIFS(IF($G$2="CPR",'Grid Data'!$AH$4:$AH$2342,'Grid Data'!$AI$4:$AI$2342),'Grid Data'!$Z$4:$Z$2342,$D49,'Grid Data'!$AA$4:$AA$2342,I$4,'Grid Data'!$Y$4:$Y$2342,$D$2)*100-I17, "--")</f>
        <v>-0.89959999999999996</v>
      </c>
      <c r="J49" s="5">
        <f>IF(  J80&gt;$E$2, SUMIFS(IF($G$2="CPR",'Grid Data'!$AH$4:$AH$2342,'Grid Data'!$AI$4:$AI$2342),'Grid Data'!$Z$4:$Z$2342,$D49,'Grid Data'!$AA$4:$AA$2342,J$4,'Grid Data'!$Y$4:$Y$2342,$D$2)*100-J17, "--")</f>
        <v>-0.19290000000000007</v>
      </c>
      <c r="K49" s="5">
        <f>IF(  K80&gt;$E$2, SUMIFS(IF($G$2="CPR",'Grid Data'!$AH$4:$AH$2342,'Grid Data'!$AI$4:$AI$2342),'Grid Data'!$Z$4:$Z$2342,$D49,'Grid Data'!$AA$4:$AA$2342,K$4,'Grid Data'!$Y$4:$Y$2342,$D$2)*100-K17, "--")</f>
        <v>-0.13040000000000007</v>
      </c>
      <c r="L49" s="5">
        <f>IF(  L80&gt;$E$2, SUMIFS(IF($G$2="CPR",'Grid Data'!$AH$4:$AH$2342,'Grid Data'!$AI$4:$AI$2342),'Grid Data'!$Z$4:$Z$2342,$D49,'Grid Data'!$AA$4:$AA$2342,L$4,'Grid Data'!$Y$4:$Y$2342,$D$2)*100-L17, "--")</f>
        <v>-1.3879000000000001</v>
      </c>
      <c r="M49" s="5">
        <f>IF(  M80&gt;$E$2, SUMIFS(IF($G$2="CPR",'Grid Data'!$AH$4:$AH$2342,'Grid Data'!$AI$4:$AI$2342),'Grid Data'!$Z$4:$Z$2342,$D49,'Grid Data'!$AA$4:$AA$2342,M$4,'Grid Data'!$Y$4:$Y$2342,$D$2)*100-M17, "--")</f>
        <v>-1.6655</v>
      </c>
      <c r="N49" s="5">
        <f>IF(  N80&gt;$E$2, SUMIFS(IF($G$2="CPR",'Grid Data'!$AH$4:$AH$2342,'Grid Data'!$AI$4:$AI$2342),'Grid Data'!$Z$4:$Z$2342,$D49,'Grid Data'!$AA$4:$AA$2342,N$4,'Grid Data'!$Y$4:$Y$2342,$D$2)*100-N17, "--")</f>
        <v>-2.2271999999999998</v>
      </c>
      <c r="O49" s="5">
        <f>IF(  O80&gt;$E$2, SUMIFS(IF($G$2="CPR",'Grid Data'!$AH$4:$AH$2342,'Grid Data'!$AI$4:$AI$2342),'Grid Data'!$Z$4:$Z$2342,$D49,'Grid Data'!$AA$4:$AA$2342,O$4,'Grid Data'!$Y$4:$Y$2342,$D$2)*100-O17, "--")</f>
        <v>-2.1333000000000002</v>
      </c>
      <c r="P49" s="5">
        <f>IF(  P80&gt;$E$2, SUMIFS(IF($G$2="CPR",'Grid Data'!$AH$4:$AH$2342,'Grid Data'!$AI$4:$AI$2342),'Grid Data'!$Z$4:$Z$2342,$D49,'Grid Data'!$AA$4:$AA$2342,P$4,'Grid Data'!$Y$4:$Y$2342,$D$2)*100-P17, "--")</f>
        <v>-3.7592000000000003</v>
      </c>
      <c r="Q49" s="5">
        <f>IF(  Q80&gt;$E$2, SUMIFS(IF($G$2="CPR",'Grid Data'!$AH$4:$AH$2342,'Grid Data'!$AI$4:$AI$2342),'Grid Data'!$Z$4:$Z$2342,$D49,'Grid Data'!$AA$4:$AA$2342,Q$4,'Grid Data'!$Y$4:$Y$2342,$D$2)*100-Q17, "--")</f>
        <v>-3.0292000000000003</v>
      </c>
      <c r="R49" s="5">
        <f>IF(  R80&gt;$E$2, SUMIFS(IF($G$2="CPR",'Grid Data'!$AH$4:$AH$2342,'Grid Data'!$AI$4:$AI$2342),'Grid Data'!$Z$4:$Z$2342,$D49,'Grid Data'!$AA$4:$AA$2342,R$4,'Grid Data'!$Y$4:$Y$2342,$D$2)*100-R17, "--")</f>
        <v>-3.2961</v>
      </c>
      <c r="S49" s="5">
        <f>IF(  S80&gt;$E$2, SUMIFS(IF($G$2="CPR",'Grid Data'!$AH$4:$AH$2342,'Grid Data'!$AI$4:$AI$2342),'Grid Data'!$Z$4:$Z$2342,$D49,'Grid Data'!$AA$4:$AA$2342,S$4,'Grid Data'!$Y$4:$Y$2342,$D$2)*100-S17, "--")</f>
        <v>-1.1030999999999995</v>
      </c>
      <c r="T49" s="5">
        <f>IF(  T80&gt;$E$2, SUMIFS(IF($G$2="CPR",'Grid Data'!$AH$4:$AH$2342,'Grid Data'!$AI$4:$AI$2342),'Grid Data'!$Z$4:$Z$2342,$D49,'Grid Data'!$AA$4:$AA$2342,T$4,'Grid Data'!$Y$4:$Y$2342,$D$2)*100-T17, "--")</f>
        <v>-1.8658000000000001</v>
      </c>
      <c r="U49" s="5">
        <f>IF(  U80&gt;$E$2, SUMIFS(IF($G$2="CPR",'Grid Data'!$AH$4:$AH$2342,'Grid Data'!$AI$4:$AI$2342),'Grid Data'!$Z$4:$Z$2342,$D49,'Grid Data'!$AA$4:$AA$2342,U$4,'Grid Data'!$Y$4:$Y$2342,$D$2)*100-U17, "--")</f>
        <v>7.4867999999999988</v>
      </c>
      <c r="V49" s="5">
        <f>IF(  V80&gt;$E$2, SUMIFS(IF($G$2="CPR",'Grid Data'!$AH$4:$AH$2342,'Grid Data'!$AI$4:$AI$2342),'Grid Data'!$Z$4:$Z$2342,$D49,'Grid Data'!$AA$4:$AA$2342,V$4,'Grid Data'!$Y$4:$Y$2342,$D$2)*100-V17, "--")</f>
        <v>-9.2077999999999989</v>
      </c>
      <c r="W49" s="5">
        <f>IF(  W80&gt;$E$2, SUMIFS(IF($G$2="CPR",'Grid Data'!$AH$4:$AH$2342,'Grid Data'!$AI$4:$AI$2342),'Grid Data'!$Z$4:$Z$2342,$D49,'Grid Data'!$AA$4:$AA$2342,W$4,'Grid Data'!$Y$4:$Y$2342,$D$2)*100-W17, "--")</f>
        <v>-5.8112000000000013</v>
      </c>
      <c r="X49" s="5">
        <f>IF(  X80&gt;$E$2, SUMIFS(IF($G$2="CPR",'Grid Data'!$AH$4:$AH$2342,'Grid Data'!$AI$4:$AI$2342),'Grid Data'!$Z$4:$Z$2342,$D49,'Grid Data'!$AA$4:$AA$2342,X$4,'Grid Data'!$Y$4:$Y$2342,$D$2)*100-X17, "--")</f>
        <v>-2.0958000000000006</v>
      </c>
      <c r="Y49" s="5">
        <f>IF(  Y80&gt;$E$2, SUMIFS(IF($G$2="CPR",'Grid Data'!$AH$4:$AH$2342,'Grid Data'!$AI$4:$AI$2342),'Grid Data'!$Z$4:$Z$2342,$D49,'Grid Data'!$AA$4:$AA$2342,Y$4,'Grid Data'!$Y$4:$Y$2342,$D$2)*100-Y17, "--")</f>
        <v>-1.7564000000000002</v>
      </c>
      <c r="Z49" s="5">
        <f>IF(  Z80&gt;$E$2, SUMIFS(IF($G$2="CPR",'Grid Data'!$AH$4:$AH$2342,'Grid Data'!$AI$4:$AI$2342),'Grid Data'!$Z$4:$Z$2342,$D49,'Grid Data'!$AA$4:$AA$2342,Z$4,'Grid Data'!$Y$4:$Y$2342,$D$2)*100-Z17, "--")</f>
        <v>-1.9702000000000002</v>
      </c>
      <c r="AA49" s="5">
        <f>IF(  AA80&gt;$E$2, SUMIFS(IF($G$2="CPR",'Grid Data'!$AH$4:$AH$2342,'Grid Data'!$AI$4:$AI$2342),'Grid Data'!$Z$4:$Z$2342,$D49,'Grid Data'!$AA$4:$AA$2342,AA$4,'Grid Data'!$Y$4:$Y$2342,$D$2)*100-AA17, "--")</f>
        <v>-1.2356999999999987</v>
      </c>
      <c r="AB49" s="5">
        <f>IF(  AB80&gt;$E$2, SUMIFS(IF($G$2="CPR",'Grid Data'!$AH$4:$AH$2342,'Grid Data'!$AI$4:$AI$2342),'Grid Data'!$Z$4:$Z$2342,$D49,'Grid Data'!$AA$4:$AA$2342,AB$4,'Grid Data'!$Y$4:$Y$2342,$D$2)*100-AB17, "--")</f>
        <v>-1.7679000000000009</v>
      </c>
      <c r="AC49" s="5">
        <f>IF(  AC80&gt;$E$2, SUMIFS(IF($G$2="CPR",'Grid Data'!$AH$4:$AH$2342,'Grid Data'!$AI$4:$AI$2342),'Grid Data'!$Z$4:$Z$2342,$D49,'Grid Data'!$AA$4:$AA$2342,AC$4,'Grid Data'!$Y$4:$Y$2342,$D$2)*100-AC17, "--")</f>
        <v>-0.29220000000000024</v>
      </c>
      <c r="AD49" s="5">
        <f>IF(  AD80&gt;$E$2, SUMIFS(IF($G$2="CPR",'Grid Data'!$AH$4:$AH$2342,'Grid Data'!$AI$4:$AI$2342),'Grid Data'!$Z$4:$Z$2342,$D49,'Grid Data'!$AA$4:$AA$2342,AD$4,'Grid Data'!$Y$4:$Y$2342,$D$2)*100-AD17, "--")</f>
        <v>0.3868999999999998</v>
      </c>
      <c r="AE49" s="5">
        <f>IF(  AE80&gt;$E$2, SUMIFS(IF($G$2="CPR",'Grid Data'!$AH$4:$AH$2342,'Grid Data'!$AI$4:$AI$2342),'Grid Data'!$Z$4:$Z$2342,$D49,'Grid Data'!$AA$4:$AA$2342,AE$4,'Grid Data'!$Y$4:$Y$2342,$D$2)*100-AE17, "--")</f>
        <v>1.0406999999999993</v>
      </c>
      <c r="AF49" s="5">
        <f>IF(  AF80&gt;$E$2, SUMIFS(IF($G$2="CPR",'Grid Data'!$AH$4:$AH$2342,'Grid Data'!$AI$4:$AI$2342),'Grid Data'!$Z$4:$Z$2342,$D49,'Grid Data'!$AA$4:$AA$2342,AF$4,'Grid Data'!$Y$4:$Y$2342,$D$2)*100-AF17, "--")</f>
        <v>2.2405999999999988</v>
      </c>
      <c r="AG49" s="5">
        <f>IF(  AG80&gt;$E$2, SUMIFS(IF($G$2="CPR",'Grid Data'!$AH$4:$AH$2342,'Grid Data'!$AI$4:$AI$2342),'Grid Data'!$Z$4:$Z$2342,$D49,'Grid Data'!$AA$4:$AA$2342,AG$4,'Grid Data'!$Y$4:$Y$2342,$D$2)*100-AG17, "--")</f>
        <v>-4.4014999999999995</v>
      </c>
      <c r="AH49" s="5" t="str">
        <f>IF(  AH80&gt;$E$2, SUMIFS(IF($G$2="CPR",'Grid Data'!$AH$4:$AH$2342,'Grid Data'!$AI$4:$AI$2342),'Grid Data'!$Z$4:$Z$2342,$D49,'Grid Data'!$AA$4:$AA$2342,AH$4,'Grid Data'!$Y$4:$Y$2342,$D$2)*100-AH17, "--")</f>
        <v>--</v>
      </c>
    </row>
    <row r="50" spans="4:34" x14ac:dyDescent="0.35">
      <c r="D50">
        <v>5250</v>
      </c>
      <c r="E50" s="5">
        <f>IF(  E81&gt;$E$2, SUMIFS(IF($G$2="CPR",'Grid Data'!$AH$4:$AH$2342,'Grid Data'!$AI$4:$AI$2342),'Grid Data'!$Z$4:$Z$2342,$D50,'Grid Data'!$AA$4:$AA$2342,E$4,'Grid Data'!$Y$4:$Y$2342,$D$2)*100-E18, "--")</f>
        <v>-1.5491999999999999</v>
      </c>
      <c r="F50" s="5">
        <f>IF(  F81&gt;$E$2, SUMIFS(IF($G$2="CPR",'Grid Data'!$AH$4:$AH$2342,'Grid Data'!$AI$4:$AI$2342),'Grid Data'!$Z$4:$Z$2342,$D50,'Grid Data'!$AA$4:$AA$2342,F$4,'Grid Data'!$Y$4:$Y$2342,$D$2)*100-F18, "--")</f>
        <v>8.9999999999967883E-4</v>
      </c>
      <c r="G50" s="5">
        <f>IF(  G81&gt;$E$2, SUMIFS(IF($G$2="CPR",'Grid Data'!$AH$4:$AH$2342,'Grid Data'!$AI$4:$AI$2342),'Grid Data'!$Z$4:$Z$2342,$D50,'Grid Data'!$AA$4:$AA$2342,G$4,'Grid Data'!$Y$4:$Y$2342,$D$2)*100-G18, "--")</f>
        <v>0.75120000000000031</v>
      </c>
      <c r="H50" s="5">
        <f>IF(  H81&gt;$E$2, SUMIFS(IF($G$2="CPR",'Grid Data'!$AH$4:$AH$2342,'Grid Data'!$AI$4:$AI$2342),'Grid Data'!$Z$4:$Z$2342,$D50,'Grid Data'!$AA$4:$AA$2342,H$4,'Grid Data'!$Y$4:$Y$2342,$D$2)*100-H18, "--")</f>
        <v>-1.8012000000000001</v>
      </c>
      <c r="I50" s="5">
        <f>IF(  I81&gt;$E$2, SUMIFS(IF($G$2="CPR",'Grid Data'!$AH$4:$AH$2342,'Grid Data'!$AI$4:$AI$2342),'Grid Data'!$Z$4:$Z$2342,$D50,'Grid Data'!$AA$4:$AA$2342,I$4,'Grid Data'!$Y$4:$Y$2342,$D$2)*100-I18, "--")</f>
        <v>-0.96599999999999975</v>
      </c>
      <c r="J50" s="5">
        <f>IF(  J81&gt;$E$2, SUMIFS(IF($G$2="CPR",'Grid Data'!$AH$4:$AH$2342,'Grid Data'!$AI$4:$AI$2342),'Grid Data'!$Z$4:$Z$2342,$D50,'Grid Data'!$AA$4:$AA$2342,J$4,'Grid Data'!$Y$4:$Y$2342,$D$2)*100-J18, "--")</f>
        <v>0.13419999999999987</v>
      </c>
      <c r="K50" s="5">
        <f>IF(  K81&gt;$E$2, SUMIFS(IF($G$2="CPR",'Grid Data'!$AH$4:$AH$2342,'Grid Data'!$AI$4:$AI$2342),'Grid Data'!$Z$4:$Z$2342,$D50,'Grid Data'!$AA$4:$AA$2342,K$4,'Grid Data'!$Y$4:$Y$2342,$D$2)*100-K18, "--")</f>
        <v>-2.0441000000000003</v>
      </c>
      <c r="L50" s="5">
        <f>IF(  L81&gt;$E$2, SUMIFS(IF($G$2="CPR",'Grid Data'!$AH$4:$AH$2342,'Grid Data'!$AI$4:$AI$2342),'Grid Data'!$Z$4:$Z$2342,$D50,'Grid Data'!$AA$4:$AA$2342,L$4,'Grid Data'!$Y$4:$Y$2342,$D$2)*100-L18, "--")</f>
        <v>-4.3155000000000001</v>
      </c>
      <c r="M50" s="5">
        <f>IF(  M81&gt;$E$2, SUMIFS(IF($G$2="CPR",'Grid Data'!$AH$4:$AH$2342,'Grid Data'!$AI$4:$AI$2342),'Grid Data'!$Z$4:$Z$2342,$D50,'Grid Data'!$AA$4:$AA$2342,M$4,'Grid Data'!$Y$4:$Y$2342,$D$2)*100-M18, "--")</f>
        <v>-1.5160000000000009</v>
      </c>
      <c r="N50" s="5">
        <f>IF(  N81&gt;$E$2, SUMIFS(IF($G$2="CPR",'Grid Data'!$AH$4:$AH$2342,'Grid Data'!$AI$4:$AI$2342),'Grid Data'!$Z$4:$Z$2342,$D50,'Grid Data'!$AA$4:$AA$2342,N$4,'Grid Data'!$Y$4:$Y$2342,$D$2)*100-N18, "--")</f>
        <v>-2.0462000000000002</v>
      </c>
      <c r="O50" s="5">
        <f>IF(  O81&gt;$E$2, SUMIFS(IF($G$2="CPR",'Grid Data'!$AH$4:$AH$2342,'Grid Data'!$AI$4:$AI$2342),'Grid Data'!$Z$4:$Z$2342,$D50,'Grid Data'!$AA$4:$AA$2342,O$4,'Grid Data'!$Y$4:$Y$2342,$D$2)*100-O18, "--")</f>
        <v>-0.45140000000000047</v>
      </c>
      <c r="P50" s="5">
        <f>IF(  P81&gt;$E$2, SUMIFS(IF($G$2="CPR",'Grid Data'!$AH$4:$AH$2342,'Grid Data'!$AI$4:$AI$2342),'Grid Data'!$Z$4:$Z$2342,$D50,'Grid Data'!$AA$4:$AA$2342,P$4,'Grid Data'!$Y$4:$Y$2342,$D$2)*100-P18, "--")</f>
        <v>-0.43040000000000056</v>
      </c>
      <c r="Q50" s="5">
        <f>IF(  Q81&gt;$E$2, SUMIFS(IF($G$2="CPR",'Grid Data'!$AH$4:$AH$2342,'Grid Data'!$AI$4:$AI$2342),'Grid Data'!$Z$4:$Z$2342,$D50,'Grid Data'!$AA$4:$AA$2342,Q$4,'Grid Data'!$Y$4:$Y$2342,$D$2)*100-Q18, "--")</f>
        <v>-2.8442999999999987</v>
      </c>
      <c r="R50" s="5">
        <f>IF(  R81&gt;$E$2, SUMIFS(IF($G$2="CPR",'Grid Data'!$AH$4:$AH$2342,'Grid Data'!$AI$4:$AI$2342),'Grid Data'!$Z$4:$Z$2342,$D50,'Grid Data'!$AA$4:$AA$2342,R$4,'Grid Data'!$Y$4:$Y$2342,$D$2)*100-R18, "--")</f>
        <v>-3.2217000000000011</v>
      </c>
      <c r="S50" s="5">
        <f>IF(  S81&gt;$E$2, SUMIFS(IF($G$2="CPR",'Grid Data'!$AH$4:$AH$2342,'Grid Data'!$AI$4:$AI$2342),'Grid Data'!$Z$4:$Z$2342,$D50,'Grid Data'!$AA$4:$AA$2342,S$4,'Grid Data'!$Y$4:$Y$2342,$D$2)*100-S18, "--")</f>
        <v>-2.1399999999999997</v>
      </c>
      <c r="T50" s="5">
        <f>IF(  T81&gt;$E$2, SUMIFS(IF($G$2="CPR",'Grid Data'!$AH$4:$AH$2342,'Grid Data'!$AI$4:$AI$2342),'Grid Data'!$Z$4:$Z$2342,$D50,'Grid Data'!$AA$4:$AA$2342,T$4,'Grid Data'!$Y$4:$Y$2342,$D$2)*100-T18, "--")</f>
        <v>-1.7306999999999997</v>
      </c>
      <c r="U50" s="5">
        <f>IF(  U81&gt;$E$2, SUMIFS(IF($G$2="CPR",'Grid Data'!$AH$4:$AH$2342,'Grid Data'!$AI$4:$AI$2342),'Grid Data'!$Z$4:$Z$2342,$D50,'Grid Data'!$AA$4:$AA$2342,U$4,'Grid Data'!$Y$4:$Y$2342,$D$2)*100-U18, "--")</f>
        <v>0.65359999999999907</v>
      </c>
      <c r="V50" s="5">
        <f>IF(  V81&gt;$E$2, SUMIFS(IF($G$2="CPR",'Grid Data'!$AH$4:$AH$2342,'Grid Data'!$AI$4:$AI$2342),'Grid Data'!$Z$4:$Z$2342,$D50,'Grid Data'!$AA$4:$AA$2342,V$4,'Grid Data'!$Y$4:$Y$2342,$D$2)*100-V18, "--")</f>
        <v>4.5350000000000001</v>
      </c>
      <c r="W50" s="5">
        <f>IF(  W81&gt;$E$2, SUMIFS(IF($G$2="CPR",'Grid Data'!$AH$4:$AH$2342,'Grid Data'!$AI$4:$AI$2342),'Grid Data'!$Z$4:$Z$2342,$D50,'Grid Data'!$AA$4:$AA$2342,W$4,'Grid Data'!$Y$4:$Y$2342,$D$2)*100-W18, "--")</f>
        <v>-3.5155999999999992</v>
      </c>
      <c r="X50" s="5">
        <f>IF(  X81&gt;$E$2, SUMIFS(IF($G$2="CPR",'Grid Data'!$AH$4:$AH$2342,'Grid Data'!$AI$4:$AI$2342),'Grid Data'!$Z$4:$Z$2342,$D50,'Grid Data'!$AA$4:$AA$2342,X$4,'Grid Data'!$Y$4:$Y$2342,$D$2)*100-X18, "--")</f>
        <v>-2.2409999999999988</v>
      </c>
      <c r="Y50" s="5">
        <f>IF(  Y81&gt;$E$2, SUMIFS(IF($G$2="CPR",'Grid Data'!$AH$4:$AH$2342,'Grid Data'!$AI$4:$AI$2342),'Grid Data'!$Z$4:$Z$2342,$D50,'Grid Data'!$AA$4:$AA$2342,Y$4,'Grid Data'!$Y$4:$Y$2342,$D$2)*100-Y18, "--")</f>
        <v>-2.3521999999999998</v>
      </c>
      <c r="Z50" s="5">
        <f>IF(  Z81&gt;$E$2, SUMIFS(IF($G$2="CPR",'Grid Data'!$AH$4:$AH$2342,'Grid Data'!$AI$4:$AI$2342),'Grid Data'!$Z$4:$Z$2342,$D50,'Grid Data'!$AA$4:$AA$2342,Z$4,'Grid Data'!$Y$4:$Y$2342,$D$2)*100-Z18, "--")</f>
        <v>-2.7736999999999989</v>
      </c>
      <c r="AA50" s="5">
        <f>IF(  AA81&gt;$E$2, SUMIFS(IF($G$2="CPR",'Grid Data'!$AH$4:$AH$2342,'Grid Data'!$AI$4:$AI$2342),'Grid Data'!$Z$4:$Z$2342,$D50,'Grid Data'!$AA$4:$AA$2342,AA$4,'Grid Data'!$Y$4:$Y$2342,$D$2)*100-AA18, "--")</f>
        <v>-3.6147</v>
      </c>
      <c r="AB50" s="5">
        <f>IF(  AB81&gt;$E$2, SUMIFS(IF($G$2="CPR",'Grid Data'!$AH$4:$AH$2342,'Grid Data'!$AI$4:$AI$2342),'Grid Data'!$Z$4:$Z$2342,$D50,'Grid Data'!$AA$4:$AA$2342,AB$4,'Grid Data'!$Y$4:$Y$2342,$D$2)*100-AB18, "--")</f>
        <v>-4.7877999999999998</v>
      </c>
      <c r="AC50" s="5">
        <f>IF(  AC81&gt;$E$2, SUMIFS(IF($G$2="CPR",'Grid Data'!$AH$4:$AH$2342,'Grid Data'!$AI$4:$AI$2342),'Grid Data'!$Z$4:$Z$2342,$D50,'Grid Data'!$AA$4:$AA$2342,AC$4,'Grid Data'!$Y$4:$Y$2342,$D$2)*100-AC18, "--")</f>
        <v>1.1698999999999993</v>
      </c>
      <c r="AD50" s="5">
        <f>IF(  AD81&gt;$E$2, SUMIFS(IF($G$2="CPR",'Grid Data'!$AH$4:$AH$2342,'Grid Data'!$AI$4:$AI$2342),'Grid Data'!$Z$4:$Z$2342,$D50,'Grid Data'!$AA$4:$AA$2342,AD$4,'Grid Data'!$Y$4:$Y$2342,$D$2)*100-AD18, "--")</f>
        <v>0.89100000000000001</v>
      </c>
      <c r="AE50" s="5">
        <f>IF(  AE81&gt;$E$2, SUMIFS(IF($G$2="CPR",'Grid Data'!$AH$4:$AH$2342,'Grid Data'!$AI$4:$AI$2342),'Grid Data'!$Z$4:$Z$2342,$D50,'Grid Data'!$AA$4:$AA$2342,AE$4,'Grid Data'!$Y$4:$Y$2342,$D$2)*100-AE18, "--")</f>
        <v>0.77440000000000087</v>
      </c>
      <c r="AF50" s="5">
        <f>IF(  AF81&gt;$E$2, SUMIFS(IF($G$2="CPR",'Grid Data'!$AH$4:$AH$2342,'Grid Data'!$AI$4:$AI$2342),'Grid Data'!$Z$4:$Z$2342,$D50,'Grid Data'!$AA$4:$AA$2342,AF$4,'Grid Data'!$Y$4:$Y$2342,$D$2)*100-AF18, "--")</f>
        <v>-0.94890000000000096</v>
      </c>
      <c r="AG50" s="5">
        <f>IF(  AG81&gt;$E$2, SUMIFS(IF($G$2="CPR",'Grid Data'!$AH$4:$AH$2342,'Grid Data'!$AI$4:$AI$2342),'Grid Data'!$Z$4:$Z$2342,$D50,'Grid Data'!$AA$4:$AA$2342,AG$4,'Grid Data'!$Y$4:$Y$2342,$D$2)*100-AG18, "--")</f>
        <v>-2.886400000000001</v>
      </c>
      <c r="AH50" s="5" t="str">
        <f>IF(  AH81&gt;$E$2, SUMIFS(IF($G$2="CPR",'Grid Data'!$AH$4:$AH$2342,'Grid Data'!$AI$4:$AI$2342),'Grid Data'!$Z$4:$Z$2342,$D50,'Grid Data'!$AA$4:$AA$2342,AH$4,'Grid Data'!$Y$4:$Y$2342,$D$2)*100-AH18, "--")</f>
        <v>--</v>
      </c>
    </row>
    <row r="51" spans="4:34" x14ac:dyDescent="0.35">
      <c r="D51">
        <v>5500</v>
      </c>
      <c r="E51" s="5">
        <f>IF(  E82&gt;$E$2, SUMIFS(IF($G$2="CPR",'Grid Data'!$AH$4:$AH$2342,'Grid Data'!$AI$4:$AI$2342),'Grid Data'!$Z$4:$Z$2342,$D51,'Grid Data'!$AA$4:$AA$2342,E$4,'Grid Data'!$Y$4:$Y$2342,$D$2)*100-E19, "--")</f>
        <v>-1.4476</v>
      </c>
      <c r="F51" s="5">
        <f>IF(  F82&gt;$E$2, SUMIFS(IF($G$2="CPR",'Grid Data'!$AH$4:$AH$2342,'Grid Data'!$AI$4:$AI$2342),'Grid Data'!$Z$4:$Z$2342,$D51,'Grid Data'!$AA$4:$AA$2342,F$4,'Grid Data'!$Y$4:$Y$2342,$D$2)*100-F19, "--")</f>
        <v>-0.48030000000000017</v>
      </c>
      <c r="G51" s="5">
        <f>IF(  G82&gt;$E$2, SUMIFS(IF($G$2="CPR",'Grid Data'!$AH$4:$AH$2342,'Grid Data'!$AI$4:$AI$2342),'Grid Data'!$Z$4:$Z$2342,$D51,'Grid Data'!$AA$4:$AA$2342,G$4,'Grid Data'!$Y$4:$Y$2342,$D$2)*100-G19, "--")</f>
        <v>0.47750000000000004</v>
      </c>
      <c r="H51" s="5">
        <f>IF(  H82&gt;$E$2, SUMIFS(IF($G$2="CPR",'Grid Data'!$AH$4:$AH$2342,'Grid Data'!$AI$4:$AI$2342),'Grid Data'!$Z$4:$Z$2342,$D51,'Grid Data'!$AA$4:$AA$2342,H$4,'Grid Data'!$Y$4:$Y$2342,$D$2)*100-H19, "--")</f>
        <v>-2.8362000000000003</v>
      </c>
      <c r="I51" s="5">
        <f>IF(  I82&gt;$E$2, SUMIFS(IF($G$2="CPR",'Grid Data'!$AH$4:$AH$2342,'Grid Data'!$AI$4:$AI$2342),'Grid Data'!$Z$4:$Z$2342,$D51,'Grid Data'!$AA$4:$AA$2342,I$4,'Grid Data'!$Y$4:$Y$2342,$D$2)*100-I19, "--")</f>
        <v>-3.1959</v>
      </c>
      <c r="J51" s="5">
        <f>IF(  J82&gt;$E$2, SUMIFS(IF($G$2="CPR",'Grid Data'!$AH$4:$AH$2342,'Grid Data'!$AI$4:$AI$2342),'Grid Data'!$Z$4:$Z$2342,$D51,'Grid Data'!$AA$4:$AA$2342,J$4,'Grid Data'!$Y$4:$Y$2342,$D$2)*100-J19, "--")</f>
        <v>1.7757999999999994</v>
      </c>
      <c r="K51" s="5">
        <f>IF(  K82&gt;$E$2, SUMIFS(IF($G$2="CPR",'Grid Data'!$AH$4:$AH$2342,'Grid Data'!$AI$4:$AI$2342),'Grid Data'!$Z$4:$Z$2342,$D51,'Grid Data'!$AA$4:$AA$2342,K$4,'Grid Data'!$Y$4:$Y$2342,$D$2)*100-K19, "--")</f>
        <v>-0.71279999999999966</v>
      </c>
      <c r="L51" s="5">
        <f>IF(  L82&gt;$E$2, SUMIFS(IF($G$2="CPR",'Grid Data'!$AH$4:$AH$2342,'Grid Data'!$AI$4:$AI$2342),'Grid Data'!$Z$4:$Z$2342,$D51,'Grid Data'!$AA$4:$AA$2342,L$4,'Grid Data'!$Y$4:$Y$2342,$D$2)*100-L19, "--")</f>
        <v>-3.1710000000000003</v>
      </c>
      <c r="M51" s="5">
        <f>IF(  M82&gt;$E$2, SUMIFS(IF($G$2="CPR",'Grid Data'!$AH$4:$AH$2342,'Grid Data'!$AI$4:$AI$2342),'Grid Data'!$Z$4:$Z$2342,$D51,'Grid Data'!$AA$4:$AA$2342,M$4,'Grid Data'!$Y$4:$Y$2342,$D$2)*100-M19, "--")</f>
        <v>-4.1850999999999994</v>
      </c>
      <c r="N51" s="5">
        <f>IF(  N82&gt;$E$2, SUMIFS(IF($G$2="CPR",'Grid Data'!$AH$4:$AH$2342,'Grid Data'!$AI$4:$AI$2342),'Grid Data'!$Z$4:$Z$2342,$D51,'Grid Data'!$AA$4:$AA$2342,N$4,'Grid Data'!$Y$4:$Y$2342,$D$2)*100-N19, "--")</f>
        <v>-3.2328000000000001</v>
      </c>
      <c r="O51" s="5">
        <f>IF(  O82&gt;$E$2, SUMIFS(IF($G$2="CPR",'Grid Data'!$AH$4:$AH$2342,'Grid Data'!$AI$4:$AI$2342),'Grid Data'!$Z$4:$Z$2342,$D51,'Grid Data'!$AA$4:$AA$2342,O$4,'Grid Data'!$Y$4:$Y$2342,$D$2)*100-O19, "--")</f>
        <v>-3.7147999999999994</v>
      </c>
      <c r="P51" s="5">
        <f>IF(  P82&gt;$E$2, SUMIFS(IF($G$2="CPR",'Grid Data'!$AH$4:$AH$2342,'Grid Data'!$AI$4:$AI$2342),'Grid Data'!$Z$4:$Z$2342,$D51,'Grid Data'!$AA$4:$AA$2342,P$4,'Grid Data'!$Y$4:$Y$2342,$D$2)*100-P19, "--")</f>
        <v>-4.8291000000000004</v>
      </c>
      <c r="Q51" s="5">
        <f>IF(  Q82&gt;$E$2, SUMIFS(IF($G$2="CPR",'Grid Data'!$AH$4:$AH$2342,'Grid Data'!$AI$4:$AI$2342),'Grid Data'!$Z$4:$Z$2342,$D51,'Grid Data'!$AA$4:$AA$2342,Q$4,'Grid Data'!$Y$4:$Y$2342,$D$2)*100-Q19, "--")</f>
        <v>-3.3263999999999996</v>
      </c>
      <c r="R51" s="5">
        <f>IF(  R82&gt;$E$2, SUMIFS(IF($G$2="CPR",'Grid Data'!$AH$4:$AH$2342,'Grid Data'!$AI$4:$AI$2342),'Grid Data'!$Z$4:$Z$2342,$D51,'Grid Data'!$AA$4:$AA$2342,R$4,'Grid Data'!$Y$4:$Y$2342,$D$2)*100-R19, "--")</f>
        <v>-3.736600000000001</v>
      </c>
      <c r="S51" s="5">
        <f>IF(  S82&gt;$E$2, SUMIFS(IF($G$2="CPR",'Grid Data'!$AH$4:$AH$2342,'Grid Data'!$AI$4:$AI$2342),'Grid Data'!$Z$4:$Z$2342,$D51,'Grid Data'!$AA$4:$AA$2342,S$4,'Grid Data'!$Y$4:$Y$2342,$D$2)*100-S19, "--")</f>
        <v>-1.4500000000000002</v>
      </c>
      <c r="T51" s="5">
        <f>IF(  T82&gt;$E$2, SUMIFS(IF($G$2="CPR",'Grid Data'!$AH$4:$AH$2342,'Grid Data'!$AI$4:$AI$2342),'Grid Data'!$Z$4:$Z$2342,$D51,'Grid Data'!$AA$4:$AA$2342,T$4,'Grid Data'!$Y$4:$Y$2342,$D$2)*100-T19, "--")</f>
        <v>-0.5323999999999991</v>
      </c>
      <c r="U51" s="5" t="str">
        <f>IF(  U82&gt;$E$2, SUMIFS(IF($G$2="CPR",'Grid Data'!$AH$4:$AH$2342,'Grid Data'!$AI$4:$AI$2342),'Grid Data'!$Z$4:$Z$2342,$D51,'Grid Data'!$AA$4:$AA$2342,U$4,'Grid Data'!$Y$4:$Y$2342,$D$2)*100-U19, "--")</f>
        <v>--</v>
      </c>
      <c r="V51" s="5" t="str">
        <f>IF(  V82&gt;$E$2, SUMIFS(IF($G$2="CPR",'Grid Data'!$AH$4:$AH$2342,'Grid Data'!$AI$4:$AI$2342),'Grid Data'!$Z$4:$Z$2342,$D51,'Grid Data'!$AA$4:$AA$2342,V$4,'Grid Data'!$Y$4:$Y$2342,$D$2)*100-V19, "--")</f>
        <v>--</v>
      </c>
      <c r="W51" s="5">
        <f>IF(  W82&gt;$E$2, SUMIFS(IF($G$2="CPR",'Grid Data'!$AH$4:$AH$2342,'Grid Data'!$AI$4:$AI$2342),'Grid Data'!$Z$4:$Z$2342,$D51,'Grid Data'!$AA$4:$AA$2342,W$4,'Grid Data'!$Y$4:$Y$2342,$D$2)*100-W19, "--")</f>
        <v>-4.1015000000000006</v>
      </c>
      <c r="X51" s="5">
        <f>IF(  X82&gt;$E$2, SUMIFS(IF($G$2="CPR",'Grid Data'!$AH$4:$AH$2342,'Grid Data'!$AI$4:$AI$2342),'Grid Data'!$Z$4:$Z$2342,$D51,'Grid Data'!$AA$4:$AA$2342,X$4,'Grid Data'!$Y$4:$Y$2342,$D$2)*100-X19, "--")</f>
        <v>-2.3450000000000006</v>
      </c>
      <c r="Y51" s="5">
        <f>IF(  Y82&gt;$E$2, SUMIFS(IF($G$2="CPR",'Grid Data'!$AH$4:$AH$2342,'Grid Data'!$AI$4:$AI$2342),'Grid Data'!$Z$4:$Z$2342,$D51,'Grid Data'!$AA$4:$AA$2342,Y$4,'Grid Data'!$Y$4:$Y$2342,$D$2)*100-Y19, "--")</f>
        <v>-1.7725</v>
      </c>
      <c r="Z51" s="5">
        <f>IF(  Z82&gt;$E$2, SUMIFS(IF($G$2="CPR",'Grid Data'!$AH$4:$AH$2342,'Grid Data'!$AI$4:$AI$2342),'Grid Data'!$Z$4:$Z$2342,$D51,'Grid Data'!$AA$4:$AA$2342,Z$4,'Grid Data'!$Y$4:$Y$2342,$D$2)*100-Z19, "--")</f>
        <v>-3.899</v>
      </c>
      <c r="AA51" s="5">
        <f>IF(  AA82&gt;$E$2, SUMIFS(IF($G$2="CPR",'Grid Data'!$AH$4:$AH$2342,'Grid Data'!$AI$4:$AI$2342),'Grid Data'!$Z$4:$Z$2342,$D51,'Grid Data'!$AA$4:$AA$2342,AA$4,'Grid Data'!$Y$4:$Y$2342,$D$2)*100-AA19, "--")</f>
        <v>8.9014000000000006</v>
      </c>
      <c r="AB51" s="5">
        <f>IF(  AB82&gt;$E$2, SUMIFS(IF($G$2="CPR",'Grid Data'!$AH$4:$AH$2342,'Grid Data'!$AI$4:$AI$2342),'Grid Data'!$Z$4:$Z$2342,$D51,'Grid Data'!$AA$4:$AA$2342,AB$4,'Grid Data'!$Y$4:$Y$2342,$D$2)*100-AB19, "--")</f>
        <v>-0.72240000000000038</v>
      </c>
      <c r="AC51" s="5">
        <f>IF(  AC82&gt;$E$2, SUMIFS(IF($G$2="CPR",'Grid Data'!$AH$4:$AH$2342,'Grid Data'!$AI$4:$AI$2342),'Grid Data'!$Z$4:$Z$2342,$D51,'Grid Data'!$AA$4:$AA$2342,AC$4,'Grid Data'!$Y$4:$Y$2342,$D$2)*100-AC19, "--")</f>
        <v>-0.32679999999999954</v>
      </c>
      <c r="AD51" s="5">
        <f>IF(  AD82&gt;$E$2, SUMIFS(IF($G$2="CPR",'Grid Data'!$AH$4:$AH$2342,'Grid Data'!$AI$4:$AI$2342),'Grid Data'!$Z$4:$Z$2342,$D51,'Grid Data'!$AA$4:$AA$2342,AD$4,'Grid Data'!$Y$4:$Y$2342,$D$2)*100-AD19, "--")</f>
        <v>0.36569999999999947</v>
      </c>
      <c r="AE51" s="5">
        <f>IF(  AE82&gt;$E$2, SUMIFS(IF($G$2="CPR",'Grid Data'!$AH$4:$AH$2342,'Grid Data'!$AI$4:$AI$2342),'Grid Data'!$Z$4:$Z$2342,$D51,'Grid Data'!$AA$4:$AA$2342,AE$4,'Grid Data'!$Y$4:$Y$2342,$D$2)*100-AE19, "--")</f>
        <v>1.9756999999999998</v>
      </c>
      <c r="AF51" s="5">
        <f>IF(  AF82&gt;$E$2, SUMIFS(IF($G$2="CPR",'Grid Data'!$AH$4:$AH$2342,'Grid Data'!$AI$4:$AI$2342),'Grid Data'!$Z$4:$Z$2342,$D51,'Grid Data'!$AA$4:$AA$2342,AF$4,'Grid Data'!$Y$4:$Y$2342,$D$2)*100-AF19, "--")</f>
        <v>1.8186999999999998</v>
      </c>
      <c r="AG51" s="5">
        <f>IF(  AG82&gt;$E$2, SUMIFS(IF($G$2="CPR",'Grid Data'!$AH$4:$AH$2342,'Grid Data'!$AI$4:$AI$2342),'Grid Data'!$Z$4:$Z$2342,$D51,'Grid Data'!$AA$4:$AA$2342,AG$4,'Grid Data'!$Y$4:$Y$2342,$D$2)*100-AG19, "--")</f>
        <v>5.4899999999999949E-2</v>
      </c>
      <c r="AH51" s="5" t="str">
        <f>IF(  AH82&gt;$E$2, SUMIFS(IF($G$2="CPR",'Grid Data'!$AH$4:$AH$2342,'Grid Data'!$AI$4:$AI$2342),'Grid Data'!$Z$4:$Z$2342,$D51,'Grid Data'!$AA$4:$AA$2342,AH$4,'Grid Data'!$Y$4:$Y$2342,$D$2)*100-AH19, "--")</f>
        <v>--</v>
      </c>
    </row>
    <row r="52" spans="4:34" x14ac:dyDescent="0.35">
      <c r="D52">
        <v>5750</v>
      </c>
      <c r="E52" s="5">
        <f>IF(  E83&gt;$E$2, SUMIFS(IF($G$2="CPR",'Grid Data'!$AH$4:$AH$2342,'Grid Data'!$AI$4:$AI$2342),'Grid Data'!$Z$4:$Z$2342,$D52,'Grid Data'!$AA$4:$AA$2342,E$4,'Grid Data'!$Y$4:$Y$2342,$D$2)*100-E20, "--")</f>
        <v>-1.5671000000000002</v>
      </c>
      <c r="F52" s="5">
        <f>IF(  F83&gt;$E$2, SUMIFS(IF($G$2="CPR",'Grid Data'!$AH$4:$AH$2342,'Grid Data'!$AI$4:$AI$2342),'Grid Data'!$Z$4:$Z$2342,$D52,'Grid Data'!$AA$4:$AA$2342,F$4,'Grid Data'!$Y$4:$Y$2342,$D$2)*100-F20, "--")</f>
        <v>0.35489999999999977</v>
      </c>
      <c r="G52" s="5">
        <f>IF(  G83&gt;$E$2, SUMIFS(IF($G$2="CPR",'Grid Data'!$AH$4:$AH$2342,'Grid Data'!$AI$4:$AI$2342),'Grid Data'!$Z$4:$Z$2342,$D52,'Grid Data'!$AA$4:$AA$2342,G$4,'Grid Data'!$Y$4:$Y$2342,$D$2)*100-G20, "--")</f>
        <v>-2.8709000000000016</v>
      </c>
      <c r="H52" s="5">
        <f>IF(  H83&gt;$E$2, SUMIFS(IF($G$2="CPR",'Grid Data'!$AH$4:$AH$2342,'Grid Data'!$AI$4:$AI$2342),'Grid Data'!$Z$4:$Z$2342,$D52,'Grid Data'!$AA$4:$AA$2342,H$4,'Grid Data'!$Y$4:$Y$2342,$D$2)*100-H20, "--")</f>
        <v>0.53259999999999952</v>
      </c>
      <c r="I52" s="5">
        <f>IF(  I83&gt;$E$2, SUMIFS(IF($G$2="CPR",'Grid Data'!$AH$4:$AH$2342,'Grid Data'!$AI$4:$AI$2342),'Grid Data'!$Z$4:$Z$2342,$D52,'Grid Data'!$AA$4:$AA$2342,I$4,'Grid Data'!$Y$4:$Y$2342,$D$2)*100-I20, "--")</f>
        <v>-1.8558000000000003</v>
      </c>
      <c r="J52" s="5">
        <f>IF(  J83&gt;$E$2, SUMIFS(IF($G$2="CPR",'Grid Data'!$AH$4:$AH$2342,'Grid Data'!$AI$4:$AI$2342),'Grid Data'!$Z$4:$Z$2342,$D52,'Grid Data'!$AA$4:$AA$2342,J$4,'Grid Data'!$Y$4:$Y$2342,$D$2)*100-J20, "--")</f>
        <v>-1.6447000000000003</v>
      </c>
      <c r="K52" s="5">
        <f>IF(  K83&gt;$E$2, SUMIFS(IF($G$2="CPR",'Grid Data'!$AH$4:$AH$2342,'Grid Data'!$AI$4:$AI$2342),'Grid Data'!$Z$4:$Z$2342,$D52,'Grid Data'!$AA$4:$AA$2342,K$4,'Grid Data'!$Y$4:$Y$2342,$D$2)*100-K20, "--")</f>
        <v>-3.3975999999999997</v>
      </c>
      <c r="L52" s="5">
        <f>IF(  L83&gt;$E$2, SUMIFS(IF($G$2="CPR",'Grid Data'!$AH$4:$AH$2342,'Grid Data'!$AI$4:$AI$2342),'Grid Data'!$Z$4:$Z$2342,$D52,'Grid Data'!$AA$4:$AA$2342,L$4,'Grid Data'!$Y$4:$Y$2342,$D$2)*100-L20, "--")</f>
        <v>-4.3541999999999996</v>
      </c>
      <c r="M52" s="5">
        <f>IF(  M83&gt;$E$2, SUMIFS(IF($G$2="CPR",'Grid Data'!$AH$4:$AH$2342,'Grid Data'!$AI$4:$AI$2342),'Grid Data'!$Z$4:$Z$2342,$D52,'Grid Data'!$AA$4:$AA$2342,M$4,'Grid Data'!$Y$4:$Y$2342,$D$2)*100-M20, "--")</f>
        <v>-3.9809000000000001</v>
      </c>
      <c r="N52" s="5">
        <f>IF(  N83&gt;$E$2, SUMIFS(IF($G$2="CPR",'Grid Data'!$AH$4:$AH$2342,'Grid Data'!$AI$4:$AI$2342),'Grid Data'!$Z$4:$Z$2342,$D52,'Grid Data'!$AA$4:$AA$2342,N$4,'Grid Data'!$Y$4:$Y$2342,$D$2)*100-N20, "--")</f>
        <v>-3.9473000000000011</v>
      </c>
      <c r="O52" s="5">
        <f>IF(  O83&gt;$E$2, SUMIFS(IF($G$2="CPR",'Grid Data'!$AH$4:$AH$2342,'Grid Data'!$AI$4:$AI$2342),'Grid Data'!$Z$4:$Z$2342,$D52,'Grid Data'!$AA$4:$AA$2342,O$4,'Grid Data'!$Y$4:$Y$2342,$D$2)*100-O20, "--")</f>
        <v>-2.1389000000000005</v>
      </c>
      <c r="P52" s="5">
        <f>IF(  P83&gt;$E$2, SUMIFS(IF($G$2="CPR",'Grid Data'!$AH$4:$AH$2342,'Grid Data'!$AI$4:$AI$2342),'Grid Data'!$Z$4:$Z$2342,$D52,'Grid Data'!$AA$4:$AA$2342,P$4,'Grid Data'!$Y$4:$Y$2342,$D$2)*100-P20, "--")</f>
        <v>-3.8991000000000007</v>
      </c>
      <c r="Q52" s="5">
        <f>IF(  Q83&gt;$E$2, SUMIFS(IF($G$2="CPR",'Grid Data'!$AH$4:$AH$2342,'Grid Data'!$AI$4:$AI$2342),'Grid Data'!$Z$4:$Z$2342,$D52,'Grid Data'!$AA$4:$AA$2342,Q$4,'Grid Data'!$Y$4:$Y$2342,$D$2)*100-Q20, "--")</f>
        <v>-2.9587000000000003</v>
      </c>
      <c r="R52" s="5">
        <f>IF(  R83&gt;$E$2, SUMIFS(IF($G$2="CPR",'Grid Data'!$AH$4:$AH$2342,'Grid Data'!$AI$4:$AI$2342),'Grid Data'!$Z$4:$Z$2342,$D52,'Grid Data'!$AA$4:$AA$2342,R$4,'Grid Data'!$Y$4:$Y$2342,$D$2)*100-R20, "--")</f>
        <v>-3.0652999999999997</v>
      </c>
      <c r="S52" s="5">
        <f>IF(  S83&gt;$E$2, SUMIFS(IF($G$2="CPR",'Grid Data'!$AH$4:$AH$2342,'Grid Data'!$AI$4:$AI$2342),'Grid Data'!$Z$4:$Z$2342,$D52,'Grid Data'!$AA$4:$AA$2342,S$4,'Grid Data'!$Y$4:$Y$2342,$D$2)*100-S20, "--")</f>
        <v>-3.0845000000000002</v>
      </c>
      <c r="T52" s="5">
        <f>IF(  T83&gt;$E$2, SUMIFS(IF($G$2="CPR",'Grid Data'!$AH$4:$AH$2342,'Grid Data'!$AI$4:$AI$2342),'Grid Data'!$Z$4:$Z$2342,$D52,'Grid Data'!$AA$4:$AA$2342,T$4,'Grid Data'!$Y$4:$Y$2342,$D$2)*100-T20, "--")</f>
        <v>-2.9595000000000011</v>
      </c>
      <c r="U52" s="5" t="str">
        <f>IF(  U83&gt;$E$2, SUMIFS(IF($G$2="CPR",'Grid Data'!$AH$4:$AH$2342,'Grid Data'!$AI$4:$AI$2342),'Grid Data'!$Z$4:$Z$2342,$D52,'Grid Data'!$AA$4:$AA$2342,U$4,'Grid Data'!$Y$4:$Y$2342,$D$2)*100-U20, "--")</f>
        <v>--</v>
      </c>
      <c r="V52" s="5" t="str">
        <f>IF(  V83&gt;$E$2, SUMIFS(IF($G$2="CPR",'Grid Data'!$AH$4:$AH$2342,'Grid Data'!$AI$4:$AI$2342),'Grid Data'!$Z$4:$Z$2342,$D52,'Grid Data'!$AA$4:$AA$2342,V$4,'Grid Data'!$Y$4:$Y$2342,$D$2)*100-V20, "--")</f>
        <v>--</v>
      </c>
      <c r="W52" s="5">
        <f>IF(  W83&gt;$E$2, SUMIFS(IF($G$2="CPR",'Grid Data'!$AH$4:$AH$2342,'Grid Data'!$AI$4:$AI$2342),'Grid Data'!$Z$4:$Z$2342,$D52,'Grid Data'!$AA$4:$AA$2342,W$4,'Grid Data'!$Y$4:$Y$2342,$D$2)*100-W20, "--")</f>
        <v>-1.0257000000000005</v>
      </c>
      <c r="X52" s="5">
        <f>IF(  X83&gt;$E$2, SUMIFS(IF($G$2="CPR",'Grid Data'!$AH$4:$AH$2342,'Grid Data'!$AI$4:$AI$2342),'Grid Data'!$Z$4:$Z$2342,$D52,'Grid Data'!$AA$4:$AA$2342,X$4,'Grid Data'!$Y$4:$Y$2342,$D$2)*100-X20, "--")</f>
        <v>-3.7570000000000006</v>
      </c>
      <c r="Y52" s="5">
        <f>IF(  Y83&gt;$E$2, SUMIFS(IF($G$2="CPR",'Grid Data'!$AH$4:$AH$2342,'Grid Data'!$AI$4:$AI$2342),'Grid Data'!$Z$4:$Z$2342,$D52,'Grid Data'!$AA$4:$AA$2342,Y$4,'Grid Data'!$Y$4:$Y$2342,$D$2)*100-Y20, "--")</f>
        <v>-1.081500000000001</v>
      </c>
      <c r="Z52" s="5">
        <f>IF(  Z83&gt;$E$2, SUMIFS(IF($G$2="CPR",'Grid Data'!$AH$4:$AH$2342,'Grid Data'!$AI$4:$AI$2342),'Grid Data'!$Z$4:$Z$2342,$D52,'Grid Data'!$AA$4:$AA$2342,Z$4,'Grid Data'!$Y$4:$Y$2342,$D$2)*100-Z20, "--")</f>
        <v>-8.6428000000000011</v>
      </c>
      <c r="AA52" s="5" t="str">
        <f>IF(  AA83&gt;$E$2, SUMIFS(IF($G$2="CPR",'Grid Data'!$AH$4:$AH$2342,'Grid Data'!$AI$4:$AI$2342),'Grid Data'!$Z$4:$Z$2342,$D52,'Grid Data'!$AA$4:$AA$2342,AA$4,'Grid Data'!$Y$4:$Y$2342,$D$2)*100-AA20, "--")</f>
        <v>--</v>
      </c>
      <c r="AB52" s="5">
        <f>IF(  AB83&gt;$E$2, SUMIFS(IF($G$2="CPR",'Grid Data'!$AH$4:$AH$2342,'Grid Data'!$AI$4:$AI$2342),'Grid Data'!$Z$4:$Z$2342,$D52,'Grid Data'!$AA$4:$AA$2342,AB$4,'Grid Data'!$Y$4:$Y$2342,$D$2)*100-AB20, "--")</f>
        <v>-5.8561000000000014</v>
      </c>
      <c r="AC52" s="5" t="str">
        <f>IF(  AC83&gt;$E$2, SUMIFS(IF($G$2="CPR",'Grid Data'!$AH$4:$AH$2342,'Grid Data'!$AI$4:$AI$2342),'Grid Data'!$Z$4:$Z$2342,$D52,'Grid Data'!$AA$4:$AA$2342,AC$4,'Grid Data'!$Y$4:$Y$2342,$D$2)*100-AC20, "--")</f>
        <v>--</v>
      </c>
      <c r="AD52" s="5">
        <f>IF(  AD83&gt;$E$2, SUMIFS(IF($G$2="CPR",'Grid Data'!$AH$4:$AH$2342,'Grid Data'!$AI$4:$AI$2342),'Grid Data'!$Z$4:$Z$2342,$D52,'Grid Data'!$AA$4:$AA$2342,AD$4,'Grid Data'!$Y$4:$Y$2342,$D$2)*100-AD20, "--")</f>
        <v>3.1546000000000003</v>
      </c>
      <c r="AE52" s="5">
        <f>IF(  AE83&gt;$E$2, SUMIFS(IF($G$2="CPR",'Grid Data'!$AH$4:$AH$2342,'Grid Data'!$AI$4:$AI$2342),'Grid Data'!$Z$4:$Z$2342,$D52,'Grid Data'!$AA$4:$AA$2342,AE$4,'Grid Data'!$Y$4:$Y$2342,$D$2)*100-AE20, "--")</f>
        <v>2.2609000000000004</v>
      </c>
      <c r="AF52" s="5">
        <f>IF(  AF83&gt;$E$2, SUMIFS(IF($G$2="CPR",'Grid Data'!$AH$4:$AH$2342,'Grid Data'!$AI$4:$AI$2342),'Grid Data'!$Z$4:$Z$2342,$D52,'Grid Data'!$AA$4:$AA$2342,AF$4,'Grid Data'!$Y$4:$Y$2342,$D$2)*100-AF20, "--")</f>
        <v>1.4508000000000001</v>
      </c>
      <c r="AG52" s="5">
        <f>IF(  AG83&gt;$E$2, SUMIFS(IF($G$2="CPR",'Grid Data'!$AH$4:$AH$2342,'Grid Data'!$AI$4:$AI$2342),'Grid Data'!$Z$4:$Z$2342,$D52,'Grid Data'!$AA$4:$AA$2342,AG$4,'Grid Data'!$Y$4:$Y$2342,$D$2)*100-AG20, "--")</f>
        <v>-0.19790000000000063</v>
      </c>
      <c r="AH52" s="5">
        <f>IF(  AH83&gt;$E$2, SUMIFS(IF($G$2="CPR",'Grid Data'!$AH$4:$AH$2342,'Grid Data'!$AI$4:$AI$2342),'Grid Data'!$Z$4:$Z$2342,$D52,'Grid Data'!$AA$4:$AA$2342,AH$4,'Grid Data'!$Y$4:$Y$2342,$D$2)*100-AH20, "--")</f>
        <v>20.025599999999997</v>
      </c>
    </row>
    <row r="53" spans="4:34" x14ac:dyDescent="0.35">
      <c r="D53">
        <v>6000</v>
      </c>
      <c r="E53" s="5">
        <f>IF(  E84&gt;$E$2, SUMIFS(IF($G$2="CPR",'Grid Data'!$AH$4:$AH$2342,'Grid Data'!$AI$4:$AI$2342),'Grid Data'!$Z$4:$Z$2342,$D53,'Grid Data'!$AA$4:$AA$2342,E$4,'Grid Data'!$Y$4:$Y$2342,$D$2)*100-E21, "--")</f>
        <v>-1.2777000000000001</v>
      </c>
      <c r="F53" s="5">
        <f>IF(  F84&gt;$E$2, SUMIFS(IF($G$2="CPR",'Grid Data'!$AH$4:$AH$2342,'Grid Data'!$AI$4:$AI$2342),'Grid Data'!$Z$4:$Z$2342,$D53,'Grid Data'!$AA$4:$AA$2342,F$4,'Grid Data'!$Y$4:$Y$2342,$D$2)*100-F21, "--")</f>
        <v>-4.2580000000000009</v>
      </c>
      <c r="G53" s="5">
        <f>IF(  G84&gt;$E$2, SUMIFS(IF($G$2="CPR",'Grid Data'!$AH$4:$AH$2342,'Grid Data'!$AI$4:$AI$2342),'Grid Data'!$Z$4:$Z$2342,$D53,'Grid Data'!$AA$4:$AA$2342,G$4,'Grid Data'!$Y$4:$Y$2342,$D$2)*100-G21, "--")</f>
        <v>-6.0268000000000006</v>
      </c>
      <c r="H53" s="5">
        <f>IF(  H84&gt;$E$2, SUMIFS(IF($G$2="CPR",'Grid Data'!$AH$4:$AH$2342,'Grid Data'!$AI$4:$AI$2342),'Grid Data'!$Z$4:$Z$2342,$D53,'Grid Data'!$AA$4:$AA$2342,H$4,'Grid Data'!$Y$4:$Y$2342,$D$2)*100-H21, "--")</f>
        <v>-4.2091000000000012</v>
      </c>
      <c r="I53" s="5">
        <f>IF(  I84&gt;$E$2, SUMIFS(IF($G$2="CPR",'Grid Data'!$AH$4:$AH$2342,'Grid Data'!$AI$4:$AI$2342),'Grid Data'!$Z$4:$Z$2342,$D53,'Grid Data'!$AA$4:$AA$2342,I$4,'Grid Data'!$Y$4:$Y$2342,$D$2)*100-I21, "--")</f>
        <v>-4.7351000000000001</v>
      </c>
      <c r="J53" s="5">
        <f>IF(  J84&gt;$E$2, SUMIFS(IF($G$2="CPR",'Grid Data'!$AH$4:$AH$2342,'Grid Data'!$AI$4:$AI$2342),'Grid Data'!$Z$4:$Z$2342,$D53,'Grid Data'!$AA$4:$AA$2342,J$4,'Grid Data'!$Y$4:$Y$2342,$D$2)*100-J21, "--")</f>
        <v>-2.4004999999999992</v>
      </c>
      <c r="K53" s="5">
        <f>IF(  K84&gt;$E$2, SUMIFS(IF($G$2="CPR",'Grid Data'!$AH$4:$AH$2342,'Grid Data'!$AI$4:$AI$2342),'Grid Data'!$Z$4:$Z$2342,$D53,'Grid Data'!$AA$4:$AA$2342,K$4,'Grid Data'!$Y$4:$Y$2342,$D$2)*100-K21, "--")</f>
        <v>-5.5398000000000014</v>
      </c>
      <c r="L53" s="5">
        <f>IF(  L84&gt;$E$2, SUMIFS(IF($G$2="CPR",'Grid Data'!$AH$4:$AH$2342,'Grid Data'!$AI$4:$AI$2342),'Grid Data'!$Z$4:$Z$2342,$D53,'Grid Data'!$AA$4:$AA$2342,L$4,'Grid Data'!$Y$4:$Y$2342,$D$2)*100-L21, "--")</f>
        <v>-8.7544999999999984</v>
      </c>
      <c r="M53" s="5">
        <f>IF(  M84&gt;$E$2, SUMIFS(IF($G$2="CPR",'Grid Data'!$AH$4:$AH$2342,'Grid Data'!$AI$4:$AI$2342),'Grid Data'!$Z$4:$Z$2342,$D53,'Grid Data'!$AA$4:$AA$2342,M$4,'Grid Data'!$Y$4:$Y$2342,$D$2)*100-M21, "--")</f>
        <v>-5.8461000000000016</v>
      </c>
      <c r="N53" s="5">
        <f>IF(  N84&gt;$E$2, SUMIFS(IF($G$2="CPR",'Grid Data'!$AH$4:$AH$2342,'Grid Data'!$AI$4:$AI$2342),'Grid Data'!$Z$4:$Z$2342,$D53,'Grid Data'!$AA$4:$AA$2342,N$4,'Grid Data'!$Y$4:$Y$2342,$D$2)*100-N21, "--")</f>
        <v>-6.8888000000000007</v>
      </c>
      <c r="O53" s="5">
        <f>IF(  O84&gt;$E$2, SUMIFS(IF($G$2="CPR",'Grid Data'!$AH$4:$AH$2342,'Grid Data'!$AI$4:$AI$2342),'Grid Data'!$Z$4:$Z$2342,$D53,'Grid Data'!$AA$4:$AA$2342,O$4,'Grid Data'!$Y$4:$Y$2342,$D$2)*100-O21, "--")</f>
        <v>-3.8686000000000007</v>
      </c>
      <c r="P53" s="5">
        <f>IF(  P84&gt;$E$2, SUMIFS(IF($G$2="CPR",'Grid Data'!$AH$4:$AH$2342,'Grid Data'!$AI$4:$AI$2342),'Grid Data'!$Z$4:$Z$2342,$D53,'Grid Data'!$AA$4:$AA$2342,P$4,'Grid Data'!$Y$4:$Y$2342,$D$2)*100-P21, "--")</f>
        <v>-6.8544999999999989</v>
      </c>
      <c r="Q53" s="5">
        <f>IF(  Q84&gt;$E$2, SUMIFS(IF($G$2="CPR",'Grid Data'!$AH$4:$AH$2342,'Grid Data'!$AI$4:$AI$2342),'Grid Data'!$Z$4:$Z$2342,$D53,'Grid Data'!$AA$4:$AA$2342,Q$4,'Grid Data'!$Y$4:$Y$2342,$D$2)*100-Q21, "--")</f>
        <v>-5.1689999999999987</v>
      </c>
      <c r="R53" s="5">
        <f>IF(  R84&gt;$E$2, SUMIFS(IF($G$2="CPR",'Grid Data'!$AH$4:$AH$2342,'Grid Data'!$AI$4:$AI$2342),'Grid Data'!$Z$4:$Z$2342,$D53,'Grid Data'!$AA$4:$AA$2342,R$4,'Grid Data'!$Y$4:$Y$2342,$D$2)*100-R21, "--")</f>
        <v>-3.8977999999999984</v>
      </c>
      <c r="S53" s="5">
        <f>IF(  S84&gt;$E$2, SUMIFS(IF($G$2="CPR",'Grid Data'!$AH$4:$AH$2342,'Grid Data'!$AI$4:$AI$2342),'Grid Data'!$Z$4:$Z$2342,$D53,'Grid Data'!$AA$4:$AA$2342,S$4,'Grid Data'!$Y$4:$Y$2342,$D$2)*100-S21, "--")</f>
        <v>-3.6539999999999999</v>
      </c>
      <c r="T53" s="5">
        <f>IF(  T84&gt;$E$2, SUMIFS(IF($G$2="CPR",'Grid Data'!$AH$4:$AH$2342,'Grid Data'!$AI$4:$AI$2342),'Grid Data'!$Z$4:$Z$2342,$D53,'Grid Data'!$AA$4:$AA$2342,T$4,'Grid Data'!$Y$4:$Y$2342,$D$2)*100-T21, "--")</f>
        <v>-8.8917999999999999</v>
      </c>
      <c r="U53" s="5" t="str">
        <f>IF(  U84&gt;$E$2, SUMIFS(IF($G$2="CPR",'Grid Data'!$AH$4:$AH$2342,'Grid Data'!$AI$4:$AI$2342),'Grid Data'!$Z$4:$Z$2342,$D53,'Grid Data'!$AA$4:$AA$2342,U$4,'Grid Data'!$Y$4:$Y$2342,$D$2)*100-U21, "--")</f>
        <v>--</v>
      </c>
      <c r="V53" s="5" t="str">
        <f>IF(  V84&gt;$E$2, SUMIFS(IF($G$2="CPR",'Grid Data'!$AH$4:$AH$2342,'Grid Data'!$AI$4:$AI$2342),'Grid Data'!$Z$4:$Z$2342,$D53,'Grid Data'!$AA$4:$AA$2342,V$4,'Grid Data'!$Y$4:$Y$2342,$D$2)*100-V21, "--")</f>
        <v>--</v>
      </c>
      <c r="W53" s="5" t="str">
        <f>IF(  W84&gt;$E$2, SUMIFS(IF($G$2="CPR",'Grid Data'!$AH$4:$AH$2342,'Grid Data'!$AI$4:$AI$2342),'Grid Data'!$Z$4:$Z$2342,$D53,'Grid Data'!$AA$4:$AA$2342,W$4,'Grid Data'!$Y$4:$Y$2342,$D$2)*100-W21, "--")</f>
        <v>--</v>
      </c>
      <c r="X53" s="5">
        <f>IF(  X84&gt;$E$2, SUMIFS(IF($G$2="CPR",'Grid Data'!$AH$4:$AH$2342,'Grid Data'!$AI$4:$AI$2342),'Grid Data'!$Z$4:$Z$2342,$D53,'Grid Data'!$AA$4:$AA$2342,X$4,'Grid Data'!$Y$4:$Y$2342,$D$2)*100-X21, "--")</f>
        <v>-3.2026000000000003</v>
      </c>
      <c r="Y53" s="5">
        <f>IF(  Y84&gt;$E$2, SUMIFS(IF($G$2="CPR",'Grid Data'!$AH$4:$AH$2342,'Grid Data'!$AI$4:$AI$2342),'Grid Data'!$Z$4:$Z$2342,$D53,'Grid Data'!$AA$4:$AA$2342,Y$4,'Grid Data'!$Y$4:$Y$2342,$D$2)*100-Y21, "--")</f>
        <v>-4.3054000000000006</v>
      </c>
      <c r="Z53" s="5" t="str">
        <f>IF(  Z84&gt;$E$2, SUMIFS(IF($G$2="CPR",'Grid Data'!$AH$4:$AH$2342,'Grid Data'!$AI$4:$AI$2342),'Grid Data'!$Z$4:$Z$2342,$D53,'Grid Data'!$AA$4:$AA$2342,Z$4,'Grid Data'!$Y$4:$Y$2342,$D$2)*100-Z21, "--")</f>
        <v>--</v>
      </c>
      <c r="AA53" s="5" t="str">
        <f>IF(  AA84&gt;$E$2, SUMIFS(IF($G$2="CPR",'Grid Data'!$AH$4:$AH$2342,'Grid Data'!$AI$4:$AI$2342),'Grid Data'!$Z$4:$Z$2342,$D53,'Grid Data'!$AA$4:$AA$2342,AA$4,'Grid Data'!$Y$4:$Y$2342,$D$2)*100-AA21, "--")</f>
        <v>--</v>
      </c>
      <c r="AB53" s="5" t="str">
        <f>IF(  AB84&gt;$E$2, SUMIFS(IF($G$2="CPR",'Grid Data'!$AH$4:$AH$2342,'Grid Data'!$AI$4:$AI$2342),'Grid Data'!$Z$4:$Z$2342,$D53,'Grid Data'!$AA$4:$AA$2342,AB$4,'Grid Data'!$Y$4:$Y$2342,$D$2)*100-AB21, "--")</f>
        <v>--</v>
      </c>
      <c r="AC53" s="5" t="str">
        <f>IF(  AC84&gt;$E$2, SUMIFS(IF($G$2="CPR",'Grid Data'!$AH$4:$AH$2342,'Grid Data'!$AI$4:$AI$2342),'Grid Data'!$Z$4:$Z$2342,$D53,'Grid Data'!$AA$4:$AA$2342,AC$4,'Grid Data'!$Y$4:$Y$2342,$D$2)*100-AC21, "--")</f>
        <v>--</v>
      </c>
      <c r="AD53" s="5">
        <f>IF(  AD84&gt;$E$2, SUMIFS(IF($G$2="CPR",'Grid Data'!$AH$4:$AH$2342,'Grid Data'!$AI$4:$AI$2342),'Grid Data'!$Z$4:$Z$2342,$D53,'Grid Data'!$AA$4:$AA$2342,AD$4,'Grid Data'!$Y$4:$Y$2342,$D$2)*100-AD21, "--")</f>
        <v>1.3109999999999999</v>
      </c>
      <c r="AE53" s="5">
        <f>IF(  AE84&gt;$E$2, SUMIFS(IF($G$2="CPR",'Grid Data'!$AH$4:$AH$2342,'Grid Data'!$AI$4:$AI$2342),'Grid Data'!$Z$4:$Z$2342,$D53,'Grid Data'!$AA$4:$AA$2342,AE$4,'Grid Data'!$Y$4:$Y$2342,$D$2)*100-AE21, "--")</f>
        <v>0.76040000000000063</v>
      </c>
      <c r="AF53" s="5">
        <f>IF(  AF84&gt;$E$2, SUMIFS(IF($G$2="CPR",'Grid Data'!$AH$4:$AH$2342,'Grid Data'!$AI$4:$AI$2342),'Grid Data'!$Z$4:$Z$2342,$D53,'Grid Data'!$AA$4:$AA$2342,AF$4,'Grid Data'!$Y$4:$Y$2342,$D$2)*100-AF21, "--")</f>
        <v>-0.17099999999999937</v>
      </c>
      <c r="AG53" s="5">
        <f>IF(  AG84&gt;$E$2, SUMIFS(IF($G$2="CPR",'Grid Data'!$AH$4:$AH$2342,'Grid Data'!$AI$4:$AI$2342),'Grid Data'!$Z$4:$Z$2342,$D53,'Grid Data'!$AA$4:$AA$2342,AG$4,'Grid Data'!$Y$4:$Y$2342,$D$2)*100-AG21, "--")</f>
        <v>1.839999999999975E-2</v>
      </c>
      <c r="AH53" s="5">
        <f>IF(  AH84&gt;$E$2, SUMIFS(IF($G$2="CPR",'Grid Data'!$AH$4:$AH$2342,'Grid Data'!$AI$4:$AI$2342),'Grid Data'!$Z$4:$Z$2342,$D53,'Grid Data'!$AA$4:$AA$2342,AH$4,'Grid Data'!$Y$4:$Y$2342,$D$2)*100-AH21, "--")</f>
        <v>9.2272000000000016</v>
      </c>
    </row>
    <row r="54" spans="4:34" x14ac:dyDescent="0.35">
      <c r="D54">
        <v>6250</v>
      </c>
      <c r="E54" s="5">
        <f>IF(  E85&gt;$E$2, SUMIFS(IF($G$2="CPR",'Grid Data'!$AH$4:$AH$2342,'Grid Data'!$AI$4:$AI$2342),'Grid Data'!$Z$4:$Z$2342,$D54,'Grid Data'!$AA$4:$AA$2342,E$4,'Grid Data'!$Y$4:$Y$2342,$D$2)*100-E22, "--")</f>
        <v>-1.2452999999999999</v>
      </c>
      <c r="F54" s="5">
        <f>IF(  F85&gt;$E$2, SUMIFS(IF($G$2="CPR",'Grid Data'!$AH$4:$AH$2342,'Grid Data'!$AI$4:$AI$2342),'Grid Data'!$Z$4:$Z$2342,$D54,'Grid Data'!$AA$4:$AA$2342,F$4,'Grid Data'!$Y$4:$Y$2342,$D$2)*100-F22, "--")</f>
        <v>-1.9688000000000017</v>
      </c>
      <c r="G54" s="5">
        <f>IF(  G85&gt;$E$2, SUMIFS(IF($G$2="CPR",'Grid Data'!$AH$4:$AH$2342,'Grid Data'!$AI$4:$AI$2342),'Grid Data'!$Z$4:$Z$2342,$D54,'Grid Data'!$AA$4:$AA$2342,G$4,'Grid Data'!$Y$4:$Y$2342,$D$2)*100-G22, "--")</f>
        <v>2.5691999999999986</v>
      </c>
      <c r="H54" s="5">
        <f>IF(  H85&gt;$E$2, SUMIFS(IF($G$2="CPR",'Grid Data'!$AH$4:$AH$2342,'Grid Data'!$AI$4:$AI$2342),'Grid Data'!$Z$4:$Z$2342,$D54,'Grid Data'!$AA$4:$AA$2342,H$4,'Grid Data'!$Y$4:$Y$2342,$D$2)*100-H22, "--")</f>
        <v>-0.49879999999999924</v>
      </c>
      <c r="I54" s="5">
        <f>IF(  I85&gt;$E$2, SUMIFS(IF($G$2="CPR",'Grid Data'!$AH$4:$AH$2342,'Grid Data'!$AI$4:$AI$2342),'Grid Data'!$Z$4:$Z$2342,$D54,'Grid Data'!$AA$4:$AA$2342,I$4,'Grid Data'!$Y$4:$Y$2342,$D$2)*100-I22, "--")</f>
        <v>-4.1285999999999987</v>
      </c>
      <c r="J54" s="5">
        <f>IF(  J85&gt;$E$2, SUMIFS(IF($G$2="CPR",'Grid Data'!$AH$4:$AH$2342,'Grid Data'!$AI$4:$AI$2342),'Grid Data'!$Z$4:$Z$2342,$D54,'Grid Data'!$AA$4:$AA$2342,J$4,'Grid Data'!$Y$4:$Y$2342,$D$2)*100-J22, "--")</f>
        <v>-2.1186000000000007</v>
      </c>
      <c r="K54" s="5">
        <f>IF(  K85&gt;$E$2, SUMIFS(IF($G$2="CPR",'Grid Data'!$AH$4:$AH$2342,'Grid Data'!$AI$4:$AI$2342),'Grid Data'!$Z$4:$Z$2342,$D54,'Grid Data'!$AA$4:$AA$2342,K$4,'Grid Data'!$Y$4:$Y$2342,$D$2)*100-K22, "--")</f>
        <v>-4.6109000000000009</v>
      </c>
      <c r="L54" s="5">
        <f>IF(  L85&gt;$E$2, SUMIFS(IF($G$2="CPR",'Grid Data'!$AH$4:$AH$2342,'Grid Data'!$AI$4:$AI$2342),'Grid Data'!$Z$4:$Z$2342,$D54,'Grid Data'!$AA$4:$AA$2342,L$4,'Grid Data'!$Y$4:$Y$2342,$D$2)*100-L22, "--")</f>
        <v>-12.135299999999997</v>
      </c>
      <c r="M54" s="5">
        <f>IF(  M85&gt;$E$2, SUMIFS(IF($G$2="CPR",'Grid Data'!$AH$4:$AH$2342,'Grid Data'!$AI$4:$AI$2342),'Grid Data'!$Z$4:$Z$2342,$D54,'Grid Data'!$AA$4:$AA$2342,M$4,'Grid Data'!$Y$4:$Y$2342,$D$2)*100-M22, "--")</f>
        <v>-9.9499999999999993</v>
      </c>
      <c r="N54" s="5">
        <f>IF(  N85&gt;$E$2, SUMIFS(IF($G$2="CPR",'Grid Data'!$AH$4:$AH$2342,'Grid Data'!$AI$4:$AI$2342),'Grid Data'!$Z$4:$Z$2342,$D54,'Grid Data'!$AA$4:$AA$2342,N$4,'Grid Data'!$Y$4:$Y$2342,$D$2)*100-N22, "--")</f>
        <v>-3.3972000000000016</v>
      </c>
      <c r="O54" s="5">
        <f>IF(  O85&gt;$E$2, SUMIFS(IF($G$2="CPR",'Grid Data'!$AH$4:$AH$2342,'Grid Data'!$AI$4:$AI$2342),'Grid Data'!$Z$4:$Z$2342,$D54,'Grid Data'!$AA$4:$AA$2342,O$4,'Grid Data'!$Y$4:$Y$2342,$D$2)*100-O22, "--")</f>
        <v>-3.7102000000000004</v>
      </c>
      <c r="P54" s="5">
        <f>IF(  P85&gt;$E$2, SUMIFS(IF($G$2="CPR",'Grid Data'!$AH$4:$AH$2342,'Grid Data'!$AI$4:$AI$2342),'Grid Data'!$Z$4:$Z$2342,$D54,'Grid Data'!$AA$4:$AA$2342,P$4,'Grid Data'!$Y$4:$Y$2342,$D$2)*100-P22, "--")</f>
        <v>-5.243999999999998</v>
      </c>
      <c r="Q54" s="5">
        <f>IF(  Q85&gt;$E$2, SUMIFS(IF($G$2="CPR",'Grid Data'!$AH$4:$AH$2342,'Grid Data'!$AI$4:$AI$2342),'Grid Data'!$Z$4:$Z$2342,$D54,'Grid Data'!$AA$4:$AA$2342,Q$4,'Grid Data'!$Y$4:$Y$2342,$D$2)*100-Q22, "--")</f>
        <v>-5.8495000000000008</v>
      </c>
      <c r="R54" s="5">
        <f>IF(  R85&gt;$E$2, SUMIFS(IF($G$2="CPR",'Grid Data'!$AH$4:$AH$2342,'Grid Data'!$AI$4:$AI$2342),'Grid Data'!$Z$4:$Z$2342,$D54,'Grid Data'!$AA$4:$AA$2342,R$4,'Grid Data'!$Y$4:$Y$2342,$D$2)*100-R22, "--")</f>
        <v>-4.6461000000000006</v>
      </c>
      <c r="S54" s="5">
        <f>IF(  S85&gt;$E$2, SUMIFS(IF($G$2="CPR",'Grid Data'!$AH$4:$AH$2342,'Grid Data'!$AI$4:$AI$2342),'Grid Data'!$Z$4:$Z$2342,$D54,'Grid Data'!$AA$4:$AA$2342,S$4,'Grid Data'!$Y$4:$Y$2342,$D$2)*100-S22, "--")</f>
        <v>-4.5675000000000008</v>
      </c>
      <c r="T54" s="5">
        <f>IF(  T85&gt;$E$2, SUMIFS(IF($G$2="CPR",'Grid Data'!$AH$4:$AH$2342,'Grid Data'!$AI$4:$AI$2342),'Grid Data'!$Z$4:$Z$2342,$D54,'Grid Data'!$AA$4:$AA$2342,T$4,'Grid Data'!$Y$4:$Y$2342,$D$2)*100-T22, "--")</f>
        <v>-6.7226000000000008</v>
      </c>
      <c r="U54" s="5" t="str">
        <f>IF(  U85&gt;$E$2, SUMIFS(IF($G$2="CPR",'Grid Data'!$AH$4:$AH$2342,'Grid Data'!$AI$4:$AI$2342),'Grid Data'!$Z$4:$Z$2342,$D54,'Grid Data'!$AA$4:$AA$2342,U$4,'Grid Data'!$Y$4:$Y$2342,$D$2)*100-U22, "--")</f>
        <v>--</v>
      </c>
      <c r="V54" s="5" t="str">
        <f>IF(  V85&gt;$E$2, SUMIFS(IF($G$2="CPR",'Grid Data'!$AH$4:$AH$2342,'Grid Data'!$AI$4:$AI$2342),'Grid Data'!$Z$4:$Z$2342,$D54,'Grid Data'!$AA$4:$AA$2342,V$4,'Grid Data'!$Y$4:$Y$2342,$D$2)*100-V22, "--")</f>
        <v>--</v>
      </c>
      <c r="W54" s="5" t="str">
        <f>IF(  W85&gt;$E$2, SUMIFS(IF($G$2="CPR",'Grid Data'!$AH$4:$AH$2342,'Grid Data'!$AI$4:$AI$2342),'Grid Data'!$Z$4:$Z$2342,$D54,'Grid Data'!$AA$4:$AA$2342,W$4,'Grid Data'!$Y$4:$Y$2342,$D$2)*100-W22, "--")</f>
        <v>--</v>
      </c>
      <c r="X54" s="5">
        <f>IF(  X85&gt;$E$2, SUMIFS(IF($G$2="CPR",'Grid Data'!$AH$4:$AH$2342,'Grid Data'!$AI$4:$AI$2342),'Grid Data'!$Z$4:$Z$2342,$D54,'Grid Data'!$AA$4:$AA$2342,X$4,'Grid Data'!$Y$4:$Y$2342,$D$2)*100-X22, "--")</f>
        <v>-1.4032000000000018</v>
      </c>
      <c r="Y54" s="5">
        <f>IF(  Y85&gt;$E$2, SUMIFS(IF($G$2="CPR",'Grid Data'!$AH$4:$AH$2342,'Grid Data'!$AI$4:$AI$2342),'Grid Data'!$Z$4:$Z$2342,$D54,'Grid Data'!$AA$4:$AA$2342,Y$4,'Grid Data'!$Y$4:$Y$2342,$D$2)*100-Y22, "--")</f>
        <v>-8.2588000000000008</v>
      </c>
      <c r="Z54" s="5" t="str">
        <f>IF(  Z85&gt;$E$2, SUMIFS(IF($G$2="CPR",'Grid Data'!$AH$4:$AH$2342,'Grid Data'!$AI$4:$AI$2342),'Grid Data'!$Z$4:$Z$2342,$D54,'Grid Data'!$AA$4:$AA$2342,Z$4,'Grid Data'!$Y$4:$Y$2342,$D$2)*100-Z22, "--")</f>
        <v>--</v>
      </c>
      <c r="AA54" s="5" t="str">
        <f>IF(  AA85&gt;$E$2, SUMIFS(IF($G$2="CPR",'Grid Data'!$AH$4:$AH$2342,'Grid Data'!$AI$4:$AI$2342),'Grid Data'!$Z$4:$Z$2342,$D54,'Grid Data'!$AA$4:$AA$2342,AA$4,'Grid Data'!$Y$4:$Y$2342,$D$2)*100-AA22, "--")</f>
        <v>--</v>
      </c>
      <c r="AB54" s="5" t="str">
        <f>IF(  AB85&gt;$E$2, SUMIFS(IF($G$2="CPR",'Grid Data'!$AH$4:$AH$2342,'Grid Data'!$AI$4:$AI$2342),'Grid Data'!$Z$4:$Z$2342,$D54,'Grid Data'!$AA$4:$AA$2342,AB$4,'Grid Data'!$Y$4:$Y$2342,$D$2)*100-AB22, "--")</f>
        <v>--</v>
      </c>
      <c r="AC54" s="5" t="str">
        <f>IF(  AC85&gt;$E$2, SUMIFS(IF($G$2="CPR",'Grid Data'!$AH$4:$AH$2342,'Grid Data'!$AI$4:$AI$2342),'Grid Data'!$Z$4:$Z$2342,$D54,'Grid Data'!$AA$4:$AA$2342,AC$4,'Grid Data'!$Y$4:$Y$2342,$D$2)*100-AC22, "--")</f>
        <v>--</v>
      </c>
      <c r="AD54" s="5">
        <f>IF(  AD85&gt;$E$2, SUMIFS(IF($G$2="CPR",'Grid Data'!$AH$4:$AH$2342,'Grid Data'!$AI$4:$AI$2342),'Grid Data'!$Z$4:$Z$2342,$D54,'Grid Data'!$AA$4:$AA$2342,AD$4,'Grid Data'!$Y$4:$Y$2342,$D$2)*100-AD22, "--")</f>
        <v>0.82000000000000028</v>
      </c>
      <c r="AE54" s="5">
        <f>IF(  AE85&gt;$E$2, SUMIFS(IF($G$2="CPR",'Grid Data'!$AH$4:$AH$2342,'Grid Data'!$AI$4:$AI$2342),'Grid Data'!$Z$4:$Z$2342,$D54,'Grid Data'!$AA$4:$AA$2342,AE$4,'Grid Data'!$Y$4:$Y$2342,$D$2)*100-AE22, "--")</f>
        <v>2.8211999999999993</v>
      </c>
      <c r="AF54" s="5">
        <f>IF(  AF85&gt;$E$2, SUMIFS(IF($G$2="CPR",'Grid Data'!$AH$4:$AH$2342,'Grid Data'!$AI$4:$AI$2342),'Grid Data'!$Z$4:$Z$2342,$D54,'Grid Data'!$AA$4:$AA$2342,AF$4,'Grid Data'!$Y$4:$Y$2342,$D$2)*100-AF22, "--")</f>
        <v>5.1982000000000008</v>
      </c>
      <c r="AG54" s="5">
        <f>IF(  AG85&gt;$E$2, SUMIFS(IF($G$2="CPR",'Grid Data'!$AH$4:$AH$2342,'Grid Data'!$AI$4:$AI$2342),'Grid Data'!$Z$4:$Z$2342,$D54,'Grid Data'!$AA$4:$AA$2342,AG$4,'Grid Data'!$Y$4:$Y$2342,$D$2)*100-AG22, "--")</f>
        <v>0.39000000000000057</v>
      </c>
      <c r="AH54" s="5">
        <f>IF(  AH85&gt;$E$2, SUMIFS(IF($G$2="CPR",'Grid Data'!$AH$4:$AH$2342,'Grid Data'!$AI$4:$AI$2342),'Grid Data'!$Z$4:$Z$2342,$D54,'Grid Data'!$AA$4:$AA$2342,AH$4,'Grid Data'!$Y$4:$Y$2342,$D$2)*100-AH22, "--")</f>
        <v>24.934799999999996</v>
      </c>
    </row>
    <row r="55" spans="4:34" x14ac:dyDescent="0.35">
      <c r="D55">
        <v>6500</v>
      </c>
      <c r="E55" s="5">
        <f>IF(  E86&gt;$E$2, SUMIFS(IF($G$2="CPR",'Grid Data'!$AH$4:$AH$2342,'Grid Data'!$AI$4:$AI$2342),'Grid Data'!$Z$4:$Z$2342,$D55,'Grid Data'!$AA$4:$AA$2342,E$4,'Grid Data'!$Y$4:$Y$2342,$D$2)*100-E23, "--")</f>
        <v>-1.8064999999999998</v>
      </c>
      <c r="F55" s="5">
        <f>IF(  F86&gt;$E$2, SUMIFS(IF($G$2="CPR",'Grid Data'!$AH$4:$AH$2342,'Grid Data'!$AI$4:$AI$2342),'Grid Data'!$Z$4:$Z$2342,$D55,'Grid Data'!$AA$4:$AA$2342,F$4,'Grid Data'!$Y$4:$Y$2342,$D$2)*100-F23, "--")</f>
        <v>-6.7988</v>
      </c>
      <c r="G55" s="5">
        <f>IF(  G86&gt;$E$2, SUMIFS(IF($G$2="CPR",'Grid Data'!$AH$4:$AH$2342,'Grid Data'!$AI$4:$AI$2342),'Grid Data'!$Z$4:$Z$2342,$D55,'Grid Data'!$AA$4:$AA$2342,G$4,'Grid Data'!$Y$4:$Y$2342,$D$2)*100-G23, "--")</f>
        <v>-0.8534000000000006</v>
      </c>
      <c r="H55" s="5">
        <f>IF(  H86&gt;$E$2, SUMIFS(IF($G$2="CPR",'Grid Data'!$AH$4:$AH$2342,'Grid Data'!$AI$4:$AI$2342),'Grid Data'!$Z$4:$Z$2342,$D55,'Grid Data'!$AA$4:$AA$2342,H$4,'Grid Data'!$Y$4:$Y$2342,$D$2)*100-H23, "--")</f>
        <v>-0.12699999999999889</v>
      </c>
      <c r="I55" s="5">
        <f>IF(  I86&gt;$E$2, SUMIFS(IF($G$2="CPR",'Grid Data'!$AH$4:$AH$2342,'Grid Data'!$AI$4:$AI$2342),'Grid Data'!$Z$4:$Z$2342,$D55,'Grid Data'!$AA$4:$AA$2342,I$4,'Grid Data'!$Y$4:$Y$2342,$D$2)*100-I23, "--")</f>
        <v>-3.7314999999999969</v>
      </c>
      <c r="J55" s="5">
        <f>IF(  J86&gt;$E$2, SUMIFS(IF($G$2="CPR",'Grid Data'!$AH$4:$AH$2342,'Grid Data'!$AI$4:$AI$2342),'Grid Data'!$Z$4:$Z$2342,$D55,'Grid Data'!$AA$4:$AA$2342,J$4,'Grid Data'!$Y$4:$Y$2342,$D$2)*100-J23, "--")</f>
        <v>-4.2557000000000009</v>
      </c>
      <c r="K55" s="5">
        <f>IF(  K86&gt;$E$2, SUMIFS(IF($G$2="CPR",'Grid Data'!$AH$4:$AH$2342,'Grid Data'!$AI$4:$AI$2342),'Grid Data'!$Z$4:$Z$2342,$D55,'Grid Data'!$AA$4:$AA$2342,K$4,'Grid Data'!$Y$4:$Y$2342,$D$2)*100-K23, "--")</f>
        <v>-3.6997</v>
      </c>
      <c r="L55" s="5">
        <f>IF(  L86&gt;$E$2, SUMIFS(IF($G$2="CPR",'Grid Data'!$AH$4:$AH$2342,'Grid Data'!$AI$4:$AI$2342),'Grid Data'!$Z$4:$Z$2342,$D55,'Grid Data'!$AA$4:$AA$2342,L$4,'Grid Data'!$Y$4:$Y$2342,$D$2)*100-L23, "--")</f>
        <v>-2.0234999999999985</v>
      </c>
      <c r="M55" s="5">
        <f>IF(  M86&gt;$E$2, SUMIFS(IF($G$2="CPR",'Grid Data'!$AH$4:$AH$2342,'Grid Data'!$AI$4:$AI$2342),'Grid Data'!$Z$4:$Z$2342,$D55,'Grid Data'!$AA$4:$AA$2342,M$4,'Grid Data'!$Y$4:$Y$2342,$D$2)*100-M23, "--")</f>
        <v>-1.4923999999999999</v>
      </c>
      <c r="N55" s="5">
        <f>IF(  N86&gt;$E$2, SUMIFS(IF($G$2="CPR",'Grid Data'!$AH$4:$AH$2342,'Grid Data'!$AI$4:$AI$2342),'Grid Data'!$Z$4:$Z$2342,$D55,'Grid Data'!$AA$4:$AA$2342,N$4,'Grid Data'!$Y$4:$Y$2342,$D$2)*100-N23, "--")</f>
        <v>-2.1329999999999991</v>
      </c>
      <c r="O55" s="5">
        <f>IF(  O86&gt;$E$2, SUMIFS(IF($G$2="CPR",'Grid Data'!$AH$4:$AH$2342,'Grid Data'!$AI$4:$AI$2342),'Grid Data'!$Z$4:$Z$2342,$D55,'Grid Data'!$AA$4:$AA$2342,O$4,'Grid Data'!$Y$4:$Y$2342,$D$2)*100-O23, "--")</f>
        <v>-4.5327000000000019</v>
      </c>
      <c r="P55" s="5">
        <f>IF(  P86&gt;$E$2, SUMIFS(IF($G$2="CPR",'Grid Data'!$AH$4:$AH$2342,'Grid Data'!$AI$4:$AI$2342),'Grid Data'!$Z$4:$Z$2342,$D55,'Grid Data'!$AA$4:$AA$2342,P$4,'Grid Data'!$Y$4:$Y$2342,$D$2)*100-P23, "--")</f>
        <v>-2.0960000000000001</v>
      </c>
      <c r="Q55" s="5">
        <f>IF(  Q86&gt;$E$2, SUMIFS(IF($G$2="CPR",'Grid Data'!$AH$4:$AH$2342,'Grid Data'!$AI$4:$AI$2342),'Grid Data'!$Z$4:$Z$2342,$D55,'Grid Data'!$AA$4:$AA$2342,Q$4,'Grid Data'!$Y$4:$Y$2342,$D$2)*100-Q23, "--")</f>
        <v>-3.3247</v>
      </c>
      <c r="R55" s="5">
        <f>IF(  R86&gt;$E$2, SUMIFS(IF($G$2="CPR",'Grid Data'!$AH$4:$AH$2342,'Grid Data'!$AI$4:$AI$2342),'Grid Data'!$Z$4:$Z$2342,$D55,'Grid Data'!$AA$4:$AA$2342,R$4,'Grid Data'!$Y$4:$Y$2342,$D$2)*100-R23, "--")</f>
        <v>-3.4441999999999986</v>
      </c>
      <c r="S55" s="5">
        <f>IF(  S86&gt;$E$2, SUMIFS(IF($G$2="CPR",'Grid Data'!$AH$4:$AH$2342,'Grid Data'!$AI$4:$AI$2342),'Grid Data'!$Z$4:$Z$2342,$D55,'Grid Data'!$AA$4:$AA$2342,S$4,'Grid Data'!$Y$4:$Y$2342,$D$2)*100-S23, "--")</f>
        <v>-3.6032999999999991</v>
      </c>
      <c r="T55" s="5">
        <f>IF(  T86&gt;$E$2, SUMIFS(IF($G$2="CPR",'Grid Data'!$AH$4:$AH$2342,'Grid Data'!$AI$4:$AI$2342),'Grid Data'!$Z$4:$Z$2342,$D55,'Grid Data'!$AA$4:$AA$2342,T$4,'Grid Data'!$Y$4:$Y$2342,$D$2)*100-T23, "--")</f>
        <v>-9.6324000000000005</v>
      </c>
      <c r="U55" s="5" t="str">
        <f>IF(  U86&gt;$E$2, SUMIFS(IF($G$2="CPR",'Grid Data'!$AH$4:$AH$2342,'Grid Data'!$AI$4:$AI$2342),'Grid Data'!$Z$4:$Z$2342,$D55,'Grid Data'!$AA$4:$AA$2342,U$4,'Grid Data'!$Y$4:$Y$2342,$D$2)*100-U23, "--")</f>
        <v>--</v>
      </c>
      <c r="V55" s="5" t="str">
        <f>IF(  V86&gt;$E$2, SUMIFS(IF($G$2="CPR",'Grid Data'!$AH$4:$AH$2342,'Grid Data'!$AI$4:$AI$2342),'Grid Data'!$Z$4:$Z$2342,$D55,'Grid Data'!$AA$4:$AA$2342,V$4,'Grid Data'!$Y$4:$Y$2342,$D$2)*100-V23, "--")</f>
        <v>--</v>
      </c>
      <c r="W55" s="5" t="str">
        <f>IF(  W86&gt;$E$2, SUMIFS(IF($G$2="CPR",'Grid Data'!$AH$4:$AH$2342,'Grid Data'!$AI$4:$AI$2342),'Grid Data'!$Z$4:$Z$2342,$D55,'Grid Data'!$AA$4:$AA$2342,W$4,'Grid Data'!$Y$4:$Y$2342,$D$2)*100-W23, "--")</f>
        <v>--</v>
      </c>
      <c r="X55" s="5" t="str">
        <f>IF(  X86&gt;$E$2, SUMIFS(IF($G$2="CPR",'Grid Data'!$AH$4:$AH$2342,'Grid Data'!$AI$4:$AI$2342),'Grid Data'!$Z$4:$Z$2342,$D55,'Grid Data'!$AA$4:$AA$2342,X$4,'Grid Data'!$Y$4:$Y$2342,$D$2)*100-X23, "--")</f>
        <v>--</v>
      </c>
      <c r="Y55" s="5" t="str">
        <f>IF(  Y86&gt;$E$2, SUMIFS(IF($G$2="CPR",'Grid Data'!$AH$4:$AH$2342,'Grid Data'!$AI$4:$AI$2342),'Grid Data'!$Z$4:$Z$2342,$D55,'Grid Data'!$AA$4:$AA$2342,Y$4,'Grid Data'!$Y$4:$Y$2342,$D$2)*100-Y23, "--")</f>
        <v>--</v>
      </c>
      <c r="Z55" s="5" t="str">
        <f>IF(  Z86&gt;$E$2, SUMIFS(IF($G$2="CPR",'Grid Data'!$AH$4:$AH$2342,'Grid Data'!$AI$4:$AI$2342),'Grid Data'!$Z$4:$Z$2342,$D55,'Grid Data'!$AA$4:$AA$2342,Z$4,'Grid Data'!$Y$4:$Y$2342,$D$2)*100-Z23, "--")</f>
        <v>--</v>
      </c>
      <c r="AA55" s="5" t="str">
        <f>IF(  AA86&gt;$E$2, SUMIFS(IF($G$2="CPR",'Grid Data'!$AH$4:$AH$2342,'Grid Data'!$AI$4:$AI$2342),'Grid Data'!$Z$4:$Z$2342,$D55,'Grid Data'!$AA$4:$AA$2342,AA$4,'Grid Data'!$Y$4:$Y$2342,$D$2)*100-AA23, "--")</f>
        <v>--</v>
      </c>
      <c r="AB55" s="5" t="str">
        <f>IF(  AB86&gt;$E$2, SUMIFS(IF($G$2="CPR",'Grid Data'!$AH$4:$AH$2342,'Grid Data'!$AI$4:$AI$2342),'Grid Data'!$Z$4:$Z$2342,$D55,'Grid Data'!$AA$4:$AA$2342,AB$4,'Grid Data'!$Y$4:$Y$2342,$D$2)*100-AB23, "--")</f>
        <v>--</v>
      </c>
      <c r="AC55" s="5">
        <f>IF(  AC86&gt;$E$2, SUMIFS(IF($G$2="CPR",'Grid Data'!$AH$4:$AH$2342,'Grid Data'!$AI$4:$AI$2342),'Grid Data'!$Z$4:$Z$2342,$D55,'Grid Data'!$AA$4:$AA$2342,AC$4,'Grid Data'!$Y$4:$Y$2342,$D$2)*100-AC23, "--")</f>
        <v>1.9949999999999992</v>
      </c>
      <c r="AD55" s="5">
        <f>IF(  AD86&gt;$E$2, SUMIFS(IF($G$2="CPR",'Grid Data'!$AH$4:$AH$2342,'Grid Data'!$AI$4:$AI$2342),'Grid Data'!$Z$4:$Z$2342,$D55,'Grid Data'!$AA$4:$AA$2342,AD$4,'Grid Data'!$Y$4:$Y$2342,$D$2)*100-AD23, "--")</f>
        <v>18.718699999999998</v>
      </c>
      <c r="AE55" s="5">
        <f>IF(  AE86&gt;$E$2, SUMIFS(IF($G$2="CPR",'Grid Data'!$AH$4:$AH$2342,'Grid Data'!$AI$4:$AI$2342),'Grid Data'!$Z$4:$Z$2342,$D55,'Grid Data'!$AA$4:$AA$2342,AE$4,'Grid Data'!$Y$4:$Y$2342,$D$2)*100-AE23, "--")</f>
        <v>3.4047999999999989</v>
      </c>
      <c r="AF55" s="5">
        <f>IF(  AF86&gt;$E$2, SUMIFS(IF($G$2="CPR",'Grid Data'!$AH$4:$AH$2342,'Grid Data'!$AI$4:$AI$2342),'Grid Data'!$Z$4:$Z$2342,$D55,'Grid Data'!$AA$4:$AA$2342,AF$4,'Grid Data'!$Y$4:$Y$2342,$D$2)*100-AF23, "--")</f>
        <v>3.1156000000000006</v>
      </c>
      <c r="AG55" s="5">
        <f>IF(  AG86&gt;$E$2, SUMIFS(IF($G$2="CPR",'Grid Data'!$AH$4:$AH$2342,'Grid Data'!$AI$4:$AI$2342),'Grid Data'!$Z$4:$Z$2342,$D55,'Grid Data'!$AA$4:$AA$2342,AG$4,'Grid Data'!$Y$4:$Y$2342,$D$2)*100-AG23, "--")</f>
        <v>-0.56409999999999982</v>
      </c>
      <c r="AH55" s="5">
        <f>IF(  AH86&gt;$E$2, SUMIFS(IF($G$2="CPR",'Grid Data'!$AH$4:$AH$2342,'Grid Data'!$AI$4:$AI$2342),'Grid Data'!$Z$4:$Z$2342,$D55,'Grid Data'!$AA$4:$AA$2342,AH$4,'Grid Data'!$Y$4:$Y$2342,$D$2)*100-AH23, "--")</f>
        <v>9.6237999999999992</v>
      </c>
    </row>
    <row r="56" spans="4:34" x14ac:dyDescent="0.35">
      <c r="D56">
        <v>6750</v>
      </c>
      <c r="E56" s="5">
        <f>IF(  E87&gt;$E$2, SUMIFS(IF($G$2="CPR",'Grid Data'!$AH$4:$AH$2342,'Grid Data'!$AI$4:$AI$2342),'Grid Data'!$Z$4:$Z$2342,$D56,'Grid Data'!$AA$4:$AA$2342,E$4,'Grid Data'!$Y$4:$Y$2342,$D$2)*100-E24, "--")</f>
        <v>-1.7421000000000006</v>
      </c>
      <c r="F56" s="5">
        <f>IF(  F87&gt;$E$2, SUMIFS(IF($G$2="CPR",'Grid Data'!$AH$4:$AH$2342,'Grid Data'!$AI$4:$AI$2342),'Grid Data'!$Z$4:$Z$2342,$D56,'Grid Data'!$AA$4:$AA$2342,F$4,'Grid Data'!$Y$4:$Y$2342,$D$2)*100-F24, "--")</f>
        <v>-4.8741000000000057</v>
      </c>
      <c r="G56" s="5">
        <f>IF(  G87&gt;$E$2, SUMIFS(IF($G$2="CPR",'Grid Data'!$AH$4:$AH$2342,'Grid Data'!$AI$4:$AI$2342),'Grid Data'!$Z$4:$Z$2342,$D56,'Grid Data'!$AA$4:$AA$2342,G$4,'Grid Data'!$Y$4:$Y$2342,$D$2)*100-G24, "--")</f>
        <v>-5.3956999999999979</v>
      </c>
      <c r="H56" s="5">
        <f>IF(  H87&gt;$E$2, SUMIFS(IF($G$2="CPR",'Grid Data'!$AH$4:$AH$2342,'Grid Data'!$AI$4:$AI$2342),'Grid Data'!$Z$4:$Z$2342,$D56,'Grid Data'!$AA$4:$AA$2342,H$4,'Grid Data'!$Y$4:$Y$2342,$D$2)*100-H24, "--")</f>
        <v>-2.9847999999999999</v>
      </c>
      <c r="I56" s="5">
        <f>IF(  I87&gt;$E$2, SUMIFS(IF($G$2="CPR",'Grid Data'!$AH$4:$AH$2342,'Grid Data'!$AI$4:$AI$2342),'Grid Data'!$Z$4:$Z$2342,$D56,'Grid Data'!$AA$4:$AA$2342,I$4,'Grid Data'!$Y$4:$Y$2342,$D$2)*100-I24, "--")</f>
        <v>-1.6256000000000022</v>
      </c>
      <c r="J56" s="5">
        <f>IF(  J87&gt;$E$2, SUMIFS(IF($G$2="CPR",'Grid Data'!$AH$4:$AH$2342,'Grid Data'!$AI$4:$AI$2342),'Grid Data'!$Z$4:$Z$2342,$D56,'Grid Data'!$AA$4:$AA$2342,J$4,'Grid Data'!$Y$4:$Y$2342,$D$2)*100-J24, "--")</f>
        <v>-2.4012000000000029</v>
      </c>
      <c r="K56" s="5">
        <f>IF(  K87&gt;$E$2, SUMIFS(IF($G$2="CPR",'Grid Data'!$AH$4:$AH$2342,'Grid Data'!$AI$4:$AI$2342),'Grid Data'!$Z$4:$Z$2342,$D56,'Grid Data'!$AA$4:$AA$2342,K$4,'Grid Data'!$Y$4:$Y$2342,$D$2)*100-K24, "--")</f>
        <v>-4.3414999999999964</v>
      </c>
      <c r="L56" s="5">
        <f>IF(  L87&gt;$E$2, SUMIFS(IF($G$2="CPR",'Grid Data'!$AH$4:$AH$2342,'Grid Data'!$AI$4:$AI$2342),'Grid Data'!$Z$4:$Z$2342,$D56,'Grid Data'!$AA$4:$AA$2342,L$4,'Grid Data'!$Y$4:$Y$2342,$D$2)*100-L24, "--")</f>
        <v>-7.8808000000000007</v>
      </c>
      <c r="M56" s="5">
        <f>IF(  M87&gt;$E$2, SUMIFS(IF($G$2="CPR",'Grid Data'!$AH$4:$AH$2342,'Grid Data'!$AI$4:$AI$2342),'Grid Data'!$Z$4:$Z$2342,$D56,'Grid Data'!$AA$4:$AA$2342,M$4,'Grid Data'!$Y$4:$Y$2342,$D$2)*100-M24, "--")</f>
        <v>-3.8856000000000002</v>
      </c>
      <c r="N56" s="5">
        <f>IF(  N87&gt;$E$2, SUMIFS(IF($G$2="CPR",'Grid Data'!$AH$4:$AH$2342,'Grid Data'!$AI$4:$AI$2342),'Grid Data'!$Z$4:$Z$2342,$D56,'Grid Data'!$AA$4:$AA$2342,N$4,'Grid Data'!$Y$4:$Y$2342,$D$2)*100-N24, "--")</f>
        <v>-3.7956000000000003</v>
      </c>
      <c r="O56" s="5">
        <f>IF(  O87&gt;$E$2, SUMIFS(IF($G$2="CPR",'Grid Data'!$AH$4:$AH$2342,'Grid Data'!$AI$4:$AI$2342),'Grid Data'!$Z$4:$Z$2342,$D56,'Grid Data'!$AA$4:$AA$2342,O$4,'Grid Data'!$Y$4:$Y$2342,$D$2)*100-O24, "--")</f>
        <v>-3.8734999999999999</v>
      </c>
      <c r="P56" s="5">
        <f>IF(  P87&gt;$E$2, SUMIFS(IF($G$2="CPR",'Grid Data'!$AH$4:$AH$2342,'Grid Data'!$AI$4:$AI$2342),'Grid Data'!$Z$4:$Z$2342,$D56,'Grid Data'!$AA$4:$AA$2342,P$4,'Grid Data'!$Y$4:$Y$2342,$D$2)*100-P24, "--")</f>
        <v>-2.594300000000004</v>
      </c>
      <c r="Q56" s="5">
        <f>IF(  Q87&gt;$E$2, SUMIFS(IF($G$2="CPR",'Grid Data'!$AH$4:$AH$2342,'Grid Data'!$AI$4:$AI$2342),'Grid Data'!$Z$4:$Z$2342,$D56,'Grid Data'!$AA$4:$AA$2342,Q$4,'Grid Data'!$Y$4:$Y$2342,$D$2)*100-Q24, "--")</f>
        <v>-3.1888000000000005</v>
      </c>
      <c r="R56" s="5">
        <f>IF(  R87&gt;$E$2, SUMIFS(IF($G$2="CPR",'Grid Data'!$AH$4:$AH$2342,'Grid Data'!$AI$4:$AI$2342),'Grid Data'!$Z$4:$Z$2342,$D56,'Grid Data'!$AA$4:$AA$2342,R$4,'Grid Data'!$Y$4:$Y$2342,$D$2)*100-R24, "--")</f>
        <v>-6.2198000000000029</v>
      </c>
      <c r="S56" s="5">
        <f>IF(  S87&gt;$E$2, SUMIFS(IF($G$2="CPR",'Grid Data'!$AH$4:$AH$2342,'Grid Data'!$AI$4:$AI$2342),'Grid Data'!$Z$4:$Z$2342,$D56,'Grid Data'!$AA$4:$AA$2342,S$4,'Grid Data'!$Y$4:$Y$2342,$D$2)*100-S24, "--")</f>
        <v>-4.0534999999999961</v>
      </c>
      <c r="T56" s="5">
        <f>IF(  T87&gt;$E$2, SUMIFS(IF($G$2="CPR",'Grid Data'!$AH$4:$AH$2342,'Grid Data'!$AI$4:$AI$2342),'Grid Data'!$Z$4:$Z$2342,$D56,'Grid Data'!$AA$4:$AA$2342,T$4,'Grid Data'!$Y$4:$Y$2342,$D$2)*100-T24, "--")</f>
        <v>-10.034700000000001</v>
      </c>
      <c r="U56" s="5" t="str">
        <f>IF(  U87&gt;$E$2, SUMIFS(IF($G$2="CPR",'Grid Data'!$AH$4:$AH$2342,'Grid Data'!$AI$4:$AI$2342),'Grid Data'!$Z$4:$Z$2342,$D56,'Grid Data'!$AA$4:$AA$2342,U$4,'Grid Data'!$Y$4:$Y$2342,$D$2)*100-U24, "--")</f>
        <v>--</v>
      </c>
      <c r="V56" s="5" t="str">
        <f>IF(  V87&gt;$E$2, SUMIFS(IF($G$2="CPR",'Grid Data'!$AH$4:$AH$2342,'Grid Data'!$AI$4:$AI$2342),'Grid Data'!$Z$4:$Z$2342,$D56,'Grid Data'!$AA$4:$AA$2342,V$4,'Grid Data'!$Y$4:$Y$2342,$D$2)*100-V24, "--")</f>
        <v>--</v>
      </c>
      <c r="W56" s="5" t="str">
        <f>IF(  W87&gt;$E$2, SUMIFS(IF($G$2="CPR",'Grid Data'!$AH$4:$AH$2342,'Grid Data'!$AI$4:$AI$2342),'Grid Data'!$Z$4:$Z$2342,$D56,'Grid Data'!$AA$4:$AA$2342,W$4,'Grid Data'!$Y$4:$Y$2342,$D$2)*100-W24, "--")</f>
        <v>--</v>
      </c>
      <c r="X56" s="5" t="str">
        <f>IF(  X87&gt;$E$2, SUMIFS(IF($G$2="CPR",'Grid Data'!$AH$4:$AH$2342,'Grid Data'!$AI$4:$AI$2342),'Grid Data'!$Z$4:$Z$2342,$D56,'Grid Data'!$AA$4:$AA$2342,X$4,'Grid Data'!$Y$4:$Y$2342,$D$2)*100-X24, "--")</f>
        <v>--</v>
      </c>
      <c r="Y56" s="5" t="str">
        <f>IF(  Y87&gt;$E$2, SUMIFS(IF($G$2="CPR",'Grid Data'!$AH$4:$AH$2342,'Grid Data'!$AI$4:$AI$2342),'Grid Data'!$Z$4:$Z$2342,$D56,'Grid Data'!$AA$4:$AA$2342,Y$4,'Grid Data'!$Y$4:$Y$2342,$D$2)*100-Y24, "--")</f>
        <v>--</v>
      </c>
      <c r="Z56" s="5" t="str">
        <f>IF(  Z87&gt;$E$2, SUMIFS(IF($G$2="CPR",'Grid Data'!$AH$4:$AH$2342,'Grid Data'!$AI$4:$AI$2342),'Grid Data'!$Z$4:$Z$2342,$D56,'Grid Data'!$AA$4:$AA$2342,Z$4,'Grid Data'!$Y$4:$Y$2342,$D$2)*100-Z24, "--")</f>
        <v>--</v>
      </c>
      <c r="AA56" s="5" t="str">
        <f>IF(  AA87&gt;$E$2, SUMIFS(IF($G$2="CPR",'Grid Data'!$AH$4:$AH$2342,'Grid Data'!$AI$4:$AI$2342),'Grid Data'!$Z$4:$Z$2342,$D56,'Grid Data'!$AA$4:$AA$2342,AA$4,'Grid Data'!$Y$4:$Y$2342,$D$2)*100-AA24, "--")</f>
        <v>--</v>
      </c>
      <c r="AB56" s="5" t="str">
        <f>IF(  AB87&gt;$E$2, SUMIFS(IF($G$2="CPR",'Grid Data'!$AH$4:$AH$2342,'Grid Data'!$AI$4:$AI$2342),'Grid Data'!$Z$4:$Z$2342,$D56,'Grid Data'!$AA$4:$AA$2342,AB$4,'Grid Data'!$Y$4:$Y$2342,$D$2)*100-AB24, "--")</f>
        <v>--</v>
      </c>
      <c r="AC56" s="5" t="str">
        <f>IF(  AC87&gt;$E$2, SUMIFS(IF($G$2="CPR",'Grid Data'!$AH$4:$AH$2342,'Grid Data'!$AI$4:$AI$2342),'Grid Data'!$Z$4:$Z$2342,$D56,'Grid Data'!$AA$4:$AA$2342,AC$4,'Grid Data'!$Y$4:$Y$2342,$D$2)*100-AC24, "--")</f>
        <v>--</v>
      </c>
      <c r="AD56" s="5" t="str">
        <f>IF(  AD87&gt;$E$2, SUMIFS(IF($G$2="CPR",'Grid Data'!$AH$4:$AH$2342,'Grid Data'!$AI$4:$AI$2342),'Grid Data'!$Z$4:$Z$2342,$D56,'Grid Data'!$AA$4:$AA$2342,AD$4,'Grid Data'!$Y$4:$Y$2342,$D$2)*100-AD24, "--")</f>
        <v>--</v>
      </c>
      <c r="AE56" s="5">
        <f>IF(  AE87&gt;$E$2, SUMIFS(IF($G$2="CPR",'Grid Data'!$AH$4:$AH$2342,'Grid Data'!$AI$4:$AI$2342),'Grid Data'!$Z$4:$Z$2342,$D56,'Grid Data'!$AA$4:$AA$2342,AE$4,'Grid Data'!$Y$4:$Y$2342,$D$2)*100-AE24, "--")</f>
        <v>5.1959999999999997</v>
      </c>
      <c r="AF56" s="5">
        <f>IF(  AF87&gt;$E$2, SUMIFS(IF($G$2="CPR",'Grid Data'!$AH$4:$AH$2342,'Grid Data'!$AI$4:$AI$2342),'Grid Data'!$Z$4:$Z$2342,$D56,'Grid Data'!$AA$4:$AA$2342,AF$4,'Grid Data'!$Y$4:$Y$2342,$D$2)*100-AF24, "--")</f>
        <v>1.5045000000000002</v>
      </c>
      <c r="AG56" s="5">
        <f>IF(  AG87&gt;$E$2, SUMIFS(IF($G$2="CPR",'Grid Data'!$AH$4:$AH$2342,'Grid Data'!$AI$4:$AI$2342),'Grid Data'!$Z$4:$Z$2342,$D56,'Grid Data'!$AA$4:$AA$2342,AG$4,'Grid Data'!$Y$4:$Y$2342,$D$2)*100-AG24, "--")</f>
        <v>0.2240000000000002</v>
      </c>
      <c r="AH56" s="5">
        <f>IF(  AH87&gt;$E$2, SUMIFS(IF($G$2="CPR",'Grid Data'!$AH$4:$AH$2342,'Grid Data'!$AI$4:$AI$2342),'Grid Data'!$Z$4:$Z$2342,$D56,'Grid Data'!$AA$4:$AA$2342,AH$4,'Grid Data'!$Y$4:$Y$2342,$D$2)*100-AH24, "--")</f>
        <v>13.126900000000001</v>
      </c>
    </row>
    <row r="57" spans="4:34" x14ac:dyDescent="0.35">
      <c r="D57">
        <v>7000</v>
      </c>
      <c r="E57" s="5">
        <f>IF(  E88&gt;$E$2, SUMIFS(IF($G$2="CPR",'Grid Data'!$AH$4:$AH$2342,'Grid Data'!$AI$4:$AI$2342),'Grid Data'!$Z$4:$Z$2342,$D57,'Grid Data'!$AA$4:$AA$2342,E$4,'Grid Data'!$Y$4:$Y$2342,$D$2)*100-E25, "--")</f>
        <v>-1.2955000000000001</v>
      </c>
      <c r="F57" s="5">
        <f>IF(  F88&gt;$E$2, SUMIFS(IF($G$2="CPR",'Grid Data'!$AH$4:$AH$2342,'Grid Data'!$AI$4:$AI$2342),'Grid Data'!$Z$4:$Z$2342,$D57,'Grid Data'!$AA$4:$AA$2342,F$4,'Grid Data'!$Y$4:$Y$2342,$D$2)*100-F25, "--")</f>
        <v>-1.9754000000000076</v>
      </c>
      <c r="G57" s="5">
        <f>IF(  G88&gt;$E$2, SUMIFS(IF($G$2="CPR",'Grid Data'!$AH$4:$AH$2342,'Grid Data'!$AI$4:$AI$2342),'Grid Data'!$Z$4:$Z$2342,$D57,'Grid Data'!$AA$4:$AA$2342,G$4,'Grid Data'!$Y$4:$Y$2342,$D$2)*100-G25, "--")</f>
        <v>-1.4973000000000027</v>
      </c>
      <c r="H57" s="5">
        <f>IF(  H88&gt;$E$2, SUMIFS(IF($G$2="CPR",'Grid Data'!$AH$4:$AH$2342,'Grid Data'!$AI$4:$AI$2342),'Grid Data'!$Z$4:$Z$2342,$D57,'Grid Data'!$AA$4:$AA$2342,H$4,'Grid Data'!$Y$4:$Y$2342,$D$2)*100-H25, "--")</f>
        <v>-6.2664999999999971</v>
      </c>
      <c r="I57" s="5">
        <f>IF(  I88&gt;$E$2, SUMIFS(IF($G$2="CPR",'Grid Data'!$AH$4:$AH$2342,'Grid Data'!$AI$4:$AI$2342),'Grid Data'!$Z$4:$Z$2342,$D57,'Grid Data'!$AA$4:$AA$2342,I$4,'Grid Data'!$Y$4:$Y$2342,$D$2)*100-I25, "--")</f>
        <v>-5.4224000000000032</v>
      </c>
      <c r="J57" s="5">
        <f>IF(  J88&gt;$E$2, SUMIFS(IF($G$2="CPR",'Grid Data'!$AH$4:$AH$2342,'Grid Data'!$AI$4:$AI$2342),'Grid Data'!$Z$4:$Z$2342,$D57,'Grid Data'!$AA$4:$AA$2342,J$4,'Grid Data'!$Y$4:$Y$2342,$D$2)*100-J25, "--")</f>
        <v>-9.9957000000000029</v>
      </c>
      <c r="K57" s="5">
        <f>IF(  K88&gt;$E$2, SUMIFS(IF($G$2="CPR",'Grid Data'!$AH$4:$AH$2342,'Grid Data'!$AI$4:$AI$2342),'Grid Data'!$Z$4:$Z$2342,$D57,'Grid Data'!$AA$4:$AA$2342,K$4,'Grid Data'!$Y$4:$Y$2342,$D$2)*100-K25, "--")</f>
        <v>-10.055900000000005</v>
      </c>
      <c r="L57" s="5">
        <f>IF(  L88&gt;$E$2, SUMIFS(IF($G$2="CPR",'Grid Data'!$AH$4:$AH$2342,'Grid Data'!$AI$4:$AI$2342),'Grid Data'!$Z$4:$Z$2342,$D57,'Grid Data'!$AA$4:$AA$2342,L$4,'Grid Data'!$Y$4:$Y$2342,$D$2)*100-L25, "--")</f>
        <v>-11.392800000000001</v>
      </c>
      <c r="M57" s="5">
        <f>IF(  M88&gt;$E$2, SUMIFS(IF($G$2="CPR",'Grid Data'!$AH$4:$AH$2342,'Grid Data'!$AI$4:$AI$2342),'Grid Data'!$Z$4:$Z$2342,$D57,'Grid Data'!$AA$4:$AA$2342,M$4,'Grid Data'!$Y$4:$Y$2342,$D$2)*100-M25, "--")</f>
        <v>-7.5198999999999963</v>
      </c>
      <c r="N57" s="5">
        <f>IF(  N88&gt;$E$2, SUMIFS(IF($G$2="CPR",'Grid Data'!$AH$4:$AH$2342,'Grid Data'!$AI$4:$AI$2342),'Grid Data'!$Z$4:$Z$2342,$D57,'Grid Data'!$AA$4:$AA$2342,N$4,'Grid Data'!$Y$4:$Y$2342,$D$2)*100-N25, "--")</f>
        <v>-7.8298000000000023</v>
      </c>
      <c r="O57" s="5">
        <f>IF(  O88&gt;$E$2, SUMIFS(IF($G$2="CPR",'Grid Data'!$AH$4:$AH$2342,'Grid Data'!$AI$4:$AI$2342),'Grid Data'!$Z$4:$Z$2342,$D57,'Grid Data'!$AA$4:$AA$2342,O$4,'Grid Data'!$Y$4:$Y$2342,$D$2)*100-O25, "--")</f>
        <v>-5.8981999999999992</v>
      </c>
      <c r="P57" s="5">
        <f>IF(  P88&gt;$E$2, SUMIFS(IF($G$2="CPR",'Grid Data'!$AH$4:$AH$2342,'Grid Data'!$AI$4:$AI$2342),'Grid Data'!$Z$4:$Z$2342,$D57,'Grid Data'!$AA$4:$AA$2342,P$4,'Grid Data'!$Y$4:$Y$2342,$D$2)*100-P25, "--")</f>
        <v>-1.6027999999999984</v>
      </c>
      <c r="Q57" s="5">
        <f>IF(  Q88&gt;$E$2, SUMIFS(IF($G$2="CPR",'Grid Data'!$AH$4:$AH$2342,'Grid Data'!$AI$4:$AI$2342),'Grid Data'!$Z$4:$Z$2342,$D57,'Grid Data'!$AA$4:$AA$2342,Q$4,'Grid Data'!$Y$4:$Y$2342,$D$2)*100-Q25, "--")</f>
        <v>-6.6423000000000023</v>
      </c>
      <c r="R57" s="5">
        <f>IF(  R88&gt;$E$2, SUMIFS(IF($G$2="CPR",'Grid Data'!$AH$4:$AH$2342,'Grid Data'!$AI$4:$AI$2342),'Grid Data'!$Z$4:$Z$2342,$D57,'Grid Data'!$AA$4:$AA$2342,R$4,'Grid Data'!$Y$4:$Y$2342,$D$2)*100-R25, "--")</f>
        <v>-3.1358999999999995</v>
      </c>
      <c r="S57" s="5">
        <f>IF(  S88&gt;$E$2, SUMIFS(IF($G$2="CPR",'Grid Data'!$AH$4:$AH$2342,'Grid Data'!$AI$4:$AI$2342),'Grid Data'!$Z$4:$Z$2342,$D57,'Grid Data'!$AA$4:$AA$2342,S$4,'Grid Data'!$Y$4:$Y$2342,$D$2)*100-S25, "--")</f>
        <v>-4.8313000000000024</v>
      </c>
      <c r="T57" s="5" t="str">
        <f>IF(  T88&gt;$E$2, SUMIFS(IF($G$2="CPR",'Grid Data'!$AH$4:$AH$2342,'Grid Data'!$AI$4:$AI$2342),'Grid Data'!$Z$4:$Z$2342,$D57,'Grid Data'!$AA$4:$AA$2342,T$4,'Grid Data'!$Y$4:$Y$2342,$D$2)*100-T25, "--")</f>
        <v>--</v>
      </c>
      <c r="U57" s="5" t="str">
        <f>IF(  U88&gt;$E$2, SUMIFS(IF($G$2="CPR",'Grid Data'!$AH$4:$AH$2342,'Grid Data'!$AI$4:$AI$2342),'Grid Data'!$Z$4:$Z$2342,$D57,'Grid Data'!$AA$4:$AA$2342,U$4,'Grid Data'!$Y$4:$Y$2342,$D$2)*100-U25, "--")</f>
        <v>--</v>
      </c>
      <c r="V57" s="5" t="str">
        <f>IF(  V88&gt;$E$2, SUMIFS(IF($G$2="CPR",'Grid Data'!$AH$4:$AH$2342,'Grid Data'!$AI$4:$AI$2342),'Grid Data'!$Z$4:$Z$2342,$D57,'Grid Data'!$AA$4:$AA$2342,V$4,'Grid Data'!$Y$4:$Y$2342,$D$2)*100-V25, "--")</f>
        <v>--</v>
      </c>
      <c r="W57" s="5" t="str">
        <f>IF(  W88&gt;$E$2, SUMIFS(IF($G$2="CPR",'Grid Data'!$AH$4:$AH$2342,'Grid Data'!$AI$4:$AI$2342),'Grid Data'!$Z$4:$Z$2342,$D57,'Grid Data'!$AA$4:$AA$2342,W$4,'Grid Data'!$Y$4:$Y$2342,$D$2)*100-W25, "--")</f>
        <v>--</v>
      </c>
      <c r="X57" s="5" t="str">
        <f>IF(  X88&gt;$E$2, SUMIFS(IF($G$2="CPR",'Grid Data'!$AH$4:$AH$2342,'Grid Data'!$AI$4:$AI$2342),'Grid Data'!$Z$4:$Z$2342,$D57,'Grid Data'!$AA$4:$AA$2342,X$4,'Grid Data'!$Y$4:$Y$2342,$D$2)*100-X25, "--")</f>
        <v>--</v>
      </c>
      <c r="Y57" s="5" t="str">
        <f>IF(  Y88&gt;$E$2, SUMIFS(IF($G$2="CPR",'Grid Data'!$AH$4:$AH$2342,'Grid Data'!$AI$4:$AI$2342),'Grid Data'!$Z$4:$Z$2342,$D57,'Grid Data'!$AA$4:$AA$2342,Y$4,'Grid Data'!$Y$4:$Y$2342,$D$2)*100-Y25, "--")</f>
        <v>--</v>
      </c>
      <c r="Z57" s="5" t="str">
        <f>IF(  Z88&gt;$E$2, SUMIFS(IF($G$2="CPR",'Grid Data'!$AH$4:$AH$2342,'Grid Data'!$AI$4:$AI$2342),'Grid Data'!$Z$4:$Z$2342,$D57,'Grid Data'!$AA$4:$AA$2342,Z$4,'Grid Data'!$Y$4:$Y$2342,$D$2)*100-Z25, "--")</f>
        <v>--</v>
      </c>
      <c r="AA57" s="5" t="str">
        <f>IF(  AA88&gt;$E$2, SUMIFS(IF($G$2="CPR",'Grid Data'!$AH$4:$AH$2342,'Grid Data'!$AI$4:$AI$2342),'Grid Data'!$Z$4:$Z$2342,$D57,'Grid Data'!$AA$4:$AA$2342,AA$4,'Grid Data'!$Y$4:$Y$2342,$D$2)*100-AA25, "--")</f>
        <v>--</v>
      </c>
      <c r="AB57" s="5" t="str">
        <f>IF(  AB88&gt;$E$2, SUMIFS(IF($G$2="CPR",'Grid Data'!$AH$4:$AH$2342,'Grid Data'!$AI$4:$AI$2342),'Grid Data'!$Z$4:$Z$2342,$D57,'Grid Data'!$AA$4:$AA$2342,AB$4,'Grid Data'!$Y$4:$Y$2342,$D$2)*100-AB25, "--")</f>
        <v>--</v>
      </c>
      <c r="AC57" s="5" t="str">
        <f>IF(  AC88&gt;$E$2, SUMIFS(IF($G$2="CPR",'Grid Data'!$AH$4:$AH$2342,'Grid Data'!$AI$4:$AI$2342),'Grid Data'!$Z$4:$Z$2342,$D57,'Grid Data'!$AA$4:$AA$2342,AC$4,'Grid Data'!$Y$4:$Y$2342,$D$2)*100-AC25, "--")</f>
        <v>--</v>
      </c>
      <c r="AD57" s="5" t="str">
        <f>IF(  AD88&gt;$E$2, SUMIFS(IF($G$2="CPR",'Grid Data'!$AH$4:$AH$2342,'Grid Data'!$AI$4:$AI$2342),'Grid Data'!$Z$4:$Z$2342,$D57,'Grid Data'!$AA$4:$AA$2342,AD$4,'Grid Data'!$Y$4:$Y$2342,$D$2)*100-AD25, "--")</f>
        <v>--</v>
      </c>
      <c r="AE57" s="5">
        <f>IF(  AE88&gt;$E$2, SUMIFS(IF($G$2="CPR",'Grid Data'!$AH$4:$AH$2342,'Grid Data'!$AI$4:$AI$2342),'Grid Data'!$Z$4:$Z$2342,$D57,'Grid Data'!$AA$4:$AA$2342,AE$4,'Grid Data'!$Y$4:$Y$2342,$D$2)*100-AE25, "--")</f>
        <v>4.7866</v>
      </c>
      <c r="AF57" s="5">
        <f>IF(  AF88&gt;$E$2, SUMIFS(IF($G$2="CPR",'Grid Data'!$AH$4:$AH$2342,'Grid Data'!$AI$4:$AI$2342),'Grid Data'!$Z$4:$Z$2342,$D57,'Grid Data'!$AA$4:$AA$2342,AF$4,'Grid Data'!$Y$4:$Y$2342,$D$2)*100-AF25, "--")</f>
        <v>5.7802999999999987</v>
      </c>
      <c r="AG57" s="5">
        <f>IF(  AG88&gt;$E$2, SUMIFS(IF($G$2="CPR",'Grid Data'!$AH$4:$AH$2342,'Grid Data'!$AI$4:$AI$2342),'Grid Data'!$Z$4:$Z$2342,$D57,'Grid Data'!$AA$4:$AA$2342,AG$4,'Grid Data'!$Y$4:$Y$2342,$D$2)*100-AG25, "--")</f>
        <v>3.5999999999999588E-2</v>
      </c>
      <c r="AH57" s="5">
        <f>IF(  AH88&gt;$E$2, SUMIFS(IF($G$2="CPR",'Grid Data'!$AH$4:$AH$2342,'Grid Data'!$AI$4:$AI$2342),'Grid Data'!$Z$4:$Z$2342,$D57,'Grid Data'!$AA$4:$AA$2342,AH$4,'Grid Data'!$Y$4:$Y$2342,$D$2)*100-AH25, "--")</f>
        <v>8.0320000000000018</v>
      </c>
    </row>
    <row r="58" spans="4:34" x14ac:dyDescent="0.35">
      <c r="D58">
        <v>7250</v>
      </c>
      <c r="E58" s="5">
        <f>IF(  E89&gt;$E$2, SUMIFS(IF($G$2="CPR",'Grid Data'!$AH$4:$AH$2342,'Grid Data'!$AI$4:$AI$2342),'Grid Data'!$Z$4:$Z$2342,$D58,'Grid Data'!$AA$4:$AA$2342,E$4,'Grid Data'!$Y$4:$Y$2342,$D$2)*100-E26, "--")</f>
        <v>-1.7597999999999998</v>
      </c>
      <c r="F58" s="5">
        <f>IF(  F89&gt;$E$2, SUMIFS(IF($G$2="CPR",'Grid Data'!$AH$4:$AH$2342,'Grid Data'!$AI$4:$AI$2342),'Grid Data'!$Z$4:$Z$2342,$D58,'Grid Data'!$AA$4:$AA$2342,F$4,'Grid Data'!$Y$4:$Y$2342,$D$2)*100-F26, "--")</f>
        <v>0.6437000000000026</v>
      </c>
      <c r="G58" s="5">
        <f>IF(  G89&gt;$E$2, SUMIFS(IF($G$2="CPR",'Grid Data'!$AH$4:$AH$2342,'Grid Data'!$AI$4:$AI$2342),'Grid Data'!$Z$4:$Z$2342,$D58,'Grid Data'!$AA$4:$AA$2342,G$4,'Grid Data'!$Y$4:$Y$2342,$D$2)*100-G26, "--")</f>
        <v>-1.7087000000000003</v>
      </c>
      <c r="H58" s="5">
        <f>IF(  H89&gt;$E$2, SUMIFS(IF($G$2="CPR",'Grid Data'!$AH$4:$AH$2342,'Grid Data'!$AI$4:$AI$2342),'Grid Data'!$Z$4:$Z$2342,$D58,'Grid Data'!$AA$4:$AA$2342,H$4,'Grid Data'!$Y$4:$Y$2342,$D$2)*100-H26, "--")</f>
        <v>3.4622000000000028</v>
      </c>
      <c r="I58" s="5">
        <f>IF(  I89&gt;$E$2, SUMIFS(IF($G$2="CPR",'Grid Data'!$AH$4:$AH$2342,'Grid Data'!$AI$4:$AI$2342),'Grid Data'!$Z$4:$Z$2342,$D58,'Grid Data'!$AA$4:$AA$2342,I$4,'Grid Data'!$Y$4:$Y$2342,$D$2)*100-I26, "--")</f>
        <v>0.81799999999999784</v>
      </c>
      <c r="J58" s="5">
        <f>IF(  J89&gt;$E$2, SUMIFS(IF($G$2="CPR",'Grid Data'!$AH$4:$AH$2342,'Grid Data'!$AI$4:$AI$2342),'Grid Data'!$Z$4:$Z$2342,$D58,'Grid Data'!$AA$4:$AA$2342,J$4,'Grid Data'!$Y$4:$Y$2342,$D$2)*100-J26, "--")</f>
        <v>2.4912999999999954</v>
      </c>
      <c r="K58" s="5">
        <f>IF(  K89&gt;$E$2, SUMIFS(IF($G$2="CPR",'Grid Data'!$AH$4:$AH$2342,'Grid Data'!$AI$4:$AI$2342),'Grid Data'!$Z$4:$Z$2342,$D58,'Grid Data'!$AA$4:$AA$2342,K$4,'Grid Data'!$Y$4:$Y$2342,$D$2)*100-K26, "--")</f>
        <v>2.0201000000000029</v>
      </c>
      <c r="L58" s="5">
        <f>IF(  L89&gt;$E$2, SUMIFS(IF($G$2="CPR",'Grid Data'!$AH$4:$AH$2342,'Grid Data'!$AI$4:$AI$2342),'Grid Data'!$Z$4:$Z$2342,$D58,'Grid Data'!$AA$4:$AA$2342,L$4,'Grid Data'!$Y$4:$Y$2342,$D$2)*100-L26, "--")</f>
        <v>-8.4130000000000038</v>
      </c>
      <c r="M58" s="5">
        <f>IF(  M89&gt;$E$2, SUMIFS(IF($G$2="CPR",'Grid Data'!$AH$4:$AH$2342,'Grid Data'!$AI$4:$AI$2342),'Grid Data'!$Z$4:$Z$2342,$D58,'Grid Data'!$AA$4:$AA$2342,M$4,'Grid Data'!$Y$4:$Y$2342,$D$2)*100-M26, "--")</f>
        <v>-2.8940000000000019</v>
      </c>
      <c r="N58" s="5">
        <f>IF(  N89&gt;$E$2, SUMIFS(IF($G$2="CPR",'Grid Data'!$AH$4:$AH$2342,'Grid Data'!$AI$4:$AI$2342),'Grid Data'!$Z$4:$Z$2342,$D58,'Grid Data'!$AA$4:$AA$2342,N$4,'Grid Data'!$Y$4:$Y$2342,$D$2)*100-N26, "--")</f>
        <v>-4.8615999999999993</v>
      </c>
      <c r="O58" s="5">
        <f>IF(  O89&gt;$E$2, SUMIFS(IF($G$2="CPR",'Grid Data'!$AH$4:$AH$2342,'Grid Data'!$AI$4:$AI$2342),'Grid Data'!$Z$4:$Z$2342,$D58,'Grid Data'!$AA$4:$AA$2342,O$4,'Grid Data'!$Y$4:$Y$2342,$D$2)*100-O26, "--")</f>
        <v>-5.6367000000000047</v>
      </c>
      <c r="P58" s="5">
        <f>IF(  P89&gt;$E$2, SUMIFS(IF($G$2="CPR",'Grid Data'!$AH$4:$AH$2342,'Grid Data'!$AI$4:$AI$2342),'Grid Data'!$Z$4:$Z$2342,$D58,'Grid Data'!$AA$4:$AA$2342,P$4,'Grid Data'!$Y$4:$Y$2342,$D$2)*100-P26, "--")</f>
        <v>-2.0896000000000008</v>
      </c>
      <c r="Q58" s="5">
        <f>IF(  Q89&gt;$E$2, SUMIFS(IF($G$2="CPR",'Grid Data'!$AH$4:$AH$2342,'Grid Data'!$AI$4:$AI$2342),'Grid Data'!$Z$4:$Z$2342,$D58,'Grid Data'!$AA$4:$AA$2342,Q$4,'Grid Data'!$Y$4:$Y$2342,$D$2)*100-Q26, "--")</f>
        <v>-0.89270000000000138</v>
      </c>
      <c r="R58" s="5">
        <f>IF(  R89&gt;$E$2, SUMIFS(IF($G$2="CPR",'Grid Data'!$AH$4:$AH$2342,'Grid Data'!$AI$4:$AI$2342),'Grid Data'!$Z$4:$Z$2342,$D58,'Grid Data'!$AA$4:$AA$2342,R$4,'Grid Data'!$Y$4:$Y$2342,$D$2)*100-R26, "--")</f>
        <v>-0.67600000000000193</v>
      </c>
      <c r="S58" s="5">
        <f>IF(  S89&gt;$E$2, SUMIFS(IF($G$2="CPR",'Grid Data'!$AH$4:$AH$2342,'Grid Data'!$AI$4:$AI$2342),'Grid Data'!$Z$4:$Z$2342,$D58,'Grid Data'!$AA$4:$AA$2342,S$4,'Grid Data'!$Y$4:$Y$2342,$D$2)*100-S26, "--")</f>
        <v>3.0427000000000035</v>
      </c>
      <c r="T58" s="5" t="str">
        <f>IF(  T89&gt;$E$2, SUMIFS(IF($G$2="CPR",'Grid Data'!$AH$4:$AH$2342,'Grid Data'!$AI$4:$AI$2342),'Grid Data'!$Z$4:$Z$2342,$D58,'Grid Data'!$AA$4:$AA$2342,T$4,'Grid Data'!$Y$4:$Y$2342,$D$2)*100-T26, "--")</f>
        <v>--</v>
      </c>
      <c r="U58" s="5" t="str">
        <f>IF(  U89&gt;$E$2, SUMIFS(IF($G$2="CPR",'Grid Data'!$AH$4:$AH$2342,'Grid Data'!$AI$4:$AI$2342),'Grid Data'!$Z$4:$Z$2342,$D58,'Grid Data'!$AA$4:$AA$2342,U$4,'Grid Data'!$Y$4:$Y$2342,$D$2)*100-U26, "--")</f>
        <v>--</v>
      </c>
      <c r="V58" s="5" t="str">
        <f>IF(  V89&gt;$E$2, SUMIFS(IF($G$2="CPR",'Grid Data'!$AH$4:$AH$2342,'Grid Data'!$AI$4:$AI$2342),'Grid Data'!$Z$4:$Z$2342,$D58,'Grid Data'!$AA$4:$AA$2342,V$4,'Grid Data'!$Y$4:$Y$2342,$D$2)*100-V26, "--")</f>
        <v>--</v>
      </c>
      <c r="W58" s="5" t="str">
        <f>IF(  W89&gt;$E$2, SUMIFS(IF($G$2="CPR",'Grid Data'!$AH$4:$AH$2342,'Grid Data'!$AI$4:$AI$2342),'Grid Data'!$Z$4:$Z$2342,$D58,'Grid Data'!$AA$4:$AA$2342,W$4,'Grid Data'!$Y$4:$Y$2342,$D$2)*100-W26, "--")</f>
        <v>--</v>
      </c>
      <c r="X58" s="5" t="str">
        <f>IF(  X89&gt;$E$2, SUMIFS(IF($G$2="CPR",'Grid Data'!$AH$4:$AH$2342,'Grid Data'!$AI$4:$AI$2342),'Grid Data'!$Z$4:$Z$2342,$D58,'Grid Data'!$AA$4:$AA$2342,X$4,'Grid Data'!$Y$4:$Y$2342,$D$2)*100-X26, "--")</f>
        <v>--</v>
      </c>
      <c r="Y58" s="5" t="str">
        <f>IF(  Y89&gt;$E$2, SUMIFS(IF($G$2="CPR",'Grid Data'!$AH$4:$AH$2342,'Grid Data'!$AI$4:$AI$2342),'Grid Data'!$Z$4:$Z$2342,$D58,'Grid Data'!$AA$4:$AA$2342,Y$4,'Grid Data'!$Y$4:$Y$2342,$D$2)*100-Y26, "--")</f>
        <v>--</v>
      </c>
      <c r="Z58" s="5" t="str">
        <f>IF(  Z89&gt;$E$2, SUMIFS(IF($G$2="CPR",'Grid Data'!$AH$4:$AH$2342,'Grid Data'!$AI$4:$AI$2342),'Grid Data'!$Z$4:$Z$2342,$D58,'Grid Data'!$AA$4:$AA$2342,Z$4,'Grid Data'!$Y$4:$Y$2342,$D$2)*100-Z26, "--")</f>
        <v>--</v>
      </c>
      <c r="AA58" s="5" t="str">
        <f>IF(  AA89&gt;$E$2, SUMIFS(IF($G$2="CPR",'Grid Data'!$AH$4:$AH$2342,'Grid Data'!$AI$4:$AI$2342),'Grid Data'!$Z$4:$Z$2342,$D58,'Grid Data'!$AA$4:$AA$2342,AA$4,'Grid Data'!$Y$4:$Y$2342,$D$2)*100-AA26, "--")</f>
        <v>--</v>
      </c>
      <c r="AB58" s="5" t="str">
        <f>IF(  AB89&gt;$E$2, SUMIFS(IF($G$2="CPR",'Grid Data'!$AH$4:$AH$2342,'Grid Data'!$AI$4:$AI$2342),'Grid Data'!$Z$4:$Z$2342,$D58,'Grid Data'!$AA$4:$AA$2342,AB$4,'Grid Data'!$Y$4:$Y$2342,$D$2)*100-AB26, "--")</f>
        <v>--</v>
      </c>
      <c r="AC58" s="5" t="str">
        <f>IF(  AC89&gt;$E$2, SUMIFS(IF($G$2="CPR",'Grid Data'!$AH$4:$AH$2342,'Grid Data'!$AI$4:$AI$2342),'Grid Data'!$Z$4:$Z$2342,$D58,'Grid Data'!$AA$4:$AA$2342,AC$4,'Grid Data'!$Y$4:$Y$2342,$D$2)*100-AC26, "--")</f>
        <v>--</v>
      </c>
      <c r="AD58" s="5" t="str">
        <f>IF(  AD89&gt;$E$2, SUMIFS(IF($G$2="CPR",'Grid Data'!$AH$4:$AH$2342,'Grid Data'!$AI$4:$AI$2342),'Grid Data'!$Z$4:$Z$2342,$D58,'Grid Data'!$AA$4:$AA$2342,AD$4,'Grid Data'!$Y$4:$Y$2342,$D$2)*100-AD26, "--")</f>
        <v>--</v>
      </c>
      <c r="AE58" s="5">
        <f>IF(  AE89&gt;$E$2, SUMIFS(IF($G$2="CPR",'Grid Data'!$AH$4:$AH$2342,'Grid Data'!$AI$4:$AI$2342),'Grid Data'!$Z$4:$Z$2342,$D58,'Grid Data'!$AA$4:$AA$2342,AE$4,'Grid Data'!$Y$4:$Y$2342,$D$2)*100-AE26, "--")</f>
        <v>14.073</v>
      </c>
      <c r="AF58" s="5">
        <f>IF(  AF89&gt;$E$2, SUMIFS(IF($G$2="CPR",'Grid Data'!$AH$4:$AH$2342,'Grid Data'!$AI$4:$AI$2342),'Grid Data'!$Z$4:$Z$2342,$D58,'Grid Data'!$AA$4:$AA$2342,AF$4,'Grid Data'!$Y$4:$Y$2342,$D$2)*100-AF26, "--")</f>
        <v>3.5781000000000009</v>
      </c>
      <c r="AG58" s="5">
        <f>IF(  AG89&gt;$E$2, SUMIFS(IF($G$2="CPR",'Grid Data'!$AH$4:$AH$2342,'Grid Data'!$AI$4:$AI$2342),'Grid Data'!$Z$4:$Z$2342,$D58,'Grid Data'!$AA$4:$AA$2342,AG$4,'Grid Data'!$Y$4:$Y$2342,$D$2)*100-AG26, "--")</f>
        <v>0.62129999999999974</v>
      </c>
      <c r="AH58" s="5">
        <f>IF(  AH89&gt;$E$2, SUMIFS(IF($G$2="CPR",'Grid Data'!$AH$4:$AH$2342,'Grid Data'!$AI$4:$AI$2342),'Grid Data'!$Z$4:$Z$2342,$D58,'Grid Data'!$AA$4:$AA$2342,AH$4,'Grid Data'!$Y$4:$Y$2342,$D$2)*100-AH26, "--")</f>
        <v>9.1257999999999999</v>
      </c>
    </row>
    <row r="59" spans="4:34" x14ac:dyDescent="0.35">
      <c r="D59">
        <v>7500</v>
      </c>
      <c r="E59" s="5">
        <f>IF(  E90&gt;$E$2, SUMIFS(IF($G$2="CPR",'Grid Data'!$AH$4:$AH$2342,'Grid Data'!$AI$4:$AI$2342),'Grid Data'!$Z$4:$Z$2342,$D59,'Grid Data'!$AA$4:$AA$2342,E$4,'Grid Data'!$Y$4:$Y$2342,$D$2)*100-E27, "--")</f>
        <v>-2.0682999999999998</v>
      </c>
      <c r="F59" s="5">
        <f>IF(  F90&gt;$E$2, SUMIFS(IF($G$2="CPR",'Grid Data'!$AH$4:$AH$2342,'Grid Data'!$AI$4:$AI$2342),'Grid Data'!$Z$4:$Z$2342,$D59,'Grid Data'!$AA$4:$AA$2342,F$4,'Grid Data'!$Y$4:$Y$2342,$D$2)*100-F27, "--")</f>
        <v>-0.31419999999999959</v>
      </c>
      <c r="G59" s="5">
        <f>IF(  G90&gt;$E$2, SUMIFS(IF($G$2="CPR",'Grid Data'!$AH$4:$AH$2342,'Grid Data'!$AI$4:$AI$2342),'Grid Data'!$Z$4:$Z$2342,$D59,'Grid Data'!$AA$4:$AA$2342,G$4,'Grid Data'!$Y$4:$Y$2342,$D$2)*100-G27, "--")</f>
        <v>2.7926000000000073</v>
      </c>
      <c r="H59" s="5">
        <f>IF(  H90&gt;$E$2, SUMIFS(IF($G$2="CPR",'Grid Data'!$AH$4:$AH$2342,'Grid Data'!$AI$4:$AI$2342),'Grid Data'!$Z$4:$Z$2342,$D59,'Grid Data'!$AA$4:$AA$2342,H$4,'Grid Data'!$Y$4:$Y$2342,$D$2)*100-H27, "--")</f>
        <v>6.3307999999999964</v>
      </c>
      <c r="I59" s="5">
        <f>IF(  I90&gt;$E$2, SUMIFS(IF($G$2="CPR",'Grid Data'!$AH$4:$AH$2342,'Grid Data'!$AI$4:$AI$2342),'Grid Data'!$Z$4:$Z$2342,$D59,'Grid Data'!$AA$4:$AA$2342,I$4,'Grid Data'!$Y$4:$Y$2342,$D$2)*100-I27, "--")</f>
        <v>19.387799999999995</v>
      </c>
      <c r="J59" s="5">
        <f>IF(  J90&gt;$E$2, SUMIFS(IF($G$2="CPR",'Grid Data'!$AH$4:$AH$2342,'Grid Data'!$AI$4:$AI$2342),'Grid Data'!$Z$4:$Z$2342,$D59,'Grid Data'!$AA$4:$AA$2342,J$4,'Grid Data'!$Y$4:$Y$2342,$D$2)*100-J27, "--")</f>
        <v>3.4432999999999971</v>
      </c>
      <c r="K59" s="5">
        <f>IF(  K90&gt;$E$2, SUMIFS(IF($G$2="CPR",'Grid Data'!$AH$4:$AH$2342,'Grid Data'!$AI$4:$AI$2342),'Grid Data'!$Z$4:$Z$2342,$D59,'Grid Data'!$AA$4:$AA$2342,K$4,'Grid Data'!$Y$4:$Y$2342,$D$2)*100-K27, "--")</f>
        <v>5.833000000000002</v>
      </c>
      <c r="L59" s="5">
        <f>IF(  L90&gt;$E$2, SUMIFS(IF($G$2="CPR",'Grid Data'!$AH$4:$AH$2342,'Grid Data'!$AI$4:$AI$2342),'Grid Data'!$Z$4:$Z$2342,$D59,'Grid Data'!$AA$4:$AA$2342,L$4,'Grid Data'!$Y$4:$Y$2342,$D$2)*100-L27, "--")</f>
        <v>-6.0593000000000004</v>
      </c>
      <c r="M59" s="5">
        <f>IF(  M90&gt;$E$2, SUMIFS(IF($G$2="CPR",'Grid Data'!$AH$4:$AH$2342,'Grid Data'!$AI$4:$AI$2342),'Grid Data'!$Z$4:$Z$2342,$D59,'Grid Data'!$AA$4:$AA$2342,M$4,'Grid Data'!$Y$4:$Y$2342,$D$2)*100-M27, "--")</f>
        <v>-9.3595000000000006</v>
      </c>
      <c r="N59" s="5">
        <f>IF(  N90&gt;$E$2, SUMIFS(IF($G$2="CPR",'Grid Data'!$AH$4:$AH$2342,'Grid Data'!$AI$4:$AI$2342),'Grid Data'!$Z$4:$Z$2342,$D59,'Grid Data'!$AA$4:$AA$2342,N$4,'Grid Data'!$Y$4:$Y$2342,$D$2)*100-N27, "--")</f>
        <v>-6.7558000000000025</v>
      </c>
      <c r="O59" s="5">
        <f>IF(  O90&gt;$E$2, SUMIFS(IF($G$2="CPR",'Grid Data'!$AH$4:$AH$2342,'Grid Data'!$AI$4:$AI$2342),'Grid Data'!$Z$4:$Z$2342,$D59,'Grid Data'!$AA$4:$AA$2342,O$4,'Grid Data'!$Y$4:$Y$2342,$D$2)*100-O27, "--")</f>
        <v>-5.6066000000000003</v>
      </c>
      <c r="P59" s="5">
        <f>IF(  P90&gt;$E$2, SUMIFS(IF($G$2="CPR",'Grid Data'!$AH$4:$AH$2342,'Grid Data'!$AI$4:$AI$2342),'Grid Data'!$Z$4:$Z$2342,$D59,'Grid Data'!$AA$4:$AA$2342,P$4,'Grid Data'!$Y$4:$Y$2342,$D$2)*100-P27, "--")</f>
        <v>-4.3067999999999955</v>
      </c>
      <c r="Q59" s="5">
        <f>IF(  Q90&gt;$E$2, SUMIFS(IF($G$2="CPR",'Grid Data'!$AH$4:$AH$2342,'Grid Data'!$AI$4:$AI$2342),'Grid Data'!$Z$4:$Z$2342,$D59,'Grid Data'!$AA$4:$AA$2342,Q$4,'Grid Data'!$Y$4:$Y$2342,$D$2)*100-Q27, "--")</f>
        <v>-2.0131999999999977</v>
      </c>
      <c r="R59" s="5">
        <f>IF(  R90&gt;$E$2, SUMIFS(IF($G$2="CPR",'Grid Data'!$AH$4:$AH$2342,'Grid Data'!$AI$4:$AI$2342),'Grid Data'!$Z$4:$Z$2342,$D59,'Grid Data'!$AA$4:$AA$2342,R$4,'Grid Data'!$Y$4:$Y$2342,$D$2)*100-R27, "--")</f>
        <v>-5.497300000000001</v>
      </c>
      <c r="S59" s="5">
        <f>IF(  S90&gt;$E$2, SUMIFS(IF($G$2="CPR",'Grid Data'!$AH$4:$AH$2342,'Grid Data'!$AI$4:$AI$2342),'Grid Data'!$Z$4:$Z$2342,$D59,'Grid Data'!$AA$4:$AA$2342,S$4,'Grid Data'!$Y$4:$Y$2342,$D$2)*100-S27, "--")</f>
        <v>9.3620000000000019</v>
      </c>
      <c r="T59" s="5" t="str">
        <f>IF(  T90&gt;$E$2, SUMIFS(IF($G$2="CPR",'Grid Data'!$AH$4:$AH$2342,'Grid Data'!$AI$4:$AI$2342),'Grid Data'!$Z$4:$Z$2342,$D59,'Grid Data'!$AA$4:$AA$2342,T$4,'Grid Data'!$Y$4:$Y$2342,$D$2)*100-T27, "--")</f>
        <v>--</v>
      </c>
      <c r="U59" s="5" t="str">
        <f>IF(  U90&gt;$E$2, SUMIFS(IF($G$2="CPR",'Grid Data'!$AH$4:$AH$2342,'Grid Data'!$AI$4:$AI$2342),'Grid Data'!$Z$4:$Z$2342,$D59,'Grid Data'!$AA$4:$AA$2342,U$4,'Grid Data'!$Y$4:$Y$2342,$D$2)*100-U27, "--")</f>
        <v>--</v>
      </c>
      <c r="V59" s="5" t="str">
        <f>IF(  V90&gt;$E$2, SUMIFS(IF($G$2="CPR",'Grid Data'!$AH$4:$AH$2342,'Grid Data'!$AI$4:$AI$2342),'Grid Data'!$Z$4:$Z$2342,$D59,'Grid Data'!$AA$4:$AA$2342,V$4,'Grid Data'!$Y$4:$Y$2342,$D$2)*100-V27, "--")</f>
        <v>--</v>
      </c>
      <c r="W59" s="5" t="str">
        <f>IF(  W90&gt;$E$2, SUMIFS(IF($G$2="CPR",'Grid Data'!$AH$4:$AH$2342,'Grid Data'!$AI$4:$AI$2342),'Grid Data'!$Z$4:$Z$2342,$D59,'Grid Data'!$AA$4:$AA$2342,W$4,'Grid Data'!$Y$4:$Y$2342,$D$2)*100-W27, "--")</f>
        <v>--</v>
      </c>
      <c r="X59" s="5" t="str">
        <f>IF(  X90&gt;$E$2, SUMIFS(IF($G$2="CPR",'Grid Data'!$AH$4:$AH$2342,'Grid Data'!$AI$4:$AI$2342),'Grid Data'!$Z$4:$Z$2342,$D59,'Grid Data'!$AA$4:$AA$2342,X$4,'Grid Data'!$Y$4:$Y$2342,$D$2)*100-X27, "--")</f>
        <v>--</v>
      </c>
      <c r="Y59" s="5" t="str">
        <f>IF(  Y90&gt;$E$2, SUMIFS(IF($G$2="CPR",'Grid Data'!$AH$4:$AH$2342,'Grid Data'!$AI$4:$AI$2342),'Grid Data'!$Z$4:$Z$2342,$D59,'Grid Data'!$AA$4:$AA$2342,Y$4,'Grid Data'!$Y$4:$Y$2342,$D$2)*100-Y27, "--")</f>
        <v>--</v>
      </c>
      <c r="Z59" s="5" t="str">
        <f>IF(  Z90&gt;$E$2, SUMIFS(IF($G$2="CPR",'Grid Data'!$AH$4:$AH$2342,'Grid Data'!$AI$4:$AI$2342),'Grid Data'!$Z$4:$Z$2342,$D59,'Grid Data'!$AA$4:$AA$2342,Z$4,'Grid Data'!$Y$4:$Y$2342,$D$2)*100-Z27, "--")</f>
        <v>--</v>
      </c>
      <c r="AA59" s="5" t="str">
        <f>IF(  AA90&gt;$E$2, SUMIFS(IF($G$2="CPR",'Grid Data'!$AH$4:$AH$2342,'Grid Data'!$AI$4:$AI$2342),'Grid Data'!$Z$4:$Z$2342,$D59,'Grid Data'!$AA$4:$AA$2342,AA$4,'Grid Data'!$Y$4:$Y$2342,$D$2)*100-AA27, "--")</f>
        <v>--</v>
      </c>
      <c r="AB59" s="5" t="str">
        <f>IF(  AB90&gt;$E$2, SUMIFS(IF($G$2="CPR",'Grid Data'!$AH$4:$AH$2342,'Grid Data'!$AI$4:$AI$2342),'Grid Data'!$Z$4:$Z$2342,$D59,'Grid Data'!$AA$4:$AA$2342,AB$4,'Grid Data'!$Y$4:$Y$2342,$D$2)*100-AB27, "--")</f>
        <v>--</v>
      </c>
      <c r="AC59" s="5" t="str">
        <f>IF(  AC90&gt;$E$2, SUMIFS(IF($G$2="CPR",'Grid Data'!$AH$4:$AH$2342,'Grid Data'!$AI$4:$AI$2342),'Grid Data'!$Z$4:$Z$2342,$D59,'Grid Data'!$AA$4:$AA$2342,AC$4,'Grid Data'!$Y$4:$Y$2342,$D$2)*100-AC27, "--")</f>
        <v>--</v>
      </c>
      <c r="AD59" s="5" t="str">
        <f>IF(  AD90&gt;$E$2, SUMIFS(IF($G$2="CPR",'Grid Data'!$AH$4:$AH$2342,'Grid Data'!$AI$4:$AI$2342),'Grid Data'!$Z$4:$Z$2342,$D59,'Grid Data'!$AA$4:$AA$2342,AD$4,'Grid Data'!$Y$4:$Y$2342,$D$2)*100-AD27, "--")</f>
        <v>--</v>
      </c>
      <c r="AE59" s="5">
        <f>IF(  AE90&gt;$E$2, SUMIFS(IF($G$2="CPR",'Grid Data'!$AH$4:$AH$2342,'Grid Data'!$AI$4:$AI$2342),'Grid Data'!$Z$4:$Z$2342,$D59,'Grid Data'!$AA$4:$AA$2342,AE$4,'Grid Data'!$Y$4:$Y$2342,$D$2)*100-AE27, "--")</f>
        <v>13.6876</v>
      </c>
      <c r="AF59" s="5">
        <f>IF(  AF90&gt;$E$2, SUMIFS(IF($G$2="CPR",'Grid Data'!$AH$4:$AH$2342,'Grid Data'!$AI$4:$AI$2342),'Grid Data'!$Z$4:$Z$2342,$D59,'Grid Data'!$AA$4:$AA$2342,AF$4,'Grid Data'!$Y$4:$Y$2342,$D$2)*100-AF27, "--")</f>
        <v>2.2133000000000003</v>
      </c>
      <c r="AG59" s="5">
        <f>IF(  AG90&gt;$E$2, SUMIFS(IF($G$2="CPR",'Grid Data'!$AH$4:$AH$2342,'Grid Data'!$AI$4:$AI$2342),'Grid Data'!$Z$4:$Z$2342,$D59,'Grid Data'!$AA$4:$AA$2342,AG$4,'Grid Data'!$Y$4:$Y$2342,$D$2)*100-AG27, "--")</f>
        <v>1.9008000000000003</v>
      </c>
      <c r="AH59" s="5">
        <f>IF(  AH90&gt;$E$2, SUMIFS(IF($G$2="CPR",'Grid Data'!$AH$4:$AH$2342,'Grid Data'!$AI$4:$AI$2342),'Grid Data'!$Z$4:$Z$2342,$D59,'Grid Data'!$AA$4:$AA$2342,AH$4,'Grid Data'!$Y$4:$Y$2342,$D$2)*100-AH27, "--")</f>
        <v>11.2761</v>
      </c>
    </row>
    <row r="60" spans="4:34" x14ac:dyDescent="0.35">
      <c r="D60">
        <v>7750</v>
      </c>
      <c r="E60" s="5">
        <f>IF(  E91&gt;$E$2, SUMIFS(IF($G$2="CPR",'Grid Data'!$AH$4:$AH$2342,'Grid Data'!$AI$4:$AI$2342),'Grid Data'!$Z$4:$Z$2342,$D60,'Grid Data'!$AA$4:$AA$2342,E$4,'Grid Data'!$Y$4:$Y$2342,$D$2)*100-E28, "--")</f>
        <v>-7.649999999999979E-2</v>
      </c>
      <c r="F60" s="5">
        <f>IF(  F91&gt;$E$2, SUMIFS(IF($G$2="CPR",'Grid Data'!$AH$4:$AH$2342,'Grid Data'!$AI$4:$AI$2342),'Grid Data'!$Z$4:$Z$2342,$D60,'Grid Data'!$AA$4:$AA$2342,F$4,'Grid Data'!$Y$4:$Y$2342,$D$2)*100-F28, "--")</f>
        <v>8.2588000000000008</v>
      </c>
      <c r="G60" s="5">
        <f>IF(  G91&gt;$E$2, SUMIFS(IF($G$2="CPR",'Grid Data'!$AH$4:$AH$2342,'Grid Data'!$AI$4:$AI$2342),'Grid Data'!$Z$4:$Z$2342,$D60,'Grid Data'!$AA$4:$AA$2342,G$4,'Grid Data'!$Y$4:$Y$2342,$D$2)*100-G28, "--")</f>
        <v>3.3966999999999956</v>
      </c>
      <c r="H60" s="5">
        <f>IF(  H91&gt;$E$2, SUMIFS(IF($G$2="CPR",'Grid Data'!$AH$4:$AH$2342,'Grid Data'!$AI$4:$AI$2342),'Grid Data'!$Z$4:$Z$2342,$D60,'Grid Data'!$AA$4:$AA$2342,H$4,'Grid Data'!$Y$4:$Y$2342,$D$2)*100-H28, "--")</f>
        <v>12.390099999999997</v>
      </c>
      <c r="I60" s="5">
        <f>IF(  I91&gt;$E$2, SUMIFS(IF($G$2="CPR",'Grid Data'!$AH$4:$AH$2342,'Grid Data'!$AI$4:$AI$2342),'Grid Data'!$Z$4:$Z$2342,$D60,'Grid Data'!$AA$4:$AA$2342,I$4,'Grid Data'!$Y$4:$Y$2342,$D$2)*100-I28, "--")</f>
        <v>-4.3051999999999992</v>
      </c>
      <c r="J60" s="5">
        <f>IF(  J91&gt;$E$2, SUMIFS(IF($G$2="CPR",'Grid Data'!$AH$4:$AH$2342,'Grid Data'!$AI$4:$AI$2342),'Grid Data'!$Z$4:$Z$2342,$D60,'Grid Data'!$AA$4:$AA$2342,J$4,'Grid Data'!$Y$4:$Y$2342,$D$2)*100-J28, "--")</f>
        <v>3.0805000000000007</v>
      </c>
      <c r="K60" s="5">
        <f>IF(  K91&gt;$E$2, SUMIFS(IF($G$2="CPR",'Grid Data'!$AH$4:$AH$2342,'Grid Data'!$AI$4:$AI$2342),'Grid Data'!$Z$4:$Z$2342,$D60,'Grid Data'!$AA$4:$AA$2342,K$4,'Grid Data'!$Y$4:$Y$2342,$D$2)*100-K28, "--")</f>
        <v>-1.161999999999999</v>
      </c>
      <c r="L60" s="5">
        <f>IF(  L91&gt;$E$2, SUMIFS(IF($G$2="CPR",'Grid Data'!$AH$4:$AH$2342,'Grid Data'!$AI$4:$AI$2342),'Grid Data'!$Z$4:$Z$2342,$D60,'Grid Data'!$AA$4:$AA$2342,L$4,'Grid Data'!$Y$4:$Y$2342,$D$2)*100-L28, "--")</f>
        <v>-3.7059999999999995</v>
      </c>
      <c r="M60" s="5">
        <f>IF(  M91&gt;$E$2, SUMIFS(IF($G$2="CPR",'Grid Data'!$AH$4:$AH$2342,'Grid Data'!$AI$4:$AI$2342),'Grid Data'!$Z$4:$Z$2342,$D60,'Grid Data'!$AA$4:$AA$2342,M$4,'Grid Data'!$Y$4:$Y$2342,$D$2)*100-M28, "--")</f>
        <v>-5.8510000000000026</v>
      </c>
      <c r="N60" s="5">
        <f>IF(  N91&gt;$E$2, SUMIFS(IF($G$2="CPR",'Grid Data'!$AH$4:$AH$2342,'Grid Data'!$AI$4:$AI$2342),'Grid Data'!$Z$4:$Z$2342,$D60,'Grid Data'!$AA$4:$AA$2342,N$4,'Grid Data'!$Y$4:$Y$2342,$D$2)*100-N28, "--")</f>
        <v>-6.0451999999999977</v>
      </c>
      <c r="O60" s="5">
        <f>IF(  O91&gt;$E$2, SUMIFS(IF($G$2="CPR",'Grid Data'!$AH$4:$AH$2342,'Grid Data'!$AI$4:$AI$2342),'Grid Data'!$Z$4:$Z$2342,$D60,'Grid Data'!$AA$4:$AA$2342,O$4,'Grid Data'!$Y$4:$Y$2342,$D$2)*100-O28, "--")</f>
        <v>-9.1258999999999943</v>
      </c>
      <c r="P60" s="5">
        <f>IF(  P91&gt;$E$2, SUMIFS(IF($G$2="CPR",'Grid Data'!$AH$4:$AH$2342,'Grid Data'!$AI$4:$AI$2342),'Grid Data'!$Z$4:$Z$2342,$D60,'Grid Data'!$AA$4:$AA$2342,P$4,'Grid Data'!$Y$4:$Y$2342,$D$2)*100-P28, "--")</f>
        <v>1.0693999999999981</v>
      </c>
      <c r="Q60" s="5">
        <f>IF(  Q91&gt;$E$2, SUMIFS(IF($G$2="CPR",'Grid Data'!$AH$4:$AH$2342,'Grid Data'!$AI$4:$AI$2342),'Grid Data'!$Z$4:$Z$2342,$D60,'Grid Data'!$AA$4:$AA$2342,Q$4,'Grid Data'!$Y$4:$Y$2342,$D$2)*100-Q28, "--")</f>
        <v>-0.49490000000000123</v>
      </c>
      <c r="R60" s="5">
        <f>IF(  R91&gt;$E$2, SUMIFS(IF($G$2="CPR",'Grid Data'!$AH$4:$AH$2342,'Grid Data'!$AI$4:$AI$2342),'Grid Data'!$Z$4:$Z$2342,$D60,'Grid Data'!$AA$4:$AA$2342,R$4,'Grid Data'!$Y$4:$Y$2342,$D$2)*100-R28, "--")</f>
        <v>-2.6888000000000005</v>
      </c>
      <c r="S60" s="5">
        <f>IF(  S91&gt;$E$2, SUMIFS(IF($G$2="CPR",'Grid Data'!$AH$4:$AH$2342,'Grid Data'!$AI$4:$AI$2342),'Grid Data'!$Z$4:$Z$2342,$D60,'Grid Data'!$AA$4:$AA$2342,S$4,'Grid Data'!$Y$4:$Y$2342,$D$2)*100-S28, "--")</f>
        <v>-0.68639999999999901</v>
      </c>
      <c r="T60" s="5" t="str">
        <f>IF(  T91&gt;$E$2, SUMIFS(IF($G$2="CPR",'Grid Data'!$AH$4:$AH$2342,'Grid Data'!$AI$4:$AI$2342),'Grid Data'!$Z$4:$Z$2342,$D60,'Grid Data'!$AA$4:$AA$2342,T$4,'Grid Data'!$Y$4:$Y$2342,$D$2)*100-T28, "--")</f>
        <v>--</v>
      </c>
      <c r="U60" s="5" t="str">
        <f>IF(  U91&gt;$E$2, SUMIFS(IF($G$2="CPR",'Grid Data'!$AH$4:$AH$2342,'Grid Data'!$AI$4:$AI$2342),'Grid Data'!$Z$4:$Z$2342,$D60,'Grid Data'!$AA$4:$AA$2342,U$4,'Grid Data'!$Y$4:$Y$2342,$D$2)*100-U28, "--")</f>
        <v>--</v>
      </c>
      <c r="V60" s="5" t="str">
        <f>IF(  V91&gt;$E$2, SUMIFS(IF($G$2="CPR",'Grid Data'!$AH$4:$AH$2342,'Grid Data'!$AI$4:$AI$2342),'Grid Data'!$Z$4:$Z$2342,$D60,'Grid Data'!$AA$4:$AA$2342,V$4,'Grid Data'!$Y$4:$Y$2342,$D$2)*100-V28, "--")</f>
        <v>--</v>
      </c>
      <c r="W60" s="5" t="str">
        <f>IF(  W91&gt;$E$2, SUMIFS(IF($G$2="CPR",'Grid Data'!$AH$4:$AH$2342,'Grid Data'!$AI$4:$AI$2342),'Grid Data'!$Z$4:$Z$2342,$D60,'Grid Data'!$AA$4:$AA$2342,W$4,'Grid Data'!$Y$4:$Y$2342,$D$2)*100-W28, "--")</f>
        <v>--</v>
      </c>
      <c r="X60" s="5" t="str">
        <f>IF(  X91&gt;$E$2, SUMIFS(IF($G$2="CPR",'Grid Data'!$AH$4:$AH$2342,'Grid Data'!$AI$4:$AI$2342),'Grid Data'!$Z$4:$Z$2342,$D60,'Grid Data'!$AA$4:$AA$2342,X$4,'Grid Data'!$Y$4:$Y$2342,$D$2)*100-X28, "--")</f>
        <v>--</v>
      </c>
      <c r="Y60" s="5" t="str">
        <f>IF(  Y91&gt;$E$2, SUMIFS(IF($G$2="CPR",'Grid Data'!$AH$4:$AH$2342,'Grid Data'!$AI$4:$AI$2342),'Grid Data'!$Z$4:$Z$2342,$D60,'Grid Data'!$AA$4:$AA$2342,Y$4,'Grid Data'!$Y$4:$Y$2342,$D$2)*100-Y28, "--")</f>
        <v>--</v>
      </c>
      <c r="Z60" s="5" t="str">
        <f>IF(  Z91&gt;$E$2, SUMIFS(IF($G$2="CPR",'Grid Data'!$AH$4:$AH$2342,'Grid Data'!$AI$4:$AI$2342),'Grid Data'!$Z$4:$Z$2342,$D60,'Grid Data'!$AA$4:$AA$2342,Z$4,'Grid Data'!$Y$4:$Y$2342,$D$2)*100-Z28, "--")</f>
        <v>--</v>
      </c>
      <c r="AA60" s="5" t="str">
        <f>IF(  AA91&gt;$E$2, SUMIFS(IF($G$2="CPR",'Grid Data'!$AH$4:$AH$2342,'Grid Data'!$AI$4:$AI$2342),'Grid Data'!$Z$4:$Z$2342,$D60,'Grid Data'!$AA$4:$AA$2342,AA$4,'Grid Data'!$Y$4:$Y$2342,$D$2)*100-AA28, "--")</f>
        <v>--</v>
      </c>
      <c r="AB60" s="5" t="str">
        <f>IF(  AB91&gt;$E$2, SUMIFS(IF($G$2="CPR",'Grid Data'!$AH$4:$AH$2342,'Grid Data'!$AI$4:$AI$2342),'Grid Data'!$Z$4:$Z$2342,$D60,'Grid Data'!$AA$4:$AA$2342,AB$4,'Grid Data'!$Y$4:$Y$2342,$D$2)*100-AB28, "--")</f>
        <v>--</v>
      </c>
      <c r="AC60" s="5" t="str">
        <f>IF(  AC91&gt;$E$2, SUMIFS(IF($G$2="CPR",'Grid Data'!$AH$4:$AH$2342,'Grid Data'!$AI$4:$AI$2342),'Grid Data'!$Z$4:$Z$2342,$D60,'Grid Data'!$AA$4:$AA$2342,AC$4,'Grid Data'!$Y$4:$Y$2342,$D$2)*100-AC28, "--")</f>
        <v>--</v>
      </c>
      <c r="AD60" s="5" t="str">
        <f>IF(  AD91&gt;$E$2, SUMIFS(IF($G$2="CPR",'Grid Data'!$AH$4:$AH$2342,'Grid Data'!$AI$4:$AI$2342),'Grid Data'!$Z$4:$Z$2342,$D60,'Grid Data'!$AA$4:$AA$2342,AD$4,'Grid Data'!$Y$4:$Y$2342,$D$2)*100-AD28, "--")</f>
        <v>--</v>
      </c>
      <c r="AE60" s="5" t="str">
        <f>IF(  AE91&gt;$E$2, SUMIFS(IF($G$2="CPR",'Grid Data'!$AH$4:$AH$2342,'Grid Data'!$AI$4:$AI$2342),'Grid Data'!$Z$4:$Z$2342,$D60,'Grid Data'!$AA$4:$AA$2342,AE$4,'Grid Data'!$Y$4:$Y$2342,$D$2)*100-AE28, "--")</f>
        <v>--</v>
      </c>
      <c r="AF60" s="5" t="str">
        <f>IF(  AF91&gt;$E$2, SUMIFS(IF($G$2="CPR",'Grid Data'!$AH$4:$AH$2342,'Grid Data'!$AI$4:$AI$2342),'Grid Data'!$Z$4:$Z$2342,$D60,'Grid Data'!$AA$4:$AA$2342,AF$4,'Grid Data'!$Y$4:$Y$2342,$D$2)*100-AF28, "--")</f>
        <v>--</v>
      </c>
      <c r="AG60" s="5">
        <f>IF(  AG91&gt;$E$2, SUMIFS(IF($G$2="CPR",'Grid Data'!$AH$4:$AH$2342,'Grid Data'!$AI$4:$AI$2342),'Grid Data'!$Z$4:$Z$2342,$D60,'Grid Data'!$AA$4:$AA$2342,AG$4,'Grid Data'!$Y$4:$Y$2342,$D$2)*100-AG28, "--")</f>
        <v>4.3387999999999991</v>
      </c>
      <c r="AH60" s="5">
        <f>IF(  AH91&gt;$E$2, SUMIFS(IF($G$2="CPR",'Grid Data'!$AH$4:$AH$2342,'Grid Data'!$AI$4:$AI$2342),'Grid Data'!$Z$4:$Z$2342,$D60,'Grid Data'!$AA$4:$AA$2342,AH$4,'Grid Data'!$Y$4:$Y$2342,$D$2)*100-AH28, "--")</f>
        <v>13.792099999999998</v>
      </c>
    </row>
    <row r="61" spans="4:34" x14ac:dyDescent="0.35">
      <c r="D61">
        <v>8000</v>
      </c>
      <c r="E61" s="5">
        <f>IF(  E92&gt;$E$2, SUMIFS(IF($G$2="CPR",'Grid Data'!$AH$4:$AH$2342,'Grid Data'!$AI$4:$AI$2342),'Grid Data'!$Z$4:$Z$2342,$D61,'Grid Data'!$AA$4:$AA$2342,E$4,'Grid Data'!$Y$4:$Y$2342,$D$2)*100-E29, "--")</f>
        <v>-1.9232</v>
      </c>
      <c r="F61" s="5">
        <f>IF(  F92&gt;$E$2, SUMIFS(IF($G$2="CPR",'Grid Data'!$AH$4:$AH$2342,'Grid Data'!$AI$4:$AI$2342),'Grid Data'!$Z$4:$Z$2342,$D61,'Grid Data'!$AA$4:$AA$2342,F$4,'Grid Data'!$Y$4:$Y$2342,$D$2)*100-F29, "--")</f>
        <v>-23.9239</v>
      </c>
      <c r="G61" s="5">
        <f>IF(  G92&gt;$E$2, SUMIFS(IF($G$2="CPR",'Grid Data'!$AH$4:$AH$2342,'Grid Data'!$AI$4:$AI$2342),'Grid Data'!$Z$4:$Z$2342,$D61,'Grid Data'!$AA$4:$AA$2342,G$4,'Grid Data'!$Y$4:$Y$2342,$D$2)*100-G29, "--")</f>
        <v>-43.611899999999999</v>
      </c>
      <c r="H61" s="5" t="str">
        <f>IF(  H92&gt;$E$2, SUMIFS(IF($G$2="CPR",'Grid Data'!$AH$4:$AH$2342,'Grid Data'!$AI$4:$AI$2342),'Grid Data'!$Z$4:$Z$2342,$D61,'Grid Data'!$AA$4:$AA$2342,H$4,'Grid Data'!$Y$4:$Y$2342,$D$2)*100-H29, "--")</f>
        <v>--</v>
      </c>
      <c r="I61" s="5" t="str">
        <f>IF(  I92&gt;$E$2, SUMIFS(IF($G$2="CPR",'Grid Data'!$AH$4:$AH$2342,'Grid Data'!$AI$4:$AI$2342),'Grid Data'!$Z$4:$Z$2342,$D61,'Grid Data'!$AA$4:$AA$2342,I$4,'Grid Data'!$Y$4:$Y$2342,$D$2)*100-I29, "--")</f>
        <v>--</v>
      </c>
      <c r="J61" s="5" t="str">
        <f>IF(  J92&gt;$E$2, SUMIFS(IF($G$2="CPR",'Grid Data'!$AH$4:$AH$2342,'Grid Data'!$AI$4:$AI$2342),'Grid Data'!$Z$4:$Z$2342,$D61,'Grid Data'!$AA$4:$AA$2342,J$4,'Grid Data'!$Y$4:$Y$2342,$D$2)*100-J29, "--")</f>
        <v>--</v>
      </c>
      <c r="K61" s="5">
        <f>IF(  K92&gt;$E$2, SUMIFS(IF($G$2="CPR",'Grid Data'!$AH$4:$AH$2342,'Grid Data'!$AI$4:$AI$2342),'Grid Data'!$Z$4:$Z$2342,$D61,'Grid Data'!$AA$4:$AA$2342,K$4,'Grid Data'!$Y$4:$Y$2342,$D$2)*100-K29, "--")</f>
        <v>14.359200000000001</v>
      </c>
      <c r="L61" s="5">
        <f>IF(  L92&gt;$E$2, SUMIFS(IF($G$2="CPR",'Grid Data'!$AH$4:$AH$2342,'Grid Data'!$AI$4:$AI$2342),'Grid Data'!$Z$4:$Z$2342,$D61,'Grid Data'!$AA$4:$AA$2342,L$4,'Grid Data'!$Y$4:$Y$2342,$D$2)*100-L29, "--")</f>
        <v>-21.531100000000006</v>
      </c>
      <c r="M61" s="5">
        <f>IF(  M92&gt;$E$2, SUMIFS(IF($G$2="CPR",'Grid Data'!$AH$4:$AH$2342,'Grid Data'!$AI$4:$AI$2342),'Grid Data'!$Z$4:$Z$2342,$D61,'Grid Data'!$AA$4:$AA$2342,M$4,'Grid Data'!$Y$4:$Y$2342,$D$2)*100-M29, "--")</f>
        <v>-7.7064999999999984</v>
      </c>
      <c r="N61" s="5">
        <f>IF(  N92&gt;$E$2, SUMIFS(IF($G$2="CPR",'Grid Data'!$AH$4:$AH$2342,'Grid Data'!$AI$4:$AI$2342),'Grid Data'!$Z$4:$Z$2342,$D61,'Grid Data'!$AA$4:$AA$2342,N$4,'Grid Data'!$Y$4:$Y$2342,$D$2)*100-N29, "--")</f>
        <v>-11.716600000000003</v>
      </c>
      <c r="O61" s="5">
        <f>IF(  O92&gt;$E$2, SUMIFS(IF($G$2="CPR",'Grid Data'!$AH$4:$AH$2342,'Grid Data'!$AI$4:$AI$2342),'Grid Data'!$Z$4:$Z$2342,$D61,'Grid Data'!$AA$4:$AA$2342,O$4,'Grid Data'!$Y$4:$Y$2342,$D$2)*100-O29, "--")</f>
        <v>-0.14649999999999963</v>
      </c>
      <c r="P61" s="5">
        <f>IF(  P92&gt;$E$2, SUMIFS(IF($G$2="CPR",'Grid Data'!$AH$4:$AH$2342,'Grid Data'!$AI$4:$AI$2342),'Grid Data'!$Z$4:$Z$2342,$D61,'Grid Data'!$AA$4:$AA$2342,P$4,'Grid Data'!$Y$4:$Y$2342,$D$2)*100-P29, "--")</f>
        <v>-9.5493000000000023</v>
      </c>
      <c r="Q61" s="5">
        <f>IF(  Q92&gt;$E$2, SUMIFS(IF($G$2="CPR",'Grid Data'!$AH$4:$AH$2342,'Grid Data'!$AI$4:$AI$2342),'Grid Data'!$Z$4:$Z$2342,$D61,'Grid Data'!$AA$4:$AA$2342,Q$4,'Grid Data'!$Y$4:$Y$2342,$D$2)*100-Q29, "--")</f>
        <v>-7.1794000000000011</v>
      </c>
      <c r="R61" s="5">
        <f>IF(  R92&gt;$E$2, SUMIFS(IF($G$2="CPR",'Grid Data'!$AH$4:$AH$2342,'Grid Data'!$AI$4:$AI$2342),'Grid Data'!$Z$4:$Z$2342,$D61,'Grid Data'!$AA$4:$AA$2342,R$4,'Grid Data'!$Y$4:$Y$2342,$D$2)*100-R29, "--")</f>
        <v>-18.472300000000001</v>
      </c>
      <c r="S61" s="5" t="str">
        <f>IF(  S92&gt;$E$2, SUMIFS(IF($G$2="CPR",'Grid Data'!$AH$4:$AH$2342,'Grid Data'!$AI$4:$AI$2342),'Grid Data'!$Z$4:$Z$2342,$D61,'Grid Data'!$AA$4:$AA$2342,S$4,'Grid Data'!$Y$4:$Y$2342,$D$2)*100-S29, "--")</f>
        <v>--</v>
      </c>
      <c r="T61" s="5" t="str">
        <f>IF(  T92&gt;$E$2, SUMIFS(IF($G$2="CPR",'Grid Data'!$AH$4:$AH$2342,'Grid Data'!$AI$4:$AI$2342),'Grid Data'!$Z$4:$Z$2342,$D61,'Grid Data'!$AA$4:$AA$2342,T$4,'Grid Data'!$Y$4:$Y$2342,$D$2)*100-T29, "--")</f>
        <v>--</v>
      </c>
      <c r="U61" s="5" t="str">
        <f>IF(  U92&gt;$E$2, SUMIFS(IF($G$2="CPR",'Grid Data'!$AH$4:$AH$2342,'Grid Data'!$AI$4:$AI$2342),'Grid Data'!$Z$4:$Z$2342,$D61,'Grid Data'!$AA$4:$AA$2342,U$4,'Grid Data'!$Y$4:$Y$2342,$D$2)*100-U29, "--")</f>
        <v>--</v>
      </c>
      <c r="V61" s="5" t="str">
        <f>IF(  V92&gt;$E$2, SUMIFS(IF($G$2="CPR",'Grid Data'!$AH$4:$AH$2342,'Grid Data'!$AI$4:$AI$2342),'Grid Data'!$Z$4:$Z$2342,$D61,'Grid Data'!$AA$4:$AA$2342,V$4,'Grid Data'!$Y$4:$Y$2342,$D$2)*100-V29, "--")</f>
        <v>--</v>
      </c>
      <c r="W61" s="5" t="str">
        <f>IF(  W92&gt;$E$2, SUMIFS(IF($G$2="CPR",'Grid Data'!$AH$4:$AH$2342,'Grid Data'!$AI$4:$AI$2342),'Grid Data'!$Z$4:$Z$2342,$D61,'Grid Data'!$AA$4:$AA$2342,W$4,'Grid Data'!$Y$4:$Y$2342,$D$2)*100-W29, "--")</f>
        <v>--</v>
      </c>
      <c r="X61" s="5" t="str">
        <f>IF(  X92&gt;$E$2, SUMIFS(IF($G$2="CPR",'Grid Data'!$AH$4:$AH$2342,'Grid Data'!$AI$4:$AI$2342),'Grid Data'!$Z$4:$Z$2342,$D61,'Grid Data'!$AA$4:$AA$2342,X$4,'Grid Data'!$Y$4:$Y$2342,$D$2)*100-X29, "--")</f>
        <v>--</v>
      </c>
      <c r="Y61" s="5" t="str">
        <f>IF(  Y92&gt;$E$2, SUMIFS(IF($G$2="CPR",'Grid Data'!$AH$4:$AH$2342,'Grid Data'!$AI$4:$AI$2342),'Grid Data'!$Z$4:$Z$2342,$D61,'Grid Data'!$AA$4:$AA$2342,Y$4,'Grid Data'!$Y$4:$Y$2342,$D$2)*100-Y29, "--")</f>
        <v>--</v>
      </c>
      <c r="Z61" s="5" t="str">
        <f>IF(  Z92&gt;$E$2, SUMIFS(IF($G$2="CPR",'Grid Data'!$AH$4:$AH$2342,'Grid Data'!$AI$4:$AI$2342),'Grid Data'!$Z$4:$Z$2342,$D61,'Grid Data'!$AA$4:$AA$2342,Z$4,'Grid Data'!$Y$4:$Y$2342,$D$2)*100-Z29, "--")</f>
        <v>--</v>
      </c>
      <c r="AA61" s="5" t="str">
        <f>IF(  AA92&gt;$E$2, SUMIFS(IF($G$2="CPR",'Grid Data'!$AH$4:$AH$2342,'Grid Data'!$AI$4:$AI$2342),'Grid Data'!$Z$4:$Z$2342,$D61,'Grid Data'!$AA$4:$AA$2342,AA$4,'Grid Data'!$Y$4:$Y$2342,$D$2)*100-AA29, "--")</f>
        <v>--</v>
      </c>
      <c r="AB61" s="5" t="str">
        <f>IF(  AB92&gt;$E$2, SUMIFS(IF($G$2="CPR",'Grid Data'!$AH$4:$AH$2342,'Grid Data'!$AI$4:$AI$2342),'Grid Data'!$Z$4:$Z$2342,$D61,'Grid Data'!$AA$4:$AA$2342,AB$4,'Grid Data'!$Y$4:$Y$2342,$D$2)*100-AB29, "--")</f>
        <v>--</v>
      </c>
      <c r="AC61" s="5" t="str">
        <f>IF(  AC92&gt;$E$2, SUMIFS(IF($G$2="CPR",'Grid Data'!$AH$4:$AH$2342,'Grid Data'!$AI$4:$AI$2342),'Grid Data'!$Z$4:$Z$2342,$D61,'Grid Data'!$AA$4:$AA$2342,AC$4,'Grid Data'!$Y$4:$Y$2342,$D$2)*100-AC29, "--")</f>
        <v>--</v>
      </c>
      <c r="AD61" s="5" t="str">
        <f>IF(  AD92&gt;$E$2, SUMIFS(IF($G$2="CPR",'Grid Data'!$AH$4:$AH$2342,'Grid Data'!$AI$4:$AI$2342),'Grid Data'!$Z$4:$Z$2342,$D61,'Grid Data'!$AA$4:$AA$2342,AD$4,'Grid Data'!$Y$4:$Y$2342,$D$2)*100-AD29, "--")</f>
        <v>--</v>
      </c>
      <c r="AE61" s="5" t="str">
        <f>IF(  AE92&gt;$E$2, SUMIFS(IF($G$2="CPR",'Grid Data'!$AH$4:$AH$2342,'Grid Data'!$AI$4:$AI$2342),'Grid Data'!$Z$4:$Z$2342,$D61,'Grid Data'!$AA$4:$AA$2342,AE$4,'Grid Data'!$Y$4:$Y$2342,$D$2)*100-AE29, "--")</f>
        <v>--</v>
      </c>
      <c r="AF61" s="5" t="str">
        <f>IF(  AF92&gt;$E$2, SUMIFS(IF($G$2="CPR",'Grid Data'!$AH$4:$AH$2342,'Grid Data'!$AI$4:$AI$2342),'Grid Data'!$Z$4:$Z$2342,$D61,'Grid Data'!$AA$4:$AA$2342,AF$4,'Grid Data'!$Y$4:$Y$2342,$D$2)*100-AF29, "--")</f>
        <v>--</v>
      </c>
      <c r="AG61" s="5">
        <f>IF(  AG92&gt;$E$2, SUMIFS(IF($G$2="CPR",'Grid Data'!$AH$4:$AH$2342,'Grid Data'!$AI$4:$AI$2342),'Grid Data'!$Z$4:$Z$2342,$D61,'Grid Data'!$AA$4:$AA$2342,AG$4,'Grid Data'!$Y$4:$Y$2342,$D$2)*100-AG29, "--")</f>
        <v>2.8611000000000004</v>
      </c>
      <c r="AH61" s="5">
        <f>IF(  AH92&gt;$E$2, SUMIFS(IF($G$2="CPR",'Grid Data'!$AH$4:$AH$2342,'Grid Data'!$AI$4:$AI$2342),'Grid Data'!$Z$4:$Z$2342,$D61,'Grid Data'!$AA$4:$AA$2342,AH$4,'Grid Data'!$Y$4:$Y$2342,$D$2)*100-AH29, "--")</f>
        <v>13.8522</v>
      </c>
    </row>
    <row r="62" spans="4:34" x14ac:dyDescent="0.35">
      <c r="D62">
        <v>8250</v>
      </c>
      <c r="E62" s="5">
        <f>IF(  E93&gt;$E$2, SUMIFS(IF($G$2="CPR",'Grid Data'!$AH$4:$AH$2342,'Grid Data'!$AI$4:$AI$2342),'Grid Data'!$Z$4:$Z$2342,$D62,'Grid Data'!$AA$4:$AA$2342,E$4,'Grid Data'!$Y$4:$Y$2342,$D$2)*100-E30, "--")</f>
        <v>-0.878</v>
      </c>
      <c r="F62" s="5">
        <f>IF(  F93&gt;$E$2, SUMIFS(IF($G$2="CPR",'Grid Data'!$AH$4:$AH$2342,'Grid Data'!$AI$4:$AI$2342),'Grid Data'!$Z$4:$Z$2342,$D62,'Grid Data'!$AA$4:$AA$2342,F$4,'Grid Data'!$Y$4:$Y$2342,$D$2)*100-F30, "--")</f>
        <v>-31.725399999999997</v>
      </c>
      <c r="G62" s="5" t="str">
        <f>IF(  G93&gt;$E$2, SUMIFS(IF($G$2="CPR",'Grid Data'!$AH$4:$AH$2342,'Grid Data'!$AI$4:$AI$2342),'Grid Data'!$Z$4:$Z$2342,$D62,'Grid Data'!$AA$4:$AA$2342,G$4,'Grid Data'!$Y$4:$Y$2342,$D$2)*100-G30, "--")</f>
        <v>--</v>
      </c>
      <c r="H62" s="5" t="str">
        <f>IF(  H93&gt;$E$2, SUMIFS(IF($G$2="CPR",'Grid Data'!$AH$4:$AH$2342,'Grid Data'!$AI$4:$AI$2342),'Grid Data'!$Z$4:$Z$2342,$D62,'Grid Data'!$AA$4:$AA$2342,H$4,'Grid Data'!$Y$4:$Y$2342,$D$2)*100-H30, "--")</f>
        <v>--</v>
      </c>
      <c r="I62" s="5" t="str">
        <f>IF(  I93&gt;$E$2, SUMIFS(IF($G$2="CPR",'Grid Data'!$AH$4:$AH$2342,'Grid Data'!$AI$4:$AI$2342),'Grid Data'!$Z$4:$Z$2342,$D62,'Grid Data'!$AA$4:$AA$2342,I$4,'Grid Data'!$Y$4:$Y$2342,$D$2)*100-I30, "--")</f>
        <v>--</v>
      </c>
      <c r="J62" s="5">
        <f>IF(  J93&gt;$E$2, SUMIFS(IF($G$2="CPR",'Grid Data'!$AH$4:$AH$2342,'Grid Data'!$AI$4:$AI$2342),'Grid Data'!$Z$4:$Z$2342,$D62,'Grid Data'!$AA$4:$AA$2342,J$4,'Grid Data'!$Y$4:$Y$2342,$D$2)*100-J30, "--")</f>
        <v>-1.7842999999999982</v>
      </c>
      <c r="K62" s="5">
        <f>IF(  K93&gt;$E$2, SUMIFS(IF($G$2="CPR",'Grid Data'!$AH$4:$AH$2342,'Grid Data'!$AI$4:$AI$2342),'Grid Data'!$Z$4:$Z$2342,$D62,'Grid Data'!$AA$4:$AA$2342,K$4,'Grid Data'!$Y$4:$Y$2342,$D$2)*100-K30, "--")</f>
        <v>9.9999999999766942E-4</v>
      </c>
      <c r="L62" s="5">
        <f>IF(  L93&gt;$E$2, SUMIFS(IF($G$2="CPR",'Grid Data'!$AH$4:$AH$2342,'Grid Data'!$AI$4:$AI$2342),'Grid Data'!$Z$4:$Z$2342,$D62,'Grid Data'!$AA$4:$AA$2342,L$4,'Grid Data'!$Y$4:$Y$2342,$D$2)*100-L30, "--")</f>
        <v>-11.0097</v>
      </c>
      <c r="M62" s="5">
        <f>IF(  M93&gt;$E$2, SUMIFS(IF($G$2="CPR",'Grid Data'!$AH$4:$AH$2342,'Grid Data'!$AI$4:$AI$2342),'Grid Data'!$Z$4:$Z$2342,$D62,'Grid Data'!$AA$4:$AA$2342,M$4,'Grid Data'!$Y$4:$Y$2342,$D$2)*100-M30, "--")</f>
        <v>-2.2227000000000032</v>
      </c>
      <c r="N62" s="5">
        <f>IF(  N93&gt;$E$2, SUMIFS(IF($G$2="CPR",'Grid Data'!$AH$4:$AH$2342,'Grid Data'!$AI$4:$AI$2342),'Grid Data'!$Z$4:$Z$2342,$D62,'Grid Data'!$AA$4:$AA$2342,N$4,'Grid Data'!$Y$4:$Y$2342,$D$2)*100-N30, "--")</f>
        <v>-1.3637000000000015</v>
      </c>
      <c r="O62" s="5">
        <f>IF(  O93&gt;$E$2, SUMIFS(IF($G$2="CPR",'Grid Data'!$AH$4:$AH$2342,'Grid Data'!$AI$4:$AI$2342),'Grid Data'!$Z$4:$Z$2342,$D62,'Grid Data'!$AA$4:$AA$2342,O$4,'Grid Data'!$Y$4:$Y$2342,$D$2)*100-O30, "--")</f>
        <v>-9.1501000000000019</v>
      </c>
      <c r="P62" s="5">
        <f>IF(  P93&gt;$E$2, SUMIFS(IF($G$2="CPR",'Grid Data'!$AH$4:$AH$2342,'Grid Data'!$AI$4:$AI$2342),'Grid Data'!$Z$4:$Z$2342,$D62,'Grid Data'!$AA$4:$AA$2342,P$4,'Grid Data'!$Y$4:$Y$2342,$D$2)*100-P30, "--")</f>
        <v>-7.4882999999999988</v>
      </c>
      <c r="Q62" s="5">
        <f>IF(  Q93&gt;$E$2, SUMIFS(IF($G$2="CPR",'Grid Data'!$AH$4:$AH$2342,'Grid Data'!$AI$4:$AI$2342),'Grid Data'!$Z$4:$Z$2342,$D62,'Grid Data'!$AA$4:$AA$2342,Q$4,'Grid Data'!$Y$4:$Y$2342,$D$2)*100-Q30, "--")</f>
        <v>-9.5841999999999992</v>
      </c>
      <c r="R62" s="5" t="str">
        <f>IF(  R93&gt;$E$2, SUMIFS(IF($G$2="CPR",'Grid Data'!$AH$4:$AH$2342,'Grid Data'!$AI$4:$AI$2342),'Grid Data'!$Z$4:$Z$2342,$D62,'Grid Data'!$AA$4:$AA$2342,R$4,'Grid Data'!$Y$4:$Y$2342,$D$2)*100-R30, "--")</f>
        <v>--</v>
      </c>
      <c r="S62" s="5" t="str">
        <f>IF(  S93&gt;$E$2, SUMIFS(IF($G$2="CPR",'Grid Data'!$AH$4:$AH$2342,'Grid Data'!$AI$4:$AI$2342),'Grid Data'!$Z$4:$Z$2342,$D62,'Grid Data'!$AA$4:$AA$2342,S$4,'Grid Data'!$Y$4:$Y$2342,$D$2)*100-S30, "--")</f>
        <v>--</v>
      </c>
      <c r="T62" s="5" t="str">
        <f>IF(  T93&gt;$E$2, SUMIFS(IF($G$2="CPR",'Grid Data'!$AH$4:$AH$2342,'Grid Data'!$AI$4:$AI$2342),'Grid Data'!$Z$4:$Z$2342,$D62,'Grid Data'!$AA$4:$AA$2342,T$4,'Grid Data'!$Y$4:$Y$2342,$D$2)*100-T30, "--")</f>
        <v>--</v>
      </c>
      <c r="U62" s="5" t="str">
        <f>IF(  U93&gt;$E$2, SUMIFS(IF($G$2="CPR",'Grid Data'!$AH$4:$AH$2342,'Grid Data'!$AI$4:$AI$2342),'Grid Data'!$Z$4:$Z$2342,$D62,'Grid Data'!$AA$4:$AA$2342,U$4,'Grid Data'!$Y$4:$Y$2342,$D$2)*100-U30, "--")</f>
        <v>--</v>
      </c>
      <c r="V62" s="5" t="str">
        <f>IF(  V93&gt;$E$2, SUMIFS(IF($G$2="CPR",'Grid Data'!$AH$4:$AH$2342,'Grid Data'!$AI$4:$AI$2342),'Grid Data'!$Z$4:$Z$2342,$D62,'Grid Data'!$AA$4:$AA$2342,V$4,'Grid Data'!$Y$4:$Y$2342,$D$2)*100-V30, "--")</f>
        <v>--</v>
      </c>
      <c r="W62" s="5" t="str">
        <f>IF(  W93&gt;$E$2, SUMIFS(IF($G$2="CPR",'Grid Data'!$AH$4:$AH$2342,'Grid Data'!$AI$4:$AI$2342),'Grid Data'!$Z$4:$Z$2342,$D62,'Grid Data'!$AA$4:$AA$2342,W$4,'Grid Data'!$Y$4:$Y$2342,$D$2)*100-W30, "--")</f>
        <v>--</v>
      </c>
      <c r="X62" s="5" t="str">
        <f>IF(  X93&gt;$E$2, SUMIFS(IF($G$2="CPR",'Grid Data'!$AH$4:$AH$2342,'Grid Data'!$AI$4:$AI$2342),'Grid Data'!$Z$4:$Z$2342,$D62,'Grid Data'!$AA$4:$AA$2342,X$4,'Grid Data'!$Y$4:$Y$2342,$D$2)*100-X30, "--")</f>
        <v>--</v>
      </c>
      <c r="Y62" s="5" t="str">
        <f>IF(  Y93&gt;$E$2, SUMIFS(IF($G$2="CPR",'Grid Data'!$AH$4:$AH$2342,'Grid Data'!$AI$4:$AI$2342),'Grid Data'!$Z$4:$Z$2342,$D62,'Grid Data'!$AA$4:$AA$2342,Y$4,'Grid Data'!$Y$4:$Y$2342,$D$2)*100-Y30, "--")</f>
        <v>--</v>
      </c>
      <c r="Z62" s="5" t="str">
        <f>IF(  Z93&gt;$E$2, SUMIFS(IF($G$2="CPR",'Grid Data'!$AH$4:$AH$2342,'Grid Data'!$AI$4:$AI$2342),'Grid Data'!$Z$4:$Z$2342,$D62,'Grid Data'!$AA$4:$AA$2342,Z$4,'Grid Data'!$Y$4:$Y$2342,$D$2)*100-Z30, "--")</f>
        <v>--</v>
      </c>
      <c r="AA62" s="5" t="str">
        <f>IF(  AA93&gt;$E$2, SUMIFS(IF($G$2="CPR",'Grid Data'!$AH$4:$AH$2342,'Grid Data'!$AI$4:$AI$2342),'Grid Data'!$Z$4:$Z$2342,$D62,'Grid Data'!$AA$4:$AA$2342,AA$4,'Grid Data'!$Y$4:$Y$2342,$D$2)*100-AA30, "--")</f>
        <v>--</v>
      </c>
      <c r="AB62" s="5" t="str">
        <f>IF(  AB93&gt;$E$2, SUMIFS(IF($G$2="CPR",'Grid Data'!$AH$4:$AH$2342,'Grid Data'!$AI$4:$AI$2342),'Grid Data'!$Z$4:$Z$2342,$D62,'Grid Data'!$AA$4:$AA$2342,AB$4,'Grid Data'!$Y$4:$Y$2342,$D$2)*100-AB30, "--")</f>
        <v>--</v>
      </c>
      <c r="AC62" s="5" t="str">
        <f>IF(  AC93&gt;$E$2, SUMIFS(IF($G$2="CPR",'Grid Data'!$AH$4:$AH$2342,'Grid Data'!$AI$4:$AI$2342),'Grid Data'!$Z$4:$Z$2342,$D62,'Grid Data'!$AA$4:$AA$2342,AC$4,'Grid Data'!$Y$4:$Y$2342,$D$2)*100-AC30, "--")</f>
        <v>--</v>
      </c>
      <c r="AD62" s="5" t="str">
        <f>IF(  AD93&gt;$E$2, SUMIFS(IF($G$2="CPR",'Grid Data'!$AH$4:$AH$2342,'Grid Data'!$AI$4:$AI$2342),'Grid Data'!$Z$4:$Z$2342,$D62,'Grid Data'!$AA$4:$AA$2342,AD$4,'Grid Data'!$Y$4:$Y$2342,$D$2)*100-AD30, "--")</f>
        <v>--</v>
      </c>
      <c r="AE62" s="5" t="str">
        <f>IF(  AE93&gt;$E$2, SUMIFS(IF($G$2="CPR",'Grid Data'!$AH$4:$AH$2342,'Grid Data'!$AI$4:$AI$2342),'Grid Data'!$Z$4:$Z$2342,$D62,'Grid Data'!$AA$4:$AA$2342,AE$4,'Grid Data'!$Y$4:$Y$2342,$D$2)*100-AE30, "--")</f>
        <v>--</v>
      </c>
      <c r="AF62" s="5" t="str">
        <f>IF(  AF93&gt;$E$2, SUMIFS(IF($G$2="CPR",'Grid Data'!$AH$4:$AH$2342,'Grid Data'!$AI$4:$AI$2342),'Grid Data'!$Z$4:$Z$2342,$D62,'Grid Data'!$AA$4:$AA$2342,AF$4,'Grid Data'!$Y$4:$Y$2342,$D$2)*100-AF30, "--")</f>
        <v>--</v>
      </c>
      <c r="AG62" s="5">
        <f>IF(  AG93&gt;$E$2, SUMIFS(IF($G$2="CPR",'Grid Data'!$AH$4:$AH$2342,'Grid Data'!$AI$4:$AI$2342),'Grid Data'!$Z$4:$Z$2342,$D62,'Grid Data'!$AA$4:$AA$2342,AG$4,'Grid Data'!$Y$4:$Y$2342,$D$2)*100-AG30, "--")</f>
        <v>1.0064999999999991</v>
      </c>
      <c r="AH62" s="5">
        <f>IF(  AH93&gt;$E$2, SUMIFS(IF($G$2="CPR",'Grid Data'!$AH$4:$AH$2342,'Grid Data'!$AI$4:$AI$2342),'Grid Data'!$Z$4:$Z$2342,$D62,'Grid Data'!$AA$4:$AA$2342,AH$4,'Grid Data'!$Y$4:$Y$2342,$D$2)*100-AH30, "--")</f>
        <v>12.193099999999999</v>
      </c>
    </row>
    <row r="63" spans="4:34" x14ac:dyDescent="0.35">
      <c r="D63">
        <v>8500</v>
      </c>
      <c r="E63" s="5" t="str">
        <f>IF(  E94&gt;$E$2, SUMIFS(IF($G$2="CPR",'Grid Data'!$AH$4:$AH$2342,'Grid Data'!$AI$4:$AI$2342),'Grid Data'!$Z$4:$Z$2342,$D63,'Grid Data'!$AA$4:$AA$2342,E$4,'Grid Data'!$Y$4:$Y$2342,$D$2)*100-E31, "--")</f>
        <v>--</v>
      </c>
      <c r="F63" s="5" t="str">
        <f>IF(  F94&gt;$E$2, SUMIFS(IF($G$2="CPR",'Grid Data'!$AH$4:$AH$2342,'Grid Data'!$AI$4:$AI$2342),'Grid Data'!$Z$4:$Z$2342,$D63,'Grid Data'!$AA$4:$AA$2342,F$4,'Grid Data'!$Y$4:$Y$2342,$D$2)*100-F31, "--")</f>
        <v>--</v>
      </c>
      <c r="G63" s="5" t="str">
        <f>IF(  G94&gt;$E$2, SUMIFS(IF($G$2="CPR",'Grid Data'!$AH$4:$AH$2342,'Grid Data'!$AI$4:$AI$2342),'Grid Data'!$Z$4:$Z$2342,$D63,'Grid Data'!$AA$4:$AA$2342,G$4,'Grid Data'!$Y$4:$Y$2342,$D$2)*100-G31, "--")</f>
        <v>--</v>
      </c>
      <c r="H63" s="5" t="str">
        <f>IF(  H94&gt;$E$2, SUMIFS(IF($G$2="CPR",'Grid Data'!$AH$4:$AH$2342,'Grid Data'!$AI$4:$AI$2342),'Grid Data'!$Z$4:$Z$2342,$D63,'Grid Data'!$AA$4:$AA$2342,H$4,'Grid Data'!$Y$4:$Y$2342,$D$2)*100-H31, "--")</f>
        <v>--</v>
      </c>
      <c r="I63" s="5" t="str">
        <f>IF(  I94&gt;$E$2, SUMIFS(IF($G$2="CPR",'Grid Data'!$AH$4:$AH$2342,'Grid Data'!$AI$4:$AI$2342),'Grid Data'!$Z$4:$Z$2342,$D63,'Grid Data'!$AA$4:$AA$2342,I$4,'Grid Data'!$Y$4:$Y$2342,$D$2)*100-I31, "--")</f>
        <v>--</v>
      </c>
      <c r="J63" s="5" t="str">
        <f>IF(  J94&gt;$E$2, SUMIFS(IF($G$2="CPR",'Grid Data'!$AH$4:$AH$2342,'Grid Data'!$AI$4:$AI$2342),'Grid Data'!$Z$4:$Z$2342,$D63,'Grid Data'!$AA$4:$AA$2342,J$4,'Grid Data'!$Y$4:$Y$2342,$D$2)*100-J31, "--")</f>
        <v>--</v>
      </c>
      <c r="K63" s="5" t="str">
        <f>IF(  K94&gt;$E$2, SUMIFS(IF($G$2="CPR",'Grid Data'!$AH$4:$AH$2342,'Grid Data'!$AI$4:$AI$2342),'Grid Data'!$Z$4:$Z$2342,$D63,'Grid Data'!$AA$4:$AA$2342,K$4,'Grid Data'!$Y$4:$Y$2342,$D$2)*100-K31, "--")</f>
        <v>--</v>
      </c>
      <c r="L63" s="5" t="str">
        <f>IF(  L94&gt;$E$2, SUMIFS(IF($G$2="CPR",'Grid Data'!$AH$4:$AH$2342,'Grid Data'!$AI$4:$AI$2342),'Grid Data'!$Z$4:$Z$2342,$D63,'Grid Data'!$AA$4:$AA$2342,L$4,'Grid Data'!$Y$4:$Y$2342,$D$2)*100-L31, "--")</f>
        <v>--</v>
      </c>
      <c r="M63" s="5" t="str">
        <f>IF(  M94&gt;$E$2, SUMIFS(IF($G$2="CPR",'Grid Data'!$AH$4:$AH$2342,'Grid Data'!$AI$4:$AI$2342),'Grid Data'!$Z$4:$Z$2342,$D63,'Grid Data'!$AA$4:$AA$2342,M$4,'Grid Data'!$Y$4:$Y$2342,$D$2)*100-M31, "--")</f>
        <v>--</v>
      </c>
      <c r="N63" s="5" t="str">
        <f>IF(  N94&gt;$E$2, SUMIFS(IF($G$2="CPR",'Grid Data'!$AH$4:$AH$2342,'Grid Data'!$AI$4:$AI$2342),'Grid Data'!$Z$4:$Z$2342,$D63,'Grid Data'!$AA$4:$AA$2342,N$4,'Grid Data'!$Y$4:$Y$2342,$D$2)*100-N31, "--")</f>
        <v>--</v>
      </c>
      <c r="O63" s="5" t="str">
        <f>IF(  O94&gt;$E$2, SUMIFS(IF($G$2="CPR",'Grid Data'!$AH$4:$AH$2342,'Grid Data'!$AI$4:$AI$2342),'Grid Data'!$Z$4:$Z$2342,$D63,'Grid Data'!$AA$4:$AA$2342,O$4,'Grid Data'!$Y$4:$Y$2342,$D$2)*100-O31, "--")</f>
        <v>--</v>
      </c>
      <c r="P63" s="5">
        <f>IF(  P94&gt;$E$2, SUMIFS(IF($G$2="CPR",'Grid Data'!$AH$4:$AH$2342,'Grid Data'!$AI$4:$AI$2342),'Grid Data'!$Z$4:$Z$2342,$D63,'Grid Data'!$AA$4:$AA$2342,P$4,'Grid Data'!$Y$4:$Y$2342,$D$2)*100-P31, "--")</f>
        <v>-5.1518999999999977</v>
      </c>
      <c r="Q63" s="5">
        <f>IF(  Q94&gt;$E$2, SUMIFS(IF($G$2="CPR",'Grid Data'!$AH$4:$AH$2342,'Grid Data'!$AI$4:$AI$2342),'Grid Data'!$Z$4:$Z$2342,$D63,'Grid Data'!$AA$4:$AA$2342,Q$4,'Grid Data'!$Y$4:$Y$2342,$D$2)*100-Q31, "--")</f>
        <v>-4.9205000000000023</v>
      </c>
      <c r="R63" s="5" t="str">
        <f>IF(  R94&gt;$E$2, SUMIFS(IF($G$2="CPR",'Grid Data'!$AH$4:$AH$2342,'Grid Data'!$AI$4:$AI$2342),'Grid Data'!$Z$4:$Z$2342,$D63,'Grid Data'!$AA$4:$AA$2342,R$4,'Grid Data'!$Y$4:$Y$2342,$D$2)*100-R31, "--")</f>
        <v>--</v>
      </c>
      <c r="S63" s="5" t="str">
        <f>IF(  S94&gt;$E$2, SUMIFS(IF($G$2="CPR",'Grid Data'!$AH$4:$AH$2342,'Grid Data'!$AI$4:$AI$2342),'Grid Data'!$Z$4:$Z$2342,$D63,'Grid Data'!$AA$4:$AA$2342,S$4,'Grid Data'!$Y$4:$Y$2342,$D$2)*100-S31, "--")</f>
        <v>--</v>
      </c>
      <c r="T63" s="5" t="str">
        <f>IF(  T94&gt;$E$2, SUMIFS(IF($G$2="CPR",'Grid Data'!$AH$4:$AH$2342,'Grid Data'!$AI$4:$AI$2342),'Grid Data'!$Z$4:$Z$2342,$D63,'Grid Data'!$AA$4:$AA$2342,T$4,'Grid Data'!$Y$4:$Y$2342,$D$2)*100-T31, "--")</f>
        <v>--</v>
      </c>
      <c r="U63" s="5" t="str">
        <f>IF(  U94&gt;$E$2, SUMIFS(IF($G$2="CPR",'Grid Data'!$AH$4:$AH$2342,'Grid Data'!$AI$4:$AI$2342),'Grid Data'!$Z$4:$Z$2342,$D63,'Grid Data'!$AA$4:$AA$2342,U$4,'Grid Data'!$Y$4:$Y$2342,$D$2)*100-U31, "--")</f>
        <v>--</v>
      </c>
      <c r="V63" s="5" t="str">
        <f>IF(  V94&gt;$E$2, SUMIFS(IF($G$2="CPR",'Grid Data'!$AH$4:$AH$2342,'Grid Data'!$AI$4:$AI$2342),'Grid Data'!$Z$4:$Z$2342,$D63,'Grid Data'!$AA$4:$AA$2342,V$4,'Grid Data'!$Y$4:$Y$2342,$D$2)*100-V31, "--")</f>
        <v>--</v>
      </c>
      <c r="W63" s="5" t="str">
        <f>IF(  W94&gt;$E$2, SUMIFS(IF($G$2="CPR",'Grid Data'!$AH$4:$AH$2342,'Grid Data'!$AI$4:$AI$2342),'Grid Data'!$Z$4:$Z$2342,$D63,'Grid Data'!$AA$4:$AA$2342,W$4,'Grid Data'!$Y$4:$Y$2342,$D$2)*100-W31, "--")</f>
        <v>--</v>
      </c>
      <c r="X63" s="5" t="str">
        <f>IF(  X94&gt;$E$2, SUMIFS(IF($G$2="CPR",'Grid Data'!$AH$4:$AH$2342,'Grid Data'!$AI$4:$AI$2342),'Grid Data'!$Z$4:$Z$2342,$D63,'Grid Data'!$AA$4:$AA$2342,X$4,'Grid Data'!$Y$4:$Y$2342,$D$2)*100-X31, "--")</f>
        <v>--</v>
      </c>
      <c r="Y63" s="5" t="str">
        <f>IF(  Y94&gt;$E$2, SUMIFS(IF($G$2="CPR",'Grid Data'!$AH$4:$AH$2342,'Grid Data'!$AI$4:$AI$2342),'Grid Data'!$Z$4:$Z$2342,$D63,'Grid Data'!$AA$4:$AA$2342,Y$4,'Grid Data'!$Y$4:$Y$2342,$D$2)*100-Y31, "--")</f>
        <v>--</v>
      </c>
      <c r="Z63" s="5" t="str">
        <f>IF(  Z94&gt;$E$2, SUMIFS(IF($G$2="CPR",'Grid Data'!$AH$4:$AH$2342,'Grid Data'!$AI$4:$AI$2342),'Grid Data'!$Z$4:$Z$2342,$D63,'Grid Data'!$AA$4:$AA$2342,Z$4,'Grid Data'!$Y$4:$Y$2342,$D$2)*100-Z31, "--")</f>
        <v>--</v>
      </c>
      <c r="AA63" s="5" t="str">
        <f>IF(  AA94&gt;$E$2, SUMIFS(IF($G$2="CPR",'Grid Data'!$AH$4:$AH$2342,'Grid Data'!$AI$4:$AI$2342),'Grid Data'!$Z$4:$Z$2342,$D63,'Grid Data'!$AA$4:$AA$2342,AA$4,'Grid Data'!$Y$4:$Y$2342,$D$2)*100-AA31, "--")</f>
        <v>--</v>
      </c>
      <c r="AB63" s="5" t="str">
        <f>IF(  AB94&gt;$E$2, SUMIFS(IF($G$2="CPR",'Grid Data'!$AH$4:$AH$2342,'Grid Data'!$AI$4:$AI$2342),'Grid Data'!$Z$4:$Z$2342,$D63,'Grid Data'!$AA$4:$AA$2342,AB$4,'Grid Data'!$Y$4:$Y$2342,$D$2)*100-AB31, "--")</f>
        <v>--</v>
      </c>
      <c r="AC63" s="5" t="str">
        <f>IF(  AC94&gt;$E$2, SUMIFS(IF($G$2="CPR",'Grid Data'!$AH$4:$AH$2342,'Grid Data'!$AI$4:$AI$2342),'Grid Data'!$Z$4:$Z$2342,$D63,'Grid Data'!$AA$4:$AA$2342,AC$4,'Grid Data'!$Y$4:$Y$2342,$D$2)*100-AC31, "--")</f>
        <v>--</v>
      </c>
      <c r="AD63" s="5" t="str">
        <f>IF(  AD94&gt;$E$2, SUMIFS(IF($G$2="CPR",'Grid Data'!$AH$4:$AH$2342,'Grid Data'!$AI$4:$AI$2342),'Grid Data'!$Z$4:$Z$2342,$D63,'Grid Data'!$AA$4:$AA$2342,AD$4,'Grid Data'!$Y$4:$Y$2342,$D$2)*100-AD31, "--")</f>
        <v>--</v>
      </c>
      <c r="AE63" s="5" t="str">
        <f>IF(  AE94&gt;$E$2, SUMIFS(IF($G$2="CPR",'Grid Data'!$AH$4:$AH$2342,'Grid Data'!$AI$4:$AI$2342),'Grid Data'!$Z$4:$Z$2342,$D63,'Grid Data'!$AA$4:$AA$2342,AE$4,'Grid Data'!$Y$4:$Y$2342,$D$2)*100-AE31, "--")</f>
        <v>--</v>
      </c>
      <c r="AF63" s="5" t="str">
        <f>IF(  AF94&gt;$E$2, SUMIFS(IF($G$2="CPR",'Grid Data'!$AH$4:$AH$2342,'Grid Data'!$AI$4:$AI$2342),'Grid Data'!$Z$4:$Z$2342,$D63,'Grid Data'!$AA$4:$AA$2342,AF$4,'Grid Data'!$Y$4:$Y$2342,$D$2)*100-AF31, "--")</f>
        <v>--</v>
      </c>
      <c r="AG63" s="5">
        <f>IF(  AG94&gt;$E$2, SUMIFS(IF($G$2="CPR",'Grid Data'!$AH$4:$AH$2342,'Grid Data'!$AI$4:$AI$2342),'Grid Data'!$Z$4:$Z$2342,$D63,'Grid Data'!$AA$4:$AA$2342,AG$4,'Grid Data'!$Y$4:$Y$2342,$D$2)*100-AG31, "--")</f>
        <v>0.95179999999999865</v>
      </c>
      <c r="AH63" s="5">
        <f>IF(  AH94&gt;$E$2, SUMIFS(IF($G$2="CPR",'Grid Data'!$AH$4:$AH$2342,'Grid Data'!$AI$4:$AI$2342),'Grid Data'!$Z$4:$Z$2342,$D63,'Grid Data'!$AA$4:$AA$2342,AH$4,'Grid Data'!$Y$4:$Y$2342,$D$2)*100-AH31, "--")</f>
        <v>29.651299999999999</v>
      </c>
    </row>
    <row r="64" spans="4:34" x14ac:dyDescent="0.35">
      <c r="D64">
        <v>9000</v>
      </c>
      <c r="E64" s="5" t="str">
        <f>IF(  E95&gt;$E$2, SUMIFS(IF($G$2="CPR",'Grid Data'!$AH$4:$AH$2342,'Grid Data'!$AI$4:$AI$2342),'Grid Data'!$Z$4:$Z$2342,$D64,'Grid Data'!$AA$4:$AA$2342,E$4,'Grid Data'!$Y$4:$Y$2342,$D$2)*100-E32, "--")</f>
        <v>--</v>
      </c>
      <c r="F64" s="5" t="str">
        <f>IF(  F95&gt;$E$2, SUMIFS(IF($G$2="CPR",'Grid Data'!$AH$4:$AH$2342,'Grid Data'!$AI$4:$AI$2342),'Grid Data'!$Z$4:$Z$2342,$D64,'Grid Data'!$AA$4:$AA$2342,F$4,'Grid Data'!$Y$4:$Y$2342,$D$2)*100-F32, "--")</f>
        <v>--</v>
      </c>
      <c r="G64" s="5" t="str">
        <f>IF(  G95&gt;$E$2, SUMIFS(IF($G$2="CPR",'Grid Data'!$AH$4:$AH$2342,'Grid Data'!$AI$4:$AI$2342),'Grid Data'!$Z$4:$Z$2342,$D64,'Grid Data'!$AA$4:$AA$2342,G$4,'Grid Data'!$Y$4:$Y$2342,$D$2)*100-G32, "--")</f>
        <v>--</v>
      </c>
      <c r="H64" s="5" t="str">
        <f>IF(  H95&gt;$E$2, SUMIFS(IF($G$2="CPR",'Grid Data'!$AH$4:$AH$2342,'Grid Data'!$AI$4:$AI$2342),'Grid Data'!$Z$4:$Z$2342,$D64,'Grid Data'!$AA$4:$AA$2342,H$4,'Grid Data'!$Y$4:$Y$2342,$D$2)*100-H32, "--")</f>
        <v>--</v>
      </c>
      <c r="I64" s="5" t="str">
        <f>IF(  I95&gt;$E$2, SUMIFS(IF($G$2="CPR",'Grid Data'!$AH$4:$AH$2342,'Grid Data'!$AI$4:$AI$2342),'Grid Data'!$Z$4:$Z$2342,$D64,'Grid Data'!$AA$4:$AA$2342,I$4,'Grid Data'!$Y$4:$Y$2342,$D$2)*100-I32, "--")</f>
        <v>--</v>
      </c>
      <c r="J64" s="5" t="str">
        <f>IF(  J95&gt;$E$2, SUMIFS(IF($G$2="CPR",'Grid Data'!$AH$4:$AH$2342,'Grid Data'!$AI$4:$AI$2342),'Grid Data'!$Z$4:$Z$2342,$D64,'Grid Data'!$AA$4:$AA$2342,J$4,'Grid Data'!$Y$4:$Y$2342,$D$2)*100-J32, "--")</f>
        <v>--</v>
      </c>
      <c r="K64" s="5" t="str">
        <f>IF(  K95&gt;$E$2, SUMIFS(IF($G$2="CPR",'Grid Data'!$AH$4:$AH$2342,'Grid Data'!$AI$4:$AI$2342),'Grid Data'!$Z$4:$Z$2342,$D64,'Grid Data'!$AA$4:$AA$2342,K$4,'Grid Data'!$Y$4:$Y$2342,$D$2)*100-K32, "--")</f>
        <v>--</v>
      </c>
      <c r="L64" s="5" t="str">
        <f>IF(  L95&gt;$E$2, SUMIFS(IF($G$2="CPR",'Grid Data'!$AH$4:$AH$2342,'Grid Data'!$AI$4:$AI$2342),'Grid Data'!$Z$4:$Z$2342,$D64,'Grid Data'!$AA$4:$AA$2342,L$4,'Grid Data'!$Y$4:$Y$2342,$D$2)*100-L32, "--")</f>
        <v>--</v>
      </c>
      <c r="M64" s="5" t="str">
        <f>IF(  M95&gt;$E$2, SUMIFS(IF($G$2="CPR",'Grid Data'!$AH$4:$AH$2342,'Grid Data'!$AI$4:$AI$2342),'Grid Data'!$Z$4:$Z$2342,$D64,'Grid Data'!$AA$4:$AA$2342,M$4,'Grid Data'!$Y$4:$Y$2342,$D$2)*100-M32, "--")</f>
        <v>--</v>
      </c>
      <c r="N64" s="5" t="str">
        <f>IF(  N95&gt;$E$2, SUMIFS(IF($G$2="CPR",'Grid Data'!$AH$4:$AH$2342,'Grid Data'!$AI$4:$AI$2342),'Grid Data'!$Z$4:$Z$2342,$D64,'Grid Data'!$AA$4:$AA$2342,N$4,'Grid Data'!$Y$4:$Y$2342,$D$2)*100-N32, "--")</f>
        <v>--</v>
      </c>
      <c r="O64" s="5" t="str">
        <f>IF(  O95&gt;$E$2, SUMIFS(IF($G$2="CPR",'Grid Data'!$AH$4:$AH$2342,'Grid Data'!$AI$4:$AI$2342),'Grid Data'!$Z$4:$Z$2342,$D64,'Grid Data'!$AA$4:$AA$2342,O$4,'Grid Data'!$Y$4:$Y$2342,$D$2)*100-O32, "--")</f>
        <v>--</v>
      </c>
      <c r="P64" s="5">
        <f>IF(  P95&gt;$E$2, SUMIFS(IF($G$2="CPR",'Grid Data'!$AH$4:$AH$2342,'Grid Data'!$AI$4:$AI$2342),'Grid Data'!$Z$4:$Z$2342,$D64,'Grid Data'!$AA$4:$AA$2342,P$4,'Grid Data'!$Y$4:$Y$2342,$D$2)*100-P32, "--")</f>
        <v>-7.8466000000000022</v>
      </c>
      <c r="Q64" s="5">
        <f>IF(  Q95&gt;$E$2, SUMIFS(IF($G$2="CPR",'Grid Data'!$AH$4:$AH$2342,'Grid Data'!$AI$4:$AI$2342),'Grid Data'!$Z$4:$Z$2342,$D64,'Grid Data'!$AA$4:$AA$2342,Q$4,'Grid Data'!$Y$4:$Y$2342,$D$2)*100-Q32, "--")</f>
        <v>-15.269500000000001</v>
      </c>
      <c r="R64" s="5" t="str">
        <f>IF(  R95&gt;$E$2, SUMIFS(IF($G$2="CPR",'Grid Data'!$AH$4:$AH$2342,'Grid Data'!$AI$4:$AI$2342),'Grid Data'!$Z$4:$Z$2342,$D64,'Grid Data'!$AA$4:$AA$2342,R$4,'Grid Data'!$Y$4:$Y$2342,$D$2)*100-R32, "--")</f>
        <v>--</v>
      </c>
      <c r="S64" s="5" t="str">
        <f>IF(  S95&gt;$E$2, SUMIFS(IF($G$2="CPR",'Grid Data'!$AH$4:$AH$2342,'Grid Data'!$AI$4:$AI$2342),'Grid Data'!$Z$4:$Z$2342,$D64,'Grid Data'!$AA$4:$AA$2342,S$4,'Grid Data'!$Y$4:$Y$2342,$D$2)*100-S32, "--")</f>
        <v>--</v>
      </c>
      <c r="T64" s="5" t="str">
        <f>IF(  T95&gt;$E$2, SUMIFS(IF($G$2="CPR",'Grid Data'!$AH$4:$AH$2342,'Grid Data'!$AI$4:$AI$2342),'Grid Data'!$Z$4:$Z$2342,$D64,'Grid Data'!$AA$4:$AA$2342,T$4,'Grid Data'!$Y$4:$Y$2342,$D$2)*100-T32, "--")</f>
        <v>--</v>
      </c>
      <c r="U64" s="5" t="str">
        <f>IF(  U95&gt;$E$2, SUMIFS(IF($G$2="CPR",'Grid Data'!$AH$4:$AH$2342,'Grid Data'!$AI$4:$AI$2342),'Grid Data'!$Z$4:$Z$2342,$D64,'Grid Data'!$AA$4:$AA$2342,U$4,'Grid Data'!$Y$4:$Y$2342,$D$2)*100-U32, "--")</f>
        <v>--</v>
      </c>
      <c r="V64" s="5" t="str">
        <f>IF(  V95&gt;$E$2, SUMIFS(IF($G$2="CPR",'Grid Data'!$AH$4:$AH$2342,'Grid Data'!$AI$4:$AI$2342),'Grid Data'!$Z$4:$Z$2342,$D64,'Grid Data'!$AA$4:$AA$2342,V$4,'Grid Data'!$Y$4:$Y$2342,$D$2)*100-V32, "--")</f>
        <v>--</v>
      </c>
      <c r="W64" s="5" t="str">
        <f>IF(  W95&gt;$E$2, SUMIFS(IF($G$2="CPR",'Grid Data'!$AH$4:$AH$2342,'Grid Data'!$AI$4:$AI$2342),'Grid Data'!$Z$4:$Z$2342,$D64,'Grid Data'!$AA$4:$AA$2342,W$4,'Grid Data'!$Y$4:$Y$2342,$D$2)*100-W32, "--")</f>
        <v>--</v>
      </c>
      <c r="X64" s="5" t="str">
        <f>IF(  X95&gt;$E$2, SUMIFS(IF($G$2="CPR",'Grid Data'!$AH$4:$AH$2342,'Grid Data'!$AI$4:$AI$2342),'Grid Data'!$Z$4:$Z$2342,$D64,'Grid Data'!$AA$4:$AA$2342,X$4,'Grid Data'!$Y$4:$Y$2342,$D$2)*100-X32, "--")</f>
        <v>--</v>
      </c>
      <c r="Y64" s="5" t="str">
        <f>IF(  Y95&gt;$E$2, SUMIFS(IF($G$2="CPR",'Grid Data'!$AH$4:$AH$2342,'Grid Data'!$AI$4:$AI$2342),'Grid Data'!$Z$4:$Z$2342,$D64,'Grid Data'!$AA$4:$AA$2342,Y$4,'Grid Data'!$Y$4:$Y$2342,$D$2)*100-Y32, "--")</f>
        <v>--</v>
      </c>
      <c r="Z64" s="5" t="str">
        <f>IF(  Z95&gt;$E$2, SUMIFS(IF($G$2="CPR",'Grid Data'!$AH$4:$AH$2342,'Grid Data'!$AI$4:$AI$2342),'Grid Data'!$Z$4:$Z$2342,$D64,'Grid Data'!$AA$4:$AA$2342,Z$4,'Grid Data'!$Y$4:$Y$2342,$D$2)*100-Z32, "--")</f>
        <v>--</v>
      </c>
      <c r="AA64" s="5" t="str">
        <f>IF(  AA95&gt;$E$2, SUMIFS(IF($G$2="CPR",'Grid Data'!$AH$4:$AH$2342,'Grid Data'!$AI$4:$AI$2342),'Grid Data'!$Z$4:$Z$2342,$D64,'Grid Data'!$AA$4:$AA$2342,AA$4,'Grid Data'!$Y$4:$Y$2342,$D$2)*100-AA32, "--")</f>
        <v>--</v>
      </c>
      <c r="AB64" s="5" t="str">
        <f>IF(  AB95&gt;$E$2, SUMIFS(IF($G$2="CPR",'Grid Data'!$AH$4:$AH$2342,'Grid Data'!$AI$4:$AI$2342),'Grid Data'!$Z$4:$Z$2342,$D64,'Grid Data'!$AA$4:$AA$2342,AB$4,'Grid Data'!$Y$4:$Y$2342,$D$2)*100-AB32, "--")</f>
        <v>--</v>
      </c>
      <c r="AC64" s="5" t="str">
        <f>IF(  AC95&gt;$E$2, SUMIFS(IF($G$2="CPR",'Grid Data'!$AH$4:$AH$2342,'Grid Data'!$AI$4:$AI$2342),'Grid Data'!$Z$4:$Z$2342,$D64,'Grid Data'!$AA$4:$AA$2342,AC$4,'Grid Data'!$Y$4:$Y$2342,$D$2)*100-AC32, "--")</f>
        <v>--</v>
      </c>
      <c r="AD64" s="5" t="str">
        <f>IF(  AD95&gt;$E$2, SUMIFS(IF($G$2="CPR",'Grid Data'!$AH$4:$AH$2342,'Grid Data'!$AI$4:$AI$2342),'Grid Data'!$Z$4:$Z$2342,$D64,'Grid Data'!$AA$4:$AA$2342,AD$4,'Grid Data'!$Y$4:$Y$2342,$D$2)*100-AD32, "--")</f>
        <v>--</v>
      </c>
      <c r="AE64" s="5" t="str">
        <f>IF(  AE95&gt;$E$2, SUMIFS(IF($G$2="CPR",'Grid Data'!$AH$4:$AH$2342,'Grid Data'!$AI$4:$AI$2342),'Grid Data'!$Z$4:$Z$2342,$D64,'Grid Data'!$AA$4:$AA$2342,AE$4,'Grid Data'!$Y$4:$Y$2342,$D$2)*100-AE32, "--")</f>
        <v>--</v>
      </c>
      <c r="AF64" s="5" t="str">
        <f>IF(  AF95&gt;$E$2, SUMIFS(IF($G$2="CPR",'Grid Data'!$AH$4:$AH$2342,'Grid Data'!$AI$4:$AI$2342),'Grid Data'!$Z$4:$Z$2342,$D64,'Grid Data'!$AA$4:$AA$2342,AF$4,'Grid Data'!$Y$4:$Y$2342,$D$2)*100-AF32, "--")</f>
        <v>--</v>
      </c>
      <c r="AG64" s="5">
        <f>IF(  AG95&gt;$E$2, SUMIFS(IF($G$2="CPR",'Grid Data'!$AH$4:$AH$2342,'Grid Data'!$AI$4:$AI$2342),'Grid Data'!$Z$4:$Z$2342,$D64,'Grid Data'!$AA$4:$AA$2342,AG$4,'Grid Data'!$Y$4:$Y$2342,$D$2)*100-AG32, "--")</f>
        <v>0.13820000000000121</v>
      </c>
      <c r="AH64" s="5">
        <f>IF(  AH95&gt;$E$2, SUMIFS(IF($G$2="CPR",'Grid Data'!$AH$4:$AH$2342,'Grid Data'!$AI$4:$AI$2342),'Grid Data'!$Z$4:$Z$2342,$D64,'Grid Data'!$AA$4:$AA$2342,AH$4,'Grid Data'!$Y$4:$Y$2342,$D$2)*100-AH32, "--")</f>
        <v>22.448499999999996</v>
      </c>
    </row>
    <row r="65" spans="3:34" x14ac:dyDescent="0.35">
      <c r="D65">
        <v>20000</v>
      </c>
      <c r="E65" s="5" t="str">
        <f>IF(  E96&gt;$E$2, SUMIFS(IF($G$2="CPR",'Grid Data'!$AH$4:$AH$2342,'Grid Data'!$AI$4:$AI$2342),'Grid Data'!$Z$4:$Z$2342,$D65,'Grid Data'!$AA$4:$AA$2342,E$4,'Grid Data'!$Y$4:$Y$2342,$D$2)*100-E33, "--")</f>
        <v>--</v>
      </c>
      <c r="F65" s="5" t="str">
        <f>IF(  F96&gt;$E$2, SUMIFS(IF($G$2="CPR",'Grid Data'!$AH$4:$AH$2342,'Grid Data'!$AI$4:$AI$2342),'Grid Data'!$Z$4:$Z$2342,$D65,'Grid Data'!$AA$4:$AA$2342,F$4,'Grid Data'!$Y$4:$Y$2342,$D$2)*100-F33, "--")</f>
        <v>--</v>
      </c>
      <c r="G65" s="5" t="str">
        <f>IF(  G96&gt;$E$2, SUMIFS(IF($G$2="CPR",'Grid Data'!$AH$4:$AH$2342,'Grid Data'!$AI$4:$AI$2342),'Grid Data'!$Z$4:$Z$2342,$D65,'Grid Data'!$AA$4:$AA$2342,G$4,'Grid Data'!$Y$4:$Y$2342,$D$2)*100-G33, "--")</f>
        <v>--</v>
      </c>
      <c r="H65" s="5" t="str">
        <f>IF(  H96&gt;$E$2, SUMIFS(IF($G$2="CPR",'Grid Data'!$AH$4:$AH$2342,'Grid Data'!$AI$4:$AI$2342),'Grid Data'!$Z$4:$Z$2342,$D65,'Grid Data'!$AA$4:$AA$2342,H$4,'Grid Data'!$Y$4:$Y$2342,$D$2)*100-H33, "--")</f>
        <v>--</v>
      </c>
      <c r="I65" s="5" t="str">
        <f>IF(  I96&gt;$E$2, SUMIFS(IF($G$2="CPR",'Grid Data'!$AH$4:$AH$2342,'Grid Data'!$AI$4:$AI$2342),'Grid Data'!$Z$4:$Z$2342,$D65,'Grid Data'!$AA$4:$AA$2342,I$4,'Grid Data'!$Y$4:$Y$2342,$D$2)*100-I33, "--")</f>
        <v>--</v>
      </c>
      <c r="J65" s="5" t="str">
        <f>IF(  J96&gt;$E$2, SUMIFS(IF($G$2="CPR",'Grid Data'!$AH$4:$AH$2342,'Grid Data'!$AI$4:$AI$2342),'Grid Data'!$Z$4:$Z$2342,$D65,'Grid Data'!$AA$4:$AA$2342,J$4,'Grid Data'!$Y$4:$Y$2342,$D$2)*100-J33, "--")</f>
        <v>--</v>
      </c>
      <c r="K65" s="5" t="str">
        <f>IF(  K96&gt;$E$2, SUMIFS(IF($G$2="CPR",'Grid Data'!$AH$4:$AH$2342,'Grid Data'!$AI$4:$AI$2342),'Grid Data'!$Z$4:$Z$2342,$D65,'Grid Data'!$AA$4:$AA$2342,K$4,'Grid Data'!$Y$4:$Y$2342,$D$2)*100-K33, "--")</f>
        <v>--</v>
      </c>
      <c r="L65" s="5" t="str">
        <f>IF(  L96&gt;$E$2, SUMIFS(IF($G$2="CPR",'Grid Data'!$AH$4:$AH$2342,'Grid Data'!$AI$4:$AI$2342),'Grid Data'!$Z$4:$Z$2342,$D65,'Grid Data'!$AA$4:$AA$2342,L$4,'Grid Data'!$Y$4:$Y$2342,$D$2)*100-L33, "--")</f>
        <v>--</v>
      </c>
      <c r="M65" s="5" t="str">
        <f>IF(  M96&gt;$E$2, SUMIFS(IF($G$2="CPR",'Grid Data'!$AH$4:$AH$2342,'Grid Data'!$AI$4:$AI$2342),'Grid Data'!$Z$4:$Z$2342,$D65,'Grid Data'!$AA$4:$AA$2342,M$4,'Grid Data'!$Y$4:$Y$2342,$D$2)*100-M33, "--")</f>
        <v>--</v>
      </c>
      <c r="N65" s="5" t="str">
        <f>IF(  N96&gt;$E$2, SUMIFS(IF($G$2="CPR",'Grid Data'!$AH$4:$AH$2342,'Grid Data'!$AI$4:$AI$2342),'Grid Data'!$Z$4:$Z$2342,$D65,'Grid Data'!$AA$4:$AA$2342,N$4,'Grid Data'!$Y$4:$Y$2342,$D$2)*100-N33, "--")</f>
        <v>--</v>
      </c>
      <c r="O65" s="5" t="str">
        <f>IF(  O96&gt;$E$2, SUMIFS(IF($G$2="CPR",'Grid Data'!$AH$4:$AH$2342,'Grid Data'!$AI$4:$AI$2342),'Grid Data'!$Z$4:$Z$2342,$D65,'Grid Data'!$AA$4:$AA$2342,O$4,'Grid Data'!$Y$4:$Y$2342,$D$2)*100-O33, "--")</f>
        <v>--</v>
      </c>
      <c r="P65" s="5" t="str">
        <f>IF(  P96&gt;$E$2, SUMIFS(IF($G$2="CPR",'Grid Data'!$AH$4:$AH$2342,'Grid Data'!$AI$4:$AI$2342),'Grid Data'!$Z$4:$Z$2342,$D65,'Grid Data'!$AA$4:$AA$2342,P$4,'Grid Data'!$Y$4:$Y$2342,$D$2)*100-P33, "--")</f>
        <v>--</v>
      </c>
      <c r="Q65" s="5" t="str">
        <f>IF(  Q96&gt;$E$2, SUMIFS(IF($G$2="CPR",'Grid Data'!$AH$4:$AH$2342,'Grid Data'!$AI$4:$AI$2342),'Grid Data'!$Z$4:$Z$2342,$D65,'Grid Data'!$AA$4:$AA$2342,Q$4,'Grid Data'!$Y$4:$Y$2342,$D$2)*100-Q33, "--")</f>
        <v>--</v>
      </c>
      <c r="R65" s="5" t="str">
        <f>IF(  R96&gt;$E$2, SUMIFS(IF($G$2="CPR",'Grid Data'!$AH$4:$AH$2342,'Grid Data'!$AI$4:$AI$2342),'Grid Data'!$Z$4:$Z$2342,$D65,'Grid Data'!$AA$4:$AA$2342,R$4,'Grid Data'!$Y$4:$Y$2342,$D$2)*100-R33, "--")</f>
        <v>--</v>
      </c>
      <c r="S65" s="5" t="str">
        <f>IF(  S96&gt;$E$2, SUMIFS(IF($G$2="CPR",'Grid Data'!$AH$4:$AH$2342,'Grid Data'!$AI$4:$AI$2342),'Grid Data'!$Z$4:$Z$2342,$D65,'Grid Data'!$AA$4:$AA$2342,S$4,'Grid Data'!$Y$4:$Y$2342,$D$2)*100-S33, "--")</f>
        <v>--</v>
      </c>
      <c r="T65" s="5" t="str">
        <f>IF(  T96&gt;$E$2, SUMIFS(IF($G$2="CPR",'Grid Data'!$AH$4:$AH$2342,'Grid Data'!$AI$4:$AI$2342),'Grid Data'!$Z$4:$Z$2342,$D65,'Grid Data'!$AA$4:$AA$2342,T$4,'Grid Data'!$Y$4:$Y$2342,$D$2)*100-T33, "--")</f>
        <v>--</v>
      </c>
      <c r="U65" s="5" t="str">
        <f>IF(  U96&gt;$E$2, SUMIFS(IF($G$2="CPR",'Grid Data'!$AH$4:$AH$2342,'Grid Data'!$AI$4:$AI$2342),'Grid Data'!$Z$4:$Z$2342,$D65,'Grid Data'!$AA$4:$AA$2342,U$4,'Grid Data'!$Y$4:$Y$2342,$D$2)*100-U33, "--")</f>
        <v>--</v>
      </c>
      <c r="V65" s="5" t="str">
        <f>IF(  V96&gt;$E$2, SUMIFS(IF($G$2="CPR",'Grid Data'!$AH$4:$AH$2342,'Grid Data'!$AI$4:$AI$2342),'Grid Data'!$Z$4:$Z$2342,$D65,'Grid Data'!$AA$4:$AA$2342,V$4,'Grid Data'!$Y$4:$Y$2342,$D$2)*100-V33, "--")</f>
        <v>--</v>
      </c>
      <c r="W65" s="5" t="str">
        <f>IF(  W96&gt;$E$2, SUMIFS(IF($G$2="CPR",'Grid Data'!$AH$4:$AH$2342,'Grid Data'!$AI$4:$AI$2342),'Grid Data'!$Z$4:$Z$2342,$D65,'Grid Data'!$AA$4:$AA$2342,W$4,'Grid Data'!$Y$4:$Y$2342,$D$2)*100-W33, "--")</f>
        <v>--</v>
      </c>
      <c r="X65" s="5" t="str">
        <f>IF(  X96&gt;$E$2, SUMIFS(IF($G$2="CPR",'Grid Data'!$AH$4:$AH$2342,'Grid Data'!$AI$4:$AI$2342),'Grid Data'!$Z$4:$Z$2342,$D65,'Grid Data'!$AA$4:$AA$2342,X$4,'Grid Data'!$Y$4:$Y$2342,$D$2)*100-X33, "--")</f>
        <v>--</v>
      </c>
      <c r="Y65" s="5" t="str">
        <f>IF(  Y96&gt;$E$2, SUMIFS(IF($G$2="CPR",'Grid Data'!$AH$4:$AH$2342,'Grid Data'!$AI$4:$AI$2342),'Grid Data'!$Z$4:$Z$2342,$D65,'Grid Data'!$AA$4:$AA$2342,Y$4,'Grid Data'!$Y$4:$Y$2342,$D$2)*100-Y33, "--")</f>
        <v>--</v>
      </c>
      <c r="Z65" s="5" t="str">
        <f>IF(  Z96&gt;$E$2, SUMIFS(IF($G$2="CPR",'Grid Data'!$AH$4:$AH$2342,'Grid Data'!$AI$4:$AI$2342),'Grid Data'!$Z$4:$Z$2342,$D65,'Grid Data'!$AA$4:$AA$2342,Z$4,'Grid Data'!$Y$4:$Y$2342,$D$2)*100-Z33, "--")</f>
        <v>--</v>
      </c>
      <c r="AA65" s="5" t="str">
        <f>IF(  AA96&gt;$E$2, SUMIFS(IF($G$2="CPR",'Grid Data'!$AH$4:$AH$2342,'Grid Data'!$AI$4:$AI$2342),'Grid Data'!$Z$4:$Z$2342,$D65,'Grid Data'!$AA$4:$AA$2342,AA$4,'Grid Data'!$Y$4:$Y$2342,$D$2)*100-AA33, "--")</f>
        <v>--</v>
      </c>
      <c r="AB65" s="5" t="str">
        <f>IF(  AB96&gt;$E$2, SUMIFS(IF($G$2="CPR",'Grid Data'!$AH$4:$AH$2342,'Grid Data'!$AI$4:$AI$2342),'Grid Data'!$Z$4:$Z$2342,$D65,'Grid Data'!$AA$4:$AA$2342,AB$4,'Grid Data'!$Y$4:$Y$2342,$D$2)*100-AB33, "--")</f>
        <v>--</v>
      </c>
      <c r="AC65" s="5" t="str">
        <f>IF(  AC96&gt;$E$2, SUMIFS(IF($G$2="CPR",'Grid Data'!$AH$4:$AH$2342,'Grid Data'!$AI$4:$AI$2342),'Grid Data'!$Z$4:$Z$2342,$D65,'Grid Data'!$AA$4:$AA$2342,AC$4,'Grid Data'!$Y$4:$Y$2342,$D$2)*100-AC33, "--")</f>
        <v>--</v>
      </c>
      <c r="AD65" s="5" t="str">
        <f>IF(  AD96&gt;$E$2, SUMIFS(IF($G$2="CPR",'Grid Data'!$AH$4:$AH$2342,'Grid Data'!$AI$4:$AI$2342),'Grid Data'!$Z$4:$Z$2342,$D65,'Grid Data'!$AA$4:$AA$2342,AD$4,'Grid Data'!$Y$4:$Y$2342,$D$2)*100-AD33, "--")</f>
        <v>--</v>
      </c>
      <c r="AE65" s="5" t="str">
        <f>IF(  AE96&gt;$E$2, SUMIFS(IF($G$2="CPR",'Grid Data'!$AH$4:$AH$2342,'Grid Data'!$AI$4:$AI$2342),'Grid Data'!$Z$4:$Z$2342,$D65,'Grid Data'!$AA$4:$AA$2342,AE$4,'Grid Data'!$Y$4:$Y$2342,$D$2)*100-AE33, "--")</f>
        <v>--</v>
      </c>
      <c r="AF65" s="5" t="str">
        <f>IF(  AF96&gt;$E$2, SUMIFS(IF($G$2="CPR",'Grid Data'!$AH$4:$AH$2342,'Grid Data'!$AI$4:$AI$2342),'Grid Data'!$Z$4:$Z$2342,$D65,'Grid Data'!$AA$4:$AA$2342,AF$4,'Grid Data'!$Y$4:$Y$2342,$D$2)*100-AF33, "--")</f>
        <v>--</v>
      </c>
      <c r="AG65" s="5" t="str">
        <f>IF(  AG96&gt;$E$2, SUMIFS(IF($G$2="CPR",'Grid Data'!$AH$4:$AH$2342,'Grid Data'!$AI$4:$AI$2342),'Grid Data'!$Z$4:$Z$2342,$D65,'Grid Data'!$AA$4:$AA$2342,AG$4,'Grid Data'!$Y$4:$Y$2342,$D$2)*100-AG33, "--")</f>
        <v>--</v>
      </c>
      <c r="AH65" s="5" t="str">
        <f>IF(  AH96&gt;$E$2, SUMIFS(IF($G$2="CPR",'Grid Data'!$AH$4:$AH$2342,'Grid Data'!$AI$4:$AI$2342),'Grid Data'!$Z$4:$Z$2342,$D65,'Grid Data'!$AA$4:$AA$2342,AH$4,'Grid Data'!$Y$4:$Y$2342,$D$2)*100-AH33, "--")</f>
        <v>--</v>
      </c>
    </row>
    <row r="67" spans="3:34" x14ac:dyDescent="0.35">
      <c r="C67" s="3" t="s">
        <v>177</v>
      </c>
      <c r="D67" s="3" t="s">
        <v>9</v>
      </c>
      <c r="E67">
        <v>5</v>
      </c>
      <c r="F67">
        <v>6</v>
      </c>
      <c r="G67">
        <v>7</v>
      </c>
      <c r="H67">
        <v>8</v>
      </c>
      <c r="I67">
        <v>9</v>
      </c>
      <c r="J67">
        <v>10</v>
      </c>
      <c r="K67">
        <v>12</v>
      </c>
      <c r="L67">
        <v>14</v>
      </c>
      <c r="M67">
        <v>16</v>
      </c>
      <c r="N67">
        <v>18</v>
      </c>
      <c r="O67">
        <v>20</v>
      </c>
      <c r="P67">
        <v>24</v>
      </c>
      <c r="Q67">
        <v>30</v>
      </c>
      <c r="R67">
        <v>36</v>
      </c>
      <c r="S67">
        <v>42</v>
      </c>
      <c r="T67">
        <v>48</v>
      </c>
      <c r="U67">
        <v>54</v>
      </c>
      <c r="V67">
        <v>60</v>
      </c>
      <c r="W67">
        <v>72</v>
      </c>
      <c r="X67">
        <v>84</v>
      </c>
      <c r="Y67">
        <v>96</v>
      </c>
      <c r="Z67">
        <v>108</v>
      </c>
      <c r="AA67">
        <v>120</v>
      </c>
      <c r="AB67">
        <v>144</v>
      </c>
      <c r="AC67">
        <v>168</v>
      </c>
      <c r="AD67">
        <v>192</v>
      </c>
      <c r="AE67">
        <v>216</v>
      </c>
      <c r="AF67">
        <v>240</v>
      </c>
      <c r="AG67">
        <v>320</v>
      </c>
      <c r="AH67">
        <v>360</v>
      </c>
    </row>
    <row r="68" spans="3:34" x14ac:dyDescent="0.35">
      <c r="D68">
        <v>2000</v>
      </c>
      <c r="E68" s="2">
        <f>SUMIFS('Grid Data'!$D$4:$D$2342,'Grid Data'!$B$4:$B$2342,$D68,'Grid Data'!$C$4:$C$2342,E$4,'Grid Data'!$A$4:$A$2342,$D$2)</f>
        <v>0</v>
      </c>
      <c r="F68" s="2">
        <f>SUMIFS('Grid Data'!$D$4:$D$2342,'Grid Data'!$B$4:$B$2342,$D68,'Grid Data'!$C$4:$C$2342,F$4,'Grid Data'!$A$4:$A$2342,$D$2)</f>
        <v>0</v>
      </c>
      <c r="G68" s="2">
        <f>SUMIFS('Grid Data'!$D$4:$D$2342,'Grid Data'!$B$4:$B$2342,$D68,'Grid Data'!$C$4:$C$2342,G$4,'Grid Data'!$A$4:$A$2342,$D$2)</f>
        <v>0</v>
      </c>
      <c r="H68" s="2">
        <f>SUMIFS('Grid Data'!$D$4:$D$2342,'Grid Data'!$B$4:$B$2342,$D68,'Grid Data'!$C$4:$C$2342,H$4,'Grid Data'!$A$4:$A$2342,$D$2)</f>
        <v>0</v>
      </c>
      <c r="I68" s="2">
        <f>SUMIFS('Grid Data'!$D$4:$D$2342,'Grid Data'!$B$4:$B$2342,$D68,'Grid Data'!$C$4:$C$2342,I$4,'Grid Data'!$A$4:$A$2342,$D$2)</f>
        <v>0</v>
      </c>
      <c r="J68" s="2">
        <f>SUMIFS('Grid Data'!$D$4:$D$2342,'Grid Data'!$B$4:$B$2342,$D68,'Grid Data'!$C$4:$C$2342,J$4,'Grid Data'!$A$4:$A$2342,$D$2)</f>
        <v>0</v>
      </c>
      <c r="K68" s="2">
        <f>SUMIFS('Grid Data'!$D$4:$D$2342,'Grid Data'!$B$4:$B$2342,$D68,'Grid Data'!$C$4:$C$2342,K$4,'Grid Data'!$A$4:$A$2342,$D$2)</f>
        <v>0</v>
      </c>
      <c r="L68" s="2">
        <f>SUMIFS('Grid Data'!$D$4:$D$2342,'Grid Data'!$B$4:$B$2342,$D68,'Grid Data'!$C$4:$C$2342,L$4,'Grid Data'!$A$4:$A$2342,$D$2)</f>
        <v>0</v>
      </c>
      <c r="M68" s="2">
        <f>SUMIFS('Grid Data'!$D$4:$D$2342,'Grid Data'!$B$4:$B$2342,$D68,'Grid Data'!$C$4:$C$2342,M$4,'Grid Data'!$A$4:$A$2342,$D$2)</f>
        <v>0</v>
      </c>
      <c r="N68" s="2">
        <f>SUMIFS('Grid Data'!$D$4:$D$2342,'Grid Data'!$B$4:$B$2342,$D68,'Grid Data'!$C$4:$C$2342,N$4,'Grid Data'!$A$4:$A$2342,$D$2)</f>
        <v>0</v>
      </c>
      <c r="O68" s="2">
        <f>SUMIFS('Grid Data'!$D$4:$D$2342,'Grid Data'!$B$4:$B$2342,$D68,'Grid Data'!$C$4:$C$2342,O$4,'Grid Data'!$A$4:$A$2342,$D$2)</f>
        <v>0</v>
      </c>
      <c r="P68" s="2">
        <f>SUMIFS('Grid Data'!$D$4:$D$2342,'Grid Data'!$B$4:$B$2342,$D68,'Grid Data'!$C$4:$C$2342,P$4,'Grid Data'!$A$4:$A$2342,$D$2)</f>
        <v>0</v>
      </c>
      <c r="Q68" s="2">
        <f>SUMIFS('Grid Data'!$D$4:$D$2342,'Grid Data'!$B$4:$B$2342,$D68,'Grid Data'!$C$4:$C$2342,Q$4,'Grid Data'!$A$4:$A$2342,$D$2)</f>
        <v>1</v>
      </c>
      <c r="R68" s="2">
        <f>SUMIFS('Grid Data'!$D$4:$D$2342,'Grid Data'!$B$4:$B$2342,$D68,'Grid Data'!$C$4:$C$2342,R$4,'Grid Data'!$A$4:$A$2342,$D$2)</f>
        <v>1</v>
      </c>
      <c r="S68" s="2">
        <f>SUMIFS('Grid Data'!$D$4:$D$2342,'Grid Data'!$B$4:$B$2342,$D68,'Grid Data'!$C$4:$C$2342,S$4,'Grid Data'!$A$4:$A$2342,$D$2)</f>
        <v>0</v>
      </c>
      <c r="T68" s="2">
        <f>SUMIFS('Grid Data'!$D$4:$D$2342,'Grid Data'!$B$4:$B$2342,$D68,'Grid Data'!$C$4:$C$2342,T$4,'Grid Data'!$A$4:$A$2342,$D$2)</f>
        <v>22</v>
      </c>
      <c r="U68" s="2">
        <f>SUMIFS('Grid Data'!$D$4:$D$2342,'Grid Data'!$B$4:$B$2342,$D68,'Grid Data'!$C$4:$C$2342,U$4,'Grid Data'!$A$4:$A$2342,$D$2)</f>
        <v>182</v>
      </c>
      <c r="V68" s="2">
        <f>SUMIFS('Grid Data'!$D$4:$D$2342,'Grid Data'!$B$4:$B$2342,$D68,'Grid Data'!$C$4:$C$2342,V$4,'Grid Data'!$A$4:$A$2342,$D$2)</f>
        <v>280</v>
      </c>
      <c r="W68" s="2">
        <f>SUMIFS('Grid Data'!$D$4:$D$2342,'Grid Data'!$B$4:$B$2342,$D68,'Grid Data'!$C$4:$C$2342,W$4,'Grid Data'!$A$4:$A$2342,$D$2)</f>
        <v>75</v>
      </c>
      <c r="X68" s="2">
        <f>SUMIFS('Grid Data'!$D$4:$D$2342,'Grid Data'!$B$4:$B$2342,$D68,'Grid Data'!$C$4:$C$2342,X$4,'Grid Data'!$A$4:$A$2342,$D$2)</f>
        <v>7</v>
      </c>
      <c r="Y68" s="2">
        <f>SUMIFS('Grid Data'!$D$4:$D$2342,'Grid Data'!$B$4:$B$2342,$D68,'Grid Data'!$C$4:$C$2342,Y$4,'Grid Data'!$A$4:$A$2342,$D$2)</f>
        <v>1</v>
      </c>
      <c r="Z68" s="2">
        <f>SUMIFS('Grid Data'!$D$4:$D$2342,'Grid Data'!$B$4:$B$2342,$D68,'Grid Data'!$C$4:$C$2342,Z$4,'Grid Data'!$A$4:$A$2342,$D$2)</f>
        <v>2</v>
      </c>
      <c r="AA68" s="2">
        <f>SUMIFS('Grid Data'!$D$4:$D$2342,'Grid Data'!$B$4:$B$2342,$D68,'Grid Data'!$C$4:$C$2342,AA$4,'Grid Data'!$A$4:$A$2342,$D$2)</f>
        <v>5</v>
      </c>
      <c r="AB68" s="2">
        <f>SUMIFS('Grid Data'!$D$4:$D$2342,'Grid Data'!$B$4:$B$2342,$D68,'Grid Data'!$C$4:$C$2342,AB$4,'Grid Data'!$A$4:$A$2342,$D$2)</f>
        <v>8</v>
      </c>
      <c r="AC68" s="2">
        <f>SUMIFS('Grid Data'!$D$4:$D$2342,'Grid Data'!$B$4:$B$2342,$D68,'Grid Data'!$C$4:$C$2342,AC$4,'Grid Data'!$A$4:$A$2342,$D$2)</f>
        <v>23</v>
      </c>
      <c r="AD68" s="2">
        <f>SUMIFS('Grid Data'!$D$4:$D$2342,'Grid Data'!$B$4:$B$2342,$D68,'Grid Data'!$C$4:$C$2342,AD$4,'Grid Data'!$A$4:$A$2342,$D$2)</f>
        <v>0</v>
      </c>
      <c r="AE68" s="2">
        <f>SUMIFS('Grid Data'!$D$4:$D$2342,'Grid Data'!$B$4:$B$2342,$D68,'Grid Data'!$C$4:$C$2342,AE$4,'Grid Data'!$A$4:$A$2342,$D$2)</f>
        <v>1</v>
      </c>
      <c r="AF68" s="2">
        <f>SUMIFS('Grid Data'!$D$4:$D$2342,'Grid Data'!$B$4:$B$2342,$D68,'Grid Data'!$C$4:$C$2342,AF$4,'Grid Data'!$A$4:$A$2342,$D$2)</f>
        <v>0</v>
      </c>
      <c r="AG68" s="2">
        <f>SUMIFS('Grid Data'!$D$4:$D$2342,'Grid Data'!$B$4:$B$2342,$D68,'Grid Data'!$C$4:$C$2342,AG$4,'Grid Data'!$A$4:$A$2342,$D$2)</f>
        <v>0</v>
      </c>
      <c r="AH68" s="2">
        <f>SUMIFS('Grid Data'!$D$4:$D$2342,'Grid Data'!$B$4:$B$2342,$D68,'Grid Data'!$C$4:$C$2342,AH$4,'Grid Data'!$A$4:$A$2342,$D$2)</f>
        <v>0</v>
      </c>
    </row>
    <row r="69" spans="3:34" x14ac:dyDescent="0.35">
      <c r="D69">
        <v>2250</v>
      </c>
      <c r="E69" s="2">
        <f>SUMIFS('Grid Data'!$D$4:$D$2342,'Grid Data'!$B$4:$B$2342,$D69,'Grid Data'!$C$4:$C$2342,E$4,'Grid Data'!$A$4:$A$2342,$D$2)</f>
        <v>0</v>
      </c>
      <c r="F69" s="2">
        <f>SUMIFS('Grid Data'!$D$4:$D$2342,'Grid Data'!$B$4:$B$2342,$D69,'Grid Data'!$C$4:$C$2342,F$4,'Grid Data'!$A$4:$A$2342,$D$2)</f>
        <v>0</v>
      </c>
      <c r="G69" s="2">
        <f>SUMIFS('Grid Data'!$D$4:$D$2342,'Grid Data'!$B$4:$B$2342,$D69,'Grid Data'!$C$4:$C$2342,G$4,'Grid Data'!$A$4:$A$2342,$D$2)</f>
        <v>0</v>
      </c>
      <c r="H69" s="2">
        <f>SUMIFS('Grid Data'!$D$4:$D$2342,'Grid Data'!$B$4:$B$2342,$D69,'Grid Data'!$C$4:$C$2342,H$4,'Grid Data'!$A$4:$A$2342,$D$2)</f>
        <v>0</v>
      </c>
      <c r="I69" s="2">
        <f>SUMIFS('Grid Data'!$D$4:$D$2342,'Grid Data'!$B$4:$B$2342,$D69,'Grid Data'!$C$4:$C$2342,I$4,'Grid Data'!$A$4:$A$2342,$D$2)</f>
        <v>0</v>
      </c>
      <c r="J69" s="2">
        <f>SUMIFS('Grid Data'!$D$4:$D$2342,'Grid Data'!$B$4:$B$2342,$D69,'Grid Data'!$C$4:$C$2342,J$4,'Grid Data'!$A$4:$A$2342,$D$2)</f>
        <v>0</v>
      </c>
      <c r="K69" s="2">
        <f>SUMIFS('Grid Data'!$D$4:$D$2342,'Grid Data'!$B$4:$B$2342,$D69,'Grid Data'!$C$4:$C$2342,K$4,'Grid Data'!$A$4:$A$2342,$D$2)</f>
        <v>1</v>
      </c>
      <c r="L69" s="2">
        <f>SUMIFS('Grid Data'!$D$4:$D$2342,'Grid Data'!$B$4:$B$2342,$D69,'Grid Data'!$C$4:$C$2342,L$4,'Grid Data'!$A$4:$A$2342,$D$2)</f>
        <v>0</v>
      </c>
      <c r="M69" s="2">
        <f>SUMIFS('Grid Data'!$D$4:$D$2342,'Grid Data'!$B$4:$B$2342,$D69,'Grid Data'!$C$4:$C$2342,M$4,'Grid Data'!$A$4:$A$2342,$D$2)</f>
        <v>0</v>
      </c>
      <c r="N69" s="2">
        <f>SUMIFS('Grid Data'!$D$4:$D$2342,'Grid Data'!$B$4:$B$2342,$D69,'Grid Data'!$C$4:$C$2342,N$4,'Grid Data'!$A$4:$A$2342,$D$2)</f>
        <v>0</v>
      </c>
      <c r="O69" s="2">
        <f>SUMIFS('Grid Data'!$D$4:$D$2342,'Grid Data'!$B$4:$B$2342,$D69,'Grid Data'!$C$4:$C$2342,O$4,'Grid Data'!$A$4:$A$2342,$D$2)</f>
        <v>0</v>
      </c>
      <c r="P69" s="2">
        <f>SUMIFS('Grid Data'!$D$4:$D$2342,'Grid Data'!$B$4:$B$2342,$D69,'Grid Data'!$C$4:$C$2342,P$4,'Grid Data'!$A$4:$A$2342,$D$2)</f>
        <v>1</v>
      </c>
      <c r="Q69" s="2">
        <f>SUMIFS('Grid Data'!$D$4:$D$2342,'Grid Data'!$B$4:$B$2342,$D69,'Grid Data'!$C$4:$C$2342,Q$4,'Grid Data'!$A$4:$A$2342,$D$2)</f>
        <v>3</v>
      </c>
      <c r="R69" s="2">
        <f>SUMIFS('Grid Data'!$D$4:$D$2342,'Grid Data'!$B$4:$B$2342,$D69,'Grid Data'!$C$4:$C$2342,R$4,'Grid Data'!$A$4:$A$2342,$D$2)</f>
        <v>0</v>
      </c>
      <c r="S69" s="2">
        <f>SUMIFS('Grid Data'!$D$4:$D$2342,'Grid Data'!$B$4:$B$2342,$D69,'Grid Data'!$C$4:$C$2342,S$4,'Grid Data'!$A$4:$A$2342,$D$2)</f>
        <v>12</v>
      </c>
      <c r="T69" s="2">
        <f>SUMIFS('Grid Data'!$D$4:$D$2342,'Grid Data'!$B$4:$B$2342,$D69,'Grid Data'!$C$4:$C$2342,T$4,'Grid Data'!$A$4:$A$2342,$D$2)</f>
        <v>2570</v>
      </c>
      <c r="U69" s="2">
        <f>SUMIFS('Grid Data'!$D$4:$D$2342,'Grid Data'!$B$4:$B$2342,$D69,'Grid Data'!$C$4:$C$2342,U$4,'Grid Data'!$A$4:$A$2342,$D$2)</f>
        <v>15273</v>
      </c>
      <c r="V69" s="2">
        <f>SUMIFS('Grid Data'!$D$4:$D$2342,'Grid Data'!$B$4:$B$2342,$D69,'Grid Data'!$C$4:$C$2342,V$4,'Grid Data'!$A$4:$A$2342,$D$2)</f>
        <v>34657</v>
      </c>
      <c r="W69" s="2">
        <f>SUMIFS('Grid Data'!$D$4:$D$2342,'Grid Data'!$B$4:$B$2342,$D69,'Grid Data'!$C$4:$C$2342,W$4,'Grid Data'!$A$4:$A$2342,$D$2)</f>
        <v>10297</v>
      </c>
      <c r="X69" s="2">
        <f>SUMIFS('Grid Data'!$D$4:$D$2342,'Grid Data'!$B$4:$B$2342,$D69,'Grid Data'!$C$4:$C$2342,X$4,'Grid Data'!$A$4:$A$2342,$D$2)</f>
        <v>2</v>
      </c>
      <c r="Y69" s="2">
        <f>SUMIFS('Grid Data'!$D$4:$D$2342,'Grid Data'!$B$4:$B$2342,$D69,'Grid Data'!$C$4:$C$2342,Y$4,'Grid Data'!$A$4:$A$2342,$D$2)</f>
        <v>2</v>
      </c>
      <c r="Z69" s="2">
        <f>SUMIFS('Grid Data'!$D$4:$D$2342,'Grid Data'!$B$4:$B$2342,$D69,'Grid Data'!$C$4:$C$2342,Z$4,'Grid Data'!$A$4:$A$2342,$D$2)</f>
        <v>3</v>
      </c>
      <c r="AA69" s="2">
        <f>SUMIFS('Grid Data'!$D$4:$D$2342,'Grid Data'!$B$4:$B$2342,$D69,'Grid Data'!$C$4:$C$2342,AA$4,'Grid Data'!$A$4:$A$2342,$D$2)</f>
        <v>6</v>
      </c>
      <c r="AB69" s="2">
        <f>SUMIFS('Grid Data'!$D$4:$D$2342,'Grid Data'!$B$4:$B$2342,$D69,'Grid Data'!$C$4:$C$2342,AB$4,'Grid Data'!$A$4:$A$2342,$D$2)</f>
        <v>10</v>
      </c>
      <c r="AC69" s="2">
        <f>SUMIFS('Grid Data'!$D$4:$D$2342,'Grid Data'!$B$4:$B$2342,$D69,'Grid Data'!$C$4:$C$2342,AC$4,'Grid Data'!$A$4:$A$2342,$D$2)</f>
        <v>12</v>
      </c>
      <c r="AD69" s="2">
        <f>SUMIFS('Grid Data'!$D$4:$D$2342,'Grid Data'!$B$4:$B$2342,$D69,'Grid Data'!$C$4:$C$2342,AD$4,'Grid Data'!$A$4:$A$2342,$D$2)</f>
        <v>0</v>
      </c>
      <c r="AE69" s="2">
        <f>SUMIFS('Grid Data'!$D$4:$D$2342,'Grid Data'!$B$4:$B$2342,$D69,'Grid Data'!$C$4:$C$2342,AE$4,'Grid Data'!$A$4:$A$2342,$D$2)</f>
        <v>0</v>
      </c>
      <c r="AF69" s="2">
        <f>SUMIFS('Grid Data'!$D$4:$D$2342,'Grid Data'!$B$4:$B$2342,$D69,'Grid Data'!$C$4:$C$2342,AF$4,'Grid Data'!$A$4:$A$2342,$D$2)</f>
        <v>0</v>
      </c>
      <c r="AG69" s="2">
        <f>SUMIFS('Grid Data'!$D$4:$D$2342,'Grid Data'!$B$4:$B$2342,$D69,'Grid Data'!$C$4:$C$2342,AG$4,'Grid Data'!$A$4:$A$2342,$D$2)</f>
        <v>0</v>
      </c>
      <c r="AH69" s="2">
        <f>SUMIFS('Grid Data'!$D$4:$D$2342,'Grid Data'!$B$4:$B$2342,$D69,'Grid Data'!$C$4:$C$2342,AH$4,'Grid Data'!$A$4:$A$2342,$D$2)</f>
        <v>0</v>
      </c>
    </row>
    <row r="70" spans="3:34" x14ac:dyDescent="0.35">
      <c r="D70">
        <v>2500</v>
      </c>
      <c r="E70" s="2">
        <f>SUMIFS('Grid Data'!$D$4:$D$2342,'Grid Data'!$B$4:$B$2342,$D70,'Grid Data'!$C$4:$C$2342,E$4,'Grid Data'!$A$4:$A$2342,$D$2)</f>
        <v>0</v>
      </c>
      <c r="F70" s="2">
        <f>SUMIFS('Grid Data'!$D$4:$D$2342,'Grid Data'!$B$4:$B$2342,$D70,'Grid Data'!$C$4:$C$2342,F$4,'Grid Data'!$A$4:$A$2342,$D$2)</f>
        <v>0</v>
      </c>
      <c r="G70" s="2">
        <f>SUMIFS('Grid Data'!$D$4:$D$2342,'Grid Data'!$B$4:$B$2342,$D70,'Grid Data'!$C$4:$C$2342,G$4,'Grid Data'!$A$4:$A$2342,$D$2)</f>
        <v>0</v>
      </c>
      <c r="H70" s="2">
        <f>SUMIFS('Grid Data'!$D$4:$D$2342,'Grid Data'!$B$4:$B$2342,$D70,'Grid Data'!$C$4:$C$2342,H$4,'Grid Data'!$A$4:$A$2342,$D$2)</f>
        <v>1</v>
      </c>
      <c r="I70" s="2">
        <f>SUMIFS('Grid Data'!$D$4:$D$2342,'Grid Data'!$B$4:$B$2342,$D70,'Grid Data'!$C$4:$C$2342,I$4,'Grid Data'!$A$4:$A$2342,$D$2)</f>
        <v>5</v>
      </c>
      <c r="J70" s="2">
        <f>SUMIFS('Grid Data'!$D$4:$D$2342,'Grid Data'!$B$4:$B$2342,$D70,'Grid Data'!$C$4:$C$2342,J$4,'Grid Data'!$A$4:$A$2342,$D$2)</f>
        <v>1</v>
      </c>
      <c r="K70" s="2">
        <f>SUMIFS('Grid Data'!$D$4:$D$2342,'Grid Data'!$B$4:$B$2342,$D70,'Grid Data'!$C$4:$C$2342,K$4,'Grid Data'!$A$4:$A$2342,$D$2)</f>
        <v>0</v>
      </c>
      <c r="L70" s="2">
        <f>SUMIFS('Grid Data'!$D$4:$D$2342,'Grid Data'!$B$4:$B$2342,$D70,'Grid Data'!$C$4:$C$2342,L$4,'Grid Data'!$A$4:$A$2342,$D$2)</f>
        <v>0</v>
      </c>
      <c r="M70" s="2">
        <f>SUMIFS('Grid Data'!$D$4:$D$2342,'Grid Data'!$B$4:$B$2342,$D70,'Grid Data'!$C$4:$C$2342,M$4,'Grid Data'!$A$4:$A$2342,$D$2)</f>
        <v>1</v>
      </c>
      <c r="N70" s="2">
        <f>SUMIFS('Grid Data'!$D$4:$D$2342,'Grid Data'!$B$4:$B$2342,$D70,'Grid Data'!$C$4:$C$2342,N$4,'Grid Data'!$A$4:$A$2342,$D$2)</f>
        <v>0</v>
      </c>
      <c r="O70" s="2">
        <f>SUMIFS('Grid Data'!$D$4:$D$2342,'Grid Data'!$B$4:$B$2342,$D70,'Grid Data'!$C$4:$C$2342,O$4,'Grid Data'!$A$4:$A$2342,$D$2)</f>
        <v>0</v>
      </c>
      <c r="P70" s="2">
        <f>SUMIFS('Grid Data'!$D$4:$D$2342,'Grid Data'!$B$4:$B$2342,$D70,'Grid Data'!$C$4:$C$2342,P$4,'Grid Data'!$A$4:$A$2342,$D$2)</f>
        <v>0</v>
      </c>
      <c r="Q70" s="2">
        <f>SUMIFS('Grid Data'!$D$4:$D$2342,'Grid Data'!$B$4:$B$2342,$D70,'Grid Data'!$C$4:$C$2342,Q$4,'Grid Data'!$A$4:$A$2342,$D$2)</f>
        <v>4</v>
      </c>
      <c r="R70" s="2">
        <f>SUMIFS('Grid Data'!$D$4:$D$2342,'Grid Data'!$B$4:$B$2342,$D70,'Grid Data'!$C$4:$C$2342,R$4,'Grid Data'!$A$4:$A$2342,$D$2)</f>
        <v>2</v>
      </c>
      <c r="S70" s="2">
        <f>SUMIFS('Grid Data'!$D$4:$D$2342,'Grid Data'!$B$4:$B$2342,$D70,'Grid Data'!$C$4:$C$2342,S$4,'Grid Data'!$A$4:$A$2342,$D$2)</f>
        <v>21</v>
      </c>
      <c r="T70" s="2">
        <f>SUMIFS('Grid Data'!$D$4:$D$2342,'Grid Data'!$B$4:$B$2342,$D70,'Grid Data'!$C$4:$C$2342,T$4,'Grid Data'!$A$4:$A$2342,$D$2)</f>
        <v>7046</v>
      </c>
      <c r="U70" s="2">
        <f>SUMIFS('Grid Data'!$D$4:$D$2342,'Grid Data'!$B$4:$B$2342,$D70,'Grid Data'!$C$4:$C$2342,U$4,'Grid Data'!$A$4:$A$2342,$D$2)</f>
        <v>35137</v>
      </c>
      <c r="V70" s="2">
        <f>SUMIFS('Grid Data'!$D$4:$D$2342,'Grid Data'!$B$4:$B$2342,$D70,'Grid Data'!$C$4:$C$2342,V$4,'Grid Data'!$A$4:$A$2342,$D$2)</f>
        <v>61860</v>
      </c>
      <c r="W70" s="2">
        <f>SUMIFS('Grid Data'!$D$4:$D$2342,'Grid Data'!$B$4:$B$2342,$D70,'Grid Data'!$C$4:$C$2342,W$4,'Grid Data'!$A$4:$A$2342,$D$2)</f>
        <v>25981</v>
      </c>
      <c r="X70" s="2">
        <f>SUMIFS('Grid Data'!$D$4:$D$2342,'Grid Data'!$B$4:$B$2342,$D70,'Grid Data'!$C$4:$C$2342,X$4,'Grid Data'!$A$4:$A$2342,$D$2)</f>
        <v>6</v>
      </c>
      <c r="Y70" s="2">
        <f>SUMIFS('Grid Data'!$D$4:$D$2342,'Grid Data'!$B$4:$B$2342,$D70,'Grid Data'!$C$4:$C$2342,Y$4,'Grid Data'!$A$4:$A$2342,$D$2)</f>
        <v>2</v>
      </c>
      <c r="Z70" s="2">
        <f>SUMIFS('Grid Data'!$D$4:$D$2342,'Grid Data'!$B$4:$B$2342,$D70,'Grid Data'!$C$4:$C$2342,Z$4,'Grid Data'!$A$4:$A$2342,$D$2)</f>
        <v>26</v>
      </c>
      <c r="AA70" s="2">
        <f>SUMIFS('Grid Data'!$D$4:$D$2342,'Grid Data'!$B$4:$B$2342,$D70,'Grid Data'!$C$4:$C$2342,AA$4,'Grid Data'!$A$4:$A$2342,$D$2)</f>
        <v>86</v>
      </c>
      <c r="AB70" s="2">
        <f>SUMIFS('Grid Data'!$D$4:$D$2342,'Grid Data'!$B$4:$B$2342,$D70,'Grid Data'!$C$4:$C$2342,AB$4,'Grid Data'!$A$4:$A$2342,$D$2)</f>
        <v>19</v>
      </c>
      <c r="AC70" s="2">
        <f>SUMIFS('Grid Data'!$D$4:$D$2342,'Grid Data'!$B$4:$B$2342,$D70,'Grid Data'!$C$4:$C$2342,AC$4,'Grid Data'!$A$4:$A$2342,$D$2)</f>
        <v>241</v>
      </c>
      <c r="AD70" s="2">
        <f>SUMIFS('Grid Data'!$D$4:$D$2342,'Grid Data'!$B$4:$B$2342,$D70,'Grid Data'!$C$4:$C$2342,AD$4,'Grid Data'!$A$4:$A$2342,$D$2)</f>
        <v>2</v>
      </c>
      <c r="AE70" s="2">
        <f>SUMIFS('Grid Data'!$D$4:$D$2342,'Grid Data'!$B$4:$B$2342,$D70,'Grid Data'!$C$4:$C$2342,AE$4,'Grid Data'!$A$4:$A$2342,$D$2)</f>
        <v>0</v>
      </c>
      <c r="AF70" s="2">
        <f>SUMIFS('Grid Data'!$D$4:$D$2342,'Grid Data'!$B$4:$B$2342,$D70,'Grid Data'!$C$4:$C$2342,AF$4,'Grid Data'!$A$4:$A$2342,$D$2)</f>
        <v>0</v>
      </c>
      <c r="AG70" s="2">
        <f>SUMIFS('Grid Data'!$D$4:$D$2342,'Grid Data'!$B$4:$B$2342,$D70,'Grid Data'!$C$4:$C$2342,AG$4,'Grid Data'!$A$4:$A$2342,$D$2)</f>
        <v>0</v>
      </c>
      <c r="AH70" s="2">
        <f>SUMIFS('Grid Data'!$D$4:$D$2342,'Grid Data'!$B$4:$B$2342,$D70,'Grid Data'!$C$4:$C$2342,AH$4,'Grid Data'!$A$4:$A$2342,$D$2)</f>
        <v>0</v>
      </c>
    </row>
    <row r="71" spans="3:34" x14ac:dyDescent="0.35">
      <c r="D71">
        <v>2750</v>
      </c>
      <c r="E71" s="2">
        <f>SUMIFS('Grid Data'!$D$4:$D$2342,'Grid Data'!$B$4:$B$2342,$D71,'Grid Data'!$C$4:$C$2342,E$4,'Grid Data'!$A$4:$A$2342,$D$2)</f>
        <v>3</v>
      </c>
      <c r="F71" s="2">
        <f>SUMIFS('Grid Data'!$D$4:$D$2342,'Grid Data'!$B$4:$B$2342,$D71,'Grid Data'!$C$4:$C$2342,F$4,'Grid Data'!$A$4:$A$2342,$D$2)</f>
        <v>0</v>
      </c>
      <c r="G71" s="2">
        <f>SUMIFS('Grid Data'!$D$4:$D$2342,'Grid Data'!$B$4:$B$2342,$D71,'Grid Data'!$C$4:$C$2342,G$4,'Grid Data'!$A$4:$A$2342,$D$2)</f>
        <v>0</v>
      </c>
      <c r="H71" s="2">
        <f>SUMIFS('Grid Data'!$D$4:$D$2342,'Grid Data'!$B$4:$B$2342,$D71,'Grid Data'!$C$4:$C$2342,H$4,'Grid Data'!$A$4:$A$2342,$D$2)</f>
        <v>3</v>
      </c>
      <c r="I71" s="2">
        <f>SUMIFS('Grid Data'!$D$4:$D$2342,'Grid Data'!$B$4:$B$2342,$D71,'Grid Data'!$C$4:$C$2342,I$4,'Grid Data'!$A$4:$A$2342,$D$2)</f>
        <v>9</v>
      </c>
      <c r="J71" s="2">
        <f>SUMIFS('Grid Data'!$D$4:$D$2342,'Grid Data'!$B$4:$B$2342,$D71,'Grid Data'!$C$4:$C$2342,J$4,'Grid Data'!$A$4:$A$2342,$D$2)</f>
        <v>0</v>
      </c>
      <c r="K71" s="2">
        <f>SUMIFS('Grid Data'!$D$4:$D$2342,'Grid Data'!$B$4:$B$2342,$D71,'Grid Data'!$C$4:$C$2342,K$4,'Grid Data'!$A$4:$A$2342,$D$2)</f>
        <v>0</v>
      </c>
      <c r="L71" s="2">
        <f>SUMIFS('Grid Data'!$D$4:$D$2342,'Grid Data'!$B$4:$B$2342,$D71,'Grid Data'!$C$4:$C$2342,L$4,'Grid Data'!$A$4:$A$2342,$D$2)</f>
        <v>2</v>
      </c>
      <c r="M71" s="2">
        <f>SUMIFS('Grid Data'!$D$4:$D$2342,'Grid Data'!$B$4:$B$2342,$D71,'Grid Data'!$C$4:$C$2342,M$4,'Grid Data'!$A$4:$A$2342,$D$2)</f>
        <v>2</v>
      </c>
      <c r="N71" s="2">
        <f>SUMIFS('Grid Data'!$D$4:$D$2342,'Grid Data'!$B$4:$B$2342,$D71,'Grid Data'!$C$4:$C$2342,N$4,'Grid Data'!$A$4:$A$2342,$D$2)</f>
        <v>0</v>
      </c>
      <c r="O71" s="2">
        <f>SUMIFS('Grid Data'!$D$4:$D$2342,'Grid Data'!$B$4:$B$2342,$D71,'Grid Data'!$C$4:$C$2342,O$4,'Grid Data'!$A$4:$A$2342,$D$2)</f>
        <v>1</v>
      </c>
      <c r="P71" s="2">
        <f>SUMIFS('Grid Data'!$D$4:$D$2342,'Grid Data'!$B$4:$B$2342,$D71,'Grid Data'!$C$4:$C$2342,P$4,'Grid Data'!$A$4:$A$2342,$D$2)</f>
        <v>0</v>
      </c>
      <c r="Q71" s="2">
        <f>SUMIFS('Grid Data'!$D$4:$D$2342,'Grid Data'!$B$4:$B$2342,$D71,'Grid Data'!$C$4:$C$2342,Q$4,'Grid Data'!$A$4:$A$2342,$D$2)</f>
        <v>6</v>
      </c>
      <c r="R71" s="2">
        <f>SUMIFS('Grid Data'!$D$4:$D$2342,'Grid Data'!$B$4:$B$2342,$D71,'Grid Data'!$C$4:$C$2342,R$4,'Grid Data'!$A$4:$A$2342,$D$2)</f>
        <v>13</v>
      </c>
      <c r="S71" s="2">
        <f>SUMIFS('Grid Data'!$D$4:$D$2342,'Grid Data'!$B$4:$B$2342,$D71,'Grid Data'!$C$4:$C$2342,S$4,'Grid Data'!$A$4:$A$2342,$D$2)</f>
        <v>198</v>
      </c>
      <c r="T71" s="2">
        <f>SUMIFS('Grid Data'!$D$4:$D$2342,'Grid Data'!$B$4:$B$2342,$D71,'Grid Data'!$C$4:$C$2342,T$4,'Grid Data'!$A$4:$A$2342,$D$2)</f>
        <v>22705</v>
      </c>
      <c r="U71" s="2">
        <f>SUMIFS('Grid Data'!$D$4:$D$2342,'Grid Data'!$B$4:$B$2342,$D71,'Grid Data'!$C$4:$C$2342,U$4,'Grid Data'!$A$4:$A$2342,$D$2)</f>
        <v>96153</v>
      </c>
      <c r="V71" s="2">
        <f>SUMIFS('Grid Data'!$D$4:$D$2342,'Grid Data'!$B$4:$B$2342,$D71,'Grid Data'!$C$4:$C$2342,V$4,'Grid Data'!$A$4:$A$2342,$D$2)</f>
        <v>128292</v>
      </c>
      <c r="W71" s="2">
        <f>SUMIFS('Grid Data'!$D$4:$D$2342,'Grid Data'!$B$4:$B$2342,$D71,'Grid Data'!$C$4:$C$2342,W$4,'Grid Data'!$A$4:$A$2342,$D$2)</f>
        <v>106385</v>
      </c>
      <c r="X71" s="2">
        <f>SUMIFS('Grid Data'!$D$4:$D$2342,'Grid Data'!$B$4:$B$2342,$D71,'Grid Data'!$C$4:$C$2342,X$4,'Grid Data'!$A$4:$A$2342,$D$2)</f>
        <v>410</v>
      </c>
      <c r="Y71" s="2">
        <f>SUMIFS('Grid Data'!$D$4:$D$2342,'Grid Data'!$B$4:$B$2342,$D71,'Grid Data'!$C$4:$C$2342,Y$4,'Grid Data'!$A$4:$A$2342,$D$2)</f>
        <v>10</v>
      </c>
      <c r="Z71" s="2">
        <f>SUMIFS('Grid Data'!$D$4:$D$2342,'Grid Data'!$B$4:$B$2342,$D71,'Grid Data'!$C$4:$C$2342,Z$4,'Grid Data'!$A$4:$A$2342,$D$2)</f>
        <v>91</v>
      </c>
      <c r="AA71" s="2">
        <f>SUMIFS('Grid Data'!$D$4:$D$2342,'Grid Data'!$B$4:$B$2342,$D71,'Grid Data'!$C$4:$C$2342,AA$4,'Grid Data'!$A$4:$A$2342,$D$2)</f>
        <v>440</v>
      </c>
      <c r="AB71" s="2">
        <f>SUMIFS('Grid Data'!$D$4:$D$2342,'Grid Data'!$B$4:$B$2342,$D71,'Grid Data'!$C$4:$C$2342,AB$4,'Grid Data'!$A$4:$A$2342,$D$2)</f>
        <v>59</v>
      </c>
      <c r="AC71" s="2">
        <f>SUMIFS('Grid Data'!$D$4:$D$2342,'Grid Data'!$B$4:$B$2342,$D71,'Grid Data'!$C$4:$C$2342,AC$4,'Grid Data'!$A$4:$A$2342,$D$2)</f>
        <v>500</v>
      </c>
      <c r="AD71" s="2">
        <f>SUMIFS('Grid Data'!$D$4:$D$2342,'Grid Data'!$B$4:$B$2342,$D71,'Grid Data'!$C$4:$C$2342,AD$4,'Grid Data'!$A$4:$A$2342,$D$2)</f>
        <v>1</v>
      </c>
      <c r="AE71" s="2">
        <f>SUMIFS('Grid Data'!$D$4:$D$2342,'Grid Data'!$B$4:$B$2342,$D71,'Grid Data'!$C$4:$C$2342,AE$4,'Grid Data'!$A$4:$A$2342,$D$2)</f>
        <v>1</v>
      </c>
      <c r="AF71" s="2">
        <f>SUMIFS('Grid Data'!$D$4:$D$2342,'Grid Data'!$B$4:$B$2342,$D71,'Grid Data'!$C$4:$C$2342,AF$4,'Grid Data'!$A$4:$A$2342,$D$2)</f>
        <v>6</v>
      </c>
      <c r="AG71" s="2">
        <f>SUMIFS('Grid Data'!$D$4:$D$2342,'Grid Data'!$B$4:$B$2342,$D71,'Grid Data'!$C$4:$C$2342,AG$4,'Grid Data'!$A$4:$A$2342,$D$2)</f>
        <v>0</v>
      </c>
      <c r="AH71" s="2">
        <f>SUMIFS('Grid Data'!$D$4:$D$2342,'Grid Data'!$B$4:$B$2342,$D71,'Grid Data'!$C$4:$C$2342,AH$4,'Grid Data'!$A$4:$A$2342,$D$2)</f>
        <v>0</v>
      </c>
    </row>
    <row r="72" spans="3:34" x14ac:dyDescent="0.35">
      <c r="D72">
        <v>3000</v>
      </c>
      <c r="E72" s="2">
        <f>SUMIFS('Grid Data'!$D$4:$D$2342,'Grid Data'!$B$4:$B$2342,$D72,'Grid Data'!$C$4:$C$2342,E$4,'Grid Data'!$A$4:$A$2342,$D$2)</f>
        <v>4</v>
      </c>
      <c r="F72" s="2">
        <f>SUMIFS('Grid Data'!$D$4:$D$2342,'Grid Data'!$B$4:$B$2342,$D72,'Grid Data'!$C$4:$C$2342,F$4,'Grid Data'!$A$4:$A$2342,$D$2)</f>
        <v>0</v>
      </c>
      <c r="G72" s="2">
        <f>SUMIFS('Grid Data'!$D$4:$D$2342,'Grid Data'!$B$4:$B$2342,$D72,'Grid Data'!$C$4:$C$2342,G$4,'Grid Data'!$A$4:$A$2342,$D$2)</f>
        <v>0</v>
      </c>
      <c r="H72" s="2">
        <f>SUMIFS('Grid Data'!$D$4:$D$2342,'Grid Data'!$B$4:$B$2342,$D72,'Grid Data'!$C$4:$C$2342,H$4,'Grid Data'!$A$4:$A$2342,$D$2)</f>
        <v>5</v>
      </c>
      <c r="I72" s="2">
        <f>SUMIFS('Grid Data'!$D$4:$D$2342,'Grid Data'!$B$4:$B$2342,$D72,'Grid Data'!$C$4:$C$2342,I$4,'Grid Data'!$A$4:$A$2342,$D$2)</f>
        <v>5</v>
      </c>
      <c r="J72" s="2">
        <f>SUMIFS('Grid Data'!$D$4:$D$2342,'Grid Data'!$B$4:$B$2342,$D72,'Grid Data'!$C$4:$C$2342,J$4,'Grid Data'!$A$4:$A$2342,$D$2)</f>
        <v>0</v>
      </c>
      <c r="K72" s="2">
        <f>SUMIFS('Grid Data'!$D$4:$D$2342,'Grid Data'!$B$4:$B$2342,$D72,'Grid Data'!$C$4:$C$2342,K$4,'Grid Data'!$A$4:$A$2342,$D$2)</f>
        <v>1</v>
      </c>
      <c r="L72" s="2">
        <f>SUMIFS('Grid Data'!$D$4:$D$2342,'Grid Data'!$B$4:$B$2342,$D72,'Grid Data'!$C$4:$C$2342,L$4,'Grid Data'!$A$4:$A$2342,$D$2)</f>
        <v>3</v>
      </c>
      <c r="M72" s="2">
        <f>SUMIFS('Grid Data'!$D$4:$D$2342,'Grid Data'!$B$4:$B$2342,$D72,'Grid Data'!$C$4:$C$2342,M$4,'Grid Data'!$A$4:$A$2342,$D$2)</f>
        <v>1</v>
      </c>
      <c r="N72" s="2">
        <f>SUMIFS('Grid Data'!$D$4:$D$2342,'Grid Data'!$B$4:$B$2342,$D72,'Grid Data'!$C$4:$C$2342,N$4,'Grid Data'!$A$4:$A$2342,$D$2)</f>
        <v>0</v>
      </c>
      <c r="O72" s="2">
        <f>SUMIFS('Grid Data'!$D$4:$D$2342,'Grid Data'!$B$4:$B$2342,$D72,'Grid Data'!$C$4:$C$2342,O$4,'Grid Data'!$A$4:$A$2342,$D$2)</f>
        <v>1</v>
      </c>
      <c r="P72" s="2">
        <f>SUMIFS('Grid Data'!$D$4:$D$2342,'Grid Data'!$B$4:$B$2342,$D72,'Grid Data'!$C$4:$C$2342,P$4,'Grid Data'!$A$4:$A$2342,$D$2)</f>
        <v>1</v>
      </c>
      <c r="Q72" s="2">
        <f>SUMIFS('Grid Data'!$D$4:$D$2342,'Grid Data'!$B$4:$B$2342,$D72,'Grid Data'!$C$4:$C$2342,Q$4,'Grid Data'!$A$4:$A$2342,$D$2)</f>
        <v>11</v>
      </c>
      <c r="R72" s="2">
        <f>SUMIFS('Grid Data'!$D$4:$D$2342,'Grid Data'!$B$4:$B$2342,$D72,'Grid Data'!$C$4:$C$2342,R$4,'Grid Data'!$A$4:$A$2342,$D$2)</f>
        <v>56</v>
      </c>
      <c r="S72" s="2">
        <f>SUMIFS('Grid Data'!$D$4:$D$2342,'Grid Data'!$B$4:$B$2342,$D72,'Grid Data'!$C$4:$C$2342,S$4,'Grid Data'!$A$4:$A$2342,$D$2)</f>
        <v>661</v>
      </c>
      <c r="T72" s="2">
        <f>SUMIFS('Grid Data'!$D$4:$D$2342,'Grid Data'!$B$4:$B$2342,$D72,'Grid Data'!$C$4:$C$2342,T$4,'Grid Data'!$A$4:$A$2342,$D$2)</f>
        <v>36437</v>
      </c>
      <c r="U72" s="2">
        <f>SUMIFS('Grid Data'!$D$4:$D$2342,'Grid Data'!$B$4:$B$2342,$D72,'Grid Data'!$C$4:$C$2342,U$4,'Grid Data'!$A$4:$A$2342,$D$2)</f>
        <v>160772</v>
      </c>
      <c r="V72" s="2">
        <f>SUMIFS('Grid Data'!$D$4:$D$2342,'Grid Data'!$B$4:$B$2342,$D72,'Grid Data'!$C$4:$C$2342,V$4,'Grid Data'!$A$4:$A$2342,$D$2)</f>
        <v>112502</v>
      </c>
      <c r="W72" s="2">
        <f>SUMIFS('Grid Data'!$D$4:$D$2342,'Grid Data'!$B$4:$B$2342,$D72,'Grid Data'!$C$4:$C$2342,W$4,'Grid Data'!$A$4:$A$2342,$D$2)</f>
        <v>113269</v>
      </c>
      <c r="X72" s="2">
        <f>SUMIFS('Grid Data'!$D$4:$D$2342,'Grid Data'!$B$4:$B$2342,$D72,'Grid Data'!$C$4:$C$2342,X$4,'Grid Data'!$A$4:$A$2342,$D$2)</f>
        <v>2878</v>
      </c>
      <c r="Y72" s="2">
        <f>SUMIFS('Grid Data'!$D$4:$D$2342,'Grid Data'!$B$4:$B$2342,$D72,'Grid Data'!$C$4:$C$2342,Y$4,'Grid Data'!$A$4:$A$2342,$D$2)</f>
        <v>59</v>
      </c>
      <c r="Z72" s="2">
        <f>SUMIFS('Grid Data'!$D$4:$D$2342,'Grid Data'!$B$4:$B$2342,$D72,'Grid Data'!$C$4:$C$2342,Z$4,'Grid Data'!$A$4:$A$2342,$D$2)</f>
        <v>294</v>
      </c>
      <c r="AA72" s="2">
        <f>SUMIFS('Grid Data'!$D$4:$D$2342,'Grid Data'!$B$4:$B$2342,$D72,'Grid Data'!$C$4:$C$2342,AA$4,'Grid Data'!$A$4:$A$2342,$D$2)</f>
        <v>2430</v>
      </c>
      <c r="AB72" s="2">
        <f>SUMIFS('Grid Data'!$D$4:$D$2342,'Grid Data'!$B$4:$B$2342,$D72,'Grid Data'!$C$4:$C$2342,AB$4,'Grid Data'!$A$4:$A$2342,$D$2)</f>
        <v>322</v>
      </c>
      <c r="AC72" s="2">
        <f>SUMIFS('Grid Data'!$D$4:$D$2342,'Grid Data'!$B$4:$B$2342,$D72,'Grid Data'!$C$4:$C$2342,AC$4,'Grid Data'!$A$4:$A$2342,$D$2)</f>
        <v>3284</v>
      </c>
      <c r="AD72" s="2">
        <f>SUMIFS('Grid Data'!$D$4:$D$2342,'Grid Data'!$B$4:$B$2342,$D72,'Grid Data'!$C$4:$C$2342,AD$4,'Grid Data'!$A$4:$A$2342,$D$2)</f>
        <v>109</v>
      </c>
      <c r="AE72" s="2">
        <f>SUMIFS('Grid Data'!$D$4:$D$2342,'Grid Data'!$B$4:$B$2342,$D72,'Grid Data'!$C$4:$C$2342,AE$4,'Grid Data'!$A$4:$A$2342,$D$2)</f>
        <v>1</v>
      </c>
      <c r="AF72" s="2">
        <f>SUMIFS('Grid Data'!$D$4:$D$2342,'Grid Data'!$B$4:$B$2342,$D72,'Grid Data'!$C$4:$C$2342,AF$4,'Grid Data'!$A$4:$A$2342,$D$2)</f>
        <v>7</v>
      </c>
      <c r="AG72" s="2">
        <f>SUMIFS('Grid Data'!$D$4:$D$2342,'Grid Data'!$B$4:$B$2342,$D72,'Grid Data'!$C$4:$C$2342,AG$4,'Grid Data'!$A$4:$A$2342,$D$2)</f>
        <v>37</v>
      </c>
      <c r="AH72" s="2">
        <f>SUMIFS('Grid Data'!$D$4:$D$2342,'Grid Data'!$B$4:$B$2342,$D72,'Grid Data'!$C$4:$C$2342,AH$4,'Grid Data'!$A$4:$A$2342,$D$2)</f>
        <v>0</v>
      </c>
    </row>
    <row r="73" spans="3:34" x14ac:dyDescent="0.35">
      <c r="D73">
        <v>3250</v>
      </c>
      <c r="E73" s="2">
        <f>SUMIFS('Grid Data'!$D$4:$D$2342,'Grid Data'!$B$4:$B$2342,$D73,'Grid Data'!$C$4:$C$2342,E$4,'Grid Data'!$A$4:$A$2342,$D$2)</f>
        <v>87</v>
      </c>
      <c r="F73" s="2">
        <f>SUMIFS('Grid Data'!$D$4:$D$2342,'Grid Data'!$B$4:$B$2342,$D73,'Grid Data'!$C$4:$C$2342,F$4,'Grid Data'!$A$4:$A$2342,$D$2)</f>
        <v>2</v>
      </c>
      <c r="G73" s="2">
        <f>SUMIFS('Grid Data'!$D$4:$D$2342,'Grid Data'!$B$4:$B$2342,$D73,'Grid Data'!$C$4:$C$2342,G$4,'Grid Data'!$A$4:$A$2342,$D$2)</f>
        <v>2</v>
      </c>
      <c r="H73" s="2">
        <f>SUMIFS('Grid Data'!$D$4:$D$2342,'Grid Data'!$B$4:$B$2342,$D73,'Grid Data'!$C$4:$C$2342,H$4,'Grid Data'!$A$4:$A$2342,$D$2)</f>
        <v>12</v>
      </c>
      <c r="I73" s="2">
        <f>SUMIFS('Grid Data'!$D$4:$D$2342,'Grid Data'!$B$4:$B$2342,$D73,'Grid Data'!$C$4:$C$2342,I$4,'Grid Data'!$A$4:$A$2342,$D$2)</f>
        <v>5</v>
      </c>
      <c r="J73" s="2">
        <f>SUMIFS('Grid Data'!$D$4:$D$2342,'Grid Data'!$B$4:$B$2342,$D73,'Grid Data'!$C$4:$C$2342,J$4,'Grid Data'!$A$4:$A$2342,$D$2)</f>
        <v>4</v>
      </c>
      <c r="K73" s="2">
        <f>SUMIFS('Grid Data'!$D$4:$D$2342,'Grid Data'!$B$4:$B$2342,$D73,'Grid Data'!$C$4:$C$2342,K$4,'Grid Data'!$A$4:$A$2342,$D$2)</f>
        <v>3</v>
      </c>
      <c r="L73" s="2">
        <f>SUMIFS('Grid Data'!$D$4:$D$2342,'Grid Data'!$B$4:$B$2342,$D73,'Grid Data'!$C$4:$C$2342,L$4,'Grid Data'!$A$4:$A$2342,$D$2)</f>
        <v>5</v>
      </c>
      <c r="M73" s="2">
        <f>SUMIFS('Grid Data'!$D$4:$D$2342,'Grid Data'!$B$4:$B$2342,$D73,'Grid Data'!$C$4:$C$2342,M$4,'Grid Data'!$A$4:$A$2342,$D$2)</f>
        <v>3</v>
      </c>
      <c r="N73" s="2">
        <f>SUMIFS('Grid Data'!$D$4:$D$2342,'Grid Data'!$B$4:$B$2342,$D73,'Grid Data'!$C$4:$C$2342,N$4,'Grid Data'!$A$4:$A$2342,$D$2)</f>
        <v>1</v>
      </c>
      <c r="O73" s="2">
        <f>SUMIFS('Grid Data'!$D$4:$D$2342,'Grid Data'!$B$4:$B$2342,$D73,'Grid Data'!$C$4:$C$2342,O$4,'Grid Data'!$A$4:$A$2342,$D$2)</f>
        <v>1</v>
      </c>
      <c r="P73" s="2">
        <f>SUMIFS('Grid Data'!$D$4:$D$2342,'Grid Data'!$B$4:$B$2342,$D73,'Grid Data'!$C$4:$C$2342,P$4,'Grid Data'!$A$4:$A$2342,$D$2)</f>
        <v>4</v>
      </c>
      <c r="Q73" s="2">
        <f>SUMIFS('Grid Data'!$D$4:$D$2342,'Grid Data'!$B$4:$B$2342,$D73,'Grid Data'!$C$4:$C$2342,Q$4,'Grid Data'!$A$4:$A$2342,$D$2)</f>
        <v>14</v>
      </c>
      <c r="R73" s="2">
        <f>SUMIFS('Grid Data'!$D$4:$D$2342,'Grid Data'!$B$4:$B$2342,$D73,'Grid Data'!$C$4:$C$2342,R$4,'Grid Data'!$A$4:$A$2342,$D$2)</f>
        <v>79</v>
      </c>
      <c r="S73" s="2">
        <f>SUMIFS('Grid Data'!$D$4:$D$2342,'Grid Data'!$B$4:$B$2342,$D73,'Grid Data'!$C$4:$C$2342,S$4,'Grid Data'!$A$4:$A$2342,$D$2)</f>
        <v>1277</v>
      </c>
      <c r="T73" s="2">
        <f>SUMIFS('Grid Data'!$D$4:$D$2342,'Grid Data'!$B$4:$B$2342,$D73,'Grid Data'!$C$4:$C$2342,T$4,'Grid Data'!$A$4:$A$2342,$D$2)</f>
        <v>67802</v>
      </c>
      <c r="U73" s="2">
        <f>SUMIFS('Grid Data'!$D$4:$D$2342,'Grid Data'!$B$4:$B$2342,$D73,'Grid Data'!$C$4:$C$2342,U$4,'Grid Data'!$A$4:$A$2342,$D$2)</f>
        <v>163010</v>
      </c>
      <c r="V73" s="2">
        <f>SUMIFS('Grid Data'!$D$4:$D$2342,'Grid Data'!$B$4:$B$2342,$D73,'Grid Data'!$C$4:$C$2342,V$4,'Grid Data'!$A$4:$A$2342,$D$2)</f>
        <v>105691</v>
      </c>
      <c r="W73" s="2">
        <f>SUMIFS('Grid Data'!$D$4:$D$2342,'Grid Data'!$B$4:$B$2342,$D73,'Grid Data'!$C$4:$C$2342,W$4,'Grid Data'!$A$4:$A$2342,$D$2)</f>
        <v>138153</v>
      </c>
      <c r="X73" s="2">
        <f>SUMIFS('Grid Data'!$D$4:$D$2342,'Grid Data'!$B$4:$B$2342,$D73,'Grid Data'!$C$4:$C$2342,X$4,'Grid Data'!$A$4:$A$2342,$D$2)</f>
        <v>9615</v>
      </c>
      <c r="Y73" s="2">
        <f>SUMIFS('Grid Data'!$D$4:$D$2342,'Grid Data'!$B$4:$B$2342,$D73,'Grid Data'!$C$4:$C$2342,Y$4,'Grid Data'!$A$4:$A$2342,$D$2)</f>
        <v>649</v>
      </c>
      <c r="Z73" s="2">
        <f>SUMIFS('Grid Data'!$D$4:$D$2342,'Grid Data'!$B$4:$B$2342,$D73,'Grid Data'!$C$4:$C$2342,Z$4,'Grid Data'!$A$4:$A$2342,$D$2)</f>
        <v>5462</v>
      </c>
      <c r="AA73" s="2">
        <f>SUMIFS('Grid Data'!$D$4:$D$2342,'Grid Data'!$B$4:$B$2342,$D73,'Grid Data'!$C$4:$C$2342,AA$4,'Grid Data'!$A$4:$A$2342,$D$2)</f>
        <v>37871</v>
      </c>
      <c r="AB73" s="2">
        <f>SUMIFS('Grid Data'!$D$4:$D$2342,'Grid Data'!$B$4:$B$2342,$D73,'Grid Data'!$C$4:$C$2342,AB$4,'Grid Data'!$A$4:$A$2342,$D$2)</f>
        <v>6693</v>
      </c>
      <c r="AC73" s="2">
        <f>SUMIFS('Grid Data'!$D$4:$D$2342,'Grid Data'!$B$4:$B$2342,$D73,'Grid Data'!$C$4:$C$2342,AC$4,'Grid Data'!$A$4:$A$2342,$D$2)</f>
        <v>79944</v>
      </c>
      <c r="AD73" s="2">
        <f>SUMIFS('Grid Data'!$D$4:$D$2342,'Grid Data'!$B$4:$B$2342,$D73,'Grid Data'!$C$4:$C$2342,AD$4,'Grid Data'!$A$4:$A$2342,$D$2)</f>
        <v>113</v>
      </c>
      <c r="AE73" s="2">
        <f>SUMIFS('Grid Data'!$D$4:$D$2342,'Grid Data'!$B$4:$B$2342,$D73,'Grid Data'!$C$4:$C$2342,AE$4,'Grid Data'!$A$4:$A$2342,$D$2)</f>
        <v>0</v>
      </c>
      <c r="AF73" s="2">
        <f>SUMIFS('Grid Data'!$D$4:$D$2342,'Grid Data'!$B$4:$B$2342,$D73,'Grid Data'!$C$4:$C$2342,AF$4,'Grid Data'!$A$4:$A$2342,$D$2)</f>
        <v>0</v>
      </c>
      <c r="AG73" s="2">
        <f>SUMIFS('Grid Data'!$D$4:$D$2342,'Grid Data'!$B$4:$B$2342,$D73,'Grid Data'!$C$4:$C$2342,AG$4,'Grid Data'!$A$4:$A$2342,$D$2)</f>
        <v>0</v>
      </c>
      <c r="AH73" s="2">
        <f>SUMIFS('Grid Data'!$D$4:$D$2342,'Grid Data'!$B$4:$B$2342,$D73,'Grid Data'!$C$4:$C$2342,AH$4,'Grid Data'!$A$4:$A$2342,$D$2)</f>
        <v>0</v>
      </c>
    </row>
    <row r="74" spans="3:34" x14ac:dyDescent="0.35">
      <c r="D74">
        <v>3500</v>
      </c>
      <c r="E74" s="2">
        <f>SUMIFS('Grid Data'!$D$4:$D$2342,'Grid Data'!$B$4:$B$2342,$D74,'Grid Data'!$C$4:$C$2342,E$4,'Grid Data'!$A$4:$A$2342,$D$2)</f>
        <v>289</v>
      </c>
      <c r="F74" s="2">
        <f>SUMIFS('Grid Data'!$D$4:$D$2342,'Grid Data'!$B$4:$B$2342,$D74,'Grid Data'!$C$4:$C$2342,F$4,'Grid Data'!$A$4:$A$2342,$D$2)</f>
        <v>12</v>
      </c>
      <c r="G74" s="2">
        <f>SUMIFS('Grid Data'!$D$4:$D$2342,'Grid Data'!$B$4:$B$2342,$D74,'Grid Data'!$C$4:$C$2342,G$4,'Grid Data'!$A$4:$A$2342,$D$2)</f>
        <v>21</v>
      </c>
      <c r="H74" s="2">
        <f>SUMIFS('Grid Data'!$D$4:$D$2342,'Grid Data'!$B$4:$B$2342,$D74,'Grid Data'!$C$4:$C$2342,H$4,'Grid Data'!$A$4:$A$2342,$D$2)</f>
        <v>21</v>
      </c>
      <c r="I74" s="2">
        <f>SUMIFS('Grid Data'!$D$4:$D$2342,'Grid Data'!$B$4:$B$2342,$D74,'Grid Data'!$C$4:$C$2342,I$4,'Grid Data'!$A$4:$A$2342,$D$2)</f>
        <v>4</v>
      </c>
      <c r="J74" s="2">
        <f>SUMIFS('Grid Data'!$D$4:$D$2342,'Grid Data'!$B$4:$B$2342,$D74,'Grid Data'!$C$4:$C$2342,J$4,'Grid Data'!$A$4:$A$2342,$D$2)</f>
        <v>5</v>
      </c>
      <c r="K74" s="2">
        <f>SUMIFS('Grid Data'!$D$4:$D$2342,'Grid Data'!$B$4:$B$2342,$D74,'Grid Data'!$C$4:$C$2342,K$4,'Grid Data'!$A$4:$A$2342,$D$2)</f>
        <v>29</v>
      </c>
      <c r="L74" s="2">
        <f>SUMIFS('Grid Data'!$D$4:$D$2342,'Grid Data'!$B$4:$B$2342,$D74,'Grid Data'!$C$4:$C$2342,L$4,'Grid Data'!$A$4:$A$2342,$D$2)</f>
        <v>73</v>
      </c>
      <c r="M74" s="2">
        <f>SUMIFS('Grid Data'!$D$4:$D$2342,'Grid Data'!$B$4:$B$2342,$D74,'Grid Data'!$C$4:$C$2342,M$4,'Grid Data'!$A$4:$A$2342,$D$2)</f>
        <v>28</v>
      </c>
      <c r="N74" s="2">
        <f>SUMIFS('Grid Data'!$D$4:$D$2342,'Grid Data'!$B$4:$B$2342,$D74,'Grid Data'!$C$4:$C$2342,N$4,'Grid Data'!$A$4:$A$2342,$D$2)</f>
        <v>2</v>
      </c>
      <c r="O74" s="2">
        <f>SUMIFS('Grid Data'!$D$4:$D$2342,'Grid Data'!$B$4:$B$2342,$D74,'Grid Data'!$C$4:$C$2342,O$4,'Grid Data'!$A$4:$A$2342,$D$2)</f>
        <v>1</v>
      </c>
      <c r="P74" s="2">
        <f>SUMIFS('Grid Data'!$D$4:$D$2342,'Grid Data'!$B$4:$B$2342,$D74,'Grid Data'!$C$4:$C$2342,P$4,'Grid Data'!$A$4:$A$2342,$D$2)</f>
        <v>5</v>
      </c>
      <c r="Q74" s="2">
        <f>SUMIFS('Grid Data'!$D$4:$D$2342,'Grid Data'!$B$4:$B$2342,$D74,'Grid Data'!$C$4:$C$2342,Q$4,'Grid Data'!$A$4:$A$2342,$D$2)</f>
        <v>17</v>
      </c>
      <c r="R74" s="2">
        <f>SUMIFS('Grid Data'!$D$4:$D$2342,'Grid Data'!$B$4:$B$2342,$D74,'Grid Data'!$C$4:$C$2342,R$4,'Grid Data'!$A$4:$A$2342,$D$2)</f>
        <v>73</v>
      </c>
      <c r="S74" s="2">
        <f>SUMIFS('Grid Data'!$D$4:$D$2342,'Grid Data'!$B$4:$B$2342,$D74,'Grid Data'!$C$4:$C$2342,S$4,'Grid Data'!$A$4:$A$2342,$D$2)</f>
        <v>862</v>
      </c>
      <c r="T74" s="2">
        <f>SUMIFS('Grid Data'!$D$4:$D$2342,'Grid Data'!$B$4:$B$2342,$D74,'Grid Data'!$C$4:$C$2342,T$4,'Grid Data'!$A$4:$A$2342,$D$2)</f>
        <v>44721</v>
      </c>
      <c r="U74" s="2">
        <f>SUMIFS('Grid Data'!$D$4:$D$2342,'Grid Data'!$B$4:$B$2342,$D74,'Grid Data'!$C$4:$C$2342,U$4,'Grid Data'!$A$4:$A$2342,$D$2)</f>
        <v>56493</v>
      </c>
      <c r="V74" s="2">
        <f>SUMIFS('Grid Data'!$D$4:$D$2342,'Grid Data'!$B$4:$B$2342,$D74,'Grid Data'!$C$4:$C$2342,V$4,'Grid Data'!$A$4:$A$2342,$D$2)</f>
        <v>32481</v>
      </c>
      <c r="W74" s="2">
        <f>SUMIFS('Grid Data'!$D$4:$D$2342,'Grid Data'!$B$4:$B$2342,$D74,'Grid Data'!$C$4:$C$2342,W$4,'Grid Data'!$A$4:$A$2342,$D$2)</f>
        <v>76768</v>
      </c>
      <c r="X74" s="2">
        <f>SUMIFS('Grid Data'!$D$4:$D$2342,'Grid Data'!$B$4:$B$2342,$D74,'Grid Data'!$C$4:$C$2342,X$4,'Grid Data'!$A$4:$A$2342,$D$2)</f>
        <v>29922</v>
      </c>
      <c r="Y74" s="2">
        <f>SUMIFS('Grid Data'!$D$4:$D$2342,'Grid Data'!$B$4:$B$2342,$D74,'Grid Data'!$C$4:$C$2342,Y$4,'Grid Data'!$A$4:$A$2342,$D$2)</f>
        <v>2229</v>
      </c>
      <c r="Z74" s="2">
        <f>SUMIFS('Grid Data'!$D$4:$D$2342,'Grid Data'!$B$4:$B$2342,$D74,'Grid Data'!$C$4:$C$2342,Z$4,'Grid Data'!$A$4:$A$2342,$D$2)</f>
        <v>13505</v>
      </c>
      <c r="AA74" s="2">
        <f>SUMIFS('Grid Data'!$D$4:$D$2342,'Grid Data'!$B$4:$B$2342,$D74,'Grid Data'!$C$4:$C$2342,AA$4,'Grid Data'!$A$4:$A$2342,$D$2)</f>
        <v>59598</v>
      </c>
      <c r="AB74" s="2">
        <f>SUMIFS('Grid Data'!$D$4:$D$2342,'Grid Data'!$B$4:$B$2342,$D74,'Grid Data'!$C$4:$C$2342,AB$4,'Grid Data'!$A$4:$A$2342,$D$2)</f>
        <v>21236</v>
      </c>
      <c r="AC74" s="2">
        <f>SUMIFS('Grid Data'!$D$4:$D$2342,'Grid Data'!$B$4:$B$2342,$D74,'Grid Data'!$C$4:$C$2342,AC$4,'Grid Data'!$A$4:$A$2342,$D$2)</f>
        <v>81953</v>
      </c>
      <c r="AD74" s="2">
        <f>SUMIFS('Grid Data'!$D$4:$D$2342,'Grid Data'!$B$4:$B$2342,$D74,'Grid Data'!$C$4:$C$2342,AD$4,'Grid Data'!$A$4:$A$2342,$D$2)</f>
        <v>333</v>
      </c>
      <c r="AE74" s="2">
        <f>SUMIFS('Grid Data'!$D$4:$D$2342,'Grid Data'!$B$4:$B$2342,$D74,'Grid Data'!$C$4:$C$2342,AE$4,'Grid Data'!$A$4:$A$2342,$D$2)</f>
        <v>0</v>
      </c>
      <c r="AF74" s="2">
        <f>SUMIFS('Grid Data'!$D$4:$D$2342,'Grid Data'!$B$4:$B$2342,$D74,'Grid Data'!$C$4:$C$2342,AF$4,'Grid Data'!$A$4:$A$2342,$D$2)</f>
        <v>0</v>
      </c>
      <c r="AG74" s="2">
        <f>SUMIFS('Grid Data'!$D$4:$D$2342,'Grid Data'!$B$4:$B$2342,$D74,'Grid Data'!$C$4:$C$2342,AG$4,'Grid Data'!$A$4:$A$2342,$D$2)</f>
        <v>6</v>
      </c>
      <c r="AH74" s="2">
        <f>SUMIFS('Grid Data'!$D$4:$D$2342,'Grid Data'!$B$4:$B$2342,$D74,'Grid Data'!$C$4:$C$2342,AH$4,'Grid Data'!$A$4:$A$2342,$D$2)</f>
        <v>0</v>
      </c>
    </row>
    <row r="75" spans="3:34" x14ac:dyDescent="0.35">
      <c r="D75">
        <v>3750</v>
      </c>
      <c r="E75" s="2">
        <f>SUMIFS('Grid Data'!$D$4:$D$2342,'Grid Data'!$B$4:$B$2342,$D75,'Grid Data'!$C$4:$C$2342,E$4,'Grid Data'!$A$4:$A$2342,$D$2)</f>
        <v>702</v>
      </c>
      <c r="F75" s="2">
        <f>SUMIFS('Grid Data'!$D$4:$D$2342,'Grid Data'!$B$4:$B$2342,$D75,'Grid Data'!$C$4:$C$2342,F$4,'Grid Data'!$A$4:$A$2342,$D$2)</f>
        <v>80</v>
      </c>
      <c r="G75" s="2">
        <f>SUMIFS('Grid Data'!$D$4:$D$2342,'Grid Data'!$B$4:$B$2342,$D75,'Grid Data'!$C$4:$C$2342,G$4,'Grid Data'!$A$4:$A$2342,$D$2)</f>
        <v>202</v>
      </c>
      <c r="H75" s="2">
        <f>SUMIFS('Grid Data'!$D$4:$D$2342,'Grid Data'!$B$4:$B$2342,$D75,'Grid Data'!$C$4:$C$2342,H$4,'Grid Data'!$A$4:$A$2342,$D$2)</f>
        <v>112</v>
      </c>
      <c r="I75" s="2">
        <f>SUMIFS('Grid Data'!$D$4:$D$2342,'Grid Data'!$B$4:$B$2342,$D75,'Grid Data'!$C$4:$C$2342,I$4,'Grid Data'!$A$4:$A$2342,$D$2)</f>
        <v>63</v>
      </c>
      <c r="J75" s="2">
        <f>SUMIFS('Grid Data'!$D$4:$D$2342,'Grid Data'!$B$4:$B$2342,$D75,'Grid Data'!$C$4:$C$2342,J$4,'Grid Data'!$A$4:$A$2342,$D$2)</f>
        <v>51</v>
      </c>
      <c r="K75" s="2">
        <f>SUMIFS('Grid Data'!$D$4:$D$2342,'Grid Data'!$B$4:$B$2342,$D75,'Grid Data'!$C$4:$C$2342,K$4,'Grid Data'!$A$4:$A$2342,$D$2)</f>
        <v>200</v>
      </c>
      <c r="L75" s="2">
        <f>SUMIFS('Grid Data'!$D$4:$D$2342,'Grid Data'!$B$4:$B$2342,$D75,'Grid Data'!$C$4:$C$2342,L$4,'Grid Data'!$A$4:$A$2342,$D$2)</f>
        <v>588</v>
      </c>
      <c r="M75" s="2">
        <f>SUMIFS('Grid Data'!$D$4:$D$2342,'Grid Data'!$B$4:$B$2342,$D75,'Grid Data'!$C$4:$C$2342,M$4,'Grid Data'!$A$4:$A$2342,$D$2)</f>
        <v>155</v>
      </c>
      <c r="N75" s="2">
        <f>SUMIFS('Grid Data'!$D$4:$D$2342,'Grid Data'!$B$4:$B$2342,$D75,'Grid Data'!$C$4:$C$2342,N$4,'Grid Data'!$A$4:$A$2342,$D$2)</f>
        <v>9</v>
      </c>
      <c r="O75" s="2">
        <f>SUMIFS('Grid Data'!$D$4:$D$2342,'Grid Data'!$B$4:$B$2342,$D75,'Grid Data'!$C$4:$C$2342,O$4,'Grid Data'!$A$4:$A$2342,$D$2)</f>
        <v>10</v>
      </c>
      <c r="P75" s="2">
        <f>SUMIFS('Grid Data'!$D$4:$D$2342,'Grid Data'!$B$4:$B$2342,$D75,'Grid Data'!$C$4:$C$2342,P$4,'Grid Data'!$A$4:$A$2342,$D$2)</f>
        <v>13</v>
      </c>
      <c r="Q75" s="2">
        <f>SUMIFS('Grid Data'!$D$4:$D$2342,'Grid Data'!$B$4:$B$2342,$D75,'Grid Data'!$C$4:$C$2342,Q$4,'Grid Data'!$A$4:$A$2342,$D$2)</f>
        <v>46</v>
      </c>
      <c r="R75" s="2">
        <f>SUMIFS('Grid Data'!$D$4:$D$2342,'Grid Data'!$B$4:$B$2342,$D75,'Grid Data'!$C$4:$C$2342,R$4,'Grid Data'!$A$4:$A$2342,$D$2)</f>
        <v>137</v>
      </c>
      <c r="S75" s="2">
        <f>SUMIFS('Grid Data'!$D$4:$D$2342,'Grid Data'!$B$4:$B$2342,$D75,'Grid Data'!$C$4:$C$2342,S$4,'Grid Data'!$A$4:$A$2342,$D$2)</f>
        <v>1715</v>
      </c>
      <c r="T75" s="2">
        <f>SUMIFS('Grid Data'!$D$4:$D$2342,'Grid Data'!$B$4:$B$2342,$D75,'Grid Data'!$C$4:$C$2342,T$4,'Grid Data'!$A$4:$A$2342,$D$2)</f>
        <v>53836</v>
      </c>
      <c r="U75" s="2">
        <f>SUMIFS('Grid Data'!$D$4:$D$2342,'Grid Data'!$B$4:$B$2342,$D75,'Grid Data'!$C$4:$C$2342,U$4,'Grid Data'!$A$4:$A$2342,$D$2)</f>
        <v>49662</v>
      </c>
      <c r="V75" s="2">
        <f>SUMIFS('Grid Data'!$D$4:$D$2342,'Grid Data'!$B$4:$B$2342,$D75,'Grid Data'!$C$4:$C$2342,V$4,'Grid Data'!$A$4:$A$2342,$D$2)</f>
        <v>25141</v>
      </c>
      <c r="W75" s="2">
        <f>SUMIFS('Grid Data'!$D$4:$D$2342,'Grid Data'!$B$4:$B$2342,$D75,'Grid Data'!$C$4:$C$2342,W$4,'Grid Data'!$A$4:$A$2342,$D$2)</f>
        <v>98481</v>
      </c>
      <c r="X75" s="2">
        <f>SUMIFS('Grid Data'!$D$4:$D$2342,'Grid Data'!$B$4:$B$2342,$D75,'Grid Data'!$C$4:$C$2342,X$4,'Grid Data'!$A$4:$A$2342,$D$2)</f>
        <v>43502</v>
      </c>
      <c r="Y75" s="2">
        <f>SUMIFS('Grid Data'!$D$4:$D$2342,'Grid Data'!$B$4:$B$2342,$D75,'Grid Data'!$C$4:$C$2342,Y$4,'Grid Data'!$A$4:$A$2342,$D$2)</f>
        <v>10223</v>
      </c>
      <c r="Z75" s="2">
        <f>SUMIFS('Grid Data'!$D$4:$D$2342,'Grid Data'!$B$4:$B$2342,$D75,'Grid Data'!$C$4:$C$2342,Z$4,'Grid Data'!$A$4:$A$2342,$D$2)</f>
        <v>52737</v>
      </c>
      <c r="AA75" s="2">
        <f>SUMIFS('Grid Data'!$D$4:$D$2342,'Grid Data'!$B$4:$B$2342,$D75,'Grid Data'!$C$4:$C$2342,AA$4,'Grid Data'!$A$4:$A$2342,$D$2)</f>
        <v>79078</v>
      </c>
      <c r="AB75" s="2">
        <f>SUMIFS('Grid Data'!$D$4:$D$2342,'Grid Data'!$B$4:$B$2342,$D75,'Grid Data'!$C$4:$C$2342,AB$4,'Grid Data'!$A$4:$A$2342,$D$2)</f>
        <v>70353</v>
      </c>
      <c r="AC75" s="2">
        <f>SUMIFS('Grid Data'!$D$4:$D$2342,'Grid Data'!$B$4:$B$2342,$D75,'Grid Data'!$C$4:$C$2342,AC$4,'Grid Data'!$A$4:$A$2342,$D$2)</f>
        <v>125243</v>
      </c>
      <c r="AD75" s="2">
        <f>SUMIFS('Grid Data'!$D$4:$D$2342,'Grid Data'!$B$4:$B$2342,$D75,'Grid Data'!$C$4:$C$2342,AD$4,'Grid Data'!$A$4:$A$2342,$D$2)</f>
        <v>5026</v>
      </c>
      <c r="AE75" s="2">
        <f>SUMIFS('Grid Data'!$D$4:$D$2342,'Grid Data'!$B$4:$B$2342,$D75,'Grid Data'!$C$4:$C$2342,AE$4,'Grid Data'!$A$4:$A$2342,$D$2)</f>
        <v>0</v>
      </c>
      <c r="AF75" s="2">
        <f>SUMIFS('Grid Data'!$D$4:$D$2342,'Grid Data'!$B$4:$B$2342,$D75,'Grid Data'!$C$4:$C$2342,AF$4,'Grid Data'!$A$4:$A$2342,$D$2)</f>
        <v>3</v>
      </c>
      <c r="AG75" s="2">
        <f>SUMIFS('Grid Data'!$D$4:$D$2342,'Grid Data'!$B$4:$B$2342,$D75,'Grid Data'!$C$4:$C$2342,AG$4,'Grid Data'!$A$4:$A$2342,$D$2)</f>
        <v>11</v>
      </c>
      <c r="AH75" s="2">
        <f>SUMIFS('Grid Data'!$D$4:$D$2342,'Grid Data'!$B$4:$B$2342,$D75,'Grid Data'!$C$4:$C$2342,AH$4,'Grid Data'!$A$4:$A$2342,$D$2)</f>
        <v>0</v>
      </c>
    </row>
    <row r="76" spans="3:34" x14ac:dyDescent="0.35">
      <c r="D76">
        <v>4000</v>
      </c>
      <c r="E76" s="2">
        <f>SUMIFS('Grid Data'!$D$4:$D$2342,'Grid Data'!$B$4:$B$2342,$D76,'Grid Data'!$C$4:$C$2342,E$4,'Grid Data'!$A$4:$A$2342,$D$2)</f>
        <v>10485</v>
      </c>
      <c r="F76" s="2">
        <f>SUMIFS('Grid Data'!$D$4:$D$2342,'Grid Data'!$B$4:$B$2342,$D76,'Grid Data'!$C$4:$C$2342,F$4,'Grid Data'!$A$4:$A$2342,$D$2)</f>
        <v>1727</v>
      </c>
      <c r="G76" s="2">
        <f>SUMIFS('Grid Data'!$D$4:$D$2342,'Grid Data'!$B$4:$B$2342,$D76,'Grid Data'!$C$4:$C$2342,G$4,'Grid Data'!$A$4:$A$2342,$D$2)</f>
        <v>1866</v>
      </c>
      <c r="H76" s="2">
        <f>SUMIFS('Grid Data'!$D$4:$D$2342,'Grid Data'!$B$4:$B$2342,$D76,'Grid Data'!$C$4:$C$2342,H$4,'Grid Data'!$A$4:$A$2342,$D$2)</f>
        <v>1048</v>
      </c>
      <c r="I76" s="2">
        <f>SUMIFS('Grid Data'!$D$4:$D$2342,'Grid Data'!$B$4:$B$2342,$D76,'Grid Data'!$C$4:$C$2342,I$4,'Grid Data'!$A$4:$A$2342,$D$2)</f>
        <v>494</v>
      </c>
      <c r="J76" s="2">
        <f>SUMIFS('Grid Data'!$D$4:$D$2342,'Grid Data'!$B$4:$B$2342,$D76,'Grid Data'!$C$4:$C$2342,J$4,'Grid Data'!$A$4:$A$2342,$D$2)</f>
        <v>650</v>
      </c>
      <c r="K76" s="2">
        <f>SUMIFS('Grid Data'!$D$4:$D$2342,'Grid Data'!$B$4:$B$2342,$D76,'Grid Data'!$C$4:$C$2342,K$4,'Grid Data'!$A$4:$A$2342,$D$2)</f>
        <v>2226</v>
      </c>
      <c r="L76" s="2">
        <f>SUMIFS('Grid Data'!$D$4:$D$2342,'Grid Data'!$B$4:$B$2342,$D76,'Grid Data'!$C$4:$C$2342,L$4,'Grid Data'!$A$4:$A$2342,$D$2)</f>
        <v>3316</v>
      </c>
      <c r="M76" s="2">
        <f>SUMIFS('Grid Data'!$D$4:$D$2342,'Grid Data'!$B$4:$B$2342,$D76,'Grid Data'!$C$4:$C$2342,M$4,'Grid Data'!$A$4:$A$2342,$D$2)</f>
        <v>1195</v>
      </c>
      <c r="N76" s="2">
        <f>SUMIFS('Grid Data'!$D$4:$D$2342,'Grid Data'!$B$4:$B$2342,$D76,'Grid Data'!$C$4:$C$2342,N$4,'Grid Data'!$A$4:$A$2342,$D$2)</f>
        <v>5</v>
      </c>
      <c r="O76" s="2">
        <f>SUMIFS('Grid Data'!$D$4:$D$2342,'Grid Data'!$B$4:$B$2342,$D76,'Grid Data'!$C$4:$C$2342,O$4,'Grid Data'!$A$4:$A$2342,$D$2)</f>
        <v>14</v>
      </c>
      <c r="P76" s="2">
        <f>SUMIFS('Grid Data'!$D$4:$D$2342,'Grid Data'!$B$4:$B$2342,$D76,'Grid Data'!$C$4:$C$2342,P$4,'Grid Data'!$A$4:$A$2342,$D$2)</f>
        <v>11</v>
      </c>
      <c r="Q76" s="2">
        <f>SUMIFS('Grid Data'!$D$4:$D$2342,'Grid Data'!$B$4:$B$2342,$D76,'Grid Data'!$C$4:$C$2342,Q$4,'Grid Data'!$A$4:$A$2342,$D$2)</f>
        <v>48</v>
      </c>
      <c r="R76" s="2">
        <f>SUMIFS('Grid Data'!$D$4:$D$2342,'Grid Data'!$B$4:$B$2342,$D76,'Grid Data'!$C$4:$C$2342,R$4,'Grid Data'!$A$4:$A$2342,$D$2)</f>
        <v>451</v>
      </c>
      <c r="S76" s="2">
        <f>SUMIFS('Grid Data'!$D$4:$D$2342,'Grid Data'!$B$4:$B$2342,$D76,'Grid Data'!$C$4:$C$2342,S$4,'Grid Data'!$A$4:$A$2342,$D$2)</f>
        <v>4393</v>
      </c>
      <c r="T76" s="2">
        <f>SUMIFS('Grid Data'!$D$4:$D$2342,'Grid Data'!$B$4:$B$2342,$D76,'Grid Data'!$C$4:$C$2342,T$4,'Grid Data'!$A$4:$A$2342,$D$2)</f>
        <v>39958</v>
      </c>
      <c r="U76" s="2">
        <f>SUMIFS('Grid Data'!$D$4:$D$2342,'Grid Data'!$B$4:$B$2342,$D76,'Grid Data'!$C$4:$C$2342,U$4,'Grid Data'!$A$4:$A$2342,$D$2)</f>
        <v>17159</v>
      </c>
      <c r="V76" s="2">
        <f>SUMIFS('Grid Data'!$D$4:$D$2342,'Grid Data'!$B$4:$B$2342,$D76,'Grid Data'!$C$4:$C$2342,V$4,'Grid Data'!$A$4:$A$2342,$D$2)</f>
        <v>9262</v>
      </c>
      <c r="W76" s="2">
        <f>SUMIFS('Grid Data'!$D$4:$D$2342,'Grid Data'!$B$4:$B$2342,$D76,'Grid Data'!$C$4:$C$2342,W$4,'Grid Data'!$A$4:$A$2342,$D$2)</f>
        <v>36515</v>
      </c>
      <c r="X76" s="2">
        <f>SUMIFS('Grid Data'!$D$4:$D$2342,'Grid Data'!$B$4:$B$2342,$D76,'Grid Data'!$C$4:$C$2342,X$4,'Grid Data'!$A$4:$A$2342,$D$2)</f>
        <v>41258</v>
      </c>
      <c r="Y76" s="2">
        <f>SUMIFS('Grid Data'!$D$4:$D$2342,'Grid Data'!$B$4:$B$2342,$D76,'Grid Data'!$C$4:$C$2342,Y$4,'Grid Data'!$A$4:$A$2342,$D$2)</f>
        <v>19036</v>
      </c>
      <c r="Z76" s="2">
        <f>SUMIFS('Grid Data'!$D$4:$D$2342,'Grid Data'!$B$4:$B$2342,$D76,'Grid Data'!$C$4:$C$2342,Z$4,'Grid Data'!$A$4:$A$2342,$D$2)</f>
        <v>66882</v>
      </c>
      <c r="AA76" s="2">
        <f>SUMIFS('Grid Data'!$D$4:$D$2342,'Grid Data'!$B$4:$B$2342,$D76,'Grid Data'!$C$4:$C$2342,AA$4,'Grid Data'!$A$4:$A$2342,$D$2)</f>
        <v>71438</v>
      </c>
      <c r="AB76" s="2">
        <f>SUMIFS('Grid Data'!$D$4:$D$2342,'Grid Data'!$B$4:$B$2342,$D76,'Grid Data'!$C$4:$C$2342,AB$4,'Grid Data'!$A$4:$A$2342,$D$2)</f>
        <v>82560</v>
      </c>
      <c r="AC76" s="2">
        <f>SUMIFS('Grid Data'!$D$4:$D$2342,'Grid Data'!$B$4:$B$2342,$D76,'Grid Data'!$C$4:$C$2342,AC$4,'Grid Data'!$A$4:$A$2342,$D$2)</f>
        <v>100224</v>
      </c>
      <c r="AD76" s="2">
        <f>SUMIFS('Grid Data'!$D$4:$D$2342,'Grid Data'!$B$4:$B$2342,$D76,'Grid Data'!$C$4:$C$2342,AD$4,'Grid Data'!$A$4:$A$2342,$D$2)</f>
        <v>13195</v>
      </c>
      <c r="AE76" s="2">
        <f>SUMIFS('Grid Data'!$D$4:$D$2342,'Grid Data'!$B$4:$B$2342,$D76,'Grid Data'!$C$4:$C$2342,AE$4,'Grid Data'!$A$4:$A$2342,$D$2)</f>
        <v>98</v>
      </c>
      <c r="AF76" s="2">
        <f>SUMIFS('Grid Data'!$D$4:$D$2342,'Grid Data'!$B$4:$B$2342,$D76,'Grid Data'!$C$4:$C$2342,AF$4,'Grid Data'!$A$4:$A$2342,$D$2)</f>
        <v>16</v>
      </c>
      <c r="AG76" s="2">
        <f>SUMIFS('Grid Data'!$D$4:$D$2342,'Grid Data'!$B$4:$B$2342,$D76,'Grid Data'!$C$4:$C$2342,AG$4,'Grid Data'!$A$4:$A$2342,$D$2)</f>
        <v>41</v>
      </c>
      <c r="AH76" s="2">
        <f>SUMIFS('Grid Data'!$D$4:$D$2342,'Grid Data'!$B$4:$B$2342,$D76,'Grid Data'!$C$4:$C$2342,AH$4,'Grid Data'!$A$4:$A$2342,$D$2)</f>
        <v>40</v>
      </c>
    </row>
    <row r="77" spans="3:34" x14ac:dyDescent="0.35">
      <c r="D77">
        <v>4250</v>
      </c>
      <c r="E77" s="2">
        <f>SUMIFS('Grid Data'!$D$4:$D$2342,'Grid Data'!$B$4:$B$2342,$D77,'Grid Data'!$C$4:$C$2342,E$4,'Grid Data'!$A$4:$A$2342,$D$2)</f>
        <v>1909</v>
      </c>
      <c r="F77" s="2">
        <f>SUMIFS('Grid Data'!$D$4:$D$2342,'Grid Data'!$B$4:$B$2342,$D77,'Grid Data'!$C$4:$C$2342,F$4,'Grid Data'!$A$4:$A$2342,$D$2)</f>
        <v>355</v>
      </c>
      <c r="G77" s="2">
        <f>SUMIFS('Grid Data'!$D$4:$D$2342,'Grid Data'!$B$4:$B$2342,$D77,'Grid Data'!$C$4:$C$2342,G$4,'Grid Data'!$A$4:$A$2342,$D$2)</f>
        <v>540</v>
      </c>
      <c r="H77" s="2">
        <f>SUMIFS('Grid Data'!$D$4:$D$2342,'Grid Data'!$B$4:$B$2342,$D77,'Grid Data'!$C$4:$C$2342,H$4,'Grid Data'!$A$4:$A$2342,$D$2)</f>
        <v>330</v>
      </c>
      <c r="I77" s="2">
        <f>SUMIFS('Grid Data'!$D$4:$D$2342,'Grid Data'!$B$4:$B$2342,$D77,'Grid Data'!$C$4:$C$2342,I$4,'Grid Data'!$A$4:$A$2342,$D$2)</f>
        <v>333</v>
      </c>
      <c r="J77" s="2">
        <f>SUMIFS('Grid Data'!$D$4:$D$2342,'Grid Data'!$B$4:$B$2342,$D77,'Grid Data'!$C$4:$C$2342,J$4,'Grid Data'!$A$4:$A$2342,$D$2)</f>
        <v>395</v>
      </c>
      <c r="K77" s="2">
        <f>SUMIFS('Grid Data'!$D$4:$D$2342,'Grid Data'!$B$4:$B$2342,$D77,'Grid Data'!$C$4:$C$2342,K$4,'Grid Data'!$A$4:$A$2342,$D$2)</f>
        <v>696</v>
      </c>
      <c r="L77" s="2">
        <f>SUMIFS('Grid Data'!$D$4:$D$2342,'Grid Data'!$B$4:$B$2342,$D77,'Grid Data'!$C$4:$C$2342,L$4,'Grid Data'!$A$4:$A$2342,$D$2)</f>
        <v>1559</v>
      </c>
      <c r="M77" s="2">
        <f>SUMIFS('Grid Data'!$D$4:$D$2342,'Grid Data'!$B$4:$B$2342,$D77,'Grid Data'!$C$4:$C$2342,M$4,'Grid Data'!$A$4:$A$2342,$D$2)</f>
        <v>966</v>
      </c>
      <c r="N77" s="2">
        <f>SUMIFS('Grid Data'!$D$4:$D$2342,'Grid Data'!$B$4:$B$2342,$D77,'Grid Data'!$C$4:$C$2342,N$4,'Grid Data'!$A$4:$A$2342,$D$2)</f>
        <v>224</v>
      </c>
      <c r="O77" s="2">
        <f>SUMIFS('Grid Data'!$D$4:$D$2342,'Grid Data'!$B$4:$B$2342,$D77,'Grid Data'!$C$4:$C$2342,O$4,'Grid Data'!$A$4:$A$2342,$D$2)</f>
        <v>218</v>
      </c>
      <c r="P77" s="2">
        <f>SUMIFS('Grid Data'!$D$4:$D$2342,'Grid Data'!$B$4:$B$2342,$D77,'Grid Data'!$C$4:$C$2342,P$4,'Grid Data'!$A$4:$A$2342,$D$2)</f>
        <v>577</v>
      </c>
      <c r="Q77" s="2">
        <f>SUMIFS('Grid Data'!$D$4:$D$2342,'Grid Data'!$B$4:$B$2342,$D77,'Grid Data'!$C$4:$C$2342,Q$4,'Grid Data'!$A$4:$A$2342,$D$2)</f>
        <v>944</v>
      </c>
      <c r="R77" s="2">
        <f>SUMIFS('Grid Data'!$D$4:$D$2342,'Grid Data'!$B$4:$B$2342,$D77,'Grid Data'!$C$4:$C$2342,R$4,'Grid Data'!$A$4:$A$2342,$D$2)</f>
        <v>732</v>
      </c>
      <c r="S77" s="2">
        <f>SUMIFS('Grid Data'!$D$4:$D$2342,'Grid Data'!$B$4:$B$2342,$D77,'Grid Data'!$C$4:$C$2342,S$4,'Grid Data'!$A$4:$A$2342,$D$2)</f>
        <v>7466</v>
      </c>
      <c r="T77" s="2">
        <f>SUMIFS('Grid Data'!$D$4:$D$2342,'Grid Data'!$B$4:$B$2342,$D77,'Grid Data'!$C$4:$C$2342,T$4,'Grid Data'!$A$4:$A$2342,$D$2)</f>
        <v>35134</v>
      </c>
      <c r="U77" s="2">
        <f>SUMIFS('Grid Data'!$D$4:$D$2342,'Grid Data'!$B$4:$B$2342,$D77,'Grid Data'!$C$4:$C$2342,U$4,'Grid Data'!$A$4:$A$2342,$D$2)</f>
        <v>10567</v>
      </c>
      <c r="V77" s="2">
        <f>SUMIFS('Grid Data'!$D$4:$D$2342,'Grid Data'!$B$4:$B$2342,$D77,'Grid Data'!$C$4:$C$2342,V$4,'Grid Data'!$A$4:$A$2342,$D$2)</f>
        <v>4851</v>
      </c>
      <c r="W77" s="2">
        <f>SUMIFS('Grid Data'!$D$4:$D$2342,'Grid Data'!$B$4:$B$2342,$D77,'Grid Data'!$C$4:$C$2342,W$4,'Grid Data'!$A$4:$A$2342,$D$2)</f>
        <v>25155</v>
      </c>
      <c r="X77" s="2">
        <f>SUMIFS('Grid Data'!$D$4:$D$2342,'Grid Data'!$B$4:$B$2342,$D77,'Grid Data'!$C$4:$C$2342,X$4,'Grid Data'!$A$4:$A$2342,$D$2)</f>
        <v>46897</v>
      </c>
      <c r="Y77" s="2">
        <f>SUMIFS('Grid Data'!$D$4:$D$2342,'Grid Data'!$B$4:$B$2342,$D77,'Grid Data'!$C$4:$C$2342,Y$4,'Grid Data'!$A$4:$A$2342,$D$2)</f>
        <v>28810</v>
      </c>
      <c r="Z77" s="2">
        <f>SUMIFS('Grid Data'!$D$4:$D$2342,'Grid Data'!$B$4:$B$2342,$D77,'Grid Data'!$C$4:$C$2342,Z$4,'Grid Data'!$A$4:$A$2342,$D$2)</f>
        <v>57419</v>
      </c>
      <c r="AA77" s="2">
        <f>SUMIFS('Grid Data'!$D$4:$D$2342,'Grid Data'!$B$4:$B$2342,$D77,'Grid Data'!$C$4:$C$2342,AA$4,'Grid Data'!$A$4:$A$2342,$D$2)</f>
        <v>30424</v>
      </c>
      <c r="AB77" s="2">
        <f>SUMIFS('Grid Data'!$D$4:$D$2342,'Grid Data'!$B$4:$B$2342,$D77,'Grid Data'!$C$4:$C$2342,AB$4,'Grid Data'!$A$4:$A$2342,$D$2)</f>
        <v>81303</v>
      </c>
      <c r="AC77" s="2">
        <f>SUMIFS('Grid Data'!$D$4:$D$2342,'Grid Data'!$B$4:$B$2342,$D77,'Grid Data'!$C$4:$C$2342,AC$4,'Grid Data'!$A$4:$A$2342,$D$2)</f>
        <v>46459</v>
      </c>
      <c r="AD77" s="2">
        <f>SUMIFS('Grid Data'!$D$4:$D$2342,'Grid Data'!$B$4:$B$2342,$D77,'Grid Data'!$C$4:$C$2342,AD$4,'Grid Data'!$A$4:$A$2342,$D$2)</f>
        <v>32462</v>
      </c>
      <c r="AE77" s="2">
        <f>SUMIFS('Grid Data'!$D$4:$D$2342,'Grid Data'!$B$4:$B$2342,$D77,'Grid Data'!$C$4:$C$2342,AE$4,'Grid Data'!$A$4:$A$2342,$D$2)</f>
        <v>391</v>
      </c>
      <c r="AF77" s="2">
        <f>SUMIFS('Grid Data'!$D$4:$D$2342,'Grid Data'!$B$4:$B$2342,$D77,'Grid Data'!$C$4:$C$2342,AF$4,'Grid Data'!$A$4:$A$2342,$D$2)</f>
        <v>4</v>
      </c>
      <c r="AG77" s="2">
        <f>SUMIFS('Grid Data'!$D$4:$D$2342,'Grid Data'!$B$4:$B$2342,$D77,'Grid Data'!$C$4:$C$2342,AG$4,'Grid Data'!$A$4:$A$2342,$D$2)</f>
        <v>35</v>
      </c>
      <c r="AH77" s="2">
        <f>SUMIFS('Grid Data'!$D$4:$D$2342,'Grid Data'!$B$4:$B$2342,$D77,'Grid Data'!$C$4:$C$2342,AH$4,'Grid Data'!$A$4:$A$2342,$D$2)</f>
        <v>0</v>
      </c>
    </row>
    <row r="78" spans="3:34" x14ac:dyDescent="0.35">
      <c r="D78">
        <v>4500</v>
      </c>
      <c r="E78" s="2">
        <f>SUMIFS('Grid Data'!$D$4:$D$2342,'Grid Data'!$B$4:$B$2342,$D78,'Grid Data'!$C$4:$C$2342,E$4,'Grid Data'!$A$4:$A$2342,$D$2)</f>
        <v>2875</v>
      </c>
      <c r="F78" s="2">
        <f>SUMIFS('Grid Data'!$D$4:$D$2342,'Grid Data'!$B$4:$B$2342,$D78,'Grid Data'!$C$4:$C$2342,F$4,'Grid Data'!$A$4:$A$2342,$D$2)</f>
        <v>742</v>
      </c>
      <c r="G78" s="2">
        <f>SUMIFS('Grid Data'!$D$4:$D$2342,'Grid Data'!$B$4:$B$2342,$D78,'Grid Data'!$C$4:$C$2342,G$4,'Grid Data'!$A$4:$A$2342,$D$2)</f>
        <v>1068</v>
      </c>
      <c r="H78" s="2">
        <f>SUMIFS('Grid Data'!$D$4:$D$2342,'Grid Data'!$B$4:$B$2342,$D78,'Grid Data'!$C$4:$C$2342,H$4,'Grid Data'!$A$4:$A$2342,$D$2)</f>
        <v>945</v>
      </c>
      <c r="I78" s="2">
        <f>SUMIFS('Grid Data'!$D$4:$D$2342,'Grid Data'!$B$4:$B$2342,$D78,'Grid Data'!$C$4:$C$2342,I$4,'Grid Data'!$A$4:$A$2342,$D$2)</f>
        <v>932</v>
      </c>
      <c r="J78" s="2">
        <f>SUMIFS('Grid Data'!$D$4:$D$2342,'Grid Data'!$B$4:$B$2342,$D78,'Grid Data'!$C$4:$C$2342,J$4,'Grid Data'!$A$4:$A$2342,$D$2)</f>
        <v>1071</v>
      </c>
      <c r="K78" s="2">
        <f>SUMIFS('Grid Data'!$D$4:$D$2342,'Grid Data'!$B$4:$B$2342,$D78,'Grid Data'!$C$4:$C$2342,K$4,'Grid Data'!$A$4:$A$2342,$D$2)</f>
        <v>1981</v>
      </c>
      <c r="L78" s="2">
        <f>SUMIFS('Grid Data'!$D$4:$D$2342,'Grid Data'!$B$4:$B$2342,$D78,'Grid Data'!$C$4:$C$2342,L$4,'Grid Data'!$A$4:$A$2342,$D$2)</f>
        <v>1838</v>
      </c>
      <c r="M78" s="2">
        <f>SUMIFS('Grid Data'!$D$4:$D$2342,'Grid Data'!$B$4:$B$2342,$D78,'Grid Data'!$C$4:$C$2342,M$4,'Grid Data'!$A$4:$A$2342,$D$2)</f>
        <v>1752</v>
      </c>
      <c r="N78" s="2">
        <f>SUMIFS('Grid Data'!$D$4:$D$2342,'Grid Data'!$B$4:$B$2342,$D78,'Grid Data'!$C$4:$C$2342,N$4,'Grid Data'!$A$4:$A$2342,$D$2)</f>
        <v>811</v>
      </c>
      <c r="O78" s="2">
        <f>SUMIFS('Grid Data'!$D$4:$D$2342,'Grid Data'!$B$4:$B$2342,$D78,'Grid Data'!$C$4:$C$2342,O$4,'Grid Data'!$A$4:$A$2342,$D$2)</f>
        <v>451</v>
      </c>
      <c r="P78" s="2">
        <f>SUMIFS('Grid Data'!$D$4:$D$2342,'Grid Data'!$B$4:$B$2342,$D78,'Grid Data'!$C$4:$C$2342,P$4,'Grid Data'!$A$4:$A$2342,$D$2)</f>
        <v>1355</v>
      </c>
      <c r="Q78" s="2">
        <f>SUMIFS('Grid Data'!$D$4:$D$2342,'Grid Data'!$B$4:$B$2342,$D78,'Grid Data'!$C$4:$C$2342,Q$4,'Grid Data'!$A$4:$A$2342,$D$2)</f>
        <v>973</v>
      </c>
      <c r="R78" s="2">
        <f>SUMIFS('Grid Data'!$D$4:$D$2342,'Grid Data'!$B$4:$B$2342,$D78,'Grid Data'!$C$4:$C$2342,R$4,'Grid Data'!$A$4:$A$2342,$D$2)</f>
        <v>1309</v>
      </c>
      <c r="S78" s="2">
        <f>SUMIFS('Grid Data'!$D$4:$D$2342,'Grid Data'!$B$4:$B$2342,$D78,'Grid Data'!$C$4:$C$2342,S$4,'Grid Data'!$A$4:$A$2342,$D$2)</f>
        <v>16040</v>
      </c>
      <c r="T78" s="2">
        <f>SUMIFS('Grid Data'!$D$4:$D$2342,'Grid Data'!$B$4:$B$2342,$D78,'Grid Data'!$C$4:$C$2342,T$4,'Grid Data'!$A$4:$A$2342,$D$2)</f>
        <v>25155</v>
      </c>
      <c r="U78" s="2">
        <f>SUMIFS('Grid Data'!$D$4:$D$2342,'Grid Data'!$B$4:$B$2342,$D78,'Grid Data'!$C$4:$C$2342,U$4,'Grid Data'!$A$4:$A$2342,$D$2)</f>
        <v>2612</v>
      </c>
      <c r="V78" s="2">
        <f>SUMIFS('Grid Data'!$D$4:$D$2342,'Grid Data'!$B$4:$B$2342,$D78,'Grid Data'!$C$4:$C$2342,V$4,'Grid Data'!$A$4:$A$2342,$D$2)</f>
        <v>1260</v>
      </c>
      <c r="W78" s="2">
        <f>SUMIFS('Grid Data'!$D$4:$D$2342,'Grid Data'!$B$4:$B$2342,$D78,'Grid Data'!$C$4:$C$2342,W$4,'Grid Data'!$A$4:$A$2342,$D$2)</f>
        <v>9846</v>
      </c>
      <c r="X78" s="2">
        <f>SUMIFS('Grid Data'!$D$4:$D$2342,'Grid Data'!$B$4:$B$2342,$D78,'Grid Data'!$C$4:$C$2342,X$4,'Grid Data'!$A$4:$A$2342,$D$2)</f>
        <v>30082</v>
      </c>
      <c r="Y78" s="2">
        <f>SUMIFS('Grid Data'!$D$4:$D$2342,'Grid Data'!$B$4:$B$2342,$D78,'Grid Data'!$C$4:$C$2342,Y$4,'Grid Data'!$A$4:$A$2342,$D$2)</f>
        <v>33920</v>
      </c>
      <c r="Z78" s="2">
        <f>SUMIFS('Grid Data'!$D$4:$D$2342,'Grid Data'!$B$4:$B$2342,$D78,'Grid Data'!$C$4:$C$2342,Z$4,'Grid Data'!$A$4:$A$2342,$D$2)</f>
        <v>44768</v>
      </c>
      <c r="AA78" s="2">
        <f>SUMIFS('Grid Data'!$D$4:$D$2342,'Grid Data'!$B$4:$B$2342,$D78,'Grid Data'!$C$4:$C$2342,AA$4,'Grid Data'!$A$4:$A$2342,$D$2)</f>
        <v>17765</v>
      </c>
      <c r="AB78" s="2">
        <f>SUMIFS('Grid Data'!$D$4:$D$2342,'Grid Data'!$B$4:$B$2342,$D78,'Grid Data'!$C$4:$C$2342,AB$4,'Grid Data'!$A$4:$A$2342,$D$2)</f>
        <v>60160</v>
      </c>
      <c r="AC78" s="2">
        <f>SUMIFS('Grid Data'!$D$4:$D$2342,'Grid Data'!$B$4:$B$2342,$D78,'Grid Data'!$C$4:$C$2342,AC$4,'Grid Data'!$A$4:$A$2342,$D$2)</f>
        <v>26345</v>
      </c>
      <c r="AD78" s="2">
        <f>SUMIFS('Grid Data'!$D$4:$D$2342,'Grid Data'!$B$4:$B$2342,$D78,'Grid Data'!$C$4:$C$2342,AD$4,'Grid Data'!$A$4:$A$2342,$D$2)</f>
        <v>55018</v>
      </c>
      <c r="AE78" s="2">
        <f>SUMIFS('Grid Data'!$D$4:$D$2342,'Grid Data'!$B$4:$B$2342,$D78,'Grid Data'!$C$4:$C$2342,AE$4,'Grid Data'!$A$4:$A$2342,$D$2)</f>
        <v>5992</v>
      </c>
      <c r="AF78" s="2">
        <f>SUMIFS('Grid Data'!$D$4:$D$2342,'Grid Data'!$B$4:$B$2342,$D78,'Grid Data'!$C$4:$C$2342,AF$4,'Grid Data'!$A$4:$A$2342,$D$2)</f>
        <v>44</v>
      </c>
      <c r="AG78" s="2">
        <f>SUMIFS('Grid Data'!$D$4:$D$2342,'Grid Data'!$B$4:$B$2342,$D78,'Grid Data'!$C$4:$C$2342,AG$4,'Grid Data'!$A$4:$A$2342,$D$2)</f>
        <v>183</v>
      </c>
      <c r="AH78" s="2">
        <f>SUMIFS('Grid Data'!$D$4:$D$2342,'Grid Data'!$B$4:$B$2342,$D78,'Grid Data'!$C$4:$C$2342,AH$4,'Grid Data'!$A$4:$A$2342,$D$2)</f>
        <v>0</v>
      </c>
    </row>
    <row r="79" spans="3:34" x14ac:dyDescent="0.35">
      <c r="D79">
        <v>4750</v>
      </c>
      <c r="E79" s="2">
        <f>SUMIFS('Grid Data'!$D$4:$D$2342,'Grid Data'!$B$4:$B$2342,$D79,'Grid Data'!$C$4:$C$2342,E$4,'Grid Data'!$A$4:$A$2342,$D$2)</f>
        <v>4776</v>
      </c>
      <c r="F79" s="2">
        <f>SUMIFS('Grid Data'!$D$4:$D$2342,'Grid Data'!$B$4:$B$2342,$D79,'Grid Data'!$C$4:$C$2342,F$4,'Grid Data'!$A$4:$A$2342,$D$2)</f>
        <v>789</v>
      </c>
      <c r="G79" s="2">
        <f>SUMIFS('Grid Data'!$D$4:$D$2342,'Grid Data'!$B$4:$B$2342,$D79,'Grid Data'!$C$4:$C$2342,G$4,'Grid Data'!$A$4:$A$2342,$D$2)</f>
        <v>1048</v>
      </c>
      <c r="H79" s="2">
        <f>SUMIFS('Grid Data'!$D$4:$D$2342,'Grid Data'!$B$4:$B$2342,$D79,'Grid Data'!$C$4:$C$2342,H$4,'Grid Data'!$A$4:$A$2342,$D$2)</f>
        <v>840</v>
      </c>
      <c r="I79" s="2">
        <f>SUMIFS('Grid Data'!$D$4:$D$2342,'Grid Data'!$B$4:$B$2342,$D79,'Grid Data'!$C$4:$C$2342,I$4,'Grid Data'!$A$4:$A$2342,$D$2)</f>
        <v>778</v>
      </c>
      <c r="J79" s="2">
        <f>SUMIFS('Grid Data'!$D$4:$D$2342,'Grid Data'!$B$4:$B$2342,$D79,'Grid Data'!$C$4:$C$2342,J$4,'Grid Data'!$A$4:$A$2342,$D$2)</f>
        <v>802</v>
      </c>
      <c r="K79" s="2">
        <f>SUMIFS('Grid Data'!$D$4:$D$2342,'Grid Data'!$B$4:$B$2342,$D79,'Grid Data'!$C$4:$C$2342,K$4,'Grid Data'!$A$4:$A$2342,$D$2)</f>
        <v>1244</v>
      </c>
      <c r="L79" s="2">
        <f>SUMIFS('Grid Data'!$D$4:$D$2342,'Grid Data'!$B$4:$B$2342,$D79,'Grid Data'!$C$4:$C$2342,L$4,'Grid Data'!$A$4:$A$2342,$D$2)</f>
        <v>2287</v>
      </c>
      <c r="M79" s="2">
        <f>SUMIFS('Grid Data'!$D$4:$D$2342,'Grid Data'!$B$4:$B$2342,$D79,'Grid Data'!$C$4:$C$2342,M$4,'Grid Data'!$A$4:$A$2342,$D$2)</f>
        <v>1667</v>
      </c>
      <c r="N79" s="2">
        <f>SUMIFS('Grid Data'!$D$4:$D$2342,'Grid Data'!$B$4:$B$2342,$D79,'Grid Data'!$C$4:$C$2342,N$4,'Grid Data'!$A$4:$A$2342,$D$2)</f>
        <v>812</v>
      </c>
      <c r="O79" s="2">
        <f>SUMIFS('Grid Data'!$D$4:$D$2342,'Grid Data'!$B$4:$B$2342,$D79,'Grid Data'!$C$4:$C$2342,O$4,'Grid Data'!$A$4:$A$2342,$D$2)</f>
        <v>969</v>
      </c>
      <c r="P79" s="2">
        <f>SUMIFS('Grid Data'!$D$4:$D$2342,'Grid Data'!$B$4:$B$2342,$D79,'Grid Data'!$C$4:$C$2342,P$4,'Grid Data'!$A$4:$A$2342,$D$2)</f>
        <v>2273</v>
      </c>
      <c r="Q79" s="2">
        <f>SUMIFS('Grid Data'!$D$4:$D$2342,'Grid Data'!$B$4:$B$2342,$D79,'Grid Data'!$C$4:$C$2342,Q$4,'Grid Data'!$A$4:$A$2342,$D$2)</f>
        <v>1660</v>
      </c>
      <c r="R79" s="2">
        <f>SUMIFS('Grid Data'!$D$4:$D$2342,'Grid Data'!$B$4:$B$2342,$D79,'Grid Data'!$C$4:$C$2342,R$4,'Grid Data'!$A$4:$A$2342,$D$2)</f>
        <v>4737</v>
      </c>
      <c r="S79" s="2">
        <f>SUMIFS('Grid Data'!$D$4:$D$2342,'Grid Data'!$B$4:$B$2342,$D79,'Grid Data'!$C$4:$C$2342,S$4,'Grid Data'!$A$4:$A$2342,$D$2)</f>
        <v>34609</v>
      </c>
      <c r="T79" s="2">
        <f>SUMIFS('Grid Data'!$D$4:$D$2342,'Grid Data'!$B$4:$B$2342,$D79,'Grid Data'!$C$4:$C$2342,T$4,'Grid Data'!$A$4:$A$2342,$D$2)</f>
        <v>29151</v>
      </c>
      <c r="U79" s="2">
        <f>SUMIFS('Grid Data'!$D$4:$D$2342,'Grid Data'!$B$4:$B$2342,$D79,'Grid Data'!$C$4:$C$2342,U$4,'Grid Data'!$A$4:$A$2342,$D$2)</f>
        <v>2055</v>
      </c>
      <c r="V79" s="2">
        <f>SUMIFS('Grid Data'!$D$4:$D$2342,'Grid Data'!$B$4:$B$2342,$D79,'Grid Data'!$C$4:$C$2342,V$4,'Grid Data'!$A$4:$A$2342,$D$2)</f>
        <v>1298</v>
      </c>
      <c r="W79" s="2">
        <f>SUMIFS('Grid Data'!$D$4:$D$2342,'Grid Data'!$B$4:$B$2342,$D79,'Grid Data'!$C$4:$C$2342,W$4,'Grid Data'!$A$4:$A$2342,$D$2)</f>
        <v>9540</v>
      </c>
      <c r="X79" s="2">
        <f>SUMIFS('Grid Data'!$D$4:$D$2342,'Grid Data'!$B$4:$B$2342,$D79,'Grid Data'!$C$4:$C$2342,X$4,'Grid Data'!$A$4:$A$2342,$D$2)</f>
        <v>40699</v>
      </c>
      <c r="Y79" s="2">
        <f>SUMIFS('Grid Data'!$D$4:$D$2342,'Grid Data'!$B$4:$B$2342,$D79,'Grid Data'!$C$4:$C$2342,Y$4,'Grid Data'!$A$4:$A$2342,$D$2)</f>
        <v>40540</v>
      </c>
      <c r="Z79" s="2">
        <f>SUMIFS('Grid Data'!$D$4:$D$2342,'Grid Data'!$B$4:$B$2342,$D79,'Grid Data'!$C$4:$C$2342,Z$4,'Grid Data'!$A$4:$A$2342,$D$2)</f>
        <v>19904</v>
      </c>
      <c r="AA79" s="2">
        <f>SUMIFS('Grid Data'!$D$4:$D$2342,'Grid Data'!$B$4:$B$2342,$D79,'Grid Data'!$C$4:$C$2342,AA$4,'Grid Data'!$A$4:$A$2342,$D$2)</f>
        <v>6679</v>
      </c>
      <c r="AB79" s="2">
        <f>SUMIFS('Grid Data'!$D$4:$D$2342,'Grid Data'!$B$4:$B$2342,$D79,'Grid Data'!$C$4:$C$2342,AB$4,'Grid Data'!$A$4:$A$2342,$D$2)</f>
        <v>30616</v>
      </c>
      <c r="AC79" s="2">
        <f>SUMIFS('Grid Data'!$D$4:$D$2342,'Grid Data'!$B$4:$B$2342,$D79,'Grid Data'!$C$4:$C$2342,AC$4,'Grid Data'!$A$4:$A$2342,$D$2)</f>
        <v>10645</v>
      </c>
      <c r="AD79" s="2">
        <f>SUMIFS('Grid Data'!$D$4:$D$2342,'Grid Data'!$B$4:$B$2342,$D79,'Grid Data'!$C$4:$C$2342,AD$4,'Grid Data'!$A$4:$A$2342,$D$2)</f>
        <v>49881</v>
      </c>
      <c r="AE79" s="2">
        <f>SUMIFS('Grid Data'!$D$4:$D$2342,'Grid Data'!$B$4:$B$2342,$D79,'Grid Data'!$C$4:$C$2342,AE$4,'Grid Data'!$A$4:$A$2342,$D$2)</f>
        <v>4828</v>
      </c>
      <c r="AF79" s="2">
        <f>SUMIFS('Grid Data'!$D$4:$D$2342,'Grid Data'!$B$4:$B$2342,$D79,'Grid Data'!$C$4:$C$2342,AF$4,'Grid Data'!$A$4:$A$2342,$D$2)</f>
        <v>35</v>
      </c>
      <c r="AG79" s="2">
        <f>SUMIFS('Grid Data'!$D$4:$D$2342,'Grid Data'!$B$4:$B$2342,$D79,'Grid Data'!$C$4:$C$2342,AG$4,'Grid Data'!$A$4:$A$2342,$D$2)</f>
        <v>289</v>
      </c>
      <c r="AH79" s="2">
        <f>SUMIFS('Grid Data'!$D$4:$D$2342,'Grid Data'!$B$4:$B$2342,$D79,'Grid Data'!$C$4:$C$2342,AH$4,'Grid Data'!$A$4:$A$2342,$D$2)</f>
        <v>4</v>
      </c>
    </row>
    <row r="80" spans="3:34" x14ac:dyDescent="0.35">
      <c r="D80">
        <v>5000</v>
      </c>
      <c r="E80" s="2">
        <f>SUMIFS('Grid Data'!$D$4:$D$2342,'Grid Data'!$B$4:$B$2342,$D80,'Grid Data'!$C$4:$C$2342,E$4,'Grid Data'!$A$4:$A$2342,$D$2)</f>
        <v>13676</v>
      </c>
      <c r="F80" s="2">
        <f>SUMIFS('Grid Data'!$D$4:$D$2342,'Grid Data'!$B$4:$B$2342,$D80,'Grid Data'!$C$4:$C$2342,F$4,'Grid Data'!$A$4:$A$2342,$D$2)</f>
        <v>2731</v>
      </c>
      <c r="G80" s="2">
        <f>SUMIFS('Grid Data'!$D$4:$D$2342,'Grid Data'!$B$4:$B$2342,$D80,'Grid Data'!$C$4:$C$2342,G$4,'Grid Data'!$A$4:$A$2342,$D$2)</f>
        <v>2774</v>
      </c>
      <c r="H80" s="2">
        <f>SUMIFS('Grid Data'!$D$4:$D$2342,'Grid Data'!$B$4:$B$2342,$D80,'Grid Data'!$C$4:$C$2342,H$4,'Grid Data'!$A$4:$A$2342,$D$2)</f>
        <v>2480</v>
      </c>
      <c r="I80" s="2">
        <f>SUMIFS('Grid Data'!$D$4:$D$2342,'Grid Data'!$B$4:$B$2342,$D80,'Grid Data'!$C$4:$C$2342,I$4,'Grid Data'!$A$4:$A$2342,$D$2)</f>
        <v>2818</v>
      </c>
      <c r="J80" s="2">
        <f>SUMIFS('Grid Data'!$D$4:$D$2342,'Grid Data'!$B$4:$B$2342,$D80,'Grid Data'!$C$4:$C$2342,J$4,'Grid Data'!$A$4:$A$2342,$D$2)</f>
        <v>1883</v>
      </c>
      <c r="K80" s="2">
        <f>SUMIFS('Grid Data'!$D$4:$D$2342,'Grid Data'!$B$4:$B$2342,$D80,'Grid Data'!$C$4:$C$2342,K$4,'Grid Data'!$A$4:$A$2342,$D$2)</f>
        <v>4403</v>
      </c>
      <c r="L80" s="2">
        <f>SUMIFS('Grid Data'!$D$4:$D$2342,'Grid Data'!$B$4:$B$2342,$D80,'Grid Data'!$C$4:$C$2342,L$4,'Grid Data'!$A$4:$A$2342,$D$2)</f>
        <v>6192</v>
      </c>
      <c r="M80" s="2">
        <f>SUMIFS('Grid Data'!$D$4:$D$2342,'Grid Data'!$B$4:$B$2342,$D80,'Grid Data'!$C$4:$C$2342,M$4,'Grid Data'!$A$4:$A$2342,$D$2)</f>
        <v>5694</v>
      </c>
      <c r="N80" s="2">
        <f>SUMIFS('Grid Data'!$D$4:$D$2342,'Grid Data'!$B$4:$B$2342,$D80,'Grid Data'!$C$4:$C$2342,N$4,'Grid Data'!$A$4:$A$2342,$D$2)</f>
        <v>3844</v>
      </c>
      <c r="O80" s="2">
        <f>SUMIFS('Grid Data'!$D$4:$D$2342,'Grid Data'!$B$4:$B$2342,$D80,'Grid Data'!$C$4:$C$2342,O$4,'Grid Data'!$A$4:$A$2342,$D$2)</f>
        <v>3758</v>
      </c>
      <c r="P80" s="2">
        <f>SUMIFS('Grid Data'!$D$4:$D$2342,'Grid Data'!$B$4:$B$2342,$D80,'Grid Data'!$C$4:$C$2342,P$4,'Grid Data'!$A$4:$A$2342,$D$2)</f>
        <v>7853</v>
      </c>
      <c r="Q80" s="2">
        <f>SUMIFS('Grid Data'!$D$4:$D$2342,'Grid Data'!$B$4:$B$2342,$D80,'Grid Data'!$C$4:$C$2342,Q$4,'Grid Data'!$A$4:$A$2342,$D$2)</f>
        <v>7503</v>
      </c>
      <c r="R80" s="2">
        <f>SUMIFS('Grid Data'!$D$4:$D$2342,'Grid Data'!$B$4:$B$2342,$D80,'Grid Data'!$C$4:$C$2342,R$4,'Grid Data'!$A$4:$A$2342,$D$2)</f>
        <v>9394</v>
      </c>
      <c r="S80" s="2">
        <f>SUMIFS('Grid Data'!$D$4:$D$2342,'Grid Data'!$B$4:$B$2342,$D80,'Grid Data'!$C$4:$C$2342,S$4,'Grid Data'!$A$4:$A$2342,$D$2)</f>
        <v>28157</v>
      </c>
      <c r="T80" s="2">
        <f>SUMIFS('Grid Data'!$D$4:$D$2342,'Grid Data'!$B$4:$B$2342,$D80,'Grid Data'!$C$4:$C$2342,T$4,'Grid Data'!$A$4:$A$2342,$D$2)</f>
        <v>15508</v>
      </c>
      <c r="U80" s="2">
        <f>SUMIFS('Grid Data'!$D$4:$D$2342,'Grid Data'!$B$4:$B$2342,$D80,'Grid Data'!$C$4:$C$2342,U$4,'Grid Data'!$A$4:$A$2342,$D$2)</f>
        <v>275</v>
      </c>
      <c r="V80" s="2">
        <f>SUMIFS('Grid Data'!$D$4:$D$2342,'Grid Data'!$B$4:$B$2342,$D80,'Grid Data'!$C$4:$C$2342,V$4,'Grid Data'!$A$4:$A$2342,$D$2)</f>
        <v>181</v>
      </c>
      <c r="W80" s="2">
        <f>SUMIFS('Grid Data'!$D$4:$D$2342,'Grid Data'!$B$4:$B$2342,$D80,'Grid Data'!$C$4:$C$2342,W$4,'Grid Data'!$A$4:$A$2342,$D$2)</f>
        <v>3608</v>
      </c>
      <c r="X80" s="2">
        <f>SUMIFS('Grid Data'!$D$4:$D$2342,'Grid Data'!$B$4:$B$2342,$D80,'Grid Data'!$C$4:$C$2342,X$4,'Grid Data'!$A$4:$A$2342,$D$2)</f>
        <v>19009</v>
      </c>
      <c r="Y80" s="2">
        <f>SUMIFS('Grid Data'!$D$4:$D$2342,'Grid Data'!$B$4:$B$2342,$D80,'Grid Data'!$C$4:$C$2342,Y$4,'Grid Data'!$A$4:$A$2342,$D$2)</f>
        <v>34788</v>
      </c>
      <c r="Z80" s="2">
        <f>SUMIFS('Grid Data'!$D$4:$D$2342,'Grid Data'!$B$4:$B$2342,$D80,'Grid Data'!$C$4:$C$2342,Z$4,'Grid Data'!$A$4:$A$2342,$D$2)</f>
        <v>10678</v>
      </c>
      <c r="AA80" s="2">
        <f>SUMIFS('Grid Data'!$D$4:$D$2342,'Grid Data'!$B$4:$B$2342,$D80,'Grid Data'!$C$4:$C$2342,AA$4,'Grid Data'!$A$4:$A$2342,$D$2)</f>
        <v>2668</v>
      </c>
      <c r="AB80" s="2">
        <f>SUMIFS('Grid Data'!$D$4:$D$2342,'Grid Data'!$B$4:$B$2342,$D80,'Grid Data'!$C$4:$C$2342,AB$4,'Grid Data'!$A$4:$A$2342,$D$2)</f>
        <v>9029</v>
      </c>
      <c r="AC80" s="2">
        <f>SUMIFS('Grid Data'!$D$4:$D$2342,'Grid Data'!$B$4:$B$2342,$D80,'Grid Data'!$C$4:$C$2342,AC$4,'Grid Data'!$A$4:$A$2342,$D$2)</f>
        <v>4170</v>
      </c>
      <c r="AD80" s="2">
        <f>SUMIFS('Grid Data'!$D$4:$D$2342,'Grid Data'!$B$4:$B$2342,$D80,'Grid Data'!$C$4:$C$2342,AD$4,'Grid Data'!$A$4:$A$2342,$D$2)</f>
        <v>61682</v>
      </c>
      <c r="AE80" s="2">
        <f>SUMIFS('Grid Data'!$D$4:$D$2342,'Grid Data'!$B$4:$B$2342,$D80,'Grid Data'!$C$4:$C$2342,AE$4,'Grid Data'!$A$4:$A$2342,$D$2)</f>
        <v>45068</v>
      </c>
      <c r="AF80" s="2">
        <f>SUMIFS('Grid Data'!$D$4:$D$2342,'Grid Data'!$B$4:$B$2342,$D80,'Grid Data'!$C$4:$C$2342,AF$4,'Grid Data'!$A$4:$A$2342,$D$2)</f>
        <v>272</v>
      </c>
      <c r="AG80" s="2">
        <f>SUMIFS('Grid Data'!$D$4:$D$2342,'Grid Data'!$B$4:$B$2342,$D80,'Grid Data'!$C$4:$C$2342,AG$4,'Grid Data'!$A$4:$A$2342,$D$2)</f>
        <v>2240</v>
      </c>
      <c r="AH80" s="2">
        <f>SUMIFS('Grid Data'!$D$4:$D$2342,'Grid Data'!$B$4:$B$2342,$D80,'Grid Data'!$C$4:$C$2342,AH$4,'Grid Data'!$A$4:$A$2342,$D$2)</f>
        <v>61</v>
      </c>
    </row>
    <row r="81" spans="4:34" x14ac:dyDescent="0.35">
      <c r="D81">
        <v>5250</v>
      </c>
      <c r="E81" s="2">
        <f>SUMIFS('Grid Data'!$D$4:$D$2342,'Grid Data'!$B$4:$B$2342,$D81,'Grid Data'!$C$4:$C$2342,E$4,'Grid Data'!$A$4:$A$2342,$D$2)</f>
        <v>10908</v>
      </c>
      <c r="F81" s="2">
        <f>SUMIFS('Grid Data'!$D$4:$D$2342,'Grid Data'!$B$4:$B$2342,$D81,'Grid Data'!$C$4:$C$2342,F$4,'Grid Data'!$A$4:$A$2342,$D$2)</f>
        <v>644</v>
      </c>
      <c r="G81" s="2">
        <f>SUMIFS('Grid Data'!$D$4:$D$2342,'Grid Data'!$B$4:$B$2342,$D81,'Grid Data'!$C$4:$C$2342,G$4,'Grid Data'!$A$4:$A$2342,$D$2)</f>
        <v>986</v>
      </c>
      <c r="H81" s="2">
        <f>SUMIFS('Grid Data'!$D$4:$D$2342,'Grid Data'!$B$4:$B$2342,$D81,'Grid Data'!$C$4:$C$2342,H$4,'Grid Data'!$A$4:$A$2342,$D$2)</f>
        <v>1300</v>
      </c>
      <c r="I81" s="2">
        <f>SUMIFS('Grid Data'!$D$4:$D$2342,'Grid Data'!$B$4:$B$2342,$D81,'Grid Data'!$C$4:$C$2342,I$4,'Grid Data'!$A$4:$A$2342,$D$2)</f>
        <v>1262</v>
      </c>
      <c r="J81" s="2">
        <f>SUMIFS('Grid Data'!$D$4:$D$2342,'Grid Data'!$B$4:$B$2342,$D81,'Grid Data'!$C$4:$C$2342,J$4,'Grid Data'!$A$4:$A$2342,$D$2)</f>
        <v>784</v>
      </c>
      <c r="K81" s="2">
        <f>SUMIFS('Grid Data'!$D$4:$D$2342,'Grid Data'!$B$4:$B$2342,$D81,'Grid Data'!$C$4:$C$2342,K$4,'Grid Data'!$A$4:$A$2342,$D$2)</f>
        <v>2331</v>
      </c>
      <c r="L81" s="2">
        <f>SUMIFS('Grid Data'!$D$4:$D$2342,'Grid Data'!$B$4:$B$2342,$D81,'Grid Data'!$C$4:$C$2342,L$4,'Grid Data'!$A$4:$A$2342,$D$2)</f>
        <v>10343</v>
      </c>
      <c r="M81" s="2">
        <f>SUMIFS('Grid Data'!$D$4:$D$2342,'Grid Data'!$B$4:$B$2342,$D81,'Grid Data'!$C$4:$C$2342,M$4,'Grid Data'!$A$4:$A$2342,$D$2)</f>
        <v>5468</v>
      </c>
      <c r="N81" s="2">
        <f>SUMIFS('Grid Data'!$D$4:$D$2342,'Grid Data'!$B$4:$B$2342,$D81,'Grid Data'!$C$4:$C$2342,N$4,'Grid Data'!$A$4:$A$2342,$D$2)</f>
        <v>1582</v>
      </c>
      <c r="O81" s="2">
        <f>SUMIFS('Grid Data'!$D$4:$D$2342,'Grid Data'!$B$4:$B$2342,$D81,'Grid Data'!$C$4:$C$2342,O$4,'Grid Data'!$A$4:$A$2342,$D$2)</f>
        <v>2026</v>
      </c>
      <c r="P81" s="2">
        <f>SUMIFS('Grid Data'!$D$4:$D$2342,'Grid Data'!$B$4:$B$2342,$D81,'Grid Data'!$C$4:$C$2342,P$4,'Grid Data'!$A$4:$A$2342,$D$2)</f>
        <v>3166</v>
      </c>
      <c r="Q81" s="2">
        <f>SUMIFS('Grid Data'!$D$4:$D$2342,'Grid Data'!$B$4:$B$2342,$D81,'Grid Data'!$C$4:$C$2342,Q$4,'Grid Data'!$A$4:$A$2342,$D$2)</f>
        <v>7414</v>
      </c>
      <c r="R81" s="2">
        <f>SUMIFS('Grid Data'!$D$4:$D$2342,'Grid Data'!$B$4:$B$2342,$D81,'Grid Data'!$C$4:$C$2342,R$4,'Grid Data'!$A$4:$A$2342,$D$2)</f>
        <v>13416</v>
      </c>
      <c r="S81" s="2">
        <f>SUMIFS('Grid Data'!$D$4:$D$2342,'Grid Data'!$B$4:$B$2342,$D81,'Grid Data'!$C$4:$C$2342,S$4,'Grid Data'!$A$4:$A$2342,$D$2)</f>
        <v>54569</v>
      </c>
      <c r="T81" s="2">
        <f>SUMIFS('Grid Data'!$D$4:$D$2342,'Grid Data'!$B$4:$B$2342,$D81,'Grid Data'!$C$4:$C$2342,T$4,'Grid Data'!$A$4:$A$2342,$D$2)</f>
        <v>23524</v>
      </c>
      <c r="U81" s="2">
        <f>SUMIFS('Grid Data'!$D$4:$D$2342,'Grid Data'!$B$4:$B$2342,$D81,'Grid Data'!$C$4:$C$2342,U$4,'Grid Data'!$A$4:$A$2342,$D$2)</f>
        <v>450</v>
      </c>
      <c r="V81" s="2">
        <f>SUMIFS('Grid Data'!$D$4:$D$2342,'Grid Data'!$B$4:$B$2342,$D81,'Grid Data'!$C$4:$C$2342,V$4,'Grid Data'!$A$4:$A$2342,$D$2)</f>
        <v>287</v>
      </c>
      <c r="W81" s="2">
        <f>SUMIFS('Grid Data'!$D$4:$D$2342,'Grid Data'!$B$4:$B$2342,$D81,'Grid Data'!$C$4:$C$2342,W$4,'Grid Data'!$A$4:$A$2342,$D$2)</f>
        <v>2743</v>
      </c>
      <c r="X81" s="2">
        <f>SUMIFS('Grid Data'!$D$4:$D$2342,'Grid Data'!$B$4:$B$2342,$D81,'Grid Data'!$C$4:$C$2342,X$4,'Grid Data'!$A$4:$A$2342,$D$2)</f>
        <v>19227</v>
      </c>
      <c r="Y81" s="2">
        <f>SUMIFS('Grid Data'!$D$4:$D$2342,'Grid Data'!$B$4:$B$2342,$D81,'Grid Data'!$C$4:$C$2342,Y$4,'Grid Data'!$A$4:$A$2342,$D$2)</f>
        <v>21566</v>
      </c>
      <c r="Z81" s="2">
        <f>SUMIFS('Grid Data'!$D$4:$D$2342,'Grid Data'!$B$4:$B$2342,$D81,'Grid Data'!$C$4:$C$2342,Z$4,'Grid Data'!$A$4:$A$2342,$D$2)</f>
        <v>3743</v>
      </c>
      <c r="AA81" s="2">
        <f>SUMIFS('Grid Data'!$D$4:$D$2342,'Grid Data'!$B$4:$B$2342,$D81,'Grid Data'!$C$4:$C$2342,AA$4,'Grid Data'!$A$4:$A$2342,$D$2)</f>
        <v>665</v>
      </c>
      <c r="AB81" s="2">
        <f>SUMIFS('Grid Data'!$D$4:$D$2342,'Grid Data'!$B$4:$B$2342,$D81,'Grid Data'!$C$4:$C$2342,AB$4,'Grid Data'!$A$4:$A$2342,$D$2)</f>
        <v>2108</v>
      </c>
      <c r="AC81" s="2">
        <f>SUMIFS('Grid Data'!$D$4:$D$2342,'Grid Data'!$B$4:$B$2342,$D81,'Grid Data'!$C$4:$C$2342,AC$4,'Grid Data'!$A$4:$A$2342,$D$2)</f>
        <v>1370</v>
      </c>
      <c r="AD81" s="2">
        <f>SUMIFS('Grid Data'!$D$4:$D$2342,'Grid Data'!$B$4:$B$2342,$D81,'Grid Data'!$C$4:$C$2342,AD$4,'Grid Data'!$A$4:$A$2342,$D$2)</f>
        <v>35935</v>
      </c>
      <c r="AE81" s="2">
        <f>SUMIFS('Grid Data'!$D$4:$D$2342,'Grid Data'!$B$4:$B$2342,$D81,'Grid Data'!$C$4:$C$2342,AE$4,'Grid Data'!$A$4:$A$2342,$D$2)</f>
        <v>15809</v>
      </c>
      <c r="AF81" s="2">
        <f>SUMIFS('Grid Data'!$D$4:$D$2342,'Grid Data'!$B$4:$B$2342,$D81,'Grid Data'!$C$4:$C$2342,AF$4,'Grid Data'!$A$4:$A$2342,$D$2)</f>
        <v>266</v>
      </c>
      <c r="AG81" s="2">
        <f>SUMIFS('Grid Data'!$D$4:$D$2342,'Grid Data'!$B$4:$B$2342,$D81,'Grid Data'!$C$4:$C$2342,AG$4,'Grid Data'!$A$4:$A$2342,$D$2)</f>
        <v>2006</v>
      </c>
      <c r="AH81" s="2">
        <f>SUMIFS('Grid Data'!$D$4:$D$2342,'Grid Data'!$B$4:$B$2342,$D81,'Grid Data'!$C$4:$C$2342,AH$4,'Grid Data'!$A$4:$A$2342,$D$2)</f>
        <v>7</v>
      </c>
    </row>
    <row r="82" spans="4:34" x14ac:dyDescent="0.35">
      <c r="D82">
        <v>5500</v>
      </c>
      <c r="E82" s="2">
        <f>SUMIFS('Grid Data'!$D$4:$D$2342,'Grid Data'!$B$4:$B$2342,$D82,'Grid Data'!$C$4:$C$2342,E$4,'Grid Data'!$A$4:$A$2342,$D$2)</f>
        <v>19997</v>
      </c>
      <c r="F82" s="2">
        <f>SUMIFS('Grid Data'!$D$4:$D$2342,'Grid Data'!$B$4:$B$2342,$D82,'Grid Data'!$C$4:$C$2342,F$4,'Grid Data'!$A$4:$A$2342,$D$2)</f>
        <v>1301</v>
      </c>
      <c r="G82" s="2">
        <f>SUMIFS('Grid Data'!$D$4:$D$2342,'Grid Data'!$B$4:$B$2342,$D82,'Grid Data'!$C$4:$C$2342,G$4,'Grid Data'!$A$4:$A$2342,$D$2)</f>
        <v>2070</v>
      </c>
      <c r="H82" s="2">
        <f>SUMIFS('Grid Data'!$D$4:$D$2342,'Grid Data'!$B$4:$B$2342,$D82,'Grid Data'!$C$4:$C$2342,H$4,'Grid Data'!$A$4:$A$2342,$D$2)</f>
        <v>2782</v>
      </c>
      <c r="I82" s="2">
        <f>SUMIFS('Grid Data'!$D$4:$D$2342,'Grid Data'!$B$4:$B$2342,$D82,'Grid Data'!$C$4:$C$2342,I$4,'Grid Data'!$A$4:$A$2342,$D$2)</f>
        <v>2773</v>
      </c>
      <c r="J82" s="2">
        <f>SUMIFS('Grid Data'!$D$4:$D$2342,'Grid Data'!$B$4:$B$2342,$D82,'Grid Data'!$C$4:$C$2342,J$4,'Grid Data'!$A$4:$A$2342,$D$2)</f>
        <v>1312</v>
      </c>
      <c r="K82" s="2">
        <f>SUMIFS('Grid Data'!$D$4:$D$2342,'Grid Data'!$B$4:$B$2342,$D82,'Grid Data'!$C$4:$C$2342,K$4,'Grid Data'!$A$4:$A$2342,$D$2)</f>
        <v>3564</v>
      </c>
      <c r="L82" s="2">
        <f>SUMIFS('Grid Data'!$D$4:$D$2342,'Grid Data'!$B$4:$B$2342,$D82,'Grid Data'!$C$4:$C$2342,L$4,'Grid Data'!$A$4:$A$2342,$D$2)</f>
        <v>7297</v>
      </c>
      <c r="M82" s="2">
        <f>SUMIFS('Grid Data'!$D$4:$D$2342,'Grid Data'!$B$4:$B$2342,$D82,'Grid Data'!$C$4:$C$2342,M$4,'Grid Data'!$A$4:$A$2342,$D$2)</f>
        <v>6722</v>
      </c>
      <c r="N82" s="2">
        <f>SUMIFS('Grid Data'!$D$4:$D$2342,'Grid Data'!$B$4:$B$2342,$D82,'Grid Data'!$C$4:$C$2342,N$4,'Grid Data'!$A$4:$A$2342,$D$2)</f>
        <v>4094</v>
      </c>
      <c r="O82" s="2">
        <f>SUMIFS('Grid Data'!$D$4:$D$2342,'Grid Data'!$B$4:$B$2342,$D82,'Grid Data'!$C$4:$C$2342,O$4,'Grid Data'!$A$4:$A$2342,$D$2)</f>
        <v>4107</v>
      </c>
      <c r="P82" s="2">
        <f>SUMIFS('Grid Data'!$D$4:$D$2342,'Grid Data'!$B$4:$B$2342,$D82,'Grid Data'!$C$4:$C$2342,P$4,'Grid Data'!$A$4:$A$2342,$D$2)</f>
        <v>6407</v>
      </c>
      <c r="Q82" s="2">
        <f>SUMIFS('Grid Data'!$D$4:$D$2342,'Grid Data'!$B$4:$B$2342,$D82,'Grid Data'!$C$4:$C$2342,Q$4,'Grid Data'!$A$4:$A$2342,$D$2)</f>
        <v>11502</v>
      </c>
      <c r="R82" s="2">
        <f>SUMIFS('Grid Data'!$D$4:$D$2342,'Grid Data'!$B$4:$B$2342,$D82,'Grid Data'!$C$4:$C$2342,R$4,'Grid Data'!$A$4:$A$2342,$D$2)</f>
        <v>19048</v>
      </c>
      <c r="S82" s="2">
        <f>SUMIFS('Grid Data'!$D$4:$D$2342,'Grid Data'!$B$4:$B$2342,$D82,'Grid Data'!$C$4:$C$2342,S$4,'Grid Data'!$A$4:$A$2342,$D$2)</f>
        <v>28238</v>
      </c>
      <c r="T82" s="2">
        <f>SUMIFS('Grid Data'!$D$4:$D$2342,'Grid Data'!$B$4:$B$2342,$D82,'Grid Data'!$C$4:$C$2342,T$4,'Grid Data'!$A$4:$A$2342,$D$2)</f>
        <v>4810</v>
      </c>
      <c r="U82" s="2">
        <f>SUMIFS('Grid Data'!$D$4:$D$2342,'Grid Data'!$B$4:$B$2342,$D82,'Grid Data'!$C$4:$C$2342,U$4,'Grid Data'!$A$4:$A$2342,$D$2)</f>
        <v>14</v>
      </c>
      <c r="V82" s="2">
        <f>SUMIFS('Grid Data'!$D$4:$D$2342,'Grid Data'!$B$4:$B$2342,$D82,'Grid Data'!$C$4:$C$2342,V$4,'Grid Data'!$A$4:$A$2342,$D$2)</f>
        <v>9</v>
      </c>
      <c r="W82" s="2">
        <f>SUMIFS('Grid Data'!$D$4:$D$2342,'Grid Data'!$B$4:$B$2342,$D82,'Grid Data'!$C$4:$C$2342,W$4,'Grid Data'!$A$4:$A$2342,$D$2)</f>
        <v>390</v>
      </c>
      <c r="X82" s="2">
        <f>SUMIFS('Grid Data'!$D$4:$D$2342,'Grid Data'!$B$4:$B$2342,$D82,'Grid Data'!$C$4:$C$2342,X$4,'Grid Data'!$A$4:$A$2342,$D$2)</f>
        <v>7126</v>
      </c>
      <c r="Y82" s="2">
        <f>SUMIFS('Grid Data'!$D$4:$D$2342,'Grid Data'!$B$4:$B$2342,$D82,'Grid Data'!$C$4:$C$2342,Y$4,'Grid Data'!$A$4:$A$2342,$D$2)</f>
        <v>13150</v>
      </c>
      <c r="Z82" s="2">
        <f>SUMIFS('Grid Data'!$D$4:$D$2342,'Grid Data'!$B$4:$B$2342,$D82,'Grid Data'!$C$4:$C$2342,Z$4,'Grid Data'!$A$4:$A$2342,$D$2)</f>
        <v>1298</v>
      </c>
      <c r="AA82" s="2">
        <f>SUMIFS('Grid Data'!$D$4:$D$2342,'Grid Data'!$B$4:$B$2342,$D82,'Grid Data'!$C$4:$C$2342,AA$4,'Grid Data'!$A$4:$A$2342,$D$2)</f>
        <v>157</v>
      </c>
      <c r="AB82" s="2">
        <f>SUMIFS('Grid Data'!$D$4:$D$2342,'Grid Data'!$B$4:$B$2342,$D82,'Grid Data'!$C$4:$C$2342,AB$4,'Grid Data'!$A$4:$A$2342,$D$2)</f>
        <v>621</v>
      </c>
      <c r="AC82" s="2">
        <f>SUMIFS('Grid Data'!$D$4:$D$2342,'Grid Data'!$B$4:$B$2342,$D82,'Grid Data'!$C$4:$C$2342,AC$4,'Grid Data'!$A$4:$A$2342,$D$2)</f>
        <v>490</v>
      </c>
      <c r="AD82" s="2">
        <f>SUMIFS('Grid Data'!$D$4:$D$2342,'Grid Data'!$B$4:$B$2342,$D82,'Grid Data'!$C$4:$C$2342,AD$4,'Grid Data'!$A$4:$A$2342,$D$2)</f>
        <v>21070</v>
      </c>
      <c r="AE82" s="2">
        <f>SUMIFS('Grid Data'!$D$4:$D$2342,'Grid Data'!$B$4:$B$2342,$D82,'Grid Data'!$C$4:$C$2342,AE$4,'Grid Data'!$A$4:$A$2342,$D$2)</f>
        <v>46559</v>
      </c>
      <c r="AF82" s="2">
        <f>SUMIFS('Grid Data'!$D$4:$D$2342,'Grid Data'!$B$4:$B$2342,$D82,'Grid Data'!$C$4:$C$2342,AF$4,'Grid Data'!$A$4:$A$2342,$D$2)</f>
        <v>1262</v>
      </c>
      <c r="AG82" s="2">
        <f>SUMIFS('Grid Data'!$D$4:$D$2342,'Grid Data'!$B$4:$B$2342,$D82,'Grid Data'!$C$4:$C$2342,AG$4,'Grid Data'!$A$4:$A$2342,$D$2)</f>
        <v>16112</v>
      </c>
      <c r="AH82" s="2">
        <f>SUMIFS('Grid Data'!$D$4:$D$2342,'Grid Data'!$B$4:$B$2342,$D82,'Grid Data'!$C$4:$C$2342,AH$4,'Grid Data'!$A$4:$A$2342,$D$2)</f>
        <v>44</v>
      </c>
    </row>
    <row r="83" spans="4:34" x14ac:dyDescent="0.35">
      <c r="D83">
        <v>5750</v>
      </c>
      <c r="E83" s="2">
        <f>SUMIFS('Grid Data'!$D$4:$D$2342,'Grid Data'!$B$4:$B$2342,$D83,'Grid Data'!$C$4:$C$2342,E$4,'Grid Data'!$A$4:$A$2342,$D$2)</f>
        <v>54256</v>
      </c>
      <c r="F83" s="2">
        <f>SUMIFS('Grid Data'!$D$4:$D$2342,'Grid Data'!$B$4:$B$2342,$D83,'Grid Data'!$C$4:$C$2342,F$4,'Grid Data'!$A$4:$A$2342,$D$2)</f>
        <v>2873</v>
      </c>
      <c r="G83" s="2">
        <f>SUMIFS('Grid Data'!$D$4:$D$2342,'Grid Data'!$B$4:$B$2342,$D83,'Grid Data'!$C$4:$C$2342,G$4,'Grid Data'!$A$4:$A$2342,$D$2)</f>
        <v>4560</v>
      </c>
      <c r="H83" s="2">
        <f>SUMIFS('Grid Data'!$D$4:$D$2342,'Grid Data'!$B$4:$B$2342,$D83,'Grid Data'!$C$4:$C$2342,H$4,'Grid Data'!$A$4:$A$2342,$D$2)</f>
        <v>6379</v>
      </c>
      <c r="I83" s="2">
        <f>SUMIFS('Grid Data'!$D$4:$D$2342,'Grid Data'!$B$4:$B$2342,$D83,'Grid Data'!$C$4:$C$2342,I$4,'Grid Data'!$A$4:$A$2342,$D$2)</f>
        <v>4709</v>
      </c>
      <c r="J83" s="2">
        <f>SUMIFS('Grid Data'!$D$4:$D$2342,'Grid Data'!$B$4:$B$2342,$D83,'Grid Data'!$C$4:$C$2342,J$4,'Grid Data'!$A$4:$A$2342,$D$2)</f>
        <v>2570</v>
      </c>
      <c r="K83" s="2">
        <f>SUMIFS('Grid Data'!$D$4:$D$2342,'Grid Data'!$B$4:$B$2342,$D83,'Grid Data'!$C$4:$C$2342,K$4,'Grid Data'!$A$4:$A$2342,$D$2)</f>
        <v>11288</v>
      </c>
      <c r="L83" s="2">
        <f>SUMIFS('Grid Data'!$D$4:$D$2342,'Grid Data'!$B$4:$B$2342,$D83,'Grid Data'!$C$4:$C$2342,L$4,'Grid Data'!$A$4:$A$2342,$D$2)</f>
        <v>29308</v>
      </c>
      <c r="M83" s="2">
        <f>SUMIFS('Grid Data'!$D$4:$D$2342,'Grid Data'!$B$4:$B$2342,$D83,'Grid Data'!$C$4:$C$2342,M$4,'Grid Data'!$A$4:$A$2342,$D$2)</f>
        <v>20584</v>
      </c>
      <c r="N83" s="2">
        <f>SUMIFS('Grid Data'!$D$4:$D$2342,'Grid Data'!$B$4:$B$2342,$D83,'Grid Data'!$C$4:$C$2342,N$4,'Grid Data'!$A$4:$A$2342,$D$2)</f>
        <v>5361</v>
      </c>
      <c r="O83" s="2">
        <f>SUMIFS('Grid Data'!$D$4:$D$2342,'Grid Data'!$B$4:$B$2342,$D83,'Grid Data'!$C$4:$C$2342,O$4,'Grid Data'!$A$4:$A$2342,$D$2)</f>
        <v>5893</v>
      </c>
      <c r="P83" s="2">
        <f>SUMIFS('Grid Data'!$D$4:$D$2342,'Grid Data'!$B$4:$B$2342,$D83,'Grid Data'!$C$4:$C$2342,P$4,'Grid Data'!$A$4:$A$2342,$D$2)</f>
        <v>15294</v>
      </c>
      <c r="Q83" s="2">
        <f>SUMIFS('Grid Data'!$D$4:$D$2342,'Grid Data'!$B$4:$B$2342,$D83,'Grid Data'!$C$4:$C$2342,Q$4,'Grid Data'!$A$4:$A$2342,$D$2)</f>
        <v>20496</v>
      </c>
      <c r="R83" s="2">
        <f>SUMIFS('Grid Data'!$D$4:$D$2342,'Grid Data'!$B$4:$B$2342,$D83,'Grid Data'!$C$4:$C$2342,R$4,'Grid Data'!$A$4:$A$2342,$D$2)</f>
        <v>42126</v>
      </c>
      <c r="S83" s="2">
        <f>SUMIFS('Grid Data'!$D$4:$D$2342,'Grid Data'!$B$4:$B$2342,$D83,'Grid Data'!$C$4:$C$2342,S$4,'Grid Data'!$A$4:$A$2342,$D$2)</f>
        <v>64218</v>
      </c>
      <c r="T83" s="2">
        <f>SUMIFS('Grid Data'!$D$4:$D$2342,'Grid Data'!$B$4:$B$2342,$D83,'Grid Data'!$C$4:$C$2342,T$4,'Grid Data'!$A$4:$A$2342,$D$2)</f>
        <v>6180</v>
      </c>
      <c r="U83" s="2">
        <f>SUMIFS('Grid Data'!$D$4:$D$2342,'Grid Data'!$B$4:$B$2342,$D83,'Grid Data'!$C$4:$C$2342,U$4,'Grid Data'!$A$4:$A$2342,$D$2)</f>
        <v>30</v>
      </c>
      <c r="V83" s="2">
        <f>SUMIFS('Grid Data'!$D$4:$D$2342,'Grid Data'!$B$4:$B$2342,$D83,'Grid Data'!$C$4:$C$2342,V$4,'Grid Data'!$A$4:$A$2342,$D$2)</f>
        <v>21</v>
      </c>
      <c r="W83" s="2">
        <f>SUMIFS('Grid Data'!$D$4:$D$2342,'Grid Data'!$B$4:$B$2342,$D83,'Grid Data'!$C$4:$C$2342,W$4,'Grid Data'!$A$4:$A$2342,$D$2)</f>
        <v>318</v>
      </c>
      <c r="X83" s="2">
        <f>SUMIFS('Grid Data'!$D$4:$D$2342,'Grid Data'!$B$4:$B$2342,$D83,'Grid Data'!$C$4:$C$2342,X$4,'Grid Data'!$A$4:$A$2342,$D$2)</f>
        <v>9272</v>
      </c>
      <c r="Y83" s="2">
        <f>SUMIFS('Grid Data'!$D$4:$D$2342,'Grid Data'!$B$4:$B$2342,$D83,'Grid Data'!$C$4:$C$2342,Y$4,'Grid Data'!$A$4:$A$2342,$D$2)</f>
        <v>9208</v>
      </c>
      <c r="Z83" s="2">
        <f>SUMIFS('Grid Data'!$D$4:$D$2342,'Grid Data'!$B$4:$B$2342,$D83,'Grid Data'!$C$4:$C$2342,Z$4,'Grid Data'!$A$4:$A$2342,$D$2)</f>
        <v>146</v>
      </c>
      <c r="AA83" s="2">
        <f>SUMIFS('Grid Data'!$D$4:$D$2342,'Grid Data'!$B$4:$B$2342,$D83,'Grid Data'!$C$4:$C$2342,AA$4,'Grid Data'!$A$4:$A$2342,$D$2)</f>
        <v>34</v>
      </c>
      <c r="AB83" s="2">
        <f>SUMIFS('Grid Data'!$D$4:$D$2342,'Grid Data'!$B$4:$B$2342,$D83,'Grid Data'!$C$4:$C$2342,AB$4,'Grid Data'!$A$4:$A$2342,$D$2)</f>
        <v>624</v>
      </c>
      <c r="AC83" s="2">
        <f>SUMIFS('Grid Data'!$D$4:$D$2342,'Grid Data'!$B$4:$B$2342,$D83,'Grid Data'!$C$4:$C$2342,AC$4,'Grid Data'!$A$4:$A$2342,$D$2)</f>
        <v>83</v>
      </c>
      <c r="AD83" s="2">
        <f>SUMIFS('Grid Data'!$D$4:$D$2342,'Grid Data'!$B$4:$B$2342,$D83,'Grid Data'!$C$4:$C$2342,AD$4,'Grid Data'!$A$4:$A$2342,$D$2)</f>
        <v>2296</v>
      </c>
      <c r="AE83" s="2">
        <f>SUMIFS('Grid Data'!$D$4:$D$2342,'Grid Data'!$B$4:$B$2342,$D83,'Grid Data'!$C$4:$C$2342,AE$4,'Grid Data'!$A$4:$A$2342,$D$2)</f>
        <v>8075</v>
      </c>
      <c r="AF83" s="2">
        <f>SUMIFS('Grid Data'!$D$4:$D$2342,'Grid Data'!$B$4:$B$2342,$D83,'Grid Data'!$C$4:$C$2342,AF$4,'Grid Data'!$A$4:$A$2342,$D$2)</f>
        <v>1086</v>
      </c>
      <c r="AG83" s="2">
        <f>SUMIFS('Grid Data'!$D$4:$D$2342,'Grid Data'!$B$4:$B$2342,$D83,'Grid Data'!$C$4:$C$2342,AG$4,'Grid Data'!$A$4:$A$2342,$D$2)</f>
        <v>9108</v>
      </c>
      <c r="AH83" s="2">
        <f>SUMIFS('Grid Data'!$D$4:$D$2342,'Grid Data'!$B$4:$B$2342,$D83,'Grid Data'!$C$4:$C$2342,AH$4,'Grid Data'!$A$4:$A$2342,$D$2)</f>
        <v>123</v>
      </c>
    </row>
    <row r="84" spans="4:34" x14ac:dyDescent="0.35">
      <c r="D84">
        <v>6000</v>
      </c>
      <c r="E84" s="2">
        <f>SUMIFS('Grid Data'!$D$4:$D$2342,'Grid Data'!$B$4:$B$2342,$D84,'Grid Data'!$C$4:$C$2342,E$4,'Grid Data'!$A$4:$A$2342,$D$2)</f>
        <v>55623</v>
      </c>
      <c r="F84" s="2">
        <f>SUMIFS('Grid Data'!$D$4:$D$2342,'Grid Data'!$B$4:$B$2342,$D84,'Grid Data'!$C$4:$C$2342,F$4,'Grid Data'!$A$4:$A$2342,$D$2)</f>
        <v>5760</v>
      </c>
      <c r="G84" s="2">
        <f>SUMIFS('Grid Data'!$D$4:$D$2342,'Grid Data'!$B$4:$B$2342,$D84,'Grid Data'!$C$4:$C$2342,G$4,'Grid Data'!$A$4:$A$2342,$D$2)</f>
        <v>7282</v>
      </c>
      <c r="H84" s="2">
        <f>SUMIFS('Grid Data'!$D$4:$D$2342,'Grid Data'!$B$4:$B$2342,$D84,'Grid Data'!$C$4:$C$2342,H$4,'Grid Data'!$A$4:$A$2342,$D$2)</f>
        <v>8947</v>
      </c>
      <c r="I84" s="2">
        <f>SUMIFS('Grid Data'!$D$4:$D$2342,'Grid Data'!$B$4:$B$2342,$D84,'Grid Data'!$C$4:$C$2342,I$4,'Grid Data'!$A$4:$A$2342,$D$2)</f>
        <v>6827</v>
      </c>
      <c r="J84" s="2">
        <f>SUMIFS('Grid Data'!$D$4:$D$2342,'Grid Data'!$B$4:$B$2342,$D84,'Grid Data'!$C$4:$C$2342,J$4,'Grid Data'!$A$4:$A$2342,$D$2)</f>
        <v>4082</v>
      </c>
      <c r="K84" s="2">
        <f>SUMIFS('Grid Data'!$D$4:$D$2342,'Grid Data'!$B$4:$B$2342,$D84,'Grid Data'!$C$4:$C$2342,K$4,'Grid Data'!$A$4:$A$2342,$D$2)</f>
        <v>9930</v>
      </c>
      <c r="L84" s="2">
        <f>SUMIFS('Grid Data'!$D$4:$D$2342,'Grid Data'!$B$4:$B$2342,$D84,'Grid Data'!$C$4:$C$2342,L$4,'Grid Data'!$A$4:$A$2342,$D$2)</f>
        <v>10382</v>
      </c>
      <c r="M84" s="2">
        <f>SUMIFS('Grid Data'!$D$4:$D$2342,'Grid Data'!$B$4:$B$2342,$D84,'Grid Data'!$C$4:$C$2342,M$4,'Grid Data'!$A$4:$A$2342,$D$2)</f>
        <v>9142</v>
      </c>
      <c r="N84" s="2">
        <f>SUMIFS('Grid Data'!$D$4:$D$2342,'Grid Data'!$B$4:$B$2342,$D84,'Grid Data'!$C$4:$C$2342,N$4,'Grid Data'!$A$4:$A$2342,$D$2)</f>
        <v>8933</v>
      </c>
      <c r="O84" s="2">
        <f>SUMIFS('Grid Data'!$D$4:$D$2342,'Grid Data'!$B$4:$B$2342,$D84,'Grid Data'!$C$4:$C$2342,O$4,'Grid Data'!$A$4:$A$2342,$D$2)</f>
        <v>8867</v>
      </c>
      <c r="P84" s="2">
        <f>SUMIFS('Grid Data'!$D$4:$D$2342,'Grid Data'!$B$4:$B$2342,$D84,'Grid Data'!$C$4:$C$2342,P$4,'Grid Data'!$A$4:$A$2342,$D$2)</f>
        <v>18086</v>
      </c>
      <c r="Q84" s="2">
        <f>SUMIFS('Grid Data'!$D$4:$D$2342,'Grid Data'!$B$4:$B$2342,$D84,'Grid Data'!$C$4:$C$2342,Q$4,'Grid Data'!$A$4:$A$2342,$D$2)</f>
        <v>19417</v>
      </c>
      <c r="R84" s="2">
        <f>SUMIFS('Grid Data'!$D$4:$D$2342,'Grid Data'!$B$4:$B$2342,$D84,'Grid Data'!$C$4:$C$2342,R$4,'Grid Data'!$A$4:$A$2342,$D$2)</f>
        <v>25915</v>
      </c>
      <c r="S84" s="2">
        <f>SUMIFS('Grid Data'!$D$4:$D$2342,'Grid Data'!$B$4:$B$2342,$D84,'Grid Data'!$C$4:$C$2342,S$4,'Grid Data'!$A$4:$A$2342,$D$2)</f>
        <v>18103</v>
      </c>
      <c r="T84" s="2">
        <f>SUMIFS('Grid Data'!$D$4:$D$2342,'Grid Data'!$B$4:$B$2342,$D84,'Grid Data'!$C$4:$C$2342,T$4,'Grid Data'!$A$4:$A$2342,$D$2)</f>
        <v>741</v>
      </c>
      <c r="U84" s="2">
        <f>SUMIFS('Grid Data'!$D$4:$D$2342,'Grid Data'!$B$4:$B$2342,$D84,'Grid Data'!$C$4:$C$2342,U$4,'Grid Data'!$A$4:$A$2342,$D$2)</f>
        <v>1</v>
      </c>
      <c r="V84" s="2">
        <f>SUMIFS('Grid Data'!$D$4:$D$2342,'Grid Data'!$B$4:$B$2342,$D84,'Grid Data'!$C$4:$C$2342,V$4,'Grid Data'!$A$4:$A$2342,$D$2)</f>
        <v>2</v>
      </c>
      <c r="W84" s="2">
        <f>SUMIFS('Grid Data'!$D$4:$D$2342,'Grid Data'!$B$4:$B$2342,$D84,'Grid Data'!$C$4:$C$2342,W$4,'Grid Data'!$A$4:$A$2342,$D$2)</f>
        <v>60</v>
      </c>
      <c r="X84" s="2">
        <f>SUMIFS('Grid Data'!$D$4:$D$2342,'Grid Data'!$B$4:$B$2342,$D84,'Grid Data'!$C$4:$C$2342,X$4,'Grid Data'!$A$4:$A$2342,$D$2)</f>
        <v>1549</v>
      </c>
      <c r="Y84" s="2">
        <f>SUMIFS('Grid Data'!$D$4:$D$2342,'Grid Data'!$B$4:$B$2342,$D84,'Grid Data'!$C$4:$C$2342,Y$4,'Grid Data'!$A$4:$A$2342,$D$2)</f>
        <v>1584</v>
      </c>
      <c r="Z84" s="2">
        <f>SUMIFS('Grid Data'!$D$4:$D$2342,'Grid Data'!$B$4:$B$2342,$D84,'Grid Data'!$C$4:$C$2342,Z$4,'Grid Data'!$A$4:$A$2342,$D$2)</f>
        <v>21</v>
      </c>
      <c r="AA84" s="2">
        <f>SUMIFS('Grid Data'!$D$4:$D$2342,'Grid Data'!$B$4:$B$2342,$D84,'Grid Data'!$C$4:$C$2342,AA$4,'Grid Data'!$A$4:$A$2342,$D$2)</f>
        <v>13</v>
      </c>
      <c r="AB84" s="2">
        <f>SUMIFS('Grid Data'!$D$4:$D$2342,'Grid Data'!$B$4:$B$2342,$D84,'Grid Data'!$C$4:$C$2342,AB$4,'Grid Data'!$A$4:$A$2342,$D$2)</f>
        <v>21</v>
      </c>
      <c r="AC84" s="2">
        <f>SUMIFS('Grid Data'!$D$4:$D$2342,'Grid Data'!$B$4:$B$2342,$D84,'Grid Data'!$C$4:$C$2342,AC$4,'Grid Data'!$A$4:$A$2342,$D$2)</f>
        <v>24</v>
      </c>
      <c r="AD84" s="2">
        <f>SUMIFS('Grid Data'!$D$4:$D$2342,'Grid Data'!$B$4:$B$2342,$D84,'Grid Data'!$C$4:$C$2342,AD$4,'Grid Data'!$A$4:$A$2342,$D$2)</f>
        <v>1093</v>
      </c>
      <c r="AE84" s="2">
        <f>SUMIFS('Grid Data'!$D$4:$D$2342,'Grid Data'!$B$4:$B$2342,$D84,'Grid Data'!$C$4:$C$2342,AE$4,'Grid Data'!$A$4:$A$2342,$D$2)</f>
        <v>18956</v>
      </c>
      <c r="AF84" s="2">
        <f>SUMIFS('Grid Data'!$D$4:$D$2342,'Grid Data'!$B$4:$B$2342,$D84,'Grid Data'!$C$4:$C$2342,AF$4,'Grid Data'!$A$4:$A$2342,$D$2)</f>
        <v>4637</v>
      </c>
      <c r="AG84" s="2">
        <f>SUMIFS('Grid Data'!$D$4:$D$2342,'Grid Data'!$B$4:$B$2342,$D84,'Grid Data'!$C$4:$C$2342,AG$4,'Grid Data'!$A$4:$A$2342,$D$2)</f>
        <v>33009</v>
      </c>
      <c r="AH84" s="2">
        <f>SUMIFS('Grid Data'!$D$4:$D$2342,'Grid Data'!$B$4:$B$2342,$D84,'Grid Data'!$C$4:$C$2342,AH$4,'Grid Data'!$A$4:$A$2342,$D$2)</f>
        <v>339</v>
      </c>
    </row>
    <row r="85" spans="4:34" x14ac:dyDescent="0.35">
      <c r="D85">
        <v>6250</v>
      </c>
      <c r="E85" s="2">
        <f>SUMIFS('Grid Data'!$D$4:$D$2342,'Grid Data'!$B$4:$B$2342,$D85,'Grid Data'!$C$4:$C$2342,E$4,'Grid Data'!$A$4:$A$2342,$D$2)</f>
        <v>80822</v>
      </c>
      <c r="F85" s="2">
        <f>SUMIFS('Grid Data'!$D$4:$D$2342,'Grid Data'!$B$4:$B$2342,$D85,'Grid Data'!$C$4:$C$2342,F$4,'Grid Data'!$A$4:$A$2342,$D$2)</f>
        <v>12733</v>
      </c>
      <c r="G85" s="2">
        <f>SUMIFS('Grid Data'!$D$4:$D$2342,'Grid Data'!$B$4:$B$2342,$D85,'Grid Data'!$C$4:$C$2342,G$4,'Grid Data'!$A$4:$A$2342,$D$2)</f>
        <v>14781</v>
      </c>
      <c r="H85" s="2">
        <f>SUMIFS('Grid Data'!$D$4:$D$2342,'Grid Data'!$B$4:$B$2342,$D85,'Grid Data'!$C$4:$C$2342,H$4,'Grid Data'!$A$4:$A$2342,$D$2)</f>
        <v>16406</v>
      </c>
      <c r="I85" s="2">
        <f>SUMIFS('Grid Data'!$D$4:$D$2342,'Grid Data'!$B$4:$B$2342,$D85,'Grid Data'!$C$4:$C$2342,I$4,'Grid Data'!$A$4:$A$2342,$D$2)</f>
        <v>13300</v>
      </c>
      <c r="J85" s="2">
        <f>SUMIFS('Grid Data'!$D$4:$D$2342,'Grid Data'!$B$4:$B$2342,$D85,'Grid Data'!$C$4:$C$2342,J$4,'Grid Data'!$A$4:$A$2342,$D$2)</f>
        <v>9045</v>
      </c>
      <c r="K85" s="2">
        <f>SUMIFS('Grid Data'!$D$4:$D$2342,'Grid Data'!$B$4:$B$2342,$D85,'Grid Data'!$C$4:$C$2342,K$4,'Grid Data'!$A$4:$A$2342,$D$2)</f>
        <v>25213</v>
      </c>
      <c r="L85" s="2">
        <f>SUMIFS('Grid Data'!$D$4:$D$2342,'Grid Data'!$B$4:$B$2342,$D85,'Grid Data'!$C$4:$C$2342,L$4,'Grid Data'!$A$4:$A$2342,$D$2)</f>
        <v>26775</v>
      </c>
      <c r="M85" s="2">
        <f>SUMIFS('Grid Data'!$D$4:$D$2342,'Grid Data'!$B$4:$B$2342,$D85,'Grid Data'!$C$4:$C$2342,M$4,'Grid Data'!$A$4:$A$2342,$D$2)</f>
        <v>26711</v>
      </c>
      <c r="N85" s="2">
        <f>SUMIFS('Grid Data'!$D$4:$D$2342,'Grid Data'!$B$4:$B$2342,$D85,'Grid Data'!$C$4:$C$2342,N$4,'Grid Data'!$A$4:$A$2342,$D$2)</f>
        <v>18538</v>
      </c>
      <c r="O85" s="2">
        <f>SUMIFS('Grid Data'!$D$4:$D$2342,'Grid Data'!$B$4:$B$2342,$D85,'Grid Data'!$C$4:$C$2342,O$4,'Grid Data'!$A$4:$A$2342,$D$2)</f>
        <v>17391</v>
      </c>
      <c r="P85" s="2">
        <f>SUMIFS('Grid Data'!$D$4:$D$2342,'Grid Data'!$B$4:$B$2342,$D85,'Grid Data'!$C$4:$C$2342,P$4,'Grid Data'!$A$4:$A$2342,$D$2)</f>
        <v>32082</v>
      </c>
      <c r="Q85" s="2">
        <f>SUMIFS('Grid Data'!$D$4:$D$2342,'Grid Data'!$B$4:$B$2342,$D85,'Grid Data'!$C$4:$C$2342,Q$4,'Grid Data'!$A$4:$A$2342,$D$2)</f>
        <v>37294</v>
      </c>
      <c r="R85" s="2">
        <f>SUMIFS('Grid Data'!$D$4:$D$2342,'Grid Data'!$B$4:$B$2342,$D85,'Grid Data'!$C$4:$C$2342,R$4,'Grid Data'!$A$4:$A$2342,$D$2)</f>
        <v>53357</v>
      </c>
      <c r="S85" s="2">
        <f>SUMIFS('Grid Data'!$D$4:$D$2342,'Grid Data'!$B$4:$B$2342,$D85,'Grid Data'!$C$4:$C$2342,S$4,'Grid Data'!$A$4:$A$2342,$D$2)</f>
        <v>27815</v>
      </c>
      <c r="T85" s="2">
        <f>SUMIFS('Grid Data'!$D$4:$D$2342,'Grid Data'!$B$4:$B$2342,$D85,'Grid Data'!$C$4:$C$2342,T$4,'Grid Data'!$A$4:$A$2342,$D$2)</f>
        <v>1232</v>
      </c>
      <c r="U85" s="2">
        <f>SUMIFS('Grid Data'!$D$4:$D$2342,'Grid Data'!$B$4:$B$2342,$D85,'Grid Data'!$C$4:$C$2342,U$4,'Grid Data'!$A$4:$A$2342,$D$2)</f>
        <v>23</v>
      </c>
      <c r="V85" s="2">
        <f>SUMIFS('Grid Data'!$D$4:$D$2342,'Grid Data'!$B$4:$B$2342,$D85,'Grid Data'!$C$4:$C$2342,V$4,'Grid Data'!$A$4:$A$2342,$D$2)</f>
        <v>6</v>
      </c>
      <c r="W85" s="2">
        <f>SUMIFS('Grid Data'!$D$4:$D$2342,'Grid Data'!$B$4:$B$2342,$D85,'Grid Data'!$C$4:$C$2342,W$4,'Grid Data'!$A$4:$A$2342,$D$2)</f>
        <v>54</v>
      </c>
      <c r="X85" s="2">
        <f>SUMIFS('Grid Data'!$D$4:$D$2342,'Grid Data'!$B$4:$B$2342,$D85,'Grid Data'!$C$4:$C$2342,X$4,'Grid Data'!$A$4:$A$2342,$D$2)</f>
        <v>834</v>
      </c>
      <c r="Y85" s="2">
        <f>SUMIFS('Grid Data'!$D$4:$D$2342,'Grid Data'!$B$4:$B$2342,$D85,'Grid Data'!$C$4:$C$2342,Y$4,'Grid Data'!$A$4:$A$2342,$D$2)</f>
        <v>924</v>
      </c>
      <c r="Z85" s="2">
        <f>SUMIFS('Grid Data'!$D$4:$D$2342,'Grid Data'!$B$4:$B$2342,$D85,'Grid Data'!$C$4:$C$2342,Z$4,'Grid Data'!$A$4:$A$2342,$D$2)</f>
        <v>60</v>
      </c>
      <c r="AA85" s="2">
        <f>SUMIFS('Grid Data'!$D$4:$D$2342,'Grid Data'!$B$4:$B$2342,$D85,'Grid Data'!$C$4:$C$2342,AA$4,'Grid Data'!$A$4:$A$2342,$D$2)</f>
        <v>3</v>
      </c>
      <c r="AB85" s="2">
        <f>SUMIFS('Grid Data'!$D$4:$D$2342,'Grid Data'!$B$4:$B$2342,$D85,'Grid Data'!$C$4:$C$2342,AB$4,'Grid Data'!$A$4:$A$2342,$D$2)</f>
        <v>6</v>
      </c>
      <c r="AC85" s="2">
        <f>SUMIFS('Grid Data'!$D$4:$D$2342,'Grid Data'!$B$4:$B$2342,$D85,'Grid Data'!$C$4:$C$2342,AC$4,'Grid Data'!$A$4:$A$2342,$D$2)</f>
        <v>0</v>
      </c>
      <c r="AD85" s="2">
        <f>SUMIFS('Grid Data'!$D$4:$D$2342,'Grid Data'!$B$4:$B$2342,$D85,'Grid Data'!$C$4:$C$2342,AD$4,'Grid Data'!$A$4:$A$2342,$D$2)</f>
        <v>165</v>
      </c>
      <c r="AE85" s="2">
        <f>SUMIFS('Grid Data'!$D$4:$D$2342,'Grid Data'!$B$4:$B$2342,$D85,'Grid Data'!$C$4:$C$2342,AE$4,'Grid Data'!$A$4:$A$2342,$D$2)</f>
        <v>4712</v>
      </c>
      <c r="AF85" s="2">
        <f>SUMIFS('Grid Data'!$D$4:$D$2342,'Grid Data'!$B$4:$B$2342,$D85,'Grid Data'!$C$4:$C$2342,AF$4,'Grid Data'!$A$4:$A$2342,$D$2)</f>
        <v>3784</v>
      </c>
      <c r="AG85" s="2">
        <f>SUMIFS('Grid Data'!$D$4:$D$2342,'Grid Data'!$B$4:$B$2342,$D85,'Grid Data'!$C$4:$C$2342,AG$4,'Grid Data'!$A$4:$A$2342,$D$2)</f>
        <v>10095</v>
      </c>
      <c r="AH85" s="2">
        <f>SUMIFS('Grid Data'!$D$4:$D$2342,'Grid Data'!$B$4:$B$2342,$D85,'Grid Data'!$C$4:$C$2342,AH$4,'Grid Data'!$A$4:$A$2342,$D$2)</f>
        <v>140</v>
      </c>
    </row>
    <row r="86" spans="4:34" x14ac:dyDescent="0.35">
      <c r="D86">
        <v>6500</v>
      </c>
      <c r="E86" s="2">
        <f>SUMIFS('Grid Data'!$D$4:$D$2342,'Grid Data'!$B$4:$B$2342,$D86,'Grid Data'!$C$4:$C$2342,E$4,'Grid Data'!$A$4:$A$2342,$D$2)</f>
        <v>47786</v>
      </c>
      <c r="F86" s="2">
        <f>SUMIFS('Grid Data'!$D$4:$D$2342,'Grid Data'!$B$4:$B$2342,$D86,'Grid Data'!$C$4:$C$2342,F$4,'Grid Data'!$A$4:$A$2342,$D$2)</f>
        <v>12858</v>
      </c>
      <c r="G86" s="2">
        <f>SUMIFS('Grid Data'!$D$4:$D$2342,'Grid Data'!$B$4:$B$2342,$D86,'Grid Data'!$C$4:$C$2342,G$4,'Grid Data'!$A$4:$A$2342,$D$2)</f>
        <v>11958</v>
      </c>
      <c r="H86" s="2">
        <f>SUMIFS('Grid Data'!$D$4:$D$2342,'Grid Data'!$B$4:$B$2342,$D86,'Grid Data'!$C$4:$C$2342,H$4,'Grid Data'!$A$4:$A$2342,$D$2)</f>
        <v>10294</v>
      </c>
      <c r="I86" s="2">
        <f>SUMIFS('Grid Data'!$D$4:$D$2342,'Grid Data'!$B$4:$B$2342,$D86,'Grid Data'!$C$4:$C$2342,I$4,'Grid Data'!$A$4:$A$2342,$D$2)</f>
        <v>8750</v>
      </c>
      <c r="J86" s="2">
        <f>SUMIFS('Grid Data'!$D$4:$D$2342,'Grid Data'!$B$4:$B$2342,$D86,'Grid Data'!$C$4:$C$2342,J$4,'Grid Data'!$A$4:$A$2342,$D$2)</f>
        <v>7012</v>
      </c>
      <c r="K86" s="2">
        <f>SUMIFS('Grid Data'!$D$4:$D$2342,'Grid Data'!$B$4:$B$2342,$D86,'Grid Data'!$C$4:$C$2342,K$4,'Grid Data'!$A$4:$A$2342,$D$2)</f>
        <v>10057</v>
      </c>
      <c r="L86" s="2">
        <f>SUMIFS('Grid Data'!$D$4:$D$2342,'Grid Data'!$B$4:$B$2342,$D86,'Grid Data'!$C$4:$C$2342,L$4,'Grid Data'!$A$4:$A$2342,$D$2)</f>
        <v>7634</v>
      </c>
      <c r="M86" s="2">
        <f>SUMIFS('Grid Data'!$D$4:$D$2342,'Grid Data'!$B$4:$B$2342,$D86,'Grid Data'!$C$4:$C$2342,M$4,'Grid Data'!$A$4:$A$2342,$D$2)</f>
        <v>8768</v>
      </c>
      <c r="N86" s="2">
        <f>SUMIFS('Grid Data'!$D$4:$D$2342,'Grid Data'!$B$4:$B$2342,$D86,'Grid Data'!$C$4:$C$2342,N$4,'Grid Data'!$A$4:$A$2342,$D$2)</f>
        <v>10383</v>
      </c>
      <c r="O86" s="2">
        <f>SUMIFS('Grid Data'!$D$4:$D$2342,'Grid Data'!$B$4:$B$2342,$D86,'Grid Data'!$C$4:$C$2342,O$4,'Grid Data'!$A$4:$A$2342,$D$2)</f>
        <v>10860</v>
      </c>
      <c r="P86" s="2">
        <f>SUMIFS('Grid Data'!$D$4:$D$2342,'Grid Data'!$B$4:$B$2342,$D86,'Grid Data'!$C$4:$C$2342,P$4,'Grid Data'!$A$4:$A$2342,$D$2)</f>
        <v>13465</v>
      </c>
      <c r="Q86" s="2">
        <f>SUMIFS('Grid Data'!$D$4:$D$2342,'Grid Data'!$B$4:$B$2342,$D86,'Grid Data'!$C$4:$C$2342,Q$4,'Grid Data'!$A$4:$A$2342,$D$2)</f>
        <v>22655</v>
      </c>
      <c r="R86" s="2">
        <f>SUMIFS('Grid Data'!$D$4:$D$2342,'Grid Data'!$B$4:$B$2342,$D86,'Grid Data'!$C$4:$C$2342,R$4,'Grid Data'!$A$4:$A$2342,$D$2)</f>
        <v>18555</v>
      </c>
      <c r="S86" s="2">
        <f>SUMIFS('Grid Data'!$D$4:$D$2342,'Grid Data'!$B$4:$B$2342,$D86,'Grid Data'!$C$4:$C$2342,S$4,'Grid Data'!$A$4:$A$2342,$D$2)</f>
        <v>7693</v>
      </c>
      <c r="T86" s="2">
        <f>SUMIFS('Grid Data'!$D$4:$D$2342,'Grid Data'!$B$4:$B$2342,$D86,'Grid Data'!$C$4:$C$2342,T$4,'Grid Data'!$A$4:$A$2342,$D$2)</f>
        <v>132</v>
      </c>
      <c r="U86" s="2">
        <f>SUMIFS('Grid Data'!$D$4:$D$2342,'Grid Data'!$B$4:$B$2342,$D86,'Grid Data'!$C$4:$C$2342,U$4,'Grid Data'!$A$4:$A$2342,$D$2)</f>
        <v>0</v>
      </c>
      <c r="V86" s="2">
        <f>SUMIFS('Grid Data'!$D$4:$D$2342,'Grid Data'!$B$4:$B$2342,$D86,'Grid Data'!$C$4:$C$2342,V$4,'Grid Data'!$A$4:$A$2342,$D$2)</f>
        <v>0</v>
      </c>
      <c r="W86" s="2">
        <f>SUMIFS('Grid Data'!$D$4:$D$2342,'Grid Data'!$B$4:$B$2342,$D86,'Grid Data'!$C$4:$C$2342,W$4,'Grid Data'!$A$4:$A$2342,$D$2)</f>
        <v>4</v>
      </c>
      <c r="X86" s="2">
        <f>SUMIFS('Grid Data'!$D$4:$D$2342,'Grid Data'!$B$4:$B$2342,$D86,'Grid Data'!$C$4:$C$2342,X$4,'Grid Data'!$A$4:$A$2342,$D$2)</f>
        <v>75</v>
      </c>
      <c r="Y86" s="2">
        <f>SUMIFS('Grid Data'!$D$4:$D$2342,'Grid Data'!$B$4:$B$2342,$D86,'Grid Data'!$C$4:$C$2342,Y$4,'Grid Data'!$A$4:$A$2342,$D$2)</f>
        <v>53</v>
      </c>
      <c r="Z86" s="2">
        <f>SUMIFS('Grid Data'!$D$4:$D$2342,'Grid Data'!$B$4:$B$2342,$D86,'Grid Data'!$C$4:$C$2342,Z$4,'Grid Data'!$A$4:$A$2342,$D$2)</f>
        <v>3</v>
      </c>
      <c r="AA86" s="2">
        <f>SUMIFS('Grid Data'!$D$4:$D$2342,'Grid Data'!$B$4:$B$2342,$D86,'Grid Data'!$C$4:$C$2342,AA$4,'Grid Data'!$A$4:$A$2342,$D$2)</f>
        <v>1</v>
      </c>
      <c r="AB86" s="2">
        <f>SUMIFS('Grid Data'!$D$4:$D$2342,'Grid Data'!$B$4:$B$2342,$D86,'Grid Data'!$C$4:$C$2342,AB$4,'Grid Data'!$A$4:$A$2342,$D$2)</f>
        <v>2</v>
      </c>
      <c r="AC86" s="2">
        <f>SUMIFS('Grid Data'!$D$4:$D$2342,'Grid Data'!$B$4:$B$2342,$D86,'Grid Data'!$C$4:$C$2342,AC$4,'Grid Data'!$A$4:$A$2342,$D$2)</f>
        <v>126</v>
      </c>
      <c r="AD86" s="2">
        <f>SUMIFS('Grid Data'!$D$4:$D$2342,'Grid Data'!$B$4:$B$2342,$D86,'Grid Data'!$C$4:$C$2342,AD$4,'Grid Data'!$A$4:$A$2342,$D$2)</f>
        <v>156</v>
      </c>
      <c r="AE86" s="2">
        <f>SUMIFS('Grid Data'!$D$4:$D$2342,'Grid Data'!$B$4:$B$2342,$D86,'Grid Data'!$C$4:$C$2342,AE$4,'Grid Data'!$A$4:$A$2342,$D$2)</f>
        <v>12241</v>
      </c>
      <c r="AF86" s="2">
        <f>SUMIFS('Grid Data'!$D$4:$D$2342,'Grid Data'!$B$4:$B$2342,$D86,'Grid Data'!$C$4:$C$2342,AF$4,'Grid Data'!$A$4:$A$2342,$D$2)</f>
        <v>9184</v>
      </c>
      <c r="AG86" s="2">
        <f>SUMIFS('Grid Data'!$D$4:$D$2342,'Grid Data'!$B$4:$B$2342,$D86,'Grid Data'!$C$4:$C$2342,AG$4,'Grid Data'!$A$4:$A$2342,$D$2)</f>
        <v>22091</v>
      </c>
      <c r="AH86" s="2">
        <f>SUMIFS('Grid Data'!$D$4:$D$2342,'Grid Data'!$B$4:$B$2342,$D86,'Grid Data'!$C$4:$C$2342,AH$4,'Grid Data'!$A$4:$A$2342,$D$2)</f>
        <v>1731</v>
      </c>
    </row>
    <row r="87" spans="4:34" x14ac:dyDescent="0.35">
      <c r="D87">
        <v>6750</v>
      </c>
      <c r="E87" s="2">
        <f>SUMIFS('Grid Data'!$D$4:$D$2342,'Grid Data'!$B$4:$B$2342,$D87,'Grid Data'!$C$4:$C$2342,E$4,'Grid Data'!$A$4:$A$2342,$D$2)</f>
        <v>57208</v>
      </c>
      <c r="F87" s="2">
        <f>SUMIFS('Grid Data'!$D$4:$D$2342,'Grid Data'!$B$4:$B$2342,$D87,'Grid Data'!$C$4:$C$2342,F$4,'Grid Data'!$A$4:$A$2342,$D$2)</f>
        <v>16410</v>
      </c>
      <c r="G87" s="2">
        <f>SUMIFS('Grid Data'!$D$4:$D$2342,'Grid Data'!$B$4:$B$2342,$D87,'Grid Data'!$C$4:$C$2342,G$4,'Grid Data'!$A$4:$A$2342,$D$2)</f>
        <v>15017</v>
      </c>
      <c r="H87" s="2">
        <f>SUMIFS('Grid Data'!$D$4:$D$2342,'Grid Data'!$B$4:$B$2342,$D87,'Grid Data'!$C$4:$C$2342,H$4,'Grid Data'!$A$4:$A$2342,$D$2)</f>
        <v>13014</v>
      </c>
      <c r="I87" s="2">
        <f>SUMIFS('Grid Data'!$D$4:$D$2342,'Grid Data'!$B$4:$B$2342,$D87,'Grid Data'!$C$4:$C$2342,I$4,'Grid Data'!$A$4:$A$2342,$D$2)</f>
        <v>13581</v>
      </c>
      <c r="J87" s="2">
        <f>SUMIFS('Grid Data'!$D$4:$D$2342,'Grid Data'!$B$4:$B$2342,$D87,'Grid Data'!$C$4:$C$2342,J$4,'Grid Data'!$A$4:$A$2342,$D$2)</f>
        <v>11801</v>
      </c>
      <c r="K87" s="2">
        <f>SUMIFS('Grid Data'!$D$4:$D$2342,'Grid Data'!$B$4:$B$2342,$D87,'Grid Data'!$C$4:$C$2342,K$4,'Grid Data'!$A$4:$A$2342,$D$2)</f>
        <v>20859</v>
      </c>
      <c r="L87" s="2">
        <f>SUMIFS('Grid Data'!$D$4:$D$2342,'Grid Data'!$B$4:$B$2342,$D87,'Grid Data'!$C$4:$C$2342,L$4,'Grid Data'!$A$4:$A$2342,$D$2)</f>
        <v>15150</v>
      </c>
      <c r="M87" s="2">
        <f>SUMIFS('Grid Data'!$D$4:$D$2342,'Grid Data'!$B$4:$B$2342,$D87,'Grid Data'!$C$4:$C$2342,M$4,'Grid Data'!$A$4:$A$2342,$D$2)</f>
        <v>20624</v>
      </c>
      <c r="N87" s="2">
        <f>SUMIFS('Grid Data'!$D$4:$D$2342,'Grid Data'!$B$4:$B$2342,$D87,'Grid Data'!$C$4:$C$2342,N$4,'Grid Data'!$A$4:$A$2342,$D$2)</f>
        <v>27076</v>
      </c>
      <c r="O87" s="2">
        <f>SUMIFS('Grid Data'!$D$4:$D$2342,'Grid Data'!$B$4:$B$2342,$D87,'Grid Data'!$C$4:$C$2342,O$4,'Grid Data'!$A$4:$A$2342,$D$2)</f>
        <v>26307</v>
      </c>
      <c r="P87" s="2">
        <f>SUMIFS('Grid Data'!$D$4:$D$2342,'Grid Data'!$B$4:$B$2342,$D87,'Grid Data'!$C$4:$C$2342,P$4,'Grid Data'!$A$4:$A$2342,$D$2)</f>
        <v>33790</v>
      </c>
      <c r="Q87" s="2">
        <f>SUMIFS('Grid Data'!$D$4:$D$2342,'Grid Data'!$B$4:$B$2342,$D87,'Grid Data'!$C$4:$C$2342,Q$4,'Grid Data'!$A$4:$A$2342,$D$2)</f>
        <v>53610</v>
      </c>
      <c r="R87" s="2">
        <f>SUMIFS('Grid Data'!$D$4:$D$2342,'Grid Data'!$B$4:$B$2342,$D87,'Grid Data'!$C$4:$C$2342,R$4,'Grid Data'!$A$4:$A$2342,$D$2)</f>
        <v>41588</v>
      </c>
      <c r="S87" s="2">
        <f>SUMIFS('Grid Data'!$D$4:$D$2342,'Grid Data'!$B$4:$B$2342,$D87,'Grid Data'!$C$4:$C$2342,S$4,'Grid Data'!$A$4:$A$2342,$D$2)</f>
        <v>13308</v>
      </c>
      <c r="T87" s="2">
        <f>SUMIFS('Grid Data'!$D$4:$D$2342,'Grid Data'!$B$4:$B$2342,$D87,'Grid Data'!$C$4:$C$2342,T$4,'Grid Data'!$A$4:$A$2342,$D$2)</f>
        <v>139</v>
      </c>
      <c r="U87" s="2">
        <f>SUMIFS('Grid Data'!$D$4:$D$2342,'Grid Data'!$B$4:$B$2342,$D87,'Grid Data'!$C$4:$C$2342,U$4,'Grid Data'!$A$4:$A$2342,$D$2)</f>
        <v>1</v>
      </c>
      <c r="V87" s="2">
        <f>SUMIFS('Grid Data'!$D$4:$D$2342,'Grid Data'!$B$4:$B$2342,$D87,'Grid Data'!$C$4:$C$2342,V$4,'Grid Data'!$A$4:$A$2342,$D$2)</f>
        <v>0</v>
      </c>
      <c r="W87" s="2">
        <f>SUMIFS('Grid Data'!$D$4:$D$2342,'Grid Data'!$B$4:$B$2342,$D87,'Grid Data'!$C$4:$C$2342,W$4,'Grid Data'!$A$4:$A$2342,$D$2)</f>
        <v>0</v>
      </c>
      <c r="X87" s="2">
        <f>SUMIFS('Grid Data'!$D$4:$D$2342,'Grid Data'!$B$4:$B$2342,$D87,'Grid Data'!$C$4:$C$2342,X$4,'Grid Data'!$A$4:$A$2342,$D$2)</f>
        <v>9</v>
      </c>
      <c r="Y87" s="2">
        <f>SUMIFS('Grid Data'!$D$4:$D$2342,'Grid Data'!$B$4:$B$2342,$D87,'Grid Data'!$C$4:$C$2342,Y$4,'Grid Data'!$A$4:$A$2342,$D$2)</f>
        <v>25</v>
      </c>
      <c r="Z87" s="2">
        <f>SUMIFS('Grid Data'!$D$4:$D$2342,'Grid Data'!$B$4:$B$2342,$D87,'Grid Data'!$C$4:$C$2342,Z$4,'Grid Data'!$A$4:$A$2342,$D$2)</f>
        <v>0</v>
      </c>
      <c r="AA87" s="2">
        <f>SUMIFS('Grid Data'!$D$4:$D$2342,'Grid Data'!$B$4:$B$2342,$D87,'Grid Data'!$C$4:$C$2342,AA$4,'Grid Data'!$A$4:$A$2342,$D$2)</f>
        <v>1</v>
      </c>
      <c r="AB87" s="2">
        <f>SUMIFS('Grid Data'!$D$4:$D$2342,'Grid Data'!$B$4:$B$2342,$D87,'Grid Data'!$C$4:$C$2342,AB$4,'Grid Data'!$A$4:$A$2342,$D$2)</f>
        <v>10</v>
      </c>
      <c r="AC87" s="2">
        <f>SUMIFS('Grid Data'!$D$4:$D$2342,'Grid Data'!$B$4:$B$2342,$D87,'Grid Data'!$C$4:$C$2342,AC$4,'Grid Data'!$A$4:$A$2342,$D$2)</f>
        <v>3</v>
      </c>
      <c r="AD87" s="2">
        <f>SUMIFS('Grid Data'!$D$4:$D$2342,'Grid Data'!$B$4:$B$2342,$D87,'Grid Data'!$C$4:$C$2342,AD$4,'Grid Data'!$A$4:$A$2342,$D$2)</f>
        <v>24</v>
      </c>
      <c r="AE87" s="2">
        <f>SUMIFS('Grid Data'!$D$4:$D$2342,'Grid Data'!$B$4:$B$2342,$D87,'Grid Data'!$C$4:$C$2342,AE$4,'Grid Data'!$A$4:$A$2342,$D$2)</f>
        <v>3892</v>
      </c>
      <c r="AF87" s="2">
        <f>SUMIFS('Grid Data'!$D$4:$D$2342,'Grid Data'!$B$4:$B$2342,$D87,'Grid Data'!$C$4:$C$2342,AF$4,'Grid Data'!$A$4:$A$2342,$D$2)</f>
        <v>4502</v>
      </c>
      <c r="AG87" s="2">
        <f>SUMIFS('Grid Data'!$D$4:$D$2342,'Grid Data'!$B$4:$B$2342,$D87,'Grid Data'!$C$4:$C$2342,AG$4,'Grid Data'!$A$4:$A$2342,$D$2)</f>
        <v>4562</v>
      </c>
      <c r="AH87" s="2">
        <f>SUMIFS('Grid Data'!$D$4:$D$2342,'Grid Data'!$B$4:$B$2342,$D87,'Grid Data'!$C$4:$C$2342,AH$4,'Grid Data'!$A$4:$A$2342,$D$2)</f>
        <v>924</v>
      </c>
    </row>
    <row r="88" spans="4:34" x14ac:dyDescent="0.35">
      <c r="D88">
        <v>7000</v>
      </c>
      <c r="E88" s="2">
        <f>SUMIFS('Grid Data'!$D$4:$D$2342,'Grid Data'!$B$4:$B$2342,$D88,'Grid Data'!$C$4:$C$2342,E$4,'Grid Data'!$A$4:$A$2342,$D$2)</f>
        <v>20789</v>
      </c>
      <c r="F88" s="2">
        <f>SUMIFS('Grid Data'!$D$4:$D$2342,'Grid Data'!$B$4:$B$2342,$D88,'Grid Data'!$C$4:$C$2342,F$4,'Grid Data'!$A$4:$A$2342,$D$2)</f>
        <v>7443</v>
      </c>
      <c r="G88" s="2">
        <f>SUMIFS('Grid Data'!$D$4:$D$2342,'Grid Data'!$B$4:$B$2342,$D88,'Grid Data'!$C$4:$C$2342,G$4,'Grid Data'!$A$4:$A$2342,$D$2)</f>
        <v>6813</v>
      </c>
      <c r="H88" s="2">
        <f>SUMIFS('Grid Data'!$D$4:$D$2342,'Grid Data'!$B$4:$B$2342,$D88,'Grid Data'!$C$4:$C$2342,H$4,'Grid Data'!$A$4:$A$2342,$D$2)</f>
        <v>3991</v>
      </c>
      <c r="I88" s="2">
        <f>SUMIFS('Grid Data'!$D$4:$D$2342,'Grid Data'!$B$4:$B$2342,$D88,'Grid Data'!$C$4:$C$2342,I$4,'Grid Data'!$A$4:$A$2342,$D$2)</f>
        <v>3397</v>
      </c>
      <c r="J88" s="2">
        <f>SUMIFS('Grid Data'!$D$4:$D$2342,'Grid Data'!$B$4:$B$2342,$D88,'Grid Data'!$C$4:$C$2342,J$4,'Grid Data'!$A$4:$A$2342,$D$2)</f>
        <v>3821</v>
      </c>
      <c r="K88" s="2">
        <f>SUMIFS('Grid Data'!$D$4:$D$2342,'Grid Data'!$B$4:$B$2342,$D88,'Grid Data'!$C$4:$C$2342,K$4,'Grid Data'!$A$4:$A$2342,$D$2)</f>
        <v>5569</v>
      </c>
      <c r="L88" s="2">
        <f>SUMIFS('Grid Data'!$D$4:$D$2342,'Grid Data'!$B$4:$B$2342,$D88,'Grid Data'!$C$4:$C$2342,L$4,'Grid Data'!$A$4:$A$2342,$D$2)</f>
        <v>3703</v>
      </c>
      <c r="M88" s="2">
        <f>SUMIFS('Grid Data'!$D$4:$D$2342,'Grid Data'!$B$4:$B$2342,$D88,'Grid Data'!$C$4:$C$2342,M$4,'Grid Data'!$A$4:$A$2342,$D$2)</f>
        <v>5645</v>
      </c>
      <c r="N88" s="2">
        <f>SUMIFS('Grid Data'!$D$4:$D$2342,'Grid Data'!$B$4:$B$2342,$D88,'Grid Data'!$C$4:$C$2342,N$4,'Grid Data'!$A$4:$A$2342,$D$2)</f>
        <v>9850</v>
      </c>
      <c r="O88" s="2">
        <f>SUMIFS('Grid Data'!$D$4:$D$2342,'Grid Data'!$B$4:$B$2342,$D88,'Grid Data'!$C$4:$C$2342,O$4,'Grid Data'!$A$4:$A$2342,$D$2)</f>
        <v>8914</v>
      </c>
      <c r="P88" s="2">
        <f>SUMIFS('Grid Data'!$D$4:$D$2342,'Grid Data'!$B$4:$B$2342,$D88,'Grid Data'!$C$4:$C$2342,P$4,'Grid Data'!$A$4:$A$2342,$D$2)</f>
        <v>9618</v>
      </c>
      <c r="Q88" s="2">
        <f>SUMIFS('Grid Data'!$D$4:$D$2342,'Grid Data'!$B$4:$B$2342,$D88,'Grid Data'!$C$4:$C$2342,Q$4,'Grid Data'!$A$4:$A$2342,$D$2)</f>
        <v>23510</v>
      </c>
      <c r="R88" s="2">
        <f>SUMIFS('Grid Data'!$D$4:$D$2342,'Grid Data'!$B$4:$B$2342,$D88,'Grid Data'!$C$4:$C$2342,R$4,'Grid Data'!$A$4:$A$2342,$D$2)</f>
        <v>9223</v>
      </c>
      <c r="S88" s="2">
        <f>SUMIFS('Grid Data'!$D$4:$D$2342,'Grid Data'!$B$4:$B$2342,$D88,'Grid Data'!$C$4:$C$2342,S$4,'Grid Data'!$A$4:$A$2342,$D$2)</f>
        <v>3997</v>
      </c>
      <c r="T88" s="2">
        <f>SUMIFS('Grid Data'!$D$4:$D$2342,'Grid Data'!$B$4:$B$2342,$D88,'Grid Data'!$C$4:$C$2342,T$4,'Grid Data'!$A$4:$A$2342,$D$2)</f>
        <v>6</v>
      </c>
      <c r="U88" s="2">
        <f>SUMIFS('Grid Data'!$D$4:$D$2342,'Grid Data'!$B$4:$B$2342,$D88,'Grid Data'!$C$4:$C$2342,U$4,'Grid Data'!$A$4:$A$2342,$D$2)</f>
        <v>0</v>
      </c>
      <c r="V88" s="2">
        <f>SUMIFS('Grid Data'!$D$4:$D$2342,'Grid Data'!$B$4:$B$2342,$D88,'Grid Data'!$C$4:$C$2342,V$4,'Grid Data'!$A$4:$A$2342,$D$2)</f>
        <v>0</v>
      </c>
      <c r="W88" s="2">
        <f>SUMIFS('Grid Data'!$D$4:$D$2342,'Grid Data'!$B$4:$B$2342,$D88,'Grid Data'!$C$4:$C$2342,W$4,'Grid Data'!$A$4:$A$2342,$D$2)</f>
        <v>1</v>
      </c>
      <c r="X88" s="2">
        <f>SUMIFS('Grid Data'!$D$4:$D$2342,'Grid Data'!$B$4:$B$2342,$D88,'Grid Data'!$C$4:$C$2342,X$4,'Grid Data'!$A$4:$A$2342,$D$2)</f>
        <v>5</v>
      </c>
      <c r="Y88" s="2">
        <f>SUMIFS('Grid Data'!$D$4:$D$2342,'Grid Data'!$B$4:$B$2342,$D88,'Grid Data'!$C$4:$C$2342,Y$4,'Grid Data'!$A$4:$A$2342,$D$2)</f>
        <v>12</v>
      </c>
      <c r="Z88" s="2">
        <f>SUMIFS('Grid Data'!$D$4:$D$2342,'Grid Data'!$B$4:$B$2342,$D88,'Grid Data'!$C$4:$C$2342,Z$4,'Grid Data'!$A$4:$A$2342,$D$2)</f>
        <v>0</v>
      </c>
      <c r="AA88" s="2">
        <f>SUMIFS('Grid Data'!$D$4:$D$2342,'Grid Data'!$B$4:$B$2342,$D88,'Grid Data'!$C$4:$C$2342,AA$4,'Grid Data'!$A$4:$A$2342,$D$2)</f>
        <v>0</v>
      </c>
      <c r="AB88" s="2">
        <f>SUMIFS('Grid Data'!$D$4:$D$2342,'Grid Data'!$B$4:$B$2342,$D88,'Grid Data'!$C$4:$C$2342,AB$4,'Grid Data'!$A$4:$A$2342,$D$2)</f>
        <v>1</v>
      </c>
      <c r="AC88" s="2">
        <f>SUMIFS('Grid Data'!$D$4:$D$2342,'Grid Data'!$B$4:$B$2342,$D88,'Grid Data'!$C$4:$C$2342,AC$4,'Grid Data'!$A$4:$A$2342,$D$2)</f>
        <v>0</v>
      </c>
      <c r="AD88" s="2">
        <f>SUMIFS('Grid Data'!$D$4:$D$2342,'Grid Data'!$B$4:$B$2342,$D88,'Grid Data'!$C$4:$C$2342,AD$4,'Grid Data'!$A$4:$A$2342,$D$2)</f>
        <v>8</v>
      </c>
      <c r="AE88" s="2">
        <f>SUMIFS('Grid Data'!$D$4:$D$2342,'Grid Data'!$B$4:$B$2342,$D88,'Grid Data'!$C$4:$C$2342,AE$4,'Grid Data'!$A$4:$A$2342,$D$2)</f>
        <v>4462</v>
      </c>
      <c r="AF88" s="2">
        <f>SUMIFS('Grid Data'!$D$4:$D$2342,'Grid Data'!$B$4:$B$2342,$D88,'Grid Data'!$C$4:$C$2342,AF$4,'Grid Data'!$A$4:$A$2342,$D$2)</f>
        <v>4918</v>
      </c>
      <c r="AG88" s="2">
        <f>SUMIFS('Grid Data'!$D$4:$D$2342,'Grid Data'!$B$4:$B$2342,$D88,'Grid Data'!$C$4:$C$2342,AG$4,'Grid Data'!$A$4:$A$2342,$D$2)</f>
        <v>10441</v>
      </c>
      <c r="AH88" s="2">
        <f>SUMIFS('Grid Data'!$D$4:$D$2342,'Grid Data'!$B$4:$B$2342,$D88,'Grid Data'!$C$4:$C$2342,AH$4,'Grid Data'!$A$4:$A$2342,$D$2)</f>
        <v>4178</v>
      </c>
    </row>
    <row r="89" spans="4:34" x14ac:dyDescent="0.35">
      <c r="D89">
        <v>7250</v>
      </c>
      <c r="E89" s="2">
        <f>SUMIFS('Grid Data'!$D$4:$D$2342,'Grid Data'!$B$4:$B$2342,$D89,'Grid Data'!$C$4:$C$2342,E$4,'Grid Data'!$A$4:$A$2342,$D$2)</f>
        <v>16676</v>
      </c>
      <c r="F89" s="2">
        <f>SUMIFS('Grid Data'!$D$4:$D$2342,'Grid Data'!$B$4:$B$2342,$D89,'Grid Data'!$C$4:$C$2342,F$4,'Grid Data'!$A$4:$A$2342,$D$2)</f>
        <v>5249</v>
      </c>
      <c r="G89" s="2">
        <f>SUMIFS('Grid Data'!$D$4:$D$2342,'Grid Data'!$B$4:$B$2342,$D89,'Grid Data'!$C$4:$C$2342,G$4,'Grid Data'!$A$4:$A$2342,$D$2)</f>
        <v>4643</v>
      </c>
      <c r="H89" s="2">
        <f>SUMIFS('Grid Data'!$D$4:$D$2342,'Grid Data'!$B$4:$B$2342,$D89,'Grid Data'!$C$4:$C$2342,H$4,'Grid Data'!$A$4:$A$2342,$D$2)</f>
        <v>3232</v>
      </c>
      <c r="I89" s="2">
        <f>SUMIFS('Grid Data'!$D$4:$D$2342,'Grid Data'!$B$4:$B$2342,$D89,'Grid Data'!$C$4:$C$2342,I$4,'Grid Data'!$A$4:$A$2342,$D$2)</f>
        <v>3393</v>
      </c>
      <c r="J89" s="2">
        <f>SUMIFS('Grid Data'!$D$4:$D$2342,'Grid Data'!$B$4:$B$2342,$D89,'Grid Data'!$C$4:$C$2342,J$4,'Grid Data'!$A$4:$A$2342,$D$2)</f>
        <v>3424</v>
      </c>
      <c r="K89" s="2">
        <f>SUMIFS('Grid Data'!$D$4:$D$2342,'Grid Data'!$B$4:$B$2342,$D89,'Grid Data'!$C$4:$C$2342,K$4,'Grid Data'!$A$4:$A$2342,$D$2)</f>
        <v>5689</v>
      </c>
      <c r="L89" s="2">
        <f>SUMIFS('Grid Data'!$D$4:$D$2342,'Grid Data'!$B$4:$B$2342,$D89,'Grid Data'!$C$4:$C$2342,L$4,'Grid Data'!$A$4:$A$2342,$D$2)</f>
        <v>3919</v>
      </c>
      <c r="M89" s="2">
        <f>SUMIFS('Grid Data'!$D$4:$D$2342,'Grid Data'!$B$4:$B$2342,$D89,'Grid Data'!$C$4:$C$2342,M$4,'Grid Data'!$A$4:$A$2342,$D$2)</f>
        <v>7132</v>
      </c>
      <c r="N89" s="2">
        <f>SUMIFS('Grid Data'!$D$4:$D$2342,'Grid Data'!$B$4:$B$2342,$D89,'Grid Data'!$C$4:$C$2342,N$4,'Grid Data'!$A$4:$A$2342,$D$2)</f>
        <v>13531</v>
      </c>
      <c r="O89" s="2">
        <f>SUMIFS('Grid Data'!$D$4:$D$2342,'Grid Data'!$B$4:$B$2342,$D89,'Grid Data'!$C$4:$C$2342,O$4,'Grid Data'!$A$4:$A$2342,$D$2)</f>
        <v>13930</v>
      </c>
      <c r="P89" s="2">
        <f>SUMIFS('Grid Data'!$D$4:$D$2342,'Grid Data'!$B$4:$B$2342,$D89,'Grid Data'!$C$4:$C$2342,P$4,'Grid Data'!$A$4:$A$2342,$D$2)</f>
        <v>17234</v>
      </c>
      <c r="Q89" s="2">
        <f>SUMIFS('Grid Data'!$D$4:$D$2342,'Grid Data'!$B$4:$B$2342,$D89,'Grid Data'!$C$4:$C$2342,Q$4,'Grid Data'!$A$4:$A$2342,$D$2)</f>
        <v>40044</v>
      </c>
      <c r="R89" s="2">
        <f>SUMIFS('Grid Data'!$D$4:$D$2342,'Grid Data'!$B$4:$B$2342,$D89,'Grid Data'!$C$4:$C$2342,R$4,'Grid Data'!$A$4:$A$2342,$D$2)</f>
        <v>14741</v>
      </c>
      <c r="S89" s="2">
        <f>SUMIFS('Grid Data'!$D$4:$D$2342,'Grid Data'!$B$4:$B$2342,$D89,'Grid Data'!$C$4:$C$2342,S$4,'Grid Data'!$A$4:$A$2342,$D$2)</f>
        <v>5140</v>
      </c>
      <c r="T89" s="2">
        <f>SUMIFS('Grid Data'!$D$4:$D$2342,'Grid Data'!$B$4:$B$2342,$D89,'Grid Data'!$C$4:$C$2342,T$4,'Grid Data'!$A$4:$A$2342,$D$2)</f>
        <v>2</v>
      </c>
      <c r="U89" s="2">
        <f>SUMIFS('Grid Data'!$D$4:$D$2342,'Grid Data'!$B$4:$B$2342,$D89,'Grid Data'!$C$4:$C$2342,U$4,'Grid Data'!$A$4:$A$2342,$D$2)</f>
        <v>0</v>
      </c>
      <c r="V89" s="2">
        <f>SUMIFS('Grid Data'!$D$4:$D$2342,'Grid Data'!$B$4:$B$2342,$D89,'Grid Data'!$C$4:$C$2342,V$4,'Grid Data'!$A$4:$A$2342,$D$2)</f>
        <v>0</v>
      </c>
      <c r="W89" s="2">
        <f>SUMIFS('Grid Data'!$D$4:$D$2342,'Grid Data'!$B$4:$B$2342,$D89,'Grid Data'!$C$4:$C$2342,W$4,'Grid Data'!$A$4:$A$2342,$D$2)</f>
        <v>0</v>
      </c>
      <c r="X89" s="2">
        <f>SUMIFS('Grid Data'!$D$4:$D$2342,'Grid Data'!$B$4:$B$2342,$D89,'Grid Data'!$C$4:$C$2342,X$4,'Grid Data'!$A$4:$A$2342,$D$2)</f>
        <v>9</v>
      </c>
      <c r="Y89" s="2">
        <f>SUMIFS('Grid Data'!$D$4:$D$2342,'Grid Data'!$B$4:$B$2342,$D89,'Grid Data'!$C$4:$C$2342,Y$4,'Grid Data'!$A$4:$A$2342,$D$2)</f>
        <v>15</v>
      </c>
      <c r="Z89" s="2">
        <f>SUMIFS('Grid Data'!$D$4:$D$2342,'Grid Data'!$B$4:$B$2342,$D89,'Grid Data'!$C$4:$C$2342,Z$4,'Grid Data'!$A$4:$A$2342,$D$2)</f>
        <v>0</v>
      </c>
      <c r="AA89" s="2">
        <f>SUMIFS('Grid Data'!$D$4:$D$2342,'Grid Data'!$B$4:$B$2342,$D89,'Grid Data'!$C$4:$C$2342,AA$4,'Grid Data'!$A$4:$A$2342,$D$2)</f>
        <v>0</v>
      </c>
      <c r="AB89" s="2">
        <f>SUMIFS('Grid Data'!$D$4:$D$2342,'Grid Data'!$B$4:$B$2342,$D89,'Grid Data'!$C$4:$C$2342,AB$4,'Grid Data'!$A$4:$A$2342,$D$2)</f>
        <v>0</v>
      </c>
      <c r="AC89" s="2">
        <f>SUMIFS('Grid Data'!$D$4:$D$2342,'Grid Data'!$B$4:$B$2342,$D89,'Grid Data'!$C$4:$C$2342,AC$4,'Grid Data'!$A$4:$A$2342,$D$2)</f>
        <v>0</v>
      </c>
      <c r="AD89" s="2">
        <f>SUMIFS('Grid Data'!$D$4:$D$2342,'Grid Data'!$B$4:$B$2342,$D89,'Grid Data'!$C$4:$C$2342,AD$4,'Grid Data'!$A$4:$A$2342,$D$2)</f>
        <v>18</v>
      </c>
      <c r="AE89" s="2">
        <f>SUMIFS('Grid Data'!$D$4:$D$2342,'Grid Data'!$B$4:$B$2342,$D89,'Grid Data'!$C$4:$C$2342,AE$4,'Grid Data'!$A$4:$A$2342,$D$2)</f>
        <v>808</v>
      </c>
      <c r="AF89" s="2">
        <f>SUMIFS('Grid Data'!$D$4:$D$2342,'Grid Data'!$B$4:$B$2342,$D89,'Grid Data'!$C$4:$C$2342,AF$4,'Grid Data'!$A$4:$A$2342,$D$2)</f>
        <v>978</v>
      </c>
      <c r="AG89" s="2">
        <f>SUMIFS('Grid Data'!$D$4:$D$2342,'Grid Data'!$B$4:$B$2342,$D89,'Grid Data'!$C$4:$C$2342,AG$4,'Grid Data'!$A$4:$A$2342,$D$2)</f>
        <v>2220</v>
      </c>
      <c r="AH89" s="2">
        <f>SUMIFS('Grid Data'!$D$4:$D$2342,'Grid Data'!$B$4:$B$2342,$D89,'Grid Data'!$C$4:$C$2342,AH$4,'Grid Data'!$A$4:$A$2342,$D$2)</f>
        <v>1112</v>
      </c>
    </row>
    <row r="90" spans="4:34" x14ac:dyDescent="0.35">
      <c r="D90">
        <v>7500</v>
      </c>
      <c r="E90" s="2">
        <f>SUMIFS('Grid Data'!$D$4:$D$2342,'Grid Data'!$B$4:$B$2342,$D90,'Grid Data'!$C$4:$C$2342,E$4,'Grid Data'!$A$4:$A$2342,$D$2)</f>
        <v>2528</v>
      </c>
      <c r="F90" s="2">
        <f>SUMIFS('Grid Data'!$D$4:$D$2342,'Grid Data'!$B$4:$B$2342,$D90,'Grid Data'!$C$4:$C$2342,F$4,'Grid Data'!$A$4:$A$2342,$D$2)</f>
        <v>1160</v>
      </c>
      <c r="G90" s="2">
        <f>SUMIFS('Grid Data'!$D$4:$D$2342,'Grid Data'!$B$4:$B$2342,$D90,'Grid Data'!$C$4:$C$2342,G$4,'Grid Data'!$A$4:$A$2342,$D$2)</f>
        <v>926</v>
      </c>
      <c r="H90" s="2">
        <f>SUMIFS('Grid Data'!$D$4:$D$2342,'Grid Data'!$B$4:$B$2342,$D90,'Grid Data'!$C$4:$C$2342,H$4,'Grid Data'!$A$4:$A$2342,$D$2)</f>
        <v>807</v>
      </c>
      <c r="I90" s="2">
        <f>SUMIFS('Grid Data'!$D$4:$D$2342,'Grid Data'!$B$4:$B$2342,$D90,'Grid Data'!$C$4:$C$2342,I$4,'Grid Data'!$A$4:$A$2342,$D$2)</f>
        <v>1107</v>
      </c>
      <c r="J90" s="2">
        <f>SUMIFS('Grid Data'!$D$4:$D$2342,'Grid Data'!$B$4:$B$2342,$D90,'Grid Data'!$C$4:$C$2342,J$4,'Grid Data'!$A$4:$A$2342,$D$2)</f>
        <v>925</v>
      </c>
      <c r="K90" s="2">
        <f>SUMIFS('Grid Data'!$D$4:$D$2342,'Grid Data'!$B$4:$B$2342,$D90,'Grid Data'!$C$4:$C$2342,K$4,'Grid Data'!$A$4:$A$2342,$D$2)</f>
        <v>1417</v>
      </c>
      <c r="L90" s="2">
        <f>SUMIFS('Grid Data'!$D$4:$D$2342,'Grid Data'!$B$4:$B$2342,$D90,'Grid Data'!$C$4:$C$2342,L$4,'Grid Data'!$A$4:$A$2342,$D$2)</f>
        <v>819</v>
      </c>
      <c r="M90" s="2">
        <f>SUMIFS('Grid Data'!$D$4:$D$2342,'Grid Data'!$B$4:$B$2342,$D90,'Grid Data'!$C$4:$C$2342,M$4,'Grid Data'!$A$4:$A$2342,$D$2)</f>
        <v>1486</v>
      </c>
      <c r="N90" s="2">
        <f>SUMIFS('Grid Data'!$D$4:$D$2342,'Grid Data'!$B$4:$B$2342,$D90,'Grid Data'!$C$4:$C$2342,N$4,'Grid Data'!$A$4:$A$2342,$D$2)</f>
        <v>2329</v>
      </c>
      <c r="O90" s="2">
        <f>SUMIFS('Grid Data'!$D$4:$D$2342,'Grid Data'!$B$4:$B$2342,$D90,'Grid Data'!$C$4:$C$2342,O$4,'Grid Data'!$A$4:$A$2342,$D$2)</f>
        <v>2503</v>
      </c>
      <c r="P90" s="2">
        <f>SUMIFS('Grid Data'!$D$4:$D$2342,'Grid Data'!$B$4:$B$2342,$D90,'Grid Data'!$C$4:$C$2342,P$4,'Grid Data'!$A$4:$A$2342,$D$2)</f>
        <v>4297</v>
      </c>
      <c r="Q90" s="2">
        <f>SUMIFS('Grid Data'!$D$4:$D$2342,'Grid Data'!$B$4:$B$2342,$D90,'Grid Data'!$C$4:$C$2342,Q$4,'Grid Data'!$A$4:$A$2342,$D$2)</f>
        <v>10876</v>
      </c>
      <c r="R90" s="2">
        <f>SUMIFS('Grid Data'!$D$4:$D$2342,'Grid Data'!$B$4:$B$2342,$D90,'Grid Data'!$C$4:$C$2342,R$4,'Grid Data'!$A$4:$A$2342,$D$2)</f>
        <v>2755</v>
      </c>
      <c r="S90" s="2">
        <f>SUMIFS('Grid Data'!$D$4:$D$2342,'Grid Data'!$B$4:$B$2342,$D90,'Grid Data'!$C$4:$C$2342,S$4,'Grid Data'!$A$4:$A$2342,$D$2)</f>
        <v>616</v>
      </c>
      <c r="T90" s="2">
        <f>SUMIFS('Grid Data'!$D$4:$D$2342,'Grid Data'!$B$4:$B$2342,$D90,'Grid Data'!$C$4:$C$2342,T$4,'Grid Data'!$A$4:$A$2342,$D$2)</f>
        <v>0</v>
      </c>
      <c r="U90" s="2">
        <f>SUMIFS('Grid Data'!$D$4:$D$2342,'Grid Data'!$B$4:$B$2342,$D90,'Grid Data'!$C$4:$C$2342,U$4,'Grid Data'!$A$4:$A$2342,$D$2)</f>
        <v>0</v>
      </c>
      <c r="V90" s="2">
        <f>SUMIFS('Grid Data'!$D$4:$D$2342,'Grid Data'!$B$4:$B$2342,$D90,'Grid Data'!$C$4:$C$2342,V$4,'Grid Data'!$A$4:$A$2342,$D$2)</f>
        <v>0</v>
      </c>
      <c r="W90" s="2">
        <f>SUMIFS('Grid Data'!$D$4:$D$2342,'Grid Data'!$B$4:$B$2342,$D90,'Grid Data'!$C$4:$C$2342,W$4,'Grid Data'!$A$4:$A$2342,$D$2)</f>
        <v>0</v>
      </c>
      <c r="X90" s="2">
        <f>SUMIFS('Grid Data'!$D$4:$D$2342,'Grid Data'!$B$4:$B$2342,$D90,'Grid Data'!$C$4:$C$2342,X$4,'Grid Data'!$A$4:$A$2342,$D$2)</f>
        <v>0</v>
      </c>
      <c r="Y90" s="2">
        <f>SUMIFS('Grid Data'!$D$4:$D$2342,'Grid Data'!$B$4:$B$2342,$D90,'Grid Data'!$C$4:$C$2342,Y$4,'Grid Data'!$A$4:$A$2342,$D$2)</f>
        <v>0</v>
      </c>
      <c r="Z90" s="2">
        <f>SUMIFS('Grid Data'!$D$4:$D$2342,'Grid Data'!$B$4:$B$2342,$D90,'Grid Data'!$C$4:$C$2342,Z$4,'Grid Data'!$A$4:$A$2342,$D$2)</f>
        <v>0</v>
      </c>
      <c r="AA90" s="2">
        <f>SUMIFS('Grid Data'!$D$4:$D$2342,'Grid Data'!$B$4:$B$2342,$D90,'Grid Data'!$C$4:$C$2342,AA$4,'Grid Data'!$A$4:$A$2342,$D$2)</f>
        <v>0</v>
      </c>
      <c r="AB90" s="2">
        <f>SUMIFS('Grid Data'!$D$4:$D$2342,'Grid Data'!$B$4:$B$2342,$D90,'Grid Data'!$C$4:$C$2342,AB$4,'Grid Data'!$A$4:$A$2342,$D$2)</f>
        <v>0</v>
      </c>
      <c r="AC90" s="2">
        <f>SUMIFS('Grid Data'!$D$4:$D$2342,'Grid Data'!$B$4:$B$2342,$D90,'Grid Data'!$C$4:$C$2342,AC$4,'Grid Data'!$A$4:$A$2342,$D$2)</f>
        <v>0</v>
      </c>
      <c r="AD90" s="2">
        <f>SUMIFS('Grid Data'!$D$4:$D$2342,'Grid Data'!$B$4:$B$2342,$D90,'Grid Data'!$C$4:$C$2342,AD$4,'Grid Data'!$A$4:$A$2342,$D$2)</f>
        <v>0</v>
      </c>
      <c r="AE90" s="2">
        <f>SUMIFS('Grid Data'!$D$4:$D$2342,'Grid Data'!$B$4:$B$2342,$D90,'Grid Data'!$C$4:$C$2342,AE$4,'Grid Data'!$A$4:$A$2342,$D$2)</f>
        <v>727</v>
      </c>
      <c r="AF90" s="2">
        <f>SUMIFS('Grid Data'!$D$4:$D$2342,'Grid Data'!$B$4:$B$2342,$D90,'Grid Data'!$C$4:$C$2342,AF$4,'Grid Data'!$A$4:$A$2342,$D$2)</f>
        <v>899</v>
      </c>
      <c r="AG90" s="2">
        <f>SUMIFS('Grid Data'!$D$4:$D$2342,'Grid Data'!$B$4:$B$2342,$D90,'Grid Data'!$C$4:$C$2342,AG$4,'Grid Data'!$A$4:$A$2342,$D$2)</f>
        <v>5359</v>
      </c>
      <c r="AH90" s="2">
        <f>SUMIFS('Grid Data'!$D$4:$D$2342,'Grid Data'!$B$4:$B$2342,$D90,'Grid Data'!$C$4:$C$2342,AH$4,'Grid Data'!$A$4:$A$2342,$D$2)</f>
        <v>3524</v>
      </c>
    </row>
    <row r="91" spans="4:34" x14ac:dyDescent="0.35">
      <c r="D91">
        <v>7750</v>
      </c>
      <c r="E91" s="2">
        <f>SUMIFS('Grid Data'!$D$4:$D$2342,'Grid Data'!$B$4:$B$2342,$D91,'Grid Data'!$C$4:$C$2342,E$4,'Grid Data'!$A$4:$A$2342,$D$2)</f>
        <v>3894</v>
      </c>
      <c r="F91" s="2">
        <f>SUMIFS('Grid Data'!$D$4:$D$2342,'Grid Data'!$B$4:$B$2342,$D91,'Grid Data'!$C$4:$C$2342,F$4,'Grid Data'!$A$4:$A$2342,$D$2)</f>
        <v>1360</v>
      </c>
      <c r="G91" s="2">
        <f>SUMIFS('Grid Data'!$D$4:$D$2342,'Grid Data'!$B$4:$B$2342,$D91,'Grid Data'!$C$4:$C$2342,G$4,'Grid Data'!$A$4:$A$2342,$D$2)</f>
        <v>1044</v>
      </c>
      <c r="H91" s="2">
        <f>SUMIFS('Grid Data'!$D$4:$D$2342,'Grid Data'!$B$4:$B$2342,$D91,'Grid Data'!$C$4:$C$2342,H$4,'Grid Data'!$A$4:$A$2342,$D$2)</f>
        <v>750</v>
      </c>
      <c r="I91" s="2">
        <f>SUMIFS('Grid Data'!$D$4:$D$2342,'Grid Data'!$B$4:$B$2342,$D91,'Grid Data'!$C$4:$C$2342,I$4,'Grid Data'!$A$4:$A$2342,$D$2)</f>
        <v>785</v>
      </c>
      <c r="J91" s="2">
        <f>SUMIFS('Grid Data'!$D$4:$D$2342,'Grid Data'!$B$4:$B$2342,$D91,'Grid Data'!$C$4:$C$2342,J$4,'Grid Data'!$A$4:$A$2342,$D$2)</f>
        <v>849</v>
      </c>
      <c r="K91" s="2">
        <f>SUMIFS('Grid Data'!$D$4:$D$2342,'Grid Data'!$B$4:$B$2342,$D91,'Grid Data'!$C$4:$C$2342,K$4,'Grid Data'!$A$4:$A$2342,$D$2)</f>
        <v>1742</v>
      </c>
      <c r="L91" s="2">
        <f>SUMIFS('Grid Data'!$D$4:$D$2342,'Grid Data'!$B$4:$B$2342,$D91,'Grid Data'!$C$4:$C$2342,L$4,'Grid Data'!$A$4:$A$2342,$D$2)</f>
        <v>1221</v>
      </c>
      <c r="M91" s="2">
        <f>SUMIFS('Grid Data'!$D$4:$D$2342,'Grid Data'!$B$4:$B$2342,$D91,'Grid Data'!$C$4:$C$2342,M$4,'Grid Data'!$A$4:$A$2342,$D$2)</f>
        <v>2168</v>
      </c>
      <c r="N91" s="2">
        <f>SUMIFS('Grid Data'!$D$4:$D$2342,'Grid Data'!$B$4:$B$2342,$D91,'Grid Data'!$C$4:$C$2342,N$4,'Grid Data'!$A$4:$A$2342,$D$2)</f>
        <v>3537</v>
      </c>
      <c r="O91" s="2">
        <f>SUMIFS('Grid Data'!$D$4:$D$2342,'Grid Data'!$B$4:$B$2342,$D91,'Grid Data'!$C$4:$C$2342,O$4,'Grid Data'!$A$4:$A$2342,$D$2)</f>
        <v>3794</v>
      </c>
      <c r="P91" s="2">
        <f>SUMIFS('Grid Data'!$D$4:$D$2342,'Grid Data'!$B$4:$B$2342,$D91,'Grid Data'!$C$4:$C$2342,P$4,'Grid Data'!$A$4:$A$2342,$D$2)</f>
        <v>7775</v>
      </c>
      <c r="Q91" s="2">
        <f>SUMIFS('Grid Data'!$D$4:$D$2342,'Grid Data'!$B$4:$B$2342,$D91,'Grid Data'!$C$4:$C$2342,Q$4,'Grid Data'!$A$4:$A$2342,$D$2)</f>
        <v>15390</v>
      </c>
      <c r="R91" s="2">
        <f>SUMIFS('Grid Data'!$D$4:$D$2342,'Grid Data'!$B$4:$B$2342,$D91,'Grid Data'!$C$4:$C$2342,R$4,'Grid Data'!$A$4:$A$2342,$D$2)</f>
        <v>2352</v>
      </c>
      <c r="S91" s="2">
        <f>SUMIFS('Grid Data'!$D$4:$D$2342,'Grid Data'!$B$4:$B$2342,$D91,'Grid Data'!$C$4:$C$2342,S$4,'Grid Data'!$A$4:$A$2342,$D$2)</f>
        <v>632</v>
      </c>
      <c r="T91" s="2">
        <f>SUMIFS('Grid Data'!$D$4:$D$2342,'Grid Data'!$B$4:$B$2342,$D91,'Grid Data'!$C$4:$C$2342,T$4,'Grid Data'!$A$4:$A$2342,$D$2)</f>
        <v>0</v>
      </c>
      <c r="U91" s="2">
        <f>SUMIFS('Grid Data'!$D$4:$D$2342,'Grid Data'!$B$4:$B$2342,$D91,'Grid Data'!$C$4:$C$2342,U$4,'Grid Data'!$A$4:$A$2342,$D$2)</f>
        <v>0</v>
      </c>
      <c r="V91" s="2">
        <f>SUMIFS('Grid Data'!$D$4:$D$2342,'Grid Data'!$B$4:$B$2342,$D91,'Grid Data'!$C$4:$C$2342,V$4,'Grid Data'!$A$4:$A$2342,$D$2)</f>
        <v>0</v>
      </c>
      <c r="W91" s="2">
        <f>SUMIFS('Grid Data'!$D$4:$D$2342,'Grid Data'!$B$4:$B$2342,$D91,'Grid Data'!$C$4:$C$2342,W$4,'Grid Data'!$A$4:$A$2342,$D$2)</f>
        <v>0</v>
      </c>
      <c r="X91" s="2">
        <f>SUMIFS('Grid Data'!$D$4:$D$2342,'Grid Data'!$B$4:$B$2342,$D91,'Grid Data'!$C$4:$C$2342,X$4,'Grid Data'!$A$4:$A$2342,$D$2)</f>
        <v>0</v>
      </c>
      <c r="Y91" s="2">
        <f>SUMIFS('Grid Data'!$D$4:$D$2342,'Grid Data'!$B$4:$B$2342,$D91,'Grid Data'!$C$4:$C$2342,Y$4,'Grid Data'!$A$4:$A$2342,$D$2)</f>
        <v>0</v>
      </c>
      <c r="Z91" s="2">
        <f>SUMIFS('Grid Data'!$D$4:$D$2342,'Grid Data'!$B$4:$B$2342,$D91,'Grid Data'!$C$4:$C$2342,Z$4,'Grid Data'!$A$4:$A$2342,$D$2)</f>
        <v>0</v>
      </c>
      <c r="AA91" s="2">
        <f>SUMIFS('Grid Data'!$D$4:$D$2342,'Grid Data'!$B$4:$B$2342,$D91,'Grid Data'!$C$4:$C$2342,AA$4,'Grid Data'!$A$4:$A$2342,$D$2)</f>
        <v>0</v>
      </c>
      <c r="AB91" s="2">
        <f>SUMIFS('Grid Data'!$D$4:$D$2342,'Grid Data'!$B$4:$B$2342,$D91,'Grid Data'!$C$4:$C$2342,AB$4,'Grid Data'!$A$4:$A$2342,$D$2)</f>
        <v>0</v>
      </c>
      <c r="AC91" s="2">
        <f>SUMIFS('Grid Data'!$D$4:$D$2342,'Grid Data'!$B$4:$B$2342,$D91,'Grid Data'!$C$4:$C$2342,AC$4,'Grid Data'!$A$4:$A$2342,$D$2)</f>
        <v>0</v>
      </c>
      <c r="AD91" s="2">
        <f>SUMIFS('Grid Data'!$D$4:$D$2342,'Grid Data'!$B$4:$B$2342,$D91,'Grid Data'!$C$4:$C$2342,AD$4,'Grid Data'!$A$4:$A$2342,$D$2)</f>
        <v>0</v>
      </c>
      <c r="AE91" s="2">
        <f>SUMIFS('Grid Data'!$D$4:$D$2342,'Grid Data'!$B$4:$B$2342,$D91,'Grid Data'!$C$4:$C$2342,AE$4,'Grid Data'!$A$4:$A$2342,$D$2)</f>
        <v>34</v>
      </c>
      <c r="AF91" s="2">
        <f>SUMIFS('Grid Data'!$D$4:$D$2342,'Grid Data'!$B$4:$B$2342,$D91,'Grid Data'!$C$4:$C$2342,AF$4,'Grid Data'!$A$4:$A$2342,$D$2)</f>
        <v>57</v>
      </c>
      <c r="AG91" s="2">
        <f>SUMIFS('Grid Data'!$D$4:$D$2342,'Grid Data'!$B$4:$B$2342,$D91,'Grid Data'!$C$4:$C$2342,AG$4,'Grid Data'!$A$4:$A$2342,$D$2)</f>
        <v>1058</v>
      </c>
      <c r="AH91" s="2">
        <f>SUMIFS('Grid Data'!$D$4:$D$2342,'Grid Data'!$B$4:$B$2342,$D91,'Grid Data'!$C$4:$C$2342,AH$4,'Grid Data'!$A$4:$A$2342,$D$2)</f>
        <v>554</v>
      </c>
    </row>
    <row r="92" spans="4:34" x14ac:dyDescent="0.35">
      <c r="D92">
        <v>8000</v>
      </c>
      <c r="E92" s="2">
        <f>SUMIFS('Grid Data'!$D$4:$D$2342,'Grid Data'!$B$4:$B$2342,$D92,'Grid Data'!$C$4:$C$2342,E$4,'Grid Data'!$A$4:$A$2342,$D$2)</f>
        <v>463</v>
      </c>
      <c r="F92" s="2">
        <f>SUMIFS('Grid Data'!$D$4:$D$2342,'Grid Data'!$B$4:$B$2342,$D92,'Grid Data'!$C$4:$C$2342,F$4,'Grid Data'!$A$4:$A$2342,$D$2)</f>
        <v>183</v>
      </c>
      <c r="G92" s="2">
        <f>SUMIFS('Grid Data'!$D$4:$D$2342,'Grid Data'!$B$4:$B$2342,$D92,'Grid Data'!$C$4:$C$2342,G$4,'Grid Data'!$A$4:$A$2342,$D$2)</f>
        <v>155</v>
      </c>
      <c r="H92" s="2">
        <f>SUMIFS('Grid Data'!$D$4:$D$2342,'Grid Data'!$B$4:$B$2342,$D92,'Grid Data'!$C$4:$C$2342,H$4,'Grid Data'!$A$4:$A$2342,$D$2)</f>
        <v>85</v>
      </c>
      <c r="I92" s="2">
        <f>SUMIFS('Grid Data'!$D$4:$D$2342,'Grid Data'!$B$4:$B$2342,$D92,'Grid Data'!$C$4:$C$2342,I$4,'Grid Data'!$A$4:$A$2342,$D$2)</f>
        <v>86</v>
      </c>
      <c r="J92" s="2">
        <f>SUMIFS('Grid Data'!$D$4:$D$2342,'Grid Data'!$B$4:$B$2342,$D92,'Grid Data'!$C$4:$C$2342,J$4,'Grid Data'!$A$4:$A$2342,$D$2)</f>
        <v>76</v>
      </c>
      <c r="K92" s="2">
        <f>SUMIFS('Grid Data'!$D$4:$D$2342,'Grid Data'!$B$4:$B$2342,$D92,'Grid Data'!$C$4:$C$2342,K$4,'Grid Data'!$A$4:$A$2342,$D$2)</f>
        <v>203</v>
      </c>
      <c r="L92" s="2">
        <f>SUMIFS('Grid Data'!$D$4:$D$2342,'Grid Data'!$B$4:$B$2342,$D92,'Grid Data'!$C$4:$C$2342,L$4,'Grid Data'!$A$4:$A$2342,$D$2)</f>
        <v>139</v>
      </c>
      <c r="M92" s="2">
        <f>SUMIFS('Grid Data'!$D$4:$D$2342,'Grid Data'!$B$4:$B$2342,$D92,'Grid Data'!$C$4:$C$2342,M$4,'Grid Data'!$A$4:$A$2342,$D$2)</f>
        <v>162</v>
      </c>
      <c r="N92" s="2">
        <f>SUMIFS('Grid Data'!$D$4:$D$2342,'Grid Data'!$B$4:$B$2342,$D92,'Grid Data'!$C$4:$C$2342,N$4,'Grid Data'!$A$4:$A$2342,$D$2)</f>
        <v>378</v>
      </c>
      <c r="O92" s="2">
        <f>SUMIFS('Grid Data'!$D$4:$D$2342,'Grid Data'!$B$4:$B$2342,$D92,'Grid Data'!$C$4:$C$2342,O$4,'Grid Data'!$A$4:$A$2342,$D$2)</f>
        <v>393</v>
      </c>
      <c r="P92" s="2">
        <f>SUMIFS('Grid Data'!$D$4:$D$2342,'Grid Data'!$B$4:$B$2342,$D92,'Grid Data'!$C$4:$C$2342,P$4,'Grid Data'!$A$4:$A$2342,$D$2)</f>
        <v>1165</v>
      </c>
      <c r="Q92" s="2">
        <f>SUMIFS('Grid Data'!$D$4:$D$2342,'Grid Data'!$B$4:$B$2342,$D92,'Grid Data'!$C$4:$C$2342,Q$4,'Grid Data'!$A$4:$A$2342,$D$2)</f>
        <v>1994</v>
      </c>
      <c r="R92" s="2">
        <f>SUMIFS('Grid Data'!$D$4:$D$2342,'Grid Data'!$B$4:$B$2342,$D92,'Grid Data'!$C$4:$C$2342,R$4,'Grid Data'!$A$4:$A$2342,$D$2)</f>
        <v>128</v>
      </c>
      <c r="S92" s="2">
        <f>SUMIFS('Grid Data'!$D$4:$D$2342,'Grid Data'!$B$4:$B$2342,$D92,'Grid Data'!$C$4:$C$2342,S$4,'Grid Data'!$A$4:$A$2342,$D$2)</f>
        <v>49</v>
      </c>
      <c r="T92" s="2">
        <f>SUMIFS('Grid Data'!$D$4:$D$2342,'Grid Data'!$B$4:$B$2342,$D92,'Grid Data'!$C$4:$C$2342,T$4,'Grid Data'!$A$4:$A$2342,$D$2)</f>
        <v>0</v>
      </c>
      <c r="U92" s="2">
        <f>SUMIFS('Grid Data'!$D$4:$D$2342,'Grid Data'!$B$4:$B$2342,$D92,'Grid Data'!$C$4:$C$2342,U$4,'Grid Data'!$A$4:$A$2342,$D$2)</f>
        <v>0</v>
      </c>
      <c r="V92" s="2">
        <f>SUMIFS('Grid Data'!$D$4:$D$2342,'Grid Data'!$B$4:$B$2342,$D92,'Grid Data'!$C$4:$C$2342,V$4,'Grid Data'!$A$4:$A$2342,$D$2)</f>
        <v>0</v>
      </c>
      <c r="W92" s="2">
        <f>SUMIFS('Grid Data'!$D$4:$D$2342,'Grid Data'!$B$4:$B$2342,$D92,'Grid Data'!$C$4:$C$2342,W$4,'Grid Data'!$A$4:$A$2342,$D$2)</f>
        <v>0</v>
      </c>
      <c r="X92" s="2">
        <f>SUMIFS('Grid Data'!$D$4:$D$2342,'Grid Data'!$B$4:$B$2342,$D92,'Grid Data'!$C$4:$C$2342,X$4,'Grid Data'!$A$4:$A$2342,$D$2)</f>
        <v>0</v>
      </c>
      <c r="Y92" s="2">
        <f>SUMIFS('Grid Data'!$D$4:$D$2342,'Grid Data'!$B$4:$B$2342,$D92,'Grid Data'!$C$4:$C$2342,Y$4,'Grid Data'!$A$4:$A$2342,$D$2)</f>
        <v>0</v>
      </c>
      <c r="Z92" s="2">
        <f>SUMIFS('Grid Data'!$D$4:$D$2342,'Grid Data'!$B$4:$B$2342,$D92,'Grid Data'!$C$4:$C$2342,Z$4,'Grid Data'!$A$4:$A$2342,$D$2)</f>
        <v>0</v>
      </c>
      <c r="AA92" s="2">
        <f>SUMIFS('Grid Data'!$D$4:$D$2342,'Grid Data'!$B$4:$B$2342,$D92,'Grid Data'!$C$4:$C$2342,AA$4,'Grid Data'!$A$4:$A$2342,$D$2)</f>
        <v>0</v>
      </c>
      <c r="AB92" s="2">
        <f>SUMIFS('Grid Data'!$D$4:$D$2342,'Grid Data'!$B$4:$B$2342,$D92,'Grid Data'!$C$4:$C$2342,AB$4,'Grid Data'!$A$4:$A$2342,$D$2)</f>
        <v>0</v>
      </c>
      <c r="AC92" s="2">
        <f>SUMIFS('Grid Data'!$D$4:$D$2342,'Grid Data'!$B$4:$B$2342,$D92,'Grid Data'!$C$4:$C$2342,AC$4,'Grid Data'!$A$4:$A$2342,$D$2)</f>
        <v>0</v>
      </c>
      <c r="AD92" s="2">
        <f>SUMIFS('Grid Data'!$D$4:$D$2342,'Grid Data'!$B$4:$B$2342,$D92,'Grid Data'!$C$4:$C$2342,AD$4,'Grid Data'!$A$4:$A$2342,$D$2)</f>
        <v>0</v>
      </c>
      <c r="AE92" s="2">
        <f>SUMIFS('Grid Data'!$D$4:$D$2342,'Grid Data'!$B$4:$B$2342,$D92,'Grid Data'!$C$4:$C$2342,AE$4,'Grid Data'!$A$4:$A$2342,$D$2)</f>
        <v>19</v>
      </c>
      <c r="AF92" s="2">
        <f>SUMIFS('Grid Data'!$D$4:$D$2342,'Grid Data'!$B$4:$B$2342,$D92,'Grid Data'!$C$4:$C$2342,AF$4,'Grid Data'!$A$4:$A$2342,$D$2)</f>
        <v>31</v>
      </c>
      <c r="AG92" s="2">
        <f>SUMIFS('Grid Data'!$D$4:$D$2342,'Grid Data'!$B$4:$B$2342,$D92,'Grid Data'!$C$4:$C$2342,AG$4,'Grid Data'!$A$4:$A$2342,$D$2)</f>
        <v>2047</v>
      </c>
      <c r="AH92" s="2">
        <f>SUMIFS('Grid Data'!$D$4:$D$2342,'Grid Data'!$B$4:$B$2342,$D92,'Grid Data'!$C$4:$C$2342,AH$4,'Grid Data'!$A$4:$A$2342,$D$2)</f>
        <v>1522</v>
      </c>
    </row>
    <row r="93" spans="4:34" x14ac:dyDescent="0.35">
      <c r="D93">
        <v>8250</v>
      </c>
      <c r="E93" s="2">
        <f>SUMIFS('Grid Data'!$D$4:$D$2342,'Grid Data'!$B$4:$B$2342,$D93,'Grid Data'!$C$4:$C$2342,E$4,'Grid Data'!$A$4:$A$2342,$D$2)</f>
        <v>513</v>
      </c>
      <c r="F93" s="2">
        <f>SUMIFS('Grid Data'!$D$4:$D$2342,'Grid Data'!$B$4:$B$2342,$D93,'Grid Data'!$C$4:$C$2342,F$4,'Grid Data'!$A$4:$A$2342,$D$2)</f>
        <v>121</v>
      </c>
      <c r="G93" s="2">
        <f>SUMIFS('Grid Data'!$D$4:$D$2342,'Grid Data'!$B$4:$B$2342,$D93,'Grid Data'!$C$4:$C$2342,G$4,'Grid Data'!$A$4:$A$2342,$D$2)</f>
        <v>98</v>
      </c>
      <c r="H93" s="2">
        <f>SUMIFS('Grid Data'!$D$4:$D$2342,'Grid Data'!$B$4:$B$2342,$D93,'Grid Data'!$C$4:$C$2342,H$4,'Grid Data'!$A$4:$A$2342,$D$2)</f>
        <v>81</v>
      </c>
      <c r="I93" s="2">
        <f>SUMIFS('Grid Data'!$D$4:$D$2342,'Grid Data'!$B$4:$B$2342,$D93,'Grid Data'!$C$4:$C$2342,I$4,'Grid Data'!$A$4:$A$2342,$D$2)</f>
        <v>81</v>
      </c>
      <c r="J93" s="2">
        <f>SUMIFS('Grid Data'!$D$4:$D$2342,'Grid Data'!$B$4:$B$2342,$D93,'Grid Data'!$C$4:$C$2342,J$4,'Grid Data'!$A$4:$A$2342,$D$2)</f>
        <v>110</v>
      </c>
      <c r="K93" s="2">
        <f>SUMIFS('Grid Data'!$D$4:$D$2342,'Grid Data'!$B$4:$B$2342,$D93,'Grid Data'!$C$4:$C$2342,K$4,'Grid Data'!$A$4:$A$2342,$D$2)</f>
        <v>296</v>
      </c>
      <c r="L93" s="2">
        <f>SUMIFS('Grid Data'!$D$4:$D$2342,'Grid Data'!$B$4:$B$2342,$D93,'Grid Data'!$C$4:$C$2342,L$4,'Grid Data'!$A$4:$A$2342,$D$2)</f>
        <v>202</v>
      </c>
      <c r="M93" s="2">
        <f>SUMIFS('Grid Data'!$D$4:$D$2342,'Grid Data'!$B$4:$B$2342,$D93,'Grid Data'!$C$4:$C$2342,M$4,'Grid Data'!$A$4:$A$2342,$D$2)</f>
        <v>240</v>
      </c>
      <c r="N93" s="2">
        <f>SUMIFS('Grid Data'!$D$4:$D$2342,'Grid Data'!$B$4:$B$2342,$D93,'Grid Data'!$C$4:$C$2342,N$4,'Grid Data'!$A$4:$A$2342,$D$2)</f>
        <v>376</v>
      </c>
      <c r="O93" s="2">
        <f>SUMIFS('Grid Data'!$D$4:$D$2342,'Grid Data'!$B$4:$B$2342,$D93,'Grid Data'!$C$4:$C$2342,O$4,'Grid Data'!$A$4:$A$2342,$D$2)</f>
        <v>430</v>
      </c>
      <c r="P93" s="2">
        <f>SUMIFS('Grid Data'!$D$4:$D$2342,'Grid Data'!$B$4:$B$2342,$D93,'Grid Data'!$C$4:$C$2342,P$4,'Grid Data'!$A$4:$A$2342,$D$2)</f>
        <v>1300</v>
      </c>
      <c r="Q93" s="2">
        <f>SUMIFS('Grid Data'!$D$4:$D$2342,'Grid Data'!$B$4:$B$2342,$D93,'Grid Data'!$C$4:$C$2342,Q$4,'Grid Data'!$A$4:$A$2342,$D$2)</f>
        <v>2436</v>
      </c>
      <c r="R93" s="2">
        <f>SUMIFS('Grid Data'!$D$4:$D$2342,'Grid Data'!$B$4:$B$2342,$D93,'Grid Data'!$C$4:$C$2342,R$4,'Grid Data'!$A$4:$A$2342,$D$2)</f>
        <v>92</v>
      </c>
      <c r="S93" s="2">
        <f>SUMIFS('Grid Data'!$D$4:$D$2342,'Grid Data'!$B$4:$B$2342,$D93,'Grid Data'!$C$4:$C$2342,S$4,'Grid Data'!$A$4:$A$2342,$D$2)</f>
        <v>6</v>
      </c>
      <c r="T93" s="2">
        <f>SUMIFS('Grid Data'!$D$4:$D$2342,'Grid Data'!$B$4:$B$2342,$D93,'Grid Data'!$C$4:$C$2342,T$4,'Grid Data'!$A$4:$A$2342,$D$2)</f>
        <v>0</v>
      </c>
      <c r="U93" s="2">
        <f>SUMIFS('Grid Data'!$D$4:$D$2342,'Grid Data'!$B$4:$B$2342,$D93,'Grid Data'!$C$4:$C$2342,U$4,'Grid Data'!$A$4:$A$2342,$D$2)</f>
        <v>0</v>
      </c>
      <c r="V93" s="2">
        <f>SUMIFS('Grid Data'!$D$4:$D$2342,'Grid Data'!$B$4:$B$2342,$D93,'Grid Data'!$C$4:$C$2342,V$4,'Grid Data'!$A$4:$A$2342,$D$2)</f>
        <v>0</v>
      </c>
      <c r="W93" s="2">
        <f>SUMIFS('Grid Data'!$D$4:$D$2342,'Grid Data'!$B$4:$B$2342,$D93,'Grid Data'!$C$4:$C$2342,W$4,'Grid Data'!$A$4:$A$2342,$D$2)</f>
        <v>0</v>
      </c>
      <c r="X93" s="2">
        <f>SUMIFS('Grid Data'!$D$4:$D$2342,'Grid Data'!$B$4:$B$2342,$D93,'Grid Data'!$C$4:$C$2342,X$4,'Grid Data'!$A$4:$A$2342,$D$2)</f>
        <v>0</v>
      </c>
      <c r="Y93" s="2">
        <f>SUMIFS('Grid Data'!$D$4:$D$2342,'Grid Data'!$B$4:$B$2342,$D93,'Grid Data'!$C$4:$C$2342,Y$4,'Grid Data'!$A$4:$A$2342,$D$2)</f>
        <v>0</v>
      </c>
      <c r="Z93" s="2">
        <f>SUMIFS('Grid Data'!$D$4:$D$2342,'Grid Data'!$B$4:$B$2342,$D93,'Grid Data'!$C$4:$C$2342,Z$4,'Grid Data'!$A$4:$A$2342,$D$2)</f>
        <v>0</v>
      </c>
      <c r="AA93" s="2">
        <f>SUMIFS('Grid Data'!$D$4:$D$2342,'Grid Data'!$B$4:$B$2342,$D93,'Grid Data'!$C$4:$C$2342,AA$4,'Grid Data'!$A$4:$A$2342,$D$2)</f>
        <v>0</v>
      </c>
      <c r="AB93" s="2">
        <f>SUMIFS('Grid Data'!$D$4:$D$2342,'Grid Data'!$B$4:$B$2342,$D93,'Grid Data'!$C$4:$C$2342,AB$4,'Grid Data'!$A$4:$A$2342,$D$2)</f>
        <v>0</v>
      </c>
      <c r="AC93" s="2">
        <f>SUMIFS('Grid Data'!$D$4:$D$2342,'Grid Data'!$B$4:$B$2342,$D93,'Grid Data'!$C$4:$C$2342,AC$4,'Grid Data'!$A$4:$A$2342,$D$2)</f>
        <v>0</v>
      </c>
      <c r="AD93" s="2">
        <f>SUMIFS('Grid Data'!$D$4:$D$2342,'Grid Data'!$B$4:$B$2342,$D93,'Grid Data'!$C$4:$C$2342,AD$4,'Grid Data'!$A$4:$A$2342,$D$2)</f>
        <v>0</v>
      </c>
      <c r="AE93" s="2">
        <f>SUMIFS('Grid Data'!$D$4:$D$2342,'Grid Data'!$B$4:$B$2342,$D93,'Grid Data'!$C$4:$C$2342,AE$4,'Grid Data'!$A$4:$A$2342,$D$2)</f>
        <v>7</v>
      </c>
      <c r="AF93" s="2">
        <f>SUMIFS('Grid Data'!$D$4:$D$2342,'Grid Data'!$B$4:$B$2342,$D93,'Grid Data'!$C$4:$C$2342,AF$4,'Grid Data'!$A$4:$A$2342,$D$2)</f>
        <v>4</v>
      </c>
      <c r="AG93" s="2">
        <f>SUMIFS('Grid Data'!$D$4:$D$2342,'Grid Data'!$B$4:$B$2342,$D93,'Grid Data'!$C$4:$C$2342,AG$4,'Grid Data'!$A$4:$A$2342,$D$2)</f>
        <v>482</v>
      </c>
      <c r="AH93" s="2">
        <f>SUMIFS('Grid Data'!$D$4:$D$2342,'Grid Data'!$B$4:$B$2342,$D93,'Grid Data'!$C$4:$C$2342,AH$4,'Grid Data'!$A$4:$A$2342,$D$2)</f>
        <v>198</v>
      </c>
    </row>
    <row r="94" spans="4:34" x14ac:dyDescent="0.35">
      <c r="D94">
        <v>8500</v>
      </c>
      <c r="E94" s="2">
        <f>SUMIFS('Grid Data'!$D$4:$D$2342,'Grid Data'!$B$4:$B$2342,$D94,'Grid Data'!$C$4:$C$2342,E$4,'Grid Data'!$A$4:$A$2342,$D$2)</f>
        <v>11</v>
      </c>
      <c r="F94" s="2">
        <f>SUMIFS('Grid Data'!$D$4:$D$2342,'Grid Data'!$B$4:$B$2342,$D94,'Grid Data'!$C$4:$C$2342,F$4,'Grid Data'!$A$4:$A$2342,$D$2)</f>
        <v>3</v>
      </c>
      <c r="G94" s="2">
        <f>SUMIFS('Grid Data'!$D$4:$D$2342,'Grid Data'!$B$4:$B$2342,$D94,'Grid Data'!$C$4:$C$2342,G$4,'Grid Data'!$A$4:$A$2342,$D$2)</f>
        <v>0</v>
      </c>
      <c r="H94" s="2">
        <f>SUMIFS('Grid Data'!$D$4:$D$2342,'Grid Data'!$B$4:$B$2342,$D94,'Grid Data'!$C$4:$C$2342,H$4,'Grid Data'!$A$4:$A$2342,$D$2)</f>
        <v>0</v>
      </c>
      <c r="I94" s="2">
        <f>SUMIFS('Grid Data'!$D$4:$D$2342,'Grid Data'!$B$4:$B$2342,$D94,'Grid Data'!$C$4:$C$2342,I$4,'Grid Data'!$A$4:$A$2342,$D$2)</f>
        <v>0</v>
      </c>
      <c r="J94" s="2">
        <f>SUMIFS('Grid Data'!$D$4:$D$2342,'Grid Data'!$B$4:$B$2342,$D94,'Grid Data'!$C$4:$C$2342,J$4,'Grid Data'!$A$4:$A$2342,$D$2)</f>
        <v>0</v>
      </c>
      <c r="K94" s="2">
        <f>SUMIFS('Grid Data'!$D$4:$D$2342,'Grid Data'!$B$4:$B$2342,$D94,'Grid Data'!$C$4:$C$2342,K$4,'Grid Data'!$A$4:$A$2342,$D$2)</f>
        <v>2</v>
      </c>
      <c r="L94" s="2">
        <f>SUMIFS('Grid Data'!$D$4:$D$2342,'Grid Data'!$B$4:$B$2342,$D94,'Grid Data'!$C$4:$C$2342,L$4,'Grid Data'!$A$4:$A$2342,$D$2)</f>
        <v>0</v>
      </c>
      <c r="M94" s="2">
        <f>SUMIFS('Grid Data'!$D$4:$D$2342,'Grid Data'!$B$4:$B$2342,$D94,'Grid Data'!$C$4:$C$2342,M$4,'Grid Data'!$A$4:$A$2342,$D$2)</f>
        <v>7</v>
      </c>
      <c r="N94" s="2">
        <f>SUMIFS('Grid Data'!$D$4:$D$2342,'Grid Data'!$B$4:$B$2342,$D94,'Grid Data'!$C$4:$C$2342,N$4,'Grid Data'!$A$4:$A$2342,$D$2)</f>
        <v>11</v>
      </c>
      <c r="O94" s="2">
        <f>SUMIFS('Grid Data'!$D$4:$D$2342,'Grid Data'!$B$4:$B$2342,$D94,'Grid Data'!$C$4:$C$2342,O$4,'Grid Data'!$A$4:$A$2342,$D$2)</f>
        <v>8</v>
      </c>
      <c r="P94" s="2">
        <f>SUMIFS('Grid Data'!$D$4:$D$2342,'Grid Data'!$B$4:$B$2342,$D94,'Grid Data'!$C$4:$C$2342,P$4,'Grid Data'!$A$4:$A$2342,$D$2)</f>
        <v>137</v>
      </c>
      <c r="Q94" s="2">
        <f>SUMIFS('Grid Data'!$D$4:$D$2342,'Grid Data'!$B$4:$B$2342,$D94,'Grid Data'!$C$4:$C$2342,Q$4,'Grid Data'!$A$4:$A$2342,$D$2)</f>
        <v>322</v>
      </c>
      <c r="R94" s="2">
        <f>SUMIFS('Grid Data'!$D$4:$D$2342,'Grid Data'!$B$4:$B$2342,$D94,'Grid Data'!$C$4:$C$2342,R$4,'Grid Data'!$A$4:$A$2342,$D$2)</f>
        <v>1</v>
      </c>
      <c r="S94" s="2">
        <f>SUMIFS('Grid Data'!$D$4:$D$2342,'Grid Data'!$B$4:$B$2342,$D94,'Grid Data'!$C$4:$C$2342,S$4,'Grid Data'!$A$4:$A$2342,$D$2)</f>
        <v>0</v>
      </c>
      <c r="T94" s="2">
        <f>SUMIFS('Grid Data'!$D$4:$D$2342,'Grid Data'!$B$4:$B$2342,$D94,'Grid Data'!$C$4:$C$2342,T$4,'Grid Data'!$A$4:$A$2342,$D$2)</f>
        <v>0</v>
      </c>
      <c r="U94" s="2">
        <f>SUMIFS('Grid Data'!$D$4:$D$2342,'Grid Data'!$B$4:$B$2342,$D94,'Grid Data'!$C$4:$C$2342,U$4,'Grid Data'!$A$4:$A$2342,$D$2)</f>
        <v>0</v>
      </c>
      <c r="V94" s="2">
        <f>SUMIFS('Grid Data'!$D$4:$D$2342,'Grid Data'!$B$4:$B$2342,$D94,'Grid Data'!$C$4:$C$2342,V$4,'Grid Data'!$A$4:$A$2342,$D$2)</f>
        <v>0</v>
      </c>
      <c r="W94" s="2">
        <f>SUMIFS('Grid Data'!$D$4:$D$2342,'Grid Data'!$B$4:$B$2342,$D94,'Grid Data'!$C$4:$C$2342,W$4,'Grid Data'!$A$4:$A$2342,$D$2)</f>
        <v>0</v>
      </c>
      <c r="X94" s="2">
        <f>SUMIFS('Grid Data'!$D$4:$D$2342,'Grid Data'!$B$4:$B$2342,$D94,'Grid Data'!$C$4:$C$2342,X$4,'Grid Data'!$A$4:$A$2342,$D$2)</f>
        <v>0</v>
      </c>
      <c r="Y94" s="2">
        <f>SUMIFS('Grid Data'!$D$4:$D$2342,'Grid Data'!$B$4:$B$2342,$D94,'Grid Data'!$C$4:$C$2342,Y$4,'Grid Data'!$A$4:$A$2342,$D$2)</f>
        <v>0</v>
      </c>
      <c r="Z94" s="2">
        <f>SUMIFS('Grid Data'!$D$4:$D$2342,'Grid Data'!$B$4:$B$2342,$D94,'Grid Data'!$C$4:$C$2342,Z$4,'Grid Data'!$A$4:$A$2342,$D$2)</f>
        <v>0</v>
      </c>
      <c r="AA94" s="2">
        <f>SUMIFS('Grid Data'!$D$4:$D$2342,'Grid Data'!$B$4:$B$2342,$D94,'Grid Data'!$C$4:$C$2342,AA$4,'Grid Data'!$A$4:$A$2342,$D$2)</f>
        <v>0</v>
      </c>
      <c r="AB94" s="2">
        <f>SUMIFS('Grid Data'!$D$4:$D$2342,'Grid Data'!$B$4:$B$2342,$D94,'Grid Data'!$C$4:$C$2342,AB$4,'Grid Data'!$A$4:$A$2342,$D$2)</f>
        <v>0</v>
      </c>
      <c r="AC94" s="2">
        <f>SUMIFS('Grid Data'!$D$4:$D$2342,'Grid Data'!$B$4:$B$2342,$D94,'Grid Data'!$C$4:$C$2342,AC$4,'Grid Data'!$A$4:$A$2342,$D$2)</f>
        <v>0</v>
      </c>
      <c r="AD94" s="2">
        <f>SUMIFS('Grid Data'!$D$4:$D$2342,'Grid Data'!$B$4:$B$2342,$D94,'Grid Data'!$C$4:$C$2342,AD$4,'Grid Data'!$A$4:$A$2342,$D$2)</f>
        <v>0</v>
      </c>
      <c r="AE94" s="2">
        <f>SUMIFS('Grid Data'!$D$4:$D$2342,'Grid Data'!$B$4:$B$2342,$D94,'Grid Data'!$C$4:$C$2342,AE$4,'Grid Data'!$A$4:$A$2342,$D$2)</f>
        <v>1</v>
      </c>
      <c r="AF94" s="2">
        <f>SUMIFS('Grid Data'!$D$4:$D$2342,'Grid Data'!$B$4:$B$2342,$D94,'Grid Data'!$C$4:$C$2342,AF$4,'Grid Data'!$A$4:$A$2342,$D$2)</f>
        <v>5</v>
      </c>
      <c r="AG94" s="2">
        <f>SUMIFS('Grid Data'!$D$4:$D$2342,'Grid Data'!$B$4:$B$2342,$D94,'Grid Data'!$C$4:$C$2342,AG$4,'Grid Data'!$A$4:$A$2342,$D$2)</f>
        <v>1323</v>
      </c>
      <c r="AH94" s="2">
        <f>SUMIFS('Grid Data'!$D$4:$D$2342,'Grid Data'!$B$4:$B$2342,$D94,'Grid Data'!$C$4:$C$2342,AH$4,'Grid Data'!$A$4:$A$2342,$D$2)</f>
        <v>838</v>
      </c>
    </row>
    <row r="95" spans="4:34" x14ac:dyDescent="0.35">
      <c r="D95">
        <v>9000</v>
      </c>
      <c r="E95" s="2">
        <f>SUMIFS('Grid Data'!$D$4:$D$2342,'Grid Data'!$B$4:$B$2342,$D95,'Grid Data'!$C$4:$C$2342,E$4,'Grid Data'!$A$4:$A$2342,$D$2)</f>
        <v>10</v>
      </c>
      <c r="F95" s="2">
        <f>SUMIFS('Grid Data'!$D$4:$D$2342,'Grid Data'!$B$4:$B$2342,$D95,'Grid Data'!$C$4:$C$2342,F$4,'Grid Data'!$A$4:$A$2342,$D$2)</f>
        <v>2</v>
      </c>
      <c r="G95" s="2">
        <f>SUMIFS('Grid Data'!$D$4:$D$2342,'Grid Data'!$B$4:$B$2342,$D95,'Grid Data'!$C$4:$C$2342,G$4,'Grid Data'!$A$4:$A$2342,$D$2)</f>
        <v>0</v>
      </c>
      <c r="H95" s="2">
        <f>SUMIFS('Grid Data'!$D$4:$D$2342,'Grid Data'!$B$4:$B$2342,$D95,'Grid Data'!$C$4:$C$2342,H$4,'Grid Data'!$A$4:$A$2342,$D$2)</f>
        <v>0</v>
      </c>
      <c r="I95" s="2">
        <f>SUMIFS('Grid Data'!$D$4:$D$2342,'Grid Data'!$B$4:$B$2342,$D95,'Grid Data'!$C$4:$C$2342,I$4,'Grid Data'!$A$4:$A$2342,$D$2)</f>
        <v>0</v>
      </c>
      <c r="J95" s="2">
        <f>SUMIFS('Grid Data'!$D$4:$D$2342,'Grid Data'!$B$4:$B$2342,$D95,'Grid Data'!$C$4:$C$2342,J$4,'Grid Data'!$A$4:$A$2342,$D$2)</f>
        <v>1</v>
      </c>
      <c r="K95" s="2">
        <f>SUMIFS('Grid Data'!$D$4:$D$2342,'Grid Data'!$B$4:$B$2342,$D95,'Grid Data'!$C$4:$C$2342,K$4,'Grid Data'!$A$4:$A$2342,$D$2)</f>
        <v>1</v>
      </c>
      <c r="L95" s="2">
        <f>SUMIFS('Grid Data'!$D$4:$D$2342,'Grid Data'!$B$4:$B$2342,$D95,'Grid Data'!$C$4:$C$2342,L$4,'Grid Data'!$A$4:$A$2342,$D$2)</f>
        <v>0</v>
      </c>
      <c r="M95" s="2">
        <f>SUMIFS('Grid Data'!$D$4:$D$2342,'Grid Data'!$B$4:$B$2342,$D95,'Grid Data'!$C$4:$C$2342,M$4,'Grid Data'!$A$4:$A$2342,$D$2)</f>
        <v>26</v>
      </c>
      <c r="N95" s="2">
        <f>SUMIFS('Grid Data'!$D$4:$D$2342,'Grid Data'!$B$4:$B$2342,$D95,'Grid Data'!$C$4:$C$2342,N$4,'Grid Data'!$A$4:$A$2342,$D$2)</f>
        <v>33</v>
      </c>
      <c r="O95" s="2">
        <f>SUMIFS('Grid Data'!$D$4:$D$2342,'Grid Data'!$B$4:$B$2342,$D95,'Grid Data'!$C$4:$C$2342,O$4,'Grid Data'!$A$4:$A$2342,$D$2)</f>
        <v>45</v>
      </c>
      <c r="P95" s="2">
        <f>SUMIFS('Grid Data'!$D$4:$D$2342,'Grid Data'!$B$4:$B$2342,$D95,'Grid Data'!$C$4:$C$2342,P$4,'Grid Data'!$A$4:$A$2342,$D$2)</f>
        <v>114</v>
      </c>
      <c r="Q95" s="2">
        <f>SUMIFS('Grid Data'!$D$4:$D$2342,'Grid Data'!$B$4:$B$2342,$D95,'Grid Data'!$C$4:$C$2342,Q$4,'Grid Data'!$A$4:$A$2342,$D$2)</f>
        <v>196</v>
      </c>
      <c r="R95" s="2">
        <f>SUMIFS('Grid Data'!$D$4:$D$2342,'Grid Data'!$B$4:$B$2342,$D95,'Grid Data'!$C$4:$C$2342,R$4,'Grid Data'!$A$4:$A$2342,$D$2)</f>
        <v>1</v>
      </c>
      <c r="S95" s="2">
        <f>SUMIFS('Grid Data'!$D$4:$D$2342,'Grid Data'!$B$4:$B$2342,$D95,'Grid Data'!$C$4:$C$2342,S$4,'Grid Data'!$A$4:$A$2342,$D$2)</f>
        <v>1</v>
      </c>
      <c r="T95" s="2">
        <f>SUMIFS('Grid Data'!$D$4:$D$2342,'Grid Data'!$B$4:$B$2342,$D95,'Grid Data'!$C$4:$C$2342,T$4,'Grid Data'!$A$4:$A$2342,$D$2)</f>
        <v>0</v>
      </c>
      <c r="U95" s="2">
        <f>SUMIFS('Grid Data'!$D$4:$D$2342,'Grid Data'!$B$4:$B$2342,$D95,'Grid Data'!$C$4:$C$2342,U$4,'Grid Data'!$A$4:$A$2342,$D$2)</f>
        <v>0</v>
      </c>
      <c r="V95" s="2">
        <f>SUMIFS('Grid Data'!$D$4:$D$2342,'Grid Data'!$B$4:$B$2342,$D95,'Grid Data'!$C$4:$C$2342,V$4,'Grid Data'!$A$4:$A$2342,$D$2)</f>
        <v>0</v>
      </c>
      <c r="W95" s="2">
        <f>SUMIFS('Grid Data'!$D$4:$D$2342,'Grid Data'!$B$4:$B$2342,$D95,'Grid Data'!$C$4:$C$2342,W$4,'Grid Data'!$A$4:$A$2342,$D$2)</f>
        <v>0</v>
      </c>
      <c r="X95" s="2">
        <f>SUMIFS('Grid Data'!$D$4:$D$2342,'Grid Data'!$B$4:$B$2342,$D95,'Grid Data'!$C$4:$C$2342,X$4,'Grid Data'!$A$4:$A$2342,$D$2)</f>
        <v>0</v>
      </c>
      <c r="Y95" s="2">
        <f>SUMIFS('Grid Data'!$D$4:$D$2342,'Grid Data'!$B$4:$B$2342,$D95,'Grid Data'!$C$4:$C$2342,Y$4,'Grid Data'!$A$4:$A$2342,$D$2)</f>
        <v>0</v>
      </c>
      <c r="Z95" s="2">
        <f>SUMIFS('Grid Data'!$D$4:$D$2342,'Grid Data'!$B$4:$B$2342,$D95,'Grid Data'!$C$4:$C$2342,Z$4,'Grid Data'!$A$4:$A$2342,$D$2)</f>
        <v>0</v>
      </c>
      <c r="AA95" s="2">
        <f>SUMIFS('Grid Data'!$D$4:$D$2342,'Grid Data'!$B$4:$B$2342,$D95,'Grid Data'!$C$4:$C$2342,AA$4,'Grid Data'!$A$4:$A$2342,$D$2)</f>
        <v>0</v>
      </c>
      <c r="AB95" s="2">
        <f>SUMIFS('Grid Data'!$D$4:$D$2342,'Grid Data'!$B$4:$B$2342,$D95,'Grid Data'!$C$4:$C$2342,AB$4,'Grid Data'!$A$4:$A$2342,$D$2)</f>
        <v>0</v>
      </c>
      <c r="AC95" s="2">
        <f>SUMIFS('Grid Data'!$D$4:$D$2342,'Grid Data'!$B$4:$B$2342,$D95,'Grid Data'!$C$4:$C$2342,AC$4,'Grid Data'!$A$4:$A$2342,$D$2)</f>
        <v>0</v>
      </c>
      <c r="AD95" s="2">
        <f>SUMIFS('Grid Data'!$D$4:$D$2342,'Grid Data'!$B$4:$B$2342,$D95,'Grid Data'!$C$4:$C$2342,AD$4,'Grid Data'!$A$4:$A$2342,$D$2)</f>
        <v>0</v>
      </c>
      <c r="AE95" s="2">
        <f>SUMIFS('Grid Data'!$D$4:$D$2342,'Grid Data'!$B$4:$B$2342,$D95,'Grid Data'!$C$4:$C$2342,AE$4,'Grid Data'!$A$4:$A$2342,$D$2)</f>
        <v>0</v>
      </c>
      <c r="AF95" s="2">
        <f>SUMIFS('Grid Data'!$D$4:$D$2342,'Grid Data'!$B$4:$B$2342,$D95,'Grid Data'!$C$4:$C$2342,AF$4,'Grid Data'!$A$4:$A$2342,$D$2)</f>
        <v>3</v>
      </c>
      <c r="AG95" s="2">
        <f>SUMIFS('Grid Data'!$D$4:$D$2342,'Grid Data'!$B$4:$B$2342,$D95,'Grid Data'!$C$4:$C$2342,AG$4,'Grid Data'!$A$4:$A$2342,$D$2)</f>
        <v>644</v>
      </c>
      <c r="AH95" s="2">
        <f>SUMIFS('Grid Data'!$D$4:$D$2342,'Grid Data'!$B$4:$B$2342,$D95,'Grid Data'!$C$4:$C$2342,AH$4,'Grid Data'!$A$4:$A$2342,$D$2)</f>
        <v>231</v>
      </c>
    </row>
    <row r="96" spans="4:34" x14ac:dyDescent="0.35">
      <c r="D96">
        <v>20000</v>
      </c>
      <c r="E96" s="2">
        <f>SUMIFS('Grid Data'!$D$4:$D$2342,'Grid Data'!$B$4:$B$2342,$D96,'Grid Data'!$C$4:$C$2342,E$4,'Grid Data'!$A$4:$A$2342,$D$2)</f>
        <v>0</v>
      </c>
      <c r="F96" s="2">
        <f>SUMIFS('Grid Data'!$D$4:$D$2342,'Grid Data'!$B$4:$B$2342,$D96,'Grid Data'!$C$4:$C$2342,F$4,'Grid Data'!$A$4:$A$2342,$D$2)</f>
        <v>0</v>
      </c>
      <c r="G96" s="2">
        <f>SUMIFS('Grid Data'!$D$4:$D$2342,'Grid Data'!$B$4:$B$2342,$D96,'Grid Data'!$C$4:$C$2342,G$4,'Grid Data'!$A$4:$A$2342,$D$2)</f>
        <v>0</v>
      </c>
      <c r="H96" s="2">
        <f>SUMIFS('Grid Data'!$D$4:$D$2342,'Grid Data'!$B$4:$B$2342,$D96,'Grid Data'!$C$4:$C$2342,H$4,'Grid Data'!$A$4:$A$2342,$D$2)</f>
        <v>0</v>
      </c>
      <c r="I96" s="2">
        <f>SUMIFS('Grid Data'!$D$4:$D$2342,'Grid Data'!$B$4:$B$2342,$D96,'Grid Data'!$C$4:$C$2342,I$4,'Grid Data'!$A$4:$A$2342,$D$2)</f>
        <v>0</v>
      </c>
      <c r="J96" s="2">
        <f>SUMIFS('Grid Data'!$D$4:$D$2342,'Grid Data'!$B$4:$B$2342,$D96,'Grid Data'!$C$4:$C$2342,J$4,'Grid Data'!$A$4:$A$2342,$D$2)</f>
        <v>0</v>
      </c>
      <c r="K96" s="2">
        <f>SUMIFS('Grid Data'!$D$4:$D$2342,'Grid Data'!$B$4:$B$2342,$D96,'Grid Data'!$C$4:$C$2342,K$4,'Grid Data'!$A$4:$A$2342,$D$2)</f>
        <v>0</v>
      </c>
      <c r="L96" s="2">
        <f>SUMIFS('Grid Data'!$D$4:$D$2342,'Grid Data'!$B$4:$B$2342,$D96,'Grid Data'!$C$4:$C$2342,L$4,'Grid Data'!$A$4:$A$2342,$D$2)</f>
        <v>0</v>
      </c>
      <c r="M96" s="2">
        <f>SUMIFS('Grid Data'!$D$4:$D$2342,'Grid Data'!$B$4:$B$2342,$D96,'Grid Data'!$C$4:$C$2342,M$4,'Grid Data'!$A$4:$A$2342,$D$2)</f>
        <v>0</v>
      </c>
      <c r="N96" s="2">
        <f>SUMIFS('Grid Data'!$D$4:$D$2342,'Grid Data'!$B$4:$B$2342,$D96,'Grid Data'!$C$4:$C$2342,N$4,'Grid Data'!$A$4:$A$2342,$D$2)</f>
        <v>0</v>
      </c>
      <c r="O96" s="2">
        <f>SUMIFS('Grid Data'!$D$4:$D$2342,'Grid Data'!$B$4:$B$2342,$D96,'Grid Data'!$C$4:$C$2342,O$4,'Grid Data'!$A$4:$A$2342,$D$2)</f>
        <v>0</v>
      </c>
      <c r="P96" s="2">
        <f>SUMIFS('Grid Data'!$D$4:$D$2342,'Grid Data'!$B$4:$B$2342,$D96,'Grid Data'!$C$4:$C$2342,P$4,'Grid Data'!$A$4:$A$2342,$D$2)</f>
        <v>1</v>
      </c>
      <c r="Q96" s="2">
        <f>SUMIFS('Grid Data'!$D$4:$D$2342,'Grid Data'!$B$4:$B$2342,$D96,'Grid Data'!$C$4:$C$2342,Q$4,'Grid Data'!$A$4:$A$2342,$D$2)</f>
        <v>0</v>
      </c>
      <c r="R96" s="2">
        <f>SUMIFS('Grid Data'!$D$4:$D$2342,'Grid Data'!$B$4:$B$2342,$D96,'Grid Data'!$C$4:$C$2342,R$4,'Grid Data'!$A$4:$A$2342,$D$2)</f>
        <v>0</v>
      </c>
      <c r="S96" s="2">
        <f>SUMIFS('Grid Data'!$D$4:$D$2342,'Grid Data'!$B$4:$B$2342,$D96,'Grid Data'!$C$4:$C$2342,S$4,'Grid Data'!$A$4:$A$2342,$D$2)</f>
        <v>0</v>
      </c>
      <c r="T96" s="2">
        <f>SUMIFS('Grid Data'!$D$4:$D$2342,'Grid Data'!$B$4:$B$2342,$D96,'Grid Data'!$C$4:$C$2342,T$4,'Grid Data'!$A$4:$A$2342,$D$2)</f>
        <v>0</v>
      </c>
      <c r="U96" s="2">
        <f>SUMIFS('Grid Data'!$D$4:$D$2342,'Grid Data'!$B$4:$B$2342,$D96,'Grid Data'!$C$4:$C$2342,U$4,'Grid Data'!$A$4:$A$2342,$D$2)</f>
        <v>0</v>
      </c>
      <c r="V96" s="2">
        <f>SUMIFS('Grid Data'!$D$4:$D$2342,'Grid Data'!$B$4:$B$2342,$D96,'Grid Data'!$C$4:$C$2342,V$4,'Grid Data'!$A$4:$A$2342,$D$2)</f>
        <v>0</v>
      </c>
      <c r="W96" s="2">
        <f>SUMIFS('Grid Data'!$D$4:$D$2342,'Grid Data'!$B$4:$B$2342,$D96,'Grid Data'!$C$4:$C$2342,W$4,'Grid Data'!$A$4:$A$2342,$D$2)</f>
        <v>0</v>
      </c>
      <c r="X96" s="2">
        <f>SUMIFS('Grid Data'!$D$4:$D$2342,'Grid Data'!$B$4:$B$2342,$D96,'Grid Data'!$C$4:$C$2342,X$4,'Grid Data'!$A$4:$A$2342,$D$2)</f>
        <v>0</v>
      </c>
      <c r="Y96" s="2">
        <f>SUMIFS('Grid Data'!$D$4:$D$2342,'Grid Data'!$B$4:$B$2342,$D96,'Grid Data'!$C$4:$C$2342,Y$4,'Grid Data'!$A$4:$A$2342,$D$2)</f>
        <v>0</v>
      </c>
      <c r="Z96" s="2">
        <f>SUMIFS('Grid Data'!$D$4:$D$2342,'Grid Data'!$B$4:$B$2342,$D96,'Grid Data'!$C$4:$C$2342,Z$4,'Grid Data'!$A$4:$A$2342,$D$2)</f>
        <v>0</v>
      </c>
      <c r="AA96" s="2">
        <f>SUMIFS('Grid Data'!$D$4:$D$2342,'Grid Data'!$B$4:$B$2342,$D96,'Grid Data'!$C$4:$C$2342,AA$4,'Grid Data'!$A$4:$A$2342,$D$2)</f>
        <v>0</v>
      </c>
      <c r="AB96" s="2">
        <f>SUMIFS('Grid Data'!$D$4:$D$2342,'Grid Data'!$B$4:$B$2342,$D96,'Grid Data'!$C$4:$C$2342,AB$4,'Grid Data'!$A$4:$A$2342,$D$2)</f>
        <v>0</v>
      </c>
      <c r="AC96" s="2">
        <f>SUMIFS('Grid Data'!$D$4:$D$2342,'Grid Data'!$B$4:$B$2342,$D96,'Grid Data'!$C$4:$C$2342,AC$4,'Grid Data'!$A$4:$A$2342,$D$2)</f>
        <v>0</v>
      </c>
      <c r="AD96" s="2">
        <f>SUMIFS('Grid Data'!$D$4:$D$2342,'Grid Data'!$B$4:$B$2342,$D96,'Grid Data'!$C$4:$C$2342,AD$4,'Grid Data'!$A$4:$A$2342,$D$2)</f>
        <v>0</v>
      </c>
      <c r="AE96" s="2">
        <f>SUMIFS('Grid Data'!$D$4:$D$2342,'Grid Data'!$B$4:$B$2342,$D96,'Grid Data'!$C$4:$C$2342,AE$4,'Grid Data'!$A$4:$A$2342,$D$2)</f>
        <v>0</v>
      </c>
      <c r="AF96" s="2">
        <f>SUMIFS('Grid Data'!$D$4:$D$2342,'Grid Data'!$B$4:$B$2342,$D96,'Grid Data'!$C$4:$C$2342,AF$4,'Grid Data'!$A$4:$A$2342,$D$2)</f>
        <v>0</v>
      </c>
      <c r="AG96" s="2">
        <f>SUMIFS('Grid Data'!$D$4:$D$2342,'Grid Data'!$B$4:$B$2342,$D96,'Grid Data'!$C$4:$C$2342,AG$4,'Grid Data'!$A$4:$A$2342,$D$2)</f>
        <v>96</v>
      </c>
      <c r="AH96" s="2">
        <f>SUMIFS('Grid Data'!$D$4:$D$2342,'Grid Data'!$B$4:$B$2342,$D96,'Grid Data'!$C$4:$C$2342,AH$4,'Grid Data'!$A$4:$A$2342,$D$2)</f>
        <v>25</v>
      </c>
    </row>
  </sheetData>
  <sortState xmlns:xlrd2="http://schemas.microsoft.com/office/spreadsheetml/2017/richdata2" ref="D5:D33">
    <sortCondition ref="D5:D33"/>
  </sortState>
  <dataValidations count="1">
    <dataValidation type="list" allowBlank="1" showInputMessage="1" showErrorMessage="1" sqref="G2" xr:uid="{98217946-3719-41DD-8C66-EC7327DA66FA}">
      <formula1>"CPR,CDR"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D2CF4A-11B9-4289-B92E-32202A34328D}">
  <dimension ref="A1:AI2342"/>
  <sheetViews>
    <sheetView topLeftCell="A2213" workbookViewId="0">
      <selection activeCell="K2248" sqref="K2248"/>
    </sheetView>
  </sheetViews>
  <sheetFormatPr defaultRowHeight="14.5" x14ac:dyDescent="0.35"/>
  <cols>
    <col min="40" max="40" width="12" bestFit="1" customWidth="1"/>
  </cols>
  <sheetData>
    <row r="1" spans="1:35" x14ac:dyDescent="0.35">
      <c r="K1" t="s">
        <v>158</v>
      </c>
      <c r="W1" t="s">
        <v>158</v>
      </c>
    </row>
    <row r="2" spans="1:35" x14ac:dyDescent="0.35">
      <c r="J2" t="s">
        <v>232</v>
      </c>
      <c r="V2" t="s">
        <v>180</v>
      </c>
      <c r="AH2" t="s">
        <v>231</v>
      </c>
    </row>
    <row r="3" spans="1:35" x14ac:dyDescent="0.35">
      <c r="A3" t="s">
        <v>4</v>
      </c>
      <c r="J3" t="s">
        <v>5</v>
      </c>
      <c r="K3" t="s">
        <v>6</v>
      </c>
      <c r="M3" t="s">
        <v>4</v>
      </c>
      <c r="V3" t="s">
        <v>5</v>
      </c>
      <c r="W3" t="s">
        <v>6</v>
      </c>
      <c r="Y3" t="s">
        <v>176</v>
      </c>
      <c r="AH3" t="s">
        <v>5</v>
      </c>
      <c r="AI3" t="s">
        <v>6</v>
      </c>
    </row>
    <row r="4" spans="1:35" x14ac:dyDescent="0.35">
      <c r="A4" t="s">
        <v>0</v>
      </c>
      <c r="B4">
        <v>7000</v>
      </c>
      <c r="C4">
        <v>360</v>
      </c>
      <c r="D4">
        <v>4178</v>
      </c>
      <c r="E4">
        <v>0</v>
      </c>
      <c r="F4">
        <v>4791061732</v>
      </c>
      <c r="G4">
        <v>143062324.40000001</v>
      </c>
      <c r="H4">
        <v>4607287046.2600002</v>
      </c>
      <c r="I4">
        <v>4635884518.9499998</v>
      </c>
      <c r="J4">
        <v>9.7337000000000007E-2</v>
      </c>
      <c r="K4">
        <v>2.9925E-2</v>
      </c>
      <c r="M4" t="s">
        <v>0</v>
      </c>
      <c r="N4">
        <v>7000</v>
      </c>
      <c r="O4">
        <v>360</v>
      </c>
      <c r="P4">
        <v>3477</v>
      </c>
      <c r="Q4">
        <v>0</v>
      </c>
      <c r="R4">
        <v>3968396080</v>
      </c>
      <c r="S4">
        <v>118117153.38</v>
      </c>
      <c r="T4">
        <v>3817769855</v>
      </c>
      <c r="U4">
        <v>3839709849.2199998</v>
      </c>
      <c r="V4">
        <v>9.3992999999999993E-2</v>
      </c>
      <c r="W4">
        <v>3.1496000000000003E-2</v>
      </c>
      <c r="Y4" t="s">
        <v>0</v>
      </c>
      <c r="Z4">
        <v>7000</v>
      </c>
      <c r="AA4">
        <v>360</v>
      </c>
      <c r="AB4">
        <v>3953</v>
      </c>
      <c r="AC4">
        <v>0</v>
      </c>
      <c r="AD4">
        <v>4547204056</v>
      </c>
      <c r="AE4">
        <v>135433682.22999999</v>
      </c>
      <c r="AF4">
        <v>4338252655.3100004</v>
      </c>
      <c r="AG4">
        <v>4369881841.29</v>
      </c>
      <c r="AH4">
        <v>0.17765700000000001</v>
      </c>
      <c r="AI4">
        <v>0.105111</v>
      </c>
    </row>
    <row r="5" spans="1:35" x14ac:dyDescent="0.35">
      <c r="A5" t="s">
        <v>0</v>
      </c>
      <c r="B5">
        <v>7500</v>
      </c>
      <c r="C5">
        <v>360</v>
      </c>
      <c r="D5">
        <v>3524</v>
      </c>
      <c r="E5">
        <v>0</v>
      </c>
      <c r="F5">
        <v>3441473895</v>
      </c>
      <c r="G5">
        <v>118257815.2</v>
      </c>
      <c r="H5">
        <v>3294107647.98</v>
      </c>
      <c r="I5">
        <v>3316795166.27</v>
      </c>
      <c r="J5">
        <v>9.6906999999999993E-2</v>
      </c>
      <c r="K5">
        <v>2.2161E-2</v>
      </c>
      <c r="M5" t="s">
        <v>0</v>
      </c>
      <c r="N5">
        <v>7500</v>
      </c>
      <c r="O5">
        <v>360</v>
      </c>
      <c r="P5">
        <v>3398</v>
      </c>
      <c r="Q5">
        <v>0</v>
      </c>
      <c r="R5">
        <v>3379505989</v>
      </c>
      <c r="S5">
        <v>113198071.83</v>
      </c>
      <c r="T5">
        <v>3238729489.73</v>
      </c>
      <c r="U5">
        <v>3261405035.9299998</v>
      </c>
      <c r="V5">
        <v>9.3647999999999995E-2</v>
      </c>
      <c r="W5">
        <v>1.7271000000000002E-2</v>
      </c>
      <c r="Y5" t="s">
        <v>0</v>
      </c>
      <c r="Z5">
        <v>7500</v>
      </c>
      <c r="AA5">
        <v>360</v>
      </c>
      <c r="AB5">
        <v>3445</v>
      </c>
      <c r="AC5">
        <v>0</v>
      </c>
      <c r="AD5">
        <v>3378036195</v>
      </c>
      <c r="AE5">
        <v>115399972.14</v>
      </c>
      <c r="AF5">
        <v>3197043185</v>
      </c>
      <c r="AG5">
        <v>3227084531.1399999</v>
      </c>
      <c r="AH5">
        <v>0.20966799999999999</v>
      </c>
      <c r="AI5">
        <v>0.11923300000000001</v>
      </c>
    </row>
    <row r="6" spans="1:35" x14ac:dyDescent="0.35">
      <c r="A6" t="s">
        <v>0</v>
      </c>
      <c r="B6">
        <v>8000</v>
      </c>
      <c r="C6">
        <v>360</v>
      </c>
      <c r="D6">
        <v>1522</v>
      </c>
      <c r="E6">
        <v>0</v>
      </c>
      <c r="F6">
        <v>1107331453</v>
      </c>
      <c r="G6">
        <v>49098566.280000001</v>
      </c>
      <c r="H6">
        <v>1048963703.17</v>
      </c>
      <c r="I6">
        <v>1056665468.84</v>
      </c>
      <c r="J6">
        <v>9.5950999999999995E-2</v>
      </c>
      <c r="K6">
        <v>1.6854000000000001E-2</v>
      </c>
      <c r="M6" t="s">
        <v>0</v>
      </c>
      <c r="N6">
        <v>8000</v>
      </c>
      <c r="O6">
        <v>360</v>
      </c>
      <c r="P6">
        <v>1665</v>
      </c>
      <c r="Q6">
        <v>0</v>
      </c>
      <c r="R6">
        <v>1250156577</v>
      </c>
      <c r="S6">
        <v>53864309.130000003</v>
      </c>
      <c r="T6">
        <v>1186191609.78</v>
      </c>
      <c r="U6">
        <v>1194680229.6600001</v>
      </c>
      <c r="V6">
        <v>9.2759999999999995E-2</v>
      </c>
      <c r="W6">
        <v>1.5363999999999999E-2</v>
      </c>
      <c r="Y6" t="s">
        <v>0</v>
      </c>
      <c r="Z6">
        <v>8000</v>
      </c>
      <c r="AA6">
        <v>360</v>
      </c>
      <c r="AB6">
        <v>1546</v>
      </c>
      <c r="AC6">
        <v>0</v>
      </c>
      <c r="AD6">
        <v>1134454221</v>
      </c>
      <c r="AE6">
        <v>49569585.93</v>
      </c>
      <c r="AF6">
        <v>1059904154</v>
      </c>
      <c r="AG6">
        <v>1069193289.3200001</v>
      </c>
      <c r="AH6">
        <v>0.23447299999999999</v>
      </c>
      <c r="AI6">
        <v>0.153917</v>
      </c>
    </row>
    <row r="7" spans="1:35" x14ac:dyDescent="0.35">
      <c r="A7" t="s">
        <v>1</v>
      </c>
      <c r="B7">
        <v>8500</v>
      </c>
      <c r="C7">
        <v>360</v>
      </c>
      <c r="D7">
        <v>178</v>
      </c>
      <c r="E7">
        <v>0</v>
      </c>
      <c r="F7">
        <v>91743883</v>
      </c>
      <c r="G7">
        <v>6621863.0499999998</v>
      </c>
      <c r="H7">
        <v>83924984.390000001</v>
      </c>
      <c r="I7">
        <v>85080358.109999999</v>
      </c>
      <c r="J7">
        <v>0.14581</v>
      </c>
      <c r="K7">
        <v>5.4359999999999999E-3</v>
      </c>
      <c r="M7" t="s">
        <v>1</v>
      </c>
      <c r="N7">
        <v>8500</v>
      </c>
      <c r="O7">
        <v>360</v>
      </c>
      <c r="P7">
        <v>206</v>
      </c>
      <c r="Q7">
        <v>0</v>
      </c>
      <c r="R7">
        <v>123423252</v>
      </c>
      <c r="S7">
        <v>7460641.54</v>
      </c>
      <c r="T7">
        <v>114357332.28</v>
      </c>
      <c r="U7">
        <v>115946651.09</v>
      </c>
      <c r="V7">
        <v>0.14538100000000001</v>
      </c>
      <c r="W7">
        <v>1.5510000000000001E-3</v>
      </c>
      <c r="Y7" t="s">
        <v>1</v>
      </c>
      <c r="Z7">
        <v>8500</v>
      </c>
      <c r="AA7">
        <v>360</v>
      </c>
      <c r="AB7">
        <v>186</v>
      </c>
      <c r="AC7">
        <v>0</v>
      </c>
      <c r="AD7">
        <v>101046909</v>
      </c>
      <c r="AE7">
        <v>6850635.1200000001</v>
      </c>
      <c r="AF7">
        <v>91743883</v>
      </c>
      <c r="AG7">
        <v>92771214.549999997</v>
      </c>
      <c r="AH7">
        <v>0.25534200000000001</v>
      </c>
      <c r="AI7">
        <v>0.15670600000000001</v>
      </c>
    </row>
    <row r="8" spans="1:35" x14ac:dyDescent="0.35">
      <c r="A8" t="s">
        <v>0</v>
      </c>
      <c r="B8">
        <v>8500</v>
      </c>
      <c r="C8">
        <v>360</v>
      </c>
      <c r="D8">
        <v>838</v>
      </c>
      <c r="E8">
        <v>0</v>
      </c>
      <c r="F8">
        <v>422460710</v>
      </c>
      <c r="G8">
        <v>26906445.43</v>
      </c>
      <c r="H8">
        <v>392089559.27999997</v>
      </c>
      <c r="I8">
        <v>395169249.52999997</v>
      </c>
      <c r="J8">
        <v>9.4094999999999998E-2</v>
      </c>
      <c r="K8">
        <v>1.0881999999999999E-2</v>
      </c>
      <c r="M8" t="s">
        <v>0</v>
      </c>
      <c r="N8">
        <v>8500</v>
      </c>
      <c r="O8">
        <v>360</v>
      </c>
      <c r="P8">
        <v>965</v>
      </c>
      <c r="Q8">
        <v>0</v>
      </c>
      <c r="R8">
        <v>555462050</v>
      </c>
      <c r="S8">
        <v>30862582.699999999</v>
      </c>
      <c r="T8">
        <v>520170115.04000002</v>
      </c>
      <c r="U8">
        <v>523986044.67000002</v>
      </c>
      <c r="V8">
        <v>9.1603000000000004E-2</v>
      </c>
      <c r="W8">
        <v>1.3172E-2</v>
      </c>
      <c r="Y8" t="s">
        <v>0</v>
      </c>
      <c r="Z8">
        <v>8500</v>
      </c>
      <c r="AA8">
        <v>360</v>
      </c>
      <c r="AB8">
        <v>886</v>
      </c>
      <c r="AC8">
        <v>0</v>
      </c>
      <c r="AD8">
        <v>464122832</v>
      </c>
      <c r="AE8">
        <v>28396925.460000001</v>
      </c>
      <c r="AF8">
        <v>416959434</v>
      </c>
      <c r="AG8">
        <v>425742756.25</v>
      </c>
      <c r="AH8">
        <v>0.39060800000000001</v>
      </c>
      <c r="AI8">
        <v>0.22966800000000001</v>
      </c>
    </row>
    <row r="9" spans="1:35" x14ac:dyDescent="0.35">
      <c r="A9" t="s">
        <v>0</v>
      </c>
      <c r="B9">
        <v>6500</v>
      </c>
      <c r="C9">
        <v>360</v>
      </c>
      <c r="D9">
        <v>1731</v>
      </c>
      <c r="E9">
        <v>0</v>
      </c>
      <c r="F9">
        <v>2190244470</v>
      </c>
      <c r="G9">
        <v>59838109.140000001</v>
      </c>
      <c r="H9">
        <v>2111745886.55</v>
      </c>
      <c r="I9">
        <v>2125230306.99</v>
      </c>
      <c r="J9">
        <v>9.758E-2</v>
      </c>
      <c r="K9">
        <v>2.7993000000000001E-2</v>
      </c>
      <c r="M9" t="s">
        <v>0</v>
      </c>
      <c r="N9">
        <v>6500</v>
      </c>
      <c r="O9">
        <v>360</v>
      </c>
      <c r="P9">
        <v>1370</v>
      </c>
      <c r="Q9">
        <v>0</v>
      </c>
      <c r="R9">
        <v>1748370262</v>
      </c>
      <c r="S9">
        <v>46073571.149999999</v>
      </c>
      <c r="T9">
        <v>1687923684.0899999</v>
      </c>
      <c r="U9">
        <v>1696928807.3299999</v>
      </c>
      <c r="V9">
        <v>9.4309000000000004E-2</v>
      </c>
      <c r="W9">
        <v>3.6227000000000002E-2</v>
      </c>
      <c r="Y9" t="s">
        <v>0</v>
      </c>
      <c r="Z9">
        <v>6500</v>
      </c>
      <c r="AA9">
        <v>360</v>
      </c>
      <c r="AB9">
        <v>1635</v>
      </c>
      <c r="AC9">
        <v>0</v>
      </c>
      <c r="AD9">
        <v>2091271879</v>
      </c>
      <c r="AE9">
        <v>56215160.68</v>
      </c>
      <c r="AF9">
        <v>1997845448</v>
      </c>
      <c r="AG9">
        <v>2017613485.28</v>
      </c>
      <c r="AH9">
        <v>0.19381799999999999</v>
      </c>
      <c r="AI9">
        <v>9.5625000000000002E-2</v>
      </c>
    </row>
    <row r="10" spans="1:35" x14ac:dyDescent="0.35">
      <c r="A10" t="s">
        <v>1</v>
      </c>
      <c r="B10">
        <v>4000</v>
      </c>
      <c r="C10">
        <v>168</v>
      </c>
      <c r="D10">
        <v>19674</v>
      </c>
      <c r="E10">
        <v>0</v>
      </c>
      <c r="F10">
        <v>229159041377</v>
      </c>
      <c r="G10">
        <v>811769084.38999999</v>
      </c>
      <c r="H10">
        <v>227216040810.12</v>
      </c>
      <c r="I10">
        <v>228278981275.26001</v>
      </c>
      <c r="J10">
        <v>5.7654999999999998E-2</v>
      </c>
      <c r="K10">
        <v>3.5699999999999998E-3</v>
      </c>
      <c r="M10" t="s">
        <v>1</v>
      </c>
      <c r="N10">
        <v>4000</v>
      </c>
      <c r="O10">
        <v>168</v>
      </c>
      <c r="P10">
        <v>21245</v>
      </c>
      <c r="Q10">
        <v>0</v>
      </c>
      <c r="R10">
        <v>248292827456</v>
      </c>
      <c r="S10">
        <v>877273119.66999996</v>
      </c>
      <c r="T10">
        <v>246177853381.14001</v>
      </c>
      <c r="U10">
        <v>247351268062.39999</v>
      </c>
      <c r="V10">
        <v>5.8205E-2</v>
      </c>
      <c r="W10">
        <v>3.1029999999999999E-3</v>
      </c>
      <c r="Y10" t="s">
        <v>1</v>
      </c>
      <c r="Z10">
        <v>4000</v>
      </c>
      <c r="AA10">
        <v>168</v>
      </c>
      <c r="AB10">
        <v>20290</v>
      </c>
      <c r="AC10">
        <v>0</v>
      </c>
      <c r="AD10">
        <v>236059802816</v>
      </c>
      <c r="AE10">
        <v>837240543.41999996</v>
      </c>
      <c r="AF10">
        <v>234034758232</v>
      </c>
      <c r="AG10">
        <v>234793552546.26999</v>
      </c>
      <c r="AH10">
        <v>5.8737999999999999E-2</v>
      </c>
      <c r="AI10">
        <v>2.1592E-2</v>
      </c>
    </row>
    <row r="11" spans="1:35" x14ac:dyDescent="0.35">
      <c r="A11" t="s">
        <v>0</v>
      </c>
      <c r="B11">
        <v>4000</v>
      </c>
      <c r="C11">
        <v>168</v>
      </c>
      <c r="D11">
        <v>100224</v>
      </c>
      <c r="E11">
        <v>0</v>
      </c>
      <c r="F11">
        <v>943282857655</v>
      </c>
      <c r="G11">
        <v>3305120136.1199999</v>
      </c>
      <c r="H11">
        <v>935892137643.71997</v>
      </c>
      <c r="I11">
        <v>939660510560.75</v>
      </c>
      <c r="J11">
        <v>5.0755000000000002E-2</v>
      </c>
      <c r="K11">
        <v>4.0280000000000003E-3</v>
      </c>
      <c r="M11" t="s">
        <v>0</v>
      </c>
      <c r="N11">
        <v>4000</v>
      </c>
      <c r="O11">
        <v>168</v>
      </c>
      <c r="P11">
        <v>106291</v>
      </c>
      <c r="Q11">
        <v>0</v>
      </c>
      <c r="R11">
        <v>1014914152079</v>
      </c>
      <c r="S11">
        <v>3527461324.6599998</v>
      </c>
      <c r="T11">
        <v>1006946681840.5601</v>
      </c>
      <c r="U11">
        <v>1011136238389.6899</v>
      </c>
      <c r="V11">
        <v>5.1251999999999999E-2</v>
      </c>
      <c r="W11">
        <v>2.957E-3</v>
      </c>
      <c r="Y11" t="s">
        <v>0</v>
      </c>
      <c r="Z11">
        <v>4000</v>
      </c>
      <c r="AA11">
        <v>168</v>
      </c>
      <c r="AB11">
        <v>103028</v>
      </c>
      <c r="AC11">
        <v>0</v>
      </c>
      <c r="AD11">
        <v>974685094325</v>
      </c>
      <c r="AE11">
        <v>3407191640.8800001</v>
      </c>
      <c r="AF11">
        <v>966745058283</v>
      </c>
      <c r="AG11">
        <v>969789616250.81006</v>
      </c>
      <c r="AH11">
        <v>5.4400999999999998E-2</v>
      </c>
      <c r="AI11">
        <v>1.8169999999999999E-2</v>
      </c>
    </row>
    <row r="12" spans="1:35" x14ac:dyDescent="0.35">
      <c r="A12" t="s">
        <v>0</v>
      </c>
      <c r="B12">
        <v>4500</v>
      </c>
      <c r="C12">
        <v>192</v>
      </c>
      <c r="D12">
        <v>55018</v>
      </c>
      <c r="E12">
        <v>0</v>
      </c>
      <c r="F12">
        <v>510575274328</v>
      </c>
      <c r="G12">
        <v>1983434808.4100001</v>
      </c>
      <c r="H12">
        <v>506357809336.15002</v>
      </c>
      <c r="I12">
        <v>508418906729.52002</v>
      </c>
      <c r="J12">
        <v>5.1261000000000001E-2</v>
      </c>
      <c r="K12">
        <v>4.0569999999999998E-3</v>
      </c>
      <c r="M12" t="s">
        <v>0</v>
      </c>
      <c r="N12">
        <v>4500</v>
      </c>
      <c r="O12">
        <v>168</v>
      </c>
      <c r="P12">
        <v>25609</v>
      </c>
      <c r="Q12">
        <v>0</v>
      </c>
      <c r="R12">
        <v>207544255458</v>
      </c>
      <c r="S12">
        <v>698767897.33000004</v>
      </c>
      <c r="T12">
        <v>205861189228.81</v>
      </c>
      <c r="U12">
        <v>206746881112.56</v>
      </c>
      <c r="V12">
        <v>5.5449999999999999E-2</v>
      </c>
      <c r="W12">
        <v>5.6860000000000001E-3</v>
      </c>
      <c r="Y12" t="s">
        <v>0</v>
      </c>
      <c r="Z12">
        <v>4500</v>
      </c>
      <c r="AA12">
        <v>168</v>
      </c>
      <c r="AB12">
        <v>25919</v>
      </c>
      <c r="AC12">
        <v>0</v>
      </c>
      <c r="AD12">
        <v>214802798065</v>
      </c>
      <c r="AE12">
        <v>707225349.03999996</v>
      </c>
      <c r="AF12">
        <v>212835560160</v>
      </c>
      <c r="AG12">
        <v>213776297880.23999</v>
      </c>
      <c r="AH12">
        <v>6.8164000000000002E-2</v>
      </c>
      <c r="AI12">
        <v>1.7690999999999998E-2</v>
      </c>
    </row>
    <row r="13" spans="1:35" x14ac:dyDescent="0.35">
      <c r="A13" t="s">
        <v>0</v>
      </c>
      <c r="B13">
        <v>4500</v>
      </c>
      <c r="C13">
        <v>168</v>
      </c>
      <c r="D13">
        <v>26345</v>
      </c>
      <c r="E13">
        <v>0</v>
      </c>
      <c r="F13">
        <v>220153482715</v>
      </c>
      <c r="G13">
        <v>720325675.84000003</v>
      </c>
      <c r="H13">
        <v>218444499665.91</v>
      </c>
      <c r="I13">
        <v>219326255357.26001</v>
      </c>
      <c r="J13">
        <v>5.2578E-2</v>
      </c>
      <c r="K13">
        <v>5.8110000000000002E-3</v>
      </c>
      <c r="M13" t="s">
        <v>0</v>
      </c>
      <c r="N13">
        <v>6750</v>
      </c>
      <c r="O13">
        <v>360</v>
      </c>
      <c r="P13">
        <v>880</v>
      </c>
      <c r="Q13">
        <v>0</v>
      </c>
      <c r="R13">
        <v>756494895</v>
      </c>
      <c r="S13">
        <v>25648168.449999999</v>
      </c>
      <c r="T13">
        <v>724675966.19000006</v>
      </c>
      <c r="U13">
        <v>729422477.71000004</v>
      </c>
      <c r="V13">
        <v>9.3609999999999999E-2</v>
      </c>
      <c r="W13">
        <v>2.2360000000000001E-2</v>
      </c>
      <c r="Y13" t="s">
        <v>0</v>
      </c>
      <c r="Z13">
        <v>7000</v>
      </c>
      <c r="AA13">
        <v>320</v>
      </c>
      <c r="AB13">
        <v>10808</v>
      </c>
      <c r="AC13">
        <v>0</v>
      </c>
      <c r="AD13">
        <v>30669579950</v>
      </c>
      <c r="AE13">
        <v>337598750.25</v>
      </c>
      <c r="AF13">
        <v>30068718904</v>
      </c>
      <c r="AG13">
        <v>30190774963.610001</v>
      </c>
      <c r="AH13">
        <v>9.8279000000000005E-2</v>
      </c>
      <c r="AI13">
        <v>5.3872000000000003E-2</v>
      </c>
    </row>
    <row r="14" spans="1:35" x14ac:dyDescent="0.35">
      <c r="A14" t="s">
        <v>0</v>
      </c>
      <c r="B14">
        <v>7000</v>
      </c>
      <c r="C14">
        <v>320</v>
      </c>
      <c r="D14">
        <v>10441</v>
      </c>
      <c r="E14">
        <v>0</v>
      </c>
      <c r="F14">
        <v>29761239754</v>
      </c>
      <c r="G14">
        <v>326957621.19999999</v>
      </c>
      <c r="H14">
        <v>29179799561.040001</v>
      </c>
      <c r="I14">
        <v>29268859820.869999</v>
      </c>
      <c r="J14">
        <v>9.7919000000000006E-2</v>
      </c>
      <c r="K14">
        <v>6.4698000000000006E-2</v>
      </c>
      <c r="M14" t="s">
        <v>0</v>
      </c>
      <c r="N14">
        <v>7000</v>
      </c>
      <c r="O14">
        <v>320</v>
      </c>
      <c r="P14">
        <v>11596</v>
      </c>
      <c r="Q14">
        <v>0</v>
      </c>
      <c r="R14">
        <v>32711286224</v>
      </c>
      <c r="S14">
        <v>360848752.94999999</v>
      </c>
      <c r="T14">
        <v>32080312192.16</v>
      </c>
      <c r="U14">
        <v>32184690126.009998</v>
      </c>
      <c r="V14">
        <v>9.4714999999999994E-2</v>
      </c>
      <c r="W14">
        <v>5.9138000000000003E-2</v>
      </c>
      <c r="Y14" t="s">
        <v>0</v>
      </c>
      <c r="Z14">
        <v>6250</v>
      </c>
      <c r="AA14">
        <v>320</v>
      </c>
      <c r="AB14">
        <v>9959</v>
      </c>
      <c r="AC14">
        <v>0</v>
      </c>
      <c r="AD14">
        <v>38423109275</v>
      </c>
      <c r="AE14">
        <v>299428679.61000001</v>
      </c>
      <c r="AF14">
        <v>37818349467</v>
      </c>
      <c r="AG14">
        <v>37979595570.68</v>
      </c>
      <c r="AH14">
        <v>9.1299000000000005E-2</v>
      </c>
      <c r="AI14">
        <v>4.4082999999999997E-2</v>
      </c>
    </row>
    <row r="15" spans="1:35" x14ac:dyDescent="0.35">
      <c r="A15" t="s">
        <v>0</v>
      </c>
      <c r="B15">
        <v>6250</v>
      </c>
      <c r="C15">
        <v>320</v>
      </c>
      <c r="D15">
        <v>10095</v>
      </c>
      <c r="E15">
        <v>0</v>
      </c>
      <c r="F15">
        <v>38880553001</v>
      </c>
      <c r="G15">
        <v>304876944.51999998</v>
      </c>
      <c r="H15">
        <v>38280477596.169998</v>
      </c>
      <c r="I15">
        <v>38403720494.480003</v>
      </c>
      <c r="J15">
        <v>8.7399000000000004E-2</v>
      </c>
      <c r="K15">
        <v>5.1799999999999999E-2</v>
      </c>
      <c r="M15" t="s">
        <v>0</v>
      </c>
      <c r="N15">
        <v>8000</v>
      </c>
      <c r="O15">
        <v>320</v>
      </c>
      <c r="P15">
        <v>2180</v>
      </c>
      <c r="Q15">
        <v>0</v>
      </c>
      <c r="R15">
        <v>4616867705</v>
      </c>
      <c r="S15">
        <v>64998491.560000002</v>
      </c>
      <c r="T15">
        <v>4513478472.8800001</v>
      </c>
      <c r="U15">
        <v>4544467370.0100002</v>
      </c>
      <c r="V15">
        <v>9.5343999999999998E-2</v>
      </c>
      <c r="W15">
        <v>1.907E-2</v>
      </c>
      <c r="Y15" t="s">
        <v>0</v>
      </c>
      <c r="Z15">
        <v>7500</v>
      </c>
      <c r="AA15">
        <v>320</v>
      </c>
      <c r="AB15">
        <v>5597</v>
      </c>
      <c r="AC15">
        <v>0</v>
      </c>
      <c r="AD15">
        <v>13509292751</v>
      </c>
      <c r="AE15">
        <v>168163126.68000001</v>
      </c>
      <c r="AF15">
        <v>13201161648</v>
      </c>
      <c r="AG15">
        <v>13279898446.52</v>
      </c>
      <c r="AH15">
        <v>0.11748500000000001</v>
      </c>
      <c r="AI15">
        <v>5.3054999999999998E-2</v>
      </c>
    </row>
    <row r="16" spans="1:35" x14ac:dyDescent="0.35">
      <c r="A16" t="s">
        <v>0</v>
      </c>
      <c r="B16">
        <v>7500</v>
      </c>
      <c r="C16">
        <v>320</v>
      </c>
      <c r="D16">
        <v>5359</v>
      </c>
      <c r="E16">
        <v>0</v>
      </c>
      <c r="F16">
        <v>12971025943</v>
      </c>
      <c r="G16">
        <v>161812751.44999999</v>
      </c>
      <c r="H16">
        <v>12697637823.889999</v>
      </c>
      <c r="I16">
        <v>12753751988.209999</v>
      </c>
      <c r="J16">
        <v>9.8476999999999995E-2</v>
      </c>
      <c r="K16">
        <v>5.0119999999999998E-2</v>
      </c>
      <c r="M16" t="s">
        <v>0</v>
      </c>
      <c r="N16">
        <v>6250</v>
      </c>
      <c r="O16">
        <v>320</v>
      </c>
      <c r="P16">
        <v>9664</v>
      </c>
      <c r="Q16">
        <v>0</v>
      </c>
      <c r="R16">
        <v>37505184014</v>
      </c>
      <c r="S16">
        <v>288727847.74000001</v>
      </c>
      <c r="T16">
        <v>36929151655.57</v>
      </c>
      <c r="U16">
        <v>37065454862.139999</v>
      </c>
      <c r="V16">
        <v>8.8149000000000005E-2</v>
      </c>
      <c r="W16">
        <v>4.7258000000000001E-2</v>
      </c>
      <c r="Y16" t="s">
        <v>0</v>
      </c>
      <c r="Z16">
        <v>8000</v>
      </c>
      <c r="AA16">
        <v>320</v>
      </c>
      <c r="AB16">
        <v>2103</v>
      </c>
      <c r="AC16">
        <v>0</v>
      </c>
      <c r="AD16">
        <v>4356251937</v>
      </c>
      <c r="AE16">
        <v>63433122.75</v>
      </c>
      <c r="AF16">
        <v>4243721343</v>
      </c>
      <c r="AG16">
        <v>4268272818.9299998</v>
      </c>
      <c r="AH16">
        <v>0.12717000000000001</v>
      </c>
      <c r="AI16">
        <v>6.5559000000000006E-2</v>
      </c>
    </row>
    <row r="17" spans="1:35" x14ac:dyDescent="0.35">
      <c r="A17" t="s">
        <v>0</v>
      </c>
      <c r="B17">
        <v>8000</v>
      </c>
      <c r="C17">
        <v>320</v>
      </c>
      <c r="D17">
        <v>2047</v>
      </c>
      <c r="E17">
        <v>0</v>
      </c>
      <c r="F17">
        <v>4196220749</v>
      </c>
      <c r="G17">
        <v>62003350.170000002</v>
      </c>
      <c r="H17">
        <v>4098090403.7800002</v>
      </c>
      <c r="I17">
        <v>4118431823.3000002</v>
      </c>
      <c r="J17">
        <v>9.8558999999999994E-2</v>
      </c>
      <c r="K17">
        <v>4.4220000000000002E-2</v>
      </c>
      <c r="M17" t="s">
        <v>0</v>
      </c>
      <c r="N17">
        <v>7500</v>
      </c>
      <c r="O17">
        <v>320</v>
      </c>
      <c r="P17">
        <v>5937</v>
      </c>
      <c r="Q17">
        <v>0</v>
      </c>
      <c r="R17">
        <v>14446629445</v>
      </c>
      <c r="S17">
        <v>177309035.38</v>
      </c>
      <c r="T17">
        <v>14148842106.33</v>
      </c>
      <c r="U17">
        <v>14237174904.6</v>
      </c>
      <c r="V17">
        <v>9.5610000000000001E-2</v>
      </c>
      <c r="W17">
        <v>2.6377000000000001E-2</v>
      </c>
      <c r="Y17" t="s">
        <v>0</v>
      </c>
      <c r="Z17">
        <v>8500</v>
      </c>
      <c r="AA17">
        <v>320</v>
      </c>
      <c r="AB17">
        <v>1334</v>
      </c>
      <c r="AC17">
        <v>0</v>
      </c>
      <c r="AD17">
        <v>2506057506</v>
      </c>
      <c r="AE17">
        <v>38753772.140000001</v>
      </c>
      <c r="AF17">
        <v>2443330368</v>
      </c>
      <c r="AG17">
        <v>2450155447.0500002</v>
      </c>
      <c r="AH17">
        <v>0.108943</v>
      </c>
      <c r="AI17">
        <v>7.9091999999999996E-2</v>
      </c>
    </row>
    <row r="18" spans="1:35" x14ac:dyDescent="0.35">
      <c r="A18" t="s">
        <v>0</v>
      </c>
      <c r="B18">
        <v>8500</v>
      </c>
      <c r="C18">
        <v>320</v>
      </c>
      <c r="D18">
        <v>1323</v>
      </c>
      <c r="E18">
        <v>0</v>
      </c>
      <c r="F18">
        <v>2437829092</v>
      </c>
      <c r="G18">
        <v>38516154.18</v>
      </c>
      <c r="H18">
        <v>2378130922.73</v>
      </c>
      <c r="I18">
        <v>2391113372.1199999</v>
      </c>
      <c r="J18">
        <v>9.9424999999999999E-2</v>
      </c>
      <c r="K18">
        <v>3.9622999999999998E-2</v>
      </c>
      <c r="M18" t="s">
        <v>0</v>
      </c>
      <c r="N18">
        <v>8500</v>
      </c>
      <c r="O18">
        <v>320</v>
      </c>
      <c r="P18">
        <v>1371</v>
      </c>
      <c r="Q18">
        <v>0</v>
      </c>
      <c r="R18">
        <v>2652470424</v>
      </c>
      <c r="S18">
        <v>39325734.549999997</v>
      </c>
      <c r="T18">
        <v>2591109090.6900001</v>
      </c>
      <c r="U18">
        <v>2609164383.4299998</v>
      </c>
      <c r="V18">
        <v>9.5259999999999997E-2</v>
      </c>
      <c r="W18">
        <v>1.7859E-2</v>
      </c>
      <c r="Y18" t="s">
        <v>1</v>
      </c>
      <c r="Z18">
        <v>7000</v>
      </c>
      <c r="AA18">
        <v>320</v>
      </c>
      <c r="AB18">
        <v>1245</v>
      </c>
      <c r="AC18">
        <v>0</v>
      </c>
      <c r="AD18">
        <v>3632981551</v>
      </c>
      <c r="AE18">
        <v>44997020.859999999</v>
      </c>
      <c r="AF18">
        <v>3543743413</v>
      </c>
      <c r="AG18">
        <v>3560778323.4099998</v>
      </c>
      <c r="AH18">
        <v>0.13673099999999999</v>
      </c>
      <c r="AI18">
        <v>8.6253999999999997E-2</v>
      </c>
    </row>
    <row r="19" spans="1:35" x14ac:dyDescent="0.35">
      <c r="A19" t="s">
        <v>1</v>
      </c>
      <c r="B19">
        <v>7000</v>
      </c>
      <c r="C19">
        <v>320</v>
      </c>
      <c r="D19">
        <v>1157</v>
      </c>
      <c r="E19">
        <v>0</v>
      </c>
      <c r="F19">
        <v>3420125722</v>
      </c>
      <c r="G19">
        <v>41829536.140000001</v>
      </c>
      <c r="H19">
        <v>3330748687.4099998</v>
      </c>
      <c r="I19">
        <v>3352445467.6399999</v>
      </c>
      <c r="J19">
        <v>0.154644</v>
      </c>
      <c r="K19">
        <v>8.7024000000000004E-2</v>
      </c>
      <c r="M19" t="s">
        <v>1</v>
      </c>
      <c r="N19">
        <v>7000</v>
      </c>
      <c r="O19">
        <v>320</v>
      </c>
      <c r="P19">
        <v>1389</v>
      </c>
      <c r="Q19">
        <v>0</v>
      </c>
      <c r="R19">
        <v>4008997711</v>
      </c>
      <c r="S19">
        <v>50057647.68</v>
      </c>
      <c r="T19">
        <v>3904193991.8299999</v>
      </c>
      <c r="U19">
        <v>3937955154.6700001</v>
      </c>
      <c r="V19">
        <v>0.15210499999999999</v>
      </c>
      <c r="W19">
        <v>6.1036E-2</v>
      </c>
      <c r="Y19" t="s">
        <v>1</v>
      </c>
      <c r="Z19">
        <v>7500</v>
      </c>
      <c r="AA19">
        <v>320</v>
      </c>
      <c r="AB19">
        <v>493</v>
      </c>
      <c r="AC19">
        <v>0</v>
      </c>
      <c r="AD19">
        <v>1189636458</v>
      </c>
      <c r="AE19">
        <v>16952313.510000002</v>
      </c>
      <c r="AF19">
        <v>1160641695</v>
      </c>
      <c r="AG19">
        <v>1167257184.9400001</v>
      </c>
      <c r="AH19">
        <v>0.11493399999999999</v>
      </c>
      <c r="AI19">
        <v>5.339E-2</v>
      </c>
    </row>
    <row r="20" spans="1:35" x14ac:dyDescent="0.35">
      <c r="A20" t="s">
        <v>1</v>
      </c>
      <c r="B20">
        <v>7500</v>
      </c>
      <c r="C20">
        <v>320</v>
      </c>
      <c r="D20">
        <v>459</v>
      </c>
      <c r="E20">
        <v>0</v>
      </c>
      <c r="F20">
        <v>1109470872</v>
      </c>
      <c r="G20">
        <v>15696632.27</v>
      </c>
      <c r="H20">
        <v>1078392947.6099999</v>
      </c>
      <c r="I20">
        <v>1088286514.97</v>
      </c>
      <c r="J20">
        <v>0.154247</v>
      </c>
      <c r="K20">
        <v>5.7766999999999999E-2</v>
      </c>
      <c r="M20" t="s">
        <v>1</v>
      </c>
      <c r="N20">
        <v>7500</v>
      </c>
      <c r="O20">
        <v>320</v>
      </c>
      <c r="P20">
        <v>520</v>
      </c>
      <c r="Q20">
        <v>0</v>
      </c>
      <c r="R20">
        <v>1268718229</v>
      </c>
      <c r="S20">
        <v>17595358.579999998</v>
      </c>
      <c r="T20">
        <v>1233803492.7</v>
      </c>
      <c r="U20">
        <v>1249922819.8699999</v>
      </c>
      <c r="V20">
        <v>0.152057</v>
      </c>
      <c r="W20">
        <v>1.1292E-2</v>
      </c>
      <c r="Y20" t="s">
        <v>2</v>
      </c>
      <c r="Z20">
        <v>8000</v>
      </c>
      <c r="AA20">
        <v>360</v>
      </c>
      <c r="AB20">
        <v>87</v>
      </c>
      <c r="AC20">
        <v>0</v>
      </c>
      <c r="AD20">
        <v>56355236</v>
      </c>
      <c r="AE20">
        <v>2615102.83</v>
      </c>
      <c r="AF20">
        <v>51142860</v>
      </c>
      <c r="AG20">
        <v>52796659.329999998</v>
      </c>
      <c r="AH20">
        <v>0.43232199999999998</v>
      </c>
      <c r="AI20">
        <v>0.183395</v>
      </c>
    </row>
    <row r="21" spans="1:35" x14ac:dyDescent="0.35">
      <c r="A21" t="s">
        <v>2</v>
      </c>
      <c r="B21">
        <v>8000</v>
      </c>
      <c r="C21">
        <v>360</v>
      </c>
      <c r="D21">
        <v>81</v>
      </c>
      <c r="E21">
        <v>0</v>
      </c>
      <c r="F21">
        <v>52157392</v>
      </c>
      <c r="G21">
        <v>2405175.25</v>
      </c>
      <c r="H21">
        <v>49467456.729999997</v>
      </c>
      <c r="I21">
        <v>49751370.630000003</v>
      </c>
      <c r="J21">
        <v>6.3584000000000002E-2</v>
      </c>
      <c r="K21">
        <v>1.95E-4</v>
      </c>
      <c r="M21" t="s">
        <v>2</v>
      </c>
      <c r="N21">
        <v>8000</v>
      </c>
      <c r="O21">
        <v>360</v>
      </c>
      <c r="P21">
        <v>90</v>
      </c>
      <c r="Q21">
        <v>0</v>
      </c>
      <c r="R21">
        <v>64037567</v>
      </c>
      <c r="S21">
        <v>2852382.96</v>
      </c>
      <c r="T21">
        <v>60828161.799999997</v>
      </c>
      <c r="U21">
        <v>61181237.909999996</v>
      </c>
      <c r="V21">
        <v>6.4889000000000002E-2</v>
      </c>
      <c r="W21">
        <v>7.3899999999999997E-4</v>
      </c>
      <c r="Y21" t="s">
        <v>0</v>
      </c>
      <c r="Z21">
        <v>6500</v>
      </c>
      <c r="AA21">
        <v>320</v>
      </c>
      <c r="AB21">
        <v>22060</v>
      </c>
      <c r="AC21">
        <v>0</v>
      </c>
      <c r="AD21">
        <v>77920373868</v>
      </c>
      <c r="AE21">
        <v>676455796.72000003</v>
      </c>
      <c r="AF21">
        <v>76654516220.330002</v>
      </c>
      <c r="AG21">
        <v>76949621798.320007</v>
      </c>
      <c r="AH21">
        <v>8.7086999999999998E-2</v>
      </c>
      <c r="AI21">
        <v>4.4393000000000002E-2</v>
      </c>
    </row>
    <row r="22" spans="1:35" x14ac:dyDescent="0.35">
      <c r="A22" t="s">
        <v>0</v>
      </c>
      <c r="B22">
        <v>6500</v>
      </c>
      <c r="C22">
        <v>320</v>
      </c>
      <c r="D22">
        <v>22091</v>
      </c>
      <c r="E22">
        <v>0</v>
      </c>
      <c r="F22">
        <v>77889483222</v>
      </c>
      <c r="G22">
        <v>678962492.88999999</v>
      </c>
      <c r="H22">
        <v>76581433450.460007</v>
      </c>
      <c r="I22">
        <v>76801538583.919998</v>
      </c>
      <c r="J22">
        <v>9.2728000000000005E-2</v>
      </c>
      <c r="K22">
        <v>6.1220999999999998E-2</v>
      </c>
      <c r="M22" t="s">
        <v>0</v>
      </c>
      <c r="N22">
        <v>6500</v>
      </c>
      <c r="O22">
        <v>320</v>
      </c>
      <c r="P22">
        <v>22253</v>
      </c>
      <c r="Q22">
        <v>0</v>
      </c>
      <c r="R22">
        <v>79077167844</v>
      </c>
      <c r="S22">
        <v>680069062.80999994</v>
      </c>
      <c r="T22">
        <v>77776973875.830002</v>
      </c>
      <c r="U22">
        <v>77958842555.990005</v>
      </c>
      <c r="V22">
        <v>9.0149999999999994E-2</v>
      </c>
      <c r="W22">
        <v>6.4515000000000003E-2</v>
      </c>
      <c r="Y22" t="s">
        <v>1</v>
      </c>
      <c r="Z22">
        <v>6000</v>
      </c>
      <c r="AA22">
        <v>320</v>
      </c>
      <c r="AB22">
        <v>6026</v>
      </c>
      <c r="AC22">
        <v>0</v>
      </c>
      <c r="AD22">
        <v>25852299375</v>
      </c>
      <c r="AE22">
        <v>212730283.97999999</v>
      </c>
      <c r="AF22">
        <v>25430994058</v>
      </c>
      <c r="AG22">
        <v>25544252213.25</v>
      </c>
      <c r="AH22">
        <v>9.2632999999999993E-2</v>
      </c>
      <c r="AI22">
        <v>4.3357E-2</v>
      </c>
    </row>
    <row r="23" spans="1:35" x14ac:dyDescent="0.35">
      <c r="A23" t="s">
        <v>1</v>
      </c>
      <c r="B23">
        <v>6000</v>
      </c>
      <c r="C23">
        <v>320</v>
      </c>
      <c r="D23">
        <v>6059</v>
      </c>
      <c r="E23">
        <v>0</v>
      </c>
      <c r="F23">
        <v>25899251888</v>
      </c>
      <c r="G23">
        <v>214862960.91</v>
      </c>
      <c r="H23">
        <v>25364687808.380001</v>
      </c>
      <c r="I23">
        <v>25448957675.349998</v>
      </c>
      <c r="J23">
        <v>0.13847400000000001</v>
      </c>
      <c r="K23">
        <v>0.10379099999999999</v>
      </c>
      <c r="M23" t="s">
        <v>1</v>
      </c>
      <c r="N23">
        <v>6000</v>
      </c>
      <c r="O23">
        <v>320</v>
      </c>
      <c r="P23">
        <v>5965</v>
      </c>
      <c r="Q23">
        <v>0</v>
      </c>
      <c r="R23">
        <v>25720552414</v>
      </c>
      <c r="S23">
        <v>208419373.50999999</v>
      </c>
      <c r="T23">
        <v>25190323775.830002</v>
      </c>
      <c r="U23">
        <v>25301500499.43</v>
      </c>
      <c r="V23">
        <v>0.14022799999999999</v>
      </c>
      <c r="W23">
        <v>9.3964000000000006E-2</v>
      </c>
      <c r="Y23" t="s">
        <v>0</v>
      </c>
      <c r="Z23">
        <v>6000</v>
      </c>
      <c r="AA23">
        <v>320</v>
      </c>
      <c r="AB23">
        <v>32834</v>
      </c>
      <c r="AC23">
        <v>0</v>
      </c>
      <c r="AD23">
        <v>130401574517</v>
      </c>
      <c r="AE23">
        <v>1045543373.35</v>
      </c>
      <c r="AF23">
        <v>128329468457</v>
      </c>
      <c r="AG23">
        <v>128923551142.49001</v>
      </c>
      <c r="AH23">
        <v>9.0482999999999994E-2</v>
      </c>
      <c r="AI23">
        <v>3.9079999999999997E-2</v>
      </c>
    </row>
    <row r="24" spans="1:35" x14ac:dyDescent="0.35">
      <c r="A24" t="s">
        <v>0</v>
      </c>
      <c r="B24">
        <v>6000</v>
      </c>
      <c r="C24">
        <v>320</v>
      </c>
      <c r="D24">
        <v>33009</v>
      </c>
      <c r="E24">
        <v>0</v>
      </c>
      <c r="F24">
        <v>130515664199</v>
      </c>
      <c r="G24">
        <v>1054717152.99</v>
      </c>
      <c r="H24">
        <v>128435668272.74001</v>
      </c>
      <c r="I24">
        <v>128944619652.33</v>
      </c>
      <c r="J24">
        <v>9.0299000000000004E-2</v>
      </c>
      <c r="K24">
        <v>4.6453000000000001E-2</v>
      </c>
      <c r="M24" t="s">
        <v>0</v>
      </c>
      <c r="N24">
        <v>6000</v>
      </c>
      <c r="O24">
        <v>320</v>
      </c>
      <c r="P24">
        <v>32105</v>
      </c>
      <c r="Q24">
        <v>0</v>
      </c>
      <c r="R24">
        <v>128357592274</v>
      </c>
      <c r="S24">
        <v>1015919637.71</v>
      </c>
      <c r="T24">
        <v>126372127062.45</v>
      </c>
      <c r="U24">
        <v>126913325324.19</v>
      </c>
      <c r="V24">
        <v>8.6969000000000005E-2</v>
      </c>
      <c r="W24">
        <v>3.9319E-2</v>
      </c>
      <c r="Y24" t="s">
        <v>2</v>
      </c>
      <c r="Z24">
        <v>6000</v>
      </c>
      <c r="AA24">
        <v>320</v>
      </c>
      <c r="AB24">
        <v>1595</v>
      </c>
      <c r="AC24">
        <v>0</v>
      </c>
      <c r="AD24">
        <v>5977210967</v>
      </c>
      <c r="AE24">
        <v>46251141.210000001</v>
      </c>
      <c r="AF24">
        <v>5878327183</v>
      </c>
      <c r="AG24">
        <v>5907635831.2600002</v>
      </c>
      <c r="AH24">
        <v>0.10069599999999999</v>
      </c>
      <c r="AI24">
        <v>4.5834E-2</v>
      </c>
    </row>
    <row r="25" spans="1:35" x14ac:dyDescent="0.35">
      <c r="A25" t="s">
        <v>2</v>
      </c>
      <c r="B25">
        <v>6000</v>
      </c>
      <c r="C25">
        <v>320</v>
      </c>
      <c r="D25">
        <v>1620</v>
      </c>
      <c r="E25">
        <v>0</v>
      </c>
      <c r="F25">
        <v>6029888281</v>
      </c>
      <c r="G25">
        <v>46945532.159999996</v>
      </c>
      <c r="H25">
        <v>5954881825.1599998</v>
      </c>
      <c r="I25">
        <v>5967818943.1300001</v>
      </c>
      <c r="J25">
        <v>5.4435999999999998E-2</v>
      </c>
      <c r="K25">
        <v>2.9686000000000001E-2</v>
      </c>
      <c r="M25" t="s">
        <v>2</v>
      </c>
      <c r="N25">
        <v>6000</v>
      </c>
      <c r="O25">
        <v>320</v>
      </c>
      <c r="P25">
        <v>1521</v>
      </c>
      <c r="Q25">
        <v>0</v>
      </c>
      <c r="R25">
        <v>5630664088</v>
      </c>
      <c r="S25">
        <v>43408564.57</v>
      </c>
      <c r="T25">
        <v>5561003033.1199999</v>
      </c>
      <c r="U25">
        <v>5570827009.04</v>
      </c>
      <c r="V25">
        <v>5.4536000000000001E-2</v>
      </c>
      <c r="W25">
        <v>3.4456000000000001E-2</v>
      </c>
      <c r="Y25" t="s">
        <v>0</v>
      </c>
      <c r="Z25">
        <v>5500</v>
      </c>
      <c r="AA25">
        <v>320</v>
      </c>
      <c r="AB25">
        <v>16121</v>
      </c>
      <c r="AC25">
        <v>0</v>
      </c>
      <c r="AD25">
        <v>67988606865</v>
      </c>
      <c r="AE25">
        <v>550726058.47000003</v>
      </c>
      <c r="AF25">
        <v>66900114075</v>
      </c>
      <c r="AG25">
        <v>67220177320.199997</v>
      </c>
      <c r="AH25">
        <v>9.0894000000000003E-2</v>
      </c>
      <c r="AI25">
        <v>3.7754999999999997E-2</v>
      </c>
    </row>
    <row r="26" spans="1:35" x14ac:dyDescent="0.35">
      <c r="A26" t="s">
        <v>0</v>
      </c>
      <c r="B26">
        <v>5500</v>
      </c>
      <c r="C26">
        <v>320</v>
      </c>
      <c r="D26">
        <v>16112</v>
      </c>
      <c r="E26">
        <v>0</v>
      </c>
      <c r="F26">
        <v>67433495608</v>
      </c>
      <c r="G26">
        <v>552145514.72000003</v>
      </c>
      <c r="H26">
        <v>66351339262.089996</v>
      </c>
      <c r="I26">
        <v>66665688667.610001</v>
      </c>
      <c r="J26">
        <v>9.0344999999999995E-2</v>
      </c>
      <c r="K26">
        <v>3.771E-2</v>
      </c>
      <c r="M26" t="s">
        <v>0</v>
      </c>
      <c r="N26">
        <v>5500</v>
      </c>
      <c r="O26">
        <v>320</v>
      </c>
      <c r="P26">
        <v>15813</v>
      </c>
      <c r="Q26">
        <v>0</v>
      </c>
      <c r="R26">
        <v>67395449246</v>
      </c>
      <c r="S26">
        <v>537477214.00999999</v>
      </c>
      <c r="T26">
        <v>66356091004.419998</v>
      </c>
      <c r="U26">
        <v>66600641687.169998</v>
      </c>
      <c r="V26">
        <v>8.5791000000000006E-2</v>
      </c>
      <c r="W26">
        <v>4.4868999999999999E-2</v>
      </c>
      <c r="Y26" t="s">
        <v>1</v>
      </c>
      <c r="Z26">
        <v>5000</v>
      </c>
      <c r="AA26">
        <v>320</v>
      </c>
      <c r="AB26">
        <v>1573</v>
      </c>
      <c r="AC26">
        <v>0</v>
      </c>
      <c r="AD26">
        <v>6310019289</v>
      </c>
      <c r="AE26">
        <v>54627980.729999997</v>
      </c>
      <c r="AF26">
        <v>6182169145</v>
      </c>
      <c r="AG26">
        <v>6226531992.8000002</v>
      </c>
      <c r="AH26">
        <v>0.13069700000000001</v>
      </c>
      <c r="AI26">
        <v>5.3523000000000001E-2</v>
      </c>
    </row>
    <row r="27" spans="1:35" x14ac:dyDescent="0.35">
      <c r="A27" t="s">
        <v>1</v>
      </c>
      <c r="B27">
        <v>5000</v>
      </c>
      <c r="C27">
        <v>320</v>
      </c>
      <c r="D27">
        <v>1559</v>
      </c>
      <c r="E27">
        <v>0</v>
      </c>
      <c r="F27">
        <v>6198035144</v>
      </c>
      <c r="G27">
        <v>54292803</v>
      </c>
      <c r="H27">
        <v>6062332179.8100004</v>
      </c>
      <c r="I27">
        <v>6094909752.4899998</v>
      </c>
      <c r="J27">
        <v>0.14671600000000001</v>
      </c>
      <c r="K27">
        <v>9.0552999999999995E-2</v>
      </c>
      <c r="M27" t="s">
        <v>1</v>
      </c>
      <c r="N27">
        <v>5000</v>
      </c>
      <c r="O27">
        <v>320</v>
      </c>
      <c r="P27">
        <v>1596</v>
      </c>
      <c r="Q27">
        <v>0</v>
      </c>
      <c r="R27">
        <v>6484852291</v>
      </c>
      <c r="S27">
        <v>54907059.759999998</v>
      </c>
      <c r="T27">
        <v>6346644109.1000004</v>
      </c>
      <c r="U27">
        <v>6380947819.3100004</v>
      </c>
      <c r="V27">
        <v>0.143709</v>
      </c>
      <c r="W27">
        <v>8.6994000000000002E-2</v>
      </c>
      <c r="Y27" t="s">
        <v>0</v>
      </c>
      <c r="Z27">
        <v>5000</v>
      </c>
      <c r="AA27">
        <v>320</v>
      </c>
      <c r="AB27">
        <v>2189</v>
      </c>
      <c r="AC27">
        <v>0</v>
      </c>
      <c r="AD27">
        <v>9380059122</v>
      </c>
      <c r="AE27">
        <v>76550049.420000002</v>
      </c>
      <c r="AF27">
        <v>9267657722</v>
      </c>
      <c r="AG27">
        <v>9275870235.0699997</v>
      </c>
      <c r="AH27">
        <v>4.4913000000000002E-2</v>
      </c>
      <c r="AI27">
        <v>3.4791000000000002E-2</v>
      </c>
    </row>
    <row r="28" spans="1:35" x14ac:dyDescent="0.35">
      <c r="A28" t="s">
        <v>0</v>
      </c>
      <c r="B28">
        <v>5000</v>
      </c>
      <c r="C28">
        <v>320</v>
      </c>
      <c r="D28">
        <v>2240</v>
      </c>
      <c r="E28">
        <v>0</v>
      </c>
      <c r="F28">
        <v>9564204344</v>
      </c>
      <c r="G28">
        <v>78409411.939999998</v>
      </c>
      <c r="H28">
        <v>9411853043.9400005</v>
      </c>
      <c r="I28">
        <v>9456639459.8700008</v>
      </c>
      <c r="J28">
        <v>8.8927999999999993E-2</v>
      </c>
      <c r="K28">
        <v>3.5973999999999999E-2</v>
      </c>
      <c r="M28" t="s">
        <v>0</v>
      </c>
      <c r="N28">
        <v>5000</v>
      </c>
      <c r="O28">
        <v>320</v>
      </c>
      <c r="P28">
        <v>2102</v>
      </c>
      <c r="Q28">
        <v>0</v>
      </c>
      <c r="R28">
        <v>9083307579</v>
      </c>
      <c r="S28">
        <v>73488462.5</v>
      </c>
      <c r="T28">
        <v>8941255057.4400005</v>
      </c>
      <c r="U28">
        <v>8982861025.9200001</v>
      </c>
      <c r="V28">
        <v>8.6913000000000004E-2</v>
      </c>
      <c r="W28">
        <v>3.5039000000000001E-2</v>
      </c>
      <c r="Y28" t="s">
        <v>1</v>
      </c>
      <c r="Z28">
        <v>6500</v>
      </c>
      <c r="AA28">
        <v>320</v>
      </c>
      <c r="AB28">
        <v>2665</v>
      </c>
      <c r="AC28">
        <v>0</v>
      </c>
      <c r="AD28">
        <v>9521168192</v>
      </c>
      <c r="AE28">
        <v>90553619.019999996</v>
      </c>
      <c r="AF28">
        <v>9334050147</v>
      </c>
      <c r="AG28">
        <v>9381594074.0499992</v>
      </c>
      <c r="AH28">
        <v>0.11514000000000001</v>
      </c>
      <c r="AI28">
        <v>6.0062999999999998E-2</v>
      </c>
    </row>
    <row r="29" spans="1:35" x14ac:dyDescent="0.35">
      <c r="A29" t="s">
        <v>1</v>
      </c>
      <c r="B29">
        <v>6500</v>
      </c>
      <c r="C29">
        <v>320</v>
      </c>
      <c r="D29">
        <v>2625</v>
      </c>
      <c r="E29">
        <v>0</v>
      </c>
      <c r="F29">
        <v>9452373263</v>
      </c>
      <c r="G29">
        <v>89400164.890000001</v>
      </c>
      <c r="H29">
        <v>9236298216.6499996</v>
      </c>
      <c r="I29">
        <v>9271346719.5400009</v>
      </c>
      <c r="J29">
        <v>0.149477</v>
      </c>
      <c r="K29">
        <v>0.110316</v>
      </c>
      <c r="M29" t="s">
        <v>1</v>
      </c>
      <c r="N29">
        <v>6500</v>
      </c>
      <c r="O29">
        <v>320</v>
      </c>
      <c r="P29">
        <v>2940</v>
      </c>
      <c r="Q29">
        <v>0</v>
      </c>
      <c r="R29">
        <v>10207455584</v>
      </c>
      <c r="S29">
        <v>99567240.430000007</v>
      </c>
      <c r="T29">
        <v>9972357902.8899994</v>
      </c>
      <c r="U29">
        <v>10010115181.77</v>
      </c>
      <c r="V29">
        <v>0.14819599999999999</v>
      </c>
      <c r="W29">
        <v>0.10907699999999999</v>
      </c>
      <c r="Y29" t="s">
        <v>0</v>
      </c>
      <c r="Z29">
        <v>3500</v>
      </c>
      <c r="AA29">
        <v>168</v>
      </c>
      <c r="AB29">
        <v>82262</v>
      </c>
      <c r="AC29">
        <v>0</v>
      </c>
      <c r="AD29">
        <v>878794290865</v>
      </c>
      <c r="AE29">
        <v>3137503738.8800001</v>
      </c>
      <c r="AF29">
        <v>871810979271</v>
      </c>
      <c r="AG29">
        <v>874520699534.29004</v>
      </c>
      <c r="AH29">
        <v>5.1269000000000002E-2</v>
      </c>
      <c r="AI29">
        <v>1.5403999999999999E-2</v>
      </c>
    </row>
    <row r="30" spans="1:35" x14ac:dyDescent="0.35">
      <c r="A30" t="s">
        <v>0</v>
      </c>
      <c r="B30">
        <v>3500</v>
      </c>
      <c r="C30">
        <v>168</v>
      </c>
      <c r="D30">
        <v>81953</v>
      </c>
      <c r="E30">
        <v>0</v>
      </c>
      <c r="F30">
        <v>871896096728</v>
      </c>
      <c r="G30">
        <v>3132445509.1300001</v>
      </c>
      <c r="H30">
        <v>865126156243.42004</v>
      </c>
      <c r="I30">
        <v>868543935085.68994</v>
      </c>
      <c r="J30">
        <v>4.8930000000000001E-2</v>
      </c>
      <c r="K30">
        <v>3.0200000000000001E-3</v>
      </c>
      <c r="M30" t="s">
        <v>0</v>
      </c>
      <c r="N30">
        <v>3500</v>
      </c>
      <c r="O30">
        <v>168</v>
      </c>
      <c r="P30">
        <v>82046</v>
      </c>
      <c r="Q30">
        <v>0</v>
      </c>
      <c r="R30">
        <v>884100914355</v>
      </c>
      <c r="S30">
        <v>3120058485.6399999</v>
      </c>
      <c r="T30">
        <v>877248741349.64001</v>
      </c>
      <c r="U30">
        <v>880784158825.64001</v>
      </c>
      <c r="V30">
        <v>4.9496999999999999E-2</v>
      </c>
      <c r="W30">
        <v>2.6670000000000001E-3</v>
      </c>
      <c r="Y30" t="s">
        <v>2</v>
      </c>
      <c r="Z30">
        <v>3500</v>
      </c>
      <c r="AA30">
        <v>168</v>
      </c>
      <c r="AB30">
        <v>15263</v>
      </c>
      <c r="AC30">
        <v>0</v>
      </c>
      <c r="AD30">
        <v>130894420240</v>
      </c>
      <c r="AE30">
        <v>468328290.38</v>
      </c>
      <c r="AF30">
        <v>129861997543</v>
      </c>
      <c r="AG30">
        <v>130270916621.63</v>
      </c>
      <c r="AH30">
        <v>5.0506000000000002E-2</v>
      </c>
      <c r="AI30">
        <v>1.4134000000000001E-2</v>
      </c>
    </row>
    <row r="31" spans="1:35" x14ac:dyDescent="0.35">
      <c r="A31" t="s">
        <v>2</v>
      </c>
      <c r="B31">
        <v>3500</v>
      </c>
      <c r="C31">
        <v>168</v>
      </c>
      <c r="D31">
        <v>15205</v>
      </c>
      <c r="E31">
        <v>0</v>
      </c>
      <c r="F31">
        <v>129860411924</v>
      </c>
      <c r="G31">
        <v>467544950.33999997</v>
      </c>
      <c r="H31">
        <v>128861464935.89999</v>
      </c>
      <c r="I31">
        <v>129362531304.53</v>
      </c>
      <c r="J31">
        <v>4.8015000000000002E-2</v>
      </c>
      <c r="K31">
        <v>2.8E-3</v>
      </c>
      <c r="M31" t="s">
        <v>2</v>
      </c>
      <c r="N31">
        <v>3500</v>
      </c>
      <c r="O31">
        <v>168</v>
      </c>
      <c r="P31">
        <v>15419</v>
      </c>
      <c r="Q31">
        <v>0</v>
      </c>
      <c r="R31">
        <v>133271834881</v>
      </c>
      <c r="S31">
        <v>471829761.83999997</v>
      </c>
      <c r="T31">
        <v>132216979577.67</v>
      </c>
      <c r="U31">
        <v>132758815715.98</v>
      </c>
      <c r="V31">
        <v>5.1251999999999999E-2</v>
      </c>
      <c r="W31">
        <v>3.702E-3</v>
      </c>
      <c r="Y31" t="s">
        <v>0</v>
      </c>
      <c r="Z31">
        <v>6750</v>
      </c>
      <c r="AA31">
        <v>360</v>
      </c>
      <c r="AB31">
        <v>916</v>
      </c>
      <c r="AC31">
        <v>0</v>
      </c>
      <c r="AD31">
        <v>808823351</v>
      </c>
      <c r="AE31">
        <v>27532233.57</v>
      </c>
      <c r="AF31">
        <v>764021903</v>
      </c>
      <c r="AG31">
        <v>773546012.91999996</v>
      </c>
      <c r="AH31">
        <v>0.22816700000000001</v>
      </c>
      <c r="AI31">
        <v>0.109046</v>
      </c>
    </row>
    <row r="32" spans="1:35" x14ac:dyDescent="0.35">
      <c r="A32" t="s">
        <v>0</v>
      </c>
      <c r="B32">
        <v>6750</v>
      </c>
      <c r="C32">
        <v>360</v>
      </c>
      <c r="D32">
        <v>924</v>
      </c>
      <c r="E32">
        <v>0</v>
      </c>
      <c r="F32">
        <v>812845276</v>
      </c>
      <c r="G32">
        <v>28003576.07</v>
      </c>
      <c r="H32">
        <v>777967181.22000003</v>
      </c>
      <c r="I32">
        <v>783223433.54999995</v>
      </c>
      <c r="J32">
        <v>9.6897999999999998E-2</v>
      </c>
      <c r="K32">
        <v>2.3630999999999999E-2</v>
      </c>
      <c r="M32" t="s">
        <v>0</v>
      </c>
      <c r="N32">
        <v>7250</v>
      </c>
      <c r="O32">
        <v>360</v>
      </c>
      <c r="P32">
        <v>1088</v>
      </c>
      <c r="Q32">
        <v>0</v>
      </c>
      <c r="R32">
        <v>933707409</v>
      </c>
      <c r="S32">
        <v>33490413.66</v>
      </c>
      <c r="T32">
        <v>892616190.48000002</v>
      </c>
      <c r="U32">
        <v>898524033.19000006</v>
      </c>
      <c r="V32">
        <v>9.3427999999999997E-2</v>
      </c>
      <c r="W32">
        <v>2.1541999999999999E-2</v>
      </c>
      <c r="Y32" t="s">
        <v>0</v>
      </c>
      <c r="Z32">
        <v>7250</v>
      </c>
      <c r="AA32">
        <v>360</v>
      </c>
      <c r="AB32">
        <v>1089</v>
      </c>
      <c r="AC32">
        <v>0</v>
      </c>
      <c r="AD32">
        <v>919917860</v>
      </c>
      <c r="AE32">
        <v>33744693.810000002</v>
      </c>
      <c r="AF32">
        <v>870344484.13999999</v>
      </c>
      <c r="AG32">
        <v>875728572.89999998</v>
      </c>
      <c r="AH32">
        <v>0.18801799999999999</v>
      </c>
      <c r="AI32">
        <v>0.128052</v>
      </c>
    </row>
    <row r="33" spans="1:35" x14ac:dyDescent="0.35">
      <c r="A33" t="s">
        <v>0</v>
      </c>
      <c r="B33">
        <v>7250</v>
      </c>
      <c r="C33">
        <v>360</v>
      </c>
      <c r="D33">
        <v>1112</v>
      </c>
      <c r="E33">
        <v>0</v>
      </c>
      <c r="F33">
        <v>964456122</v>
      </c>
      <c r="G33">
        <v>34619594.82</v>
      </c>
      <c r="H33">
        <v>921691982.11000001</v>
      </c>
      <c r="I33">
        <v>928000257.53999996</v>
      </c>
      <c r="J33">
        <v>9.6759999999999999E-2</v>
      </c>
      <c r="K33">
        <v>2.2610000000000002E-2</v>
      </c>
      <c r="M33" t="s">
        <v>2</v>
      </c>
      <c r="N33">
        <v>7500</v>
      </c>
      <c r="O33">
        <v>360</v>
      </c>
      <c r="P33">
        <v>216</v>
      </c>
      <c r="Q33">
        <v>0</v>
      </c>
      <c r="R33">
        <v>201562598</v>
      </c>
      <c r="S33">
        <v>6588546.6799999997</v>
      </c>
      <c r="T33">
        <v>193836356.40000001</v>
      </c>
      <c r="U33">
        <v>194886793.53</v>
      </c>
      <c r="V33">
        <v>6.5669000000000005E-2</v>
      </c>
      <c r="W33">
        <v>5.1830000000000001E-3</v>
      </c>
      <c r="Y33" t="s">
        <v>2</v>
      </c>
      <c r="Z33">
        <v>7500</v>
      </c>
      <c r="AA33">
        <v>360</v>
      </c>
      <c r="AB33">
        <v>221</v>
      </c>
      <c r="AC33">
        <v>0</v>
      </c>
      <c r="AD33">
        <v>203762008</v>
      </c>
      <c r="AE33">
        <v>6843773.5800000001</v>
      </c>
      <c r="AF33">
        <v>194852342</v>
      </c>
      <c r="AG33">
        <v>195200579.77000001</v>
      </c>
      <c r="AH33">
        <v>0.115105</v>
      </c>
      <c r="AI33">
        <v>9.6596000000000001E-2</v>
      </c>
    </row>
    <row r="34" spans="1:35" x14ac:dyDescent="0.35">
      <c r="A34" t="s">
        <v>2</v>
      </c>
      <c r="B34">
        <v>7500</v>
      </c>
      <c r="C34">
        <v>360</v>
      </c>
      <c r="D34">
        <v>227</v>
      </c>
      <c r="E34">
        <v>0</v>
      </c>
      <c r="F34">
        <v>206875495</v>
      </c>
      <c r="G34">
        <v>7010777.8700000001</v>
      </c>
      <c r="H34">
        <v>198720778.55000001</v>
      </c>
      <c r="I34">
        <v>199800695.93000001</v>
      </c>
      <c r="J34">
        <v>6.4374000000000001E-2</v>
      </c>
      <c r="K34">
        <v>3.7069999999999998E-3</v>
      </c>
      <c r="M34" t="s">
        <v>1</v>
      </c>
      <c r="N34">
        <v>7500</v>
      </c>
      <c r="O34">
        <v>360</v>
      </c>
      <c r="P34">
        <v>612</v>
      </c>
      <c r="Q34">
        <v>0</v>
      </c>
      <c r="R34">
        <v>668240609</v>
      </c>
      <c r="S34">
        <v>24262617.920000002</v>
      </c>
      <c r="T34">
        <v>635063360.60000002</v>
      </c>
      <c r="U34">
        <v>643635059.89999998</v>
      </c>
      <c r="V34">
        <v>0.14884700000000001</v>
      </c>
      <c r="W34">
        <v>6.1409999999999998E-3</v>
      </c>
      <c r="Y34" t="s">
        <v>1</v>
      </c>
      <c r="Z34">
        <v>7500</v>
      </c>
      <c r="AA34">
        <v>360</v>
      </c>
      <c r="AB34">
        <v>580</v>
      </c>
      <c r="AC34">
        <v>0</v>
      </c>
      <c r="AD34">
        <v>619533733</v>
      </c>
      <c r="AE34">
        <v>22927606.68</v>
      </c>
      <c r="AF34">
        <v>581397443</v>
      </c>
      <c r="AG34">
        <v>587567811.08000004</v>
      </c>
      <c r="AH34">
        <v>0.25789099999999998</v>
      </c>
      <c r="AI34">
        <v>0.16168099999999999</v>
      </c>
    </row>
    <row r="35" spans="1:35" x14ac:dyDescent="0.35">
      <c r="A35" t="s">
        <v>1</v>
      </c>
      <c r="B35">
        <v>7500</v>
      </c>
      <c r="C35">
        <v>360</v>
      </c>
      <c r="D35">
        <v>582</v>
      </c>
      <c r="E35">
        <v>0</v>
      </c>
      <c r="F35">
        <v>632546827</v>
      </c>
      <c r="G35">
        <v>23159803.57</v>
      </c>
      <c r="H35">
        <v>600817467.23000002</v>
      </c>
      <c r="I35">
        <v>607850674.75999999</v>
      </c>
      <c r="J35">
        <v>0.15098900000000001</v>
      </c>
      <c r="K35">
        <v>2.8760000000000001E-2</v>
      </c>
      <c r="M35" t="s">
        <v>0</v>
      </c>
      <c r="N35">
        <v>7750</v>
      </c>
      <c r="O35">
        <v>360</v>
      </c>
      <c r="P35">
        <v>583</v>
      </c>
      <c r="Q35">
        <v>0</v>
      </c>
      <c r="R35">
        <v>520483990</v>
      </c>
      <c r="S35">
        <v>18159620.52</v>
      </c>
      <c r="T35">
        <v>498083092.63</v>
      </c>
      <c r="U35">
        <v>501598935.93000001</v>
      </c>
      <c r="V35">
        <v>9.3519000000000005E-2</v>
      </c>
      <c r="W35">
        <v>1.6598000000000002E-2</v>
      </c>
      <c r="Y35" t="s">
        <v>0</v>
      </c>
      <c r="Z35">
        <v>7750</v>
      </c>
      <c r="AA35">
        <v>360</v>
      </c>
      <c r="AB35">
        <v>562</v>
      </c>
      <c r="AC35">
        <v>0</v>
      </c>
      <c r="AD35">
        <v>477779176</v>
      </c>
      <c r="AE35">
        <v>17512689.289999999</v>
      </c>
      <c r="AF35">
        <v>449740552</v>
      </c>
      <c r="AG35">
        <v>453808235.13</v>
      </c>
      <c r="AH35">
        <v>0.23457700000000001</v>
      </c>
      <c r="AI35">
        <v>0.150675</v>
      </c>
    </row>
    <row r="36" spans="1:35" x14ac:dyDescent="0.35">
      <c r="A36" t="s">
        <v>0</v>
      </c>
      <c r="B36">
        <v>7750</v>
      </c>
      <c r="C36">
        <v>360</v>
      </c>
      <c r="D36">
        <v>554</v>
      </c>
      <c r="E36">
        <v>0</v>
      </c>
      <c r="F36">
        <v>468560834</v>
      </c>
      <c r="G36">
        <v>17327802.809999999</v>
      </c>
      <c r="H36">
        <v>447280629.18000001</v>
      </c>
      <c r="I36">
        <v>450598812.52999997</v>
      </c>
      <c r="J36">
        <v>9.6656000000000006E-2</v>
      </c>
      <c r="K36">
        <v>1.6122000000000001E-2</v>
      </c>
      <c r="M36" t="s">
        <v>1</v>
      </c>
      <c r="N36">
        <v>6500</v>
      </c>
      <c r="O36">
        <v>360</v>
      </c>
      <c r="P36">
        <v>609</v>
      </c>
      <c r="Q36">
        <v>0</v>
      </c>
      <c r="R36">
        <v>963257684</v>
      </c>
      <c r="S36">
        <v>24086888.82</v>
      </c>
      <c r="T36">
        <v>926169790.94000006</v>
      </c>
      <c r="U36">
        <v>932749171.95000005</v>
      </c>
      <c r="V36">
        <v>0.15046499999999999</v>
      </c>
      <c r="W36">
        <v>7.7130000000000004E-2</v>
      </c>
      <c r="Y36" t="s">
        <v>1</v>
      </c>
      <c r="Z36">
        <v>6500</v>
      </c>
      <c r="AA36">
        <v>360</v>
      </c>
      <c r="AB36">
        <v>813</v>
      </c>
      <c r="AC36">
        <v>0</v>
      </c>
      <c r="AD36">
        <v>1232818029</v>
      </c>
      <c r="AE36">
        <v>31583274.120000001</v>
      </c>
      <c r="AF36">
        <v>1181238000</v>
      </c>
      <c r="AG36">
        <v>1188938964.0699999</v>
      </c>
      <c r="AH36">
        <v>0.17818500000000001</v>
      </c>
      <c r="AI36">
        <v>0.113333</v>
      </c>
    </row>
    <row r="37" spans="1:35" x14ac:dyDescent="0.35">
      <c r="A37" t="s">
        <v>1</v>
      </c>
      <c r="B37">
        <v>6500</v>
      </c>
      <c r="C37">
        <v>360</v>
      </c>
      <c r="D37">
        <v>855</v>
      </c>
      <c r="E37">
        <v>0</v>
      </c>
      <c r="F37">
        <v>1263249207</v>
      </c>
      <c r="G37">
        <v>33018646.940000001</v>
      </c>
      <c r="H37">
        <v>1212930339.47</v>
      </c>
      <c r="I37">
        <v>1223596463.9000001</v>
      </c>
      <c r="J37">
        <v>0.15251000000000001</v>
      </c>
      <c r="K37">
        <v>6.1231000000000001E-2</v>
      </c>
      <c r="M37" t="s">
        <v>0</v>
      </c>
      <c r="N37">
        <v>5000</v>
      </c>
      <c r="O37">
        <v>240</v>
      </c>
      <c r="P37">
        <v>458</v>
      </c>
      <c r="Q37">
        <v>0</v>
      </c>
      <c r="R37">
        <v>2360062663</v>
      </c>
      <c r="S37">
        <v>14408318.92</v>
      </c>
      <c r="T37">
        <v>2335548660.4699998</v>
      </c>
      <c r="U37">
        <v>2345568613.2800002</v>
      </c>
      <c r="V37">
        <v>5.0189999999999999E-2</v>
      </c>
      <c r="W37">
        <v>4.3600000000000003E-4</v>
      </c>
      <c r="Y37" t="s">
        <v>0</v>
      </c>
      <c r="Z37">
        <v>5000</v>
      </c>
      <c r="AA37">
        <v>240</v>
      </c>
      <c r="AB37">
        <v>332</v>
      </c>
      <c r="AC37">
        <v>0</v>
      </c>
      <c r="AD37">
        <v>1728613928</v>
      </c>
      <c r="AE37">
        <v>10526389.939999999</v>
      </c>
      <c r="AF37">
        <v>1706094780</v>
      </c>
      <c r="AG37">
        <v>1709766865.1300001</v>
      </c>
      <c r="AH37">
        <v>8.0148999999999998E-2</v>
      </c>
      <c r="AI37">
        <v>5.6257000000000001E-2</v>
      </c>
    </row>
    <row r="38" spans="1:35" x14ac:dyDescent="0.35">
      <c r="A38" t="s">
        <v>0</v>
      </c>
      <c r="B38">
        <v>5000</v>
      </c>
      <c r="C38">
        <v>240</v>
      </c>
      <c r="D38">
        <v>272</v>
      </c>
      <c r="E38">
        <v>0</v>
      </c>
      <c r="F38">
        <v>1482080852</v>
      </c>
      <c r="G38">
        <v>8926698.6899999995</v>
      </c>
      <c r="H38">
        <v>1465826511.24</v>
      </c>
      <c r="I38">
        <v>1472813537.1099999</v>
      </c>
      <c r="J38">
        <v>5.7743000000000003E-2</v>
      </c>
      <c r="K38">
        <v>2.7539999999999999E-3</v>
      </c>
      <c r="M38" t="s">
        <v>0</v>
      </c>
      <c r="N38">
        <v>6000</v>
      </c>
      <c r="O38">
        <v>240</v>
      </c>
      <c r="P38">
        <v>6033</v>
      </c>
      <c r="Q38">
        <v>0</v>
      </c>
      <c r="R38">
        <v>32881169527</v>
      </c>
      <c r="S38">
        <v>183175608.06</v>
      </c>
      <c r="T38">
        <v>32535344189.52</v>
      </c>
      <c r="U38">
        <v>32678369412.82</v>
      </c>
      <c r="V38">
        <v>5.7770000000000002E-2</v>
      </c>
      <c r="W38">
        <v>7.1390000000000004E-3</v>
      </c>
      <c r="Y38" t="s">
        <v>0</v>
      </c>
      <c r="Z38">
        <v>6000</v>
      </c>
      <c r="AA38">
        <v>240</v>
      </c>
      <c r="AB38">
        <v>4904</v>
      </c>
      <c r="AC38">
        <v>0</v>
      </c>
      <c r="AD38">
        <v>27329650643</v>
      </c>
      <c r="AE38">
        <v>150790523.22999999</v>
      </c>
      <c r="AF38">
        <v>27049006423</v>
      </c>
      <c r="AG38">
        <v>27135746602.310001</v>
      </c>
      <c r="AH38">
        <v>5.5550000000000002E-2</v>
      </c>
      <c r="AI38">
        <v>1.8766999999999999E-2</v>
      </c>
    </row>
    <row r="39" spans="1:35" x14ac:dyDescent="0.35">
      <c r="A39" t="s">
        <v>0</v>
      </c>
      <c r="B39">
        <v>6000</v>
      </c>
      <c r="C39">
        <v>240</v>
      </c>
      <c r="D39">
        <v>4637</v>
      </c>
      <c r="E39">
        <v>0</v>
      </c>
      <c r="F39">
        <v>26280242869</v>
      </c>
      <c r="G39">
        <v>144049686.56999999</v>
      </c>
      <c r="H39">
        <v>26007376379.23</v>
      </c>
      <c r="I39">
        <v>26118686718.93</v>
      </c>
      <c r="J39">
        <v>5.7259999999999998E-2</v>
      </c>
      <c r="K39">
        <v>7.9649999999999999E-3</v>
      </c>
      <c r="M39" t="s">
        <v>1</v>
      </c>
      <c r="N39">
        <v>6500</v>
      </c>
      <c r="O39">
        <v>240</v>
      </c>
      <c r="P39">
        <v>937</v>
      </c>
      <c r="Q39">
        <v>0</v>
      </c>
      <c r="R39">
        <v>6114076000</v>
      </c>
      <c r="S39">
        <v>31839211.690000001</v>
      </c>
      <c r="T39">
        <v>6061300100.8699999</v>
      </c>
      <c r="U39">
        <v>6080105906.0100002</v>
      </c>
      <c r="V39">
        <v>4.0327000000000002E-2</v>
      </c>
      <c r="W39">
        <v>4.1739999999999998E-3</v>
      </c>
      <c r="Y39" t="s">
        <v>1</v>
      </c>
      <c r="Z39">
        <v>6500</v>
      </c>
      <c r="AA39">
        <v>240</v>
      </c>
      <c r="AB39">
        <v>978</v>
      </c>
      <c r="AC39">
        <v>0</v>
      </c>
      <c r="AD39">
        <v>6441875394</v>
      </c>
      <c r="AE39">
        <v>33891034.350000001</v>
      </c>
      <c r="AF39">
        <v>6345267795</v>
      </c>
      <c r="AG39">
        <v>6391369031.4899998</v>
      </c>
      <c r="AH39">
        <v>0.110772</v>
      </c>
      <c r="AI39">
        <v>3.0516000000000001E-2</v>
      </c>
    </row>
    <row r="40" spans="1:35" x14ac:dyDescent="0.35">
      <c r="A40" t="s">
        <v>1</v>
      </c>
      <c r="B40">
        <v>6500</v>
      </c>
      <c r="C40">
        <v>240</v>
      </c>
      <c r="D40">
        <v>974</v>
      </c>
      <c r="E40">
        <v>0</v>
      </c>
      <c r="F40">
        <v>6515392655</v>
      </c>
      <c r="G40">
        <v>34254214.590000004</v>
      </c>
      <c r="H40">
        <v>6457500781.9700003</v>
      </c>
      <c r="I40">
        <v>6478503466.6700001</v>
      </c>
      <c r="J40">
        <v>4.2677E-2</v>
      </c>
      <c r="K40">
        <v>4.8419999999999999E-3</v>
      </c>
      <c r="M40" t="s">
        <v>2</v>
      </c>
      <c r="N40">
        <v>6500</v>
      </c>
      <c r="O40">
        <v>240</v>
      </c>
      <c r="P40">
        <v>922</v>
      </c>
      <c r="Q40">
        <v>0</v>
      </c>
      <c r="R40">
        <v>4572051104</v>
      </c>
      <c r="S40">
        <v>23693507.379999999</v>
      </c>
      <c r="T40">
        <v>4538792186.6000004</v>
      </c>
      <c r="U40">
        <v>4547236439.6499996</v>
      </c>
      <c r="V40">
        <v>2.4819000000000001E-2</v>
      </c>
      <c r="W40">
        <v>2.9390000000000002E-3</v>
      </c>
      <c r="Y40" t="s">
        <v>2</v>
      </c>
      <c r="Z40">
        <v>6500</v>
      </c>
      <c r="AA40">
        <v>240</v>
      </c>
      <c r="AB40">
        <v>989</v>
      </c>
      <c r="AC40">
        <v>0</v>
      </c>
      <c r="AD40">
        <v>5026256638</v>
      </c>
      <c r="AE40">
        <v>26119240.02</v>
      </c>
      <c r="AF40">
        <v>4966415901</v>
      </c>
      <c r="AG40">
        <v>4977362601.04</v>
      </c>
      <c r="AH40">
        <v>7.7603000000000005E-2</v>
      </c>
      <c r="AI40">
        <v>5.3039000000000003E-2</v>
      </c>
    </row>
    <row r="41" spans="1:35" x14ac:dyDescent="0.35">
      <c r="A41" t="s">
        <v>2</v>
      </c>
      <c r="B41">
        <v>6500</v>
      </c>
      <c r="C41">
        <v>240</v>
      </c>
      <c r="D41">
        <v>999</v>
      </c>
      <c r="E41">
        <v>0</v>
      </c>
      <c r="F41">
        <v>5118931516</v>
      </c>
      <c r="G41">
        <v>26569639.140000001</v>
      </c>
      <c r="H41">
        <v>5078757261.3199997</v>
      </c>
      <c r="I41">
        <v>5088608418.0799999</v>
      </c>
      <c r="J41">
        <v>3.143E-2</v>
      </c>
      <c r="K41">
        <v>8.7639999999999992E-3</v>
      </c>
      <c r="M41" t="s">
        <v>2</v>
      </c>
      <c r="N41">
        <v>8500</v>
      </c>
      <c r="O41">
        <v>360</v>
      </c>
      <c r="P41">
        <v>53</v>
      </c>
      <c r="Q41">
        <v>0</v>
      </c>
      <c r="R41">
        <v>29770094</v>
      </c>
      <c r="S41">
        <v>1530311.82</v>
      </c>
      <c r="T41">
        <v>28074999.969999999</v>
      </c>
      <c r="U41">
        <v>28235553.52</v>
      </c>
      <c r="V41">
        <v>6.4436999999999994E-2</v>
      </c>
      <c r="W41">
        <v>1.7030000000000001E-3</v>
      </c>
      <c r="Y41" t="s">
        <v>2</v>
      </c>
      <c r="Z41">
        <v>8500</v>
      </c>
      <c r="AA41">
        <v>360</v>
      </c>
      <c r="AB41">
        <v>47</v>
      </c>
      <c r="AC41">
        <v>0</v>
      </c>
      <c r="AD41">
        <v>25102418</v>
      </c>
      <c r="AE41">
        <v>1395112.45</v>
      </c>
      <c r="AF41">
        <v>22943210</v>
      </c>
      <c r="AG41">
        <v>23233654.949999999</v>
      </c>
      <c r="AH41">
        <v>0.30991800000000003</v>
      </c>
      <c r="AI41">
        <v>0.204344</v>
      </c>
    </row>
    <row r="42" spans="1:35" x14ac:dyDescent="0.35">
      <c r="A42" t="s">
        <v>2</v>
      </c>
      <c r="B42">
        <v>8500</v>
      </c>
      <c r="C42">
        <v>360</v>
      </c>
      <c r="D42">
        <v>45</v>
      </c>
      <c r="E42">
        <v>0</v>
      </c>
      <c r="F42">
        <v>22943210</v>
      </c>
      <c r="G42">
        <v>1350643.44</v>
      </c>
      <c r="H42">
        <v>21468980.109999999</v>
      </c>
      <c r="I42">
        <v>21589468.620000001</v>
      </c>
      <c r="J42">
        <v>6.2757999999999994E-2</v>
      </c>
      <c r="K42">
        <v>1.619E-3</v>
      </c>
      <c r="M42" t="s">
        <v>2</v>
      </c>
      <c r="N42">
        <v>9000</v>
      </c>
      <c r="O42">
        <v>360</v>
      </c>
      <c r="P42">
        <v>20</v>
      </c>
      <c r="Q42">
        <v>0</v>
      </c>
      <c r="R42">
        <v>9433665</v>
      </c>
      <c r="S42">
        <v>605231</v>
      </c>
      <c r="T42">
        <v>8776919.1199999992</v>
      </c>
      <c r="U42">
        <v>8828434</v>
      </c>
      <c r="V42">
        <v>6.3596E-2</v>
      </c>
      <c r="W42">
        <v>0</v>
      </c>
      <c r="Y42" t="s">
        <v>2</v>
      </c>
      <c r="Z42">
        <v>9000</v>
      </c>
      <c r="AA42">
        <v>360</v>
      </c>
      <c r="AB42">
        <v>19</v>
      </c>
      <c r="AC42">
        <v>0</v>
      </c>
      <c r="AD42">
        <v>7947736</v>
      </c>
      <c r="AE42">
        <v>580609.82999999996</v>
      </c>
      <c r="AF42">
        <v>7332608</v>
      </c>
      <c r="AG42">
        <v>7377037.5499999998</v>
      </c>
      <c r="AH42">
        <v>5.0890999999999999E-2</v>
      </c>
      <c r="AI42">
        <v>-1.5068E-2</v>
      </c>
    </row>
    <row r="43" spans="1:35" x14ac:dyDescent="0.35">
      <c r="A43" t="s">
        <v>2</v>
      </c>
      <c r="B43">
        <v>9000</v>
      </c>
      <c r="C43">
        <v>360</v>
      </c>
      <c r="D43">
        <v>17</v>
      </c>
      <c r="E43">
        <v>0</v>
      </c>
      <c r="F43">
        <v>7332608</v>
      </c>
      <c r="G43">
        <v>575307.97</v>
      </c>
      <c r="H43">
        <v>6718624.1900000004</v>
      </c>
      <c r="I43">
        <v>6757300.0300000003</v>
      </c>
      <c r="J43">
        <v>6.1490000000000003E-2</v>
      </c>
      <c r="K43">
        <v>0</v>
      </c>
      <c r="M43" t="s">
        <v>0</v>
      </c>
      <c r="N43">
        <v>4500</v>
      </c>
      <c r="O43">
        <v>144</v>
      </c>
      <c r="P43">
        <v>60470</v>
      </c>
      <c r="Q43">
        <v>0</v>
      </c>
      <c r="R43">
        <v>578095468359</v>
      </c>
      <c r="S43">
        <v>1624376791.3499999</v>
      </c>
      <c r="T43">
        <v>573438847451.45996</v>
      </c>
      <c r="U43">
        <v>576085329332.37</v>
      </c>
      <c r="V43">
        <v>6.1157999999999997E-2</v>
      </c>
      <c r="W43">
        <v>7.9780000000000007E-3</v>
      </c>
      <c r="Y43" t="s">
        <v>0</v>
      </c>
      <c r="Z43">
        <v>4500</v>
      </c>
      <c r="AA43">
        <v>144</v>
      </c>
      <c r="AB43">
        <v>60487</v>
      </c>
      <c r="AC43">
        <v>0</v>
      </c>
      <c r="AD43">
        <v>582792945711</v>
      </c>
      <c r="AE43">
        <v>1633167489.05</v>
      </c>
      <c r="AF43">
        <v>578187903730</v>
      </c>
      <c r="AG43">
        <v>580479376535.27002</v>
      </c>
      <c r="AH43">
        <v>5.9505000000000002E-2</v>
      </c>
      <c r="AI43">
        <v>1.392E-2</v>
      </c>
    </row>
    <row r="44" spans="1:35" x14ac:dyDescent="0.35">
      <c r="A44" t="s">
        <v>0</v>
      </c>
      <c r="B44">
        <v>4500</v>
      </c>
      <c r="C44">
        <v>144</v>
      </c>
      <c r="D44">
        <v>60160</v>
      </c>
      <c r="E44">
        <v>0</v>
      </c>
      <c r="F44">
        <v>580886293488</v>
      </c>
      <c r="G44">
        <v>1628698317.04</v>
      </c>
      <c r="H44">
        <v>576308458710.87</v>
      </c>
      <c r="I44">
        <v>578899714654.21997</v>
      </c>
      <c r="J44">
        <v>5.9250999999999998E-2</v>
      </c>
      <c r="K44">
        <v>7.3680000000000004E-3</v>
      </c>
      <c r="M44" t="s">
        <v>1</v>
      </c>
      <c r="N44">
        <v>7000</v>
      </c>
      <c r="O44">
        <v>360</v>
      </c>
      <c r="P44">
        <v>1060</v>
      </c>
      <c r="Q44">
        <v>0</v>
      </c>
      <c r="R44">
        <v>1453422170</v>
      </c>
      <c r="S44">
        <v>43220206.43</v>
      </c>
      <c r="T44">
        <v>1390680443.3099999</v>
      </c>
      <c r="U44">
        <v>1406807904.0799999</v>
      </c>
      <c r="V44">
        <v>0.149788</v>
      </c>
      <c r="W44">
        <v>2.7666E-2</v>
      </c>
      <c r="Y44" t="s">
        <v>1</v>
      </c>
      <c r="Z44">
        <v>7000</v>
      </c>
      <c r="AA44">
        <v>360</v>
      </c>
      <c r="AB44">
        <v>1116</v>
      </c>
      <c r="AC44">
        <v>0</v>
      </c>
      <c r="AD44">
        <v>1514669472</v>
      </c>
      <c r="AE44">
        <v>45716985.119999997</v>
      </c>
      <c r="AF44">
        <v>1445662324</v>
      </c>
      <c r="AG44">
        <v>1456282732.2</v>
      </c>
      <c r="AH44">
        <v>0.169685</v>
      </c>
      <c r="AI44">
        <v>9.5884999999999998E-2</v>
      </c>
    </row>
    <row r="45" spans="1:35" x14ac:dyDescent="0.35">
      <c r="A45" t="s">
        <v>1</v>
      </c>
      <c r="B45">
        <v>7000</v>
      </c>
      <c r="C45">
        <v>360</v>
      </c>
      <c r="D45">
        <v>1155</v>
      </c>
      <c r="E45">
        <v>0</v>
      </c>
      <c r="F45">
        <v>1573446744</v>
      </c>
      <c r="G45">
        <v>47431797.259999998</v>
      </c>
      <c r="H45">
        <v>1504555233.3699999</v>
      </c>
      <c r="I45">
        <v>1519996117.3299999</v>
      </c>
      <c r="J45">
        <v>0.15192800000000001</v>
      </c>
      <c r="K45">
        <v>4.4949000000000003E-2</v>
      </c>
      <c r="M45" t="s">
        <v>1</v>
      </c>
      <c r="N45">
        <v>8000</v>
      </c>
      <c r="O45">
        <v>360</v>
      </c>
      <c r="P45">
        <v>337</v>
      </c>
      <c r="Q45">
        <v>0</v>
      </c>
      <c r="R45">
        <v>257409660</v>
      </c>
      <c r="S45">
        <v>13217617.35</v>
      </c>
      <c r="T45">
        <v>240811675.84999999</v>
      </c>
      <c r="U45">
        <v>244166720.37</v>
      </c>
      <c r="V45">
        <v>0.14668900000000001</v>
      </c>
      <c r="W45">
        <v>1.1800000000000001E-3</v>
      </c>
      <c r="Y45" t="s">
        <v>1</v>
      </c>
      <c r="Z45">
        <v>8000</v>
      </c>
      <c r="AA45">
        <v>360</v>
      </c>
      <c r="AB45">
        <v>300</v>
      </c>
      <c r="AC45">
        <v>0</v>
      </c>
      <c r="AD45">
        <v>217309913</v>
      </c>
      <c r="AE45">
        <v>11815914.189999999</v>
      </c>
      <c r="AF45">
        <v>201571828</v>
      </c>
      <c r="AG45">
        <v>201885248.69999999</v>
      </c>
      <c r="AH45">
        <v>0.196327</v>
      </c>
      <c r="AI45">
        <v>0.18204699999999999</v>
      </c>
    </row>
    <row r="46" spans="1:35" x14ac:dyDescent="0.35">
      <c r="A46" t="s">
        <v>1</v>
      </c>
      <c r="B46">
        <v>8000</v>
      </c>
      <c r="C46">
        <v>360</v>
      </c>
      <c r="D46">
        <v>292</v>
      </c>
      <c r="E46">
        <v>0</v>
      </c>
      <c r="F46">
        <v>205768527</v>
      </c>
      <c r="G46">
        <v>11600186.039999999</v>
      </c>
      <c r="H46">
        <v>191437832.36000001</v>
      </c>
      <c r="I46">
        <v>193929486.22999999</v>
      </c>
      <c r="J46">
        <v>0.148115</v>
      </c>
      <c r="K46">
        <v>1.3840999999999999E-2</v>
      </c>
      <c r="M46" t="s">
        <v>1</v>
      </c>
      <c r="N46">
        <v>9000</v>
      </c>
      <c r="O46">
        <v>360</v>
      </c>
      <c r="P46">
        <v>36</v>
      </c>
      <c r="Q46">
        <v>0</v>
      </c>
      <c r="R46">
        <v>16069367</v>
      </c>
      <c r="S46">
        <v>1179914.1100000001</v>
      </c>
      <c r="T46">
        <v>14683337.199999999</v>
      </c>
      <c r="U46">
        <v>14889452.890000001</v>
      </c>
      <c r="V46">
        <v>0.143512</v>
      </c>
      <c r="W46">
        <v>0</v>
      </c>
      <c r="Y46" t="s">
        <v>1</v>
      </c>
      <c r="Z46">
        <v>9000</v>
      </c>
      <c r="AA46">
        <v>360</v>
      </c>
      <c r="AB46">
        <v>35</v>
      </c>
      <c r="AC46">
        <v>0</v>
      </c>
      <c r="AD46">
        <v>12708794</v>
      </c>
      <c r="AE46">
        <v>1107884.77</v>
      </c>
      <c r="AF46">
        <v>11003467</v>
      </c>
      <c r="AG46">
        <v>11126637.91</v>
      </c>
      <c r="AH46">
        <v>0.43887500000000002</v>
      </c>
      <c r="AI46">
        <v>0.36643300000000001</v>
      </c>
    </row>
    <row r="47" spans="1:35" x14ac:dyDescent="0.35">
      <c r="A47" t="s">
        <v>1</v>
      </c>
      <c r="B47">
        <v>9000</v>
      </c>
      <c r="C47">
        <v>360</v>
      </c>
      <c r="D47">
        <v>33</v>
      </c>
      <c r="E47">
        <v>0</v>
      </c>
      <c r="F47">
        <v>11003467</v>
      </c>
      <c r="G47">
        <v>1051077.56</v>
      </c>
      <c r="H47">
        <v>9812433.1199999992</v>
      </c>
      <c r="I47">
        <v>9952389.4399999995</v>
      </c>
      <c r="J47">
        <v>0.14239399999999999</v>
      </c>
      <c r="K47">
        <v>0</v>
      </c>
      <c r="M47" t="s">
        <v>0</v>
      </c>
      <c r="N47">
        <v>4500</v>
      </c>
      <c r="O47">
        <v>192</v>
      </c>
      <c r="P47">
        <v>50146</v>
      </c>
      <c r="Q47">
        <v>0</v>
      </c>
      <c r="R47">
        <v>479883364388</v>
      </c>
      <c r="S47">
        <v>1839497833.8499999</v>
      </c>
      <c r="T47">
        <v>475846873957.13</v>
      </c>
      <c r="U47">
        <v>477901383874.88</v>
      </c>
      <c r="V47">
        <v>5.3575999999999999E-2</v>
      </c>
      <c r="W47">
        <v>3.5569999999999998E-3</v>
      </c>
      <c r="Y47" t="s">
        <v>0</v>
      </c>
      <c r="Z47">
        <v>4500</v>
      </c>
      <c r="AA47">
        <v>192</v>
      </c>
      <c r="AB47">
        <v>53912</v>
      </c>
      <c r="AC47">
        <v>0</v>
      </c>
      <c r="AD47">
        <v>504964378989</v>
      </c>
      <c r="AE47">
        <v>1952135498.0599999</v>
      </c>
      <c r="AF47">
        <v>500511271888</v>
      </c>
      <c r="AG47">
        <v>502141201891.14001</v>
      </c>
      <c r="AH47">
        <v>5.7840999999999997E-2</v>
      </c>
      <c r="AI47">
        <v>2.0504000000000001E-2</v>
      </c>
    </row>
    <row r="48" spans="1:35" x14ac:dyDescent="0.35">
      <c r="A48" t="s">
        <v>2</v>
      </c>
      <c r="B48">
        <v>4500</v>
      </c>
      <c r="C48">
        <v>192</v>
      </c>
      <c r="D48">
        <v>8467</v>
      </c>
      <c r="E48">
        <v>0</v>
      </c>
      <c r="F48">
        <v>64343415999</v>
      </c>
      <c r="G48">
        <v>245854628.53</v>
      </c>
      <c r="H48">
        <v>63862489067.529999</v>
      </c>
      <c r="I48">
        <v>64082568833.120003</v>
      </c>
      <c r="J48">
        <v>4.2971000000000002E-2</v>
      </c>
      <c r="K48">
        <v>2.7929999999999999E-3</v>
      </c>
      <c r="M48" t="s">
        <v>2</v>
      </c>
      <c r="N48">
        <v>4500</v>
      </c>
      <c r="O48">
        <v>192</v>
      </c>
      <c r="P48">
        <v>7014</v>
      </c>
      <c r="Q48">
        <v>0</v>
      </c>
      <c r="R48">
        <v>54909021154</v>
      </c>
      <c r="S48">
        <v>207565436.31999999</v>
      </c>
      <c r="T48">
        <v>54522458444.739998</v>
      </c>
      <c r="U48">
        <v>54692928017.529999</v>
      </c>
      <c r="V48">
        <v>3.8425000000000001E-2</v>
      </c>
      <c r="W48">
        <v>1.8619999999999999E-3</v>
      </c>
      <c r="Y48" t="s">
        <v>2</v>
      </c>
      <c r="Z48">
        <v>4500</v>
      </c>
      <c r="AA48">
        <v>192</v>
      </c>
      <c r="AB48">
        <v>8242</v>
      </c>
      <c r="AC48">
        <v>0</v>
      </c>
      <c r="AD48">
        <v>63276592607</v>
      </c>
      <c r="AE48">
        <v>240562823.97999999</v>
      </c>
      <c r="AF48">
        <v>62833021915</v>
      </c>
      <c r="AG48">
        <v>62976378046.169998</v>
      </c>
      <c r="AH48">
        <v>3.7827E-2</v>
      </c>
      <c r="AI48">
        <v>1.1254E-2</v>
      </c>
    </row>
    <row r="49" spans="1:35" x14ac:dyDescent="0.35">
      <c r="A49" t="s">
        <v>0</v>
      </c>
      <c r="B49">
        <v>5000</v>
      </c>
      <c r="C49">
        <v>192</v>
      </c>
      <c r="D49">
        <v>61682</v>
      </c>
      <c r="E49">
        <v>0</v>
      </c>
      <c r="F49">
        <v>524098590828</v>
      </c>
      <c r="G49">
        <v>2032947408.6400001</v>
      </c>
      <c r="H49">
        <v>519486402972.31</v>
      </c>
      <c r="I49">
        <v>521807611717.25</v>
      </c>
      <c r="J49">
        <v>5.7482999999999999E-2</v>
      </c>
      <c r="K49">
        <v>5.8919999999999997E-3</v>
      </c>
      <c r="M49" t="s">
        <v>0</v>
      </c>
      <c r="N49">
        <v>5000</v>
      </c>
      <c r="O49">
        <v>192</v>
      </c>
      <c r="P49">
        <v>73908</v>
      </c>
      <c r="Q49">
        <v>0</v>
      </c>
      <c r="R49">
        <v>646516628207</v>
      </c>
      <c r="S49">
        <v>2487287403.8400002</v>
      </c>
      <c r="T49">
        <v>640941217654.79004</v>
      </c>
      <c r="U49">
        <v>643792067989.21997</v>
      </c>
      <c r="V49">
        <v>5.5836999999999998E-2</v>
      </c>
      <c r="W49">
        <v>4.3949999999999996E-3</v>
      </c>
      <c r="Y49" t="s">
        <v>0</v>
      </c>
      <c r="Z49">
        <v>5000</v>
      </c>
      <c r="AA49">
        <v>192</v>
      </c>
      <c r="AB49">
        <v>67002</v>
      </c>
      <c r="AC49">
        <v>0</v>
      </c>
      <c r="AD49">
        <v>575679212640</v>
      </c>
      <c r="AE49">
        <v>2229544449.0799999</v>
      </c>
      <c r="AF49">
        <v>570420251091</v>
      </c>
      <c r="AG49">
        <v>572307963291.18994</v>
      </c>
      <c r="AH49">
        <v>6.1351999999999997E-2</v>
      </c>
      <c r="AI49">
        <v>2.3540999999999999E-2</v>
      </c>
    </row>
    <row r="50" spans="1:35" x14ac:dyDescent="0.35">
      <c r="A50" t="s">
        <v>2</v>
      </c>
      <c r="B50">
        <v>5000</v>
      </c>
      <c r="C50">
        <v>192</v>
      </c>
      <c r="D50">
        <v>7617</v>
      </c>
      <c r="E50">
        <v>0</v>
      </c>
      <c r="F50">
        <v>56265834104</v>
      </c>
      <c r="G50">
        <v>214822238.91999999</v>
      </c>
      <c r="H50">
        <v>55800037913.019997</v>
      </c>
      <c r="I50">
        <v>56020414049.110001</v>
      </c>
      <c r="J50">
        <v>5.2232000000000001E-2</v>
      </c>
      <c r="K50">
        <v>6.5059999999999996E-3</v>
      </c>
      <c r="M50" t="s">
        <v>2</v>
      </c>
      <c r="N50">
        <v>5000</v>
      </c>
      <c r="O50">
        <v>192</v>
      </c>
      <c r="P50">
        <v>8937</v>
      </c>
      <c r="Q50">
        <v>0</v>
      </c>
      <c r="R50">
        <v>67449388074</v>
      </c>
      <c r="S50">
        <v>255404791.05000001</v>
      </c>
      <c r="T50">
        <v>66992642827.639999</v>
      </c>
      <c r="U50">
        <v>67175221132.379997</v>
      </c>
      <c r="V50">
        <v>3.5237999999999998E-2</v>
      </c>
      <c r="W50">
        <v>3.333E-3</v>
      </c>
      <c r="Y50" t="s">
        <v>2</v>
      </c>
      <c r="Z50">
        <v>5000</v>
      </c>
      <c r="AA50">
        <v>192</v>
      </c>
      <c r="AB50">
        <v>8247</v>
      </c>
      <c r="AC50">
        <v>0</v>
      </c>
      <c r="AD50">
        <v>61497352959</v>
      </c>
      <c r="AE50">
        <v>234579697.88</v>
      </c>
      <c r="AF50">
        <v>60966241118</v>
      </c>
      <c r="AG50">
        <v>61148099895.629997</v>
      </c>
      <c r="AH50">
        <v>5.6351999999999999E-2</v>
      </c>
      <c r="AI50">
        <v>2.2148000000000001E-2</v>
      </c>
    </row>
    <row r="51" spans="1:35" x14ac:dyDescent="0.35">
      <c r="A51" t="s">
        <v>1</v>
      </c>
      <c r="B51">
        <v>5000</v>
      </c>
      <c r="C51">
        <v>192</v>
      </c>
      <c r="D51">
        <v>4658</v>
      </c>
      <c r="E51">
        <v>0</v>
      </c>
      <c r="F51">
        <v>43080558625</v>
      </c>
      <c r="G51">
        <v>167051242.12</v>
      </c>
      <c r="H51">
        <v>42703624686.220001</v>
      </c>
      <c r="I51">
        <v>42893559771.290001</v>
      </c>
      <c r="J51">
        <v>5.6920999999999999E-2</v>
      </c>
      <c r="K51">
        <v>5.5420000000000001E-3</v>
      </c>
      <c r="M51" t="s">
        <v>1</v>
      </c>
      <c r="N51">
        <v>5000</v>
      </c>
      <c r="O51">
        <v>192</v>
      </c>
      <c r="P51">
        <v>5683</v>
      </c>
      <c r="Q51">
        <v>0</v>
      </c>
      <c r="R51">
        <v>53628635564</v>
      </c>
      <c r="S51">
        <v>206198751.21000001</v>
      </c>
      <c r="T51">
        <v>53200249947.110001</v>
      </c>
      <c r="U51">
        <v>53409292020.550003</v>
      </c>
      <c r="V51">
        <v>4.8599000000000003E-2</v>
      </c>
      <c r="W51">
        <v>2.9369999999999999E-3</v>
      </c>
      <c r="Y51" t="s">
        <v>1</v>
      </c>
      <c r="Z51">
        <v>5000</v>
      </c>
      <c r="AA51">
        <v>192</v>
      </c>
      <c r="AB51">
        <v>5090</v>
      </c>
      <c r="AC51">
        <v>0</v>
      </c>
      <c r="AD51">
        <v>47505383644</v>
      </c>
      <c r="AE51">
        <v>183892149.00999999</v>
      </c>
      <c r="AF51">
        <v>46968425101</v>
      </c>
      <c r="AG51">
        <v>47199282927.400002</v>
      </c>
      <c r="AH51">
        <v>8.5628999999999997E-2</v>
      </c>
      <c r="AI51">
        <v>3.0436999999999999E-2</v>
      </c>
    </row>
    <row r="52" spans="1:35" x14ac:dyDescent="0.35">
      <c r="A52" t="s">
        <v>0</v>
      </c>
      <c r="B52">
        <v>5500</v>
      </c>
      <c r="C52">
        <v>192</v>
      </c>
      <c r="D52">
        <v>21070</v>
      </c>
      <c r="E52">
        <v>0</v>
      </c>
      <c r="F52">
        <v>148839316671</v>
      </c>
      <c r="G52">
        <v>571008515.17999995</v>
      </c>
      <c r="H52">
        <v>147465006302.63</v>
      </c>
      <c r="I52">
        <v>148154601706.76999</v>
      </c>
      <c r="J52">
        <v>6.2877000000000002E-2</v>
      </c>
      <c r="K52">
        <v>9.129E-3</v>
      </c>
      <c r="M52" t="s">
        <v>0</v>
      </c>
      <c r="N52">
        <v>5500</v>
      </c>
      <c r="O52">
        <v>192</v>
      </c>
      <c r="P52">
        <v>35461</v>
      </c>
      <c r="Q52">
        <v>0</v>
      </c>
      <c r="R52">
        <v>262493534363</v>
      </c>
      <c r="S52">
        <v>1005453132.5</v>
      </c>
      <c r="T52">
        <v>260097884134.73999</v>
      </c>
      <c r="U52">
        <v>261342134780.01999</v>
      </c>
      <c r="V52">
        <v>6.1734999999999998E-2</v>
      </c>
      <c r="W52">
        <v>6.6519999999999999E-3</v>
      </c>
      <c r="Y52" t="s">
        <v>0</v>
      </c>
      <c r="Z52">
        <v>5500</v>
      </c>
      <c r="AA52">
        <v>192</v>
      </c>
      <c r="AB52">
        <v>25262</v>
      </c>
      <c r="AC52">
        <v>0</v>
      </c>
      <c r="AD52">
        <v>180435045656</v>
      </c>
      <c r="AE52">
        <v>691893974.35000002</v>
      </c>
      <c r="AF52">
        <v>178710857341</v>
      </c>
      <c r="AG52">
        <v>179411428424.60999</v>
      </c>
      <c r="AH52">
        <v>6.6533999999999996E-2</v>
      </c>
      <c r="AI52">
        <v>2.1839999999999998E-2</v>
      </c>
    </row>
    <row r="53" spans="1:35" x14ac:dyDescent="0.35">
      <c r="A53" t="s">
        <v>2</v>
      </c>
      <c r="B53">
        <v>5500</v>
      </c>
      <c r="C53">
        <v>192</v>
      </c>
      <c r="D53">
        <v>4747</v>
      </c>
      <c r="E53">
        <v>0</v>
      </c>
      <c r="F53">
        <v>30069462795</v>
      </c>
      <c r="G53">
        <v>115537576.72</v>
      </c>
      <c r="H53">
        <v>29822255476.779999</v>
      </c>
      <c r="I53">
        <v>29933826518.099998</v>
      </c>
      <c r="J53">
        <v>5.1298999999999997E-2</v>
      </c>
      <c r="K53">
        <v>7.9909999999999998E-3</v>
      </c>
      <c r="M53" t="s">
        <v>2</v>
      </c>
      <c r="N53">
        <v>5500</v>
      </c>
      <c r="O53">
        <v>192</v>
      </c>
      <c r="P53">
        <v>7662</v>
      </c>
      <c r="Q53">
        <v>0</v>
      </c>
      <c r="R53">
        <v>49599537202</v>
      </c>
      <c r="S53">
        <v>189396956.15000001</v>
      </c>
      <c r="T53">
        <v>49257806148.519997</v>
      </c>
      <c r="U53">
        <v>49399861321.279999</v>
      </c>
      <c r="V53">
        <v>3.6239E-2</v>
      </c>
      <c r="W53">
        <v>2.4840000000000001E-3</v>
      </c>
      <c r="Y53" t="s">
        <v>2</v>
      </c>
      <c r="Z53">
        <v>5500</v>
      </c>
      <c r="AA53">
        <v>192</v>
      </c>
      <c r="AB53">
        <v>5758</v>
      </c>
      <c r="AC53">
        <v>0</v>
      </c>
      <c r="AD53">
        <v>36506242848</v>
      </c>
      <c r="AE53">
        <v>140101036.86000001</v>
      </c>
      <c r="AF53">
        <v>36213895222</v>
      </c>
      <c r="AG53">
        <v>36306023942.32</v>
      </c>
      <c r="AH53">
        <v>4.8912999999999998E-2</v>
      </c>
      <c r="AI53">
        <v>1.9583E-2</v>
      </c>
    </row>
    <row r="54" spans="1:35" x14ac:dyDescent="0.35">
      <c r="A54" t="s">
        <v>1</v>
      </c>
      <c r="B54">
        <v>4500</v>
      </c>
      <c r="C54">
        <v>192</v>
      </c>
      <c r="D54">
        <v>7908</v>
      </c>
      <c r="E54">
        <v>0</v>
      </c>
      <c r="F54">
        <v>80166268148</v>
      </c>
      <c r="G54">
        <v>310380392.85000002</v>
      </c>
      <c r="H54">
        <v>79514394047.210007</v>
      </c>
      <c r="I54">
        <v>79830998440.539993</v>
      </c>
      <c r="J54">
        <v>4.9937000000000002E-2</v>
      </c>
      <c r="K54">
        <v>3.7190000000000001E-3</v>
      </c>
      <c r="M54" t="s">
        <v>1</v>
      </c>
      <c r="N54">
        <v>4500</v>
      </c>
      <c r="O54">
        <v>192</v>
      </c>
      <c r="P54">
        <v>7144</v>
      </c>
      <c r="Q54">
        <v>0</v>
      </c>
      <c r="R54">
        <v>74152756917</v>
      </c>
      <c r="S54">
        <v>283394749.93000001</v>
      </c>
      <c r="T54">
        <v>73598636977.580002</v>
      </c>
      <c r="U54">
        <v>73856526655.619995</v>
      </c>
      <c r="V54">
        <v>4.2942000000000001E-2</v>
      </c>
      <c r="W54">
        <v>2.075E-3</v>
      </c>
      <c r="Y54" t="s">
        <v>1</v>
      </c>
      <c r="Z54">
        <v>4500</v>
      </c>
      <c r="AA54">
        <v>192</v>
      </c>
      <c r="AB54">
        <v>7799</v>
      </c>
      <c r="AC54">
        <v>0</v>
      </c>
      <c r="AD54">
        <v>79525287618</v>
      </c>
      <c r="AE54">
        <v>306347903.36000001</v>
      </c>
      <c r="AF54">
        <v>78661953993</v>
      </c>
      <c r="AG54">
        <v>79061955609.649994</v>
      </c>
      <c r="AH54">
        <v>8.0882999999999997E-2</v>
      </c>
      <c r="AI54">
        <v>2.3432999999999999E-2</v>
      </c>
    </row>
    <row r="55" spans="1:35" x14ac:dyDescent="0.35">
      <c r="A55" t="s">
        <v>1</v>
      </c>
      <c r="B55">
        <v>5500</v>
      </c>
      <c r="C55">
        <v>192</v>
      </c>
      <c r="D55">
        <v>754</v>
      </c>
      <c r="E55">
        <v>0</v>
      </c>
      <c r="F55">
        <v>5526811683</v>
      </c>
      <c r="G55">
        <v>21173121.440000001</v>
      </c>
      <c r="H55">
        <v>5474798689.1000004</v>
      </c>
      <c r="I55">
        <v>5502952823.9300003</v>
      </c>
      <c r="J55">
        <v>6.4943000000000001E-2</v>
      </c>
      <c r="K55">
        <v>5.816E-3</v>
      </c>
      <c r="M55" t="s">
        <v>1</v>
      </c>
      <c r="N55">
        <v>5500</v>
      </c>
      <c r="O55">
        <v>192</v>
      </c>
      <c r="P55">
        <v>1364</v>
      </c>
      <c r="Q55">
        <v>0</v>
      </c>
      <c r="R55">
        <v>10545334779</v>
      </c>
      <c r="S55">
        <v>40611682.060000002</v>
      </c>
      <c r="T55">
        <v>10459009452.629999</v>
      </c>
      <c r="U55">
        <v>10499699510.48</v>
      </c>
      <c r="V55">
        <v>5.0797000000000002E-2</v>
      </c>
      <c r="W55">
        <v>5.7019999999999996E-3</v>
      </c>
      <c r="Y55" t="s">
        <v>1</v>
      </c>
      <c r="Z55">
        <v>5500</v>
      </c>
      <c r="AA55">
        <v>192</v>
      </c>
      <c r="AB55">
        <v>917</v>
      </c>
      <c r="AC55">
        <v>0</v>
      </c>
      <c r="AD55">
        <v>6775362968</v>
      </c>
      <c r="AE55">
        <v>26006947.359999999</v>
      </c>
      <c r="AF55">
        <v>6694598284</v>
      </c>
      <c r="AG55">
        <v>6722101594.2399998</v>
      </c>
      <c r="AH55">
        <v>9.2785999999999993E-2</v>
      </c>
      <c r="AI55">
        <v>4.7217000000000002E-2</v>
      </c>
    </row>
    <row r="56" spans="1:35" x14ac:dyDescent="0.35">
      <c r="A56" t="s">
        <v>1</v>
      </c>
      <c r="B56">
        <v>5000</v>
      </c>
      <c r="C56">
        <v>216</v>
      </c>
      <c r="D56">
        <v>4233</v>
      </c>
      <c r="E56">
        <v>0</v>
      </c>
      <c r="F56">
        <v>39741396993</v>
      </c>
      <c r="G56">
        <v>173715051.56999999</v>
      </c>
      <c r="H56">
        <v>39406834442.43</v>
      </c>
      <c r="I56">
        <v>39557329536.199997</v>
      </c>
      <c r="J56">
        <v>4.7502000000000003E-2</v>
      </c>
      <c r="K56">
        <v>3.1210000000000001E-3</v>
      </c>
      <c r="M56" t="s">
        <v>0</v>
      </c>
      <c r="N56">
        <v>9000</v>
      </c>
      <c r="O56">
        <v>360</v>
      </c>
      <c r="P56">
        <v>265</v>
      </c>
      <c r="Q56">
        <v>0</v>
      </c>
      <c r="R56">
        <v>139866794</v>
      </c>
      <c r="S56">
        <v>8229104.8600000003</v>
      </c>
      <c r="T56">
        <v>130526232.25</v>
      </c>
      <c r="U56">
        <v>131438071.38</v>
      </c>
      <c r="V56">
        <v>9.1299000000000005E-2</v>
      </c>
      <c r="W56">
        <v>1.6993000000000001E-2</v>
      </c>
      <c r="Y56" t="s">
        <v>1</v>
      </c>
      <c r="Z56">
        <v>5000</v>
      </c>
      <c r="AA56">
        <v>216</v>
      </c>
      <c r="AB56">
        <v>3865</v>
      </c>
      <c r="AC56">
        <v>0</v>
      </c>
      <c r="AD56">
        <v>36225789807</v>
      </c>
      <c r="AE56">
        <v>157814813.06</v>
      </c>
      <c r="AF56">
        <v>35855523509</v>
      </c>
      <c r="AG56">
        <v>36007601270.190002</v>
      </c>
      <c r="AH56">
        <v>6.8150000000000002E-2</v>
      </c>
      <c r="AI56">
        <v>1.9817000000000001E-2</v>
      </c>
    </row>
    <row r="57" spans="1:35" x14ac:dyDescent="0.35">
      <c r="A57" t="s">
        <v>0</v>
      </c>
      <c r="B57">
        <v>9000</v>
      </c>
      <c r="C57">
        <v>360</v>
      </c>
      <c r="D57">
        <v>231</v>
      </c>
      <c r="E57">
        <v>0</v>
      </c>
      <c r="F57">
        <v>102128488</v>
      </c>
      <c r="G57">
        <v>7189204.7199999997</v>
      </c>
      <c r="H57">
        <v>94107699.180000007</v>
      </c>
      <c r="I57">
        <v>94813758.890000001</v>
      </c>
      <c r="J57">
        <v>9.3451000000000006E-2</v>
      </c>
      <c r="K57">
        <v>1.465E-2</v>
      </c>
      <c r="M57" t="s">
        <v>1</v>
      </c>
      <c r="N57">
        <v>6000</v>
      </c>
      <c r="O57">
        <v>360</v>
      </c>
      <c r="P57">
        <v>35</v>
      </c>
      <c r="Q57">
        <v>0</v>
      </c>
      <c r="R57">
        <v>52926855</v>
      </c>
      <c r="S57">
        <v>1395147.54</v>
      </c>
      <c r="T57">
        <v>50818350.579999998</v>
      </c>
      <c r="U57">
        <v>51236043.159999996</v>
      </c>
      <c r="V57">
        <v>0.15027099999999999</v>
      </c>
      <c r="W57">
        <v>6.5014000000000002E-2</v>
      </c>
      <c r="Y57" t="s">
        <v>0</v>
      </c>
      <c r="Z57">
        <v>9000</v>
      </c>
      <c r="AA57">
        <v>360</v>
      </c>
      <c r="AB57">
        <v>241</v>
      </c>
      <c r="AC57">
        <v>0</v>
      </c>
      <c r="AD57">
        <v>113187002</v>
      </c>
      <c r="AE57">
        <v>7506368.8799999999</v>
      </c>
      <c r="AF57">
        <v>102128488</v>
      </c>
      <c r="AG57">
        <v>103142856.31999999</v>
      </c>
      <c r="AH57">
        <v>0.317936</v>
      </c>
      <c r="AI57">
        <v>0.238234</v>
      </c>
    </row>
    <row r="58" spans="1:35" x14ac:dyDescent="0.35">
      <c r="A58" t="s">
        <v>1</v>
      </c>
      <c r="B58">
        <v>6000</v>
      </c>
      <c r="C58">
        <v>360</v>
      </c>
      <c r="D58">
        <v>43</v>
      </c>
      <c r="E58">
        <v>0</v>
      </c>
      <c r="F58">
        <v>61517091</v>
      </c>
      <c r="G58">
        <v>1709241.22</v>
      </c>
      <c r="H58">
        <v>58966796.869999997</v>
      </c>
      <c r="I58">
        <v>59425791.039999999</v>
      </c>
      <c r="J58">
        <v>0.15227099999999999</v>
      </c>
      <c r="K58">
        <v>7.2034000000000001E-2</v>
      </c>
      <c r="M58" t="s">
        <v>0</v>
      </c>
      <c r="N58">
        <v>6000</v>
      </c>
      <c r="O58">
        <v>360</v>
      </c>
      <c r="P58">
        <v>244</v>
      </c>
      <c r="Q58">
        <v>0</v>
      </c>
      <c r="R58">
        <v>253717277</v>
      </c>
      <c r="S58">
        <v>7148710.7000000002</v>
      </c>
      <c r="T58">
        <v>244486713.18000001</v>
      </c>
      <c r="U58">
        <v>246361520.91999999</v>
      </c>
      <c r="V58">
        <v>9.4140000000000001E-2</v>
      </c>
      <c r="W58">
        <v>9.7490000000000007E-3</v>
      </c>
      <c r="Y58" t="s">
        <v>1</v>
      </c>
      <c r="Z58">
        <v>6000</v>
      </c>
      <c r="AA58">
        <v>360</v>
      </c>
      <c r="AB58">
        <v>43</v>
      </c>
      <c r="AC58">
        <v>0</v>
      </c>
      <c r="AD58">
        <v>60634906</v>
      </c>
      <c r="AE58">
        <v>1652378.53</v>
      </c>
      <c r="AF58">
        <v>57752719</v>
      </c>
      <c r="AG58">
        <v>58705745.75</v>
      </c>
      <c r="AH58">
        <v>0.21798999999999999</v>
      </c>
      <c r="AI58">
        <v>5.3421999999999997E-2</v>
      </c>
    </row>
    <row r="59" spans="1:35" x14ac:dyDescent="0.35">
      <c r="A59" t="s">
        <v>0</v>
      </c>
      <c r="B59">
        <v>6000</v>
      </c>
      <c r="C59">
        <v>360</v>
      </c>
      <c r="D59">
        <v>339</v>
      </c>
      <c r="E59">
        <v>0</v>
      </c>
      <c r="F59">
        <v>351753499</v>
      </c>
      <c r="G59">
        <v>9974222.1199999992</v>
      </c>
      <c r="H59">
        <v>338785592.88999999</v>
      </c>
      <c r="I59">
        <v>341185124.17000002</v>
      </c>
      <c r="J59">
        <v>9.7480999999999998E-2</v>
      </c>
      <c r="K59">
        <v>2.0081999999999999E-2</v>
      </c>
      <c r="M59" t="s">
        <v>0</v>
      </c>
      <c r="N59">
        <v>4750</v>
      </c>
      <c r="O59">
        <v>192</v>
      </c>
      <c r="P59">
        <v>49532</v>
      </c>
      <c r="Q59">
        <v>0</v>
      </c>
      <c r="R59">
        <v>445107512569</v>
      </c>
      <c r="S59">
        <v>1669294372.4300001</v>
      </c>
      <c r="T59">
        <v>441298949103.95001</v>
      </c>
      <c r="U59">
        <v>443302322255.57001</v>
      </c>
      <c r="V59">
        <v>5.6174000000000002E-2</v>
      </c>
      <c r="W59">
        <v>3.6579999999999998E-3</v>
      </c>
      <c r="Y59" t="s">
        <v>0</v>
      </c>
      <c r="Z59">
        <v>6000</v>
      </c>
      <c r="AA59">
        <v>360</v>
      </c>
      <c r="AB59">
        <v>297</v>
      </c>
      <c r="AC59">
        <v>0</v>
      </c>
      <c r="AD59">
        <v>305324684</v>
      </c>
      <c r="AE59">
        <v>8694736.7899999991</v>
      </c>
      <c r="AF59">
        <v>291322838</v>
      </c>
      <c r="AG59">
        <v>293752438.12</v>
      </c>
      <c r="AH59">
        <v>0.189753</v>
      </c>
      <c r="AI59">
        <v>0.10741100000000001</v>
      </c>
    </row>
    <row r="60" spans="1:35" x14ac:dyDescent="0.35">
      <c r="A60" t="s">
        <v>0</v>
      </c>
      <c r="B60">
        <v>4750</v>
      </c>
      <c r="C60">
        <v>192</v>
      </c>
      <c r="D60">
        <v>49881</v>
      </c>
      <c r="E60">
        <v>0</v>
      </c>
      <c r="F60">
        <v>438161209026</v>
      </c>
      <c r="G60">
        <v>1671227485.8900001</v>
      </c>
      <c r="H60">
        <v>434432936404.23999</v>
      </c>
      <c r="I60">
        <v>436321800469.60999</v>
      </c>
      <c r="J60">
        <v>5.4905000000000002E-2</v>
      </c>
      <c r="K60">
        <v>4.5960000000000003E-3</v>
      </c>
      <c r="M60" t="s">
        <v>0</v>
      </c>
      <c r="N60">
        <v>4000</v>
      </c>
      <c r="O60">
        <v>192</v>
      </c>
      <c r="P60">
        <v>3972</v>
      </c>
      <c r="Q60">
        <v>0</v>
      </c>
      <c r="R60">
        <v>39268272189</v>
      </c>
      <c r="S60">
        <v>156281901.93000001</v>
      </c>
      <c r="T60">
        <v>38905876327.620003</v>
      </c>
      <c r="U60">
        <v>39101370727.760002</v>
      </c>
      <c r="V60">
        <v>6.1199999999999997E-2</v>
      </c>
      <c r="W60">
        <v>3.2399999999999998E-3</v>
      </c>
      <c r="Y60" t="s">
        <v>0</v>
      </c>
      <c r="Z60">
        <v>4750</v>
      </c>
      <c r="AA60">
        <v>192</v>
      </c>
      <c r="AB60">
        <v>50209</v>
      </c>
      <c r="AC60">
        <v>0</v>
      </c>
      <c r="AD60">
        <v>444193505980</v>
      </c>
      <c r="AE60">
        <v>1684821375.8800001</v>
      </c>
      <c r="AF60">
        <v>440369528802</v>
      </c>
      <c r="AG60">
        <v>441718475228.88</v>
      </c>
      <c r="AH60">
        <v>5.6283E-2</v>
      </c>
      <c r="AI60">
        <v>2.1139999999999999E-2</v>
      </c>
    </row>
    <row r="61" spans="1:35" x14ac:dyDescent="0.35">
      <c r="A61" t="s">
        <v>0</v>
      </c>
      <c r="B61">
        <v>4000</v>
      </c>
      <c r="C61">
        <v>192</v>
      </c>
      <c r="D61">
        <v>13195</v>
      </c>
      <c r="E61">
        <v>0</v>
      </c>
      <c r="F61">
        <v>129130944867</v>
      </c>
      <c r="G61">
        <v>500002200.07999998</v>
      </c>
      <c r="H61">
        <v>128108484763.81</v>
      </c>
      <c r="I61">
        <v>128599618709.2</v>
      </c>
      <c r="J61">
        <v>4.7484999999999999E-2</v>
      </c>
      <c r="K61">
        <v>2.9069999999999999E-3</v>
      </c>
      <c r="M61" t="s">
        <v>0</v>
      </c>
      <c r="N61">
        <v>3750</v>
      </c>
      <c r="O61">
        <v>192</v>
      </c>
      <c r="P61">
        <v>530</v>
      </c>
      <c r="Q61">
        <v>0</v>
      </c>
      <c r="R61">
        <v>5027505891</v>
      </c>
      <c r="S61">
        <v>20163006.350000001</v>
      </c>
      <c r="T61">
        <v>4976702648.8199997</v>
      </c>
      <c r="U61">
        <v>5000279003.9799995</v>
      </c>
      <c r="V61">
        <v>7.0732000000000003E-2</v>
      </c>
      <c r="W61">
        <v>1.6730999999999999E-2</v>
      </c>
      <c r="Y61" t="s">
        <v>0</v>
      </c>
      <c r="Z61">
        <v>4000</v>
      </c>
      <c r="AA61">
        <v>192</v>
      </c>
      <c r="AB61">
        <v>9231</v>
      </c>
      <c r="AC61">
        <v>0</v>
      </c>
      <c r="AD61">
        <v>90770725522</v>
      </c>
      <c r="AE61">
        <v>352952247.89999998</v>
      </c>
      <c r="AF61">
        <v>90093538624</v>
      </c>
      <c r="AG61">
        <v>90280962631.809998</v>
      </c>
      <c r="AH61">
        <v>4.2032E-2</v>
      </c>
      <c r="AI61">
        <v>1.7937000000000002E-2</v>
      </c>
    </row>
    <row r="62" spans="1:35" x14ac:dyDescent="0.35">
      <c r="A62" t="s">
        <v>0</v>
      </c>
      <c r="B62">
        <v>3750</v>
      </c>
      <c r="C62">
        <v>192</v>
      </c>
      <c r="D62">
        <v>5026</v>
      </c>
      <c r="E62">
        <v>0</v>
      </c>
      <c r="F62">
        <v>51521136507</v>
      </c>
      <c r="G62">
        <v>199721158.78</v>
      </c>
      <c r="H62">
        <v>51094146315.760002</v>
      </c>
      <c r="I62">
        <v>51305735595.470001</v>
      </c>
      <c r="J62">
        <v>5.1669E-2</v>
      </c>
      <c r="K62">
        <v>3.6459999999999999E-3</v>
      </c>
      <c r="M62" t="s">
        <v>1</v>
      </c>
      <c r="N62">
        <v>4750</v>
      </c>
      <c r="O62">
        <v>192</v>
      </c>
      <c r="P62">
        <v>6307</v>
      </c>
      <c r="Q62">
        <v>0</v>
      </c>
      <c r="R62">
        <v>62351519212</v>
      </c>
      <c r="S62">
        <v>233648842.72</v>
      </c>
      <c r="T62">
        <v>61867820994.830002</v>
      </c>
      <c r="U62">
        <v>62101869295.349998</v>
      </c>
      <c r="V62">
        <v>4.7076E-2</v>
      </c>
      <c r="W62">
        <v>3.075E-3</v>
      </c>
      <c r="Y62" t="s">
        <v>0</v>
      </c>
      <c r="Z62">
        <v>3750</v>
      </c>
      <c r="AA62">
        <v>192</v>
      </c>
      <c r="AB62">
        <v>2915</v>
      </c>
      <c r="AC62">
        <v>0</v>
      </c>
      <c r="AD62">
        <v>29647114596</v>
      </c>
      <c r="AE62">
        <v>115017888.75</v>
      </c>
      <c r="AF62">
        <v>29414498950</v>
      </c>
      <c r="AG62">
        <v>29478750207.93</v>
      </c>
      <c r="AH62">
        <v>4.6573999999999997E-2</v>
      </c>
      <c r="AI62">
        <v>2.138E-2</v>
      </c>
    </row>
    <row r="63" spans="1:35" x14ac:dyDescent="0.35">
      <c r="A63" t="s">
        <v>1</v>
      </c>
      <c r="B63">
        <v>4750</v>
      </c>
      <c r="C63">
        <v>192</v>
      </c>
      <c r="D63">
        <v>6254</v>
      </c>
      <c r="E63">
        <v>0</v>
      </c>
      <c r="F63">
        <v>60546741469</v>
      </c>
      <c r="G63">
        <v>230543960.18000001</v>
      </c>
      <c r="H63">
        <v>60048263744.309998</v>
      </c>
      <c r="I63">
        <v>60298172314.339996</v>
      </c>
      <c r="J63">
        <v>5.1829E-2</v>
      </c>
      <c r="K63">
        <v>3.5669999999999999E-3</v>
      </c>
      <c r="M63" t="s">
        <v>0</v>
      </c>
      <c r="N63">
        <v>20000</v>
      </c>
      <c r="O63">
        <v>360</v>
      </c>
      <c r="P63">
        <v>31</v>
      </c>
      <c r="Q63">
        <v>0</v>
      </c>
      <c r="R63">
        <v>19648188</v>
      </c>
      <c r="S63">
        <v>1113351.6599999999</v>
      </c>
      <c r="T63">
        <v>18378341.100000001</v>
      </c>
      <c r="U63">
        <v>18504972.469999999</v>
      </c>
      <c r="V63">
        <v>9.1500999999999999E-2</v>
      </c>
      <c r="W63">
        <v>1.8086999999999999E-2</v>
      </c>
      <c r="Y63" t="s">
        <v>1</v>
      </c>
      <c r="Z63">
        <v>4750</v>
      </c>
      <c r="AA63">
        <v>192</v>
      </c>
      <c r="AB63">
        <v>6338</v>
      </c>
      <c r="AC63">
        <v>0</v>
      </c>
      <c r="AD63">
        <v>61766297095</v>
      </c>
      <c r="AE63">
        <v>233821292.21000001</v>
      </c>
      <c r="AF63">
        <v>61187202551</v>
      </c>
      <c r="AG63">
        <v>61402227657.690002</v>
      </c>
      <c r="AH63">
        <v>6.5056000000000003E-2</v>
      </c>
      <c r="AI63">
        <v>2.5013000000000001E-2</v>
      </c>
    </row>
    <row r="64" spans="1:35" x14ac:dyDescent="0.35">
      <c r="A64" t="s">
        <v>0</v>
      </c>
      <c r="B64">
        <v>20000</v>
      </c>
      <c r="C64">
        <v>360</v>
      </c>
      <c r="D64">
        <v>25</v>
      </c>
      <c r="E64">
        <v>0</v>
      </c>
      <c r="F64">
        <v>13732491</v>
      </c>
      <c r="G64">
        <v>975868.65</v>
      </c>
      <c r="H64">
        <v>12644885.630000001</v>
      </c>
      <c r="I64">
        <v>12734409.869999999</v>
      </c>
      <c r="J64">
        <v>9.3386999999999998E-2</v>
      </c>
      <c r="K64">
        <v>1.9238000000000002E-2</v>
      </c>
      <c r="M64" t="s">
        <v>2</v>
      </c>
      <c r="N64">
        <v>4250</v>
      </c>
      <c r="O64">
        <v>192</v>
      </c>
      <c r="P64">
        <v>1369</v>
      </c>
      <c r="Q64">
        <v>0</v>
      </c>
      <c r="R64">
        <v>11556168192</v>
      </c>
      <c r="S64">
        <v>43839328.469999999</v>
      </c>
      <c r="T64">
        <v>11467311625.790001</v>
      </c>
      <c r="U64">
        <v>11508156042.440001</v>
      </c>
      <c r="V64">
        <v>4.5758E-2</v>
      </c>
      <c r="W64">
        <v>4.3239999999999997E-3</v>
      </c>
      <c r="Y64" t="s">
        <v>0</v>
      </c>
      <c r="Z64">
        <v>20000</v>
      </c>
      <c r="AA64">
        <v>360</v>
      </c>
      <c r="AB64">
        <v>28</v>
      </c>
      <c r="AC64">
        <v>0</v>
      </c>
      <c r="AD64">
        <v>15689152</v>
      </c>
      <c r="AE64">
        <v>1024877.87</v>
      </c>
      <c r="AF64">
        <v>13732491</v>
      </c>
      <c r="AG64">
        <v>14388757.85</v>
      </c>
      <c r="AH64">
        <v>0.52036199999999999</v>
      </c>
      <c r="AI64">
        <v>0.191523</v>
      </c>
    </row>
    <row r="65" spans="1:35" x14ac:dyDescent="0.35">
      <c r="A65" t="s">
        <v>2</v>
      </c>
      <c r="B65">
        <v>4250</v>
      </c>
      <c r="C65">
        <v>192</v>
      </c>
      <c r="D65">
        <v>3909</v>
      </c>
      <c r="E65">
        <v>0</v>
      </c>
      <c r="F65">
        <v>31458710405</v>
      </c>
      <c r="G65">
        <v>118633343.23</v>
      </c>
      <c r="H65">
        <v>31196364228.240002</v>
      </c>
      <c r="I65">
        <v>31330598178.32</v>
      </c>
      <c r="J65">
        <v>5.3462999999999997E-2</v>
      </c>
      <c r="K65">
        <v>3.6099999999999999E-3</v>
      </c>
      <c r="M65" t="s">
        <v>2</v>
      </c>
      <c r="N65">
        <v>4500</v>
      </c>
      <c r="O65">
        <v>144</v>
      </c>
      <c r="P65">
        <v>11841</v>
      </c>
      <c r="Q65">
        <v>0</v>
      </c>
      <c r="R65">
        <v>97228028967</v>
      </c>
      <c r="S65">
        <v>276901718.62</v>
      </c>
      <c r="T65">
        <v>96407586090.839996</v>
      </c>
      <c r="U65">
        <v>96904061220.960007</v>
      </c>
      <c r="V65">
        <v>6.5060000000000007E-2</v>
      </c>
      <c r="W65">
        <v>5.7939999999999997E-3</v>
      </c>
      <c r="Y65" t="s">
        <v>2</v>
      </c>
      <c r="Z65">
        <v>4250</v>
      </c>
      <c r="AA65">
        <v>192</v>
      </c>
      <c r="AB65">
        <v>3209</v>
      </c>
      <c r="AC65">
        <v>0</v>
      </c>
      <c r="AD65">
        <v>26299389134</v>
      </c>
      <c r="AE65">
        <v>98946175.670000002</v>
      </c>
      <c r="AF65">
        <v>26111623129</v>
      </c>
      <c r="AG65">
        <v>26172311548.360001</v>
      </c>
      <c r="AH65">
        <v>3.9782999999999999E-2</v>
      </c>
      <c r="AI65">
        <v>1.2761E-2</v>
      </c>
    </row>
    <row r="66" spans="1:35" x14ac:dyDescent="0.35">
      <c r="A66" t="s">
        <v>2</v>
      </c>
      <c r="B66">
        <v>4500</v>
      </c>
      <c r="C66">
        <v>144</v>
      </c>
      <c r="D66">
        <v>11089</v>
      </c>
      <c r="E66">
        <v>0</v>
      </c>
      <c r="F66">
        <v>89453076786</v>
      </c>
      <c r="G66">
        <v>254137073.88999999</v>
      </c>
      <c r="H66">
        <v>88716846757.320007</v>
      </c>
      <c r="I66">
        <v>89149896050.470001</v>
      </c>
      <c r="J66">
        <v>6.2788999999999998E-2</v>
      </c>
      <c r="K66">
        <v>6.5589999999999997E-3</v>
      </c>
      <c r="M66" t="s">
        <v>1</v>
      </c>
      <c r="N66">
        <v>5500</v>
      </c>
      <c r="O66">
        <v>240</v>
      </c>
      <c r="P66">
        <v>340</v>
      </c>
      <c r="Q66">
        <v>0</v>
      </c>
      <c r="R66">
        <v>2318621218</v>
      </c>
      <c r="S66">
        <v>13637539.390000001</v>
      </c>
      <c r="T66">
        <v>2295630854.4099998</v>
      </c>
      <c r="U66">
        <v>2304790967.9000001</v>
      </c>
      <c r="V66">
        <v>4.7345999999999999E-2</v>
      </c>
      <c r="W66">
        <v>9.9700000000000006E-4</v>
      </c>
      <c r="Y66" t="s">
        <v>2</v>
      </c>
      <c r="Z66">
        <v>4500</v>
      </c>
      <c r="AA66">
        <v>144</v>
      </c>
      <c r="AB66">
        <v>11515</v>
      </c>
      <c r="AC66">
        <v>0</v>
      </c>
      <c r="AD66">
        <v>93275426449</v>
      </c>
      <c r="AE66">
        <v>264993588.69999999</v>
      </c>
      <c r="AF66">
        <v>92483059661</v>
      </c>
      <c r="AG66">
        <v>92820714717.369995</v>
      </c>
      <c r="AH66">
        <v>6.5777000000000002E-2</v>
      </c>
      <c r="AI66">
        <v>2.4136000000000001E-2</v>
      </c>
    </row>
    <row r="67" spans="1:35" x14ac:dyDescent="0.35">
      <c r="A67" t="s">
        <v>1</v>
      </c>
      <c r="B67">
        <v>5500</v>
      </c>
      <c r="C67">
        <v>240</v>
      </c>
      <c r="D67">
        <v>193</v>
      </c>
      <c r="E67">
        <v>0</v>
      </c>
      <c r="F67">
        <v>1372016121</v>
      </c>
      <c r="G67">
        <v>7852783.4500000002</v>
      </c>
      <c r="H67">
        <v>1358118577.5899999</v>
      </c>
      <c r="I67">
        <v>1363716534.9300001</v>
      </c>
      <c r="J67">
        <v>5.1607E-2</v>
      </c>
      <c r="K67">
        <v>3.901E-3</v>
      </c>
      <c r="M67" t="s">
        <v>0</v>
      </c>
      <c r="N67">
        <v>5500</v>
      </c>
      <c r="O67">
        <v>240</v>
      </c>
      <c r="P67">
        <v>1857</v>
      </c>
      <c r="Q67">
        <v>0</v>
      </c>
      <c r="R67">
        <v>9989477225</v>
      </c>
      <c r="S67">
        <v>58596951.670000002</v>
      </c>
      <c r="T67">
        <v>9881361382.3500004</v>
      </c>
      <c r="U67">
        <v>9924037250.2000008</v>
      </c>
      <c r="V67">
        <v>5.7889999999999997E-2</v>
      </c>
      <c r="W67">
        <v>8.1890000000000001E-3</v>
      </c>
      <c r="Y67" t="s">
        <v>1</v>
      </c>
      <c r="Z67">
        <v>5500</v>
      </c>
      <c r="AA67">
        <v>240</v>
      </c>
      <c r="AB67">
        <v>205</v>
      </c>
      <c r="AC67">
        <v>0</v>
      </c>
      <c r="AD67">
        <v>1456816904</v>
      </c>
      <c r="AE67">
        <v>8349726.7800000003</v>
      </c>
      <c r="AF67">
        <v>1410163863</v>
      </c>
      <c r="AG67">
        <v>1424355999.8699999</v>
      </c>
      <c r="AH67">
        <v>0.27365600000000001</v>
      </c>
      <c r="AI67">
        <v>0.18148900000000001</v>
      </c>
    </row>
    <row r="68" spans="1:35" x14ac:dyDescent="0.35">
      <c r="A68" t="s">
        <v>0</v>
      </c>
      <c r="B68">
        <v>5500</v>
      </c>
      <c r="C68">
        <v>240</v>
      </c>
      <c r="D68">
        <v>1262</v>
      </c>
      <c r="E68">
        <v>0</v>
      </c>
      <c r="F68">
        <v>7077028849</v>
      </c>
      <c r="G68">
        <v>40621579.689999998</v>
      </c>
      <c r="H68">
        <v>7004290861.0900002</v>
      </c>
      <c r="I68">
        <v>7029844987.79</v>
      </c>
      <c r="J68">
        <v>5.3119E-2</v>
      </c>
      <c r="K68">
        <v>1.1070999999999999E-2</v>
      </c>
      <c r="M68" t="s">
        <v>0</v>
      </c>
      <c r="N68">
        <v>6500</v>
      </c>
      <c r="O68">
        <v>240</v>
      </c>
      <c r="P68">
        <v>8685</v>
      </c>
      <c r="Q68">
        <v>0</v>
      </c>
      <c r="R68">
        <v>47520910719</v>
      </c>
      <c r="S68">
        <v>248038837.09999999</v>
      </c>
      <c r="T68">
        <v>47044257257.760002</v>
      </c>
      <c r="U68">
        <v>47227416996.360001</v>
      </c>
      <c r="V68">
        <v>5.6226999999999999E-2</v>
      </c>
      <c r="W68">
        <v>1.1417999999999999E-2</v>
      </c>
      <c r="Y68" t="s">
        <v>0</v>
      </c>
      <c r="Z68">
        <v>5500</v>
      </c>
      <c r="AA68">
        <v>240</v>
      </c>
      <c r="AB68">
        <v>1337</v>
      </c>
      <c r="AC68">
        <v>0</v>
      </c>
      <c r="AD68">
        <v>7336644795</v>
      </c>
      <c r="AE68">
        <v>42296814.32</v>
      </c>
      <c r="AF68">
        <v>7249258901</v>
      </c>
      <c r="AG68">
        <v>7278623807.1700001</v>
      </c>
      <c r="AH68">
        <v>7.1305999999999994E-2</v>
      </c>
      <c r="AI68">
        <v>2.5418E-2</v>
      </c>
    </row>
    <row r="69" spans="1:35" x14ac:dyDescent="0.35">
      <c r="A69" t="s">
        <v>0</v>
      </c>
      <c r="B69">
        <v>6500</v>
      </c>
      <c r="C69">
        <v>240</v>
      </c>
      <c r="D69">
        <v>9184</v>
      </c>
      <c r="E69">
        <v>0</v>
      </c>
      <c r="F69">
        <v>51615974669</v>
      </c>
      <c r="G69">
        <v>269647631.22000003</v>
      </c>
      <c r="H69">
        <v>51066640119.709999</v>
      </c>
      <c r="I69">
        <v>51273733337.93</v>
      </c>
      <c r="J69">
        <v>6.3119999999999996E-2</v>
      </c>
      <c r="K69">
        <v>1.6747000000000001E-2</v>
      </c>
      <c r="M69" t="s">
        <v>0</v>
      </c>
      <c r="N69">
        <v>6500</v>
      </c>
      <c r="O69">
        <v>216</v>
      </c>
      <c r="P69">
        <v>13780</v>
      </c>
      <c r="Q69">
        <v>0</v>
      </c>
      <c r="R69">
        <v>90832614426</v>
      </c>
      <c r="S69">
        <v>382722846.69</v>
      </c>
      <c r="T69">
        <v>89980835417.779999</v>
      </c>
      <c r="U69">
        <v>90363219474.160004</v>
      </c>
      <c r="V69">
        <v>6.0236999999999999E-2</v>
      </c>
      <c r="W69">
        <v>1.1390000000000001E-2</v>
      </c>
      <c r="Y69" t="s">
        <v>0</v>
      </c>
      <c r="Z69">
        <v>6500</v>
      </c>
      <c r="AA69">
        <v>240</v>
      </c>
      <c r="AB69">
        <v>9025</v>
      </c>
      <c r="AC69">
        <v>0</v>
      </c>
      <c r="AD69">
        <v>50291849034</v>
      </c>
      <c r="AE69">
        <v>263017049.00999999</v>
      </c>
      <c r="AF69">
        <v>49615543772</v>
      </c>
      <c r="AG69">
        <v>49827288715.870003</v>
      </c>
      <c r="AH69">
        <v>9.4275999999999999E-2</v>
      </c>
      <c r="AI69">
        <v>4.7044000000000002E-2</v>
      </c>
    </row>
    <row r="70" spans="1:35" x14ac:dyDescent="0.35">
      <c r="A70" t="s">
        <v>0</v>
      </c>
      <c r="B70">
        <v>7000</v>
      </c>
      <c r="C70">
        <v>240</v>
      </c>
      <c r="D70">
        <v>4918</v>
      </c>
      <c r="E70">
        <v>0</v>
      </c>
      <c r="F70">
        <v>25211403348</v>
      </c>
      <c r="G70">
        <v>125407078.37</v>
      </c>
      <c r="H70">
        <v>24967003563.27</v>
      </c>
      <c r="I70">
        <v>25065570880.259998</v>
      </c>
      <c r="J70">
        <v>5.5190000000000003E-2</v>
      </c>
      <c r="K70">
        <v>9.6790000000000001E-3</v>
      </c>
      <c r="M70" t="s">
        <v>0</v>
      </c>
      <c r="N70">
        <v>7000</v>
      </c>
      <c r="O70">
        <v>216</v>
      </c>
      <c r="P70">
        <v>5586</v>
      </c>
      <c r="Q70">
        <v>0</v>
      </c>
      <c r="R70">
        <v>31646113963</v>
      </c>
      <c r="S70">
        <v>129942960.98999999</v>
      </c>
      <c r="T70">
        <v>31326931529.220001</v>
      </c>
      <c r="U70">
        <v>31470624488.040001</v>
      </c>
      <c r="V70">
        <v>6.9445000000000007E-2</v>
      </c>
      <c r="W70">
        <v>1.7135000000000001E-2</v>
      </c>
      <c r="Y70" t="s">
        <v>0</v>
      </c>
      <c r="Z70">
        <v>7000</v>
      </c>
      <c r="AA70">
        <v>240</v>
      </c>
      <c r="AB70">
        <v>4690</v>
      </c>
      <c r="AC70">
        <v>0</v>
      </c>
      <c r="AD70">
        <v>23990623044</v>
      </c>
      <c r="AE70">
        <v>118966839.65000001</v>
      </c>
      <c r="AF70">
        <v>23633137765</v>
      </c>
      <c r="AG70">
        <v>23749242755.32</v>
      </c>
      <c r="AH70">
        <v>0.112993</v>
      </c>
      <c r="AI70">
        <v>5.9540999999999997E-2</v>
      </c>
    </row>
    <row r="71" spans="1:35" x14ac:dyDescent="0.35">
      <c r="A71" t="s">
        <v>0</v>
      </c>
      <c r="B71">
        <v>5250</v>
      </c>
      <c r="C71">
        <v>192</v>
      </c>
      <c r="D71">
        <v>35935</v>
      </c>
      <c r="E71">
        <v>0</v>
      </c>
      <c r="F71">
        <v>278625127417</v>
      </c>
      <c r="G71">
        <v>1074075188.5699999</v>
      </c>
      <c r="H71">
        <v>276159974647.14001</v>
      </c>
      <c r="I71">
        <v>277406876546.44</v>
      </c>
      <c r="J71">
        <v>5.8293999999999999E-2</v>
      </c>
      <c r="K71">
        <v>6.1919999999999996E-3</v>
      </c>
      <c r="M71" t="s">
        <v>0</v>
      </c>
      <c r="N71">
        <v>6000</v>
      </c>
      <c r="O71">
        <v>216</v>
      </c>
      <c r="P71">
        <v>18021</v>
      </c>
      <c r="Q71">
        <v>0</v>
      </c>
      <c r="R71">
        <v>127075973897</v>
      </c>
      <c r="S71">
        <v>543396270.14999998</v>
      </c>
      <c r="T71">
        <v>125866753429.66</v>
      </c>
      <c r="U71">
        <v>126435465528.08</v>
      </c>
      <c r="V71">
        <v>6.1094000000000002E-2</v>
      </c>
      <c r="W71">
        <v>9.1319999999999995E-3</v>
      </c>
      <c r="Y71" t="s">
        <v>0</v>
      </c>
      <c r="Z71">
        <v>5250</v>
      </c>
      <c r="AA71">
        <v>192</v>
      </c>
      <c r="AB71">
        <v>39963</v>
      </c>
      <c r="AC71">
        <v>0</v>
      </c>
      <c r="AD71">
        <v>313537672783</v>
      </c>
      <c r="AE71">
        <v>1206207551.0599999</v>
      </c>
      <c r="AF71">
        <v>310519017996</v>
      </c>
      <c r="AG71">
        <v>311705099750.84003</v>
      </c>
      <c r="AH71">
        <v>6.7204E-2</v>
      </c>
      <c r="AI71">
        <v>2.3710999999999999E-2</v>
      </c>
    </row>
    <row r="72" spans="1:35" x14ac:dyDescent="0.35">
      <c r="A72" t="s">
        <v>1</v>
      </c>
      <c r="B72">
        <v>6000</v>
      </c>
      <c r="C72">
        <v>240</v>
      </c>
      <c r="D72">
        <v>711</v>
      </c>
      <c r="E72">
        <v>0</v>
      </c>
      <c r="F72">
        <v>5159716852</v>
      </c>
      <c r="G72">
        <v>28470707.719999999</v>
      </c>
      <c r="H72">
        <v>5106209802.8699999</v>
      </c>
      <c r="I72">
        <v>5129652592.1499996</v>
      </c>
      <c r="J72">
        <v>5.6697999999999998E-2</v>
      </c>
      <c r="K72">
        <v>3.7000000000000002E-3</v>
      </c>
      <c r="M72" t="s">
        <v>0</v>
      </c>
      <c r="N72">
        <v>5250</v>
      </c>
      <c r="O72">
        <v>192</v>
      </c>
      <c r="P72">
        <v>45209</v>
      </c>
      <c r="Q72">
        <v>0</v>
      </c>
      <c r="R72">
        <v>361664865630</v>
      </c>
      <c r="S72">
        <v>1379892788.54</v>
      </c>
      <c r="T72">
        <v>358301103494.94</v>
      </c>
      <c r="U72">
        <v>360123337820.69</v>
      </c>
      <c r="V72">
        <v>6.3875000000000001E-2</v>
      </c>
      <c r="W72">
        <v>5.3499999999999997E-3</v>
      </c>
      <c r="Y72" t="s">
        <v>1</v>
      </c>
      <c r="Z72">
        <v>6000</v>
      </c>
      <c r="AA72">
        <v>240</v>
      </c>
      <c r="AB72">
        <v>761</v>
      </c>
      <c r="AC72">
        <v>0</v>
      </c>
      <c r="AD72">
        <v>5485972943</v>
      </c>
      <c r="AE72">
        <v>30447328.07</v>
      </c>
      <c r="AF72">
        <v>5408629609</v>
      </c>
      <c r="AG72">
        <v>5430399221.9099998</v>
      </c>
      <c r="AH72">
        <v>9.7892000000000007E-2</v>
      </c>
      <c r="AI72">
        <v>5.3598E-2</v>
      </c>
    </row>
    <row r="73" spans="1:35" x14ac:dyDescent="0.35">
      <c r="A73" t="s">
        <v>1</v>
      </c>
      <c r="B73">
        <v>7000</v>
      </c>
      <c r="C73">
        <v>240</v>
      </c>
      <c r="D73">
        <v>269</v>
      </c>
      <c r="E73">
        <v>0</v>
      </c>
      <c r="F73">
        <v>1601227046</v>
      </c>
      <c r="G73">
        <v>7994385.8899999997</v>
      </c>
      <c r="H73">
        <v>1581993942.2</v>
      </c>
      <c r="I73">
        <v>1592334684.8900001</v>
      </c>
      <c r="J73">
        <v>8.1048999999999996E-2</v>
      </c>
      <c r="K73">
        <v>6.7089999999999997E-3</v>
      </c>
      <c r="M73" t="s">
        <v>1</v>
      </c>
      <c r="N73">
        <v>6000</v>
      </c>
      <c r="O73">
        <v>216</v>
      </c>
      <c r="P73">
        <v>1018</v>
      </c>
      <c r="Q73">
        <v>0</v>
      </c>
      <c r="R73">
        <v>8217227011</v>
      </c>
      <c r="S73">
        <v>35868011</v>
      </c>
      <c r="T73">
        <v>8151484705.8299999</v>
      </c>
      <c r="U73">
        <v>8179170951.9899998</v>
      </c>
      <c r="V73">
        <v>4.2764999999999997E-2</v>
      </c>
      <c r="W73">
        <v>3.1909999999999998E-3</v>
      </c>
      <c r="Y73" t="s">
        <v>1</v>
      </c>
      <c r="Z73">
        <v>7000</v>
      </c>
      <c r="AA73">
        <v>240</v>
      </c>
      <c r="AB73">
        <v>260</v>
      </c>
      <c r="AC73">
        <v>0</v>
      </c>
      <c r="AD73">
        <v>1541265791</v>
      </c>
      <c r="AE73">
        <v>7656720.9000000004</v>
      </c>
      <c r="AF73">
        <v>1517904722</v>
      </c>
      <c r="AG73">
        <v>1530521116.0799999</v>
      </c>
      <c r="AH73">
        <v>0.115646</v>
      </c>
      <c r="AI73">
        <v>2.3779000000000002E-2</v>
      </c>
    </row>
    <row r="74" spans="1:35" x14ac:dyDescent="0.35">
      <c r="A74" t="s">
        <v>1</v>
      </c>
      <c r="B74">
        <v>5500</v>
      </c>
      <c r="C74">
        <v>320</v>
      </c>
      <c r="D74">
        <v>4942</v>
      </c>
      <c r="E74">
        <v>0</v>
      </c>
      <c r="F74">
        <v>21618904561</v>
      </c>
      <c r="G74">
        <v>179069207.41</v>
      </c>
      <c r="H74">
        <v>21181156601.5</v>
      </c>
      <c r="I74">
        <v>21266917774.619999</v>
      </c>
      <c r="J74">
        <v>0.13450200000000001</v>
      </c>
      <c r="K74">
        <v>9.1869999999999993E-2</v>
      </c>
      <c r="M74" t="s">
        <v>1</v>
      </c>
      <c r="N74">
        <v>6500</v>
      </c>
      <c r="O74">
        <v>216</v>
      </c>
      <c r="P74">
        <v>570</v>
      </c>
      <c r="Q74">
        <v>0</v>
      </c>
      <c r="R74">
        <v>4160080476</v>
      </c>
      <c r="S74">
        <v>17782302.18</v>
      </c>
      <c r="T74">
        <v>4127999542.0799999</v>
      </c>
      <c r="U74">
        <v>4141339553.48</v>
      </c>
      <c r="V74">
        <v>4.0474000000000003E-2</v>
      </c>
      <c r="W74">
        <v>2.7620000000000001E-3</v>
      </c>
      <c r="Y74" t="s">
        <v>1</v>
      </c>
      <c r="Z74">
        <v>5500</v>
      </c>
      <c r="AA74">
        <v>320</v>
      </c>
      <c r="AB74">
        <v>4969</v>
      </c>
      <c r="AC74">
        <v>0</v>
      </c>
      <c r="AD74">
        <v>21908135064</v>
      </c>
      <c r="AE74">
        <v>179335940.52000001</v>
      </c>
      <c r="AF74">
        <v>21528323623</v>
      </c>
      <c r="AG74">
        <v>21634219968.869999</v>
      </c>
      <c r="AH74">
        <v>0.104447</v>
      </c>
      <c r="AI74">
        <v>5.0591999999999998E-2</v>
      </c>
    </row>
    <row r="75" spans="1:35" x14ac:dyDescent="0.35">
      <c r="A75" t="s">
        <v>1</v>
      </c>
      <c r="B75">
        <v>5500</v>
      </c>
      <c r="C75">
        <v>216</v>
      </c>
      <c r="D75">
        <v>2417</v>
      </c>
      <c r="E75">
        <v>0</v>
      </c>
      <c r="F75">
        <v>20496662174</v>
      </c>
      <c r="G75">
        <v>87841822.560000002</v>
      </c>
      <c r="H75">
        <v>20308141301.299999</v>
      </c>
      <c r="I75">
        <v>20399813850.290001</v>
      </c>
      <c r="J75">
        <v>5.7376999999999997E-2</v>
      </c>
      <c r="K75">
        <v>5.2599999999999999E-3</v>
      </c>
      <c r="M75" t="s">
        <v>1</v>
      </c>
      <c r="N75">
        <v>7000</v>
      </c>
      <c r="O75">
        <v>216</v>
      </c>
      <c r="P75">
        <v>162</v>
      </c>
      <c r="Q75">
        <v>0</v>
      </c>
      <c r="R75">
        <v>968878968</v>
      </c>
      <c r="S75">
        <v>4031821.41</v>
      </c>
      <c r="T75">
        <v>959208660.32000005</v>
      </c>
      <c r="U75">
        <v>964643260.82000005</v>
      </c>
      <c r="V75">
        <v>6.7642999999999995E-2</v>
      </c>
      <c r="W75">
        <v>2.5219999999999999E-3</v>
      </c>
      <c r="Y75" t="s">
        <v>0</v>
      </c>
      <c r="Z75">
        <v>5500</v>
      </c>
      <c r="AA75">
        <v>216</v>
      </c>
      <c r="AB75">
        <v>42777</v>
      </c>
      <c r="AC75">
        <v>0</v>
      </c>
      <c r="AD75">
        <v>334093177481</v>
      </c>
      <c r="AE75">
        <v>1400220357.49</v>
      </c>
      <c r="AF75">
        <v>330514235015.02002</v>
      </c>
      <c r="AG75">
        <v>332057258031.15997</v>
      </c>
      <c r="AH75">
        <v>7.5509000000000007E-2</v>
      </c>
      <c r="AI75">
        <v>2.2596000000000002E-2</v>
      </c>
    </row>
    <row r="76" spans="1:35" x14ac:dyDescent="0.35">
      <c r="A76" t="s">
        <v>0</v>
      </c>
      <c r="B76">
        <v>5500</v>
      </c>
      <c r="C76">
        <v>216</v>
      </c>
      <c r="D76">
        <v>46559</v>
      </c>
      <c r="E76">
        <v>0</v>
      </c>
      <c r="F76">
        <v>360126959017</v>
      </c>
      <c r="G76">
        <v>1515956443</v>
      </c>
      <c r="H76">
        <v>356893526066.21997</v>
      </c>
      <c r="I76">
        <v>358385264783.54999</v>
      </c>
      <c r="J76">
        <v>5.5752000000000003E-2</v>
      </c>
      <c r="K76">
        <v>7.4960000000000001E-3</v>
      </c>
      <c r="M76" t="s">
        <v>1</v>
      </c>
      <c r="N76">
        <v>5500</v>
      </c>
      <c r="O76">
        <v>320</v>
      </c>
      <c r="P76">
        <v>4931</v>
      </c>
      <c r="Q76">
        <v>0</v>
      </c>
      <c r="R76">
        <v>21821693166</v>
      </c>
      <c r="S76">
        <v>175866197.37</v>
      </c>
      <c r="T76">
        <v>21387132435.560001</v>
      </c>
      <c r="U76">
        <v>21490191552.68</v>
      </c>
      <c r="V76">
        <v>0.13333999999999999</v>
      </c>
      <c r="W76">
        <v>8.2307000000000005E-2</v>
      </c>
      <c r="Y76" t="s">
        <v>1</v>
      </c>
      <c r="Z76">
        <v>6000</v>
      </c>
      <c r="AA76">
        <v>216</v>
      </c>
      <c r="AB76">
        <v>1013</v>
      </c>
      <c r="AC76">
        <v>0</v>
      </c>
      <c r="AD76">
        <v>8029176061</v>
      </c>
      <c r="AE76">
        <v>35414949.25</v>
      </c>
      <c r="AF76">
        <v>7915541093</v>
      </c>
      <c r="AG76">
        <v>7964694812.5500002</v>
      </c>
      <c r="AH76">
        <v>0.11083899999999999</v>
      </c>
      <c r="AI76">
        <v>4.2585999999999999E-2</v>
      </c>
    </row>
    <row r="77" spans="1:35" x14ac:dyDescent="0.35">
      <c r="A77" t="s">
        <v>1</v>
      </c>
      <c r="B77">
        <v>6000</v>
      </c>
      <c r="C77">
        <v>216</v>
      </c>
      <c r="D77">
        <v>982</v>
      </c>
      <c r="E77">
        <v>0</v>
      </c>
      <c r="F77">
        <v>7739935765</v>
      </c>
      <c r="G77">
        <v>34348446.539999999</v>
      </c>
      <c r="H77">
        <v>7668212221.7200003</v>
      </c>
      <c r="I77">
        <v>7700188291.75</v>
      </c>
      <c r="J77">
        <v>5.6432000000000003E-2</v>
      </c>
      <c r="K77">
        <v>8.3389999999999992E-3</v>
      </c>
      <c r="M77" t="s">
        <v>0</v>
      </c>
      <c r="N77">
        <v>5500</v>
      </c>
      <c r="O77">
        <v>216</v>
      </c>
      <c r="P77">
        <v>33333</v>
      </c>
      <c r="Q77">
        <v>0</v>
      </c>
      <c r="R77">
        <v>262301440896</v>
      </c>
      <c r="S77">
        <v>1093170209.6800001</v>
      </c>
      <c r="T77">
        <v>259925445026.38</v>
      </c>
      <c r="U77">
        <v>261032215620.92001</v>
      </c>
      <c r="V77">
        <v>5.7134999999999998E-2</v>
      </c>
      <c r="W77">
        <v>8.0249999999999991E-3</v>
      </c>
      <c r="Y77" t="s">
        <v>0</v>
      </c>
      <c r="Z77">
        <v>6000</v>
      </c>
      <c r="AA77">
        <v>216</v>
      </c>
      <c r="AB77">
        <v>18945</v>
      </c>
      <c r="AC77">
        <v>0</v>
      </c>
      <c r="AD77">
        <v>131391143850</v>
      </c>
      <c r="AE77">
        <v>567445309.78999996</v>
      </c>
      <c r="AF77">
        <v>130043210681</v>
      </c>
      <c r="AG77">
        <v>130547468405.81</v>
      </c>
      <c r="AH77">
        <v>6.8999000000000005E-2</v>
      </c>
      <c r="AI77">
        <v>2.4938999999999999E-2</v>
      </c>
    </row>
    <row r="78" spans="1:35" x14ac:dyDescent="0.35">
      <c r="A78" t="s">
        <v>0</v>
      </c>
      <c r="B78">
        <v>6000</v>
      </c>
      <c r="C78">
        <v>216</v>
      </c>
      <c r="D78">
        <v>18956</v>
      </c>
      <c r="E78">
        <v>0</v>
      </c>
      <c r="F78">
        <v>130538978056</v>
      </c>
      <c r="G78">
        <v>567347347.99000001</v>
      </c>
      <c r="H78">
        <v>129284192556.62</v>
      </c>
      <c r="I78">
        <v>129862946205.53</v>
      </c>
      <c r="J78">
        <v>6.1394999999999998E-2</v>
      </c>
      <c r="K78">
        <v>9.9450000000000007E-3</v>
      </c>
      <c r="M78" t="s">
        <v>1</v>
      </c>
      <c r="N78">
        <v>5500</v>
      </c>
      <c r="O78">
        <v>216</v>
      </c>
      <c r="P78">
        <v>1886</v>
      </c>
      <c r="Q78">
        <v>0</v>
      </c>
      <c r="R78">
        <v>16433389860</v>
      </c>
      <c r="S78">
        <v>69782194.129999995</v>
      </c>
      <c r="T78">
        <v>16314398832.25</v>
      </c>
      <c r="U78">
        <v>16356515217.110001</v>
      </c>
      <c r="V78">
        <v>3.5347000000000003E-2</v>
      </c>
      <c r="W78">
        <v>5.1669999999999997E-3</v>
      </c>
      <c r="Y78" t="s">
        <v>1</v>
      </c>
      <c r="Z78">
        <v>6500</v>
      </c>
      <c r="AA78">
        <v>216</v>
      </c>
      <c r="AB78">
        <v>489</v>
      </c>
      <c r="AC78">
        <v>0</v>
      </c>
      <c r="AD78">
        <v>3527503973</v>
      </c>
      <c r="AE78">
        <v>15119192.07</v>
      </c>
      <c r="AF78">
        <v>3507278503</v>
      </c>
      <c r="AG78">
        <v>3507278503</v>
      </c>
      <c r="AH78">
        <v>1.7232999999999998E-2</v>
      </c>
      <c r="AI78">
        <v>1.7232999999999998E-2</v>
      </c>
    </row>
    <row r="79" spans="1:35" x14ac:dyDescent="0.35">
      <c r="A79" t="s">
        <v>1</v>
      </c>
      <c r="B79">
        <v>6500</v>
      </c>
      <c r="C79">
        <v>216</v>
      </c>
      <c r="D79">
        <v>442</v>
      </c>
      <c r="E79">
        <v>0</v>
      </c>
      <c r="F79">
        <v>3150171315</v>
      </c>
      <c r="G79">
        <v>13500784.060000001</v>
      </c>
      <c r="H79">
        <v>3117610364.1399999</v>
      </c>
      <c r="I79">
        <v>3132592150.4299998</v>
      </c>
      <c r="J79">
        <v>7.0237999999999995E-2</v>
      </c>
      <c r="K79">
        <v>1.5426E-2</v>
      </c>
      <c r="M79" t="s">
        <v>1</v>
      </c>
      <c r="N79">
        <v>5000</v>
      </c>
      <c r="O79">
        <v>216</v>
      </c>
      <c r="P79">
        <v>3343</v>
      </c>
      <c r="Q79">
        <v>0</v>
      </c>
      <c r="R79">
        <v>31567166316</v>
      </c>
      <c r="S79">
        <v>136219165.06</v>
      </c>
      <c r="T79">
        <v>31325132837.52</v>
      </c>
      <c r="U79">
        <v>31423633139.049999</v>
      </c>
      <c r="V79">
        <v>3.9490999999999998E-2</v>
      </c>
      <c r="W79">
        <v>2.777E-3</v>
      </c>
      <c r="Y79" t="s">
        <v>0</v>
      </c>
      <c r="Z79">
        <v>6500</v>
      </c>
      <c r="AA79">
        <v>216</v>
      </c>
      <c r="AB79">
        <v>12849</v>
      </c>
      <c r="AC79">
        <v>0</v>
      </c>
      <c r="AD79">
        <v>83783914801</v>
      </c>
      <c r="AE79">
        <v>357231453.91000003</v>
      </c>
      <c r="AF79">
        <v>82705020643.720001</v>
      </c>
      <c r="AG79">
        <v>83031431685.880005</v>
      </c>
      <c r="AH79">
        <v>9.8601999999999995E-2</v>
      </c>
      <c r="AI79">
        <v>5.5163999999999998E-2</v>
      </c>
    </row>
    <row r="80" spans="1:35" x14ac:dyDescent="0.35">
      <c r="A80" t="s">
        <v>0</v>
      </c>
      <c r="B80">
        <v>6500</v>
      </c>
      <c r="C80">
        <v>216</v>
      </c>
      <c r="D80">
        <v>12241</v>
      </c>
      <c r="E80">
        <v>0</v>
      </c>
      <c r="F80">
        <v>79477010620</v>
      </c>
      <c r="G80">
        <v>340807793.82999998</v>
      </c>
      <c r="H80">
        <v>78695458738.75</v>
      </c>
      <c r="I80">
        <v>79039971639.809998</v>
      </c>
      <c r="J80">
        <v>6.4554E-2</v>
      </c>
      <c r="K80">
        <v>1.4433E-2</v>
      </c>
      <c r="M80" t="s">
        <v>1</v>
      </c>
      <c r="N80">
        <v>20000</v>
      </c>
      <c r="O80">
        <v>360</v>
      </c>
      <c r="P80">
        <v>5</v>
      </c>
      <c r="Q80">
        <v>0</v>
      </c>
      <c r="R80">
        <v>4567462</v>
      </c>
      <c r="S80">
        <v>236724.28</v>
      </c>
      <c r="T80">
        <v>4270787.03</v>
      </c>
      <c r="U80">
        <v>4330504.13</v>
      </c>
      <c r="V80">
        <v>0.14662</v>
      </c>
      <c r="W80">
        <v>6.1399999999999996E-4</v>
      </c>
      <c r="Y80" t="s">
        <v>1</v>
      </c>
      <c r="Z80">
        <v>5500</v>
      </c>
      <c r="AA80">
        <v>216</v>
      </c>
      <c r="AB80">
        <v>2277</v>
      </c>
      <c r="AC80">
        <v>0</v>
      </c>
      <c r="AD80">
        <v>19543461382</v>
      </c>
      <c r="AE80">
        <v>83387773.620000005</v>
      </c>
      <c r="AF80">
        <v>19316790292</v>
      </c>
      <c r="AG80">
        <v>19403987286.48</v>
      </c>
      <c r="AH80">
        <v>8.4515999999999994E-2</v>
      </c>
      <c r="AI80">
        <v>3.39E-2</v>
      </c>
    </row>
    <row r="81" spans="1:35" x14ac:dyDescent="0.35">
      <c r="A81" t="s">
        <v>1</v>
      </c>
      <c r="B81">
        <v>7000</v>
      </c>
      <c r="C81">
        <v>216</v>
      </c>
      <c r="D81">
        <v>110</v>
      </c>
      <c r="E81">
        <v>0</v>
      </c>
      <c r="F81">
        <v>658258225</v>
      </c>
      <c r="G81">
        <v>2740836.69</v>
      </c>
      <c r="H81">
        <v>651509384.13</v>
      </c>
      <c r="I81">
        <v>655494125.42999995</v>
      </c>
      <c r="J81">
        <v>7.0667999999999995E-2</v>
      </c>
      <c r="K81">
        <v>4.2400000000000001E-4</v>
      </c>
      <c r="M81" t="s">
        <v>0</v>
      </c>
      <c r="N81">
        <v>9000</v>
      </c>
      <c r="O81">
        <v>320</v>
      </c>
      <c r="P81">
        <v>662</v>
      </c>
      <c r="Q81">
        <v>0</v>
      </c>
      <c r="R81">
        <v>1208247086</v>
      </c>
      <c r="S81">
        <v>17595093.539999999</v>
      </c>
      <c r="T81">
        <v>1180598956.9200001</v>
      </c>
      <c r="U81">
        <v>1188448419.3399999</v>
      </c>
      <c r="V81">
        <v>9.5398999999999998E-2</v>
      </c>
      <c r="W81">
        <v>2.1666999999999999E-2</v>
      </c>
      <c r="Y81" t="s">
        <v>1</v>
      </c>
      <c r="Z81">
        <v>7000</v>
      </c>
      <c r="AA81">
        <v>216</v>
      </c>
      <c r="AB81">
        <v>126</v>
      </c>
      <c r="AC81">
        <v>0</v>
      </c>
      <c r="AD81">
        <v>769286954</v>
      </c>
      <c r="AE81">
        <v>3194565.67</v>
      </c>
      <c r="AF81">
        <v>745747278</v>
      </c>
      <c r="AG81">
        <v>759915603.37</v>
      </c>
      <c r="AH81">
        <v>0.275036</v>
      </c>
      <c r="AI81">
        <v>9.2207999999999998E-2</v>
      </c>
    </row>
    <row r="82" spans="1:35" x14ac:dyDescent="0.35">
      <c r="A82" t="s">
        <v>1</v>
      </c>
      <c r="B82">
        <v>20000</v>
      </c>
      <c r="C82">
        <v>360</v>
      </c>
      <c r="D82">
        <v>4</v>
      </c>
      <c r="E82">
        <v>0</v>
      </c>
      <c r="F82">
        <v>3958109</v>
      </c>
      <c r="G82">
        <v>248576.13</v>
      </c>
      <c r="H82">
        <v>3657367.25</v>
      </c>
      <c r="I82">
        <v>3688773.55</v>
      </c>
      <c r="J82">
        <v>0.147178</v>
      </c>
      <c r="K82">
        <v>6.1152999999999999E-2</v>
      </c>
      <c r="M82" t="s">
        <v>2</v>
      </c>
      <c r="N82">
        <v>8500</v>
      </c>
      <c r="O82">
        <v>320</v>
      </c>
      <c r="P82">
        <v>77</v>
      </c>
      <c r="Q82">
        <v>0</v>
      </c>
      <c r="R82">
        <v>144663271</v>
      </c>
      <c r="S82">
        <v>2170920.2000000002</v>
      </c>
      <c r="T82">
        <v>141660892.34</v>
      </c>
      <c r="U82">
        <v>142366572.91999999</v>
      </c>
      <c r="V82">
        <v>6.6831000000000002E-2</v>
      </c>
      <c r="W82">
        <v>1.0383999999999999E-2</v>
      </c>
      <c r="Y82" t="s">
        <v>1</v>
      </c>
      <c r="Z82">
        <v>20000</v>
      </c>
      <c r="AA82">
        <v>360</v>
      </c>
      <c r="AB82">
        <v>5</v>
      </c>
      <c r="AC82">
        <v>0</v>
      </c>
      <c r="AD82">
        <v>4344647</v>
      </c>
      <c r="AE82">
        <v>256485.1</v>
      </c>
      <c r="AF82">
        <v>3958109</v>
      </c>
      <c r="AG82">
        <v>4022174.85</v>
      </c>
      <c r="AH82">
        <v>0.305591</v>
      </c>
      <c r="AI82">
        <v>0.16777800000000001</v>
      </c>
    </row>
    <row r="83" spans="1:35" x14ac:dyDescent="0.35">
      <c r="A83" t="s">
        <v>0</v>
      </c>
      <c r="B83">
        <v>9000</v>
      </c>
      <c r="C83">
        <v>320</v>
      </c>
      <c r="D83">
        <v>644</v>
      </c>
      <c r="E83">
        <v>0</v>
      </c>
      <c r="F83">
        <v>1123346118</v>
      </c>
      <c r="G83">
        <v>17467018.469999999</v>
      </c>
      <c r="H83">
        <v>1096204803.0799999</v>
      </c>
      <c r="I83">
        <v>1102033583.4100001</v>
      </c>
      <c r="J83">
        <v>9.8586999999999994E-2</v>
      </c>
      <c r="K83">
        <v>4.0314999999999997E-2</v>
      </c>
      <c r="M83" t="s">
        <v>2</v>
      </c>
      <c r="N83">
        <v>9000</v>
      </c>
      <c r="O83">
        <v>320</v>
      </c>
      <c r="P83">
        <v>40</v>
      </c>
      <c r="Q83">
        <v>0</v>
      </c>
      <c r="R83">
        <v>68335380</v>
      </c>
      <c r="S83">
        <v>986388.42</v>
      </c>
      <c r="T83">
        <v>66956002.840000004</v>
      </c>
      <c r="U83">
        <v>67316981.5</v>
      </c>
      <c r="V83">
        <v>6.6868999999999998E-2</v>
      </c>
      <c r="W83">
        <v>5.607E-3</v>
      </c>
      <c r="Y83" t="s">
        <v>0</v>
      </c>
      <c r="Z83">
        <v>9000</v>
      </c>
      <c r="AA83">
        <v>320</v>
      </c>
      <c r="AB83">
        <v>648</v>
      </c>
      <c r="AC83">
        <v>0</v>
      </c>
      <c r="AD83">
        <v>1148654320</v>
      </c>
      <c r="AE83">
        <v>17484738.010000002</v>
      </c>
      <c r="AF83">
        <v>1121131745</v>
      </c>
      <c r="AG83">
        <v>1124880267.9200001</v>
      </c>
      <c r="AH83">
        <v>9.9969000000000002E-2</v>
      </c>
      <c r="AI83">
        <v>6.3761999999999999E-2</v>
      </c>
    </row>
    <row r="84" spans="1:35" x14ac:dyDescent="0.35">
      <c r="A84" t="s">
        <v>2</v>
      </c>
      <c r="B84">
        <v>8500</v>
      </c>
      <c r="C84">
        <v>320</v>
      </c>
      <c r="D84">
        <v>74</v>
      </c>
      <c r="E84">
        <v>0</v>
      </c>
      <c r="F84">
        <v>134900001</v>
      </c>
      <c r="G84">
        <v>2163817.5099999998</v>
      </c>
      <c r="H84">
        <v>131976459.40000001</v>
      </c>
      <c r="I84">
        <v>132618144.86</v>
      </c>
      <c r="J84">
        <v>6.5527000000000002E-2</v>
      </c>
      <c r="K84">
        <v>1.0449999999999999E-2</v>
      </c>
      <c r="M84" t="s">
        <v>0</v>
      </c>
      <c r="N84">
        <v>20000</v>
      </c>
      <c r="O84">
        <v>320</v>
      </c>
      <c r="P84">
        <v>98</v>
      </c>
      <c r="Q84">
        <v>0</v>
      </c>
      <c r="R84">
        <v>177939357</v>
      </c>
      <c r="S84">
        <v>2476263.96</v>
      </c>
      <c r="T84">
        <v>173981604.97999999</v>
      </c>
      <c r="U84">
        <v>175078170.90000001</v>
      </c>
      <c r="V84">
        <v>9.5459000000000002E-2</v>
      </c>
      <c r="W84">
        <v>2.5652000000000001E-2</v>
      </c>
      <c r="Y84" t="s">
        <v>2</v>
      </c>
      <c r="Z84">
        <v>8500</v>
      </c>
      <c r="AA84">
        <v>320</v>
      </c>
      <c r="AB84">
        <v>76</v>
      </c>
      <c r="AC84">
        <v>0</v>
      </c>
      <c r="AD84">
        <v>138896550</v>
      </c>
      <c r="AE84">
        <v>2179031.0699999998</v>
      </c>
      <c r="AF84">
        <v>134900001</v>
      </c>
      <c r="AG84">
        <v>134900001</v>
      </c>
      <c r="AH84">
        <v>0.146203</v>
      </c>
      <c r="AI84">
        <v>0.146203</v>
      </c>
    </row>
    <row r="85" spans="1:35" x14ac:dyDescent="0.35">
      <c r="A85" t="s">
        <v>2</v>
      </c>
      <c r="B85">
        <v>9000</v>
      </c>
      <c r="C85">
        <v>320</v>
      </c>
      <c r="D85">
        <v>40</v>
      </c>
      <c r="E85">
        <v>0</v>
      </c>
      <c r="F85">
        <v>64328362</v>
      </c>
      <c r="G85">
        <v>991274.81</v>
      </c>
      <c r="H85">
        <v>62974573.299999997</v>
      </c>
      <c r="I85">
        <v>63315625.310000002</v>
      </c>
      <c r="J85">
        <v>6.5567E-2</v>
      </c>
      <c r="K85">
        <v>3.9960000000000004E-3</v>
      </c>
      <c r="M85" t="s">
        <v>0</v>
      </c>
      <c r="N85">
        <v>5000</v>
      </c>
      <c r="O85">
        <v>216</v>
      </c>
      <c r="P85">
        <v>33455</v>
      </c>
      <c r="Q85">
        <v>0</v>
      </c>
      <c r="R85">
        <v>298332287324</v>
      </c>
      <c r="S85">
        <v>1280342710.8</v>
      </c>
      <c r="T85">
        <v>295729166990.38</v>
      </c>
      <c r="U85">
        <v>296942045648.66998</v>
      </c>
      <c r="V85">
        <v>5.1928000000000002E-2</v>
      </c>
      <c r="W85">
        <v>4.4120000000000001E-3</v>
      </c>
      <c r="Y85" t="s">
        <v>2</v>
      </c>
      <c r="Z85">
        <v>9000</v>
      </c>
      <c r="AA85">
        <v>320</v>
      </c>
      <c r="AB85">
        <v>40</v>
      </c>
      <c r="AC85">
        <v>0</v>
      </c>
      <c r="AD85">
        <v>65639824</v>
      </c>
      <c r="AE85">
        <v>989484.93</v>
      </c>
      <c r="AF85">
        <v>64328362</v>
      </c>
      <c r="AG85">
        <v>64328362</v>
      </c>
      <c r="AH85">
        <v>5.7299999999999997E-2</v>
      </c>
      <c r="AI85">
        <v>5.7299999999999997E-2</v>
      </c>
    </row>
    <row r="86" spans="1:35" x14ac:dyDescent="0.35">
      <c r="A86" t="s">
        <v>0</v>
      </c>
      <c r="B86">
        <v>20000</v>
      </c>
      <c r="C86">
        <v>320</v>
      </c>
      <c r="D86">
        <v>96</v>
      </c>
      <c r="E86">
        <v>0</v>
      </c>
      <c r="F86">
        <v>166522897</v>
      </c>
      <c r="G86">
        <v>2480304.48</v>
      </c>
      <c r="H86">
        <v>162605724.59</v>
      </c>
      <c r="I86">
        <v>163344109.93000001</v>
      </c>
      <c r="J86">
        <v>9.8768999999999996E-2</v>
      </c>
      <c r="K86">
        <v>4.9188999999999997E-2</v>
      </c>
      <c r="M86" t="s">
        <v>0</v>
      </c>
      <c r="N86">
        <v>4250</v>
      </c>
      <c r="O86">
        <v>192</v>
      </c>
      <c r="P86">
        <v>20500</v>
      </c>
      <c r="Q86">
        <v>0</v>
      </c>
      <c r="R86">
        <v>208897408868</v>
      </c>
      <c r="S86">
        <v>812903019.51999998</v>
      </c>
      <c r="T86">
        <v>207084291653.48999</v>
      </c>
      <c r="U86">
        <v>208028085410.48001</v>
      </c>
      <c r="V86">
        <v>5.5967999999999997E-2</v>
      </c>
      <c r="W86">
        <v>3.2360000000000002E-3</v>
      </c>
      <c r="Y86" t="s">
        <v>0</v>
      </c>
      <c r="Z86">
        <v>20000</v>
      </c>
      <c r="AA86">
        <v>320</v>
      </c>
      <c r="AB86">
        <v>96</v>
      </c>
      <c r="AC86">
        <v>0</v>
      </c>
      <c r="AD86">
        <v>168969602</v>
      </c>
      <c r="AE86">
        <v>2459409.39</v>
      </c>
      <c r="AF86">
        <v>166522897</v>
      </c>
      <c r="AG86">
        <v>166522897</v>
      </c>
      <c r="AH86">
        <v>-9.0300000000000005E-4</v>
      </c>
      <c r="AI86">
        <v>-9.0300000000000005E-4</v>
      </c>
    </row>
    <row r="87" spans="1:35" x14ac:dyDescent="0.35">
      <c r="A87" t="s">
        <v>0</v>
      </c>
      <c r="B87">
        <v>5000</v>
      </c>
      <c r="C87">
        <v>216</v>
      </c>
      <c r="D87">
        <v>45068</v>
      </c>
      <c r="E87">
        <v>0</v>
      </c>
      <c r="F87">
        <v>401577263637</v>
      </c>
      <c r="G87">
        <v>1744312736.72</v>
      </c>
      <c r="H87">
        <v>397894819596.97998</v>
      </c>
      <c r="I87">
        <v>399647372291.52002</v>
      </c>
      <c r="J87">
        <v>5.6403000000000002E-2</v>
      </c>
      <c r="K87">
        <v>5.5310000000000003E-3</v>
      </c>
      <c r="M87" t="s">
        <v>2</v>
      </c>
      <c r="N87">
        <v>5500</v>
      </c>
      <c r="O87">
        <v>216</v>
      </c>
      <c r="P87">
        <v>3998</v>
      </c>
      <c r="Q87">
        <v>0</v>
      </c>
      <c r="R87">
        <v>26259374453</v>
      </c>
      <c r="S87">
        <v>109954160.37</v>
      </c>
      <c r="T87">
        <v>26086137916.279999</v>
      </c>
      <c r="U87">
        <v>26143422205.290001</v>
      </c>
      <c r="V87">
        <v>2.8538999999999998E-2</v>
      </c>
      <c r="W87">
        <v>2.738E-3</v>
      </c>
      <c r="Y87" t="s">
        <v>0</v>
      </c>
      <c r="Z87">
        <v>5000</v>
      </c>
      <c r="AA87">
        <v>216</v>
      </c>
      <c r="AB87">
        <v>40115</v>
      </c>
      <c r="AC87">
        <v>0</v>
      </c>
      <c r="AD87">
        <v>357613051943</v>
      </c>
      <c r="AE87">
        <v>1548707803.1400001</v>
      </c>
      <c r="AF87">
        <v>354009618632</v>
      </c>
      <c r="AG87">
        <v>355417650315.58002</v>
      </c>
      <c r="AH87">
        <v>6.6809999999999994E-2</v>
      </c>
      <c r="AI87">
        <v>2.1486000000000002E-2</v>
      </c>
    </row>
    <row r="88" spans="1:35" x14ac:dyDescent="0.35">
      <c r="A88" t="s">
        <v>0</v>
      </c>
      <c r="B88">
        <v>7000</v>
      </c>
      <c r="C88">
        <v>216</v>
      </c>
      <c r="D88">
        <v>4462</v>
      </c>
      <c r="E88">
        <v>0</v>
      </c>
      <c r="F88">
        <v>24945433785</v>
      </c>
      <c r="G88">
        <v>103543865.68000001</v>
      </c>
      <c r="H88">
        <v>24712204147.68</v>
      </c>
      <c r="I88">
        <v>24811042265.330002</v>
      </c>
      <c r="J88">
        <v>6.0631999999999998E-2</v>
      </c>
      <c r="K88">
        <v>1.4739E-2</v>
      </c>
      <c r="M88" t="s">
        <v>2</v>
      </c>
      <c r="N88">
        <v>5000</v>
      </c>
      <c r="O88">
        <v>216</v>
      </c>
      <c r="P88">
        <v>2918</v>
      </c>
      <c r="Q88">
        <v>0</v>
      </c>
      <c r="R88">
        <v>20957445543</v>
      </c>
      <c r="S88">
        <v>89920226.519999996</v>
      </c>
      <c r="T88">
        <v>20818926416.220001</v>
      </c>
      <c r="U88">
        <v>20862845815.27</v>
      </c>
      <c r="V88">
        <v>2.7474999999999999E-2</v>
      </c>
      <c r="W88">
        <v>2.676E-3</v>
      </c>
      <c r="Y88" t="s">
        <v>0</v>
      </c>
      <c r="Z88">
        <v>7000</v>
      </c>
      <c r="AA88">
        <v>216</v>
      </c>
      <c r="AB88">
        <v>4814</v>
      </c>
      <c r="AC88">
        <v>0</v>
      </c>
      <c r="AD88">
        <v>27038507026</v>
      </c>
      <c r="AE88">
        <v>111761299.79000001</v>
      </c>
      <c r="AF88">
        <v>26669203741</v>
      </c>
      <c r="AG88">
        <v>26732611365</v>
      </c>
      <c r="AH88">
        <v>0.108498</v>
      </c>
      <c r="AI88">
        <v>8.2836999999999994E-2</v>
      </c>
    </row>
    <row r="89" spans="1:35" x14ac:dyDescent="0.35">
      <c r="A89" t="s">
        <v>0</v>
      </c>
      <c r="B89">
        <v>4250</v>
      </c>
      <c r="C89">
        <v>192</v>
      </c>
      <c r="D89">
        <v>32462</v>
      </c>
      <c r="E89">
        <v>0</v>
      </c>
      <c r="F89">
        <v>313155762895</v>
      </c>
      <c r="G89">
        <v>1215355807.25</v>
      </c>
      <c r="H89">
        <v>310594547212.59003</v>
      </c>
      <c r="I89">
        <v>311841332049.13</v>
      </c>
      <c r="J89">
        <v>5.0370999999999999E-2</v>
      </c>
      <c r="K89">
        <v>3.79E-3</v>
      </c>
      <c r="M89" t="s">
        <v>2</v>
      </c>
      <c r="N89">
        <v>7000</v>
      </c>
      <c r="O89">
        <v>360</v>
      </c>
      <c r="P89">
        <v>173</v>
      </c>
      <c r="Q89">
        <v>0</v>
      </c>
      <c r="R89">
        <v>192454787</v>
      </c>
      <c r="S89">
        <v>5608358.5999999996</v>
      </c>
      <c r="T89">
        <v>185756159.05000001</v>
      </c>
      <c r="U89">
        <v>186580041.12</v>
      </c>
      <c r="V89">
        <v>6.5902000000000002E-2</v>
      </c>
      <c r="W89">
        <v>1.6483999999999999E-2</v>
      </c>
      <c r="Y89" t="s">
        <v>0</v>
      </c>
      <c r="Z89">
        <v>4250</v>
      </c>
      <c r="AA89">
        <v>192</v>
      </c>
      <c r="AB89">
        <v>28833</v>
      </c>
      <c r="AC89">
        <v>0</v>
      </c>
      <c r="AD89">
        <v>281773959627</v>
      </c>
      <c r="AE89">
        <v>1092655260.6600001</v>
      </c>
      <c r="AF89">
        <v>279141515903</v>
      </c>
      <c r="AG89">
        <v>280202410265.81</v>
      </c>
      <c r="AH89">
        <v>6.3640000000000002E-2</v>
      </c>
      <c r="AI89">
        <v>2.0205000000000001E-2</v>
      </c>
    </row>
    <row r="90" spans="1:35" x14ac:dyDescent="0.35">
      <c r="A90" t="s">
        <v>2</v>
      </c>
      <c r="B90">
        <v>5500</v>
      </c>
      <c r="C90">
        <v>216</v>
      </c>
      <c r="D90">
        <v>6685</v>
      </c>
      <c r="E90">
        <v>0</v>
      </c>
      <c r="F90">
        <v>43307244692</v>
      </c>
      <c r="G90">
        <v>181256775.31999999</v>
      </c>
      <c r="H90">
        <v>42944367968.510002</v>
      </c>
      <c r="I90">
        <v>43107685033.290001</v>
      </c>
      <c r="J90">
        <v>4.9180000000000001E-2</v>
      </c>
      <c r="K90">
        <v>5.0600000000000003E-3</v>
      </c>
      <c r="M90" t="s">
        <v>1</v>
      </c>
      <c r="N90">
        <v>8500</v>
      </c>
      <c r="O90">
        <v>320</v>
      </c>
      <c r="P90">
        <v>119</v>
      </c>
      <c r="Q90">
        <v>0</v>
      </c>
      <c r="R90">
        <v>233718059</v>
      </c>
      <c r="S90">
        <v>3477373.32</v>
      </c>
      <c r="T90">
        <v>227053448.44999999</v>
      </c>
      <c r="U90">
        <v>230093044.83000001</v>
      </c>
      <c r="V90">
        <v>0.15191199999999999</v>
      </c>
      <c r="W90">
        <v>7.554E-3</v>
      </c>
      <c r="Y90" t="s">
        <v>2</v>
      </c>
      <c r="Z90">
        <v>5500</v>
      </c>
      <c r="AA90">
        <v>216</v>
      </c>
      <c r="AB90">
        <v>5740</v>
      </c>
      <c r="AC90">
        <v>0</v>
      </c>
      <c r="AD90">
        <v>37665394544</v>
      </c>
      <c r="AE90">
        <v>157474990.19</v>
      </c>
      <c r="AF90">
        <v>37311091331</v>
      </c>
      <c r="AG90">
        <v>37437536274.849998</v>
      </c>
      <c r="AH90">
        <v>6.0936999999999998E-2</v>
      </c>
      <c r="AI90">
        <v>2.2194999999999999E-2</v>
      </c>
    </row>
    <row r="91" spans="1:35" x14ac:dyDescent="0.35">
      <c r="A91" t="s">
        <v>2</v>
      </c>
      <c r="B91">
        <v>5000</v>
      </c>
      <c r="C91">
        <v>216</v>
      </c>
      <c r="D91">
        <v>4103</v>
      </c>
      <c r="E91">
        <v>0</v>
      </c>
      <c r="F91">
        <v>30008845905</v>
      </c>
      <c r="G91">
        <v>129992891.59999999</v>
      </c>
      <c r="H91">
        <v>29743831944</v>
      </c>
      <c r="I91">
        <v>29869533203.130001</v>
      </c>
      <c r="J91">
        <v>5.2676000000000001E-2</v>
      </c>
      <c r="K91">
        <v>3.7200000000000002E-3</v>
      </c>
      <c r="M91" t="s">
        <v>1</v>
      </c>
      <c r="N91">
        <v>6750</v>
      </c>
      <c r="O91">
        <v>360</v>
      </c>
      <c r="P91">
        <v>94</v>
      </c>
      <c r="Q91">
        <v>0</v>
      </c>
      <c r="R91">
        <v>123281964</v>
      </c>
      <c r="S91">
        <v>3498255.25</v>
      </c>
      <c r="T91">
        <v>118125534.84</v>
      </c>
      <c r="U91">
        <v>118933684.12</v>
      </c>
      <c r="V91">
        <v>0.14998300000000001</v>
      </c>
      <c r="W91">
        <v>7.9672999999999994E-2</v>
      </c>
      <c r="Y91" t="s">
        <v>2</v>
      </c>
      <c r="Z91">
        <v>5000</v>
      </c>
      <c r="AA91">
        <v>216</v>
      </c>
      <c r="AB91">
        <v>3523</v>
      </c>
      <c r="AC91">
        <v>0</v>
      </c>
      <c r="AD91">
        <v>25528284903</v>
      </c>
      <c r="AE91">
        <v>110435371.31999999</v>
      </c>
      <c r="AF91">
        <v>25284806120</v>
      </c>
      <c r="AG91">
        <v>25362987108.18</v>
      </c>
      <c r="AH91">
        <v>6.0776999999999998E-2</v>
      </c>
      <c r="AI91">
        <v>2.5486000000000002E-2</v>
      </c>
    </row>
    <row r="92" spans="1:35" x14ac:dyDescent="0.35">
      <c r="A92" t="s">
        <v>2</v>
      </c>
      <c r="B92">
        <v>7000</v>
      </c>
      <c r="C92">
        <v>360</v>
      </c>
      <c r="D92">
        <v>206</v>
      </c>
      <c r="E92">
        <v>0</v>
      </c>
      <c r="F92">
        <v>227843346</v>
      </c>
      <c r="G92">
        <v>6844407.2999999998</v>
      </c>
      <c r="H92">
        <v>219734037.03999999</v>
      </c>
      <c r="I92">
        <v>220692573.84</v>
      </c>
      <c r="J92">
        <v>6.4623E-2</v>
      </c>
      <c r="K92">
        <v>1.6017E-2</v>
      </c>
      <c r="M92" t="s">
        <v>0</v>
      </c>
      <c r="N92">
        <v>8250</v>
      </c>
      <c r="O92">
        <v>360</v>
      </c>
      <c r="P92">
        <v>218</v>
      </c>
      <c r="Q92">
        <v>0</v>
      </c>
      <c r="R92">
        <v>142806740</v>
      </c>
      <c r="S92">
        <v>6401936</v>
      </c>
      <c r="T92">
        <v>135253096.91</v>
      </c>
      <c r="U92">
        <v>136263060.59999999</v>
      </c>
      <c r="V92">
        <v>9.2598E-2</v>
      </c>
      <c r="W92">
        <v>1.1846000000000001E-2</v>
      </c>
      <c r="Y92" t="s">
        <v>2</v>
      </c>
      <c r="Z92">
        <v>7000</v>
      </c>
      <c r="AA92">
        <v>360</v>
      </c>
      <c r="AB92">
        <v>196</v>
      </c>
      <c r="AC92">
        <v>0</v>
      </c>
      <c r="AD92">
        <v>218963358</v>
      </c>
      <c r="AE92">
        <v>6491569.7699999996</v>
      </c>
      <c r="AF92">
        <v>209609135</v>
      </c>
      <c r="AG92">
        <v>210479645.27000001</v>
      </c>
      <c r="AH92">
        <v>0.14608099999999999</v>
      </c>
      <c r="AI92">
        <v>0.103876</v>
      </c>
    </row>
    <row r="93" spans="1:35" x14ac:dyDescent="0.35">
      <c r="A93" t="s">
        <v>1</v>
      </c>
      <c r="B93">
        <v>8500</v>
      </c>
      <c r="C93">
        <v>320</v>
      </c>
      <c r="D93">
        <v>114</v>
      </c>
      <c r="E93">
        <v>0</v>
      </c>
      <c r="F93">
        <v>216842946</v>
      </c>
      <c r="G93">
        <v>3439628.98</v>
      </c>
      <c r="H93">
        <v>210402314.94999999</v>
      </c>
      <c r="I93">
        <v>212536114.28999999</v>
      </c>
      <c r="J93">
        <v>0.153998</v>
      </c>
      <c r="K93">
        <v>4.6948999999999998E-2</v>
      </c>
      <c r="M93" t="s">
        <v>0</v>
      </c>
      <c r="N93">
        <v>6750</v>
      </c>
      <c r="O93">
        <v>320</v>
      </c>
      <c r="P93">
        <v>4618</v>
      </c>
      <c r="Q93">
        <v>0</v>
      </c>
      <c r="R93">
        <v>14923216407</v>
      </c>
      <c r="S93">
        <v>133796649.38</v>
      </c>
      <c r="T93">
        <v>14670431519.98</v>
      </c>
      <c r="U93">
        <v>14719942094.15</v>
      </c>
      <c r="V93">
        <v>9.1593999999999995E-2</v>
      </c>
      <c r="W93">
        <v>5.4460000000000001E-2</v>
      </c>
      <c r="Y93" t="s">
        <v>1</v>
      </c>
      <c r="Z93">
        <v>8500</v>
      </c>
      <c r="AA93">
        <v>320</v>
      </c>
      <c r="AB93">
        <v>115</v>
      </c>
      <c r="AC93">
        <v>0</v>
      </c>
      <c r="AD93">
        <v>223320425</v>
      </c>
      <c r="AE93">
        <v>3469338.88</v>
      </c>
      <c r="AF93">
        <v>216842946</v>
      </c>
      <c r="AG93">
        <v>218604049.25</v>
      </c>
      <c r="AH93">
        <v>0.15018699999999999</v>
      </c>
      <c r="AI93">
        <v>6.4989000000000005E-2</v>
      </c>
    </row>
    <row r="94" spans="1:35" x14ac:dyDescent="0.35">
      <c r="A94" t="s">
        <v>1</v>
      </c>
      <c r="B94">
        <v>6750</v>
      </c>
      <c r="C94">
        <v>360</v>
      </c>
      <c r="D94">
        <v>106</v>
      </c>
      <c r="E94">
        <v>0</v>
      </c>
      <c r="F94">
        <v>147663805</v>
      </c>
      <c r="G94">
        <v>4290800.55</v>
      </c>
      <c r="H94">
        <v>141356809.53</v>
      </c>
      <c r="I94">
        <v>142409792.80000001</v>
      </c>
      <c r="J94">
        <v>0.152086</v>
      </c>
      <c r="K94">
        <v>7.5527999999999998E-2</v>
      </c>
      <c r="M94" t="s">
        <v>2</v>
      </c>
      <c r="N94">
        <v>8000</v>
      </c>
      <c r="O94">
        <v>320</v>
      </c>
      <c r="P94">
        <v>94</v>
      </c>
      <c r="Q94">
        <v>0</v>
      </c>
      <c r="R94">
        <v>167372447</v>
      </c>
      <c r="S94">
        <v>2473341.21</v>
      </c>
      <c r="T94">
        <v>163936901.47</v>
      </c>
      <c r="U94">
        <v>164827251.84</v>
      </c>
      <c r="V94">
        <v>6.6847000000000004E-2</v>
      </c>
      <c r="W94">
        <v>5.1399999999999996E-3</v>
      </c>
      <c r="Y94" t="s">
        <v>1</v>
      </c>
      <c r="Z94">
        <v>6750</v>
      </c>
      <c r="AA94">
        <v>360</v>
      </c>
      <c r="AB94">
        <v>104</v>
      </c>
      <c r="AC94">
        <v>0</v>
      </c>
      <c r="AD94">
        <v>141761383</v>
      </c>
      <c r="AE94">
        <v>4090774.97</v>
      </c>
      <c r="AF94">
        <v>136069504</v>
      </c>
      <c r="AG94">
        <v>136454581.69</v>
      </c>
      <c r="AH94">
        <v>0.12742200000000001</v>
      </c>
      <c r="AI94">
        <v>9.8215999999999998E-2</v>
      </c>
    </row>
    <row r="95" spans="1:35" x14ac:dyDescent="0.35">
      <c r="A95" t="s">
        <v>0</v>
      </c>
      <c r="B95">
        <v>8250</v>
      </c>
      <c r="C95">
        <v>360</v>
      </c>
      <c r="D95">
        <v>198</v>
      </c>
      <c r="E95">
        <v>0</v>
      </c>
      <c r="F95">
        <v>116900618</v>
      </c>
      <c r="G95">
        <v>5834316.5800000001</v>
      </c>
      <c r="H95">
        <v>110093458.92</v>
      </c>
      <c r="I95">
        <v>111020054.72</v>
      </c>
      <c r="J95">
        <v>9.5417000000000002E-2</v>
      </c>
      <c r="K95">
        <v>4.7369999999999999E-3</v>
      </c>
      <c r="M95" t="s">
        <v>1</v>
      </c>
      <c r="N95">
        <v>4000</v>
      </c>
      <c r="O95">
        <v>192</v>
      </c>
      <c r="P95">
        <v>1365</v>
      </c>
      <c r="Q95">
        <v>0</v>
      </c>
      <c r="R95">
        <v>14813941249</v>
      </c>
      <c r="S95">
        <v>59450919.039999999</v>
      </c>
      <c r="T95">
        <v>14712480202.129999</v>
      </c>
      <c r="U95">
        <v>14753533045.860001</v>
      </c>
      <c r="V95">
        <v>3.3503999999999999E-2</v>
      </c>
      <c r="W95">
        <v>7.7499999999999997E-4</v>
      </c>
      <c r="Y95" t="s">
        <v>0</v>
      </c>
      <c r="Z95">
        <v>8250</v>
      </c>
      <c r="AA95">
        <v>360</v>
      </c>
      <c r="AB95">
        <v>204</v>
      </c>
      <c r="AC95">
        <v>0</v>
      </c>
      <c r="AD95">
        <v>124513097</v>
      </c>
      <c r="AE95">
        <v>5986346.2300000004</v>
      </c>
      <c r="AF95">
        <v>116009704</v>
      </c>
      <c r="AG95">
        <v>116934753.53</v>
      </c>
      <c r="AH95">
        <v>0.21734800000000001</v>
      </c>
      <c r="AI95">
        <v>0.14308699999999999</v>
      </c>
    </row>
    <row r="96" spans="1:35" x14ac:dyDescent="0.35">
      <c r="A96" t="s">
        <v>0</v>
      </c>
      <c r="B96">
        <v>6750</v>
      </c>
      <c r="C96">
        <v>320</v>
      </c>
      <c r="D96">
        <v>4562</v>
      </c>
      <c r="E96">
        <v>0</v>
      </c>
      <c r="F96">
        <v>14678786198</v>
      </c>
      <c r="G96">
        <v>132522486.31999999</v>
      </c>
      <c r="H96">
        <v>14427623216.200001</v>
      </c>
      <c r="I96">
        <v>14469352261.83</v>
      </c>
      <c r="J96">
        <v>9.2791999999999999E-2</v>
      </c>
      <c r="K96">
        <v>6.1094999999999997E-2</v>
      </c>
      <c r="M96" t="s">
        <v>1</v>
      </c>
      <c r="N96">
        <v>7250</v>
      </c>
      <c r="O96">
        <v>360</v>
      </c>
      <c r="P96">
        <v>159</v>
      </c>
      <c r="Q96">
        <v>0</v>
      </c>
      <c r="R96">
        <v>205769930</v>
      </c>
      <c r="S96">
        <v>6337713.3700000001</v>
      </c>
      <c r="T96">
        <v>196671463.09</v>
      </c>
      <c r="U96">
        <v>199381132.25999999</v>
      </c>
      <c r="V96">
        <v>0.14963599999999999</v>
      </c>
      <c r="W96">
        <v>2.9750000000000002E-3</v>
      </c>
      <c r="Y96" t="s">
        <v>0</v>
      </c>
      <c r="Z96">
        <v>6750</v>
      </c>
      <c r="AA96">
        <v>320</v>
      </c>
      <c r="AB96">
        <v>4557</v>
      </c>
      <c r="AC96">
        <v>0</v>
      </c>
      <c r="AD96">
        <v>14660382430</v>
      </c>
      <c r="AE96">
        <v>132130079.83</v>
      </c>
      <c r="AF96">
        <v>14406765169</v>
      </c>
      <c r="AG96">
        <v>14445376903.549999</v>
      </c>
      <c r="AH96">
        <v>9.5032000000000005E-2</v>
      </c>
      <c r="AI96">
        <v>6.5766000000000005E-2</v>
      </c>
    </row>
    <row r="97" spans="1:35" x14ac:dyDescent="0.35">
      <c r="A97" t="s">
        <v>2</v>
      </c>
      <c r="B97">
        <v>8000</v>
      </c>
      <c r="C97">
        <v>320</v>
      </c>
      <c r="D97">
        <v>88</v>
      </c>
      <c r="E97">
        <v>0</v>
      </c>
      <c r="F97">
        <v>151037659</v>
      </c>
      <c r="G97">
        <v>2355018.89</v>
      </c>
      <c r="H97">
        <v>147831645.44999999</v>
      </c>
      <c r="I97">
        <v>148516837.93000001</v>
      </c>
      <c r="J97">
        <v>6.5556000000000003E-2</v>
      </c>
      <c r="K97">
        <v>1.3094E-2</v>
      </c>
      <c r="M97" t="s">
        <v>2</v>
      </c>
      <c r="N97">
        <v>7250</v>
      </c>
      <c r="O97">
        <v>360</v>
      </c>
      <c r="P97">
        <v>56</v>
      </c>
      <c r="Q97">
        <v>0</v>
      </c>
      <c r="R97">
        <v>36922031</v>
      </c>
      <c r="S97">
        <v>1533999.59</v>
      </c>
      <c r="T97">
        <v>35181538.369999997</v>
      </c>
      <c r="U97">
        <v>35357845.609999999</v>
      </c>
      <c r="V97">
        <v>6.5086000000000005E-2</v>
      </c>
      <c r="W97">
        <v>9.7669999999999996E-3</v>
      </c>
      <c r="Y97" t="s">
        <v>2</v>
      </c>
      <c r="Z97">
        <v>8000</v>
      </c>
      <c r="AA97">
        <v>320</v>
      </c>
      <c r="AB97">
        <v>91</v>
      </c>
      <c r="AC97">
        <v>0</v>
      </c>
      <c r="AD97">
        <v>156901311</v>
      </c>
      <c r="AE97">
        <v>2411152.41</v>
      </c>
      <c r="AF97">
        <v>152052191</v>
      </c>
      <c r="AG97">
        <v>153836930.91</v>
      </c>
      <c r="AH97">
        <v>0.171321</v>
      </c>
      <c r="AI97">
        <v>4.8830999999999999E-2</v>
      </c>
    </row>
    <row r="98" spans="1:35" x14ac:dyDescent="0.35">
      <c r="A98" t="s">
        <v>1</v>
      </c>
      <c r="B98">
        <v>4000</v>
      </c>
      <c r="C98">
        <v>192</v>
      </c>
      <c r="D98">
        <v>4101</v>
      </c>
      <c r="E98">
        <v>0</v>
      </c>
      <c r="F98">
        <v>46743297895</v>
      </c>
      <c r="G98">
        <v>181602432.49000001</v>
      </c>
      <c r="H98">
        <v>46341142146.120003</v>
      </c>
      <c r="I98">
        <v>46536924949.559998</v>
      </c>
      <c r="J98">
        <v>5.5174000000000001E-2</v>
      </c>
      <c r="K98">
        <v>6.3410000000000003E-3</v>
      </c>
      <c r="M98" t="s">
        <v>0</v>
      </c>
      <c r="N98">
        <v>6250</v>
      </c>
      <c r="O98">
        <v>360</v>
      </c>
      <c r="P98">
        <v>127</v>
      </c>
      <c r="Q98">
        <v>0</v>
      </c>
      <c r="R98">
        <v>145258020</v>
      </c>
      <c r="S98">
        <v>4197609.13</v>
      </c>
      <c r="T98">
        <v>139869395.08000001</v>
      </c>
      <c r="U98">
        <v>140663890.11000001</v>
      </c>
      <c r="V98">
        <v>9.4074000000000005E-2</v>
      </c>
      <c r="W98">
        <v>3.227E-2</v>
      </c>
      <c r="Y98" t="s">
        <v>1</v>
      </c>
      <c r="Z98">
        <v>4000</v>
      </c>
      <c r="AA98">
        <v>192</v>
      </c>
      <c r="AB98">
        <v>2834</v>
      </c>
      <c r="AC98">
        <v>0</v>
      </c>
      <c r="AD98">
        <v>32277910270</v>
      </c>
      <c r="AE98">
        <v>126107657.08</v>
      </c>
      <c r="AF98">
        <v>32008930475</v>
      </c>
      <c r="AG98">
        <v>32093669676.5</v>
      </c>
      <c r="AH98">
        <v>5.1841999999999999E-2</v>
      </c>
      <c r="AI98">
        <v>2.1399000000000001E-2</v>
      </c>
    </row>
    <row r="99" spans="1:35" x14ac:dyDescent="0.35">
      <c r="A99" t="s">
        <v>1</v>
      </c>
      <c r="B99">
        <v>7250</v>
      </c>
      <c r="C99">
        <v>360</v>
      </c>
      <c r="D99">
        <v>171</v>
      </c>
      <c r="E99">
        <v>0</v>
      </c>
      <c r="F99">
        <v>208411923</v>
      </c>
      <c r="G99">
        <v>6665162.9100000001</v>
      </c>
      <c r="H99">
        <v>198909679.33000001</v>
      </c>
      <c r="I99">
        <v>201227477.44</v>
      </c>
      <c r="J99">
        <v>0.15166199999999999</v>
      </c>
      <c r="K99">
        <v>2.9492999999999998E-2</v>
      </c>
      <c r="M99" t="s">
        <v>2</v>
      </c>
      <c r="N99">
        <v>6000</v>
      </c>
      <c r="O99">
        <v>360</v>
      </c>
      <c r="P99">
        <v>16</v>
      </c>
      <c r="Q99">
        <v>0</v>
      </c>
      <c r="R99">
        <v>14180471</v>
      </c>
      <c r="S99">
        <v>407666.25</v>
      </c>
      <c r="T99">
        <v>13692438.93</v>
      </c>
      <c r="U99">
        <v>13755293.720000001</v>
      </c>
      <c r="V99">
        <v>6.5928E-2</v>
      </c>
      <c r="W99">
        <v>1.4718E-2</v>
      </c>
      <c r="Y99" t="s">
        <v>1</v>
      </c>
      <c r="Z99">
        <v>7250</v>
      </c>
      <c r="AA99">
        <v>360</v>
      </c>
      <c r="AB99">
        <v>163</v>
      </c>
      <c r="AC99">
        <v>0</v>
      </c>
      <c r="AD99">
        <v>198871802</v>
      </c>
      <c r="AE99">
        <v>6455014.0999999996</v>
      </c>
      <c r="AF99">
        <v>187933595</v>
      </c>
      <c r="AG99">
        <v>190044258.38</v>
      </c>
      <c r="AH99">
        <v>0.239374</v>
      </c>
      <c r="AI99">
        <v>0.13413</v>
      </c>
    </row>
    <row r="100" spans="1:35" x14ac:dyDescent="0.35">
      <c r="A100" t="s">
        <v>2</v>
      </c>
      <c r="B100">
        <v>7250</v>
      </c>
      <c r="C100">
        <v>360</v>
      </c>
      <c r="D100">
        <v>58</v>
      </c>
      <c r="E100">
        <v>0</v>
      </c>
      <c r="F100">
        <v>42908431</v>
      </c>
      <c r="G100">
        <v>1645862.33</v>
      </c>
      <c r="H100">
        <v>41026399.700000003</v>
      </c>
      <c r="I100">
        <v>41254453.659999996</v>
      </c>
      <c r="J100">
        <v>6.4085000000000003E-2</v>
      </c>
      <c r="K100">
        <v>2.2669999999999999E-3</v>
      </c>
      <c r="M100" t="s">
        <v>0</v>
      </c>
      <c r="N100">
        <v>7250</v>
      </c>
      <c r="O100">
        <v>320</v>
      </c>
      <c r="P100">
        <v>2417</v>
      </c>
      <c r="Q100">
        <v>0</v>
      </c>
      <c r="R100">
        <v>6419778208</v>
      </c>
      <c r="S100">
        <v>73923058.230000004</v>
      </c>
      <c r="T100">
        <v>6292304187.04</v>
      </c>
      <c r="U100">
        <v>6324378290.8999996</v>
      </c>
      <c r="V100">
        <v>9.5631999999999995E-2</v>
      </c>
      <c r="W100">
        <v>3.9414999999999999E-2</v>
      </c>
      <c r="Y100" t="s">
        <v>2</v>
      </c>
      <c r="Z100">
        <v>7250</v>
      </c>
      <c r="AA100">
        <v>360</v>
      </c>
      <c r="AB100">
        <v>61</v>
      </c>
      <c r="AC100">
        <v>0</v>
      </c>
      <c r="AD100">
        <v>39376629</v>
      </c>
      <c r="AE100">
        <v>1659007.76</v>
      </c>
      <c r="AF100">
        <v>36724192</v>
      </c>
      <c r="AG100">
        <v>37212296.700000003</v>
      </c>
      <c r="AH100">
        <v>0.26407799999999998</v>
      </c>
      <c r="AI100">
        <v>0.14358000000000001</v>
      </c>
    </row>
    <row r="101" spans="1:35" x14ac:dyDescent="0.35">
      <c r="A101" t="s">
        <v>0</v>
      </c>
      <c r="B101">
        <v>6250</v>
      </c>
      <c r="C101">
        <v>360</v>
      </c>
      <c r="D101">
        <v>140</v>
      </c>
      <c r="E101">
        <v>0</v>
      </c>
      <c r="F101">
        <v>149340310</v>
      </c>
      <c r="G101">
        <v>4572854.6100000003</v>
      </c>
      <c r="H101">
        <v>143499420.59999999</v>
      </c>
      <c r="I101">
        <v>144548878.16</v>
      </c>
      <c r="J101">
        <v>9.7265000000000004E-2</v>
      </c>
      <c r="K101">
        <v>1.7423000000000001E-2</v>
      </c>
      <c r="M101" t="s">
        <v>0</v>
      </c>
      <c r="N101">
        <v>5750</v>
      </c>
      <c r="O101">
        <v>320</v>
      </c>
      <c r="P101">
        <v>8692</v>
      </c>
      <c r="Q101">
        <v>0</v>
      </c>
      <c r="R101">
        <v>36945052145</v>
      </c>
      <c r="S101">
        <v>282542815.93000001</v>
      </c>
      <c r="T101">
        <v>36396781194.290001</v>
      </c>
      <c r="U101">
        <v>36574109678.43</v>
      </c>
      <c r="V101">
        <v>8.2975999999999994E-2</v>
      </c>
      <c r="W101">
        <v>2.8337999999999999E-2</v>
      </c>
      <c r="Y101" t="s">
        <v>0</v>
      </c>
      <c r="Z101">
        <v>6250</v>
      </c>
      <c r="AA101">
        <v>360</v>
      </c>
      <c r="AB101">
        <v>136</v>
      </c>
      <c r="AC101">
        <v>0</v>
      </c>
      <c r="AD101">
        <v>150564384</v>
      </c>
      <c r="AE101">
        <v>4528227.96</v>
      </c>
      <c r="AF101">
        <v>140789898</v>
      </c>
      <c r="AG101">
        <v>143489682.41</v>
      </c>
      <c r="AH101">
        <v>0.346613</v>
      </c>
      <c r="AI101">
        <v>0.18509999999999999</v>
      </c>
    </row>
    <row r="102" spans="1:35" x14ac:dyDescent="0.35">
      <c r="A102" t="s">
        <v>2</v>
      </c>
      <c r="B102">
        <v>6000</v>
      </c>
      <c r="C102">
        <v>360</v>
      </c>
      <c r="D102">
        <v>24</v>
      </c>
      <c r="E102">
        <v>0</v>
      </c>
      <c r="F102">
        <v>23616520</v>
      </c>
      <c r="G102">
        <v>668165.96</v>
      </c>
      <c r="H102">
        <v>22817007.649999999</v>
      </c>
      <c r="I102">
        <v>22920696.039999999</v>
      </c>
      <c r="J102">
        <v>6.4735000000000001E-2</v>
      </c>
      <c r="K102">
        <v>1.3963E-2</v>
      </c>
      <c r="M102" t="s">
        <v>2</v>
      </c>
      <c r="N102">
        <v>6500</v>
      </c>
      <c r="O102">
        <v>216</v>
      </c>
      <c r="P102">
        <v>1624</v>
      </c>
      <c r="Q102">
        <v>0</v>
      </c>
      <c r="R102">
        <v>9047763451</v>
      </c>
      <c r="S102">
        <v>38215617.509999998</v>
      </c>
      <c r="T102">
        <v>8983422174.5200005</v>
      </c>
      <c r="U102">
        <v>9005970797.6299992</v>
      </c>
      <c r="V102">
        <v>3.4105000000000003E-2</v>
      </c>
      <c r="W102">
        <v>4.7340000000000004E-3</v>
      </c>
      <c r="Y102" t="s">
        <v>2</v>
      </c>
      <c r="Z102">
        <v>6000</v>
      </c>
      <c r="AA102">
        <v>360</v>
      </c>
      <c r="AB102">
        <v>21</v>
      </c>
      <c r="AC102">
        <v>0</v>
      </c>
      <c r="AD102">
        <v>21284384</v>
      </c>
      <c r="AE102">
        <v>598051.06999999995</v>
      </c>
      <c r="AF102">
        <v>20513163</v>
      </c>
      <c r="AG102">
        <v>20513163</v>
      </c>
      <c r="AH102">
        <v>9.3380000000000005E-2</v>
      </c>
      <c r="AI102">
        <v>9.3380000000000005E-2</v>
      </c>
    </row>
    <row r="103" spans="1:35" x14ac:dyDescent="0.35">
      <c r="A103" t="s">
        <v>0</v>
      </c>
      <c r="B103">
        <v>7250</v>
      </c>
      <c r="C103">
        <v>320</v>
      </c>
      <c r="D103">
        <v>2220</v>
      </c>
      <c r="E103">
        <v>0</v>
      </c>
      <c r="F103">
        <v>5831210354</v>
      </c>
      <c r="G103">
        <v>68821846.810000002</v>
      </c>
      <c r="H103">
        <v>5712066485.3800001</v>
      </c>
      <c r="I103">
        <v>5735435349.6199999</v>
      </c>
      <c r="J103">
        <v>9.8780999999999994E-2</v>
      </c>
      <c r="K103">
        <v>5.4078000000000001E-2</v>
      </c>
      <c r="M103" t="s">
        <v>2</v>
      </c>
      <c r="N103">
        <v>6000</v>
      </c>
      <c r="O103">
        <v>216</v>
      </c>
      <c r="P103">
        <v>1883</v>
      </c>
      <c r="Q103">
        <v>0</v>
      </c>
      <c r="R103">
        <v>11414260376</v>
      </c>
      <c r="S103">
        <v>48491998.670000002</v>
      </c>
      <c r="T103">
        <v>11339320108.15</v>
      </c>
      <c r="U103">
        <v>11363022741.35</v>
      </c>
      <c r="V103">
        <v>2.7453999999999999E-2</v>
      </c>
      <c r="W103">
        <v>2.8830000000000001E-3</v>
      </c>
      <c r="Y103" t="s">
        <v>0</v>
      </c>
      <c r="Z103">
        <v>7250</v>
      </c>
      <c r="AA103">
        <v>320</v>
      </c>
      <c r="AB103">
        <v>2301</v>
      </c>
      <c r="AC103">
        <v>0</v>
      </c>
      <c r="AD103">
        <v>6047512907</v>
      </c>
      <c r="AE103">
        <v>71171094.989999995</v>
      </c>
      <c r="AF103">
        <v>5920697506</v>
      </c>
      <c r="AG103">
        <v>5941135774.6800003</v>
      </c>
      <c r="AH103">
        <v>0.104994</v>
      </c>
      <c r="AI103">
        <v>6.7665000000000003E-2</v>
      </c>
    </row>
    <row r="104" spans="1:35" x14ac:dyDescent="0.35">
      <c r="A104" t="s">
        <v>0</v>
      </c>
      <c r="B104">
        <v>5750</v>
      </c>
      <c r="C104">
        <v>320</v>
      </c>
      <c r="D104">
        <v>9108</v>
      </c>
      <c r="E104">
        <v>0</v>
      </c>
      <c r="F104">
        <v>38436715177</v>
      </c>
      <c r="G104">
        <v>299912680.43000001</v>
      </c>
      <c r="H104">
        <v>37850019604.919998</v>
      </c>
      <c r="I104">
        <v>38013593139.900002</v>
      </c>
      <c r="J104">
        <v>8.5949999999999999E-2</v>
      </c>
      <c r="K104">
        <v>3.7795000000000002E-2</v>
      </c>
      <c r="M104" t="s">
        <v>2</v>
      </c>
      <c r="N104">
        <v>7500</v>
      </c>
      <c r="O104">
        <v>320</v>
      </c>
      <c r="P104">
        <v>393</v>
      </c>
      <c r="Q104">
        <v>0</v>
      </c>
      <c r="R104">
        <v>813871733</v>
      </c>
      <c r="S104">
        <v>10564916.02</v>
      </c>
      <c r="T104">
        <v>798619433.83000004</v>
      </c>
      <c r="U104">
        <v>802525000.91999996</v>
      </c>
      <c r="V104">
        <v>6.6964999999999997E-2</v>
      </c>
      <c r="W104">
        <v>1.1467E-2</v>
      </c>
      <c r="Y104" t="s">
        <v>0</v>
      </c>
      <c r="Z104">
        <v>5750</v>
      </c>
      <c r="AA104">
        <v>320</v>
      </c>
      <c r="AB104">
        <v>9063</v>
      </c>
      <c r="AC104">
        <v>0</v>
      </c>
      <c r="AD104">
        <v>38467728893</v>
      </c>
      <c r="AE104">
        <v>297393897.23000002</v>
      </c>
      <c r="AF104">
        <v>37890200768</v>
      </c>
      <c r="AG104">
        <v>38046500113.080002</v>
      </c>
      <c r="AH104">
        <v>8.3971000000000004E-2</v>
      </c>
      <c r="AI104">
        <v>3.7954000000000002E-2</v>
      </c>
    </row>
    <row r="105" spans="1:35" x14ac:dyDescent="0.35">
      <c r="A105" t="s">
        <v>2</v>
      </c>
      <c r="B105">
        <v>6500</v>
      </c>
      <c r="C105">
        <v>216</v>
      </c>
      <c r="D105">
        <v>1437</v>
      </c>
      <c r="E105">
        <v>0</v>
      </c>
      <c r="F105">
        <v>7859122015</v>
      </c>
      <c r="G105">
        <v>33806343.170000002</v>
      </c>
      <c r="H105">
        <v>7799694063.0299997</v>
      </c>
      <c r="I105">
        <v>7821852466.3400002</v>
      </c>
      <c r="J105">
        <v>3.8427000000000003E-2</v>
      </c>
      <c r="K105">
        <v>5.2750000000000002E-3</v>
      </c>
      <c r="M105" t="s">
        <v>2</v>
      </c>
      <c r="N105">
        <v>6500</v>
      </c>
      <c r="O105">
        <v>320</v>
      </c>
      <c r="P105">
        <v>1165</v>
      </c>
      <c r="Q105">
        <v>0</v>
      </c>
      <c r="R105">
        <v>3634625809</v>
      </c>
      <c r="S105">
        <v>30574089.16</v>
      </c>
      <c r="T105">
        <v>3584550231.0500002</v>
      </c>
      <c r="U105">
        <v>3588594392.5900002</v>
      </c>
      <c r="V105">
        <v>6.2519000000000005E-2</v>
      </c>
      <c r="W105">
        <v>4.9856999999999999E-2</v>
      </c>
      <c r="Y105" t="s">
        <v>2</v>
      </c>
      <c r="Z105">
        <v>6500</v>
      </c>
      <c r="AA105">
        <v>216</v>
      </c>
      <c r="AB105">
        <v>1500</v>
      </c>
      <c r="AC105">
        <v>0</v>
      </c>
      <c r="AD105">
        <v>8249335065</v>
      </c>
      <c r="AE105">
        <v>35259243.719999999</v>
      </c>
      <c r="AF105">
        <v>8170104756</v>
      </c>
      <c r="AG105">
        <v>8196945228.3100004</v>
      </c>
      <c r="AH105">
        <v>6.2121000000000003E-2</v>
      </c>
      <c r="AI105">
        <v>2.4636999999999999E-2</v>
      </c>
    </row>
    <row r="106" spans="1:35" x14ac:dyDescent="0.35">
      <c r="A106" t="s">
        <v>2</v>
      </c>
      <c r="B106">
        <v>6000</v>
      </c>
      <c r="C106">
        <v>216</v>
      </c>
      <c r="D106">
        <v>1906</v>
      </c>
      <c r="E106">
        <v>0</v>
      </c>
      <c r="F106">
        <v>11227387168</v>
      </c>
      <c r="G106">
        <v>48488598.149999999</v>
      </c>
      <c r="H106">
        <v>11145345374.030001</v>
      </c>
      <c r="I106">
        <v>11174870658.219999</v>
      </c>
      <c r="J106">
        <v>3.5278999999999998E-2</v>
      </c>
      <c r="K106">
        <v>4.2969999999999996E-3</v>
      </c>
      <c r="M106" t="s">
        <v>2</v>
      </c>
      <c r="N106">
        <v>8250</v>
      </c>
      <c r="O106">
        <v>360</v>
      </c>
      <c r="P106">
        <v>20</v>
      </c>
      <c r="Q106">
        <v>0</v>
      </c>
      <c r="R106">
        <v>14335418</v>
      </c>
      <c r="S106">
        <v>579140.1</v>
      </c>
      <c r="T106">
        <v>13676008.51</v>
      </c>
      <c r="U106">
        <v>13756277.9</v>
      </c>
      <c r="V106">
        <v>6.5160999999999997E-2</v>
      </c>
      <c r="W106">
        <v>0</v>
      </c>
      <c r="Y106" t="s">
        <v>2</v>
      </c>
      <c r="Z106">
        <v>6000</v>
      </c>
      <c r="AA106">
        <v>216</v>
      </c>
      <c r="AB106">
        <v>1941</v>
      </c>
      <c r="AC106">
        <v>0</v>
      </c>
      <c r="AD106">
        <v>11517267388</v>
      </c>
      <c r="AE106">
        <v>49403789.630000003</v>
      </c>
      <c r="AF106">
        <v>11409859259</v>
      </c>
      <c r="AG106">
        <v>11438568296.24</v>
      </c>
      <c r="AH106">
        <v>5.8789000000000001E-2</v>
      </c>
      <c r="AI106">
        <v>3.0099999999999998E-2</v>
      </c>
    </row>
    <row r="107" spans="1:35" x14ac:dyDescent="0.35">
      <c r="A107" t="s">
        <v>2</v>
      </c>
      <c r="B107">
        <v>7500</v>
      </c>
      <c r="C107">
        <v>320</v>
      </c>
      <c r="D107">
        <v>353</v>
      </c>
      <c r="E107">
        <v>0</v>
      </c>
      <c r="F107">
        <v>715537396</v>
      </c>
      <c r="G107">
        <v>9493411.8699999992</v>
      </c>
      <c r="H107">
        <v>702002895.90999997</v>
      </c>
      <c r="I107">
        <v>705016363.41999996</v>
      </c>
      <c r="J107">
        <v>6.5706000000000001E-2</v>
      </c>
      <c r="K107">
        <v>1.7097999999999999E-2</v>
      </c>
      <c r="M107" t="s">
        <v>0</v>
      </c>
      <c r="N107">
        <v>4500</v>
      </c>
      <c r="O107">
        <v>320</v>
      </c>
      <c r="P107">
        <v>177</v>
      </c>
      <c r="Q107">
        <v>0</v>
      </c>
      <c r="R107">
        <v>786379143</v>
      </c>
      <c r="S107">
        <v>6349808.2599999998</v>
      </c>
      <c r="T107">
        <v>774783772.02999997</v>
      </c>
      <c r="U107">
        <v>776349490.94000006</v>
      </c>
      <c r="V107">
        <v>7.7174000000000006E-2</v>
      </c>
      <c r="W107">
        <v>5.4731000000000002E-2</v>
      </c>
      <c r="Y107" t="s">
        <v>2</v>
      </c>
      <c r="Z107">
        <v>7500</v>
      </c>
      <c r="AA107">
        <v>320</v>
      </c>
      <c r="AB107">
        <v>369</v>
      </c>
      <c r="AC107">
        <v>0</v>
      </c>
      <c r="AD107">
        <v>750395605</v>
      </c>
      <c r="AE107">
        <v>9881687.9399999995</v>
      </c>
      <c r="AF107">
        <v>727560549</v>
      </c>
      <c r="AG107">
        <v>737932596.29999995</v>
      </c>
      <c r="AH107">
        <v>0.18856700000000001</v>
      </c>
      <c r="AI107">
        <v>4.0507000000000001E-2</v>
      </c>
    </row>
    <row r="108" spans="1:35" x14ac:dyDescent="0.35">
      <c r="A108" t="s">
        <v>2</v>
      </c>
      <c r="B108">
        <v>6500</v>
      </c>
      <c r="C108">
        <v>320</v>
      </c>
      <c r="D108">
        <v>1210</v>
      </c>
      <c r="E108">
        <v>0</v>
      </c>
      <c r="F108">
        <v>3715332134</v>
      </c>
      <c r="G108">
        <v>31616248.460000001</v>
      </c>
      <c r="H108">
        <v>3664945404.9000001</v>
      </c>
      <c r="I108">
        <v>3670993338.0599999</v>
      </c>
      <c r="J108">
        <v>5.8969000000000001E-2</v>
      </c>
      <c r="K108">
        <v>4.0327000000000002E-2</v>
      </c>
      <c r="M108" t="s">
        <v>2</v>
      </c>
      <c r="N108">
        <v>4000</v>
      </c>
      <c r="O108">
        <v>192</v>
      </c>
      <c r="P108">
        <v>401</v>
      </c>
      <c r="Q108">
        <v>0</v>
      </c>
      <c r="R108">
        <v>3430607084</v>
      </c>
      <c r="S108">
        <v>13497535.630000001</v>
      </c>
      <c r="T108">
        <v>3407984962.4400001</v>
      </c>
      <c r="U108">
        <v>3416447987.9099998</v>
      </c>
      <c r="V108">
        <v>3.1454000000000003E-2</v>
      </c>
      <c r="W108">
        <v>2.3119999999999998E-3</v>
      </c>
      <c r="Y108" t="s">
        <v>2</v>
      </c>
      <c r="Z108">
        <v>6500</v>
      </c>
      <c r="AA108">
        <v>320</v>
      </c>
      <c r="AB108">
        <v>1179</v>
      </c>
      <c r="AC108">
        <v>0</v>
      </c>
      <c r="AD108">
        <v>3615661235</v>
      </c>
      <c r="AE108">
        <v>30853185.079999998</v>
      </c>
      <c r="AF108">
        <v>3556679967</v>
      </c>
      <c r="AG108">
        <v>3575250971</v>
      </c>
      <c r="AH108">
        <v>8.9462E-2</v>
      </c>
      <c r="AI108">
        <v>3.1261999999999998E-2</v>
      </c>
    </row>
    <row r="109" spans="1:35" x14ac:dyDescent="0.35">
      <c r="A109" t="s">
        <v>2</v>
      </c>
      <c r="B109">
        <v>8250</v>
      </c>
      <c r="C109">
        <v>360</v>
      </c>
      <c r="D109">
        <v>18</v>
      </c>
      <c r="E109">
        <v>0</v>
      </c>
      <c r="F109">
        <v>11805705</v>
      </c>
      <c r="G109">
        <v>528168.39</v>
      </c>
      <c r="H109">
        <v>11212988.9</v>
      </c>
      <c r="I109">
        <v>11277536.609999999</v>
      </c>
      <c r="J109">
        <v>6.3672999999999993E-2</v>
      </c>
      <c r="K109">
        <v>0</v>
      </c>
      <c r="M109" t="s">
        <v>1</v>
      </c>
      <c r="N109">
        <v>7750</v>
      </c>
      <c r="O109">
        <v>360</v>
      </c>
      <c r="P109">
        <v>82</v>
      </c>
      <c r="Q109">
        <v>0</v>
      </c>
      <c r="R109">
        <v>80589740</v>
      </c>
      <c r="S109">
        <v>3172504.11</v>
      </c>
      <c r="T109">
        <v>76345543.900000006</v>
      </c>
      <c r="U109">
        <v>77417235.890000001</v>
      </c>
      <c r="V109">
        <v>0.14840800000000001</v>
      </c>
      <c r="W109">
        <v>0</v>
      </c>
      <c r="Y109" t="s">
        <v>2</v>
      </c>
      <c r="Z109">
        <v>8250</v>
      </c>
      <c r="AA109">
        <v>360</v>
      </c>
      <c r="AB109">
        <v>19</v>
      </c>
      <c r="AC109">
        <v>0</v>
      </c>
      <c r="AD109">
        <v>12598501</v>
      </c>
      <c r="AE109">
        <v>543289.21</v>
      </c>
      <c r="AF109">
        <v>11805705</v>
      </c>
      <c r="AG109">
        <v>11805705</v>
      </c>
      <c r="AH109">
        <v>0.21340300000000001</v>
      </c>
      <c r="AI109">
        <v>0.21340300000000001</v>
      </c>
    </row>
    <row r="110" spans="1:35" x14ac:dyDescent="0.35">
      <c r="A110" t="s">
        <v>0</v>
      </c>
      <c r="B110">
        <v>4500</v>
      </c>
      <c r="C110">
        <v>320</v>
      </c>
      <c r="D110">
        <v>183</v>
      </c>
      <c r="E110">
        <v>0</v>
      </c>
      <c r="F110">
        <v>814339920</v>
      </c>
      <c r="G110">
        <v>6709786.0099999998</v>
      </c>
      <c r="H110">
        <v>801901747.69000006</v>
      </c>
      <c r="I110">
        <v>805029437.55999994</v>
      </c>
      <c r="J110">
        <v>8.1222000000000003E-2</v>
      </c>
      <c r="K110">
        <v>3.7657000000000003E-2</v>
      </c>
      <c r="M110" t="s">
        <v>2</v>
      </c>
      <c r="N110">
        <v>7750</v>
      </c>
      <c r="O110">
        <v>360</v>
      </c>
      <c r="P110">
        <v>49</v>
      </c>
      <c r="Q110">
        <v>0</v>
      </c>
      <c r="R110">
        <v>38242565</v>
      </c>
      <c r="S110">
        <v>1237366.3</v>
      </c>
      <c r="T110">
        <v>36789269.32</v>
      </c>
      <c r="U110">
        <v>36982543.859999999</v>
      </c>
      <c r="V110">
        <v>6.5690999999999999E-2</v>
      </c>
      <c r="W110">
        <v>7.0860000000000003E-3</v>
      </c>
      <c r="Y110" t="s">
        <v>0</v>
      </c>
      <c r="Z110">
        <v>4500</v>
      </c>
      <c r="AA110">
        <v>320</v>
      </c>
      <c r="AB110">
        <v>183</v>
      </c>
      <c r="AC110">
        <v>0</v>
      </c>
      <c r="AD110">
        <v>816221133</v>
      </c>
      <c r="AE110">
        <v>6656853.5700000003</v>
      </c>
      <c r="AF110">
        <v>807595252</v>
      </c>
      <c r="AG110">
        <v>807628748.04999995</v>
      </c>
      <c r="AH110">
        <v>2.8566999999999999E-2</v>
      </c>
      <c r="AI110">
        <v>2.8087999999999998E-2</v>
      </c>
    </row>
    <row r="111" spans="1:35" x14ac:dyDescent="0.35">
      <c r="A111" t="s">
        <v>2</v>
      </c>
      <c r="B111">
        <v>4000</v>
      </c>
      <c r="C111">
        <v>192</v>
      </c>
      <c r="D111">
        <v>2509</v>
      </c>
      <c r="E111">
        <v>0</v>
      </c>
      <c r="F111">
        <v>21124187007</v>
      </c>
      <c r="G111">
        <v>81052478.390000001</v>
      </c>
      <c r="H111">
        <v>20959496134.900002</v>
      </c>
      <c r="I111">
        <v>21038976468.48</v>
      </c>
      <c r="J111">
        <v>4.6490999999999998E-2</v>
      </c>
      <c r="K111">
        <v>2.3600000000000001E-3</v>
      </c>
      <c r="M111" t="s">
        <v>1</v>
      </c>
      <c r="N111">
        <v>8000</v>
      </c>
      <c r="O111">
        <v>320</v>
      </c>
      <c r="P111">
        <v>210</v>
      </c>
      <c r="Q111">
        <v>0</v>
      </c>
      <c r="R111">
        <v>446354321</v>
      </c>
      <c r="S111">
        <v>6707914.6100000003</v>
      </c>
      <c r="T111">
        <v>433560351.73000002</v>
      </c>
      <c r="U111">
        <v>439379642.31999999</v>
      </c>
      <c r="V111">
        <v>0.151891</v>
      </c>
      <c r="W111">
        <v>7.1479999999999998E-3</v>
      </c>
      <c r="Y111" t="s">
        <v>2</v>
      </c>
      <c r="Z111">
        <v>4000</v>
      </c>
      <c r="AA111">
        <v>192</v>
      </c>
      <c r="AB111">
        <v>1738</v>
      </c>
      <c r="AC111">
        <v>0</v>
      </c>
      <c r="AD111">
        <v>14831108475</v>
      </c>
      <c r="AE111">
        <v>56864988.060000002</v>
      </c>
      <c r="AF111">
        <v>14740076959</v>
      </c>
      <c r="AG111">
        <v>14763250753.23</v>
      </c>
      <c r="AH111">
        <v>2.7296999999999998E-2</v>
      </c>
      <c r="AI111">
        <v>8.8579999999999996E-3</v>
      </c>
    </row>
    <row r="112" spans="1:35" x14ac:dyDescent="0.35">
      <c r="A112" t="s">
        <v>1</v>
      </c>
      <c r="B112">
        <v>7750</v>
      </c>
      <c r="C112">
        <v>360</v>
      </c>
      <c r="D112">
        <v>80</v>
      </c>
      <c r="E112">
        <v>0</v>
      </c>
      <c r="F112">
        <v>75287880</v>
      </c>
      <c r="G112">
        <v>3150909.39</v>
      </c>
      <c r="H112">
        <v>71122538.400000006</v>
      </c>
      <c r="I112">
        <v>72037638.650000006</v>
      </c>
      <c r="J112">
        <v>0.150228</v>
      </c>
      <c r="K112">
        <v>1.5717999999999999E-2</v>
      </c>
      <c r="M112" t="s">
        <v>2</v>
      </c>
      <c r="N112">
        <v>6250</v>
      </c>
      <c r="O112">
        <v>360</v>
      </c>
      <c r="P112">
        <v>11</v>
      </c>
      <c r="Q112">
        <v>0</v>
      </c>
      <c r="R112">
        <v>10278990</v>
      </c>
      <c r="S112">
        <v>293223.44</v>
      </c>
      <c r="T112">
        <v>9927498.5199999996</v>
      </c>
      <c r="U112">
        <v>9967275.3300000001</v>
      </c>
      <c r="V112">
        <v>6.5943000000000002E-2</v>
      </c>
      <c r="W112">
        <v>2.1375000000000002E-2</v>
      </c>
      <c r="Y112" t="s">
        <v>1</v>
      </c>
      <c r="Z112">
        <v>7750</v>
      </c>
      <c r="AA112">
        <v>360</v>
      </c>
      <c r="AB112">
        <v>79</v>
      </c>
      <c r="AC112">
        <v>0</v>
      </c>
      <c r="AD112">
        <v>76069434</v>
      </c>
      <c r="AE112">
        <v>3075519.35</v>
      </c>
      <c r="AF112">
        <v>71851394</v>
      </c>
      <c r="AG112">
        <v>72303198.540000007</v>
      </c>
      <c r="AH112">
        <v>0.16606599999999999</v>
      </c>
      <c r="AI112">
        <v>0.103681</v>
      </c>
    </row>
    <row r="113" spans="1:35" x14ac:dyDescent="0.35">
      <c r="A113" t="s">
        <v>2</v>
      </c>
      <c r="B113">
        <v>7750</v>
      </c>
      <c r="C113">
        <v>360</v>
      </c>
      <c r="D113">
        <v>48</v>
      </c>
      <c r="E113">
        <v>0</v>
      </c>
      <c r="F113">
        <v>37004372</v>
      </c>
      <c r="G113">
        <v>1251022.07</v>
      </c>
      <c r="H113">
        <v>35548713.329999998</v>
      </c>
      <c r="I113">
        <v>35747456.109999999</v>
      </c>
      <c r="J113">
        <v>6.4379000000000006E-2</v>
      </c>
      <c r="K113">
        <v>1.91E-3</v>
      </c>
      <c r="M113" t="s">
        <v>1</v>
      </c>
      <c r="N113">
        <v>5500</v>
      </c>
      <c r="O113">
        <v>360</v>
      </c>
      <c r="P113">
        <v>1</v>
      </c>
      <c r="Q113">
        <v>0</v>
      </c>
      <c r="R113">
        <v>534371</v>
      </c>
      <c r="S113">
        <v>19399.46</v>
      </c>
      <c r="T113">
        <v>507842.76</v>
      </c>
      <c r="U113">
        <v>514971.54</v>
      </c>
      <c r="V113">
        <v>0.14884700000000001</v>
      </c>
      <c r="W113">
        <v>0</v>
      </c>
      <c r="Y113" t="s">
        <v>2</v>
      </c>
      <c r="Z113">
        <v>7750</v>
      </c>
      <c r="AA113">
        <v>360</v>
      </c>
      <c r="AB113">
        <v>48</v>
      </c>
      <c r="AC113">
        <v>0</v>
      </c>
      <c r="AD113">
        <v>37747000</v>
      </c>
      <c r="AE113">
        <v>1259848.22</v>
      </c>
      <c r="AF113">
        <v>35789679</v>
      </c>
      <c r="AG113">
        <v>35789679</v>
      </c>
      <c r="AH113">
        <v>0.20052900000000001</v>
      </c>
      <c r="AI113">
        <v>0.20052900000000001</v>
      </c>
    </row>
    <row r="114" spans="1:35" x14ac:dyDescent="0.35">
      <c r="A114" t="s">
        <v>1</v>
      </c>
      <c r="B114">
        <v>8000</v>
      </c>
      <c r="C114">
        <v>320</v>
      </c>
      <c r="D114">
        <v>197</v>
      </c>
      <c r="E114">
        <v>0</v>
      </c>
      <c r="F114">
        <v>407977168</v>
      </c>
      <c r="G114">
        <v>6510416.5199999996</v>
      </c>
      <c r="H114">
        <v>395821091.56</v>
      </c>
      <c r="I114">
        <v>399511691.66000003</v>
      </c>
      <c r="J114">
        <v>0.15398500000000001</v>
      </c>
      <c r="K114">
        <v>5.6013E-2</v>
      </c>
      <c r="M114" t="s">
        <v>2</v>
      </c>
      <c r="N114">
        <v>6750</v>
      </c>
      <c r="O114">
        <v>360</v>
      </c>
      <c r="P114">
        <v>21</v>
      </c>
      <c r="Q114">
        <v>0</v>
      </c>
      <c r="R114">
        <v>16902819</v>
      </c>
      <c r="S114">
        <v>575633.87</v>
      </c>
      <c r="T114">
        <v>16231914.220000001</v>
      </c>
      <c r="U114">
        <v>16324461.26</v>
      </c>
      <c r="V114">
        <v>6.5578999999999998E-2</v>
      </c>
      <c r="W114">
        <v>1.9319999999999999E-3</v>
      </c>
      <c r="Y114" t="s">
        <v>1</v>
      </c>
      <c r="Z114">
        <v>8000</v>
      </c>
      <c r="AA114">
        <v>320</v>
      </c>
      <c r="AB114">
        <v>203</v>
      </c>
      <c r="AC114">
        <v>0</v>
      </c>
      <c r="AD114">
        <v>423062633</v>
      </c>
      <c r="AE114">
        <v>6629416.04</v>
      </c>
      <c r="AF114">
        <v>412173867</v>
      </c>
      <c r="AG114">
        <v>414229427.06999999</v>
      </c>
      <c r="AH114">
        <v>0.114344</v>
      </c>
      <c r="AI114">
        <v>6.0748999999999997E-2</v>
      </c>
    </row>
    <row r="115" spans="1:35" x14ac:dyDescent="0.35">
      <c r="A115" t="s">
        <v>2</v>
      </c>
      <c r="B115">
        <v>6250</v>
      </c>
      <c r="C115">
        <v>360</v>
      </c>
      <c r="D115">
        <v>15</v>
      </c>
      <c r="E115">
        <v>0</v>
      </c>
      <c r="F115">
        <v>12987115</v>
      </c>
      <c r="G115">
        <v>376351.62</v>
      </c>
      <c r="H115">
        <v>12538584.859999999</v>
      </c>
      <c r="I115">
        <v>12600126.41</v>
      </c>
      <c r="J115">
        <v>6.4690999999999999E-2</v>
      </c>
      <c r="K115">
        <v>9.7839999999999993E-3</v>
      </c>
      <c r="M115" t="s">
        <v>0</v>
      </c>
      <c r="N115">
        <v>5500</v>
      </c>
      <c r="O115">
        <v>360</v>
      </c>
      <c r="P115">
        <v>42</v>
      </c>
      <c r="Q115">
        <v>0</v>
      </c>
      <c r="R115">
        <v>46060056</v>
      </c>
      <c r="S115">
        <v>1308694.9099999999</v>
      </c>
      <c r="T115">
        <v>44373511.789999999</v>
      </c>
      <c r="U115">
        <v>44736603.759999998</v>
      </c>
      <c r="V115">
        <v>9.4118999999999994E-2</v>
      </c>
      <c r="W115">
        <v>3.8379999999999998E-3</v>
      </c>
      <c r="Y115" t="s">
        <v>2</v>
      </c>
      <c r="Z115">
        <v>6250</v>
      </c>
      <c r="AA115">
        <v>360</v>
      </c>
      <c r="AB115">
        <v>11</v>
      </c>
      <c r="AC115">
        <v>0</v>
      </c>
      <c r="AD115">
        <v>9593941</v>
      </c>
      <c r="AE115">
        <v>291197.27</v>
      </c>
      <c r="AF115">
        <v>9265493</v>
      </c>
      <c r="AG115">
        <v>9265493</v>
      </c>
      <c r="AH115">
        <v>4.5610999999999999E-2</v>
      </c>
      <c r="AI115">
        <v>4.5610999999999999E-2</v>
      </c>
    </row>
    <row r="116" spans="1:35" x14ac:dyDescent="0.35">
      <c r="A116" t="s">
        <v>1</v>
      </c>
      <c r="B116">
        <v>5500</v>
      </c>
      <c r="C116">
        <v>360</v>
      </c>
      <c r="D116">
        <v>1</v>
      </c>
      <c r="E116">
        <v>0</v>
      </c>
      <c r="F116">
        <v>383891</v>
      </c>
      <c r="G116">
        <v>15864.8</v>
      </c>
      <c r="H116">
        <v>362850.8</v>
      </c>
      <c r="I116">
        <v>368026.2</v>
      </c>
      <c r="J116">
        <v>0.15030499999999999</v>
      </c>
      <c r="K116">
        <v>0</v>
      </c>
      <c r="M116" t="s">
        <v>2</v>
      </c>
      <c r="N116">
        <v>7000</v>
      </c>
      <c r="O116">
        <v>320</v>
      </c>
      <c r="P116">
        <v>503</v>
      </c>
      <c r="Q116">
        <v>0</v>
      </c>
      <c r="R116">
        <v>1251913126</v>
      </c>
      <c r="S116">
        <v>14491686.869999999</v>
      </c>
      <c r="T116">
        <v>1230268431.05</v>
      </c>
      <c r="U116">
        <v>1232935921.25</v>
      </c>
      <c r="V116">
        <v>6.6449999999999995E-2</v>
      </c>
      <c r="W116">
        <v>4.2158000000000001E-2</v>
      </c>
      <c r="Y116" t="s">
        <v>1</v>
      </c>
      <c r="Z116">
        <v>5500</v>
      </c>
      <c r="AA116">
        <v>360</v>
      </c>
      <c r="AB116">
        <v>1</v>
      </c>
      <c r="AC116">
        <v>0</v>
      </c>
      <c r="AD116">
        <v>433614</v>
      </c>
      <c r="AE116">
        <v>17133.099999999999</v>
      </c>
      <c r="AF116">
        <v>383891</v>
      </c>
      <c r="AG116">
        <v>383891</v>
      </c>
      <c r="AH116">
        <v>0.608433</v>
      </c>
      <c r="AI116">
        <v>0.608433</v>
      </c>
    </row>
    <row r="117" spans="1:35" x14ac:dyDescent="0.35">
      <c r="A117" t="s">
        <v>2</v>
      </c>
      <c r="B117">
        <v>6750</v>
      </c>
      <c r="C117">
        <v>360</v>
      </c>
      <c r="D117">
        <v>20</v>
      </c>
      <c r="E117">
        <v>0</v>
      </c>
      <c r="F117">
        <v>14762118</v>
      </c>
      <c r="G117">
        <v>563295.49</v>
      </c>
      <c r="H117">
        <v>14117554.630000001</v>
      </c>
      <c r="I117">
        <v>14195122.720000001</v>
      </c>
      <c r="J117">
        <v>6.4098000000000002E-2</v>
      </c>
      <c r="K117">
        <v>3.003E-3</v>
      </c>
      <c r="M117" t="s">
        <v>0</v>
      </c>
      <c r="N117">
        <v>5250</v>
      </c>
      <c r="O117">
        <v>320</v>
      </c>
      <c r="P117">
        <v>1946</v>
      </c>
      <c r="Q117">
        <v>0</v>
      </c>
      <c r="R117">
        <v>8002608794</v>
      </c>
      <c r="S117">
        <v>64248483.030000001</v>
      </c>
      <c r="T117">
        <v>7877314456.6300001</v>
      </c>
      <c r="U117">
        <v>7912812782.3999996</v>
      </c>
      <c r="V117">
        <v>8.7793999999999997E-2</v>
      </c>
      <c r="W117">
        <v>3.7643000000000003E-2</v>
      </c>
      <c r="Y117" t="s">
        <v>2</v>
      </c>
      <c r="Z117">
        <v>6750</v>
      </c>
      <c r="AA117">
        <v>360</v>
      </c>
      <c r="AB117">
        <v>21</v>
      </c>
      <c r="AC117">
        <v>0</v>
      </c>
      <c r="AD117">
        <v>15528806</v>
      </c>
      <c r="AE117">
        <v>573850.01</v>
      </c>
      <c r="AF117">
        <v>14591921</v>
      </c>
      <c r="AG117">
        <v>14963555.41</v>
      </c>
      <c r="AH117">
        <v>0.24713499999999999</v>
      </c>
      <c r="AI117">
        <v>-6.6660000000000001E-3</v>
      </c>
    </row>
    <row r="118" spans="1:35" x14ac:dyDescent="0.35">
      <c r="A118" t="s">
        <v>0</v>
      </c>
      <c r="B118">
        <v>5500</v>
      </c>
      <c r="C118">
        <v>360</v>
      </c>
      <c r="D118">
        <v>44</v>
      </c>
      <c r="E118">
        <v>0</v>
      </c>
      <c r="F118">
        <v>44433657</v>
      </c>
      <c r="G118">
        <v>1356548.27</v>
      </c>
      <c r="H118">
        <v>42699791.380000003</v>
      </c>
      <c r="I118">
        <v>42986573.060000002</v>
      </c>
      <c r="J118">
        <v>9.7272999999999998E-2</v>
      </c>
      <c r="K118">
        <v>2.4178000000000002E-2</v>
      </c>
      <c r="M118" t="s">
        <v>2</v>
      </c>
      <c r="N118">
        <v>5250</v>
      </c>
      <c r="O118">
        <v>320</v>
      </c>
      <c r="P118">
        <v>140</v>
      </c>
      <c r="Q118">
        <v>0</v>
      </c>
      <c r="R118">
        <v>408782260</v>
      </c>
      <c r="S118">
        <v>3268573.42</v>
      </c>
      <c r="T118">
        <v>403618200.80000001</v>
      </c>
      <c r="U118">
        <v>404460631.62</v>
      </c>
      <c r="V118">
        <v>5.4246000000000003E-2</v>
      </c>
      <c r="W118">
        <v>3.0478999999999999E-2</v>
      </c>
      <c r="Y118" t="s">
        <v>0</v>
      </c>
      <c r="Z118">
        <v>5500</v>
      </c>
      <c r="AA118">
        <v>360</v>
      </c>
      <c r="AB118">
        <v>45</v>
      </c>
      <c r="AC118">
        <v>0</v>
      </c>
      <c r="AD118">
        <v>46716736</v>
      </c>
      <c r="AE118">
        <v>1388402.13</v>
      </c>
      <c r="AF118">
        <v>44433657</v>
      </c>
      <c r="AG118">
        <v>45077430.030000001</v>
      </c>
      <c r="AH118">
        <v>0.20708699999999999</v>
      </c>
      <c r="AI118">
        <v>6.2578999999999996E-2</v>
      </c>
    </row>
    <row r="119" spans="1:35" x14ac:dyDescent="0.35">
      <c r="A119" t="s">
        <v>0</v>
      </c>
      <c r="B119">
        <v>5250</v>
      </c>
      <c r="C119">
        <v>320</v>
      </c>
      <c r="D119">
        <v>2006</v>
      </c>
      <c r="E119">
        <v>0</v>
      </c>
      <c r="F119">
        <v>8103897536</v>
      </c>
      <c r="G119">
        <v>66602877.719999999</v>
      </c>
      <c r="H119">
        <v>7973244684.8100004</v>
      </c>
      <c r="I119">
        <v>8014194124.1999998</v>
      </c>
      <c r="J119">
        <v>9.0827000000000005E-2</v>
      </c>
      <c r="K119">
        <v>3.3674999999999997E-2</v>
      </c>
      <c r="M119" t="s">
        <v>2</v>
      </c>
      <c r="N119">
        <v>6500</v>
      </c>
      <c r="O119">
        <v>360</v>
      </c>
      <c r="P119">
        <v>48</v>
      </c>
      <c r="Q119">
        <v>0</v>
      </c>
      <c r="R119">
        <v>59029255</v>
      </c>
      <c r="S119">
        <v>1569010.72</v>
      </c>
      <c r="T119">
        <v>57124957.460000001</v>
      </c>
      <c r="U119">
        <v>57292465.939999998</v>
      </c>
      <c r="V119">
        <v>6.6071000000000005E-2</v>
      </c>
      <c r="W119">
        <v>3.3578999999999998E-2</v>
      </c>
      <c r="Y119" t="s">
        <v>0</v>
      </c>
      <c r="Z119">
        <v>5250</v>
      </c>
      <c r="AA119">
        <v>320</v>
      </c>
      <c r="AB119">
        <v>1985</v>
      </c>
      <c r="AC119">
        <v>0</v>
      </c>
      <c r="AD119">
        <v>8055346247</v>
      </c>
      <c r="AE119">
        <v>65657162.619999997</v>
      </c>
      <c r="AF119">
        <v>7946864549</v>
      </c>
      <c r="AG119">
        <v>7964130684.5799999</v>
      </c>
      <c r="AH119">
        <v>6.1962999999999997E-2</v>
      </c>
      <c r="AI119">
        <v>3.7416999999999999E-2</v>
      </c>
    </row>
    <row r="120" spans="1:35" x14ac:dyDescent="0.35">
      <c r="A120" t="s">
        <v>2</v>
      </c>
      <c r="B120">
        <v>5250</v>
      </c>
      <c r="C120">
        <v>320</v>
      </c>
      <c r="D120">
        <v>157</v>
      </c>
      <c r="E120">
        <v>0</v>
      </c>
      <c r="F120">
        <v>472921762</v>
      </c>
      <c r="G120">
        <v>3784088.05</v>
      </c>
      <c r="H120">
        <v>466949953.86000001</v>
      </c>
      <c r="I120">
        <v>468118597.86000001</v>
      </c>
      <c r="J120">
        <v>5.4121000000000002E-2</v>
      </c>
      <c r="K120">
        <v>2.5554E-2</v>
      </c>
      <c r="M120" t="s">
        <v>2</v>
      </c>
      <c r="N120">
        <v>6250</v>
      </c>
      <c r="O120">
        <v>320</v>
      </c>
      <c r="P120">
        <v>1265</v>
      </c>
      <c r="Q120">
        <v>0</v>
      </c>
      <c r="R120">
        <v>4143746620</v>
      </c>
      <c r="S120">
        <v>30225701.199999999</v>
      </c>
      <c r="T120">
        <v>4092049843.1100001</v>
      </c>
      <c r="U120">
        <v>4102968705.6300001</v>
      </c>
      <c r="V120">
        <v>6.0436999999999998E-2</v>
      </c>
      <c r="W120">
        <v>3.0134000000000001E-2</v>
      </c>
      <c r="Y120" t="s">
        <v>2</v>
      </c>
      <c r="Z120">
        <v>5250</v>
      </c>
      <c r="AA120">
        <v>320</v>
      </c>
      <c r="AB120">
        <v>155</v>
      </c>
      <c r="AC120">
        <v>0</v>
      </c>
      <c r="AD120">
        <v>460997458</v>
      </c>
      <c r="AE120">
        <v>3674862.47</v>
      </c>
      <c r="AF120">
        <v>455670437</v>
      </c>
      <c r="AG120">
        <v>456686023.31</v>
      </c>
      <c r="AH120">
        <v>4.2168999999999998E-2</v>
      </c>
      <c r="AI120">
        <v>1.6445000000000001E-2</v>
      </c>
    </row>
    <row r="121" spans="1:35" x14ac:dyDescent="0.35">
      <c r="A121" t="s">
        <v>2</v>
      </c>
      <c r="B121">
        <v>6500</v>
      </c>
      <c r="C121">
        <v>360</v>
      </c>
      <c r="D121">
        <v>58</v>
      </c>
      <c r="E121">
        <v>0</v>
      </c>
      <c r="F121">
        <v>69557710</v>
      </c>
      <c r="G121">
        <v>1951138.45</v>
      </c>
      <c r="H121">
        <v>67219620.980000004</v>
      </c>
      <c r="I121">
        <v>67485052.239999995</v>
      </c>
      <c r="J121">
        <v>6.4751000000000003E-2</v>
      </c>
      <c r="K121">
        <v>2.0764000000000001E-2</v>
      </c>
      <c r="M121" t="s">
        <v>1</v>
      </c>
      <c r="N121">
        <v>6250</v>
      </c>
      <c r="O121">
        <v>320</v>
      </c>
      <c r="P121">
        <v>1132</v>
      </c>
      <c r="Q121">
        <v>0</v>
      </c>
      <c r="R121">
        <v>4864379004</v>
      </c>
      <c r="S121">
        <v>38318580.869999997</v>
      </c>
      <c r="T121">
        <v>4767749643.9099998</v>
      </c>
      <c r="U121">
        <v>4781214646.3500004</v>
      </c>
      <c r="V121">
        <v>0.13473299999999999</v>
      </c>
      <c r="W121">
        <v>0.10519000000000001</v>
      </c>
      <c r="Y121" t="s">
        <v>2</v>
      </c>
      <c r="Z121">
        <v>6500</v>
      </c>
      <c r="AA121">
        <v>360</v>
      </c>
      <c r="AB121">
        <v>53</v>
      </c>
      <c r="AC121">
        <v>0</v>
      </c>
      <c r="AD121">
        <v>64334173</v>
      </c>
      <c r="AE121">
        <v>1780589.88</v>
      </c>
      <c r="AF121">
        <v>62315347</v>
      </c>
      <c r="AG121">
        <v>62315347</v>
      </c>
      <c r="AH121">
        <v>4.3542999999999998E-2</v>
      </c>
      <c r="AI121">
        <v>4.3542999999999998E-2</v>
      </c>
    </row>
    <row r="122" spans="1:35" x14ac:dyDescent="0.35">
      <c r="A122" t="s">
        <v>2</v>
      </c>
      <c r="B122">
        <v>6250</v>
      </c>
      <c r="C122">
        <v>320</v>
      </c>
      <c r="D122">
        <v>1347</v>
      </c>
      <c r="E122">
        <v>0</v>
      </c>
      <c r="F122">
        <v>4376818289</v>
      </c>
      <c r="G122">
        <v>32494989.640000001</v>
      </c>
      <c r="H122">
        <v>4323915749.5</v>
      </c>
      <c r="I122">
        <v>4334678038.6499996</v>
      </c>
      <c r="J122">
        <v>5.4538999999999997E-2</v>
      </c>
      <c r="K122">
        <v>2.6126E-2</v>
      </c>
      <c r="M122" t="s">
        <v>0</v>
      </c>
      <c r="N122">
        <v>4000</v>
      </c>
      <c r="O122">
        <v>360</v>
      </c>
      <c r="P122">
        <v>39</v>
      </c>
      <c r="Q122">
        <v>0</v>
      </c>
      <c r="R122">
        <v>26064379</v>
      </c>
      <c r="S122">
        <v>929331.78</v>
      </c>
      <c r="T122">
        <v>24922824.399999999</v>
      </c>
      <c r="U122">
        <v>24988220.780000001</v>
      </c>
      <c r="V122">
        <v>9.3448000000000003E-2</v>
      </c>
      <c r="W122">
        <v>6.5543000000000004E-2</v>
      </c>
      <c r="Y122" t="s">
        <v>2</v>
      </c>
      <c r="Z122">
        <v>6250</v>
      </c>
      <c r="AA122">
        <v>320</v>
      </c>
      <c r="AB122">
        <v>1335</v>
      </c>
      <c r="AC122">
        <v>0</v>
      </c>
      <c r="AD122">
        <v>4349888752</v>
      </c>
      <c r="AE122">
        <v>32093640.300000001</v>
      </c>
      <c r="AF122">
        <v>4285551108</v>
      </c>
      <c r="AG122">
        <v>4305925194.6300001</v>
      </c>
      <c r="AH122">
        <v>8.5413000000000003E-2</v>
      </c>
      <c r="AI122">
        <v>3.2258000000000002E-2</v>
      </c>
    </row>
    <row r="123" spans="1:35" x14ac:dyDescent="0.35">
      <c r="A123" t="s">
        <v>1</v>
      </c>
      <c r="B123">
        <v>6250</v>
      </c>
      <c r="C123">
        <v>320</v>
      </c>
      <c r="D123">
        <v>1178</v>
      </c>
      <c r="E123">
        <v>0</v>
      </c>
      <c r="F123">
        <v>5027928773</v>
      </c>
      <c r="G123">
        <v>40229572.329999998</v>
      </c>
      <c r="H123">
        <v>4928082422.4300003</v>
      </c>
      <c r="I123">
        <v>4946374980.9300003</v>
      </c>
      <c r="J123">
        <v>0.13336400000000001</v>
      </c>
      <c r="K123">
        <v>9.4288999999999998E-2</v>
      </c>
      <c r="M123" t="s">
        <v>0</v>
      </c>
      <c r="N123">
        <v>5000</v>
      </c>
      <c r="O123">
        <v>360</v>
      </c>
      <c r="P123">
        <v>51</v>
      </c>
      <c r="Q123">
        <v>0</v>
      </c>
      <c r="R123">
        <v>37109186</v>
      </c>
      <c r="S123">
        <v>1264905.03</v>
      </c>
      <c r="T123">
        <v>35541636.850000001</v>
      </c>
      <c r="U123">
        <v>35773393.18</v>
      </c>
      <c r="V123">
        <v>9.3592999999999996E-2</v>
      </c>
      <c r="W123">
        <v>2.2683999999999999E-2</v>
      </c>
      <c r="Y123" t="s">
        <v>1</v>
      </c>
      <c r="Z123">
        <v>6250</v>
      </c>
      <c r="AA123">
        <v>320</v>
      </c>
      <c r="AB123">
        <v>1150</v>
      </c>
      <c r="AC123">
        <v>0</v>
      </c>
      <c r="AD123">
        <v>4903121428</v>
      </c>
      <c r="AE123">
        <v>39126150.18</v>
      </c>
      <c r="AF123">
        <v>4819824055</v>
      </c>
      <c r="AG123">
        <v>4845287152.7600002</v>
      </c>
      <c r="AH123">
        <v>0.102907</v>
      </c>
      <c r="AI123">
        <v>4.4838000000000003E-2</v>
      </c>
    </row>
    <row r="124" spans="1:35" x14ac:dyDescent="0.35">
      <c r="A124" t="s">
        <v>0</v>
      </c>
      <c r="B124">
        <v>4000</v>
      </c>
      <c r="C124">
        <v>360</v>
      </c>
      <c r="D124">
        <v>40</v>
      </c>
      <c r="E124">
        <v>0</v>
      </c>
      <c r="F124">
        <v>24100383</v>
      </c>
      <c r="G124">
        <v>955686.61</v>
      </c>
      <c r="H124">
        <v>22941969.34</v>
      </c>
      <c r="I124">
        <v>23040345.890000001</v>
      </c>
      <c r="J124">
        <v>9.64E-2</v>
      </c>
      <c r="K124">
        <v>5.0737999999999998E-2</v>
      </c>
      <c r="M124" t="s">
        <v>0</v>
      </c>
      <c r="N124">
        <v>5750</v>
      </c>
      <c r="O124">
        <v>360</v>
      </c>
      <c r="P124">
        <v>119</v>
      </c>
      <c r="Q124">
        <v>0</v>
      </c>
      <c r="R124">
        <v>134093615</v>
      </c>
      <c r="S124">
        <v>3563336.02</v>
      </c>
      <c r="T124">
        <v>129428172.28</v>
      </c>
      <c r="U124">
        <v>130483595.88</v>
      </c>
      <c r="V124">
        <v>9.4288999999999998E-2</v>
      </c>
      <c r="W124">
        <v>4.1700000000000001E-3</v>
      </c>
      <c r="Y124" t="s">
        <v>0</v>
      </c>
      <c r="Z124">
        <v>4000</v>
      </c>
      <c r="AA124">
        <v>360</v>
      </c>
      <c r="AB124">
        <v>40</v>
      </c>
      <c r="AC124">
        <v>0</v>
      </c>
      <c r="AD124">
        <v>25068963</v>
      </c>
      <c r="AE124">
        <v>949818.5</v>
      </c>
      <c r="AF124">
        <v>24100383</v>
      </c>
      <c r="AG124">
        <v>24100383</v>
      </c>
      <c r="AH124">
        <v>8.9440000000000006E-3</v>
      </c>
      <c r="AI124">
        <v>8.9440000000000006E-3</v>
      </c>
    </row>
    <row r="125" spans="1:35" x14ac:dyDescent="0.35">
      <c r="A125" t="s">
        <v>0</v>
      </c>
      <c r="B125">
        <v>5000</v>
      </c>
      <c r="C125">
        <v>360</v>
      </c>
      <c r="D125">
        <v>61</v>
      </c>
      <c r="E125">
        <v>0</v>
      </c>
      <c r="F125">
        <v>47287342</v>
      </c>
      <c r="G125">
        <v>1610370.29</v>
      </c>
      <c r="H125">
        <v>45276881.869999997</v>
      </c>
      <c r="I125">
        <v>45568628.789999999</v>
      </c>
      <c r="J125">
        <v>9.6935999999999994E-2</v>
      </c>
      <c r="K125">
        <v>2.7150000000000001E-2</v>
      </c>
      <c r="M125" t="s">
        <v>0</v>
      </c>
      <c r="N125">
        <v>4000</v>
      </c>
      <c r="O125">
        <v>320</v>
      </c>
      <c r="P125">
        <v>40</v>
      </c>
      <c r="Q125">
        <v>0</v>
      </c>
      <c r="R125">
        <v>120343235</v>
      </c>
      <c r="S125">
        <v>1198350.98</v>
      </c>
      <c r="T125">
        <v>118478010.64</v>
      </c>
      <c r="U125">
        <v>118649823.42</v>
      </c>
      <c r="V125">
        <v>6.4506999999999995E-2</v>
      </c>
      <c r="W125">
        <v>4.8263E-2</v>
      </c>
      <c r="Y125" t="s">
        <v>0</v>
      </c>
      <c r="Z125">
        <v>5000</v>
      </c>
      <c r="AA125">
        <v>360</v>
      </c>
      <c r="AB125">
        <v>57</v>
      </c>
      <c r="AC125">
        <v>0</v>
      </c>
      <c r="AD125">
        <v>44437867</v>
      </c>
      <c r="AE125">
        <v>1502884.99</v>
      </c>
      <c r="AF125">
        <v>42484622</v>
      </c>
      <c r="AG125">
        <v>42484622</v>
      </c>
      <c r="AH125">
        <v>0.11506</v>
      </c>
      <c r="AI125">
        <v>0.11506</v>
      </c>
    </row>
    <row r="126" spans="1:35" x14ac:dyDescent="0.35">
      <c r="A126" t="s">
        <v>0</v>
      </c>
      <c r="B126">
        <v>5750</v>
      </c>
      <c r="C126">
        <v>360</v>
      </c>
      <c r="D126">
        <v>123</v>
      </c>
      <c r="E126">
        <v>0</v>
      </c>
      <c r="F126">
        <v>129597901</v>
      </c>
      <c r="G126">
        <v>3706552.26</v>
      </c>
      <c r="H126">
        <v>124788651.93000001</v>
      </c>
      <c r="I126">
        <v>125716933.61</v>
      </c>
      <c r="J126">
        <v>9.7458000000000003E-2</v>
      </c>
      <c r="K126">
        <v>1.6031E-2</v>
      </c>
      <c r="M126" t="s">
        <v>0</v>
      </c>
      <c r="N126">
        <v>5250</v>
      </c>
      <c r="O126">
        <v>360</v>
      </c>
      <c r="P126">
        <v>8</v>
      </c>
      <c r="Q126">
        <v>0</v>
      </c>
      <c r="R126">
        <v>5768794</v>
      </c>
      <c r="S126">
        <v>176849.56</v>
      </c>
      <c r="T126">
        <v>5544729.96</v>
      </c>
      <c r="U126">
        <v>5585821.2400000002</v>
      </c>
      <c r="V126">
        <v>9.3910999999999994E-2</v>
      </c>
      <c r="W126">
        <v>1.2663000000000001E-2</v>
      </c>
      <c r="Y126" t="s">
        <v>0</v>
      </c>
      <c r="Z126">
        <v>5750</v>
      </c>
      <c r="AA126">
        <v>360</v>
      </c>
      <c r="AB126">
        <v>121</v>
      </c>
      <c r="AC126">
        <v>0</v>
      </c>
      <c r="AD126">
        <v>129731691</v>
      </c>
      <c r="AE126">
        <v>3648925.15</v>
      </c>
      <c r="AF126">
        <v>122317726</v>
      </c>
      <c r="AG126">
        <v>125040888.01000001</v>
      </c>
      <c r="AH126">
        <v>0.29771399999999998</v>
      </c>
      <c r="AI126">
        <v>9.2227000000000003E-2</v>
      </c>
    </row>
    <row r="127" spans="1:35" x14ac:dyDescent="0.35">
      <c r="A127" t="s">
        <v>0</v>
      </c>
      <c r="B127">
        <v>5250</v>
      </c>
      <c r="C127">
        <v>360</v>
      </c>
      <c r="D127">
        <v>7</v>
      </c>
      <c r="E127">
        <v>0</v>
      </c>
      <c r="F127">
        <v>5165797</v>
      </c>
      <c r="G127">
        <v>177381.8</v>
      </c>
      <c r="H127">
        <v>4944721.0999999996</v>
      </c>
      <c r="I127">
        <v>4988415.2</v>
      </c>
      <c r="J127">
        <v>9.6908999999999995E-2</v>
      </c>
      <c r="K127">
        <v>0</v>
      </c>
      <c r="M127" t="s">
        <v>0</v>
      </c>
      <c r="N127">
        <v>4500</v>
      </c>
      <c r="O127">
        <v>240</v>
      </c>
      <c r="P127">
        <v>54</v>
      </c>
      <c r="Q127">
        <v>0</v>
      </c>
      <c r="R127">
        <v>385506331</v>
      </c>
      <c r="S127">
        <v>2318359.61</v>
      </c>
      <c r="T127">
        <v>382416143.33999997</v>
      </c>
      <c r="U127">
        <v>383187903.77999997</v>
      </c>
      <c r="V127">
        <v>2.3762999999999999E-2</v>
      </c>
      <c r="W127">
        <v>1.9999999999999999E-6</v>
      </c>
      <c r="Y127" t="s">
        <v>0</v>
      </c>
      <c r="Z127">
        <v>5250</v>
      </c>
      <c r="AA127">
        <v>360</v>
      </c>
      <c r="AB127">
        <v>8</v>
      </c>
      <c r="AC127">
        <v>0</v>
      </c>
      <c r="AD127">
        <v>5403887</v>
      </c>
      <c r="AE127">
        <v>178361.36</v>
      </c>
      <c r="AF127">
        <v>5165797</v>
      </c>
      <c r="AG127">
        <v>5198772.75</v>
      </c>
      <c r="AH127">
        <v>0.124862</v>
      </c>
      <c r="AI127">
        <v>5.7817E-2</v>
      </c>
    </row>
    <row r="128" spans="1:35" x14ac:dyDescent="0.35">
      <c r="A128" t="s">
        <v>0</v>
      </c>
      <c r="B128">
        <v>4500</v>
      </c>
      <c r="C128">
        <v>240</v>
      </c>
      <c r="D128">
        <v>44</v>
      </c>
      <c r="E128">
        <v>0</v>
      </c>
      <c r="F128">
        <v>327320955</v>
      </c>
      <c r="G128">
        <v>1974204.34</v>
      </c>
      <c r="H128">
        <v>324281809.86000001</v>
      </c>
      <c r="I128">
        <v>325346432.24000001</v>
      </c>
      <c r="J128">
        <v>3.8351000000000003E-2</v>
      </c>
      <c r="K128">
        <v>1.2E-5</v>
      </c>
      <c r="M128" t="s">
        <v>1</v>
      </c>
      <c r="N128">
        <v>6000</v>
      </c>
      <c r="O128">
        <v>240</v>
      </c>
      <c r="P128">
        <v>924</v>
      </c>
      <c r="Q128">
        <v>0</v>
      </c>
      <c r="R128">
        <v>6485258255</v>
      </c>
      <c r="S128">
        <v>36142868.890000001</v>
      </c>
      <c r="T128">
        <v>6413770350.1099997</v>
      </c>
      <c r="U128">
        <v>6447398396.9700003</v>
      </c>
      <c r="V128">
        <v>6.3475000000000004E-2</v>
      </c>
      <c r="W128">
        <v>3.1719999999999999E-3</v>
      </c>
      <c r="Y128" t="s">
        <v>0</v>
      </c>
      <c r="Z128">
        <v>4500</v>
      </c>
      <c r="AA128">
        <v>240</v>
      </c>
      <c r="AB128">
        <v>44</v>
      </c>
      <c r="AC128">
        <v>0</v>
      </c>
      <c r="AD128">
        <v>330666332</v>
      </c>
      <c r="AE128">
        <v>1983718.17</v>
      </c>
      <c r="AF128">
        <v>328183673</v>
      </c>
      <c r="AG128">
        <v>328183673</v>
      </c>
      <c r="AH128">
        <v>1.7957000000000001E-2</v>
      </c>
      <c r="AI128">
        <v>1.7957000000000001E-2</v>
      </c>
    </row>
    <row r="129" spans="1:35" x14ac:dyDescent="0.35">
      <c r="A129" t="s">
        <v>1</v>
      </c>
      <c r="B129">
        <v>5000</v>
      </c>
      <c r="C129">
        <v>360</v>
      </c>
      <c r="D129">
        <v>5</v>
      </c>
      <c r="E129">
        <v>0</v>
      </c>
      <c r="F129">
        <v>7036139</v>
      </c>
      <c r="G129">
        <v>221300.95</v>
      </c>
      <c r="H129">
        <v>6719003.8200000003</v>
      </c>
      <c r="I129">
        <v>6747535.6600000001</v>
      </c>
      <c r="J129">
        <v>0.15173900000000001</v>
      </c>
      <c r="K129">
        <v>0.108933</v>
      </c>
      <c r="M129" t="s">
        <v>1</v>
      </c>
      <c r="N129">
        <v>5000</v>
      </c>
      <c r="O129">
        <v>360</v>
      </c>
      <c r="P129">
        <v>4</v>
      </c>
      <c r="Q129">
        <v>0</v>
      </c>
      <c r="R129">
        <v>6841813</v>
      </c>
      <c r="S129">
        <v>201704.47</v>
      </c>
      <c r="T129">
        <v>6548189.0700000003</v>
      </c>
      <c r="U129">
        <v>6614353.5</v>
      </c>
      <c r="V129">
        <v>0.14982400000000001</v>
      </c>
      <c r="W129">
        <v>4.4248999999999997E-2</v>
      </c>
      <c r="Y129" t="s">
        <v>1</v>
      </c>
      <c r="Z129">
        <v>5000</v>
      </c>
      <c r="AA129">
        <v>360</v>
      </c>
      <c r="AB129">
        <v>5</v>
      </c>
      <c r="AC129">
        <v>0</v>
      </c>
      <c r="AD129">
        <v>7241813</v>
      </c>
      <c r="AE129">
        <v>215660.41</v>
      </c>
      <c r="AF129">
        <v>7036139</v>
      </c>
      <c r="AG129">
        <v>7036139</v>
      </c>
      <c r="AH129">
        <v>-1.6674000000000001E-2</v>
      </c>
      <c r="AI129">
        <v>-1.6674000000000001E-2</v>
      </c>
    </row>
    <row r="130" spans="1:35" x14ac:dyDescent="0.35">
      <c r="A130" t="s">
        <v>1</v>
      </c>
      <c r="B130">
        <v>9000</v>
      </c>
      <c r="C130">
        <v>320</v>
      </c>
      <c r="D130">
        <v>39</v>
      </c>
      <c r="E130">
        <v>0</v>
      </c>
      <c r="F130">
        <v>64619706</v>
      </c>
      <c r="G130">
        <v>1017603.84</v>
      </c>
      <c r="H130">
        <v>62707692.259999998</v>
      </c>
      <c r="I130">
        <v>63403609.630000003</v>
      </c>
      <c r="J130">
        <v>0.15401500000000001</v>
      </c>
      <c r="K130">
        <v>3.6243999999999998E-2</v>
      </c>
      <c r="M130" t="s">
        <v>1</v>
      </c>
      <c r="N130">
        <v>9000</v>
      </c>
      <c r="O130">
        <v>320</v>
      </c>
      <c r="P130">
        <v>41</v>
      </c>
      <c r="Q130">
        <v>0</v>
      </c>
      <c r="R130">
        <v>72088730</v>
      </c>
      <c r="S130">
        <v>1060207.1200000001</v>
      </c>
      <c r="T130">
        <v>70045270.280000001</v>
      </c>
      <c r="U130">
        <v>70994313.969999999</v>
      </c>
      <c r="V130">
        <v>0.15193699999999999</v>
      </c>
      <c r="W130">
        <v>5.6800000000000002E-3</v>
      </c>
      <c r="Y130" t="s">
        <v>1</v>
      </c>
      <c r="Z130">
        <v>9000</v>
      </c>
      <c r="AA130">
        <v>320</v>
      </c>
      <c r="AB130">
        <v>39</v>
      </c>
      <c r="AC130">
        <v>0</v>
      </c>
      <c r="AD130">
        <v>65905968</v>
      </c>
      <c r="AE130">
        <v>1014519.52</v>
      </c>
      <c r="AF130">
        <v>64619706</v>
      </c>
      <c r="AG130">
        <v>64619706</v>
      </c>
      <c r="AH130">
        <v>4.8370999999999997E-2</v>
      </c>
      <c r="AI130">
        <v>4.8370999999999997E-2</v>
      </c>
    </row>
    <row r="131" spans="1:35" x14ac:dyDescent="0.35">
      <c r="A131" t="s">
        <v>2</v>
      </c>
      <c r="B131">
        <v>7000</v>
      </c>
      <c r="C131">
        <v>320</v>
      </c>
      <c r="D131">
        <v>452</v>
      </c>
      <c r="E131">
        <v>0</v>
      </c>
      <c r="F131">
        <v>1122195456</v>
      </c>
      <c r="G131">
        <v>13041285.58</v>
      </c>
      <c r="H131">
        <v>1102909299.8199999</v>
      </c>
      <c r="I131">
        <v>1105288002.26</v>
      </c>
      <c r="J131">
        <v>6.4771999999999996E-2</v>
      </c>
      <c r="K131">
        <v>4.0568E-2</v>
      </c>
      <c r="M131" t="s">
        <v>2</v>
      </c>
      <c r="N131">
        <v>4000</v>
      </c>
      <c r="O131">
        <v>360</v>
      </c>
      <c r="P131">
        <v>5</v>
      </c>
      <c r="Q131">
        <v>0</v>
      </c>
      <c r="R131">
        <v>1869157</v>
      </c>
      <c r="S131">
        <v>114009.46</v>
      </c>
      <c r="T131">
        <v>1744906.06</v>
      </c>
      <c r="U131">
        <v>1747043.41</v>
      </c>
      <c r="V131">
        <v>6.3805000000000001E-2</v>
      </c>
      <c r="W131">
        <v>5.0805999999999997E-2</v>
      </c>
      <c r="Y131" t="s">
        <v>2</v>
      </c>
      <c r="Z131">
        <v>7000</v>
      </c>
      <c r="AA131">
        <v>320</v>
      </c>
      <c r="AB131">
        <v>467</v>
      </c>
      <c r="AC131">
        <v>0</v>
      </c>
      <c r="AD131">
        <v>1161514022</v>
      </c>
      <c r="AE131">
        <v>13477272.85</v>
      </c>
      <c r="AF131">
        <v>1140503117</v>
      </c>
      <c r="AG131">
        <v>1144234110.52</v>
      </c>
      <c r="AH131">
        <v>7.5115000000000001E-2</v>
      </c>
      <c r="AI131">
        <v>3.8587000000000003E-2</v>
      </c>
    </row>
    <row r="132" spans="1:35" x14ac:dyDescent="0.35">
      <c r="A132" t="s">
        <v>2</v>
      </c>
      <c r="B132">
        <v>4000</v>
      </c>
      <c r="C132">
        <v>360</v>
      </c>
      <c r="D132">
        <v>5</v>
      </c>
      <c r="E132">
        <v>0</v>
      </c>
      <c r="F132">
        <v>1575998</v>
      </c>
      <c r="G132">
        <v>118855.64</v>
      </c>
      <c r="H132">
        <v>1448802.31</v>
      </c>
      <c r="I132">
        <v>1453347.35</v>
      </c>
      <c r="J132">
        <v>6.1686999999999999E-2</v>
      </c>
      <c r="K132">
        <v>2.8516E-2</v>
      </c>
      <c r="M132" t="s">
        <v>1</v>
      </c>
      <c r="N132">
        <v>6750</v>
      </c>
      <c r="O132">
        <v>320</v>
      </c>
      <c r="P132">
        <v>471</v>
      </c>
      <c r="Q132">
        <v>0</v>
      </c>
      <c r="R132">
        <v>1629225071</v>
      </c>
      <c r="S132">
        <v>16323306.689999999</v>
      </c>
      <c r="T132">
        <v>1591309224.04</v>
      </c>
      <c r="U132">
        <v>1598148876.6700001</v>
      </c>
      <c r="V132">
        <v>0.14794299999999999</v>
      </c>
      <c r="W132">
        <v>0.10341</v>
      </c>
      <c r="Y132" t="s">
        <v>2</v>
      </c>
      <c r="Z132">
        <v>4000</v>
      </c>
      <c r="AA132">
        <v>360</v>
      </c>
      <c r="AB132">
        <v>5</v>
      </c>
      <c r="AC132">
        <v>0</v>
      </c>
      <c r="AD132">
        <v>1674043</v>
      </c>
      <c r="AE132">
        <v>117058.2</v>
      </c>
      <c r="AF132">
        <v>1575998</v>
      </c>
      <c r="AG132">
        <v>1575998</v>
      </c>
      <c r="AH132">
        <v>-0.14513599999999999</v>
      </c>
      <c r="AI132">
        <v>-0.14513599999999999</v>
      </c>
    </row>
    <row r="133" spans="1:35" x14ac:dyDescent="0.35">
      <c r="A133" t="s">
        <v>1</v>
      </c>
      <c r="B133">
        <v>5750</v>
      </c>
      <c r="C133">
        <v>360</v>
      </c>
      <c r="D133">
        <v>7</v>
      </c>
      <c r="E133">
        <v>0</v>
      </c>
      <c r="F133">
        <v>11594042</v>
      </c>
      <c r="G133">
        <v>301115.06</v>
      </c>
      <c r="H133">
        <v>11134119.210000001</v>
      </c>
      <c r="I133">
        <v>11229273.18</v>
      </c>
      <c r="J133">
        <v>0.152534</v>
      </c>
      <c r="K133">
        <v>6.3929E-2</v>
      </c>
      <c r="M133" t="s">
        <v>1</v>
      </c>
      <c r="N133">
        <v>5750</v>
      </c>
      <c r="O133">
        <v>360</v>
      </c>
      <c r="P133">
        <v>4</v>
      </c>
      <c r="Q133">
        <v>0</v>
      </c>
      <c r="R133">
        <v>5572744</v>
      </c>
      <c r="S133">
        <v>145998.93</v>
      </c>
      <c r="T133">
        <v>5351622.2699999996</v>
      </c>
      <c r="U133">
        <v>5426745.0700000003</v>
      </c>
      <c r="V133">
        <v>0.15029400000000001</v>
      </c>
      <c r="W133">
        <v>0</v>
      </c>
      <c r="Y133" t="s">
        <v>1</v>
      </c>
      <c r="Z133">
        <v>5750</v>
      </c>
      <c r="AA133">
        <v>360</v>
      </c>
      <c r="AB133">
        <v>5</v>
      </c>
      <c r="AC133">
        <v>0</v>
      </c>
      <c r="AD133">
        <v>7657518</v>
      </c>
      <c r="AE133">
        <v>202982.43</v>
      </c>
      <c r="AF133">
        <v>7470195</v>
      </c>
      <c r="AG133">
        <v>7470195</v>
      </c>
      <c r="AH133">
        <v>-2.4818E-2</v>
      </c>
      <c r="AI133">
        <v>-2.4818E-2</v>
      </c>
    </row>
    <row r="134" spans="1:35" x14ac:dyDescent="0.35">
      <c r="A134" t="s">
        <v>1</v>
      </c>
      <c r="B134">
        <v>6250</v>
      </c>
      <c r="C134">
        <v>360</v>
      </c>
      <c r="D134">
        <v>13</v>
      </c>
      <c r="E134">
        <v>0</v>
      </c>
      <c r="F134">
        <v>18465181</v>
      </c>
      <c r="G134">
        <v>534917.68999999994</v>
      </c>
      <c r="H134">
        <v>17678117.48</v>
      </c>
      <c r="I134">
        <v>17887318.16</v>
      </c>
      <c r="J134">
        <v>0.15209900000000001</v>
      </c>
      <c r="K134">
        <v>2.7555E-2</v>
      </c>
      <c r="M134" t="s">
        <v>1</v>
      </c>
      <c r="N134">
        <v>6250</v>
      </c>
      <c r="O134">
        <v>360</v>
      </c>
      <c r="P134">
        <v>12</v>
      </c>
      <c r="Q134">
        <v>0</v>
      </c>
      <c r="R134">
        <v>16585372</v>
      </c>
      <c r="S134">
        <v>450410</v>
      </c>
      <c r="T134">
        <v>15911604.640000001</v>
      </c>
      <c r="U134">
        <v>16092436.75</v>
      </c>
      <c r="V134">
        <v>0.15015700000000001</v>
      </c>
      <c r="W134">
        <v>3.0338E-2</v>
      </c>
      <c r="Y134" t="s">
        <v>1</v>
      </c>
      <c r="Z134">
        <v>6250</v>
      </c>
      <c r="AA134">
        <v>360</v>
      </c>
      <c r="AB134">
        <v>13</v>
      </c>
      <c r="AC134">
        <v>0</v>
      </c>
      <c r="AD134">
        <v>19198217</v>
      </c>
      <c r="AE134">
        <v>537766</v>
      </c>
      <c r="AF134">
        <v>18465181</v>
      </c>
      <c r="AG134">
        <v>18465181</v>
      </c>
      <c r="AH134">
        <v>0.115453</v>
      </c>
      <c r="AI134">
        <v>0.115453</v>
      </c>
    </row>
    <row r="135" spans="1:35" x14ac:dyDescent="0.35">
      <c r="A135" t="s">
        <v>0</v>
      </c>
      <c r="B135">
        <v>7750</v>
      </c>
      <c r="C135">
        <v>320</v>
      </c>
      <c r="D135">
        <v>1058</v>
      </c>
      <c r="E135">
        <v>0</v>
      </c>
      <c r="F135">
        <v>2357567113</v>
      </c>
      <c r="G135">
        <v>31300252.239999998</v>
      </c>
      <c r="H135">
        <v>2305890821.8000002</v>
      </c>
      <c r="I135">
        <v>2317006514.3699999</v>
      </c>
      <c r="J135">
        <v>9.8922999999999997E-2</v>
      </c>
      <c r="K135">
        <v>4.6129999999999997E-2</v>
      </c>
      <c r="M135" t="s">
        <v>2</v>
      </c>
      <c r="N135">
        <v>4500</v>
      </c>
      <c r="O135">
        <v>168</v>
      </c>
      <c r="P135">
        <v>3103</v>
      </c>
      <c r="Q135">
        <v>0</v>
      </c>
      <c r="R135">
        <v>23113303495</v>
      </c>
      <c r="S135">
        <v>78392678.049999997</v>
      </c>
      <c r="T135">
        <v>22924438946.119999</v>
      </c>
      <c r="U135">
        <v>23027459809.619999</v>
      </c>
      <c r="V135">
        <v>5.5870999999999997E-2</v>
      </c>
      <c r="W135">
        <v>3.862E-3</v>
      </c>
      <c r="Y135" t="s">
        <v>0</v>
      </c>
      <c r="Z135">
        <v>7750</v>
      </c>
      <c r="AA135">
        <v>320</v>
      </c>
      <c r="AB135">
        <v>1089</v>
      </c>
      <c r="AC135">
        <v>0</v>
      </c>
      <c r="AD135">
        <v>2439342791</v>
      </c>
      <c r="AE135">
        <v>31948216.530000001</v>
      </c>
      <c r="AF135">
        <v>2376387395</v>
      </c>
      <c r="AG135">
        <v>2384178972.4899998</v>
      </c>
      <c r="AH135">
        <v>0.14231099999999999</v>
      </c>
      <c r="AI135">
        <v>0.108413</v>
      </c>
    </row>
    <row r="136" spans="1:35" x14ac:dyDescent="0.35">
      <c r="A136" t="s">
        <v>2</v>
      </c>
      <c r="B136">
        <v>5500</v>
      </c>
      <c r="C136">
        <v>240</v>
      </c>
      <c r="D136">
        <v>359</v>
      </c>
      <c r="E136">
        <v>0</v>
      </c>
      <c r="F136">
        <v>2093162767</v>
      </c>
      <c r="G136">
        <v>11578252</v>
      </c>
      <c r="H136">
        <v>2078414332.3699999</v>
      </c>
      <c r="I136">
        <v>2081378959.5899999</v>
      </c>
      <c r="J136">
        <v>1.8023999999999998E-2</v>
      </c>
      <c r="K136">
        <v>1.178E-3</v>
      </c>
      <c r="M136" t="s">
        <v>1</v>
      </c>
      <c r="N136">
        <v>4500</v>
      </c>
      <c r="O136">
        <v>168</v>
      </c>
      <c r="P136">
        <v>2974</v>
      </c>
      <c r="Q136">
        <v>0</v>
      </c>
      <c r="R136">
        <v>29804993839</v>
      </c>
      <c r="S136">
        <v>99841886.409999996</v>
      </c>
      <c r="T136">
        <v>29530788871.34</v>
      </c>
      <c r="U136">
        <v>29694401167.740002</v>
      </c>
      <c r="V136">
        <v>6.7986000000000005E-2</v>
      </c>
      <c r="W136">
        <v>4.3200000000000001E-3</v>
      </c>
      <c r="Y136" t="s">
        <v>2</v>
      </c>
      <c r="Z136">
        <v>5500</v>
      </c>
      <c r="AA136">
        <v>240</v>
      </c>
      <c r="AB136">
        <v>348</v>
      </c>
      <c r="AC136">
        <v>0</v>
      </c>
      <c r="AD136">
        <v>1994548152</v>
      </c>
      <c r="AE136">
        <v>11035505.17</v>
      </c>
      <c r="AF136">
        <v>1982438702</v>
      </c>
      <c r="AG136">
        <v>1982438702</v>
      </c>
      <c r="AH136">
        <v>6.4419999999999998E-3</v>
      </c>
      <c r="AI136">
        <v>6.4419999999999998E-3</v>
      </c>
    </row>
    <row r="137" spans="1:35" x14ac:dyDescent="0.35">
      <c r="A137" t="s">
        <v>2</v>
      </c>
      <c r="B137">
        <v>6000</v>
      </c>
      <c r="C137">
        <v>240</v>
      </c>
      <c r="D137">
        <v>493</v>
      </c>
      <c r="E137">
        <v>0</v>
      </c>
      <c r="F137">
        <v>2793421956</v>
      </c>
      <c r="G137">
        <v>14917292.060000001</v>
      </c>
      <c r="H137">
        <v>2772672592.5999999</v>
      </c>
      <c r="I137">
        <v>2777872728.4000001</v>
      </c>
      <c r="J137">
        <v>2.4767999999999998E-2</v>
      </c>
      <c r="K137">
        <v>2.7109999999999999E-3</v>
      </c>
      <c r="M137" t="s">
        <v>2</v>
      </c>
      <c r="N137">
        <v>5000</v>
      </c>
      <c r="O137">
        <v>168</v>
      </c>
      <c r="P137">
        <v>289</v>
      </c>
      <c r="Q137">
        <v>0</v>
      </c>
      <c r="R137">
        <v>2142577777</v>
      </c>
      <c r="S137">
        <v>6632724.7199999997</v>
      </c>
      <c r="T137">
        <v>2123986269.71</v>
      </c>
      <c r="U137">
        <v>2134330751.3800001</v>
      </c>
      <c r="V137">
        <v>6.4960000000000004E-2</v>
      </c>
      <c r="W137">
        <v>9.0039999999999999E-3</v>
      </c>
      <c r="Y137" t="s">
        <v>2</v>
      </c>
      <c r="Z137">
        <v>6000</v>
      </c>
      <c r="AA137">
        <v>240</v>
      </c>
      <c r="AB137">
        <v>503</v>
      </c>
      <c r="AC137">
        <v>0</v>
      </c>
      <c r="AD137">
        <v>2762084580</v>
      </c>
      <c r="AE137">
        <v>14839405.560000001</v>
      </c>
      <c r="AF137">
        <v>2738686954</v>
      </c>
      <c r="AG137">
        <v>2740472956.7800002</v>
      </c>
      <c r="AH137">
        <v>3.6554000000000003E-2</v>
      </c>
      <c r="AI137">
        <v>2.9028999999999999E-2</v>
      </c>
    </row>
    <row r="138" spans="1:35" x14ac:dyDescent="0.35">
      <c r="A138" t="s">
        <v>2</v>
      </c>
      <c r="B138">
        <v>5500</v>
      </c>
      <c r="C138">
        <v>320</v>
      </c>
      <c r="D138">
        <v>693</v>
      </c>
      <c r="E138">
        <v>0</v>
      </c>
      <c r="F138">
        <v>2624688855</v>
      </c>
      <c r="G138">
        <v>20472345.539999999</v>
      </c>
      <c r="H138">
        <v>2592540836.6700001</v>
      </c>
      <c r="I138">
        <v>2598908319.4400001</v>
      </c>
      <c r="J138">
        <v>5.2094000000000001E-2</v>
      </c>
      <c r="K138">
        <v>2.4001000000000001E-2</v>
      </c>
      <c r="M138" t="s">
        <v>2</v>
      </c>
      <c r="N138">
        <v>4000</v>
      </c>
      <c r="O138">
        <v>168</v>
      </c>
      <c r="P138">
        <v>12493</v>
      </c>
      <c r="Q138">
        <v>0</v>
      </c>
      <c r="R138">
        <v>101035648750</v>
      </c>
      <c r="S138">
        <v>358266256.19999999</v>
      </c>
      <c r="T138">
        <v>100215086911.46001</v>
      </c>
      <c r="U138">
        <v>100651803292.59</v>
      </c>
      <c r="V138">
        <v>5.3546000000000003E-2</v>
      </c>
      <c r="W138">
        <v>3.0339999999999998E-3</v>
      </c>
      <c r="Y138" t="s">
        <v>2</v>
      </c>
      <c r="Z138">
        <v>5500</v>
      </c>
      <c r="AA138">
        <v>320</v>
      </c>
      <c r="AB138">
        <v>689</v>
      </c>
      <c r="AC138">
        <v>0</v>
      </c>
      <c r="AD138">
        <v>2624344364</v>
      </c>
      <c r="AE138">
        <v>20268032.969999999</v>
      </c>
      <c r="AF138">
        <v>2587133854</v>
      </c>
      <c r="AG138">
        <v>2596194547.6100001</v>
      </c>
      <c r="AH138">
        <v>7.4777999999999997E-2</v>
      </c>
      <c r="AI138">
        <v>3.5451000000000003E-2</v>
      </c>
    </row>
    <row r="139" spans="1:35" x14ac:dyDescent="0.35">
      <c r="A139" t="s">
        <v>0</v>
      </c>
      <c r="B139">
        <v>7500</v>
      </c>
      <c r="C139">
        <v>216</v>
      </c>
      <c r="D139">
        <v>727</v>
      </c>
      <c r="E139">
        <v>0</v>
      </c>
      <c r="F139">
        <v>3486255903</v>
      </c>
      <c r="G139">
        <v>13874247.77</v>
      </c>
      <c r="H139">
        <v>3457864282.1100001</v>
      </c>
      <c r="I139">
        <v>3468218694.6700001</v>
      </c>
      <c r="J139">
        <v>4.8841000000000002E-2</v>
      </c>
      <c r="K139">
        <v>1.4236E-2</v>
      </c>
      <c r="M139" t="s">
        <v>1</v>
      </c>
      <c r="N139">
        <v>5000</v>
      </c>
      <c r="O139">
        <v>168</v>
      </c>
      <c r="P139">
        <v>273</v>
      </c>
      <c r="Q139">
        <v>0</v>
      </c>
      <c r="R139">
        <v>2476916955</v>
      </c>
      <c r="S139">
        <v>7702759</v>
      </c>
      <c r="T139">
        <v>2449416124.3200002</v>
      </c>
      <c r="U139">
        <v>2466639764.6700001</v>
      </c>
      <c r="V139">
        <v>9.1810000000000003E-2</v>
      </c>
      <c r="W139">
        <v>1.2401000000000001E-2</v>
      </c>
      <c r="Y139" t="s">
        <v>0</v>
      </c>
      <c r="Z139">
        <v>7500</v>
      </c>
      <c r="AA139">
        <v>216</v>
      </c>
      <c r="AB139">
        <v>797</v>
      </c>
      <c r="AC139">
        <v>0</v>
      </c>
      <c r="AD139">
        <v>3848737892</v>
      </c>
      <c r="AE139">
        <v>15270413.52</v>
      </c>
      <c r="AF139">
        <v>3768135469</v>
      </c>
      <c r="AG139">
        <v>3785238191.52</v>
      </c>
      <c r="AH139">
        <v>0.18571699999999999</v>
      </c>
      <c r="AI139">
        <v>0.140431</v>
      </c>
    </row>
    <row r="140" spans="1:35" x14ac:dyDescent="0.35">
      <c r="A140" t="s">
        <v>3</v>
      </c>
      <c r="B140">
        <v>4500</v>
      </c>
      <c r="C140">
        <v>216</v>
      </c>
      <c r="D140">
        <v>2</v>
      </c>
      <c r="E140">
        <v>0</v>
      </c>
      <c r="F140">
        <v>11437208</v>
      </c>
      <c r="G140">
        <v>53574.62</v>
      </c>
      <c r="H140">
        <v>11363954.539999999</v>
      </c>
      <c r="I140">
        <v>11383632.08</v>
      </c>
      <c r="J140">
        <v>2.0452999999999999E-2</v>
      </c>
      <c r="K140">
        <v>9.9999999999999995E-7</v>
      </c>
      <c r="M140" t="s">
        <v>0</v>
      </c>
      <c r="N140">
        <v>7750</v>
      </c>
      <c r="O140">
        <v>320</v>
      </c>
      <c r="P140">
        <v>1113</v>
      </c>
      <c r="Q140">
        <v>0</v>
      </c>
      <c r="R140">
        <v>2566559402</v>
      </c>
      <c r="S140">
        <v>32494229.370000001</v>
      </c>
      <c r="T140">
        <v>2512673546.0300002</v>
      </c>
      <c r="U140">
        <v>2529662426.1399999</v>
      </c>
      <c r="V140">
        <v>9.5557000000000003E-2</v>
      </c>
      <c r="W140">
        <v>2.0392E-2</v>
      </c>
      <c r="Y140" t="s">
        <v>3</v>
      </c>
      <c r="Z140">
        <v>4500</v>
      </c>
      <c r="AA140">
        <v>216</v>
      </c>
      <c r="AB140">
        <v>2</v>
      </c>
      <c r="AC140">
        <v>0</v>
      </c>
      <c r="AD140">
        <v>11461003</v>
      </c>
      <c r="AE140">
        <v>53238.09</v>
      </c>
      <c r="AF140">
        <v>11437208</v>
      </c>
      <c r="AG140">
        <v>11437208</v>
      </c>
      <c r="AH140">
        <v>-3.1267000000000003E-2</v>
      </c>
      <c r="AI140">
        <v>-3.1267000000000003E-2</v>
      </c>
    </row>
    <row r="141" spans="1:35" x14ac:dyDescent="0.35">
      <c r="A141" t="s">
        <v>0</v>
      </c>
      <c r="B141">
        <v>4500</v>
      </c>
      <c r="C141">
        <v>216</v>
      </c>
      <c r="D141">
        <v>5992</v>
      </c>
      <c r="E141">
        <v>0</v>
      </c>
      <c r="F141">
        <v>57100795827</v>
      </c>
      <c r="G141">
        <v>257921639.66999999</v>
      </c>
      <c r="H141">
        <v>56643443124.480003</v>
      </c>
      <c r="I141">
        <v>56827268880.139999</v>
      </c>
      <c r="J141">
        <v>4.1116E-2</v>
      </c>
      <c r="K141">
        <v>3.2750000000000001E-3</v>
      </c>
      <c r="M141" t="s">
        <v>2</v>
      </c>
      <c r="N141">
        <v>5500</v>
      </c>
      <c r="O141">
        <v>240</v>
      </c>
      <c r="P141">
        <v>377</v>
      </c>
      <c r="Q141">
        <v>0</v>
      </c>
      <c r="R141">
        <v>2118567801</v>
      </c>
      <c r="S141">
        <v>11743819.41</v>
      </c>
      <c r="T141">
        <v>2104044115.05</v>
      </c>
      <c r="U141">
        <v>2106754720.5999999</v>
      </c>
      <c r="V141">
        <v>1.5633000000000001E-2</v>
      </c>
      <c r="W141">
        <v>3.9199999999999999E-4</v>
      </c>
      <c r="Y141" t="s">
        <v>0</v>
      </c>
      <c r="Z141">
        <v>4500</v>
      </c>
      <c r="AA141">
        <v>216</v>
      </c>
      <c r="AB141">
        <v>5651</v>
      </c>
      <c r="AC141">
        <v>0</v>
      </c>
      <c r="AD141">
        <v>54087633124</v>
      </c>
      <c r="AE141">
        <v>243015780.38999999</v>
      </c>
      <c r="AF141">
        <v>53514334256</v>
      </c>
      <c r="AG141">
        <v>53719472488.029999</v>
      </c>
      <c r="AH141">
        <v>7.0865999999999998E-2</v>
      </c>
      <c r="AI141">
        <v>2.7414000000000001E-2</v>
      </c>
    </row>
    <row r="142" spans="1:35" x14ac:dyDescent="0.35">
      <c r="A142" t="s">
        <v>1</v>
      </c>
      <c r="B142">
        <v>4500</v>
      </c>
      <c r="C142">
        <v>216</v>
      </c>
      <c r="D142">
        <v>1448</v>
      </c>
      <c r="E142">
        <v>0</v>
      </c>
      <c r="F142">
        <v>13763360818</v>
      </c>
      <c r="G142">
        <v>62526965.380000003</v>
      </c>
      <c r="H142">
        <v>13655909309.129999</v>
      </c>
      <c r="I142">
        <v>13698948807.5</v>
      </c>
      <c r="J142">
        <v>3.8473E-2</v>
      </c>
      <c r="K142">
        <v>1.642E-3</v>
      </c>
      <c r="M142" t="s">
        <v>2</v>
      </c>
      <c r="N142">
        <v>6000</v>
      </c>
      <c r="O142">
        <v>240</v>
      </c>
      <c r="P142">
        <v>571</v>
      </c>
      <c r="Q142">
        <v>0</v>
      </c>
      <c r="R142">
        <v>3066162173</v>
      </c>
      <c r="S142">
        <v>16694383.98</v>
      </c>
      <c r="T142">
        <v>3044103059.6799998</v>
      </c>
      <c r="U142">
        <v>3049089422.0500002</v>
      </c>
      <c r="V142">
        <v>2.0795000000000001E-2</v>
      </c>
      <c r="W142">
        <v>1.48E-3</v>
      </c>
      <c r="Y142" t="s">
        <v>1</v>
      </c>
      <c r="Z142">
        <v>4500</v>
      </c>
      <c r="AA142">
        <v>216</v>
      </c>
      <c r="AB142">
        <v>1392</v>
      </c>
      <c r="AC142">
        <v>0</v>
      </c>
      <c r="AD142">
        <v>13250576304</v>
      </c>
      <c r="AE142">
        <v>59839394.600000001</v>
      </c>
      <c r="AF142">
        <v>13123458544</v>
      </c>
      <c r="AG142">
        <v>13154489362.74</v>
      </c>
      <c r="AH142">
        <v>5.9256000000000003E-2</v>
      </c>
      <c r="AI142">
        <v>3.2336999999999998E-2</v>
      </c>
    </row>
    <row r="143" spans="1:35" x14ac:dyDescent="0.35">
      <c r="A143" t="s">
        <v>2</v>
      </c>
      <c r="B143">
        <v>4500</v>
      </c>
      <c r="C143">
        <v>216</v>
      </c>
      <c r="D143">
        <v>539</v>
      </c>
      <c r="E143">
        <v>0</v>
      </c>
      <c r="F143">
        <v>4155577168</v>
      </c>
      <c r="G143">
        <v>18761232</v>
      </c>
      <c r="H143">
        <v>4127495481.8200002</v>
      </c>
      <c r="I143">
        <v>4136122630.3499999</v>
      </c>
      <c r="J143">
        <v>2.6585000000000001E-2</v>
      </c>
      <c r="K143">
        <v>2E-3</v>
      </c>
      <c r="M143" t="s">
        <v>1</v>
      </c>
      <c r="N143">
        <v>7000</v>
      </c>
      <c r="O143">
        <v>240</v>
      </c>
      <c r="P143">
        <v>230</v>
      </c>
      <c r="Q143">
        <v>0</v>
      </c>
      <c r="R143">
        <v>1382653533</v>
      </c>
      <c r="S143">
        <v>6839901.79</v>
      </c>
      <c r="T143">
        <v>1365750032.1900001</v>
      </c>
      <c r="U143">
        <v>1374872635.6199999</v>
      </c>
      <c r="V143">
        <v>8.3929000000000004E-2</v>
      </c>
      <c r="W143">
        <v>8.1359999999999991E-3</v>
      </c>
      <c r="Y143" t="s">
        <v>2</v>
      </c>
      <c r="Z143">
        <v>4500</v>
      </c>
      <c r="AA143">
        <v>216</v>
      </c>
      <c r="AB143">
        <v>492</v>
      </c>
      <c r="AC143">
        <v>0</v>
      </c>
      <c r="AD143">
        <v>3795033720</v>
      </c>
      <c r="AE143">
        <v>17072752.23</v>
      </c>
      <c r="AF143">
        <v>3752627165</v>
      </c>
      <c r="AG143">
        <v>3774025083.23</v>
      </c>
      <c r="AH143">
        <v>7.7229999999999993E-2</v>
      </c>
      <c r="AI143">
        <v>1.2375000000000001E-2</v>
      </c>
    </row>
    <row r="144" spans="1:35" x14ac:dyDescent="0.35">
      <c r="A144" t="s">
        <v>3</v>
      </c>
      <c r="B144">
        <v>5000</v>
      </c>
      <c r="C144">
        <v>216</v>
      </c>
      <c r="D144">
        <v>102</v>
      </c>
      <c r="E144">
        <v>0</v>
      </c>
      <c r="F144">
        <v>1023051472</v>
      </c>
      <c r="G144">
        <v>4434552.99</v>
      </c>
      <c r="H144">
        <v>1014331050.4</v>
      </c>
      <c r="I144">
        <v>1017683331.49</v>
      </c>
      <c r="J144">
        <v>4.9128999999999999E-2</v>
      </c>
      <c r="K144">
        <v>1.0895999999999999E-2</v>
      </c>
      <c r="M144" t="s">
        <v>0</v>
      </c>
      <c r="N144">
        <v>7000</v>
      </c>
      <c r="O144">
        <v>240</v>
      </c>
      <c r="P144">
        <v>4069</v>
      </c>
      <c r="Q144">
        <v>0</v>
      </c>
      <c r="R144">
        <v>20638316599</v>
      </c>
      <c r="S144">
        <v>102058487.25</v>
      </c>
      <c r="T144">
        <v>20436149571.560001</v>
      </c>
      <c r="U144">
        <v>20509030912.5</v>
      </c>
      <c r="V144">
        <v>5.6679E-2</v>
      </c>
      <c r="W144">
        <v>1.5716999999999998E-2</v>
      </c>
      <c r="Y144" t="s">
        <v>3</v>
      </c>
      <c r="Z144">
        <v>5000</v>
      </c>
      <c r="AA144">
        <v>216</v>
      </c>
      <c r="AB144">
        <v>85</v>
      </c>
      <c r="AC144">
        <v>0</v>
      </c>
      <c r="AD144">
        <v>866087545</v>
      </c>
      <c r="AE144">
        <v>3751226.86</v>
      </c>
      <c r="AF144">
        <v>861252299</v>
      </c>
      <c r="AG144">
        <v>861252299</v>
      </c>
      <c r="AH144">
        <v>1.4917E-2</v>
      </c>
      <c r="AI144">
        <v>1.4917E-2</v>
      </c>
    </row>
    <row r="145" spans="1:35" x14ac:dyDescent="0.35">
      <c r="A145" t="s">
        <v>3</v>
      </c>
      <c r="B145">
        <v>5500</v>
      </c>
      <c r="C145">
        <v>216</v>
      </c>
      <c r="D145">
        <v>146</v>
      </c>
      <c r="E145">
        <v>0</v>
      </c>
      <c r="F145">
        <v>1287734069</v>
      </c>
      <c r="G145">
        <v>5382617.5199999996</v>
      </c>
      <c r="H145">
        <v>1277979244.53</v>
      </c>
      <c r="I145">
        <v>1281216210.8900001</v>
      </c>
      <c r="J145">
        <v>3.9990999999999999E-2</v>
      </c>
      <c r="K145">
        <v>1.0527999999999999E-2</v>
      </c>
      <c r="M145" t="s">
        <v>2</v>
      </c>
      <c r="N145">
        <v>5500</v>
      </c>
      <c r="O145">
        <v>320</v>
      </c>
      <c r="P145">
        <v>657</v>
      </c>
      <c r="Q145">
        <v>0</v>
      </c>
      <c r="R145">
        <v>2496359388</v>
      </c>
      <c r="S145">
        <v>19113213.539999999</v>
      </c>
      <c r="T145">
        <v>2466433005.5300002</v>
      </c>
      <c r="U145">
        <v>2471024869.7199998</v>
      </c>
      <c r="V145">
        <v>5.0757999999999998E-2</v>
      </c>
      <c r="W145">
        <v>2.9499000000000001E-2</v>
      </c>
      <c r="Y145" t="s">
        <v>3</v>
      </c>
      <c r="Z145">
        <v>5500</v>
      </c>
      <c r="AA145">
        <v>216</v>
      </c>
      <c r="AB145">
        <v>134</v>
      </c>
      <c r="AC145">
        <v>0</v>
      </c>
      <c r="AD145">
        <v>1207194783</v>
      </c>
      <c r="AE145">
        <v>5019315.71</v>
      </c>
      <c r="AF145">
        <v>1176348701</v>
      </c>
      <c r="AG145">
        <v>1200601230.79</v>
      </c>
      <c r="AH145">
        <v>0.228574</v>
      </c>
      <c r="AI145">
        <v>1.5537E-2</v>
      </c>
    </row>
    <row r="146" spans="1:35" x14ac:dyDescent="0.35">
      <c r="A146" t="s">
        <v>0</v>
      </c>
      <c r="B146">
        <v>4000</v>
      </c>
      <c r="C146">
        <v>216</v>
      </c>
      <c r="D146">
        <v>98</v>
      </c>
      <c r="E146">
        <v>0</v>
      </c>
      <c r="F146">
        <v>884441453</v>
      </c>
      <c r="G146">
        <v>4161784.92</v>
      </c>
      <c r="H146">
        <v>876366517.5</v>
      </c>
      <c r="I146">
        <v>880166843.11000001</v>
      </c>
      <c r="J146">
        <v>5.1819999999999998E-2</v>
      </c>
      <c r="K146">
        <v>1.5299999999999999E-3</v>
      </c>
      <c r="M146" t="s">
        <v>0</v>
      </c>
      <c r="N146">
        <v>7500</v>
      </c>
      <c r="O146">
        <v>216</v>
      </c>
      <c r="P146">
        <v>980</v>
      </c>
      <c r="Q146">
        <v>0</v>
      </c>
      <c r="R146">
        <v>4805235673</v>
      </c>
      <c r="S146">
        <v>19039683.280000001</v>
      </c>
      <c r="T146">
        <v>4760934111.6800003</v>
      </c>
      <c r="U146">
        <v>4778361249.3699999</v>
      </c>
      <c r="V146">
        <v>6.1293E-2</v>
      </c>
      <c r="W146">
        <v>1.9390999999999999E-2</v>
      </c>
      <c r="Y146" t="s">
        <v>0</v>
      </c>
      <c r="Z146">
        <v>4000</v>
      </c>
      <c r="AA146">
        <v>216</v>
      </c>
      <c r="AB146">
        <v>87</v>
      </c>
      <c r="AC146">
        <v>0</v>
      </c>
      <c r="AD146">
        <v>796512685</v>
      </c>
      <c r="AE146">
        <v>3738550.92</v>
      </c>
      <c r="AF146">
        <v>791376310</v>
      </c>
      <c r="AG146">
        <v>791376310</v>
      </c>
      <c r="AH146">
        <v>2.0857000000000001E-2</v>
      </c>
      <c r="AI146">
        <v>2.0857000000000001E-2</v>
      </c>
    </row>
    <row r="147" spans="1:35" x14ac:dyDescent="0.35">
      <c r="A147" t="s">
        <v>0</v>
      </c>
      <c r="B147">
        <v>8250</v>
      </c>
      <c r="C147">
        <v>320</v>
      </c>
      <c r="D147">
        <v>482</v>
      </c>
      <c r="E147">
        <v>0</v>
      </c>
      <c r="F147">
        <v>908161486</v>
      </c>
      <c r="G147">
        <v>14234417.550000001</v>
      </c>
      <c r="H147">
        <v>886097058.46000004</v>
      </c>
      <c r="I147">
        <v>890866090.41999996</v>
      </c>
      <c r="J147">
        <v>9.8694000000000004E-2</v>
      </c>
      <c r="K147">
        <v>3.9704999999999997E-2</v>
      </c>
      <c r="M147" t="s">
        <v>3</v>
      </c>
      <c r="N147">
        <v>4500</v>
      </c>
      <c r="O147">
        <v>216</v>
      </c>
      <c r="P147">
        <v>2</v>
      </c>
      <c r="Q147">
        <v>0</v>
      </c>
      <c r="R147">
        <v>11601318</v>
      </c>
      <c r="S147">
        <v>52997.24</v>
      </c>
      <c r="T147">
        <v>11528625.470000001</v>
      </c>
      <c r="U147">
        <v>11548319.98</v>
      </c>
      <c r="V147">
        <v>2.0183E-2</v>
      </c>
      <c r="W147">
        <v>9.9999999999999995E-7</v>
      </c>
      <c r="Y147" t="s">
        <v>0</v>
      </c>
      <c r="Z147">
        <v>8250</v>
      </c>
      <c r="AA147">
        <v>320</v>
      </c>
      <c r="AB147">
        <v>488</v>
      </c>
      <c r="AC147">
        <v>0</v>
      </c>
      <c r="AD147">
        <v>932323366</v>
      </c>
      <c r="AE147">
        <v>14309833.75</v>
      </c>
      <c r="AF147">
        <v>909110628</v>
      </c>
      <c r="AG147">
        <v>911192525.63</v>
      </c>
      <c r="AH147">
        <v>0.10875899999999999</v>
      </c>
      <c r="AI147">
        <v>8.4346000000000004E-2</v>
      </c>
    </row>
    <row r="148" spans="1:35" x14ac:dyDescent="0.35">
      <c r="A148" t="s">
        <v>0</v>
      </c>
      <c r="B148">
        <v>7500</v>
      </c>
      <c r="C148">
        <v>240</v>
      </c>
      <c r="D148">
        <v>899</v>
      </c>
      <c r="E148">
        <v>0</v>
      </c>
      <c r="F148">
        <v>4022498679</v>
      </c>
      <c r="G148">
        <v>19061993.140000001</v>
      </c>
      <c r="H148">
        <v>3974749754.1700001</v>
      </c>
      <c r="I148">
        <v>3993056402.48</v>
      </c>
      <c r="J148">
        <v>8.2300999999999999E-2</v>
      </c>
      <c r="K148">
        <v>3.0530999999999999E-2</v>
      </c>
      <c r="M148" t="s">
        <v>0</v>
      </c>
      <c r="N148">
        <v>4500</v>
      </c>
      <c r="O148">
        <v>216</v>
      </c>
      <c r="P148">
        <v>5121</v>
      </c>
      <c r="Q148">
        <v>0</v>
      </c>
      <c r="R148">
        <v>49514024701</v>
      </c>
      <c r="S148">
        <v>219743804.88999999</v>
      </c>
      <c r="T148">
        <v>49127101003.269997</v>
      </c>
      <c r="U148">
        <v>49287666094.620003</v>
      </c>
      <c r="V148">
        <v>3.9773000000000003E-2</v>
      </c>
      <c r="W148">
        <v>1.6019999999999999E-3</v>
      </c>
      <c r="Y148" t="s">
        <v>0</v>
      </c>
      <c r="Z148">
        <v>7500</v>
      </c>
      <c r="AA148">
        <v>240</v>
      </c>
      <c r="AB148">
        <v>849</v>
      </c>
      <c r="AC148">
        <v>0</v>
      </c>
      <c r="AD148">
        <v>3807724363</v>
      </c>
      <c r="AE148">
        <v>17971517.100000001</v>
      </c>
      <c r="AF148">
        <v>3754914118</v>
      </c>
      <c r="AG148">
        <v>3770596525.54</v>
      </c>
      <c r="AH148">
        <v>0.104434</v>
      </c>
      <c r="AI148">
        <v>5.8728000000000002E-2</v>
      </c>
    </row>
    <row r="149" spans="1:35" x14ac:dyDescent="0.35">
      <c r="A149" t="s">
        <v>2</v>
      </c>
      <c r="B149">
        <v>6750</v>
      </c>
      <c r="C149">
        <v>320</v>
      </c>
      <c r="D149">
        <v>341</v>
      </c>
      <c r="E149">
        <v>0</v>
      </c>
      <c r="F149">
        <v>971139172</v>
      </c>
      <c r="G149">
        <v>7797471.4100000001</v>
      </c>
      <c r="H149">
        <v>958166191.94000006</v>
      </c>
      <c r="I149">
        <v>960537088.20000005</v>
      </c>
      <c r="J149">
        <v>6.2109999999999999E-2</v>
      </c>
      <c r="K149">
        <v>3.4110000000000001E-2</v>
      </c>
      <c r="M149" t="s">
        <v>1</v>
      </c>
      <c r="N149">
        <v>4500</v>
      </c>
      <c r="O149">
        <v>216</v>
      </c>
      <c r="P149">
        <v>1372</v>
      </c>
      <c r="Q149">
        <v>0</v>
      </c>
      <c r="R149">
        <v>13093324043</v>
      </c>
      <c r="S149">
        <v>58372825.729999997</v>
      </c>
      <c r="T149">
        <v>13000590730.120001</v>
      </c>
      <c r="U149">
        <v>13031600793.57</v>
      </c>
      <c r="V149">
        <v>3.1040999999999999E-2</v>
      </c>
      <c r="W149">
        <v>3.0660000000000001E-3</v>
      </c>
      <c r="Y149" t="s">
        <v>2</v>
      </c>
      <c r="Z149">
        <v>6750</v>
      </c>
      <c r="AA149">
        <v>320</v>
      </c>
      <c r="AB149">
        <v>326</v>
      </c>
      <c r="AC149">
        <v>0</v>
      </c>
      <c r="AD149">
        <v>921651905</v>
      </c>
      <c r="AE149">
        <v>7428535.8399999999</v>
      </c>
      <c r="AF149">
        <v>911694867</v>
      </c>
      <c r="AG149">
        <v>911694867</v>
      </c>
      <c r="AH149">
        <v>3.2428999999999999E-2</v>
      </c>
      <c r="AI149">
        <v>3.2428999999999999E-2</v>
      </c>
    </row>
    <row r="150" spans="1:35" x14ac:dyDescent="0.35">
      <c r="A150" t="s">
        <v>0</v>
      </c>
      <c r="B150">
        <v>4750</v>
      </c>
      <c r="C150">
        <v>360</v>
      </c>
      <c r="D150">
        <v>4</v>
      </c>
      <c r="E150">
        <v>0</v>
      </c>
      <c r="F150">
        <v>3141511</v>
      </c>
      <c r="G150">
        <v>76200.84</v>
      </c>
      <c r="H150">
        <v>3038460.75</v>
      </c>
      <c r="I150">
        <v>3065310.16</v>
      </c>
      <c r="J150">
        <v>9.7874000000000003E-2</v>
      </c>
      <c r="K150">
        <v>0</v>
      </c>
      <c r="M150" t="s">
        <v>2</v>
      </c>
      <c r="N150">
        <v>4500</v>
      </c>
      <c r="O150">
        <v>216</v>
      </c>
      <c r="P150">
        <v>462</v>
      </c>
      <c r="Q150">
        <v>0</v>
      </c>
      <c r="R150">
        <v>3583299934</v>
      </c>
      <c r="S150">
        <v>15910190.050000001</v>
      </c>
      <c r="T150">
        <v>3559523777.0500002</v>
      </c>
      <c r="U150">
        <v>3567252298.9299998</v>
      </c>
      <c r="V150">
        <v>2.6026000000000001E-2</v>
      </c>
      <c r="W150">
        <v>4.6000000000000001E-4</v>
      </c>
      <c r="Y150" t="s">
        <v>0</v>
      </c>
      <c r="Z150">
        <v>4750</v>
      </c>
      <c r="AA150">
        <v>320</v>
      </c>
      <c r="AB150">
        <v>291</v>
      </c>
      <c r="AC150">
        <v>0</v>
      </c>
      <c r="AD150">
        <v>1354790073</v>
      </c>
      <c r="AE150">
        <v>11037279.640000001</v>
      </c>
      <c r="AF150">
        <v>1341340744</v>
      </c>
      <c r="AG150">
        <v>1341340744</v>
      </c>
      <c r="AH150">
        <v>2.1156999999999999E-2</v>
      </c>
      <c r="AI150">
        <v>2.1156999999999999E-2</v>
      </c>
    </row>
    <row r="151" spans="1:35" x14ac:dyDescent="0.35">
      <c r="A151" t="s">
        <v>2</v>
      </c>
      <c r="B151">
        <v>3000</v>
      </c>
      <c r="C151">
        <v>320</v>
      </c>
      <c r="D151">
        <v>61</v>
      </c>
      <c r="E151">
        <v>0</v>
      </c>
      <c r="F151">
        <v>125514826</v>
      </c>
      <c r="G151">
        <v>1233281.19</v>
      </c>
      <c r="H151">
        <v>123468829.73999999</v>
      </c>
      <c r="I151">
        <v>124191309.37</v>
      </c>
      <c r="J151">
        <v>7.4992000000000003E-2</v>
      </c>
      <c r="K151">
        <v>8.5929999999999999E-3</v>
      </c>
      <c r="M151" t="s">
        <v>3</v>
      </c>
      <c r="N151">
        <v>5000</v>
      </c>
      <c r="O151">
        <v>216</v>
      </c>
      <c r="P151">
        <v>76</v>
      </c>
      <c r="Q151">
        <v>0</v>
      </c>
      <c r="R151">
        <v>775306876</v>
      </c>
      <c r="S151">
        <v>3320476.52</v>
      </c>
      <c r="T151">
        <v>770376269.29999995</v>
      </c>
      <c r="U151">
        <v>771961944.23000002</v>
      </c>
      <c r="V151">
        <v>2.4638E-2</v>
      </c>
      <c r="W151">
        <v>3.7800000000000003E-4</v>
      </c>
      <c r="Y151" t="s">
        <v>0</v>
      </c>
      <c r="Z151">
        <v>4750</v>
      </c>
      <c r="AA151">
        <v>360</v>
      </c>
      <c r="AB151">
        <v>1</v>
      </c>
      <c r="AC151">
        <v>0</v>
      </c>
      <c r="AD151">
        <v>1146924</v>
      </c>
      <c r="AE151">
        <v>28028.73</v>
      </c>
      <c r="AF151">
        <v>1116725</v>
      </c>
      <c r="AG151">
        <v>1116725</v>
      </c>
      <c r="AH151">
        <v>2.2471999999999999E-2</v>
      </c>
      <c r="AI151">
        <v>2.2471999999999999E-2</v>
      </c>
    </row>
    <row r="152" spans="1:35" x14ac:dyDescent="0.35">
      <c r="A152" t="s">
        <v>0</v>
      </c>
      <c r="B152">
        <v>3000</v>
      </c>
      <c r="C152">
        <v>320</v>
      </c>
      <c r="D152">
        <v>37</v>
      </c>
      <c r="E152">
        <v>0</v>
      </c>
      <c r="F152">
        <v>92194911</v>
      </c>
      <c r="G152">
        <v>947686.62</v>
      </c>
      <c r="H152">
        <v>90657803.670000002</v>
      </c>
      <c r="I152">
        <v>90945047.540000007</v>
      </c>
      <c r="J152">
        <v>7.4077000000000004E-2</v>
      </c>
      <c r="K152">
        <v>3.8629999999999998E-2</v>
      </c>
      <c r="M152" t="s">
        <v>3</v>
      </c>
      <c r="N152">
        <v>5500</v>
      </c>
      <c r="O152">
        <v>216</v>
      </c>
      <c r="P152">
        <v>92</v>
      </c>
      <c r="Q152">
        <v>0</v>
      </c>
      <c r="R152">
        <v>817144200</v>
      </c>
      <c r="S152">
        <v>3389217.75</v>
      </c>
      <c r="T152">
        <v>810908230.19000006</v>
      </c>
      <c r="U152">
        <v>813729735.70000005</v>
      </c>
      <c r="V152">
        <v>4.1014000000000002E-2</v>
      </c>
      <c r="W152">
        <v>3.7100000000000002E-4</v>
      </c>
      <c r="Y152" t="s">
        <v>2</v>
      </c>
      <c r="Z152">
        <v>3000</v>
      </c>
      <c r="AA152">
        <v>320</v>
      </c>
      <c r="AB152">
        <v>60</v>
      </c>
      <c r="AC152">
        <v>0</v>
      </c>
      <c r="AD152">
        <v>123663620</v>
      </c>
      <c r="AE152">
        <v>1208742.98</v>
      </c>
      <c r="AF152">
        <v>122298790</v>
      </c>
      <c r="AG152">
        <v>122298790</v>
      </c>
      <c r="AH152">
        <v>1.5042E-2</v>
      </c>
      <c r="AI152">
        <v>1.5042E-2</v>
      </c>
    </row>
    <row r="153" spans="1:35" x14ac:dyDescent="0.35">
      <c r="A153" t="s">
        <v>2</v>
      </c>
      <c r="B153">
        <v>7250</v>
      </c>
      <c r="C153">
        <v>320</v>
      </c>
      <c r="D153">
        <v>116</v>
      </c>
      <c r="E153">
        <v>0</v>
      </c>
      <c r="F153">
        <v>240083345</v>
      </c>
      <c r="G153">
        <v>2951033.53</v>
      </c>
      <c r="H153">
        <v>235775069.41999999</v>
      </c>
      <c r="I153">
        <v>236775799.58000001</v>
      </c>
      <c r="J153">
        <v>6.5768999999999994E-2</v>
      </c>
      <c r="K153">
        <v>1.7675E-2</v>
      </c>
      <c r="M153" t="s">
        <v>0</v>
      </c>
      <c r="N153">
        <v>4750</v>
      </c>
      <c r="O153">
        <v>168</v>
      </c>
      <c r="P153">
        <v>7248</v>
      </c>
      <c r="Q153">
        <v>0</v>
      </c>
      <c r="R153">
        <v>55917743275</v>
      </c>
      <c r="S153">
        <v>181068603.81</v>
      </c>
      <c r="T153">
        <v>55431033232.93</v>
      </c>
      <c r="U153">
        <v>55704189574.540001</v>
      </c>
      <c r="V153">
        <v>6.3655000000000003E-2</v>
      </c>
      <c r="W153">
        <v>6.9490000000000003E-3</v>
      </c>
      <c r="Y153" t="s">
        <v>0</v>
      </c>
      <c r="Z153">
        <v>3000</v>
      </c>
      <c r="AA153">
        <v>320</v>
      </c>
      <c r="AB153">
        <v>38</v>
      </c>
      <c r="AC153">
        <v>0</v>
      </c>
      <c r="AD153">
        <v>94229580</v>
      </c>
      <c r="AE153">
        <v>961569.52</v>
      </c>
      <c r="AF153">
        <v>92194911</v>
      </c>
      <c r="AG153">
        <v>92961800.700000003</v>
      </c>
      <c r="AH153">
        <v>0.128415</v>
      </c>
      <c r="AI153">
        <v>3.8306E-2</v>
      </c>
    </row>
    <row r="154" spans="1:35" x14ac:dyDescent="0.35">
      <c r="A154" t="s">
        <v>1</v>
      </c>
      <c r="B154">
        <v>7250</v>
      </c>
      <c r="C154">
        <v>320</v>
      </c>
      <c r="D154">
        <v>238</v>
      </c>
      <c r="E154">
        <v>0</v>
      </c>
      <c r="F154">
        <v>664892340</v>
      </c>
      <c r="G154">
        <v>8467864.7200000007</v>
      </c>
      <c r="H154">
        <v>647030682.46000004</v>
      </c>
      <c r="I154">
        <v>652176088.90999997</v>
      </c>
      <c r="J154">
        <v>0.15696599999999999</v>
      </c>
      <c r="K154">
        <v>7.4037000000000006E-2</v>
      </c>
      <c r="M154" t="s">
        <v>0</v>
      </c>
      <c r="N154">
        <v>4000</v>
      </c>
      <c r="O154">
        <v>216</v>
      </c>
      <c r="P154">
        <v>88</v>
      </c>
      <c r="Q154">
        <v>0</v>
      </c>
      <c r="R154">
        <v>808136712</v>
      </c>
      <c r="S154">
        <v>3735842.57</v>
      </c>
      <c r="T154">
        <v>801537975.00999999</v>
      </c>
      <c r="U154">
        <v>804377248.71000004</v>
      </c>
      <c r="V154">
        <v>4.1692E-2</v>
      </c>
      <c r="W154">
        <v>3.5100000000000002E-4</v>
      </c>
      <c r="Y154" t="s">
        <v>2</v>
      </c>
      <c r="Z154">
        <v>7250</v>
      </c>
      <c r="AA154">
        <v>320</v>
      </c>
      <c r="AB154">
        <v>120</v>
      </c>
      <c r="AC154">
        <v>0</v>
      </c>
      <c r="AD154">
        <v>250147475</v>
      </c>
      <c r="AE154">
        <v>3083781.27</v>
      </c>
      <c r="AF154">
        <v>246267584</v>
      </c>
      <c r="AG154">
        <v>246267584</v>
      </c>
      <c r="AH154">
        <v>3.7529E-2</v>
      </c>
      <c r="AI154">
        <v>3.7529E-2</v>
      </c>
    </row>
    <row r="155" spans="1:35" x14ac:dyDescent="0.35">
      <c r="A155" t="s">
        <v>1</v>
      </c>
      <c r="B155">
        <v>5750</v>
      </c>
      <c r="C155">
        <v>320</v>
      </c>
      <c r="D155">
        <v>1907</v>
      </c>
      <c r="E155">
        <v>0</v>
      </c>
      <c r="F155">
        <v>9327848313</v>
      </c>
      <c r="G155">
        <v>71423310.239999995</v>
      </c>
      <c r="H155">
        <v>9149075903.4300003</v>
      </c>
      <c r="I155">
        <v>9193072600.7099991</v>
      </c>
      <c r="J155">
        <v>0.129687</v>
      </c>
      <c r="K155">
        <v>7.8523999999999997E-2</v>
      </c>
      <c r="M155" t="s">
        <v>0</v>
      </c>
      <c r="N155">
        <v>8250</v>
      </c>
      <c r="O155">
        <v>320</v>
      </c>
      <c r="P155">
        <v>493</v>
      </c>
      <c r="Q155">
        <v>0</v>
      </c>
      <c r="R155">
        <v>974538852</v>
      </c>
      <c r="S155">
        <v>14339474.029999999</v>
      </c>
      <c r="T155">
        <v>952092123.67999995</v>
      </c>
      <c r="U155">
        <v>958656643.24000001</v>
      </c>
      <c r="V155">
        <v>9.5384999999999998E-2</v>
      </c>
      <c r="W155">
        <v>1.8832000000000002E-2</v>
      </c>
      <c r="Y155" t="s">
        <v>1</v>
      </c>
      <c r="Z155">
        <v>7250</v>
      </c>
      <c r="AA155">
        <v>320</v>
      </c>
      <c r="AB155">
        <v>257</v>
      </c>
      <c r="AC155">
        <v>0</v>
      </c>
      <c r="AD155">
        <v>705189572</v>
      </c>
      <c r="AE155">
        <v>9055409.7699999996</v>
      </c>
      <c r="AF155">
        <v>682142116</v>
      </c>
      <c r="AG155">
        <v>693829263.70000005</v>
      </c>
      <c r="AH155">
        <v>0.213759</v>
      </c>
      <c r="AI155">
        <v>3.8524000000000003E-2</v>
      </c>
    </row>
    <row r="156" spans="1:35" x14ac:dyDescent="0.35">
      <c r="A156" t="s">
        <v>3</v>
      </c>
      <c r="B156">
        <v>6000</v>
      </c>
      <c r="C156">
        <v>320</v>
      </c>
      <c r="D156">
        <v>37</v>
      </c>
      <c r="E156">
        <v>0</v>
      </c>
      <c r="F156">
        <v>153065129</v>
      </c>
      <c r="G156">
        <v>1127285.83</v>
      </c>
      <c r="H156">
        <v>151645588.06</v>
      </c>
      <c r="I156">
        <v>151750548.25999999</v>
      </c>
      <c r="J156">
        <v>2.2672999999999999E-2</v>
      </c>
      <c r="K156">
        <v>1.4585000000000001E-2</v>
      </c>
      <c r="M156" t="s">
        <v>0</v>
      </c>
      <c r="N156">
        <v>7500</v>
      </c>
      <c r="O156">
        <v>240</v>
      </c>
      <c r="P156">
        <v>682</v>
      </c>
      <c r="Q156">
        <v>0</v>
      </c>
      <c r="R156">
        <v>3038588733</v>
      </c>
      <c r="S156">
        <v>14358269.41</v>
      </c>
      <c r="T156">
        <v>3005808058.7800002</v>
      </c>
      <c r="U156">
        <v>3021107496.71</v>
      </c>
      <c r="V156">
        <v>7.0375999999999994E-2</v>
      </c>
      <c r="W156">
        <v>1.2264000000000001E-2</v>
      </c>
      <c r="Y156" t="s">
        <v>1</v>
      </c>
      <c r="Z156">
        <v>5750</v>
      </c>
      <c r="AA156">
        <v>320</v>
      </c>
      <c r="AB156">
        <v>1898</v>
      </c>
      <c r="AC156">
        <v>0</v>
      </c>
      <c r="AD156">
        <v>9327783690</v>
      </c>
      <c r="AE156">
        <v>70841853.569999993</v>
      </c>
      <c r="AF156">
        <v>9160159251</v>
      </c>
      <c r="AG156">
        <v>9210245554.5900002</v>
      </c>
      <c r="AH156">
        <v>0.117644</v>
      </c>
      <c r="AI156">
        <v>5.8446999999999999E-2</v>
      </c>
    </row>
    <row r="157" spans="1:35" x14ac:dyDescent="0.35">
      <c r="A157" t="s">
        <v>3</v>
      </c>
      <c r="B157">
        <v>5000</v>
      </c>
      <c r="C157">
        <v>320</v>
      </c>
      <c r="D157">
        <v>4</v>
      </c>
      <c r="E157">
        <v>0</v>
      </c>
      <c r="F157">
        <v>7212230</v>
      </c>
      <c r="G157">
        <v>57562.8</v>
      </c>
      <c r="H157">
        <v>7135713.21</v>
      </c>
      <c r="I157">
        <v>7139383.4800000004</v>
      </c>
      <c r="J157">
        <v>3.1085000000000002E-2</v>
      </c>
      <c r="K157">
        <v>2.5135000000000001E-2</v>
      </c>
      <c r="M157" t="s">
        <v>2</v>
      </c>
      <c r="N157">
        <v>6750</v>
      </c>
      <c r="O157">
        <v>320</v>
      </c>
      <c r="P157">
        <v>332</v>
      </c>
      <c r="Q157">
        <v>0</v>
      </c>
      <c r="R157">
        <v>946249539</v>
      </c>
      <c r="S157">
        <v>7473946.8499999996</v>
      </c>
      <c r="T157">
        <v>933527838.89999998</v>
      </c>
      <c r="U157">
        <v>935282413.36000001</v>
      </c>
      <c r="V157">
        <v>6.4557000000000003E-2</v>
      </c>
      <c r="W157">
        <v>4.3410999999999998E-2</v>
      </c>
      <c r="Y157" t="s">
        <v>3</v>
      </c>
      <c r="Z157">
        <v>6000</v>
      </c>
      <c r="AA157">
        <v>320</v>
      </c>
      <c r="AB157">
        <v>32</v>
      </c>
      <c r="AC157">
        <v>0</v>
      </c>
      <c r="AD157">
        <v>132147122</v>
      </c>
      <c r="AE157">
        <v>987388.99</v>
      </c>
      <c r="AF157">
        <v>130790143</v>
      </c>
      <c r="AG157">
        <v>130790143</v>
      </c>
      <c r="AH157">
        <v>3.3050000000000003E-2</v>
      </c>
      <c r="AI157">
        <v>3.3050000000000003E-2</v>
      </c>
    </row>
    <row r="158" spans="1:35" x14ac:dyDescent="0.35">
      <c r="A158" t="s">
        <v>2</v>
      </c>
      <c r="B158">
        <v>5750</v>
      </c>
      <c r="C158">
        <v>320</v>
      </c>
      <c r="D158">
        <v>564</v>
      </c>
      <c r="E158">
        <v>0</v>
      </c>
      <c r="F158">
        <v>2048501819</v>
      </c>
      <c r="G158">
        <v>15840858.609999999</v>
      </c>
      <c r="H158">
        <v>2022960160.4200001</v>
      </c>
      <c r="I158">
        <v>2028272436.3399999</v>
      </c>
      <c r="J158">
        <v>5.5370000000000003E-2</v>
      </c>
      <c r="K158">
        <v>2.5406999999999999E-2</v>
      </c>
      <c r="M158" t="s">
        <v>0</v>
      </c>
      <c r="N158">
        <v>4750</v>
      </c>
      <c r="O158">
        <v>320</v>
      </c>
      <c r="P158">
        <v>287</v>
      </c>
      <c r="Q158">
        <v>0</v>
      </c>
      <c r="R158">
        <v>1325249986</v>
      </c>
      <c r="S158">
        <v>10647142.890000001</v>
      </c>
      <c r="T158">
        <v>1304901231.3499999</v>
      </c>
      <c r="U158">
        <v>1310084857.02</v>
      </c>
      <c r="V158">
        <v>8.4394999999999998E-2</v>
      </c>
      <c r="W158">
        <v>4.0150999999999999E-2</v>
      </c>
      <c r="Y158" t="s">
        <v>3</v>
      </c>
      <c r="Z158">
        <v>5000</v>
      </c>
      <c r="AA158">
        <v>320</v>
      </c>
      <c r="AB158">
        <v>4</v>
      </c>
      <c r="AC158">
        <v>0</v>
      </c>
      <c r="AD158">
        <v>7330844</v>
      </c>
      <c r="AE158">
        <v>57716.12</v>
      </c>
      <c r="AF158">
        <v>7212230</v>
      </c>
      <c r="AG158">
        <v>7212230</v>
      </c>
      <c r="AH158">
        <v>9.5254000000000005E-2</v>
      </c>
      <c r="AI158">
        <v>9.5254000000000005E-2</v>
      </c>
    </row>
    <row r="159" spans="1:35" x14ac:dyDescent="0.35">
      <c r="A159" t="s">
        <v>0</v>
      </c>
      <c r="B159">
        <v>3500</v>
      </c>
      <c r="C159">
        <v>192</v>
      </c>
      <c r="D159">
        <v>333</v>
      </c>
      <c r="E159">
        <v>0</v>
      </c>
      <c r="F159">
        <v>2743870232</v>
      </c>
      <c r="G159">
        <v>10984902.1</v>
      </c>
      <c r="H159">
        <v>2722496946.9200001</v>
      </c>
      <c r="I159">
        <v>2732592414.8699999</v>
      </c>
      <c r="J159">
        <v>4.4498000000000003E-2</v>
      </c>
      <c r="K159">
        <v>1.2800000000000001E-3</v>
      </c>
      <c r="M159" t="s">
        <v>2</v>
      </c>
      <c r="N159">
        <v>3000</v>
      </c>
      <c r="O159">
        <v>320</v>
      </c>
      <c r="P159">
        <v>59</v>
      </c>
      <c r="Q159">
        <v>0</v>
      </c>
      <c r="R159">
        <v>122614636</v>
      </c>
      <c r="S159">
        <v>1184261.73</v>
      </c>
      <c r="T159">
        <v>120986839.94</v>
      </c>
      <c r="U159">
        <v>121008491.22</v>
      </c>
      <c r="V159">
        <v>4.2554000000000002E-2</v>
      </c>
      <c r="W159">
        <v>4.0516000000000003E-2</v>
      </c>
      <c r="Y159" t="s">
        <v>2</v>
      </c>
      <c r="Z159">
        <v>5750</v>
      </c>
      <c r="AA159">
        <v>320</v>
      </c>
      <c r="AB159">
        <v>558</v>
      </c>
      <c r="AC159">
        <v>0</v>
      </c>
      <c r="AD159">
        <v>2038208528</v>
      </c>
      <c r="AE159">
        <v>15618197.960000001</v>
      </c>
      <c r="AF159">
        <v>2014467237</v>
      </c>
      <c r="AG159">
        <v>2014467237</v>
      </c>
      <c r="AH159">
        <v>4.6789999999999998E-2</v>
      </c>
      <c r="AI159">
        <v>4.6789999999999998E-2</v>
      </c>
    </row>
    <row r="160" spans="1:35" x14ac:dyDescent="0.35">
      <c r="A160" t="s">
        <v>2</v>
      </c>
      <c r="B160">
        <v>3500</v>
      </c>
      <c r="C160">
        <v>192</v>
      </c>
      <c r="D160">
        <v>41</v>
      </c>
      <c r="E160">
        <v>0</v>
      </c>
      <c r="F160">
        <v>383822135</v>
      </c>
      <c r="G160">
        <v>1542888.15</v>
      </c>
      <c r="H160">
        <v>381192264.16000003</v>
      </c>
      <c r="I160">
        <v>382277822.81999999</v>
      </c>
      <c r="J160">
        <v>3.3459999999999997E-2</v>
      </c>
      <c r="K160">
        <v>4.5000000000000003E-5</v>
      </c>
      <c r="M160" t="s">
        <v>0</v>
      </c>
      <c r="N160">
        <v>3000</v>
      </c>
      <c r="O160">
        <v>320</v>
      </c>
      <c r="P160">
        <v>38</v>
      </c>
      <c r="Q160">
        <v>0</v>
      </c>
      <c r="R160">
        <v>93633718</v>
      </c>
      <c r="S160">
        <v>943345.79</v>
      </c>
      <c r="T160">
        <v>92191207.019999996</v>
      </c>
      <c r="U160">
        <v>92269377.920000002</v>
      </c>
      <c r="V160">
        <v>6.2129999999999998E-2</v>
      </c>
      <c r="W160">
        <v>5.2639999999999999E-2</v>
      </c>
      <c r="Y160" t="s">
        <v>0</v>
      </c>
      <c r="Z160">
        <v>3500</v>
      </c>
      <c r="AA160">
        <v>192</v>
      </c>
      <c r="AB160">
        <v>209</v>
      </c>
      <c r="AC160">
        <v>0</v>
      </c>
      <c r="AD160">
        <v>1755350010</v>
      </c>
      <c r="AE160">
        <v>7052252.1299999999</v>
      </c>
      <c r="AF160">
        <v>1743642172</v>
      </c>
      <c r="AG160">
        <v>1746369687.53</v>
      </c>
      <c r="AH160">
        <v>3.1366999999999999E-2</v>
      </c>
      <c r="AI160">
        <v>1.3101E-2</v>
      </c>
    </row>
    <row r="161" spans="1:35" x14ac:dyDescent="0.35">
      <c r="A161" t="s">
        <v>0</v>
      </c>
      <c r="B161">
        <v>3500</v>
      </c>
      <c r="C161">
        <v>320</v>
      </c>
      <c r="D161">
        <v>6</v>
      </c>
      <c r="E161">
        <v>0</v>
      </c>
      <c r="F161">
        <v>7602912</v>
      </c>
      <c r="G161">
        <v>139481.29</v>
      </c>
      <c r="H161">
        <v>7398057.6600000001</v>
      </c>
      <c r="I161">
        <v>7437118.3700000001</v>
      </c>
      <c r="J161">
        <v>9.8438999999999999E-2</v>
      </c>
      <c r="K161">
        <v>4.0747999999999999E-2</v>
      </c>
      <c r="M161" t="s">
        <v>2</v>
      </c>
      <c r="N161">
        <v>7250</v>
      </c>
      <c r="O161">
        <v>320</v>
      </c>
      <c r="P161">
        <v>131</v>
      </c>
      <c r="Q161">
        <v>0</v>
      </c>
      <c r="R161">
        <v>271809177</v>
      </c>
      <c r="S161">
        <v>3319015.28</v>
      </c>
      <c r="T161">
        <v>266923492.25</v>
      </c>
      <c r="U161">
        <v>267946842.09</v>
      </c>
      <c r="V161">
        <v>6.7015000000000005E-2</v>
      </c>
      <c r="W161">
        <v>2.3725E-2</v>
      </c>
      <c r="Y161" t="s">
        <v>2</v>
      </c>
      <c r="Z161">
        <v>3500</v>
      </c>
      <c r="AA161">
        <v>192</v>
      </c>
      <c r="AB161">
        <v>22</v>
      </c>
      <c r="AC161">
        <v>0</v>
      </c>
      <c r="AD161">
        <v>206220131</v>
      </c>
      <c r="AE161">
        <v>840551.72</v>
      </c>
      <c r="AF161">
        <v>202777353</v>
      </c>
      <c r="AG161">
        <v>205221000.65000001</v>
      </c>
      <c r="AH161">
        <v>0.141345</v>
      </c>
      <c r="AI161">
        <v>9.1889999999999993E-3</v>
      </c>
    </row>
    <row r="162" spans="1:35" x14ac:dyDescent="0.35">
      <c r="A162" t="s">
        <v>0</v>
      </c>
      <c r="B162">
        <v>4750</v>
      </c>
      <c r="C162">
        <v>320</v>
      </c>
      <c r="D162">
        <v>289</v>
      </c>
      <c r="E162">
        <v>0</v>
      </c>
      <c r="F162">
        <v>1346251358</v>
      </c>
      <c r="G162">
        <v>11057798.390000001</v>
      </c>
      <c r="H162">
        <v>1325562230.55</v>
      </c>
      <c r="I162">
        <v>1331204658.22</v>
      </c>
      <c r="J162">
        <v>8.2550999999999999E-2</v>
      </c>
      <c r="K162">
        <v>3.4981999999999999E-2</v>
      </c>
      <c r="M162" t="s">
        <v>1</v>
      </c>
      <c r="N162">
        <v>7250</v>
      </c>
      <c r="O162">
        <v>320</v>
      </c>
      <c r="P162">
        <v>272</v>
      </c>
      <c r="Q162">
        <v>0</v>
      </c>
      <c r="R162">
        <v>757122950</v>
      </c>
      <c r="S162">
        <v>9479669.4800000004</v>
      </c>
      <c r="T162">
        <v>737293604.5</v>
      </c>
      <c r="U162">
        <v>746212296.54999995</v>
      </c>
      <c r="V162">
        <v>0.152249</v>
      </c>
      <c r="W162">
        <v>2.2446000000000001E-2</v>
      </c>
      <c r="Y162" t="s">
        <v>2</v>
      </c>
      <c r="Z162">
        <v>4000</v>
      </c>
      <c r="AA162">
        <v>168</v>
      </c>
      <c r="AB162">
        <v>11357</v>
      </c>
      <c r="AC162">
        <v>0</v>
      </c>
      <c r="AD162">
        <v>90797677508</v>
      </c>
      <c r="AE162">
        <v>322054781.76999998</v>
      </c>
      <c r="AF162">
        <v>90124579312</v>
      </c>
      <c r="AG162">
        <v>90336385061.830002</v>
      </c>
      <c r="AH162">
        <v>4.5421000000000003E-2</v>
      </c>
      <c r="AI162">
        <v>1.8248E-2</v>
      </c>
    </row>
    <row r="163" spans="1:35" x14ac:dyDescent="0.35">
      <c r="A163" t="s">
        <v>1</v>
      </c>
      <c r="B163">
        <v>6750</v>
      </c>
      <c r="C163">
        <v>320</v>
      </c>
      <c r="D163">
        <v>445</v>
      </c>
      <c r="E163">
        <v>0</v>
      </c>
      <c r="F163">
        <v>1539058267</v>
      </c>
      <c r="G163">
        <v>15317637.82</v>
      </c>
      <c r="H163">
        <v>1503433515.51</v>
      </c>
      <c r="I163">
        <v>1510024885.4200001</v>
      </c>
      <c r="J163">
        <v>0.14733399999999999</v>
      </c>
      <c r="K163">
        <v>0.101852</v>
      </c>
      <c r="M163" t="s">
        <v>1</v>
      </c>
      <c r="N163">
        <v>5750</v>
      </c>
      <c r="O163">
        <v>320</v>
      </c>
      <c r="P163">
        <v>1798</v>
      </c>
      <c r="Q163">
        <v>0</v>
      </c>
      <c r="R163">
        <v>8824703383</v>
      </c>
      <c r="S163">
        <v>66447306.329999998</v>
      </c>
      <c r="T163">
        <v>8660703483.9400005</v>
      </c>
      <c r="U163">
        <v>8708191546.7000008</v>
      </c>
      <c r="V163">
        <v>0.124878</v>
      </c>
      <c r="W163">
        <v>6.5993999999999997E-2</v>
      </c>
      <c r="Y163" t="s">
        <v>3</v>
      </c>
      <c r="Z163">
        <v>6000</v>
      </c>
      <c r="AA163">
        <v>240</v>
      </c>
      <c r="AB163">
        <v>23</v>
      </c>
      <c r="AC163">
        <v>0</v>
      </c>
      <c r="AD163">
        <v>195198896</v>
      </c>
      <c r="AE163">
        <v>1116436.1299999999</v>
      </c>
      <c r="AF163">
        <v>190789098</v>
      </c>
      <c r="AG163">
        <v>194130739.58000001</v>
      </c>
      <c r="AH163">
        <v>0.184692</v>
      </c>
      <c r="AI163">
        <v>-2.9719999999999998E-3</v>
      </c>
    </row>
    <row r="164" spans="1:35" x14ac:dyDescent="0.35">
      <c r="A164" t="s">
        <v>2</v>
      </c>
      <c r="B164">
        <v>7750</v>
      </c>
      <c r="C164">
        <v>320</v>
      </c>
      <c r="D164">
        <v>82</v>
      </c>
      <c r="E164">
        <v>0</v>
      </c>
      <c r="F164">
        <v>155289812</v>
      </c>
      <c r="G164">
        <v>2042490.83</v>
      </c>
      <c r="H164">
        <v>152370200.25999999</v>
      </c>
      <c r="I164">
        <v>153132184.21000001</v>
      </c>
      <c r="J164">
        <v>6.5712999999999994E-2</v>
      </c>
      <c r="K164">
        <v>8.8610000000000008E-3</v>
      </c>
      <c r="M164" t="s">
        <v>3</v>
      </c>
      <c r="N164">
        <v>6000</v>
      </c>
      <c r="O164">
        <v>320</v>
      </c>
      <c r="P164">
        <v>32</v>
      </c>
      <c r="Q164">
        <v>0</v>
      </c>
      <c r="R164">
        <v>134948017</v>
      </c>
      <c r="S164">
        <v>984129.12</v>
      </c>
      <c r="T164">
        <v>133741107.61</v>
      </c>
      <c r="U164">
        <v>133791313.08</v>
      </c>
      <c r="V164">
        <v>1.9630999999999999E-2</v>
      </c>
      <c r="W164">
        <v>1.5238E-2</v>
      </c>
      <c r="Y164" t="s">
        <v>0</v>
      </c>
      <c r="Z164">
        <v>3500</v>
      </c>
      <c r="AA164">
        <v>320</v>
      </c>
      <c r="AB164">
        <v>6</v>
      </c>
      <c r="AC164">
        <v>0</v>
      </c>
      <c r="AD164">
        <v>8231494</v>
      </c>
      <c r="AE164">
        <v>148320.32999999999</v>
      </c>
      <c r="AF164">
        <v>7602912</v>
      </c>
      <c r="AG164">
        <v>7602912</v>
      </c>
      <c r="AH164">
        <v>0.51392300000000002</v>
      </c>
      <c r="AI164">
        <v>0.51392300000000002</v>
      </c>
    </row>
    <row r="165" spans="1:35" x14ac:dyDescent="0.35">
      <c r="A165" t="s">
        <v>2</v>
      </c>
      <c r="B165">
        <v>20000</v>
      </c>
      <c r="C165">
        <v>320</v>
      </c>
      <c r="D165">
        <v>7</v>
      </c>
      <c r="E165">
        <v>0</v>
      </c>
      <c r="F165">
        <v>10558915</v>
      </c>
      <c r="G165">
        <v>162615.04000000001</v>
      </c>
      <c r="H165">
        <v>10336796.07</v>
      </c>
      <c r="I165">
        <v>10396299.960000001</v>
      </c>
      <c r="J165">
        <v>6.5568000000000001E-2</v>
      </c>
      <c r="K165">
        <v>0</v>
      </c>
      <c r="M165" t="s">
        <v>3</v>
      </c>
      <c r="N165">
        <v>5000</v>
      </c>
      <c r="O165">
        <v>320</v>
      </c>
      <c r="P165">
        <v>4</v>
      </c>
      <c r="Q165">
        <v>0</v>
      </c>
      <c r="R165">
        <v>7512030</v>
      </c>
      <c r="S165">
        <v>57734.74</v>
      </c>
      <c r="T165">
        <v>7436662.1500000004</v>
      </c>
      <c r="U165">
        <v>7439014.96</v>
      </c>
      <c r="V165">
        <v>2.7806999999999998E-2</v>
      </c>
      <c r="W165">
        <v>2.4138E-2</v>
      </c>
      <c r="Y165" t="s">
        <v>1</v>
      </c>
      <c r="Z165">
        <v>6750</v>
      </c>
      <c r="AA165">
        <v>320</v>
      </c>
      <c r="AB165">
        <v>447</v>
      </c>
      <c r="AC165">
        <v>0</v>
      </c>
      <c r="AD165">
        <v>1556431837</v>
      </c>
      <c r="AE165">
        <v>15478704</v>
      </c>
      <c r="AF165">
        <v>1533622597</v>
      </c>
      <c r="AG165">
        <v>1533701633.0999999</v>
      </c>
      <c r="AH165">
        <v>5.5077000000000001E-2</v>
      </c>
      <c r="AI165">
        <v>5.4497999999999998E-2</v>
      </c>
    </row>
    <row r="166" spans="1:35" x14ac:dyDescent="0.35">
      <c r="A166" t="s">
        <v>1</v>
      </c>
      <c r="B166">
        <v>8250</v>
      </c>
      <c r="C166">
        <v>320</v>
      </c>
      <c r="D166">
        <v>49</v>
      </c>
      <c r="E166">
        <v>0</v>
      </c>
      <c r="F166">
        <v>105113435</v>
      </c>
      <c r="G166">
        <v>1691751.08</v>
      </c>
      <c r="H166">
        <v>101967307.8</v>
      </c>
      <c r="I166">
        <v>102931992.27</v>
      </c>
      <c r="J166">
        <v>0.15396499999999999</v>
      </c>
      <c r="K166">
        <v>5.4494000000000001E-2</v>
      </c>
      <c r="M166" t="s">
        <v>2</v>
      </c>
      <c r="N166">
        <v>5750</v>
      </c>
      <c r="O166">
        <v>320</v>
      </c>
      <c r="P166">
        <v>529</v>
      </c>
      <c r="Q166">
        <v>0</v>
      </c>
      <c r="R166">
        <v>1948370753</v>
      </c>
      <c r="S166">
        <v>14759730.66</v>
      </c>
      <c r="T166">
        <v>1923815156.46</v>
      </c>
      <c r="U166">
        <v>1929523619.23</v>
      </c>
      <c r="V166">
        <v>5.8692000000000001E-2</v>
      </c>
      <c r="W166">
        <v>2.4885999999999998E-2</v>
      </c>
      <c r="Y166" t="s">
        <v>2</v>
      </c>
      <c r="Z166">
        <v>7750</v>
      </c>
      <c r="AA166">
        <v>320</v>
      </c>
      <c r="AB166">
        <v>83</v>
      </c>
      <c r="AC166">
        <v>0</v>
      </c>
      <c r="AD166">
        <v>159151867</v>
      </c>
      <c r="AE166">
        <v>2064914.39</v>
      </c>
      <c r="AF166">
        <v>156504505</v>
      </c>
      <c r="AG166">
        <v>156504505</v>
      </c>
      <c r="AH166">
        <v>4.3042999999999998E-2</v>
      </c>
      <c r="AI166">
        <v>4.3042999999999998E-2</v>
      </c>
    </row>
    <row r="167" spans="1:35" x14ac:dyDescent="0.35">
      <c r="A167" t="s">
        <v>2</v>
      </c>
      <c r="B167">
        <v>8250</v>
      </c>
      <c r="C167">
        <v>320</v>
      </c>
      <c r="D167">
        <v>22</v>
      </c>
      <c r="E167">
        <v>0</v>
      </c>
      <c r="F167">
        <v>37255653</v>
      </c>
      <c r="G167">
        <v>619685.4</v>
      </c>
      <c r="H167">
        <v>36426279.280000001</v>
      </c>
      <c r="I167">
        <v>36611873.979999997</v>
      </c>
      <c r="J167">
        <v>6.5488000000000005E-2</v>
      </c>
      <c r="K167">
        <v>7.7330000000000003E-3</v>
      </c>
      <c r="M167" t="s">
        <v>0</v>
      </c>
      <c r="N167">
        <v>5000</v>
      </c>
      <c r="O167">
        <v>168</v>
      </c>
      <c r="P167">
        <v>3004</v>
      </c>
      <c r="Q167">
        <v>0</v>
      </c>
      <c r="R167">
        <v>22317968240</v>
      </c>
      <c r="S167">
        <v>70791328.840000004</v>
      </c>
      <c r="T167">
        <v>22117720240.619999</v>
      </c>
      <c r="U167">
        <v>22226977603.869999</v>
      </c>
      <c r="V167">
        <v>6.7428000000000002E-2</v>
      </c>
      <c r="W167">
        <v>1.0807000000000001E-2</v>
      </c>
      <c r="Y167" t="s">
        <v>2</v>
      </c>
      <c r="Z167">
        <v>20000</v>
      </c>
      <c r="AA167">
        <v>320</v>
      </c>
      <c r="AB167">
        <v>7</v>
      </c>
      <c r="AC167">
        <v>0</v>
      </c>
      <c r="AD167">
        <v>10753257</v>
      </c>
      <c r="AE167">
        <v>161831.43</v>
      </c>
      <c r="AF167">
        <v>10558915</v>
      </c>
      <c r="AG167">
        <v>10558915</v>
      </c>
      <c r="AH167">
        <v>3.5682999999999999E-2</v>
      </c>
      <c r="AI167">
        <v>3.5682999999999999E-2</v>
      </c>
    </row>
    <row r="168" spans="1:35" x14ac:dyDescent="0.35">
      <c r="A168" t="s">
        <v>1</v>
      </c>
      <c r="B168">
        <v>7750</v>
      </c>
      <c r="C168">
        <v>320</v>
      </c>
      <c r="D168">
        <v>67</v>
      </c>
      <c r="E168">
        <v>0</v>
      </c>
      <c r="F168">
        <v>159731742</v>
      </c>
      <c r="G168">
        <v>2318755.5699999998</v>
      </c>
      <c r="H168">
        <v>155199353.08000001</v>
      </c>
      <c r="I168">
        <v>156614409.43000001</v>
      </c>
      <c r="J168">
        <v>0.154193</v>
      </c>
      <c r="K168">
        <v>5.8370999999999999E-2</v>
      </c>
      <c r="M168" t="s">
        <v>1</v>
      </c>
      <c r="N168">
        <v>7750</v>
      </c>
      <c r="O168">
        <v>320</v>
      </c>
      <c r="P168">
        <v>80</v>
      </c>
      <c r="Q168">
        <v>0</v>
      </c>
      <c r="R168">
        <v>191371245</v>
      </c>
      <c r="S168">
        <v>2663933.91</v>
      </c>
      <c r="T168">
        <v>186095023.13999999</v>
      </c>
      <c r="U168">
        <v>188394955.13</v>
      </c>
      <c r="V168">
        <v>0.15204899999999999</v>
      </c>
      <c r="W168">
        <v>1.9411999999999999E-2</v>
      </c>
      <c r="Y168" t="s">
        <v>1</v>
      </c>
      <c r="Z168">
        <v>8250</v>
      </c>
      <c r="AA168">
        <v>320</v>
      </c>
      <c r="AB168">
        <v>50</v>
      </c>
      <c r="AC168">
        <v>0</v>
      </c>
      <c r="AD168">
        <v>110531273</v>
      </c>
      <c r="AE168">
        <v>1735365.93</v>
      </c>
      <c r="AF168">
        <v>105113435</v>
      </c>
      <c r="AG168">
        <v>108386029.34</v>
      </c>
      <c r="AH168">
        <v>0.33409299999999997</v>
      </c>
      <c r="AI168">
        <v>4.3603000000000003E-2</v>
      </c>
    </row>
    <row r="169" spans="1:35" x14ac:dyDescent="0.35">
      <c r="A169" t="s">
        <v>1</v>
      </c>
      <c r="B169">
        <v>3500</v>
      </c>
      <c r="C169">
        <v>168</v>
      </c>
      <c r="D169">
        <v>27201</v>
      </c>
      <c r="E169">
        <v>0</v>
      </c>
      <c r="F169">
        <v>360940491556</v>
      </c>
      <c r="G169">
        <v>1299087348.1500001</v>
      </c>
      <c r="H169">
        <v>357851093202.23999</v>
      </c>
      <c r="I169">
        <v>359562215634.65997</v>
      </c>
      <c r="J169">
        <v>5.7924000000000003E-2</v>
      </c>
      <c r="K169">
        <v>2.63E-3</v>
      </c>
      <c r="M169" t="s">
        <v>3</v>
      </c>
      <c r="N169">
        <v>6000</v>
      </c>
      <c r="O169">
        <v>240</v>
      </c>
      <c r="P169">
        <v>24</v>
      </c>
      <c r="Q169">
        <v>0</v>
      </c>
      <c r="R169">
        <v>205977366</v>
      </c>
      <c r="S169">
        <v>1149260.76</v>
      </c>
      <c r="T169">
        <v>204511137.19</v>
      </c>
      <c r="U169">
        <v>204617074.21000001</v>
      </c>
      <c r="V169">
        <v>1.8311000000000001E-2</v>
      </c>
      <c r="W169">
        <v>1.2225E-2</v>
      </c>
      <c r="Y169" t="s">
        <v>2</v>
      </c>
      <c r="Z169">
        <v>8250</v>
      </c>
      <c r="AA169">
        <v>320</v>
      </c>
      <c r="AB169">
        <v>22</v>
      </c>
      <c r="AC169">
        <v>0</v>
      </c>
      <c r="AD169">
        <v>37917860</v>
      </c>
      <c r="AE169">
        <v>616406.76</v>
      </c>
      <c r="AF169">
        <v>37255653</v>
      </c>
      <c r="AG169">
        <v>37255653</v>
      </c>
      <c r="AH169">
        <v>1.4399E-2</v>
      </c>
      <c r="AI169">
        <v>1.4399E-2</v>
      </c>
    </row>
    <row r="170" spans="1:35" x14ac:dyDescent="0.35">
      <c r="A170" t="s">
        <v>3</v>
      </c>
      <c r="B170">
        <v>7000</v>
      </c>
      <c r="C170">
        <v>320</v>
      </c>
      <c r="D170">
        <v>4</v>
      </c>
      <c r="E170">
        <v>0</v>
      </c>
      <c r="F170">
        <v>12999908</v>
      </c>
      <c r="G170">
        <v>113213.23</v>
      </c>
      <c r="H170">
        <v>12835909.09</v>
      </c>
      <c r="I170">
        <v>12837337.67</v>
      </c>
      <c r="J170">
        <v>4.5885000000000002E-2</v>
      </c>
      <c r="K170">
        <v>4.4621000000000001E-2</v>
      </c>
      <c r="M170" t="s">
        <v>0</v>
      </c>
      <c r="N170">
        <v>3500</v>
      </c>
      <c r="O170">
        <v>320</v>
      </c>
      <c r="P170">
        <v>6</v>
      </c>
      <c r="Q170">
        <v>0</v>
      </c>
      <c r="R170">
        <v>8583469</v>
      </c>
      <c r="S170">
        <v>148523.04999999999</v>
      </c>
      <c r="T170">
        <v>8363727.1399999997</v>
      </c>
      <c r="U170">
        <v>8406687.1199999992</v>
      </c>
      <c r="V170">
        <v>9.5145999999999994E-2</v>
      </c>
      <c r="W170">
        <v>3.8799E-2</v>
      </c>
      <c r="Y170" t="s">
        <v>1</v>
      </c>
      <c r="Z170">
        <v>7750</v>
      </c>
      <c r="AA170">
        <v>320</v>
      </c>
      <c r="AB170">
        <v>73</v>
      </c>
      <c r="AC170">
        <v>0</v>
      </c>
      <c r="AD170">
        <v>173474272</v>
      </c>
      <c r="AE170">
        <v>2485079.0499999998</v>
      </c>
      <c r="AF170">
        <v>163168228</v>
      </c>
      <c r="AG170">
        <v>170064190.88</v>
      </c>
      <c r="AH170">
        <v>0.42511599999999999</v>
      </c>
      <c r="AI170">
        <v>6.2142999999999997E-2</v>
      </c>
    </row>
    <row r="171" spans="1:35" x14ac:dyDescent="0.35">
      <c r="A171" t="s">
        <v>2</v>
      </c>
      <c r="B171">
        <v>4000</v>
      </c>
      <c r="C171">
        <v>168</v>
      </c>
      <c r="D171">
        <v>10878</v>
      </c>
      <c r="E171">
        <v>0</v>
      </c>
      <c r="F171">
        <v>86901212742</v>
      </c>
      <c r="G171">
        <v>307892553.35000002</v>
      </c>
      <c r="H171">
        <v>86208252137.050003</v>
      </c>
      <c r="I171">
        <v>86567329353.529999</v>
      </c>
      <c r="J171">
        <v>5.1895999999999998E-2</v>
      </c>
      <c r="K171">
        <v>3.5829999999999998E-3</v>
      </c>
      <c r="M171" t="s">
        <v>2</v>
      </c>
      <c r="N171">
        <v>7750</v>
      </c>
      <c r="O171">
        <v>320</v>
      </c>
      <c r="P171">
        <v>88</v>
      </c>
      <c r="Q171">
        <v>0</v>
      </c>
      <c r="R171">
        <v>172839235</v>
      </c>
      <c r="S171">
        <v>2201670.2400000002</v>
      </c>
      <c r="T171">
        <v>169641875.90000001</v>
      </c>
      <c r="U171">
        <v>170551614.58000001</v>
      </c>
      <c r="V171">
        <v>6.6980999999999999E-2</v>
      </c>
      <c r="W171">
        <v>5.9509999999999997E-3</v>
      </c>
      <c r="Y171" t="s">
        <v>1</v>
      </c>
      <c r="Z171">
        <v>3500</v>
      </c>
      <c r="AA171">
        <v>168</v>
      </c>
      <c r="AB171">
        <v>27309</v>
      </c>
      <c r="AC171">
        <v>0</v>
      </c>
      <c r="AD171">
        <v>363757794678</v>
      </c>
      <c r="AE171">
        <v>1300944067.1700001</v>
      </c>
      <c r="AF171">
        <v>360530172632</v>
      </c>
      <c r="AG171">
        <v>361869613560.92999</v>
      </c>
      <c r="AH171">
        <v>6.1740000000000003E-2</v>
      </c>
      <c r="AI171">
        <v>1.9200999999999999E-2</v>
      </c>
    </row>
    <row r="172" spans="1:35" x14ac:dyDescent="0.35">
      <c r="A172" t="s">
        <v>2</v>
      </c>
      <c r="B172">
        <v>4500</v>
      </c>
      <c r="C172">
        <v>168</v>
      </c>
      <c r="D172">
        <v>3165</v>
      </c>
      <c r="E172">
        <v>0</v>
      </c>
      <c r="F172">
        <v>25808970716</v>
      </c>
      <c r="G172">
        <v>81321250.189999998</v>
      </c>
      <c r="H172">
        <v>25613443447.330002</v>
      </c>
      <c r="I172">
        <v>25715337880.84</v>
      </c>
      <c r="J172">
        <v>5.1826999999999998E-2</v>
      </c>
      <c r="K172">
        <v>5.7089999999999997E-3</v>
      </c>
      <c r="M172" t="s">
        <v>2</v>
      </c>
      <c r="N172">
        <v>20000</v>
      </c>
      <c r="O172">
        <v>320</v>
      </c>
      <c r="P172">
        <v>7</v>
      </c>
      <c r="Q172">
        <v>0</v>
      </c>
      <c r="R172">
        <v>11246925</v>
      </c>
      <c r="S172">
        <v>161794.60999999999</v>
      </c>
      <c r="T172">
        <v>11020447.439999999</v>
      </c>
      <c r="U172">
        <v>11085130.390000001</v>
      </c>
      <c r="V172">
        <v>6.6872000000000001E-2</v>
      </c>
      <c r="W172">
        <v>0</v>
      </c>
      <c r="Y172" t="s">
        <v>3</v>
      </c>
      <c r="Z172">
        <v>7000</v>
      </c>
      <c r="AA172">
        <v>320</v>
      </c>
      <c r="AB172">
        <v>4</v>
      </c>
      <c r="AC172">
        <v>0</v>
      </c>
      <c r="AD172">
        <v>13188180</v>
      </c>
      <c r="AE172">
        <v>113402.21</v>
      </c>
      <c r="AF172">
        <v>12999908</v>
      </c>
      <c r="AG172">
        <v>12999908</v>
      </c>
      <c r="AH172">
        <v>6.6036999999999998E-2</v>
      </c>
      <c r="AI172">
        <v>6.6036999999999998E-2</v>
      </c>
    </row>
    <row r="173" spans="1:35" x14ac:dyDescent="0.35">
      <c r="A173" t="s">
        <v>1</v>
      </c>
      <c r="B173">
        <v>4500</v>
      </c>
      <c r="C173">
        <v>168</v>
      </c>
      <c r="D173">
        <v>3367</v>
      </c>
      <c r="E173">
        <v>0</v>
      </c>
      <c r="F173">
        <v>35747512414</v>
      </c>
      <c r="G173">
        <v>114157387.73999999</v>
      </c>
      <c r="H173">
        <v>35436608855.209999</v>
      </c>
      <c r="I173">
        <v>35619664416.089996</v>
      </c>
      <c r="J173">
        <v>6.4082E-2</v>
      </c>
      <c r="K173">
        <v>4.5859999999999998E-3</v>
      </c>
      <c r="M173" t="s">
        <v>1</v>
      </c>
      <c r="N173">
        <v>8250</v>
      </c>
      <c r="O173">
        <v>320</v>
      </c>
      <c r="P173">
        <v>51</v>
      </c>
      <c r="Q173">
        <v>0</v>
      </c>
      <c r="R173">
        <v>116027251</v>
      </c>
      <c r="S173">
        <v>1740278.62</v>
      </c>
      <c r="T173">
        <v>112704890.17</v>
      </c>
      <c r="U173">
        <v>114239607.14</v>
      </c>
      <c r="V173">
        <v>0.151895</v>
      </c>
      <c r="W173">
        <v>4.888E-3</v>
      </c>
      <c r="Y173" t="s">
        <v>2</v>
      </c>
      <c r="Z173">
        <v>4500</v>
      </c>
      <c r="AA173">
        <v>168</v>
      </c>
      <c r="AB173">
        <v>2817</v>
      </c>
      <c r="AC173">
        <v>0</v>
      </c>
      <c r="AD173">
        <v>22446929946</v>
      </c>
      <c r="AE173">
        <v>71642598.930000007</v>
      </c>
      <c r="AF173">
        <v>22271909937</v>
      </c>
      <c r="AG173">
        <v>22350478908.060001</v>
      </c>
      <c r="AH173">
        <v>5.3886000000000003E-2</v>
      </c>
      <c r="AI173">
        <v>1.3181999999999999E-2</v>
      </c>
    </row>
    <row r="174" spans="1:35" x14ac:dyDescent="0.35">
      <c r="A174" t="s">
        <v>0</v>
      </c>
      <c r="B174">
        <v>5000</v>
      </c>
      <c r="C174">
        <v>168</v>
      </c>
      <c r="D174">
        <v>4170</v>
      </c>
      <c r="E174">
        <v>0</v>
      </c>
      <c r="F174">
        <v>32701747331</v>
      </c>
      <c r="G174">
        <v>98132252.640000001</v>
      </c>
      <c r="H174">
        <v>32431319848.860001</v>
      </c>
      <c r="I174">
        <v>32584874912.939999</v>
      </c>
      <c r="J174">
        <v>6.1423999999999999E-2</v>
      </c>
      <c r="K174">
        <v>6.855E-3</v>
      </c>
      <c r="M174" t="s">
        <v>2</v>
      </c>
      <c r="N174">
        <v>8250</v>
      </c>
      <c r="O174">
        <v>320</v>
      </c>
      <c r="P174">
        <v>24</v>
      </c>
      <c r="Q174">
        <v>0</v>
      </c>
      <c r="R174">
        <v>40798241</v>
      </c>
      <c r="S174">
        <v>629939.34</v>
      </c>
      <c r="T174">
        <v>39933915.229999997</v>
      </c>
      <c r="U174">
        <v>40141482.07</v>
      </c>
      <c r="V174">
        <v>6.6803000000000001E-2</v>
      </c>
      <c r="W174">
        <v>7.8600000000000007E-3</v>
      </c>
      <c r="Y174" t="s">
        <v>1</v>
      </c>
      <c r="Z174">
        <v>4500</v>
      </c>
      <c r="AA174">
        <v>168</v>
      </c>
      <c r="AB174">
        <v>3282</v>
      </c>
      <c r="AC174">
        <v>0</v>
      </c>
      <c r="AD174">
        <v>34921783231</v>
      </c>
      <c r="AE174">
        <v>112185016.81999999</v>
      </c>
      <c r="AF174">
        <v>34612287871</v>
      </c>
      <c r="AG174">
        <v>34761491296.269997</v>
      </c>
      <c r="AH174">
        <v>6.5733E-2</v>
      </c>
      <c r="AI174">
        <v>1.6406E-2</v>
      </c>
    </row>
    <row r="175" spans="1:35" x14ac:dyDescent="0.35">
      <c r="A175" t="s">
        <v>0</v>
      </c>
      <c r="B175">
        <v>4000</v>
      </c>
      <c r="C175">
        <v>320</v>
      </c>
      <c r="D175">
        <v>41</v>
      </c>
      <c r="E175">
        <v>0</v>
      </c>
      <c r="F175">
        <v>125716981</v>
      </c>
      <c r="G175">
        <v>1243548.32</v>
      </c>
      <c r="H175">
        <v>123788662.19</v>
      </c>
      <c r="I175">
        <v>124101510.43000001</v>
      </c>
      <c r="J175">
        <v>6.3439999999999996E-2</v>
      </c>
      <c r="K175">
        <v>3.4929000000000002E-2</v>
      </c>
      <c r="M175" t="s">
        <v>1</v>
      </c>
      <c r="N175">
        <v>3500</v>
      </c>
      <c r="O175">
        <v>168</v>
      </c>
      <c r="P175">
        <v>27513</v>
      </c>
      <c r="Q175">
        <v>0</v>
      </c>
      <c r="R175">
        <v>369387330416</v>
      </c>
      <c r="S175">
        <v>1305369249.51</v>
      </c>
      <c r="T175">
        <v>366340705243.97998</v>
      </c>
      <c r="U175">
        <v>368021461298.5</v>
      </c>
      <c r="V175">
        <v>5.5122999999999998E-2</v>
      </c>
      <c r="W175">
        <v>1.964E-3</v>
      </c>
      <c r="Y175" t="s">
        <v>0</v>
      </c>
      <c r="Z175">
        <v>5000</v>
      </c>
      <c r="AA175">
        <v>168</v>
      </c>
      <c r="AB175">
        <v>3758</v>
      </c>
      <c r="AC175">
        <v>0</v>
      </c>
      <c r="AD175">
        <v>29226460156</v>
      </c>
      <c r="AE175">
        <v>88115060.420000002</v>
      </c>
      <c r="AF175">
        <v>28991892485</v>
      </c>
      <c r="AG175">
        <v>29100002093.990002</v>
      </c>
      <c r="AH175">
        <v>5.8501999999999998E-2</v>
      </c>
      <c r="AI175">
        <v>1.5630000000000002E-2</v>
      </c>
    </row>
    <row r="176" spans="1:35" x14ac:dyDescent="0.35">
      <c r="A176" t="s">
        <v>1</v>
      </c>
      <c r="B176">
        <v>4500</v>
      </c>
      <c r="C176">
        <v>320</v>
      </c>
      <c r="D176">
        <v>101</v>
      </c>
      <c r="E176">
        <v>0</v>
      </c>
      <c r="F176">
        <v>478130484</v>
      </c>
      <c r="G176">
        <v>4024989.73</v>
      </c>
      <c r="H176">
        <v>468168870.75999999</v>
      </c>
      <c r="I176">
        <v>471560894.91000003</v>
      </c>
      <c r="J176">
        <v>0.13923099999999999</v>
      </c>
      <c r="K176">
        <v>6.2026999999999999E-2</v>
      </c>
      <c r="M176" t="s">
        <v>1</v>
      </c>
      <c r="N176">
        <v>5000</v>
      </c>
      <c r="O176">
        <v>240</v>
      </c>
      <c r="P176">
        <v>47</v>
      </c>
      <c r="Q176">
        <v>0</v>
      </c>
      <c r="R176">
        <v>332297977</v>
      </c>
      <c r="S176">
        <v>2023051.52</v>
      </c>
      <c r="T176">
        <v>329481283.32999998</v>
      </c>
      <c r="U176">
        <v>330266734.38</v>
      </c>
      <c r="V176">
        <v>2.8287E-2</v>
      </c>
      <c r="W176">
        <v>2.9599999999999998E-4</v>
      </c>
      <c r="Y176" t="s">
        <v>0</v>
      </c>
      <c r="Z176">
        <v>4000</v>
      </c>
      <c r="AA176">
        <v>320</v>
      </c>
      <c r="AB176">
        <v>40</v>
      </c>
      <c r="AC176">
        <v>0</v>
      </c>
      <c r="AD176">
        <v>123641661</v>
      </c>
      <c r="AE176">
        <v>1224308.3</v>
      </c>
      <c r="AF176">
        <v>120196649</v>
      </c>
      <c r="AG176">
        <v>120196649</v>
      </c>
      <c r="AH176">
        <v>0.195463</v>
      </c>
      <c r="AI176">
        <v>0.195463</v>
      </c>
    </row>
    <row r="177" spans="1:35" x14ac:dyDescent="0.35">
      <c r="A177" t="s">
        <v>2</v>
      </c>
      <c r="B177">
        <v>5000</v>
      </c>
      <c r="C177">
        <v>320</v>
      </c>
      <c r="D177">
        <v>70</v>
      </c>
      <c r="E177">
        <v>0</v>
      </c>
      <c r="F177">
        <v>273241483</v>
      </c>
      <c r="G177">
        <v>2155835.0299999998</v>
      </c>
      <c r="H177">
        <v>269896902.39999998</v>
      </c>
      <c r="I177">
        <v>270451692.35000002</v>
      </c>
      <c r="J177">
        <v>5.0974999999999999E-2</v>
      </c>
      <c r="K177">
        <v>2.7489E-2</v>
      </c>
      <c r="M177" t="s">
        <v>3</v>
      </c>
      <c r="N177">
        <v>7000</v>
      </c>
      <c r="O177">
        <v>320</v>
      </c>
      <c r="P177">
        <v>4</v>
      </c>
      <c r="Q177">
        <v>0</v>
      </c>
      <c r="R177">
        <v>13456456</v>
      </c>
      <c r="S177">
        <v>112536.31</v>
      </c>
      <c r="T177">
        <v>13293043.710000001</v>
      </c>
      <c r="U177">
        <v>13293803.529999999</v>
      </c>
      <c r="V177">
        <v>4.4437999999999998E-2</v>
      </c>
      <c r="W177">
        <v>4.3788000000000001E-2</v>
      </c>
      <c r="Y177" t="s">
        <v>1</v>
      </c>
      <c r="Z177">
        <v>4500</v>
      </c>
      <c r="AA177">
        <v>320</v>
      </c>
      <c r="AB177">
        <v>101</v>
      </c>
      <c r="AC177">
        <v>0</v>
      </c>
      <c r="AD177">
        <v>484406975</v>
      </c>
      <c r="AE177">
        <v>4030020.2</v>
      </c>
      <c r="AF177">
        <v>478130484</v>
      </c>
      <c r="AG177">
        <v>478130484</v>
      </c>
      <c r="AH177">
        <v>5.4253000000000003E-2</v>
      </c>
      <c r="AI177">
        <v>5.4253000000000003E-2</v>
      </c>
    </row>
    <row r="178" spans="1:35" x14ac:dyDescent="0.35">
      <c r="A178" t="s">
        <v>0</v>
      </c>
      <c r="B178">
        <v>5750</v>
      </c>
      <c r="C178">
        <v>192</v>
      </c>
      <c r="D178">
        <v>2296</v>
      </c>
      <c r="E178">
        <v>0</v>
      </c>
      <c r="F178">
        <v>13927380651</v>
      </c>
      <c r="G178">
        <v>52237481.829999998</v>
      </c>
      <c r="H178">
        <v>13796008782.73</v>
      </c>
      <c r="I178">
        <v>13868545193.32</v>
      </c>
      <c r="J178">
        <v>6.6091999999999998E-2</v>
      </c>
      <c r="K178">
        <v>5.6699999999999997E-3</v>
      </c>
      <c r="M178" t="s">
        <v>1</v>
      </c>
      <c r="N178">
        <v>4500</v>
      </c>
      <c r="O178">
        <v>320</v>
      </c>
      <c r="P178">
        <v>102</v>
      </c>
      <c r="Q178">
        <v>0</v>
      </c>
      <c r="R178">
        <v>500012181</v>
      </c>
      <c r="S178">
        <v>4065959.86</v>
      </c>
      <c r="T178">
        <v>490248326.23000002</v>
      </c>
      <c r="U178">
        <v>493243965.16000003</v>
      </c>
      <c r="V178">
        <v>0.128493</v>
      </c>
      <c r="W178">
        <v>6.2959000000000001E-2</v>
      </c>
      <c r="Y178" t="s">
        <v>2</v>
      </c>
      <c r="Z178">
        <v>5000</v>
      </c>
      <c r="AA178">
        <v>320</v>
      </c>
      <c r="AB178">
        <v>71</v>
      </c>
      <c r="AC178">
        <v>0</v>
      </c>
      <c r="AD178">
        <v>273442415</v>
      </c>
      <c r="AE178">
        <v>2175692.67</v>
      </c>
      <c r="AF178">
        <v>261578950</v>
      </c>
      <c r="AG178">
        <v>270756119.98000002</v>
      </c>
      <c r="AH178">
        <v>0.35134900000000002</v>
      </c>
      <c r="AI178">
        <v>2.2179000000000001E-2</v>
      </c>
    </row>
    <row r="179" spans="1:35" x14ac:dyDescent="0.35">
      <c r="A179" t="s">
        <v>0</v>
      </c>
      <c r="B179">
        <v>3000</v>
      </c>
      <c r="C179">
        <v>192</v>
      </c>
      <c r="D179">
        <v>109</v>
      </c>
      <c r="E179">
        <v>0</v>
      </c>
      <c r="F179">
        <v>803821329</v>
      </c>
      <c r="G179">
        <v>3409001.94</v>
      </c>
      <c r="H179">
        <v>798397780.39999998</v>
      </c>
      <c r="I179">
        <v>800200901.64999998</v>
      </c>
      <c r="J179">
        <v>2.9662999999999998E-2</v>
      </c>
      <c r="K179">
        <v>3.1519999999999999E-3</v>
      </c>
      <c r="M179" t="s">
        <v>2</v>
      </c>
      <c r="N179">
        <v>5000</v>
      </c>
      <c r="O179">
        <v>320</v>
      </c>
      <c r="P179">
        <v>68</v>
      </c>
      <c r="Q179">
        <v>0</v>
      </c>
      <c r="R179">
        <v>245755405</v>
      </c>
      <c r="S179">
        <v>1963632.46</v>
      </c>
      <c r="T179">
        <v>242711967.96000001</v>
      </c>
      <c r="U179">
        <v>243040682.77000001</v>
      </c>
      <c r="V179">
        <v>5.1470000000000002E-2</v>
      </c>
      <c r="W179">
        <v>3.6065E-2</v>
      </c>
      <c r="Y179" t="s">
        <v>0</v>
      </c>
      <c r="Z179">
        <v>5750</v>
      </c>
      <c r="AA179">
        <v>192</v>
      </c>
      <c r="AB179">
        <v>2852</v>
      </c>
      <c r="AC179">
        <v>0</v>
      </c>
      <c r="AD179">
        <v>17522934084</v>
      </c>
      <c r="AE179">
        <v>65862401.159999996</v>
      </c>
      <c r="AF179">
        <v>17307687789</v>
      </c>
      <c r="AG179">
        <v>17418290671.470001</v>
      </c>
      <c r="AH179">
        <v>9.7638000000000003E-2</v>
      </c>
      <c r="AI179">
        <v>2.6237E-2</v>
      </c>
    </row>
    <row r="180" spans="1:35" x14ac:dyDescent="0.35">
      <c r="A180" t="s">
        <v>2</v>
      </c>
      <c r="B180">
        <v>3000</v>
      </c>
      <c r="C180">
        <v>192</v>
      </c>
      <c r="D180">
        <v>19</v>
      </c>
      <c r="E180">
        <v>0</v>
      </c>
      <c r="F180">
        <v>124368686</v>
      </c>
      <c r="G180">
        <v>577120.13</v>
      </c>
      <c r="H180">
        <v>123412364.08</v>
      </c>
      <c r="I180">
        <v>123736521.27</v>
      </c>
      <c r="J180">
        <v>3.5980999999999999E-2</v>
      </c>
      <c r="K180">
        <v>5.2979999999999998E-3</v>
      </c>
      <c r="M180" t="s">
        <v>0</v>
      </c>
      <c r="N180">
        <v>5750</v>
      </c>
      <c r="O180">
        <v>192</v>
      </c>
      <c r="P180">
        <v>4522</v>
      </c>
      <c r="Q180">
        <v>0</v>
      </c>
      <c r="R180">
        <v>29107686634</v>
      </c>
      <c r="S180">
        <v>109921947.56</v>
      </c>
      <c r="T180">
        <v>28841087826.66</v>
      </c>
      <c r="U180">
        <v>28979939144.119999</v>
      </c>
      <c r="V180">
        <v>6.2714000000000006E-2</v>
      </c>
      <c r="W180">
        <v>7.3239999999999998E-3</v>
      </c>
      <c r="Y180" t="s">
        <v>0</v>
      </c>
      <c r="Z180">
        <v>3000</v>
      </c>
      <c r="AA180">
        <v>192</v>
      </c>
      <c r="AB180">
        <v>84</v>
      </c>
      <c r="AC180">
        <v>0</v>
      </c>
      <c r="AD180">
        <v>609589668</v>
      </c>
      <c r="AE180">
        <v>2596310.2599999998</v>
      </c>
      <c r="AF180">
        <v>606667866</v>
      </c>
      <c r="AG180">
        <v>606667866</v>
      </c>
      <c r="AH180">
        <v>6.3889999999999997E-3</v>
      </c>
      <c r="AI180">
        <v>6.3889999999999997E-3</v>
      </c>
    </row>
    <row r="181" spans="1:35" x14ac:dyDescent="0.35">
      <c r="A181" t="s">
        <v>0</v>
      </c>
      <c r="B181">
        <v>3250</v>
      </c>
      <c r="C181">
        <v>192</v>
      </c>
      <c r="D181">
        <v>113</v>
      </c>
      <c r="E181">
        <v>0</v>
      </c>
      <c r="F181">
        <v>897112803</v>
      </c>
      <c r="G181">
        <v>3635308.04</v>
      </c>
      <c r="H181">
        <v>889873307.57000005</v>
      </c>
      <c r="I181">
        <v>893424338.97000003</v>
      </c>
      <c r="J181">
        <v>4.7159E-2</v>
      </c>
      <c r="K181">
        <v>7.1100000000000004E-4</v>
      </c>
      <c r="M181" t="s">
        <v>0</v>
      </c>
      <c r="N181">
        <v>3000</v>
      </c>
      <c r="O181">
        <v>192</v>
      </c>
      <c r="P181">
        <v>59</v>
      </c>
      <c r="Q181">
        <v>0</v>
      </c>
      <c r="R181">
        <v>388989905</v>
      </c>
      <c r="S181">
        <v>1672189.3</v>
      </c>
      <c r="T181">
        <v>386502467.25999999</v>
      </c>
      <c r="U181">
        <v>387316699.11000001</v>
      </c>
      <c r="V181">
        <v>2.4861999999999999E-2</v>
      </c>
      <c r="W181">
        <v>3.1000000000000001E-5</v>
      </c>
      <c r="Y181" t="s">
        <v>2</v>
      </c>
      <c r="Z181">
        <v>3000</v>
      </c>
      <c r="AA181">
        <v>192</v>
      </c>
      <c r="AB181">
        <v>19</v>
      </c>
      <c r="AC181">
        <v>0</v>
      </c>
      <c r="AD181">
        <v>125141846</v>
      </c>
      <c r="AE181">
        <v>576584.24</v>
      </c>
      <c r="AF181">
        <v>124368686</v>
      </c>
      <c r="AG181">
        <v>124368686</v>
      </c>
      <c r="AH181">
        <v>1.8688E-2</v>
      </c>
      <c r="AI181">
        <v>1.8688E-2</v>
      </c>
    </row>
    <row r="182" spans="1:35" x14ac:dyDescent="0.35">
      <c r="A182" t="s">
        <v>2</v>
      </c>
      <c r="B182">
        <v>4750</v>
      </c>
      <c r="C182">
        <v>320</v>
      </c>
      <c r="D182">
        <v>9</v>
      </c>
      <c r="E182">
        <v>0</v>
      </c>
      <c r="F182">
        <v>22351640</v>
      </c>
      <c r="G182">
        <v>215333.1</v>
      </c>
      <c r="H182">
        <v>21988427.539999999</v>
      </c>
      <c r="I182">
        <v>22042579.050000001</v>
      </c>
      <c r="J182">
        <v>7.6565999999999995E-2</v>
      </c>
      <c r="K182">
        <v>4.9175999999999997E-2</v>
      </c>
      <c r="M182" t="s">
        <v>2</v>
      </c>
      <c r="N182">
        <v>3000</v>
      </c>
      <c r="O182">
        <v>192</v>
      </c>
      <c r="P182">
        <v>18</v>
      </c>
      <c r="Q182">
        <v>0</v>
      </c>
      <c r="R182">
        <v>115119168</v>
      </c>
      <c r="S182">
        <v>528653.93999999994</v>
      </c>
      <c r="T182">
        <v>114034118.15000001</v>
      </c>
      <c r="U182">
        <v>114406677.47</v>
      </c>
      <c r="V182">
        <v>5.6481000000000003E-2</v>
      </c>
      <c r="W182">
        <v>1.8995999999999999E-2</v>
      </c>
      <c r="Y182" t="s">
        <v>0</v>
      </c>
      <c r="Z182">
        <v>3250</v>
      </c>
      <c r="AA182">
        <v>192</v>
      </c>
      <c r="AB182">
        <v>52</v>
      </c>
      <c r="AC182">
        <v>0</v>
      </c>
      <c r="AD182">
        <v>499989602</v>
      </c>
      <c r="AE182">
        <v>2031408.96</v>
      </c>
      <c r="AF182">
        <v>497319780</v>
      </c>
      <c r="AG182">
        <v>497319780</v>
      </c>
      <c r="AH182">
        <v>1.5214999999999999E-2</v>
      </c>
      <c r="AI182">
        <v>1.5214999999999999E-2</v>
      </c>
    </row>
    <row r="183" spans="1:35" x14ac:dyDescent="0.35">
      <c r="A183" t="s">
        <v>2</v>
      </c>
      <c r="B183">
        <v>7000</v>
      </c>
      <c r="C183">
        <v>240</v>
      </c>
      <c r="D183">
        <v>737</v>
      </c>
      <c r="E183">
        <v>0</v>
      </c>
      <c r="F183">
        <v>3229047301</v>
      </c>
      <c r="G183">
        <v>15882778.119999999</v>
      </c>
      <c r="H183">
        <v>3197799935.77</v>
      </c>
      <c r="I183">
        <v>3211661299.6500001</v>
      </c>
      <c r="J183">
        <v>5.5627999999999997E-2</v>
      </c>
      <c r="K183">
        <v>5.5719999999999997E-3</v>
      </c>
      <c r="M183" t="s">
        <v>0</v>
      </c>
      <c r="N183">
        <v>3250</v>
      </c>
      <c r="O183">
        <v>192</v>
      </c>
      <c r="P183">
        <v>11</v>
      </c>
      <c r="Q183">
        <v>0</v>
      </c>
      <c r="R183">
        <v>104591071</v>
      </c>
      <c r="S183">
        <v>439664.25</v>
      </c>
      <c r="T183">
        <v>103818791.98</v>
      </c>
      <c r="U183">
        <v>104151351.08</v>
      </c>
      <c r="V183">
        <v>3.7501E-2</v>
      </c>
      <c r="W183">
        <v>6.0000000000000002E-6</v>
      </c>
      <c r="Y183" t="s">
        <v>2</v>
      </c>
      <c r="Z183">
        <v>4750</v>
      </c>
      <c r="AA183">
        <v>320</v>
      </c>
      <c r="AB183">
        <v>9</v>
      </c>
      <c r="AC183">
        <v>0</v>
      </c>
      <c r="AD183">
        <v>22613662</v>
      </c>
      <c r="AE183">
        <v>214800.52</v>
      </c>
      <c r="AF183">
        <v>22351640</v>
      </c>
      <c r="AG183">
        <v>22351640</v>
      </c>
      <c r="AH183">
        <v>2.4771999999999999E-2</v>
      </c>
      <c r="AI183">
        <v>2.4771999999999999E-2</v>
      </c>
    </row>
    <row r="184" spans="1:35" x14ac:dyDescent="0.35">
      <c r="A184" t="s">
        <v>2</v>
      </c>
      <c r="B184">
        <v>7500</v>
      </c>
      <c r="C184">
        <v>240</v>
      </c>
      <c r="D184">
        <v>61</v>
      </c>
      <c r="E184">
        <v>0</v>
      </c>
      <c r="F184">
        <v>233358879</v>
      </c>
      <c r="G184">
        <v>1108667.3400000001</v>
      </c>
      <c r="H184">
        <v>230421933.40000001</v>
      </c>
      <c r="I184">
        <v>232182587.02000001</v>
      </c>
      <c r="J184">
        <v>9.0067999999999995E-2</v>
      </c>
      <c r="K184">
        <v>3.4719999999999998E-3</v>
      </c>
      <c r="M184" t="s">
        <v>2</v>
      </c>
      <c r="N184">
        <v>4750</v>
      </c>
      <c r="O184">
        <v>320</v>
      </c>
      <c r="P184">
        <v>9</v>
      </c>
      <c r="Q184">
        <v>0</v>
      </c>
      <c r="R184">
        <v>23193583</v>
      </c>
      <c r="S184">
        <v>214013.77</v>
      </c>
      <c r="T184">
        <v>22791901.949999999</v>
      </c>
      <c r="U184">
        <v>22866969.899999999</v>
      </c>
      <c r="V184">
        <v>9.289E-2</v>
      </c>
      <c r="W184">
        <v>5.6727E-2</v>
      </c>
      <c r="Y184" t="s">
        <v>2</v>
      </c>
      <c r="Z184">
        <v>7000</v>
      </c>
      <c r="AA184">
        <v>240</v>
      </c>
      <c r="AB184">
        <v>696</v>
      </c>
      <c r="AC184">
        <v>0</v>
      </c>
      <c r="AD184">
        <v>3052681510</v>
      </c>
      <c r="AE184">
        <v>14947704.359999999</v>
      </c>
      <c r="AF184">
        <v>3016964502</v>
      </c>
      <c r="AG184">
        <v>3034058282.8400002</v>
      </c>
      <c r="AH184">
        <v>7.8657000000000005E-2</v>
      </c>
      <c r="AI184">
        <v>1.4352999999999999E-2</v>
      </c>
    </row>
    <row r="185" spans="1:35" x14ac:dyDescent="0.35">
      <c r="A185" t="s">
        <v>0</v>
      </c>
      <c r="B185">
        <v>8000</v>
      </c>
      <c r="C185">
        <v>240</v>
      </c>
      <c r="D185">
        <v>31</v>
      </c>
      <c r="E185">
        <v>0</v>
      </c>
      <c r="F185">
        <v>167465627</v>
      </c>
      <c r="G185">
        <v>779333.99</v>
      </c>
      <c r="H185">
        <v>166161043.93000001</v>
      </c>
      <c r="I185">
        <v>166682891.53</v>
      </c>
      <c r="J185">
        <v>3.6995E-2</v>
      </c>
      <c r="K185">
        <v>2.4399999999999999E-4</v>
      </c>
      <c r="M185" t="s">
        <v>2</v>
      </c>
      <c r="N185">
        <v>7000</v>
      </c>
      <c r="O185">
        <v>240</v>
      </c>
      <c r="P185">
        <v>558</v>
      </c>
      <c r="Q185">
        <v>0</v>
      </c>
      <c r="R185">
        <v>2411797656</v>
      </c>
      <c r="S185">
        <v>11815281.65</v>
      </c>
      <c r="T185">
        <v>2390583005.79</v>
      </c>
      <c r="U185">
        <v>2398544739.5500002</v>
      </c>
      <c r="V185">
        <v>4.5776999999999998E-2</v>
      </c>
      <c r="W185">
        <v>7.1300000000000001E-3</v>
      </c>
      <c r="Y185" t="s">
        <v>2</v>
      </c>
      <c r="Z185">
        <v>7500</v>
      </c>
      <c r="AA185">
        <v>240</v>
      </c>
      <c r="AB185">
        <v>57</v>
      </c>
      <c r="AC185">
        <v>0</v>
      </c>
      <c r="AD185">
        <v>216820029</v>
      </c>
      <c r="AE185">
        <v>1026002.91</v>
      </c>
      <c r="AF185">
        <v>215454184</v>
      </c>
      <c r="AG185">
        <v>215454184</v>
      </c>
      <c r="AH185">
        <v>1.8647E-2</v>
      </c>
      <c r="AI185">
        <v>1.8647E-2</v>
      </c>
    </row>
    <row r="186" spans="1:35" x14ac:dyDescent="0.35">
      <c r="A186" t="s">
        <v>1</v>
      </c>
      <c r="B186">
        <v>7500</v>
      </c>
      <c r="C186">
        <v>240</v>
      </c>
      <c r="D186">
        <v>33</v>
      </c>
      <c r="E186">
        <v>0</v>
      </c>
      <c r="F186">
        <v>165914218</v>
      </c>
      <c r="G186">
        <v>802349.41</v>
      </c>
      <c r="H186">
        <v>162393872.15000001</v>
      </c>
      <c r="I186">
        <v>165110291.03</v>
      </c>
      <c r="J186">
        <v>0.17980299999999999</v>
      </c>
      <c r="K186">
        <v>1.1400000000000001E-4</v>
      </c>
      <c r="M186" t="s">
        <v>2</v>
      </c>
      <c r="N186">
        <v>7500</v>
      </c>
      <c r="O186">
        <v>240</v>
      </c>
      <c r="P186">
        <v>47</v>
      </c>
      <c r="Q186">
        <v>0</v>
      </c>
      <c r="R186">
        <v>187224239</v>
      </c>
      <c r="S186">
        <v>877805.51</v>
      </c>
      <c r="T186">
        <v>185284717.34</v>
      </c>
      <c r="U186">
        <v>186344487.61000001</v>
      </c>
      <c r="V186">
        <v>6.5966999999999998E-2</v>
      </c>
      <c r="W186">
        <v>1.25E-4</v>
      </c>
      <c r="Y186" t="s">
        <v>0</v>
      </c>
      <c r="Z186">
        <v>8000</v>
      </c>
      <c r="AA186">
        <v>240</v>
      </c>
      <c r="AB186">
        <v>28</v>
      </c>
      <c r="AC186">
        <v>0</v>
      </c>
      <c r="AD186">
        <v>156965049</v>
      </c>
      <c r="AE186">
        <v>727146.07</v>
      </c>
      <c r="AF186">
        <v>156148223</v>
      </c>
      <c r="AG186">
        <v>156148223</v>
      </c>
      <c r="AH186">
        <v>6.8349999999999999E-3</v>
      </c>
      <c r="AI186">
        <v>6.8349999999999999E-3</v>
      </c>
    </row>
    <row r="187" spans="1:35" x14ac:dyDescent="0.35">
      <c r="A187" t="s">
        <v>2</v>
      </c>
      <c r="B187">
        <v>4500</v>
      </c>
      <c r="C187">
        <v>320</v>
      </c>
      <c r="D187">
        <v>5</v>
      </c>
      <c r="E187">
        <v>0</v>
      </c>
      <c r="F187">
        <v>20149024</v>
      </c>
      <c r="G187">
        <v>160012</v>
      </c>
      <c r="H187">
        <v>19923004.870000001</v>
      </c>
      <c r="I187">
        <v>19975567.710000001</v>
      </c>
      <c r="J187">
        <v>3.8610999999999999E-2</v>
      </c>
      <c r="K187">
        <v>7.9780000000000007E-3</v>
      </c>
      <c r="M187" t="s">
        <v>0</v>
      </c>
      <c r="N187">
        <v>8000</v>
      </c>
      <c r="O187">
        <v>240</v>
      </c>
      <c r="P187">
        <v>26</v>
      </c>
      <c r="Q187">
        <v>0</v>
      </c>
      <c r="R187">
        <v>151106430</v>
      </c>
      <c r="S187">
        <v>698573.34</v>
      </c>
      <c r="T187">
        <v>149276575.63999999</v>
      </c>
      <c r="U187">
        <v>150378761.08000001</v>
      </c>
      <c r="V187">
        <v>8.6231000000000002E-2</v>
      </c>
      <c r="W187">
        <v>2.3080000000000002E-3</v>
      </c>
      <c r="Y187" t="s">
        <v>1</v>
      </c>
      <c r="Z187">
        <v>7500</v>
      </c>
      <c r="AA187">
        <v>240</v>
      </c>
      <c r="AB187">
        <v>30</v>
      </c>
      <c r="AC187">
        <v>0</v>
      </c>
      <c r="AD187">
        <v>149802902</v>
      </c>
      <c r="AE187">
        <v>724784.5</v>
      </c>
      <c r="AF187">
        <v>148835735</v>
      </c>
      <c r="AG187">
        <v>148835735</v>
      </c>
      <c r="AH187">
        <v>1.9244000000000001E-2</v>
      </c>
      <c r="AI187">
        <v>1.9244000000000001E-2</v>
      </c>
    </row>
    <row r="188" spans="1:35" x14ac:dyDescent="0.35">
      <c r="A188" t="s">
        <v>1</v>
      </c>
      <c r="B188">
        <v>5250</v>
      </c>
      <c r="C188">
        <v>320</v>
      </c>
      <c r="D188">
        <v>645</v>
      </c>
      <c r="E188">
        <v>0</v>
      </c>
      <c r="F188">
        <v>3000715053</v>
      </c>
      <c r="G188">
        <v>24944543.629999999</v>
      </c>
      <c r="H188">
        <v>2940761338.27</v>
      </c>
      <c r="I188">
        <v>2955382836.3899999</v>
      </c>
      <c r="J188">
        <v>0.13136</v>
      </c>
      <c r="K188">
        <v>7.8552999999999998E-2</v>
      </c>
      <c r="M188" t="s">
        <v>1</v>
      </c>
      <c r="N188">
        <v>7500</v>
      </c>
      <c r="O188">
        <v>240</v>
      </c>
      <c r="P188">
        <v>29</v>
      </c>
      <c r="Q188">
        <v>0</v>
      </c>
      <c r="R188">
        <v>140316833</v>
      </c>
      <c r="S188">
        <v>669851.18999999994</v>
      </c>
      <c r="T188">
        <v>137431315.91999999</v>
      </c>
      <c r="U188">
        <v>139645576.88</v>
      </c>
      <c r="V188">
        <v>0.17386499999999999</v>
      </c>
      <c r="W188">
        <v>1.2E-4</v>
      </c>
      <c r="Y188" t="s">
        <v>2</v>
      </c>
      <c r="Z188">
        <v>4500</v>
      </c>
      <c r="AA188">
        <v>320</v>
      </c>
      <c r="AB188">
        <v>5</v>
      </c>
      <c r="AC188">
        <v>0</v>
      </c>
      <c r="AD188">
        <v>20334500</v>
      </c>
      <c r="AE188">
        <v>159640.44</v>
      </c>
      <c r="AF188">
        <v>20149024</v>
      </c>
      <c r="AG188">
        <v>20149024</v>
      </c>
      <c r="AH188">
        <v>1.5140000000000001E-2</v>
      </c>
      <c r="AI188">
        <v>1.5140000000000001E-2</v>
      </c>
    </row>
    <row r="189" spans="1:35" x14ac:dyDescent="0.35">
      <c r="A189" t="s">
        <v>0</v>
      </c>
      <c r="B189">
        <v>6250</v>
      </c>
      <c r="C189">
        <v>240</v>
      </c>
      <c r="D189">
        <v>3784</v>
      </c>
      <c r="E189">
        <v>0</v>
      </c>
      <c r="F189">
        <v>21518362956</v>
      </c>
      <c r="G189">
        <v>115560961.09999999</v>
      </c>
      <c r="H189">
        <v>21287923854.240002</v>
      </c>
      <c r="I189">
        <v>21380581035.049999</v>
      </c>
      <c r="J189">
        <v>6.2214999999999999E-2</v>
      </c>
      <c r="K189">
        <v>1.2322E-2</v>
      </c>
      <c r="M189" t="s">
        <v>2</v>
      </c>
      <c r="N189">
        <v>4500</v>
      </c>
      <c r="O189">
        <v>320</v>
      </c>
      <c r="P189">
        <v>5</v>
      </c>
      <c r="Q189">
        <v>0</v>
      </c>
      <c r="R189">
        <v>20703395</v>
      </c>
      <c r="S189">
        <v>158885.62</v>
      </c>
      <c r="T189">
        <v>20475240.699999999</v>
      </c>
      <c r="U189">
        <v>20521520.170000002</v>
      </c>
      <c r="V189">
        <v>3.9419000000000003E-2</v>
      </c>
      <c r="W189">
        <v>1.3244000000000001E-2</v>
      </c>
      <c r="Y189" t="s">
        <v>1</v>
      </c>
      <c r="Z189">
        <v>5250</v>
      </c>
      <c r="AA189">
        <v>320</v>
      </c>
      <c r="AB189">
        <v>652</v>
      </c>
      <c r="AC189">
        <v>0</v>
      </c>
      <c r="AD189">
        <v>3061118777</v>
      </c>
      <c r="AE189">
        <v>25125773.199999999</v>
      </c>
      <c r="AF189">
        <v>2996610327</v>
      </c>
      <c r="AG189">
        <v>3025721285.8200002</v>
      </c>
      <c r="AH189">
        <v>0.14391599999999999</v>
      </c>
      <c r="AI189">
        <v>3.9531999999999998E-2</v>
      </c>
    </row>
    <row r="190" spans="1:35" x14ac:dyDescent="0.35">
      <c r="A190" t="s">
        <v>0</v>
      </c>
      <c r="B190">
        <v>3750</v>
      </c>
      <c r="C190">
        <v>320</v>
      </c>
      <c r="D190">
        <v>11</v>
      </c>
      <c r="E190">
        <v>0</v>
      </c>
      <c r="F190">
        <v>45533998</v>
      </c>
      <c r="G190">
        <v>428491.57</v>
      </c>
      <c r="H190">
        <v>44929351.57</v>
      </c>
      <c r="I190">
        <v>44980161.310000002</v>
      </c>
      <c r="J190">
        <v>4.5449000000000003E-2</v>
      </c>
      <c r="K190">
        <v>3.2537999999999997E-2</v>
      </c>
      <c r="M190" t="s">
        <v>1</v>
      </c>
      <c r="N190">
        <v>5250</v>
      </c>
      <c r="O190">
        <v>320</v>
      </c>
      <c r="P190">
        <v>646</v>
      </c>
      <c r="Q190">
        <v>0</v>
      </c>
      <c r="R190">
        <v>3072603950</v>
      </c>
      <c r="S190">
        <v>24748112.93</v>
      </c>
      <c r="T190">
        <v>3013087291.6399999</v>
      </c>
      <c r="U190">
        <v>3027167988.1199999</v>
      </c>
      <c r="V190">
        <v>0.12764800000000001</v>
      </c>
      <c r="W190">
        <v>7.7869999999999995E-2</v>
      </c>
      <c r="Y190" t="s">
        <v>0</v>
      </c>
      <c r="Z190">
        <v>6250</v>
      </c>
      <c r="AA190">
        <v>240</v>
      </c>
      <c r="AB190">
        <v>3888</v>
      </c>
      <c r="AC190">
        <v>0</v>
      </c>
      <c r="AD190">
        <v>21949992676</v>
      </c>
      <c r="AE190">
        <v>118057777.26000001</v>
      </c>
      <c r="AF190">
        <v>21611245724</v>
      </c>
      <c r="AG190">
        <v>21747668450.919998</v>
      </c>
      <c r="AH190">
        <v>0.11419700000000001</v>
      </c>
      <c r="AI190">
        <v>4.5108000000000002E-2</v>
      </c>
    </row>
    <row r="191" spans="1:35" x14ac:dyDescent="0.35">
      <c r="A191" t="s">
        <v>1</v>
      </c>
      <c r="B191">
        <v>5000</v>
      </c>
      <c r="C191">
        <v>240</v>
      </c>
      <c r="D191">
        <v>31</v>
      </c>
      <c r="E191">
        <v>0</v>
      </c>
      <c r="F191">
        <v>236956522</v>
      </c>
      <c r="G191">
        <v>1421706.29</v>
      </c>
      <c r="H191">
        <v>235049061.94999999</v>
      </c>
      <c r="I191">
        <v>235534471.19999999</v>
      </c>
      <c r="J191">
        <v>2.4323999999999998E-2</v>
      </c>
      <c r="K191">
        <v>1.7E-5</v>
      </c>
      <c r="M191" t="s">
        <v>0</v>
      </c>
      <c r="N191">
        <v>6250</v>
      </c>
      <c r="O191">
        <v>240</v>
      </c>
      <c r="P191">
        <v>4179</v>
      </c>
      <c r="Q191">
        <v>0</v>
      </c>
      <c r="R191">
        <v>23183362952</v>
      </c>
      <c r="S191">
        <v>124733771.33</v>
      </c>
      <c r="T191">
        <v>22930273204.849998</v>
      </c>
      <c r="U191">
        <v>23037622510.849998</v>
      </c>
      <c r="V191">
        <v>6.4451999999999995E-2</v>
      </c>
      <c r="W191">
        <v>1.0819E-2</v>
      </c>
      <c r="Y191" t="s">
        <v>0</v>
      </c>
      <c r="Z191">
        <v>3750</v>
      </c>
      <c r="AA191">
        <v>320</v>
      </c>
      <c r="AB191">
        <v>11</v>
      </c>
      <c r="AC191">
        <v>0</v>
      </c>
      <c r="AD191">
        <v>46115676</v>
      </c>
      <c r="AE191">
        <v>428722.49</v>
      </c>
      <c r="AF191">
        <v>45533998</v>
      </c>
      <c r="AG191">
        <v>45533998</v>
      </c>
      <c r="AH191">
        <v>3.9083E-2</v>
      </c>
      <c r="AI191">
        <v>3.9083E-2</v>
      </c>
    </row>
    <row r="192" spans="1:35" x14ac:dyDescent="0.35">
      <c r="A192" t="s">
        <v>0</v>
      </c>
      <c r="B192">
        <v>4000</v>
      </c>
      <c r="C192">
        <v>144</v>
      </c>
      <c r="D192">
        <v>82560</v>
      </c>
      <c r="E192">
        <v>0</v>
      </c>
      <c r="F192">
        <v>958381351824</v>
      </c>
      <c r="G192">
        <v>2771834113.2399998</v>
      </c>
      <c r="H192">
        <v>950808649905.5</v>
      </c>
      <c r="I192">
        <v>955149925008.57996</v>
      </c>
      <c r="J192">
        <v>5.8483E-2</v>
      </c>
      <c r="K192">
        <v>5.7390000000000002E-3</v>
      </c>
      <c r="M192" t="s">
        <v>0</v>
      </c>
      <c r="N192">
        <v>3750</v>
      </c>
      <c r="O192">
        <v>320</v>
      </c>
      <c r="P192">
        <v>10</v>
      </c>
      <c r="Q192">
        <v>0</v>
      </c>
      <c r="R192">
        <v>38958344</v>
      </c>
      <c r="S192">
        <v>371770.12</v>
      </c>
      <c r="T192">
        <v>38398691.240000002</v>
      </c>
      <c r="U192">
        <v>38475894.75</v>
      </c>
      <c r="V192">
        <v>5.6361000000000001E-2</v>
      </c>
      <c r="W192">
        <v>3.3563999999999997E-2</v>
      </c>
      <c r="Y192" t="s">
        <v>1</v>
      </c>
      <c r="Z192">
        <v>5000</v>
      </c>
      <c r="AA192">
        <v>240</v>
      </c>
      <c r="AB192">
        <v>33</v>
      </c>
      <c r="AC192">
        <v>0</v>
      </c>
      <c r="AD192">
        <v>238958083</v>
      </c>
      <c r="AE192">
        <v>1440968.39</v>
      </c>
      <c r="AF192">
        <v>237179077</v>
      </c>
      <c r="AG192">
        <v>237179077</v>
      </c>
      <c r="AH192">
        <v>1.6844000000000001E-2</v>
      </c>
      <c r="AI192">
        <v>1.6844000000000001E-2</v>
      </c>
    </row>
    <row r="193" spans="1:35" x14ac:dyDescent="0.35">
      <c r="A193" t="s">
        <v>1</v>
      </c>
      <c r="B193">
        <v>4000</v>
      </c>
      <c r="C193">
        <v>144</v>
      </c>
      <c r="D193">
        <v>26364</v>
      </c>
      <c r="E193">
        <v>0</v>
      </c>
      <c r="F193">
        <v>363634893629</v>
      </c>
      <c r="G193">
        <v>1071486102.84</v>
      </c>
      <c r="H193">
        <v>360450005573.16998</v>
      </c>
      <c r="I193">
        <v>362374362567.83002</v>
      </c>
      <c r="J193">
        <v>6.7556000000000005E-2</v>
      </c>
      <c r="K193">
        <v>6.221E-3</v>
      </c>
      <c r="M193" t="s">
        <v>0</v>
      </c>
      <c r="N193">
        <v>4000</v>
      </c>
      <c r="O193">
        <v>144</v>
      </c>
      <c r="P193">
        <v>72610</v>
      </c>
      <c r="Q193">
        <v>0</v>
      </c>
      <c r="R193">
        <v>823962768988</v>
      </c>
      <c r="S193">
        <v>2377522108.1999998</v>
      </c>
      <c r="T193">
        <v>817333340087.70996</v>
      </c>
      <c r="U193">
        <v>821210600378.62</v>
      </c>
      <c r="V193">
        <v>6.0196E-2</v>
      </c>
      <c r="W193">
        <v>5.4429999999999999E-3</v>
      </c>
      <c r="Y193" t="s">
        <v>0</v>
      </c>
      <c r="Z193">
        <v>4000</v>
      </c>
      <c r="AA193">
        <v>144</v>
      </c>
      <c r="AB193">
        <v>79922</v>
      </c>
      <c r="AC193">
        <v>0</v>
      </c>
      <c r="AD193">
        <v>922456450857</v>
      </c>
      <c r="AE193">
        <v>2663836726.25</v>
      </c>
      <c r="AF193">
        <v>915640913542</v>
      </c>
      <c r="AG193">
        <v>918922035872.30005</v>
      </c>
      <c r="AH193">
        <v>5.2691000000000002E-2</v>
      </c>
      <c r="AI193">
        <v>1.1266999999999999E-2</v>
      </c>
    </row>
    <row r="194" spans="1:35" x14ac:dyDescent="0.35">
      <c r="A194" t="s">
        <v>1</v>
      </c>
      <c r="B194">
        <v>4500</v>
      </c>
      <c r="C194">
        <v>144</v>
      </c>
      <c r="D194">
        <v>6309</v>
      </c>
      <c r="E194">
        <v>0</v>
      </c>
      <c r="F194">
        <v>67398327894</v>
      </c>
      <c r="G194">
        <v>191389271.50999999</v>
      </c>
      <c r="H194">
        <v>66720054166.940002</v>
      </c>
      <c r="I194">
        <v>67132988657.220001</v>
      </c>
      <c r="J194">
        <v>8.3324999999999996E-2</v>
      </c>
      <c r="K194">
        <v>1.3087E-2</v>
      </c>
      <c r="M194" t="s">
        <v>1</v>
      </c>
      <c r="N194">
        <v>4000</v>
      </c>
      <c r="O194">
        <v>144</v>
      </c>
      <c r="P194">
        <v>24124</v>
      </c>
      <c r="Q194">
        <v>0</v>
      </c>
      <c r="R194">
        <v>335598394684</v>
      </c>
      <c r="S194">
        <v>985708180.27999997</v>
      </c>
      <c r="T194">
        <v>332723353861.39001</v>
      </c>
      <c r="U194">
        <v>334456181036.51001</v>
      </c>
      <c r="V194">
        <v>6.5504000000000007E-2</v>
      </c>
      <c r="W194">
        <v>5.5820000000000002E-3</v>
      </c>
      <c r="Y194" t="s">
        <v>1</v>
      </c>
      <c r="Z194">
        <v>4000</v>
      </c>
      <c r="AA194">
        <v>144</v>
      </c>
      <c r="AB194">
        <v>26236</v>
      </c>
      <c r="AC194">
        <v>0</v>
      </c>
      <c r="AD194">
        <v>362838813204</v>
      </c>
      <c r="AE194">
        <v>1067587312.45</v>
      </c>
      <c r="AF194">
        <v>359618729615</v>
      </c>
      <c r="AG194">
        <v>361213393764.60999</v>
      </c>
      <c r="AH194">
        <v>6.8911E-2</v>
      </c>
      <c r="AI194">
        <v>1.8294000000000001E-2</v>
      </c>
    </row>
    <row r="195" spans="1:35" x14ac:dyDescent="0.35">
      <c r="A195" t="s">
        <v>0</v>
      </c>
      <c r="B195">
        <v>5750</v>
      </c>
      <c r="C195">
        <v>240</v>
      </c>
      <c r="D195">
        <v>1086</v>
      </c>
      <c r="E195">
        <v>0</v>
      </c>
      <c r="F195">
        <v>6210764809</v>
      </c>
      <c r="G195">
        <v>34960055.57</v>
      </c>
      <c r="H195">
        <v>6145541240.9300003</v>
      </c>
      <c r="I195">
        <v>6172235494.1700001</v>
      </c>
      <c r="J195">
        <v>5.6931000000000002E-2</v>
      </c>
      <c r="K195">
        <v>6.875E-3</v>
      </c>
      <c r="M195" t="s">
        <v>1</v>
      </c>
      <c r="N195">
        <v>4500</v>
      </c>
      <c r="O195">
        <v>144</v>
      </c>
      <c r="P195">
        <v>7132</v>
      </c>
      <c r="Q195">
        <v>0</v>
      </c>
      <c r="R195">
        <v>77243037128</v>
      </c>
      <c r="S195">
        <v>221058779.24000001</v>
      </c>
      <c r="T195">
        <v>76471945175.190002</v>
      </c>
      <c r="U195">
        <v>76944963563.690002</v>
      </c>
      <c r="V195">
        <v>8.2181000000000004E-2</v>
      </c>
      <c r="W195">
        <v>1.1899E-2</v>
      </c>
      <c r="Y195" t="s">
        <v>1</v>
      </c>
      <c r="Z195">
        <v>4500</v>
      </c>
      <c r="AA195">
        <v>144</v>
      </c>
      <c r="AB195">
        <v>6476</v>
      </c>
      <c r="AC195">
        <v>0</v>
      </c>
      <c r="AD195">
        <v>69008849876</v>
      </c>
      <c r="AE195">
        <v>195886948.87</v>
      </c>
      <c r="AF195">
        <v>68337464029</v>
      </c>
      <c r="AG195">
        <v>68695743623.93</v>
      </c>
      <c r="AH195">
        <v>7.9621999999999998E-2</v>
      </c>
      <c r="AI195">
        <v>2.0194E-2</v>
      </c>
    </row>
    <row r="196" spans="1:35" x14ac:dyDescent="0.35">
      <c r="A196" t="s">
        <v>3</v>
      </c>
      <c r="B196">
        <v>6500</v>
      </c>
      <c r="C196">
        <v>320</v>
      </c>
      <c r="D196">
        <v>21</v>
      </c>
      <c r="E196">
        <v>0</v>
      </c>
      <c r="F196">
        <v>103754445</v>
      </c>
      <c r="G196">
        <v>722065.46</v>
      </c>
      <c r="H196">
        <v>102802712.15000001</v>
      </c>
      <c r="I196">
        <v>102829119.7</v>
      </c>
      <c r="J196">
        <v>2.6242000000000001E-2</v>
      </c>
      <c r="K196">
        <v>2.3257E-2</v>
      </c>
      <c r="M196" t="s">
        <v>0</v>
      </c>
      <c r="N196">
        <v>5750</v>
      </c>
      <c r="O196">
        <v>240</v>
      </c>
      <c r="P196">
        <v>1629</v>
      </c>
      <c r="Q196">
        <v>0</v>
      </c>
      <c r="R196">
        <v>9129360006</v>
      </c>
      <c r="S196">
        <v>52558138.609999999</v>
      </c>
      <c r="T196">
        <v>9036733217.8500004</v>
      </c>
      <c r="U196">
        <v>9072669822.8700008</v>
      </c>
      <c r="V196">
        <v>5.1415000000000002E-2</v>
      </c>
      <c r="W196">
        <v>5.4180000000000001E-3</v>
      </c>
      <c r="Y196" t="s">
        <v>0</v>
      </c>
      <c r="Z196">
        <v>5750</v>
      </c>
      <c r="AA196">
        <v>240</v>
      </c>
      <c r="AB196">
        <v>1155</v>
      </c>
      <c r="AC196">
        <v>0</v>
      </c>
      <c r="AD196">
        <v>6568303140</v>
      </c>
      <c r="AE196">
        <v>37139321.880000003</v>
      </c>
      <c r="AF196">
        <v>6490718948</v>
      </c>
      <c r="AG196">
        <v>6518624848.5299997</v>
      </c>
      <c r="AH196">
        <v>7.1439000000000002E-2</v>
      </c>
      <c r="AI196">
        <v>2.2669000000000002E-2</v>
      </c>
    </row>
    <row r="197" spans="1:35" x14ac:dyDescent="0.35">
      <c r="A197" t="s">
        <v>0</v>
      </c>
      <c r="B197">
        <v>8000</v>
      </c>
      <c r="C197">
        <v>216</v>
      </c>
      <c r="D197">
        <v>19</v>
      </c>
      <c r="E197">
        <v>0</v>
      </c>
      <c r="F197">
        <v>102344035</v>
      </c>
      <c r="G197">
        <v>396573.2</v>
      </c>
      <c r="H197">
        <v>101565857.79000001</v>
      </c>
      <c r="I197">
        <v>101947105.18000001</v>
      </c>
      <c r="J197">
        <v>4.3837000000000001E-2</v>
      </c>
      <c r="K197">
        <v>4.1999999999999998E-5</v>
      </c>
      <c r="M197" t="s">
        <v>3</v>
      </c>
      <c r="N197">
        <v>6500</v>
      </c>
      <c r="O197">
        <v>320</v>
      </c>
      <c r="P197">
        <v>19</v>
      </c>
      <c r="Q197">
        <v>0</v>
      </c>
      <c r="R197">
        <v>83898719</v>
      </c>
      <c r="S197">
        <v>588126.31000000006</v>
      </c>
      <c r="T197">
        <v>83046155.109999999</v>
      </c>
      <c r="U197">
        <v>83108589.680000007</v>
      </c>
      <c r="V197">
        <v>3.7173999999999999E-2</v>
      </c>
      <c r="W197">
        <v>2.8513E-2</v>
      </c>
      <c r="Y197" t="s">
        <v>3</v>
      </c>
      <c r="Z197">
        <v>6500</v>
      </c>
      <c r="AA197">
        <v>320</v>
      </c>
      <c r="AB197">
        <v>18</v>
      </c>
      <c r="AC197">
        <v>0</v>
      </c>
      <c r="AD197">
        <v>76657472</v>
      </c>
      <c r="AE197">
        <v>551957.53</v>
      </c>
      <c r="AF197">
        <v>76085019</v>
      </c>
      <c r="AG197">
        <v>76085019</v>
      </c>
      <c r="AH197">
        <v>3.2039999999999998E-3</v>
      </c>
      <c r="AI197">
        <v>3.2039999999999998E-3</v>
      </c>
    </row>
    <row r="198" spans="1:35" x14ac:dyDescent="0.35">
      <c r="A198" t="s">
        <v>2</v>
      </c>
      <c r="B198">
        <v>3500</v>
      </c>
      <c r="C198">
        <v>144</v>
      </c>
      <c r="D198">
        <v>4705</v>
      </c>
      <c r="E198">
        <v>0</v>
      </c>
      <c r="F198">
        <v>48623914115</v>
      </c>
      <c r="G198">
        <v>147612371.55000001</v>
      </c>
      <c r="H198">
        <v>48264543319.040001</v>
      </c>
      <c r="I198">
        <v>48467357868.970001</v>
      </c>
      <c r="J198">
        <v>5.1027000000000003E-2</v>
      </c>
      <c r="K198">
        <v>2.2049999999999999E-3</v>
      </c>
      <c r="M198" t="s">
        <v>0</v>
      </c>
      <c r="N198">
        <v>8000</v>
      </c>
      <c r="O198">
        <v>216</v>
      </c>
      <c r="P198">
        <v>27</v>
      </c>
      <c r="Q198">
        <v>0</v>
      </c>
      <c r="R198">
        <v>135272006</v>
      </c>
      <c r="S198">
        <v>516299.62</v>
      </c>
      <c r="T198">
        <v>134197098.12</v>
      </c>
      <c r="U198">
        <v>134734770.41999999</v>
      </c>
      <c r="V198">
        <v>4.8444000000000001E-2</v>
      </c>
      <c r="W198">
        <v>1.856E-3</v>
      </c>
      <c r="Y198" t="s">
        <v>0</v>
      </c>
      <c r="Z198">
        <v>8000</v>
      </c>
      <c r="AA198">
        <v>216</v>
      </c>
      <c r="AB198">
        <v>23</v>
      </c>
      <c r="AC198">
        <v>0</v>
      </c>
      <c r="AD198">
        <v>117389271</v>
      </c>
      <c r="AE198">
        <v>453848.64</v>
      </c>
      <c r="AF198">
        <v>113661439</v>
      </c>
      <c r="AG198">
        <v>113661439</v>
      </c>
      <c r="AH198">
        <v>0.28782799999999997</v>
      </c>
      <c r="AI198">
        <v>0.28782799999999997</v>
      </c>
    </row>
    <row r="199" spans="1:35" x14ac:dyDescent="0.35">
      <c r="A199" t="s">
        <v>0</v>
      </c>
      <c r="B199">
        <v>3500</v>
      </c>
      <c r="C199">
        <v>144</v>
      </c>
      <c r="D199">
        <v>21236</v>
      </c>
      <c r="E199">
        <v>0</v>
      </c>
      <c r="F199">
        <v>267583765524</v>
      </c>
      <c r="G199">
        <v>810079966.86000001</v>
      </c>
      <c r="H199">
        <v>265502089123.92999</v>
      </c>
      <c r="I199">
        <v>266670400345.23999</v>
      </c>
      <c r="J199">
        <v>5.5558999999999997E-2</v>
      </c>
      <c r="K199">
        <v>4.6220000000000002E-3</v>
      </c>
      <c r="M199" t="s">
        <v>2</v>
      </c>
      <c r="N199">
        <v>3500</v>
      </c>
      <c r="O199">
        <v>144</v>
      </c>
      <c r="P199">
        <v>4208</v>
      </c>
      <c r="Q199">
        <v>0</v>
      </c>
      <c r="R199">
        <v>43681014391</v>
      </c>
      <c r="S199">
        <v>131442275.05</v>
      </c>
      <c r="T199">
        <v>43349327311.080002</v>
      </c>
      <c r="U199">
        <v>43544893628.370003</v>
      </c>
      <c r="V199">
        <v>5.3644999999999998E-2</v>
      </c>
      <c r="W199">
        <v>1.2849999999999999E-3</v>
      </c>
      <c r="Y199" t="s">
        <v>2</v>
      </c>
      <c r="Z199">
        <v>3500</v>
      </c>
      <c r="AA199">
        <v>144</v>
      </c>
      <c r="AB199">
        <v>4479</v>
      </c>
      <c r="AC199">
        <v>0</v>
      </c>
      <c r="AD199">
        <v>46312459495</v>
      </c>
      <c r="AE199">
        <v>140175530.31999999</v>
      </c>
      <c r="AF199">
        <v>45931904931</v>
      </c>
      <c r="AG199">
        <v>46105535631.059998</v>
      </c>
      <c r="AH199">
        <v>6.0537000000000001E-2</v>
      </c>
      <c r="AI199">
        <v>1.7159000000000001E-2</v>
      </c>
    </row>
    <row r="200" spans="1:35" x14ac:dyDescent="0.35">
      <c r="A200" t="s">
        <v>2</v>
      </c>
      <c r="B200">
        <v>4000</v>
      </c>
      <c r="C200">
        <v>144</v>
      </c>
      <c r="D200">
        <v>17103</v>
      </c>
      <c r="E200">
        <v>0</v>
      </c>
      <c r="F200">
        <v>165429254887</v>
      </c>
      <c r="G200">
        <v>485043971.70999998</v>
      </c>
      <c r="H200">
        <v>164073960054.48999</v>
      </c>
      <c r="I200">
        <v>164886149913.64001</v>
      </c>
      <c r="J200">
        <v>6.1331999999999998E-2</v>
      </c>
      <c r="K200">
        <v>4.2040000000000003E-3</v>
      </c>
      <c r="M200" t="s">
        <v>0</v>
      </c>
      <c r="N200">
        <v>3500</v>
      </c>
      <c r="O200">
        <v>144</v>
      </c>
      <c r="P200">
        <v>20062</v>
      </c>
      <c r="Q200">
        <v>0</v>
      </c>
      <c r="R200">
        <v>250087667560</v>
      </c>
      <c r="S200">
        <v>752036171.86000001</v>
      </c>
      <c r="T200">
        <v>248139166827.79999</v>
      </c>
      <c r="U200">
        <v>249259642135.04999</v>
      </c>
      <c r="V200">
        <v>5.5923E-2</v>
      </c>
      <c r="W200">
        <v>3.64E-3</v>
      </c>
      <c r="Y200" t="s">
        <v>0</v>
      </c>
      <c r="Z200">
        <v>3500</v>
      </c>
      <c r="AA200">
        <v>144</v>
      </c>
      <c r="AB200">
        <v>20357</v>
      </c>
      <c r="AC200">
        <v>0</v>
      </c>
      <c r="AD200">
        <v>256211309501</v>
      </c>
      <c r="AE200">
        <v>773112717.88</v>
      </c>
      <c r="AF200">
        <v>254347661289</v>
      </c>
      <c r="AG200">
        <v>255252609695.82999</v>
      </c>
      <c r="AH200">
        <v>4.9897999999999998E-2</v>
      </c>
      <c r="AI200">
        <v>8.6580000000000008E-3</v>
      </c>
    </row>
    <row r="201" spans="1:35" x14ac:dyDescent="0.35">
      <c r="A201" t="s">
        <v>2</v>
      </c>
      <c r="B201">
        <v>5000</v>
      </c>
      <c r="C201">
        <v>168</v>
      </c>
      <c r="D201">
        <v>573</v>
      </c>
      <c r="E201">
        <v>0</v>
      </c>
      <c r="F201">
        <v>4199964900</v>
      </c>
      <c r="G201">
        <v>12387081.01</v>
      </c>
      <c r="H201">
        <v>4167235818.0599999</v>
      </c>
      <c r="I201">
        <v>4185804658.8699999</v>
      </c>
      <c r="J201">
        <v>5.6597000000000001E-2</v>
      </c>
      <c r="K201">
        <v>5.0540000000000003E-3</v>
      </c>
      <c r="M201" t="s">
        <v>1</v>
      </c>
      <c r="N201">
        <v>3500</v>
      </c>
      <c r="O201">
        <v>144</v>
      </c>
      <c r="P201">
        <v>13130</v>
      </c>
      <c r="Q201">
        <v>0</v>
      </c>
      <c r="R201">
        <v>219098482002</v>
      </c>
      <c r="S201">
        <v>659372103.90999997</v>
      </c>
      <c r="T201">
        <v>217260853805.26999</v>
      </c>
      <c r="U201">
        <v>218388723482.64001</v>
      </c>
      <c r="V201">
        <v>6.2658000000000005E-2</v>
      </c>
      <c r="W201">
        <v>2.7560000000000002E-3</v>
      </c>
      <c r="Y201" t="s">
        <v>1</v>
      </c>
      <c r="Z201">
        <v>3500</v>
      </c>
      <c r="AA201">
        <v>144</v>
      </c>
      <c r="AB201">
        <v>14175</v>
      </c>
      <c r="AC201">
        <v>0</v>
      </c>
      <c r="AD201">
        <v>236635770812</v>
      </c>
      <c r="AE201">
        <v>716908177.90999997</v>
      </c>
      <c r="AF201">
        <v>234704772361</v>
      </c>
      <c r="AG201">
        <v>235593242569.57001</v>
      </c>
      <c r="AH201">
        <v>5.9859999999999997E-2</v>
      </c>
      <c r="AI201">
        <v>1.6388E-2</v>
      </c>
    </row>
    <row r="202" spans="1:35" x14ac:dyDescent="0.35">
      <c r="A202" t="s">
        <v>0</v>
      </c>
      <c r="B202">
        <v>5000</v>
      </c>
      <c r="C202">
        <v>144</v>
      </c>
      <c r="D202">
        <v>9029</v>
      </c>
      <c r="E202">
        <v>0</v>
      </c>
      <c r="F202">
        <v>75522582127</v>
      </c>
      <c r="G202">
        <v>201358872.63999999</v>
      </c>
      <c r="H202">
        <v>74855423660.289993</v>
      </c>
      <c r="I202">
        <v>75255250578.039993</v>
      </c>
      <c r="J202">
        <v>7.1552000000000004E-2</v>
      </c>
      <c r="K202">
        <v>1.0432E-2</v>
      </c>
      <c r="M202" t="s">
        <v>2</v>
      </c>
      <c r="N202">
        <v>4000</v>
      </c>
      <c r="O202">
        <v>144</v>
      </c>
      <c r="P202">
        <v>15171</v>
      </c>
      <c r="Q202">
        <v>0</v>
      </c>
      <c r="R202">
        <v>146481554712</v>
      </c>
      <c r="S202">
        <v>428335165.93000001</v>
      </c>
      <c r="T202">
        <v>145274511678.42001</v>
      </c>
      <c r="U202">
        <v>146007669090.79999</v>
      </c>
      <c r="V202">
        <v>6.1960000000000001E-2</v>
      </c>
      <c r="W202">
        <v>3.725E-3</v>
      </c>
      <c r="Y202" t="s">
        <v>2</v>
      </c>
      <c r="Z202">
        <v>4000</v>
      </c>
      <c r="AA202">
        <v>144</v>
      </c>
      <c r="AB202">
        <v>16689</v>
      </c>
      <c r="AC202">
        <v>0</v>
      </c>
      <c r="AD202">
        <v>161586713416</v>
      </c>
      <c r="AE202">
        <v>473074513.33999997</v>
      </c>
      <c r="AF202">
        <v>160517017084</v>
      </c>
      <c r="AG202">
        <v>160988549807.70999</v>
      </c>
      <c r="AH202">
        <v>4.3417999999999998E-2</v>
      </c>
      <c r="AI202">
        <v>9.2499999999999995E-3</v>
      </c>
    </row>
    <row r="203" spans="1:35" x14ac:dyDescent="0.35">
      <c r="A203" t="s">
        <v>1</v>
      </c>
      <c r="B203">
        <v>3500</v>
      </c>
      <c r="C203">
        <v>144</v>
      </c>
      <c r="D203">
        <v>14846</v>
      </c>
      <c r="E203">
        <v>0</v>
      </c>
      <c r="F203">
        <v>247542168031</v>
      </c>
      <c r="G203">
        <v>752470911.98000002</v>
      </c>
      <c r="H203">
        <v>245465648612.70999</v>
      </c>
      <c r="I203">
        <v>246736918543.01001</v>
      </c>
      <c r="J203">
        <v>6.2330000000000003E-2</v>
      </c>
      <c r="K203">
        <v>2.5560000000000001E-3</v>
      </c>
      <c r="M203" t="s">
        <v>0</v>
      </c>
      <c r="N203">
        <v>5000</v>
      </c>
      <c r="O203">
        <v>144</v>
      </c>
      <c r="P203">
        <v>10190</v>
      </c>
      <c r="Q203">
        <v>0</v>
      </c>
      <c r="R203">
        <v>84111941309</v>
      </c>
      <c r="S203">
        <v>227264231.18000001</v>
      </c>
      <c r="T203">
        <v>83366923541.979996</v>
      </c>
      <c r="U203">
        <v>83826296683.070007</v>
      </c>
      <c r="V203">
        <v>7.1415999999999993E-2</v>
      </c>
      <c r="W203">
        <v>8.2970000000000006E-3</v>
      </c>
      <c r="Y203" t="s">
        <v>0</v>
      </c>
      <c r="Z203">
        <v>5000</v>
      </c>
      <c r="AA203">
        <v>144</v>
      </c>
      <c r="AB203">
        <v>9353</v>
      </c>
      <c r="AC203">
        <v>0</v>
      </c>
      <c r="AD203">
        <v>77827119546</v>
      </c>
      <c r="AE203">
        <v>208037477.81</v>
      </c>
      <c r="AF203">
        <v>77260750229</v>
      </c>
      <c r="AG203">
        <v>77504489476.899994</v>
      </c>
      <c r="AH203">
        <v>5.3872999999999997E-2</v>
      </c>
      <c r="AI203">
        <v>1.7526E-2</v>
      </c>
    </row>
    <row r="204" spans="1:35" x14ac:dyDescent="0.35">
      <c r="A204" t="s">
        <v>2</v>
      </c>
      <c r="B204">
        <v>5000</v>
      </c>
      <c r="C204">
        <v>144</v>
      </c>
      <c r="D204">
        <v>268</v>
      </c>
      <c r="E204">
        <v>0</v>
      </c>
      <c r="F204">
        <v>1891300211</v>
      </c>
      <c r="G204">
        <v>5307241.75</v>
      </c>
      <c r="H204">
        <v>1877346729.25</v>
      </c>
      <c r="I204">
        <v>1885664388.99</v>
      </c>
      <c r="J204">
        <v>5.3499999999999999E-2</v>
      </c>
      <c r="K204">
        <v>2.0830000000000002E-3</v>
      </c>
      <c r="M204" t="s">
        <v>2</v>
      </c>
      <c r="N204">
        <v>5000</v>
      </c>
      <c r="O204">
        <v>144</v>
      </c>
      <c r="P204">
        <v>667</v>
      </c>
      <c r="Q204">
        <v>0</v>
      </c>
      <c r="R204">
        <v>4791266811</v>
      </c>
      <c r="S204">
        <v>13634044.83</v>
      </c>
      <c r="T204">
        <v>4751341835.7799997</v>
      </c>
      <c r="U204">
        <v>4776047581.2299995</v>
      </c>
      <c r="V204">
        <v>6.3895999999999994E-2</v>
      </c>
      <c r="W204">
        <v>3.9630000000000004E-3</v>
      </c>
      <c r="Y204" t="s">
        <v>2</v>
      </c>
      <c r="Z204">
        <v>5000</v>
      </c>
      <c r="AA204">
        <v>168</v>
      </c>
      <c r="AB204">
        <v>464</v>
      </c>
      <c r="AC204">
        <v>0</v>
      </c>
      <c r="AD204">
        <v>3456486399</v>
      </c>
      <c r="AE204">
        <v>10170443.140000001</v>
      </c>
      <c r="AF204">
        <v>3439621657</v>
      </c>
      <c r="AG204">
        <v>3443865454.04</v>
      </c>
      <c r="AH204">
        <v>2.2995000000000002E-2</v>
      </c>
      <c r="AI204">
        <v>8.4740000000000006E-3</v>
      </c>
    </row>
    <row r="205" spans="1:35" x14ac:dyDescent="0.35">
      <c r="A205" t="s">
        <v>1</v>
      </c>
      <c r="B205">
        <v>5000</v>
      </c>
      <c r="C205">
        <v>144</v>
      </c>
      <c r="D205">
        <v>523</v>
      </c>
      <c r="E205">
        <v>0</v>
      </c>
      <c r="F205">
        <v>4552309827</v>
      </c>
      <c r="G205">
        <v>12420621.48</v>
      </c>
      <c r="H205">
        <v>4505559388.1300001</v>
      </c>
      <c r="I205">
        <v>4535975493.8800001</v>
      </c>
      <c r="J205">
        <v>8.6833999999999995E-2</v>
      </c>
      <c r="K205">
        <v>1.0267999999999999E-2</v>
      </c>
      <c r="M205" t="s">
        <v>1</v>
      </c>
      <c r="N205">
        <v>5000</v>
      </c>
      <c r="O205">
        <v>144</v>
      </c>
      <c r="P205">
        <v>706</v>
      </c>
      <c r="Q205">
        <v>0</v>
      </c>
      <c r="R205">
        <v>6428544165</v>
      </c>
      <c r="S205">
        <v>17784534.030000001</v>
      </c>
      <c r="T205">
        <v>6355516287.6800003</v>
      </c>
      <c r="U205">
        <v>6405428180.5600004</v>
      </c>
      <c r="V205">
        <v>9.8383999999999999E-2</v>
      </c>
      <c r="W205">
        <v>9.9069999999999991E-3</v>
      </c>
      <c r="Y205" t="s">
        <v>2</v>
      </c>
      <c r="Z205">
        <v>5000</v>
      </c>
      <c r="AA205">
        <v>144</v>
      </c>
      <c r="AB205">
        <v>385</v>
      </c>
      <c r="AC205">
        <v>0</v>
      </c>
      <c r="AD205">
        <v>2695906778</v>
      </c>
      <c r="AE205">
        <v>7590035.9299999997</v>
      </c>
      <c r="AF205">
        <v>2675276225</v>
      </c>
      <c r="AG205">
        <v>2680234509.9299998</v>
      </c>
      <c r="AH205">
        <v>5.6526E-2</v>
      </c>
      <c r="AI205">
        <v>3.5388000000000003E-2</v>
      </c>
    </row>
    <row r="206" spans="1:35" x14ac:dyDescent="0.35">
      <c r="A206" t="s">
        <v>1</v>
      </c>
      <c r="B206">
        <v>5500</v>
      </c>
      <c r="C206">
        <v>168</v>
      </c>
      <c r="D206">
        <v>18</v>
      </c>
      <c r="E206">
        <v>0</v>
      </c>
      <c r="F206">
        <v>186795889</v>
      </c>
      <c r="G206">
        <v>553897.93999999994</v>
      </c>
      <c r="H206">
        <v>184362477.77000001</v>
      </c>
      <c r="I206">
        <v>186241119.38</v>
      </c>
      <c r="J206">
        <v>0.11427900000000001</v>
      </c>
      <c r="K206">
        <v>5.5999999999999999E-5</v>
      </c>
      <c r="M206" t="s">
        <v>1</v>
      </c>
      <c r="N206">
        <v>5500</v>
      </c>
      <c r="O206">
        <v>144</v>
      </c>
      <c r="P206">
        <v>18</v>
      </c>
      <c r="Q206">
        <v>0</v>
      </c>
      <c r="R206">
        <v>170705542</v>
      </c>
      <c r="S206">
        <v>442369.63</v>
      </c>
      <c r="T206">
        <v>168266017.38</v>
      </c>
      <c r="U206">
        <v>169669145.44999999</v>
      </c>
      <c r="V206">
        <v>0.13170200000000001</v>
      </c>
      <c r="W206">
        <v>4.0967999999999997E-2</v>
      </c>
      <c r="Y206" t="s">
        <v>1</v>
      </c>
      <c r="Z206">
        <v>5000</v>
      </c>
      <c r="AA206">
        <v>144</v>
      </c>
      <c r="AB206">
        <v>562</v>
      </c>
      <c r="AC206">
        <v>0</v>
      </c>
      <c r="AD206">
        <v>4862329347</v>
      </c>
      <c r="AE206">
        <v>13251431.75</v>
      </c>
      <c r="AF206">
        <v>4827081843</v>
      </c>
      <c r="AG206">
        <v>4846589307.6300001</v>
      </c>
      <c r="AH206">
        <v>5.2955000000000002E-2</v>
      </c>
      <c r="AI206">
        <v>6.1250000000000002E-3</v>
      </c>
    </row>
    <row r="207" spans="1:35" x14ac:dyDescent="0.35">
      <c r="A207" t="s">
        <v>0</v>
      </c>
      <c r="B207">
        <v>5500</v>
      </c>
      <c r="C207">
        <v>168</v>
      </c>
      <c r="D207">
        <v>490</v>
      </c>
      <c r="E207">
        <v>0</v>
      </c>
      <c r="F207">
        <v>3173307477</v>
      </c>
      <c r="G207">
        <v>9141389.6300000008</v>
      </c>
      <c r="H207">
        <v>3144223437.5700002</v>
      </c>
      <c r="I207">
        <v>3162580423.5999999</v>
      </c>
      <c r="J207">
        <v>7.2860999999999995E-2</v>
      </c>
      <c r="K207">
        <v>5.9800000000000001E-3</v>
      </c>
      <c r="M207" t="s">
        <v>0</v>
      </c>
      <c r="N207">
        <v>5500</v>
      </c>
      <c r="O207">
        <v>144</v>
      </c>
      <c r="P207">
        <v>490</v>
      </c>
      <c r="Q207">
        <v>0</v>
      </c>
      <c r="R207">
        <v>3471032589</v>
      </c>
      <c r="S207">
        <v>8883694.8499999996</v>
      </c>
      <c r="T207">
        <v>3435816848.0500002</v>
      </c>
      <c r="U207">
        <v>3458969464.3699999</v>
      </c>
      <c r="V207">
        <v>8.7331000000000006E-2</v>
      </c>
      <c r="W207">
        <v>1.0937000000000001E-2</v>
      </c>
      <c r="Y207" t="s">
        <v>1</v>
      </c>
      <c r="Z207">
        <v>5500</v>
      </c>
      <c r="AA207">
        <v>144</v>
      </c>
      <c r="AB207">
        <v>19</v>
      </c>
      <c r="AC207">
        <v>0</v>
      </c>
      <c r="AD207">
        <v>182733468</v>
      </c>
      <c r="AE207">
        <v>458125.27</v>
      </c>
      <c r="AF207">
        <v>182105740</v>
      </c>
      <c r="AG207">
        <v>182105740</v>
      </c>
      <c r="AH207">
        <v>1.1081000000000001E-2</v>
      </c>
      <c r="AI207">
        <v>1.1081000000000001E-2</v>
      </c>
    </row>
    <row r="208" spans="1:35" x14ac:dyDescent="0.35">
      <c r="A208" t="s">
        <v>0</v>
      </c>
      <c r="B208">
        <v>5500</v>
      </c>
      <c r="C208">
        <v>144</v>
      </c>
      <c r="D208">
        <v>621</v>
      </c>
      <c r="E208">
        <v>0</v>
      </c>
      <c r="F208">
        <v>4023862570</v>
      </c>
      <c r="G208">
        <v>9873961.4800000004</v>
      </c>
      <c r="H208">
        <v>3985264802.6799998</v>
      </c>
      <c r="I208">
        <v>4008459945.52</v>
      </c>
      <c r="J208">
        <v>8.2376000000000005E-2</v>
      </c>
      <c r="K208">
        <v>1.6364E-2</v>
      </c>
      <c r="M208" t="s">
        <v>1</v>
      </c>
      <c r="N208">
        <v>3000</v>
      </c>
      <c r="O208">
        <v>168</v>
      </c>
      <c r="P208">
        <v>2801</v>
      </c>
      <c r="Q208">
        <v>0</v>
      </c>
      <c r="R208">
        <v>40529576545</v>
      </c>
      <c r="S208">
        <v>149012897.34</v>
      </c>
      <c r="T208">
        <v>40190313192.980003</v>
      </c>
      <c r="U208">
        <v>40368387488.089996</v>
      </c>
      <c r="V208">
        <v>5.4898000000000002E-2</v>
      </c>
      <c r="W208">
        <v>3.5990000000000002E-3</v>
      </c>
      <c r="Y208" t="s">
        <v>0</v>
      </c>
      <c r="Z208">
        <v>5500</v>
      </c>
      <c r="AA208">
        <v>144</v>
      </c>
      <c r="AB208">
        <v>598</v>
      </c>
      <c r="AC208">
        <v>0</v>
      </c>
      <c r="AD208">
        <v>3945004066</v>
      </c>
      <c r="AE208">
        <v>9748791.2100000009</v>
      </c>
      <c r="AF208">
        <v>3909654757</v>
      </c>
      <c r="AG208">
        <v>3930220839.1300001</v>
      </c>
      <c r="AH208">
        <v>7.5151999999999997E-2</v>
      </c>
      <c r="AI208">
        <v>1.5207E-2</v>
      </c>
    </row>
    <row r="209" spans="1:35" x14ac:dyDescent="0.35">
      <c r="A209" t="s">
        <v>1</v>
      </c>
      <c r="B209">
        <v>3000</v>
      </c>
      <c r="C209">
        <v>168</v>
      </c>
      <c r="D209">
        <v>2767</v>
      </c>
      <c r="E209">
        <v>0</v>
      </c>
      <c r="F209">
        <v>39500876679</v>
      </c>
      <c r="G209">
        <v>147895327.34999999</v>
      </c>
      <c r="H209">
        <v>39168481244.059998</v>
      </c>
      <c r="I209">
        <v>39333132865.099998</v>
      </c>
      <c r="J209">
        <v>5.4632E-2</v>
      </c>
      <c r="K209">
        <v>6.0130000000000001E-3</v>
      </c>
      <c r="M209" t="s">
        <v>2</v>
      </c>
      <c r="N209">
        <v>3000</v>
      </c>
      <c r="O209">
        <v>168</v>
      </c>
      <c r="P209">
        <v>838</v>
      </c>
      <c r="Q209">
        <v>0</v>
      </c>
      <c r="R209">
        <v>7501168557</v>
      </c>
      <c r="S209">
        <v>27693339.809999999</v>
      </c>
      <c r="T209">
        <v>7442866164.54</v>
      </c>
      <c r="U209">
        <v>7472850927.6899996</v>
      </c>
      <c r="V209">
        <v>4.7883000000000002E-2</v>
      </c>
      <c r="W209">
        <v>9.9799999999999997E-4</v>
      </c>
      <c r="Y209" t="s">
        <v>1</v>
      </c>
      <c r="Z209">
        <v>3000</v>
      </c>
      <c r="AA209">
        <v>168</v>
      </c>
      <c r="AB209">
        <v>2782</v>
      </c>
      <c r="AC209">
        <v>0</v>
      </c>
      <c r="AD209">
        <v>39867639552</v>
      </c>
      <c r="AE209">
        <v>148339697.37</v>
      </c>
      <c r="AF209">
        <v>39484302741</v>
      </c>
      <c r="AG209">
        <v>39624593742.400002</v>
      </c>
      <c r="AH209">
        <v>6.8485000000000004E-2</v>
      </c>
      <c r="AI209">
        <v>2.8136999999999999E-2</v>
      </c>
    </row>
    <row r="210" spans="1:35" x14ac:dyDescent="0.35">
      <c r="A210" t="s">
        <v>2</v>
      </c>
      <c r="B210">
        <v>3000</v>
      </c>
      <c r="C210">
        <v>168</v>
      </c>
      <c r="D210">
        <v>834</v>
      </c>
      <c r="E210">
        <v>0</v>
      </c>
      <c r="F210">
        <v>7353727901</v>
      </c>
      <c r="G210">
        <v>27611934.550000001</v>
      </c>
      <c r="H210">
        <v>7292911127.4499998</v>
      </c>
      <c r="I210">
        <v>7324765631.4499998</v>
      </c>
      <c r="J210">
        <v>5.2859000000000003E-2</v>
      </c>
      <c r="K210">
        <v>2.2009999999999998E-3</v>
      </c>
      <c r="M210" t="s">
        <v>0</v>
      </c>
      <c r="N210">
        <v>3000</v>
      </c>
      <c r="O210">
        <v>168</v>
      </c>
      <c r="P210">
        <v>3356</v>
      </c>
      <c r="Q210">
        <v>0</v>
      </c>
      <c r="R210">
        <v>33805504696</v>
      </c>
      <c r="S210">
        <v>125037118.70999999</v>
      </c>
      <c r="T210">
        <v>33542014056.5</v>
      </c>
      <c r="U210">
        <v>33675683895.09</v>
      </c>
      <c r="V210">
        <v>4.8055E-2</v>
      </c>
      <c r="W210">
        <v>1.6969999999999999E-3</v>
      </c>
      <c r="Y210" t="s">
        <v>2</v>
      </c>
      <c r="Z210">
        <v>3000</v>
      </c>
      <c r="AA210">
        <v>168</v>
      </c>
      <c r="AB210">
        <v>835</v>
      </c>
      <c r="AC210">
        <v>0</v>
      </c>
      <c r="AD210">
        <v>7393739407</v>
      </c>
      <c r="AE210">
        <v>27589396.239999998</v>
      </c>
      <c r="AF210">
        <v>7353727901</v>
      </c>
      <c r="AG210">
        <v>7359803841.9700003</v>
      </c>
      <c r="AH210">
        <v>1.9976000000000001E-2</v>
      </c>
      <c r="AI210">
        <v>1.0251E-2</v>
      </c>
    </row>
    <row r="211" spans="1:35" x14ac:dyDescent="0.35">
      <c r="A211" t="s">
        <v>0</v>
      </c>
      <c r="B211">
        <v>3000</v>
      </c>
      <c r="C211">
        <v>168</v>
      </c>
      <c r="D211">
        <v>3284</v>
      </c>
      <c r="E211">
        <v>0</v>
      </c>
      <c r="F211">
        <v>32710695121</v>
      </c>
      <c r="G211">
        <v>123052461.67</v>
      </c>
      <c r="H211">
        <v>32453007277.380001</v>
      </c>
      <c r="I211">
        <v>32580169623.23</v>
      </c>
      <c r="J211">
        <v>4.8287999999999998E-2</v>
      </c>
      <c r="K211">
        <v>2.738E-3</v>
      </c>
      <c r="M211" t="s">
        <v>0</v>
      </c>
      <c r="N211">
        <v>3000</v>
      </c>
      <c r="O211">
        <v>144</v>
      </c>
      <c r="P211">
        <v>293</v>
      </c>
      <c r="Q211">
        <v>0</v>
      </c>
      <c r="R211">
        <v>3047077304</v>
      </c>
      <c r="S211">
        <v>9736217.5600000005</v>
      </c>
      <c r="T211">
        <v>3021940356.3400002</v>
      </c>
      <c r="U211">
        <v>3036570073.5700002</v>
      </c>
      <c r="V211">
        <v>5.8992999999999997E-2</v>
      </c>
      <c r="W211">
        <v>3.032E-3</v>
      </c>
      <c r="Y211" t="s">
        <v>0</v>
      </c>
      <c r="Z211">
        <v>3000</v>
      </c>
      <c r="AA211">
        <v>168</v>
      </c>
      <c r="AB211">
        <v>3318</v>
      </c>
      <c r="AC211">
        <v>0</v>
      </c>
      <c r="AD211">
        <v>33097538763</v>
      </c>
      <c r="AE211">
        <v>123817060.84999999</v>
      </c>
      <c r="AF211">
        <v>32847568182</v>
      </c>
      <c r="AG211">
        <v>32914975159.389999</v>
      </c>
      <c r="AH211">
        <v>4.4791999999999998E-2</v>
      </c>
      <c r="AI211">
        <v>2.1093000000000001E-2</v>
      </c>
    </row>
    <row r="212" spans="1:35" x14ac:dyDescent="0.35">
      <c r="A212" t="s">
        <v>0</v>
      </c>
      <c r="B212">
        <v>3000</v>
      </c>
      <c r="C212">
        <v>144</v>
      </c>
      <c r="D212">
        <v>322</v>
      </c>
      <c r="E212">
        <v>0</v>
      </c>
      <c r="F212">
        <v>3388919996</v>
      </c>
      <c r="G212">
        <v>10824220.35</v>
      </c>
      <c r="H212">
        <v>3359968460.6900001</v>
      </c>
      <c r="I212">
        <v>3375736555.9899998</v>
      </c>
      <c r="J212">
        <v>6.2333E-2</v>
      </c>
      <c r="K212">
        <v>8.3219999999999995E-3</v>
      </c>
      <c r="M212" t="s">
        <v>1</v>
      </c>
      <c r="N212">
        <v>3000</v>
      </c>
      <c r="O212">
        <v>144</v>
      </c>
      <c r="P212">
        <v>207</v>
      </c>
      <c r="Q212">
        <v>0</v>
      </c>
      <c r="R212">
        <v>3063552817</v>
      </c>
      <c r="S212">
        <v>9788604.6899999995</v>
      </c>
      <c r="T212">
        <v>3038864571.7399998</v>
      </c>
      <c r="U212">
        <v>3053425753.9400001</v>
      </c>
      <c r="V212">
        <v>5.6826000000000002E-2</v>
      </c>
      <c r="W212">
        <v>1.325E-3</v>
      </c>
      <c r="Y212" t="s">
        <v>0</v>
      </c>
      <c r="Z212">
        <v>3000</v>
      </c>
      <c r="AA212">
        <v>144</v>
      </c>
      <c r="AB212">
        <v>311</v>
      </c>
      <c r="AC212">
        <v>0</v>
      </c>
      <c r="AD212">
        <v>3267429360</v>
      </c>
      <c r="AE212">
        <v>10418765.33</v>
      </c>
      <c r="AF212">
        <v>3255655942</v>
      </c>
      <c r="AG212">
        <v>3255655942</v>
      </c>
      <c r="AH212">
        <v>4.9639999999999997E-3</v>
      </c>
      <c r="AI212">
        <v>4.9639999999999997E-3</v>
      </c>
    </row>
    <row r="213" spans="1:35" x14ac:dyDescent="0.35">
      <c r="A213" t="s">
        <v>1</v>
      </c>
      <c r="B213">
        <v>3000</v>
      </c>
      <c r="C213">
        <v>144</v>
      </c>
      <c r="D213">
        <v>208</v>
      </c>
      <c r="E213">
        <v>0</v>
      </c>
      <c r="F213">
        <v>3093949712</v>
      </c>
      <c r="G213">
        <v>10002910.359999999</v>
      </c>
      <c r="H213">
        <v>3067729723.5500002</v>
      </c>
      <c r="I213">
        <v>3083094351.52</v>
      </c>
      <c r="J213">
        <v>6.1116999999999998E-2</v>
      </c>
      <c r="K213">
        <v>3.3010000000000001E-3</v>
      </c>
      <c r="M213" t="s">
        <v>3</v>
      </c>
      <c r="N213">
        <v>5500</v>
      </c>
      <c r="O213">
        <v>320</v>
      </c>
      <c r="P213">
        <v>6</v>
      </c>
      <c r="Q213">
        <v>0</v>
      </c>
      <c r="R213">
        <v>35797750</v>
      </c>
      <c r="S213">
        <v>254782.39</v>
      </c>
      <c r="T213">
        <v>35485075.299999997</v>
      </c>
      <c r="U213">
        <v>35514396.240000002</v>
      </c>
      <c r="V213">
        <v>1.9234999999999999E-2</v>
      </c>
      <c r="W213">
        <v>9.5359999999999993E-3</v>
      </c>
      <c r="Y213" t="s">
        <v>1</v>
      </c>
      <c r="Z213">
        <v>3000</v>
      </c>
      <c r="AA213">
        <v>144</v>
      </c>
      <c r="AB213">
        <v>204</v>
      </c>
      <c r="AC213">
        <v>0</v>
      </c>
      <c r="AD213">
        <v>3036806094</v>
      </c>
      <c r="AE213">
        <v>9779437.1699999999</v>
      </c>
      <c r="AF213">
        <v>3023307541</v>
      </c>
      <c r="AG213">
        <v>3023307541</v>
      </c>
      <c r="AH213">
        <v>1.4598E-2</v>
      </c>
      <c r="AI213">
        <v>1.4598E-2</v>
      </c>
    </row>
    <row r="214" spans="1:35" x14ac:dyDescent="0.35">
      <c r="A214" t="s">
        <v>3</v>
      </c>
      <c r="B214">
        <v>5500</v>
      </c>
      <c r="C214">
        <v>320</v>
      </c>
      <c r="D214">
        <v>6</v>
      </c>
      <c r="E214">
        <v>0</v>
      </c>
      <c r="F214">
        <v>34061268</v>
      </c>
      <c r="G214">
        <v>251915.87</v>
      </c>
      <c r="H214">
        <v>33730776.079999998</v>
      </c>
      <c r="I214">
        <v>33742259.640000001</v>
      </c>
      <c r="J214">
        <v>2.7334000000000001E-2</v>
      </c>
      <c r="K214">
        <v>2.3383000000000001E-2</v>
      </c>
      <c r="M214" t="s">
        <v>2</v>
      </c>
      <c r="N214">
        <v>7000</v>
      </c>
      <c r="O214">
        <v>216</v>
      </c>
      <c r="P214">
        <v>595</v>
      </c>
      <c r="Q214">
        <v>0</v>
      </c>
      <c r="R214">
        <v>2784963768</v>
      </c>
      <c r="S214">
        <v>11566913.460000001</v>
      </c>
      <c r="T214">
        <v>2761950963.9200001</v>
      </c>
      <c r="U214">
        <v>2771893236.73</v>
      </c>
      <c r="V214">
        <v>4.8218999999999998E-2</v>
      </c>
      <c r="W214">
        <v>6.4599999999999996E-3</v>
      </c>
      <c r="Y214" t="s">
        <v>3</v>
      </c>
      <c r="Z214">
        <v>5500</v>
      </c>
      <c r="AA214">
        <v>320</v>
      </c>
      <c r="AB214">
        <v>6</v>
      </c>
      <c r="AC214">
        <v>0</v>
      </c>
      <c r="AD214">
        <v>34616952</v>
      </c>
      <c r="AE214">
        <v>252691.84</v>
      </c>
      <c r="AF214">
        <v>34061268</v>
      </c>
      <c r="AG214">
        <v>34061268</v>
      </c>
      <c r="AH214">
        <v>0.100121</v>
      </c>
      <c r="AI214">
        <v>0.100121</v>
      </c>
    </row>
    <row r="215" spans="1:35" x14ac:dyDescent="0.35">
      <c r="A215" t="s">
        <v>1</v>
      </c>
      <c r="B215">
        <v>6000</v>
      </c>
      <c r="C215">
        <v>192</v>
      </c>
      <c r="D215">
        <v>48</v>
      </c>
      <c r="E215">
        <v>0</v>
      </c>
      <c r="F215">
        <v>304999645</v>
      </c>
      <c r="G215">
        <v>1105943.26</v>
      </c>
      <c r="H215">
        <v>301376314.18000001</v>
      </c>
      <c r="I215">
        <v>303412692.92000002</v>
      </c>
      <c r="J215">
        <v>9.4670000000000004E-2</v>
      </c>
      <c r="K215">
        <v>1.8762000000000001E-2</v>
      </c>
      <c r="M215" t="s">
        <v>2</v>
      </c>
      <c r="N215">
        <v>7500</v>
      </c>
      <c r="O215">
        <v>216</v>
      </c>
      <c r="P215">
        <v>22</v>
      </c>
      <c r="Q215">
        <v>0</v>
      </c>
      <c r="R215">
        <v>77393276</v>
      </c>
      <c r="S215">
        <v>323288.3</v>
      </c>
      <c r="T215">
        <v>76818445.239999995</v>
      </c>
      <c r="U215">
        <v>77062705.200000003</v>
      </c>
      <c r="V215">
        <v>3.8313E-2</v>
      </c>
      <c r="W215">
        <v>1.129E-3</v>
      </c>
      <c r="Y215" t="s">
        <v>2</v>
      </c>
      <c r="Z215">
        <v>7000</v>
      </c>
      <c r="AA215">
        <v>216</v>
      </c>
      <c r="AB215">
        <v>443</v>
      </c>
      <c r="AC215">
        <v>0</v>
      </c>
      <c r="AD215">
        <v>2039611543</v>
      </c>
      <c r="AE215">
        <v>8442650.4000000004</v>
      </c>
      <c r="AF215">
        <v>2019688112</v>
      </c>
      <c r="AG215">
        <v>2024709217.9300001</v>
      </c>
      <c r="AH215">
        <v>6.5493999999999997E-2</v>
      </c>
      <c r="AI215">
        <v>3.7350000000000001E-2</v>
      </c>
    </row>
    <row r="216" spans="1:35" x14ac:dyDescent="0.35">
      <c r="A216" t="s">
        <v>2</v>
      </c>
      <c r="B216">
        <v>4000</v>
      </c>
      <c r="C216">
        <v>320</v>
      </c>
      <c r="D216">
        <v>3</v>
      </c>
      <c r="E216">
        <v>0</v>
      </c>
      <c r="F216">
        <v>12378087</v>
      </c>
      <c r="G216">
        <v>95446.91</v>
      </c>
      <c r="H216">
        <v>12245062.960000001</v>
      </c>
      <c r="I216">
        <v>12261340.24</v>
      </c>
      <c r="J216">
        <v>3.5826999999999998E-2</v>
      </c>
      <c r="K216">
        <v>2.0455000000000001E-2</v>
      </c>
      <c r="M216" t="s">
        <v>1</v>
      </c>
      <c r="N216">
        <v>6000</v>
      </c>
      <c r="O216">
        <v>192</v>
      </c>
      <c r="P216">
        <v>99</v>
      </c>
      <c r="Q216">
        <v>0</v>
      </c>
      <c r="R216">
        <v>628944248</v>
      </c>
      <c r="S216">
        <v>2310509.4300000002</v>
      </c>
      <c r="T216">
        <v>622086911.13999999</v>
      </c>
      <c r="U216">
        <v>626385423.16999996</v>
      </c>
      <c r="V216">
        <v>8.3384E-2</v>
      </c>
      <c r="W216">
        <v>4.7270000000000003E-3</v>
      </c>
      <c r="Y216" t="s">
        <v>1</v>
      </c>
      <c r="Z216">
        <v>6000</v>
      </c>
      <c r="AA216">
        <v>192</v>
      </c>
      <c r="AB216">
        <v>56</v>
      </c>
      <c r="AC216">
        <v>0</v>
      </c>
      <c r="AD216">
        <v>354277466</v>
      </c>
      <c r="AE216">
        <v>1284623.01</v>
      </c>
      <c r="AF216">
        <v>352503762</v>
      </c>
      <c r="AG216">
        <v>352503762</v>
      </c>
      <c r="AH216">
        <v>1.6441000000000001E-2</v>
      </c>
      <c r="AI216">
        <v>1.6441000000000001E-2</v>
      </c>
    </row>
    <row r="217" spans="1:35" x14ac:dyDescent="0.35">
      <c r="A217" t="s">
        <v>3</v>
      </c>
      <c r="B217">
        <v>6000</v>
      </c>
      <c r="C217">
        <v>216</v>
      </c>
      <c r="D217">
        <v>73</v>
      </c>
      <c r="E217">
        <v>0</v>
      </c>
      <c r="F217">
        <v>531221770</v>
      </c>
      <c r="G217">
        <v>2316628.9300000002</v>
      </c>
      <c r="H217">
        <v>527886897.82999998</v>
      </c>
      <c r="I217">
        <v>528904478.81</v>
      </c>
      <c r="J217">
        <v>2.2761E-2</v>
      </c>
      <c r="K217">
        <v>1.5E-5</v>
      </c>
      <c r="M217" t="s">
        <v>2</v>
      </c>
      <c r="N217">
        <v>4000</v>
      </c>
      <c r="O217">
        <v>320</v>
      </c>
      <c r="P217">
        <v>1</v>
      </c>
      <c r="Q217">
        <v>0</v>
      </c>
      <c r="R217">
        <v>4048488</v>
      </c>
      <c r="S217">
        <v>36368.76</v>
      </c>
      <c r="T217">
        <v>3988708.08</v>
      </c>
      <c r="U217">
        <v>3988929.17</v>
      </c>
      <c r="V217">
        <v>6.7226999999999995E-2</v>
      </c>
      <c r="W217">
        <v>6.6612000000000005E-2</v>
      </c>
      <c r="Y217" t="s">
        <v>2</v>
      </c>
      <c r="Z217">
        <v>4000</v>
      </c>
      <c r="AA217">
        <v>320</v>
      </c>
      <c r="AB217">
        <v>3</v>
      </c>
      <c r="AC217">
        <v>0</v>
      </c>
      <c r="AD217">
        <v>12492563</v>
      </c>
      <c r="AE217">
        <v>95271.47</v>
      </c>
      <c r="AF217">
        <v>12378087</v>
      </c>
      <c r="AG217">
        <v>12378087</v>
      </c>
      <c r="AH217">
        <v>1.8291999999999999E-2</v>
      </c>
      <c r="AI217">
        <v>1.8291999999999999E-2</v>
      </c>
    </row>
    <row r="218" spans="1:35" x14ac:dyDescent="0.35">
      <c r="A218" t="s">
        <v>2</v>
      </c>
      <c r="B218">
        <v>3000</v>
      </c>
      <c r="C218">
        <v>144</v>
      </c>
      <c r="D218">
        <v>86</v>
      </c>
      <c r="E218">
        <v>0</v>
      </c>
      <c r="F218">
        <v>670374634</v>
      </c>
      <c r="G218">
        <v>2122457.87</v>
      </c>
      <c r="H218">
        <v>664652736.72000003</v>
      </c>
      <c r="I218">
        <v>668142140.34000003</v>
      </c>
      <c r="J218">
        <v>6.2562000000000006E-2</v>
      </c>
      <c r="K218">
        <v>1.9680000000000001E-3</v>
      </c>
      <c r="M218" t="s">
        <v>3</v>
      </c>
      <c r="N218">
        <v>6000</v>
      </c>
      <c r="O218">
        <v>216</v>
      </c>
      <c r="P218">
        <v>68</v>
      </c>
      <c r="Q218">
        <v>0</v>
      </c>
      <c r="R218">
        <v>497842706</v>
      </c>
      <c r="S218">
        <v>2134723.15</v>
      </c>
      <c r="T218">
        <v>494742962.56</v>
      </c>
      <c r="U218">
        <v>495699609.11000001</v>
      </c>
      <c r="V218">
        <v>2.3014E-2</v>
      </c>
      <c r="W218">
        <v>2.02E-4</v>
      </c>
      <c r="Y218" t="s">
        <v>3</v>
      </c>
      <c r="Z218">
        <v>6000</v>
      </c>
      <c r="AA218">
        <v>216</v>
      </c>
      <c r="AB218">
        <v>74</v>
      </c>
      <c r="AC218">
        <v>0</v>
      </c>
      <c r="AD218">
        <v>539295228</v>
      </c>
      <c r="AE218">
        <v>2332366.75</v>
      </c>
      <c r="AF218">
        <v>536072036</v>
      </c>
      <c r="AG218">
        <v>536072036</v>
      </c>
      <c r="AH218">
        <v>1.9643000000000001E-2</v>
      </c>
      <c r="AI218">
        <v>1.9643000000000001E-2</v>
      </c>
    </row>
    <row r="219" spans="1:35" x14ac:dyDescent="0.35">
      <c r="A219" t="s">
        <v>0</v>
      </c>
      <c r="B219">
        <v>3500</v>
      </c>
      <c r="C219">
        <v>120</v>
      </c>
      <c r="D219">
        <v>59598</v>
      </c>
      <c r="E219">
        <v>0</v>
      </c>
      <c r="F219">
        <v>842936859217</v>
      </c>
      <c r="G219">
        <v>2348031752.7399998</v>
      </c>
      <c r="H219">
        <v>836465927035.80005</v>
      </c>
      <c r="I219">
        <v>840293782677.64001</v>
      </c>
      <c r="J219">
        <v>5.7140000000000003E-2</v>
      </c>
      <c r="K219">
        <v>4.1920000000000004E-3</v>
      </c>
      <c r="M219" t="s">
        <v>2</v>
      </c>
      <c r="N219">
        <v>3000</v>
      </c>
      <c r="O219">
        <v>144</v>
      </c>
      <c r="P219">
        <v>74</v>
      </c>
      <c r="Q219">
        <v>0</v>
      </c>
      <c r="R219">
        <v>559962407</v>
      </c>
      <c r="S219">
        <v>1808279.92</v>
      </c>
      <c r="T219">
        <v>555531140.50999999</v>
      </c>
      <c r="U219">
        <v>558151394.24000001</v>
      </c>
      <c r="V219">
        <v>5.4785E-2</v>
      </c>
      <c r="W219">
        <v>5.8999999999999998E-5</v>
      </c>
      <c r="Y219" t="s">
        <v>2</v>
      </c>
      <c r="Z219">
        <v>3000</v>
      </c>
      <c r="AA219">
        <v>144</v>
      </c>
      <c r="AB219">
        <v>79</v>
      </c>
      <c r="AC219">
        <v>0</v>
      </c>
      <c r="AD219">
        <v>614967237</v>
      </c>
      <c r="AE219">
        <v>1942032.53</v>
      </c>
      <c r="AF219">
        <v>598412346</v>
      </c>
      <c r="AG219">
        <v>612898476.41999996</v>
      </c>
      <c r="AH219">
        <v>0.25067800000000001</v>
      </c>
      <c r="AI219">
        <v>2.47E-3</v>
      </c>
    </row>
    <row r="220" spans="1:35" x14ac:dyDescent="0.35">
      <c r="A220" t="s">
        <v>1</v>
      </c>
      <c r="B220">
        <v>3500</v>
      </c>
      <c r="C220">
        <v>120</v>
      </c>
      <c r="D220">
        <v>32422</v>
      </c>
      <c r="E220">
        <v>0</v>
      </c>
      <c r="F220">
        <v>562032433947</v>
      </c>
      <c r="G220">
        <v>1573891891.5699999</v>
      </c>
      <c r="H220">
        <v>557267810490.95996</v>
      </c>
      <c r="I220">
        <v>560254173096.31006</v>
      </c>
      <c r="J220">
        <v>6.6037999999999999E-2</v>
      </c>
      <c r="K220">
        <v>4.3550000000000004E-3</v>
      </c>
      <c r="M220" t="s">
        <v>0</v>
      </c>
      <c r="N220">
        <v>3500</v>
      </c>
      <c r="O220">
        <v>120</v>
      </c>
      <c r="P220">
        <v>40482</v>
      </c>
      <c r="Q220">
        <v>0</v>
      </c>
      <c r="R220">
        <v>570065570195</v>
      </c>
      <c r="S220">
        <v>1579995115</v>
      </c>
      <c r="T220">
        <v>565644236436.30005</v>
      </c>
      <c r="U220">
        <v>568329064252.94995</v>
      </c>
      <c r="V220">
        <v>5.8198E-2</v>
      </c>
      <c r="W220">
        <v>3.29E-3</v>
      </c>
      <c r="Y220" t="s">
        <v>0</v>
      </c>
      <c r="Z220">
        <v>3500</v>
      </c>
      <c r="AA220">
        <v>120</v>
      </c>
      <c r="AB220">
        <v>54161</v>
      </c>
      <c r="AC220">
        <v>0</v>
      </c>
      <c r="AD220">
        <v>765758439716</v>
      </c>
      <c r="AE220">
        <v>2128317487.1500001</v>
      </c>
      <c r="AF220">
        <v>760375110809.43005</v>
      </c>
      <c r="AG220">
        <v>763074238301.81006</v>
      </c>
      <c r="AH220">
        <v>4.9833000000000002E-2</v>
      </c>
      <c r="AI220">
        <v>8.6759999999999997E-3</v>
      </c>
    </row>
    <row r="221" spans="1:35" x14ac:dyDescent="0.35">
      <c r="A221" t="s">
        <v>2</v>
      </c>
      <c r="B221">
        <v>3500</v>
      </c>
      <c r="C221">
        <v>120</v>
      </c>
      <c r="D221">
        <v>10093</v>
      </c>
      <c r="E221">
        <v>0</v>
      </c>
      <c r="F221">
        <v>111629232384</v>
      </c>
      <c r="G221">
        <v>310971740</v>
      </c>
      <c r="H221">
        <v>110781277591.92</v>
      </c>
      <c r="I221">
        <v>111292897608.05</v>
      </c>
      <c r="J221">
        <v>5.6222000000000001E-2</v>
      </c>
      <c r="K221">
        <v>2.7230000000000002E-3</v>
      </c>
      <c r="M221" t="s">
        <v>2</v>
      </c>
      <c r="N221">
        <v>3500</v>
      </c>
      <c r="O221">
        <v>120</v>
      </c>
      <c r="P221">
        <v>7014</v>
      </c>
      <c r="Q221">
        <v>0</v>
      </c>
      <c r="R221">
        <v>78538685178</v>
      </c>
      <c r="S221">
        <v>218108825.61000001</v>
      </c>
      <c r="T221">
        <v>77922958792.660004</v>
      </c>
      <c r="U221">
        <v>78303911101.759995</v>
      </c>
      <c r="V221">
        <v>5.9089000000000003E-2</v>
      </c>
      <c r="W221">
        <v>2.5430000000000001E-3</v>
      </c>
      <c r="Y221" t="s">
        <v>1</v>
      </c>
      <c r="Z221">
        <v>3500</v>
      </c>
      <c r="AA221">
        <v>120</v>
      </c>
      <c r="AB221">
        <v>29707</v>
      </c>
      <c r="AC221">
        <v>0</v>
      </c>
      <c r="AD221">
        <v>518128941312</v>
      </c>
      <c r="AE221">
        <v>1448057105.79</v>
      </c>
      <c r="AF221">
        <v>513887193232</v>
      </c>
      <c r="AG221">
        <v>516070454380.09998</v>
      </c>
      <c r="AH221">
        <v>6.2817999999999999E-2</v>
      </c>
      <c r="AI221">
        <v>1.4045999999999999E-2</v>
      </c>
    </row>
    <row r="222" spans="1:35" x14ac:dyDescent="0.35">
      <c r="A222" t="s">
        <v>0</v>
      </c>
      <c r="B222">
        <v>4000</v>
      </c>
      <c r="C222">
        <v>120</v>
      </c>
      <c r="D222">
        <v>71438</v>
      </c>
      <c r="E222">
        <v>0</v>
      </c>
      <c r="F222">
        <v>893243657901</v>
      </c>
      <c r="G222">
        <v>2380629574.8699999</v>
      </c>
      <c r="H222">
        <v>886314010854.46997</v>
      </c>
      <c r="I222">
        <v>890371360396.68005</v>
      </c>
      <c r="J222">
        <v>5.9429000000000003E-2</v>
      </c>
      <c r="K222">
        <v>6.5849999999999997E-3</v>
      </c>
      <c r="M222" t="s">
        <v>1</v>
      </c>
      <c r="N222">
        <v>3500</v>
      </c>
      <c r="O222">
        <v>120</v>
      </c>
      <c r="P222">
        <v>24216</v>
      </c>
      <c r="Q222">
        <v>0</v>
      </c>
      <c r="R222">
        <v>428533079752</v>
      </c>
      <c r="S222">
        <v>1193613032.4000001</v>
      </c>
      <c r="T222">
        <v>424909626369.90002</v>
      </c>
      <c r="U222">
        <v>427182274743.40002</v>
      </c>
      <c r="V222">
        <v>6.5959000000000004E-2</v>
      </c>
      <c r="W222">
        <v>4.3930000000000002E-3</v>
      </c>
      <c r="Y222" t="s">
        <v>2</v>
      </c>
      <c r="Z222">
        <v>3500</v>
      </c>
      <c r="AA222">
        <v>120</v>
      </c>
      <c r="AB222">
        <v>9111</v>
      </c>
      <c r="AC222">
        <v>0</v>
      </c>
      <c r="AD222">
        <v>100853469616</v>
      </c>
      <c r="AE222">
        <v>280604034.60000002</v>
      </c>
      <c r="AF222">
        <v>100039554667</v>
      </c>
      <c r="AG222">
        <v>100482895348.60001</v>
      </c>
      <c r="AH222">
        <v>6.1642000000000002E-2</v>
      </c>
      <c r="AI222">
        <v>1.0652999999999999E-2</v>
      </c>
    </row>
    <row r="223" spans="1:35" x14ac:dyDescent="0.35">
      <c r="A223" t="s">
        <v>1</v>
      </c>
      <c r="B223">
        <v>4000</v>
      </c>
      <c r="C223">
        <v>120</v>
      </c>
      <c r="D223">
        <v>11280</v>
      </c>
      <c r="E223">
        <v>0</v>
      </c>
      <c r="F223">
        <v>154645526465</v>
      </c>
      <c r="G223">
        <v>415049225.29000002</v>
      </c>
      <c r="H223">
        <v>153145130412.37</v>
      </c>
      <c r="I223">
        <v>154014401715.60001</v>
      </c>
      <c r="J223">
        <v>8.1043000000000004E-2</v>
      </c>
      <c r="K223">
        <v>1.6639000000000001E-2</v>
      </c>
      <c r="M223" t="s">
        <v>0</v>
      </c>
      <c r="N223">
        <v>4000</v>
      </c>
      <c r="O223">
        <v>120</v>
      </c>
      <c r="P223">
        <v>73329</v>
      </c>
      <c r="Q223">
        <v>0</v>
      </c>
      <c r="R223">
        <v>919629552504</v>
      </c>
      <c r="S223">
        <v>2445571359.3499999</v>
      </c>
      <c r="T223">
        <v>912200884918.73999</v>
      </c>
      <c r="U223">
        <v>916714993202.93005</v>
      </c>
      <c r="V223">
        <v>6.3119999999999996E-2</v>
      </c>
      <c r="W223">
        <v>6.1029999999999999E-3</v>
      </c>
      <c r="Y223" t="s">
        <v>0</v>
      </c>
      <c r="Z223">
        <v>4000</v>
      </c>
      <c r="AA223">
        <v>120</v>
      </c>
      <c r="AB223">
        <v>71510</v>
      </c>
      <c r="AC223">
        <v>0</v>
      </c>
      <c r="AD223">
        <v>893950270540</v>
      </c>
      <c r="AE223">
        <v>2379516460.5700002</v>
      </c>
      <c r="AF223">
        <v>887752559271</v>
      </c>
      <c r="AG223">
        <v>890855699192.42004</v>
      </c>
      <c r="AH223">
        <v>5.0067E-2</v>
      </c>
      <c r="AI223">
        <v>9.5560000000000003E-3</v>
      </c>
    </row>
    <row r="224" spans="1:35" x14ac:dyDescent="0.35">
      <c r="A224" t="s">
        <v>2</v>
      </c>
      <c r="B224">
        <v>4000</v>
      </c>
      <c r="C224">
        <v>120</v>
      </c>
      <c r="D224">
        <v>9407</v>
      </c>
      <c r="E224">
        <v>0</v>
      </c>
      <c r="F224">
        <v>88744986010</v>
      </c>
      <c r="G224">
        <v>236744352.18000001</v>
      </c>
      <c r="H224">
        <v>87994294171.570007</v>
      </c>
      <c r="I224">
        <v>88454924486.059998</v>
      </c>
      <c r="J224">
        <v>6.7323999999999995E-2</v>
      </c>
      <c r="K224">
        <v>7.1859999999999997E-3</v>
      </c>
      <c r="M224" t="s">
        <v>2</v>
      </c>
      <c r="N224">
        <v>4000</v>
      </c>
      <c r="O224">
        <v>120</v>
      </c>
      <c r="P224">
        <v>10231</v>
      </c>
      <c r="Q224">
        <v>0</v>
      </c>
      <c r="R224">
        <v>100638018755</v>
      </c>
      <c r="S224">
        <v>269141792.18000001</v>
      </c>
      <c r="T224">
        <v>99782399887.5</v>
      </c>
      <c r="U224">
        <v>100327115462.37</v>
      </c>
      <c r="V224">
        <v>6.7733000000000002E-2</v>
      </c>
      <c r="W224">
        <v>4.9680000000000002E-3</v>
      </c>
      <c r="Y224" t="s">
        <v>2</v>
      </c>
      <c r="Z224">
        <v>4000</v>
      </c>
      <c r="AA224">
        <v>120</v>
      </c>
      <c r="AB224">
        <v>9537</v>
      </c>
      <c r="AC224">
        <v>0</v>
      </c>
      <c r="AD224">
        <v>90950721947</v>
      </c>
      <c r="AE224">
        <v>242598051.15000001</v>
      </c>
      <c r="AF224">
        <v>90422513231</v>
      </c>
      <c r="AG224">
        <v>90651777809.160004</v>
      </c>
      <c r="AH224">
        <v>3.7039000000000002E-2</v>
      </c>
      <c r="AI224">
        <v>7.4089999999999998E-3</v>
      </c>
    </row>
    <row r="225" spans="1:35" x14ac:dyDescent="0.35">
      <c r="A225" t="s">
        <v>0</v>
      </c>
      <c r="B225">
        <v>4500</v>
      </c>
      <c r="C225">
        <v>120</v>
      </c>
      <c r="D225">
        <v>17765</v>
      </c>
      <c r="E225">
        <v>0</v>
      </c>
      <c r="F225">
        <v>195284248814</v>
      </c>
      <c r="G225">
        <v>492381331.51999998</v>
      </c>
      <c r="H225">
        <v>193773806346.54999</v>
      </c>
      <c r="I225">
        <v>194685035000.34</v>
      </c>
      <c r="J225">
        <v>6.0796000000000003E-2</v>
      </c>
      <c r="K225">
        <v>6.5449999999999996E-3</v>
      </c>
      <c r="M225" t="s">
        <v>0</v>
      </c>
      <c r="N225">
        <v>4500</v>
      </c>
      <c r="O225">
        <v>120</v>
      </c>
      <c r="P225">
        <v>23607</v>
      </c>
      <c r="Q225">
        <v>0</v>
      </c>
      <c r="R225">
        <v>256997176685</v>
      </c>
      <c r="S225">
        <v>648602635.87</v>
      </c>
      <c r="T225">
        <v>254952340583.29001</v>
      </c>
      <c r="U225">
        <v>256204648922.84</v>
      </c>
      <c r="V225">
        <v>6.3281000000000004E-2</v>
      </c>
      <c r="W225">
        <v>6.7000000000000002E-3</v>
      </c>
      <c r="Y225" t="s">
        <v>0</v>
      </c>
      <c r="Z225">
        <v>4500</v>
      </c>
      <c r="AA225">
        <v>120</v>
      </c>
      <c r="AB225">
        <v>19102</v>
      </c>
      <c r="AC225">
        <v>0</v>
      </c>
      <c r="AD225">
        <v>208685754196</v>
      </c>
      <c r="AE225">
        <v>526275335.31999999</v>
      </c>
      <c r="AF225">
        <v>207085444860</v>
      </c>
      <c r="AG225">
        <v>207943461096.32001</v>
      </c>
      <c r="AH225">
        <v>6.0040999999999997E-2</v>
      </c>
      <c r="AI225">
        <v>1.2351000000000001E-2</v>
      </c>
    </row>
    <row r="226" spans="1:35" x14ac:dyDescent="0.35">
      <c r="A226" t="s">
        <v>2</v>
      </c>
      <c r="B226">
        <v>4500</v>
      </c>
      <c r="C226">
        <v>120</v>
      </c>
      <c r="D226">
        <v>1278</v>
      </c>
      <c r="E226">
        <v>0</v>
      </c>
      <c r="F226">
        <v>10521454345</v>
      </c>
      <c r="G226">
        <v>26972567.25</v>
      </c>
      <c r="H226">
        <v>10435196509.77</v>
      </c>
      <c r="I226">
        <v>10487476042.5</v>
      </c>
      <c r="J226">
        <v>6.5559999999999993E-2</v>
      </c>
      <c r="K226">
        <v>7.9609999999999993E-3</v>
      </c>
      <c r="M226" t="s">
        <v>1</v>
      </c>
      <c r="N226">
        <v>4500</v>
      </c>
      <c r="O226">
        <v>120</v>
      </c>
      <c r="P226">
        <v>2133</v>
      </c>
      <c r="Q226">
        <v>0</v>
      </c>
      <c r="R226">
        <v>23611610219</v>
      </c>
      <c r="S226">
        <v>60008056.119999997</v>
      </c>
      <c r="T226">
        <v>23355816164.009998</v>
      </c>
      <c r="U226">
        <v>23507961167.52</v>
      </c>
      <c r="V226">
        <v>9.5088000000000006E-2</v>
      </c>
      <c r="W226">
        <v>2.1954999999999999E-2</v>
      </c>
      <c r="Y226" t="s">
        <v>2</v>
      </c>
      <c r="Z226">
        <v>4500</v>
      </c>
      <c r="AA226">
        <v>120</v>
      </c>
      <c r="AB226">
        <v>1570</v>
      </c>
      <c r="AC226">
        <v>0</v>
      </c>
      <c r="AD226">
        <v>12907344468</v>
      </c>
      <c r="AE226">
        <v>33003334.260000002</v>
      </c>
      <c r="AF226">
        <v>12834132667</v>
      </c>
      <c r="AG226">
        <v>12870371302</v>
      </c>
      <c r="AH226">
        <v>3.6748000000000003E-2</v>
      </c>
      <c r="AI226">
        <v>3.6849999999999999E-3</v>
      </c>
    </row>
    <row r="227" spans="1:35" x14ac:dyDescent="0.35">
      <c r="A227" t="s">
        <v>0</v>
      </c>
      <c r="B227">
        <v>5000</v>
      </c>
      <c r="C227">
        <v>120</v>
      </c>
      <c r="D227">
        <v>2668</v>
      </c>
      <c r="E227">
        <v>0</v>
      </c>
      <c r="F227">
        <v>24745161404</v>
      </c>
      <c r="G227">
        <v>59010158.259999998</v>
      </c>
      <c r="H227">
        <v>24524062338.310001</v>
      </c>
      <c r="I227">
        <v>24655698887.439999</v>
      </c>
      <c r="J227">
        <v>7.5832999999999998E-2</v>
      </c>
      <c r="K227">
        <v>1.4668E-2</v>
      </c>
      <c r="M227" t="s">
        <v>2</v>
      </c>
      <c r="N227">
        <v>4500</v>
      </c>
      <c r="O227">
        <v>120</v>
      </c>
      <c r="P227">
        <v>2559</v>
      </c>
      <c r="Q227">
        <v>0</v>
      </c>
      <c r="R227">
        <v>20871238178</v>
      </c>
      <c r="S227">
        <v>53190794.469999999</v>
      </c>
      <c r="T227">
        <v>20693398207.259998</v>
      </c>
      <c r="U227">
        <v>20803818059.290001</v>
      </c>
      <c r="V227">
        <v>6.9360000000000005E-2</v>
      </c>
      <c r="W227">
        <v>8.1510000000000003E-3</v>
      </c>
      <c r="Y227" t="s">
        <v>1</v>
      </c>
      <c r="Z227">
        <v>4500</v>
      </c>
      <c r="AA227">
        <v>120</v>
      </c>
      <c r="AB227">
        <v>1587</v>
      </c>
      <c r="AC227">
        <v>0</v>
      </c>
      <c r="AD227">
        <v>17390512913</v>
      </c>
      <c r="AE227">
        <v>44160711.299999997</v>
      </c>
      <c r="AF227">
        <v>17208780661</v>
      </c>
      <c r="AG227">
        <v>17322933075.630001</v>
      </c>
      <c r="AH227">
        <v>9.0905E-2</v>
      </c>
      <c r="AI227">
        <v>1.6041E-2</v>
      </c>
    </row>
    <row r="228" spans="1:35" x14ac:dyDescent="0.35">
      <c r="A228" t="s">
        <v>1</v>
      </c>
      <c r="B228">
        <v>5000</v>
      </c>
      <c r="C228">
        <v>120</v>
      </c>
      <c r="D228">
        <v>165</v>
      </c>
      <c r="E228">
        <v>0</v>
      </c>
      <c r="F228">
        <v>1512621968</v>
      </c>
      <c r="G228">
        <v>3618664.25</v>
      </c>
      <c r="H228">
        <v>1492634323.8</v>
      </c>
      <c r="I228">
        <v>1504089301.47</v>
      </c>
      <c r="J228">
        <v>0.122402</v>
      </c>
      <c r="K228">
        <v>3.8295000000000003E-2</v>
      </c>
      <c r="M228" t="s">
        <v>0</v>
      </c>
      <c r="N228">
        <v>5000</v>
      </c>
      <c r="O228">
        <v>120</v>
      </c>
      <c r="P228">
        <v>3793</v>
      </c>
      <c r="Q228">
        <v>0</v>
      </c>
      <c r="R228">
        <v>35425373171</v>
      </c>
      <c r="S228">
        <v>84357319.099999994</v>
      </c>
      <c r="T228">
        <v>35105729608.169998</v>
      </c>
      <c r="U228">
        <v>35305991349.349998</v>
      </c>
      <c r="V228">
        <v>7.6853000000000005E-2</v>
      </c>
      <c r="W228">
        <v>1.18E-2</v>
      </c>
      <c r="Y228" t="s">
        <v>1</v>
      </c>
      <c r="Z228">
        <v>4000</v>
      </c>
      <c r="AA228">
        <v>120</v>
      </c>
      <c r="AB228">
        <v>11778</v>
      </c>
      <c r="AC228">
        <v>0</v>
      </c>
      <c r="AD228">
        <v>161175513577</v>
      </c>
      <c r="AE228">
        <v>432037410.70999998</v>
      </c>
      <c r="AF228">
        <v>159787611015</v>
      </c>
      <c r="AG228">
        <v>160539387837.94</v>
      </c>
      <c r="AH228">
        <v>6.8890999999999994E-2</v>
      </c>
      <c r="AI228">
        <v>1.5089999999999999E-2</v>
      </c>
    </row>
    <row r="229" spans="1:35" x14ac:dyDescent="0.35">
      <c r="A229" t="s">
        <v>1</v>
      </c>
      <c r="B229">
        <v>4500</v>
      </c>
      <c r="C229">
        <v>120</v>
      </c>
      <c r="D229">
        <v>1450</v>
      </c>
      <c r="E229">
        <v>0</v>
      </c>
      <c r="F229">
        <v>15829302219</v>
      </c>
      <c r="G229">
        <v>40153106.079999998</v>
      </c>
      <c r="H229">
        <v>15665657901.66</v>
      </c>
      <c r="I229">
        <v>15769854099.549999</v>
      </c>
      <c r="J229">
        <v>8.9703000000000005E-2</v>
      </c>
      <c r="K229">
        <v>1.453E-2</v>
      </c>
      <c r="M229" t="s">
        <v>1</v>
      </c>
      <c r="N229">
        <v>4000</v>
      </c>
      <c r="O229">
        <v>120</v>
      </c>
      <c r="P229">
        <v>13985</v>
      </c>
      <c r="Q229">
        <v>0</v>
      </c>
      <c r="R229">
        <v>192748343669</v>
      </c>
      <c r="S229">
        <v>516802397.29000002</v>
      </c>
      <c r="T229">
        <v>190997244365.75</v>
      </c>
      <c r="U229">
        <v>192060638065.72</v>
      </c>
      <c r="V229">
        <v>7.4194999999999997E-2</v>
      </c>
      <c r="W229">
        <v>1.0588E-2</v>
      </c>
      <c r="Y229" t="s">
        <v>0</v>
      </c>
      <c r="Z229">
        <v>5000</v>
      </c>
      <c r="AA229">
        <v>120</v>
      </c>
      <c r="AB229">
        <v>2918</v>
      </c>
      <c r="AC229">
        <v>0</v>
      </c>
      <c r="AD229">
        <v>27132048048</v>
      </c>
      <c r="AE229">
        <v>64657327.229999997</v>
      </c>
      <c r="AF229">
        <v>26919517176</v>
      </c>
      <c r="AG229">
        <v>27042511216.029999</v>
      </c>
      <c r="AH229">
        <v>6.3476000000000005E-2</v>
      </c>
      <c r="AI229">
        <v>1.0947999999999999E-2</v>
      </c>
    </row>
    <row r="230" spans="1:35" x14ac:dyDescent="0.35">
      <c r="A230" t="s">
        <v>0</v>
      </c>
      <c r="B230">
        <v>6750</v>
      </c>
      <c r="C230">
        <v>240</v>
      </c>
      <c r="D230">
        <v>4502</v>
      </c>
      <c r="E230">
        <v>0</v>
      </c>
      <c r="F230">
        <v>24625490509</v>
      </c>
      <c r="G230">
        <v>124694286.93000001</v>
      </c>
      <c r="H230">
        <v>24376611954.34</v>
      </c>
      <c r="I230">
        <v>24461232424.889999</v>
      </c>
      <c r="J230">
        <v>5.8864E-2</v>
      </c>
      <c r="K230">
        <v>1.9109999999999999E-2</v>
      </c>
      <c r="M230" t="s">
        <v>1</v>
      </c>
      <c r="N230">
        <v>5000</v>
      </c>
      <c r="O230">
        <v>120</v>
      </c>
      <c r="P230">
        <v>216</v>
      </c>
      <c r="Q230">
        <v>0</v>
      </c>
      <c r="R230">
        <v>1878319174</v>
      </c>
      <c r="S230">
        <v>4471517.1100000003</v>
      </c>
      <c r="T230">
        <v>1854588472.3099999</v>
      </c>
      <c r="U230">
        <v>1869877254.8800001</v>
      </c>
      <c r="V230">
        <v>0.11633400000000001</v>
      </c>
      <c r="W230">
        <v>2.5073000000000002E-2</v>
      </c>
      <c r="Y230" t="s">
        <v>1</v>
      </c>
      <c r="Z230">
        <v>5000</v>
      </c>
      <c r="AA230">
        <v>120</v>
      </c>
      <c r="AB230">
        <v>171</v>
      </c>
      <c r="AC230">
        <v>0</v>
      </c>
      <c r="AD230">
        <v>1525447458</v>
      </c>
      <c r="AE230">
        <v>3637287.49</v>
      </c>
      <c r="AF230">
        <v>1496949919</v>
      </c>
      <c r="AG230">
        <v>1515204135.3900001</v>
      </c>
      <c r="AH230">
        <v>0.178953</v>
      </c>
      <c r="AI230">
        <v>5.0747E-2</v>
      </c>
    </row>
    <row r="231" spans="1:35" x14ac:dyDescent="0.35">
      <c r="A231" t="s">
        <v>3</v>
      </c>
      <c r="B231">
        <v>6000</v>
      </c>
      <c r="C231">
        <v>240</v>
      </c>
      <c r="D231">
        <v>18</v>
      </c>
      <c r="E231">
        <v>0</v>
      </c>
      <c r="F231">
        <v>173364378</v>
      </c>
      <c r="G231">
        <v>987244.85</v>
      </c>
      <c r="H231">
        <v>172215458.13999999</v>
      </c>
      <c r="I231">
        <v>172351365.93000001</v>
      </c>
      <c r="J231">
        <v>1.1134E-2</v>
      </c>
      <c r="K231">
        <v>1.7819999999999999E-3</v>
      </c>
      <c r="M231" t="s">
        <v>0</v>
      </c>
      <c r="N231">
        <v>6750</v>
      </c>
      <c r="O231">
        <v>216</v>
      </c>
      <c r="P231">
        <v>4821</v>
      </c>
      <c r="Q231">
        <v>0</v>
      </c>
      <c r="R231">
        <v>30163739513</v>
      </c>
      <c r="S231">
        <v>125866169.3</v>
      </c>
      <c r="T231">
        <v>29863754783.959999</v>
      </c>
      <c r="U231">
        <v>30005124453.790001</v>
      </c>
      <c r="V231">
        <v>6.7112000000000005E-2</v>
      </c>
      <c r="W231">
        <v>1.2951000000000001E-2</v>
      </c>
      <c r="Y231" t="s">
        <v>0</v>
      </c>
      <c r="Z231">
        <v>6750</v>
      </c>
      <c r="AA231">
        <v>216</v>
      </c>
      <c r="AB231">
        <v>4216</v>
      </c>
      <c r="AC231">
        <v>0</v>
      </c>
      <c r="AD231">
        <v>26154835562</v>
      </c>
      <c r="AE231">
        <v>109961297.43000001</v>
      </c>
      <c r="AF231">
        <v>25762007506</v>
      </c>
      <c r="AG231">
        <v>25908023860.93</v>
      </c>
      <c r="AH231">
        <v>0.122333</v>
      </c>
      <c r="AI231">
        <v>6.1011999999999997E-2</v>
      </c>
    </row>
    <row r="232" spans="1:35" x14ac:dyDescent="0.35">
      <c r="A232" t="s">
        <v>0</v>
      </c>
      <c r="B232">
        <v>3000</v>
      </c>
      <c r="C232">
        <v>120</v>
      </c>
      <c r="D232">
        <v>2430</v>
      </c>
      <c r="E232">
        <v>0</v>
      </c>
      <c r="F232">
        <v>33200018753</v>
      </c>
      <c r="G232">
        <v>96867581.329999998</v>
      </c>
      <c r="H232">
        <v>32956601942.720001</v>
      </c>
      <c r="I232">
        <v>33096892031.330002</v>
      </c>
      <c r="J232">
        <v>5.1701999999999998E-2</v>
      </c>
      <c r="K232">
        <v>2.2599999999999999E-3</v>
      </c>
      <c r="M232" t="s">
        <v>0</v>
      </c>
      <c r="N232">
        <v>3000</v>
      </c>
      <c r="O232">
        <v>120</v>
      </c>
      <c r="P232">
        <v>1183</v>
      </c>
      <c r="Q232">
        <v>0</v>
      </c>
      <c r="R232">
        <v>15433148675</v>
      </c>
      <c r="S232">
        <v>44828088.710000001</v>
      </c>
      <c r="T232">
        <v>15317907322.08</v>
      </c>
      <c r="U232">
        <v>15386755733.450001</v>
      </c>
      <c r="V232">
        <v>5.3395999999999999E-2</v>
      </c>
      <c r="W232">
        <v>1.2160000000000001E-3</v>
      </c>
      <c r="Y232" t="s">
        <v>0</v>
      </c>
      <c r="Z232">
        <v>3000</v>
      </c>
      <c r="AA232">
        <v>120</v>
      </c>
      <c r="AB232">
        <v>2188</v>
      </c>
      <c r="AC232">
        <v>0</v>
      </c>
      <c r="AD232">
        <v>29842029211</v>
      </c>
      <c r="AE232">
        <v>86774997.040000007</v>
      </c>
      <c r="AF232">
        <v>29664762243</v>
      </c>
      <c r="AG232">
        <v>29743635080.580002</v>
      </c>
      <c r="AH232">
        <v>3.5788E-2</v>
      </c>
      <c r="AI232">
        <v>4.6620000000000003E-3</v>
      </c>
    </row>
    <row r="233" spans="1:35" x14ac:dyDescent="0.35">
      <c r="A233" t="s">
        <v>2</v>
      </c>
      <c r="B233">
        <v>3000</v>
      </c>
      <c r="C233">
        <v>120</v>
      </c>
      <c r="D233">
        <v>611</v>
      </c>
      <c r="E233">
        <v>0</v>
      </c>
      <c r="F233">
        <v>6505529699</v>
      </c>
      <c r="G233">
        <v>18948953.170000002</v>
      </c>
      <c r="H233">
        <v>6458826369.1300001</v>
      </c>
      <c r="I233">
        <v>6485536107.0500002</v>
      </c>
      <c r="J233">
        <v>5.0011E-2</v>
      </c>
      <c r="K233">
        <v>1.9250000000000001E-3</v>
      </c>
      <c r="M233" t="s">
        <v>2</v>
      </c>
      <c r="N233">
        <v>3000</v>
      </c>
      <c r="O233">
        <v>120</v>
      </c>
      <c r="P233">
        <v>281</v>
      </c>
      <c r="Q233">
        <v>0</v>
      </c>
      <c r="R233">
        <v>2874147528</v>
      </c>
      <c r="S233">
        <v>8362821.1500000004</v>
      </c>
      <c r="T233">
        <v>2853698665.29</v>
      </c>
      <c r="U233">
        <v>2865783102.2800002</v>
      </c>
      <c r="V233">
        <v>4.931E-2</v>
      </c>
      <c r="W233">
        <v>6.9999999999999999E-6</v>
      </c>
      <c r="Y233" t="s">
        <v>2</v>
      </c>
      <c r="Z233">
        <v>3000</v>
      </c>
      <c r="AA233">
        <v>120</v>
      </c>
      <c r="AB233">
        <v>526</v>
      </c>
      <c r="AC233">
        <v>0</v>
      </c>
      <c r="AD233">
        <v>5594368821</v>
      </c>
      <c r="AE233">
        <v>16261653.01</v>
      </c>
      <c r="AF233">
        <v>5550969773</v>
      </c>
      <c r="AG233">
        <v>5576417911.5900002</v>
      </c>
      <c r="AH233">
        <v>5.6682000000000003E-2</v>
      </c>
      <c r="AI233">
        <v>3.617E-3</v>
      </c>
    </row>
    <row r="234" spans="1:35" x14ac:dyDescent="0.35">
      <c r="A234" t="s">
        <v>1</v>
      </c>
      <c r="B234">
        <v>3000</v>
      </c>
      <c r="C234">
        <v>120</v>
      </c>
      <c r="D234">
        <v>3217</v>
      </c>
      <c r="E234">
        <v>0</v>
      </c>
      <c r="F234">
        <v>59650079457</v>
      </c>
      <c r="G234">
        <v>174653313.46000001</v>
      </c>
      <c r="H234">
        <v>59179927504.580002</v>
      </c>
      <c r="I234">
        <v>59461483038.080002</v>
      </c>
      <c r="J234">
        <v>5.7853000000000002E-2</v>
      </c>
      <c r="K234">
        <v>2.8010000000000001E-3</v>
      </c>
      <c r="M234" t="s">
        <v>1</v>
      </c>
      <c r="N234">
        <v>3000</v>
      </c>
      <c r="O234">
        <v>120</v>
      </c>
      <c r="P234">
        <v>1306</v>
      </c>
      <c r="Q234">
        <v>0</v>
      </c>
      <c r="R234">
        <v>24162221386</v>
      </c>
      <c r="S234">
        <v>70201818.310000002</v>
      </c>
      <c r="T234">
        <v>23965100358.560001</v>
      </c>
      <c r="U234">
        <v>24086326834.18</v>
      </c>
      <c r="V234">
        <v>6.1244E-2</v>
      </c>
      <c r="W234">
        <v>2.8240000000000001E-3</v>
      </c>
      <c r="Y234" t="s">
        <v>1</v>
      </c>
      <c r="Z234">
        <v>3000</v>
      </c>
      <c r="AA234">
        <v>120</v>
      </c>
      <c r="AB234">
        <v>2748</v>
      </c>
      <c r="AC234">
        <v>0</v>
      </c>
      <c r="AD234">
        <v>50849567417</v>
      </c>
      <c r="AE234">
        <v>148457185.13999999</v>
      </c>
      <c r="AF234">
        <v>50501887575</v>
      </c>
      <c r="AG234">
        <v>50646546606.769997</v>
      </c>
      <c r="AH234">
        <v>4.6015E-2</v>
      </c>
      <c r="AI234">
        <v>1.2801E-2</v>
      </c>
    </row>
    <row r="235" spans="1:35" x14ac:dyDescent="0.35">
      <c r="A235" t="s">
        <v>2</v>
      </c>
      <c r="B235">
        <v>5000</v>
      </c>
      <c r="C235">
        <v>120</v>
      </c>
      <c r="D235">
        <v>4</v>
      </c>
      <c r="E235">
        <v>0</v>
      </c>
      <c r="F235">
        <v>32298522</v>
      </c>
      <c r="G235">
        <v>76676.639999999999</v>
      </c>
      <c r="H235">
        <v>32078178.300000001</v>
      </c>
      <c r="I235">
        <v>32221433.960000001</v>
      </c>
      <c r="J235">
        <v>5.2090999999999998E-2</v>
      </c>
      <c r="K235">
        <v>1.5300000000000001E-4</v>
      </c>
      <c r="M235" t="s">
        <v>2</v>
      </c>
      <c r="N235">
        <v>5000</v>
      </c>
      <c r="O235">
        <v>120</v>
      </c>
      <c r="P235">
        <v>15</v>
      </c>
      <c r="Q235">
        <v>0</v>
      </c>
      <c r="R235">
        <v>125474260</v>
      </c>
      <c r="S235">
        <v>302796.99</v>
      </c>
      <c r="T235">
        <v>124569281.3</v>
      </c>
      <c r="U235">
        <v>125167558.84999999</v>
      </c>
      <c r="V235">
        <v>5.6094999999999999E-2</v>
      </c>
      <c r="W235">
        <v>3.7300000000000001E-4</v>
      </c>
      <c r="Y235" t="s">
        <v>2</v>
      </c>
      <c r="Z235">
        <v>5000</v>
      </c>
      <c r="AA235">
        <v>120</v>
      </c>
      <c r="AB235">
        <v>4</v>
      </c>
      <c r="AC235">
        <v>0</v>
      </c>
      <c r="AD235">
        <v>32353876</v>
      </c>
      <c r="AE235">
        <v>76315.509999999995</v>
      </c>
      <c r="AF235">
        <v>32298522</v>
      </c>
      <c r="AG235">
        <v>32298522</v>
      </c>
      <c r="AH235">
        <v>-7.8019999999999999E-3</v>
      </c>
      <c r="AI235">
        <v>-7.8019999999999999E-3</v>
      </c>
    </row>
    <row r="236" spans="1:35" x14ac:dyDescent="0.35">
      <c r="A236" t="s">
        <v>2</v>
      </c>
      <c r="B236">
        <v>3000</v>
      </c>
      <c r="C236">
        <v>108</v>
      </c>
      <c r="D236">
        <v>78</v>
      </c>
      <c r="E236">
        <v>0</v>
      </c>
      <c r="F236">
        <v>833202245</v>
      </c>
      <c r="G236">
        <v>2360260.0299999998</v>
      </c>
      <c r="H236">
        <v>826460378.05999994</v>
      </c>
      <c r="I236">
        <v>830839535.96000004</v>
      </c>
      <c r="J236">
        <v>6.1310999999999997E-2</v>
      </c>
      <c r="K236">
        <v>3.4999999999999997E-5</v>
      </c>
      <c r="M236" t="s">
        <v>0</v>
      </c>
      <c r="N236">
        <v>3000</v>
      </c>
      <c r="O236">
        <v>108</v>
      </c>
      <c r="P236">
        <v>1580</v>
      </c>
      <c r="Q236">
        <v>0</v>
      </c>
      <c r="R236">
        <v>22208859780</v>
      </c>
      <c r="S236">
        <v>63119265.659999996</v>
      </c>
      <c r="T236">
        <v>22041227815.880001</v>
      </c>
      <c r="U236">
        <v>22142734190.07</v>
      </c>
      <c r="V236">
        <v>5.5031999999999998E-2</v>
      </c>
      <c r="W236">
        <v>1.6230000000000001E-3</v>
      </c>
      <c r="Y236" t="s">
        <v>0</v>
      </c>
      <c r="Z236">
        <v>3000</v>
      </c>
      <c r="AA236">
        <v>108</v>
      </c>
      <c r="AB236">
        <v>543</v>
      </c>
      <c r="AC236">
        <v>0</v>
      </c>
      <c r="AD236">
        <v>7245186442</v>
      </c>
      <c r="AE236">
        <v>20538710.539999999</v>
      </c>
      <c r="AF236">
        <v>7220310327</v>
      </c>
      <c r="AG236">
        <v>7220310327</v>
      </c>
      <c r="AH236">
        <v>7.1599999999999997E-3</v>
      </c>
      <c r="AI236">
        <v>7.1599999999999997E-3</v>
      </c>
    </row>
    <row r="237" spans="1:35" x14ac:dyDescent="0.35">
      <c r="A237" t="s">
        <v>0</v>
      </c>
      <c r="B237">
        <v>3000</v>
      </c>
      <c r="C237">
        <v>108</v>
      </c>
      <c r="D237">
        <v>294</v>
      </c>
      <c r="E237">
        <v>0</v>
      </c>
      <c r="F237">
        <v>3665277419</v>
      </c>
      <c r="G237">
        <v>10312226.949999999</v>
      </c>
      <c r="H237">
        <v>3637352842.3899999</v>
      </c>
      <c r="I237">
        <v>3653652172.46</v>
      </c>
      <c r="J237">
        <v>5.6161999999999997E-2</v>
      </c>
      <c r="K237">
        <v>4.2900000000000004E-3</v>
      </c>
      <c r="M237" t="s">
        <v>2</v>
      </c>
      <c r="N237">
        <v>3000</v>
      </c>
      <c r="O237">
        <v>108</v>
      </c>
      <c r="P237">
        <v>431</v>
      </c>
      <c r="Q237">
        <v>0</v>
      </c>
      <c r="R237">
        <v>4756222833</v>
      </c>
      <c r="S237">
        <v>13510944.279999999</v>
      </c>
      <c r="T237">
        <v>4720822512.5500002</v>
      </c>
      <c r="U237">
        <v>4742249528.2600002</v>
      </c>
      <c r="V237">
        <v>5.3850000000000002E-2</v>
      </c>
      <c r="W237">
        <v>1.1659999999999999E-3</v>
      </c>
      <c r="Y237" t="s">
        <v>1</v>
      </c>
      <c r="Z237">
        <v>3000</v>
      </c>
      <c r="AA237">
        <v>108</v>
      </c>
      <c r="AB237">
        <v>958</v>
      </c>
      <c r="AC237">
        <v>0</v>
      </c>
      <c r="AD237">
        <v>18003852290</v>
      </c>
      <c r="AE237">
        <v>51458680.549999997</v>
      </c>
      <c r="AF237">
        <v>17871027210</v>
      </c>
      <c r="AG237">
        <v>17920662829.759998</v>
      </c>
      <c r="AH237">
        <v>5.2905000000000001E-2</v>
      </c>
      <c r="AI237">
        <v>2.0945999999999999E-2</v>
      </c>
    </row>
    <row r="238" spans="1:35" x14ac:dyDescent="0.35">
      <c r="A238" t="s">
        <v>2</v>
      </c>
      <c r="B238">
        <v>3500</v>
      </c>
      <c r="C238">
        <v>108</v>
      </c>
      <c r="D238">
        <v>3368</v>
      </c>
      <c r="E238">
        <v>0</v>
      </c>
      <c r="F238">
        <v>39328424878</v>
      </c>
      <c r="G238">
        <v>103861327.98999999</v>
      </c>
      <c r="H238">
        <v>39045029101.239998</v>
      </c>
      <c r="I238">
        <v>39217153080.889999</v>
      </c>
      <c r="J238">
        <v>5.3425E-2</v>
      </c>
      <c r="K238">
        <v>2.2590000000000002E-3</v>
      </c>
      <c r="M238" t="s">
        <v>1</v>
      </c>
      <c r="N238">
        <v>3000</v>
      </c>
      <c r="O238">
        <v>108</v>
      </c>
      <c r="P238">
        <v>2439</v>
      </c>
      <c r="Q238">
        <v>0</v>
      </c>
      <c r="R238">
        <v>45642485834</v>
      </c>
      <c r="S238">
        <v>130685143.51000001</v>
      </c>
      <c r="T238">
        <v>45278747777.489998</v>
      </c>
      <c r="U238">
        <v>45502521124.57</v>
      </c>
      <c r="V238">
        <v>5.9581000000000002E-2</v>
      </c>
      <c r="W238">
        <v>2.4369999999999999E-3</v>
      </c>
      <c r="Y238" t="s">
        <v>2</v>
      </c>
      <c r="Z238">
        <v>3000</v>
      </c>
      <c r="AA238">
        <v>108</v>
      </c>
      <c r="AB238">
        <v>169</v>
      </c>
      <c r="AC238">
        <v>0</v>
      </c>
      <c r="AD238">
        <v>1820339642</v>
      </c>
      <c r="AE238">
        <v>5176979.9400000004</v>
      </c>
      <c r="AF238">
        <v>1814391375</v>
      </c>
      <c r="AG238">
        <v>1814391375</v>
      </c>
      <c r="AH238">
        <v>5.0730000000000003E-3</v>
      </c>
      <c r="AI238">
        <v>5.0730000000000003E-3</v>
      </c>
    </row>
    <row r="239" spans="1:35" x14ac:dyDescent="0.35">
      <c r="A239" t="s">
        <v>1</v>
      </c>
      <c r="B239">
        <v>3500</v>
      </c>
      <c r="C239">
        <v>108</v>
      </c>
      <c r="D239">
        <v>12267</v>
      </c>
      <c r="E239">
        <v>0</v>
      </c>
      <c r="F239">
        <v>224267667940</v>
      </c>
      <c r="G239">
        <v>590735808.91999996</v>
      </c>
      <c r="H239">
        <v>222399060944.73999</v>
      </c>
      <c r="I239">
        <v>223594340115.32999</v>
      </c>
      <c r="J239">
        <v>6.6272999999999999E-2</v>
      </c>
      <c r="K239">
        <v>4.4099999999999999E-3</v>
      </c>
      <c r="M239" t="s">
        <v>0</v>
      </c>
      <c r="N239">
        <v>3500</v>
      </c>
      <c r="O239">
        <v>108</v>
      </c>
      <c r="P239">
        <v>33219</v>
      </c>
      <c r="Q239">
        <v>0</v>
      </c>
      <c r="R239">
        <v>481612718334</v>
      </c>
      <c r="S239">
        <v>1289156016.3699999</v>
      </c>
      <c r="T239">
        <v>477863198499.21997</v>
      </c>
      <c r="U239">
        <v>480169327469.81</v>
      </c>
      <c r="V239">
        <v>5.9610000000000003E-2</v>
      </c>
      <c r="W239">
        <v>3.836E-3</v>
      </c>
      <c r="Y239" t="s">
        <v>0</v>
      </c>
      <c r="Z239">
        <v>3500</v>
      </c>
      <c r="AA239">
        <v>108</v>
      </c>
      <c r="AB239">
        <v>19421</v>
      </c>
      <c r="AC239">
        <v>0</v>
      </c>
      <c r="AD239">
        <v>284288350907</v>
      </c>
      <c r="AE239">
        <v>756949750.79999995</v>
      </c>
      <c r="AF239">
        <v>282221612889</v>
      </c>
      <c r="AG239">
        <v>283344114234.85999</v>
      </c>
      <c r="AH239">
        <v>5.3906999999999997E-2</v>
      </c>
      <c r="AI239">
        <v>7.8770000000000003E-3</v>
      </c>
    </row>
    <row r="240" spans="1:35" x14ac:dyDescent="0.35">
      <c r="A240" t="s">
        <v>0</v>
      </c>
      <c r="B240">
        <v>3500</v>
      </c>
      <c r="C240">
        <v>108</v>
      </c>
      <c r="D240">
        <v>13505</v>
      </c>
      <c r="E240">
        <v>0</v>
      </c>
      <c r="F240">
        <v>199735478900</v>
      </c>
      <c r="G240">
        <v>527893091.38999999</v>
      </c>
      <c r="H240">
        <v>198209892837.57001</v>
      </c>
      <c r="I240">
        <v>199125244266.29999</v>
      </c>
      <c r="J240">
        <v>5.8320999999999998E-2</v>
      </c>
      <c r="K240">
        <v>4.9360000000000003E-3</v>
      </c>
      <c r="M240" t="s">
        <v>2</v>
      </c>
      <c r="N240">
        <v>3500</v>
      </c>
      <c r="O240">
        <v>108</v>
      </c>
      <c r="P240">
        <v>6554</v>
      </c>
      <c r="Q240">
        <v>0</v>
      </c>
      <c r="R240">
        <v>73642664141</v>
      </c>
      <c r="S240">
        <v>196450596.5</v>
      </c>
      <c r="T240">
        <v>73074539554.330002</v>
      </c>
      <c r="U240">
        <v>73429012759.589996</v>
      </c>
      <c r="V240">
        <v>5.8910999999999998E-2</v>
      </c>
      <c r="W240">
        <v>2.7989999999999998E-3</v>
      </c>
      <c r="Y240" t="s">
        <v>2</v>
      </c>
      <c r="Z240">
        <v>3500</v>
      </c>
      <c r="AA240">
        <v>108</v>
      </c>
      <c r="AB240">
        <v>4439</v>
      </c>
      <c r="AC240">
        <v>0</v>
      </c>
      <c r="AD240">
        <v>51319304248</v>
      </c>
      <c r="AE240">
        <v>136281053.28</v>
      </c>
      <c r="AF240">
        <v>50946704974</v>
      </c>
      <c r="AG240">
        <v>51118801963.379997</v>
      </c>
      <c r="AH240">
        <v>5.3879999999999997E-2</v>
      </c>
      <c r="AI240">
        <v>1.4914E-2</v>
      </c>
    </row>
    <row r="241" spans="1:35" x14ac:dyDescent="0.35">
      <c r="A241" t="s">
        <v>0</v>
      </c>
      <c r="B241">
        <v>4000</v>
      </c>
      <c r="C241">
        <v>108</v>
      </c>
      <c r="D241">
        <v>66882</v>
      </c>
      <c r="E241">
        <v>0</v>
      </c>
      <c r="F241">
        <v>964174423545</v>
      </c>
      <c r="G241">
        <v>2389039718.6900001</v>
      </c>
      <c r="H241">
        <v>956826609383.90002</v>
      </c>
      <c r="I241">
        <v>961275726264.21997</v>
      </c>
      <c r="J241">
        <v>0.06</v>
      </c>
      <c r="K241">
        <v>6.3249999999999999E-3</v>
      </c>
      <c r="M241" t="s">
        <v>1</v>
      </c>
      <c r="N241">
        <v>3500</v>
      </c>
      <c r="O241">
        <v>108</v>
      </c>
      <c r="P241">
        <v>19872</v>
      </c>
      <c r="Q241">
        <v>0</v>
      </c>
      <c r="R241">
        <v>346880715205</v>
      </c>
      <c r="S241">
        <v>926189990.87</v>
      </c>
      <c r="T241">
        <v>343971328617.91998</v>
      </c>
      <c r="U241">
        <v>345824437897.5</v>
      </c>
      <c r="V241">
        <v>6.6489999999999994E-2</v>
      </c>
      <c r="W241">
        <v>4.4910000000000002E-3</v>
      </c>
      <c r="Y241" t="s">
        <v>1</v>
      </c>
      <c r="Z241">
        <v>4000</v>
      </c>
      <c r="AA241">
        <v>108</v>
      </c>
      <c r="AB241">
        <v>21400</v>
      </c>
      <c r="AC241">
        <v>0</v>
      </c>
      <c r="AD241">
        <v>356647639333</v>
      </c>
      <c r="AE241">
        <v>882739682.87</v>
      </c>
      <c r="AF241">
        <v>353923613972</v>
      </c>
      <c r="AG241">
        <v>355437622961.15002</v>
      </c>
      <c r="AH241">
        <v>6.0224E-2</v>
      </c>
      <c r="AI241">
        <v>1.0956E-2</v>
      </c>
    </row>
    <row r="242" spans="1:35" x14ac:dyDescent="0.35">
      <c r="A242" t="s">
        <v>2</v>
      </c>
      <c r="B242">
        <v>4000</v>
      </c>
      <c r="C242">
        <v>108</v>
      </c>
      <c r="D242">
        <v>12730</v>
      </c>
      <c r="E242">
        <v>0</v>
      </c>
      <c r="F242">
        <v>142864382913</v>
      </c>
      <c r="G242">
        <v>353729282.5</v>
      </c>
      <c r="H242">
        <v>141721012090.60999</v>
      </c>
      <c r="I242">
        <v>142453045086.29999</v>
      </c>
      <c r="J242">
        <v>6.4347000000000001E-2</v>
      </c>
      <c r="K242">
        <v>4.8279999999999998E-3</v>
      </c>
      <c r="M242" t="s">
        <v>0</v>
      </c>
      <c r="N242">
        <v>4000</v>
      </c>
      <c r="O242">
        <v>108</v>
      </c>
      <c r="P242">
        <v>65238</v>
      </c>
      <c r="Q242">
        <v>0</v>
      </c>
      <c r="R242">
        <v>917119831220</v>
      </c>
      <c r="S242">
        <v>2273807386.1500001</v>
      </c>
      <c r="T242">
        <v>909854456284.77002</v>
      </c>
      <c r="U242">
        <v>914383006359.94995</v>
      </c>
      <c r="V242">
        <v>6.3392000000000004E-2</v>
      </c>
      <c r="W242">
        <v>6.0419999999999996E-3</v>
      </c>
      <c r="Y242" t="s">
        <v>0</v>
      </c>
      <c r="Z242">
        <v>4000</v>
      </c>
      <c r="AA242">
        <v>108</v>
      </c>
      <c r="AB242">
        <v>66385</v>
      </c>
      <c r="AC242">
        <v>0</v>
      </c>
      <c r="AD242">
        <v>951619075919</v>
      </c>
      <c r="AE242">
        <v>2357244404.98</v>
      </c>
      <c r="AF242">
        <v>945124732486</v>
      </c>
      <c r="AG242">
        <v>948475145418.18005</v>
      </c>
      <c r="AH242">
        <v>5.0939999999999999E-2</v>
      </c>
      <c r="AI242">
        <v>9.8750000000000001E-3</v>
      </c>
    </row>
    <row r="243" spans="1:35" x14ac:dyDescent="0.35">
      <c r="A243" t="s">
        <v>1</v>
      </c>
      <c r="B243">
        <v>4000</v>
      </c>
      <c r="C243">
        <v>108</v>
      </c>
      <c r="D243">
        <v>22913</v>
      </c>
      <c r="E243">
        <v>0</v>
      </c>
      <c r="F243">
        <v>383017478473</v>
      </c>
      <c r="G243">
        <v>949571010.32000005</v>
      </c>
      <c r="H243">
        <v>379758912342.75</v>
      </c>
      <c r="I243">
        <v>381792933288.71002</v>
      </c>
      <c r="J243">
        <v>6.9989999999999997E-2</v>
      </c>
      <c r="K243">
        <v>8.5810000000000001E-3</v>
      </c>
      <c r="M243" t="s">
        <v>2</v>
      </c>
      <c r="N243">
        <v>4000</v>
      </c>
      <c r="O243">
        <v>108</v>
      </c>
      <c r="P243">
        <v>11376</v>
      </c>
      <c r="Q243">
        <v>0</v>
      </c>
      <c r="R243">
        <v>123292603241</v>
      </c>
      <c r="S243">
        <v>304161794.05000001</v>
      </c>
      <c r="T243">
        <v>122290813433.00999</v>
      </c>
      <c r="U243">
        <v>122948760294.35001</v>
      </c>
      <c r="V243">
        <v>6.5825999999999996E-2</v>
      </c>
      <c r="W243">
        <v>3.8549999999999999E-3</v>
      </c>
      <c r="Y243" t="s">
        <v>2</v>
      </c>
      <c r="Z243">
        <v>4000</v>
      </c>
      <c r="AA243">
        <v>108</v>
      </c>
      <c r="AB243">
        <v>12271</v>
      </c>
      <c r="AC243">
        <v>0</v>
      </c>
      <c r="AD243">
        <v>136585696878</v>
      </c>
      <c r="AE243">
        <v>337649462.54000002</v>
      </c>
      <c r="AF243">
        <v>135517274928</v>
      </c>
      <c r="AG243">
        <v>136153314870.67999</v>
      </c>
      <c r="AH243">
        <v>6.2347E-2</v>
      </c>
      <c r="AI243">
        <v>8.2909999999999998E-3</v>
      </c>
    </row>
    <row r="244" spans="1:35" x14ac:dyDescent="0.35">
      <c r="A244" t="s">
        <v>0</v>
      </c>
      <c r="B244">
        <v>4500</v>
      </c>
      <c r="C244">
        <v>108</v>
      </c>
      <c r="D244">
        <v>44768</v>
      </c>
      <c r="E244">
        <v>0</v>
      </c>
      <c r="F244">
        <v>578140282926</v>
      </c>
      <c r="G244">
        <v>1345530332.1600001</v>
      </c>
      <c r="H244">
        <v>573632988998.87</v>
      </c>
      <c r="I244">
        <v>576277359560.45996</v>
      </c>
      <c r="J244">
        <v>6.3687999999999995E-2</v>
      </c>
      <c r="K244">
        <v>1.0685999999999999E-2</v>
      </c>
      <c r="M244" t="s">
        <v>1</v>
      </c>
      <c r="N244">
        <v>4000</v>
      </c>
      <c r="O244">
        <v>108</v>
      </c>
      <c r="P244">
        <v>19096</v>
      </c>
      <c r="Q244">
        <v>0</v>
      </c>
      <c r="R244">
        <v>314980422548</v>
      </c>
      <c r="S244">
        <v>776877931.70000005</v>
      </c>
      <c r="T244">
        <v>312237133373.07001</v>
      </c>
      <c r="U244">
        <v>313972242357.03998</v>
      </c>
      <c r="V244">
        <v>7.2396000000000002E-2</v>
      </c>
      <c r="W244">
        <v>8.7770000000000001E-3</v>
      </c>
      <c r="Y244" t="s">
        <v>0</v>
      </c>
      <c r="Z244">
        <v>4500</v>
      </c>
      <c r="AA244">
        <v>108</v>
      </c>
      <c r="AB244">
        <v>42980</v>
      </c>
      <c r="AC244">
        <v>0</v>
      </c>
      <c r="AD244">
        <v>552317822315</v>
      </c>
      <c r="AE244">
        <v>1281990353.0899999</v>
      </c>
      <c r="AF244">
        <v>548209975724</v>
      </c>
      <c r="AG244">
        <v>550427740155.98999</v>
      </c>
      <c r="AH244">
        <v>5.9698000000000001E-2</v>
      </c>
      <c r="AI244">
        <v>1.3132E-2</v>
      </c>
    </row>
    <row r="245" spans="1:35" x14ac:dyDescent="0.35">
      <c r="A245" t="s">
        <v>2</v>
      </c>
      <c r="B245">
        <v>4500</v>
      </c>
      <c r="C245">
        <v>108</v>
      </c>
      <c r="D245">
        <v>7300</v>
      </c>
      <c r="E245">
        <v>0</v>
      </c>
      <c r="F245">
        <v>69069477967</v>
      </c>
      <c r="G245">
        <v>160024627.96000001</v>
      </c>
      <c r="H245">
        <v>68498465460.080002</v>
      </c>
      <c r="I245">
        <v>68854188974.259995</v>
      </c>
      <c r="J245">
        <v>6.9112999999999994E-2</v>
      </c>
      <c r="K245">
        <v>9.5589999999999998E-3</v>
      </c>
      <c r="M245" t="s">
        <v>0</v>
      </c>
      <c r="N245">
        <v>4500</v>
      </c>
      <c r="O245">
        <v>108</v>
      </c>
      <c r="P245">
        <v>39293</v>
      </c>
      <c r="Q245">
        <v>0</v>
      </c>
      <c r="R245">
        <v>498610151221</v>
      </c>
      <c r="S245">
        <v>1150650435.05</v>
      </c>
      <c r="T245">
        <v>494528617690.20001</v>
      </c>
      <c r="U245">
        <v>496973727210.17999</v>
      </c>
      <c r="V245">
        <v>6.8301000000000001E-2</v>
      </c>
      <c r="W245">
        <v>1.1629E-2</v>
      </c>
      <c r="Y245" t="s">
        <v>1</v>
      </c>
      <c r="Z245">
        <v>3500</v>
      </c>
      <c r="AA245">
        <v>108</v>
      </c>
      <c r="AB245">
        <v>14934</v>
      </c>
      <c r="AC245">
        <v>0</v>
      </c>
      <c r="AD245">
        <v>267400532550</v>
      </c>
      <c r="AE245">
        <v>708783147.89999998</v>
      </c>
      <c r="AF245">
        <v>265498706072</v>
      </c>
      <c r="AG245">
        <v>266313560072.29001</v>
      </c>
      <c r="AH245">
        <v>5.2245E-2</v>
      </c>
      <c r="AI245">
        <v>1.6840000000000001E-2</v>
      </c>
    </row>
    <row r="246" spans="1:35" x14ac:dyDescent="0.35">
      <c r="A246" t="s">
        <v>1</v>
      </c>
      <c r="B246">
        <v>4500</v>
      </c>
      <c r="C246">
        <v>108</v>
      </c>
      <c r="D246">
        <v>5009</v>
      </c>
      <c r="E246">
        <v>0</v>
      </c>
      <c r="F246">
        <v>68717407705</v>
      </c>
      <c r="G246">
        <v>160116423.93000001</v>
      </c>
      <c r="H246">
        <v>67996511398.800003</v>
      </c>
      <c r="I246">
        <v>68426862689.809998</v>
      </c>
      <c r="J246">
        <v>9.3649999999999997E-2</v>
      </c>
      <c r="K246">
        <v>2.2540000000000001E-2</v>
      </c>
      <c r="M246" t="s">
        <v>0</v>
      </c>
      <c r="N246">
        <v>5000</v>
      </c>
      <c r="O246">
        <v>108</v>
      </c>
      <c r="P246">
        <v>8316</v>
      </c>
      <c r="Q246">
        <v>0</v>
      </c>
      <c r="R246">
        <v>95866532617</v>
      </c>
      <c r="S246">
        <v>207016788.43000001</v>
      </c>
      <c r="T246">
        <v>94981904989.110001</v>
      </c>
      <c r="U246">
        <v>95535744559.979996</v>
      </c>
      <c r="V246">
        <v>8.1598000000000004E-2</v>
      </c>
      <c r="W246">
        <v>1.5383000000000001E-2</v>
      </c>
      <c r="Y246" t="s">
        <v>2</v>
      </c>
      <c r="Z246">
        <v>4500</v>
      </c>
      <c r="AA246">
        <v>108</v>
      </c>
      <c r="AB246">
        <v>6635</v>
      </c>
      <c r="AC246">
        <v>0</v>
      </c>
      <c r="AD246">
        <v>62840542023</v>
      </c>
      <c r="AE246">
        <v>145199278.03</v>
      </c>
      <c r="AF246">
        <v>62433320557</v>
      </c>
      <c r="AG246">
        <v>62645216770.660004</v>
      </c>
      <c r="AH246">
        <v>4.8904000000000003E-2</v>
      </c>
      <c r="AI246">
        <v>9.5300000000000003E-3</v>
      </c>
    </row>
    <row r="247" spans="1:35" x14ac:dyDescent="0.35">
      <c r="A247" t="s">
        <v>0</v>
      </c>
      <c r="B247">
        <v>5000</v>
      </c>
      <c r="C247">
        <v>108</v>
      </c>
      <c r="D247">
        <v>10678</v>
      </c>
      <c r="E247">
        <v>0</v>
      </c>
      <c r="F247">
        <v>125980392226</v>
      </c>
      <c r="G247">
        <v>274405157.18000001</v>
      </c>
      <c r="H247">
        <v>124823280111.33</v>
      </c>
      <c r="I247">
        <v>125548161994.34</v>
      </c>
      <c r="J247">
        <v>8.0915000000000001E-2</v>
      </c>
      <c r="K247">
        <v>1.4930000000000001E-2</v>
      </c>
      <c r="M247" t="s">
        <v>2</v>
      </c>
      <c r="N247">
        <v>4500</v>
      </c>
      <c r="O247">
        <v>108</v>
      </c>
      <c r="P247">
        <v>5208</v>
      </c>
      <c r="Q247">
        <v>0</v>
      </c>
      <c r="R247">
        <v>49621902989</v>
      </c>
      <c r="S247">
        <v>114127375.42</v>
      </c>
      <c r="T247">
        <v>49198197128.199997</v>
      </c>
      <c r="U247">
        <v>49470783282.839996</v>
      </c>
      <c r="V247">
        <v>7.2348999999999997E-2</v>
      </c>
      <c r="W247">
        <v>8.9090000000000003E-3</v>
      </c>
      <c r="Y247" t="s">
        <v>1</v>
      </c>
      <c r="Z247">
        <v>4500</v>
      </c>
      <c r="AA247">
        <v>108</v>
      </c>
      <c r="AB247">
        <v>4699</v>
      </c>
      <c r="AC247">
        <v>0</v>
      </c>
      <c r="AD247">
        <v>64751817644</v>
      </c>
      <c r="AE247">
        <v>150461699.68000001</v>
      </c>
      <c r="AF247">
        <v>64253412628</v>
      </c>
      <c r="AG247">
        <v>64477961437.190002</v>
      </c>
      <c r="AH247">
        <v>6.2609999999999999E-2</v>
      </c>
      <c r="AI247">
        <v>2.2630000000000001E-2</v>
      </c>
    </row>
    <row r="248" spans="1:35" x14ac:dyDescent="0.35">
      <c r="A248" t="s">
        <v>1</v>
      </c>
      <c r="B248">
        <v>5000</v>
      </c>
      <c r="C248">
        <v>108</v>
      </c>
      <c r="D248">
        <v>641</v>
      </c>
      <c r="E248">
        <v>0</v>
      </c>
      <c r="F248">
        <v>7605446949</v>
      </c>
      <c r="G248">
        <v>16561247.789999999</v>
      </c>
      <c r="H248">
        <v>7512692292.96</v>
      </c>
      <c r="I248">
        <v>7574853179.7200003</v>
      </c>
      <c r="J248">
        <v>0.113811</v>
      </c>
      <c r="K248">
        <v>2.1916999999999999E-2</v>
      </c>
      <c r="M248" t="s">
        <v>1</v>
      </c>
      <c r="N248">
        <v>4500</v>
      </c>
      <c r="O248">
        <v>108</v>
      </c>
      <c r="P248">
        <v>4138</v>
      </c>
      <c r="Q248">
        <v>0</v>
      </c>
      <c r="R248">
        <v>56729431108</v>
      </c>
      <c r="S248">
        <v>131066771.52</v>
      </c>
      <c r="T248">
        <v>56108650166.040001</v>
      </c>
      <c r="U248">
        <v>56474760090.879997</v>
      </c>
      <c r="V248">
        <v>9.8809999999999995E-2</v>
      </c>
      <c r="W248">
        <v>2.5835E-2</v>
      </c>
      <c r="Y248" t="s">
        <v>0</v>
      </c>
      <c r="Z248">
        <v>5000</v>
      </c>
      <c r="AA248">
        <v>108</v>
      </c>
      <c r="AB248">
        <v>9985</v>
      </c>
      <c r="AC248">
        <v>0</v>
      </c>
      <c r="AD248">
        <v>117102851036</v>
      </c>
      <c r="AE248">
        <v>254262188.96000001</v>
      </c>
      <c r="AF248">
        <v>116233796401</v>
      </c>
      <c r="AG248">
        <v>116680274591.56</v>
      </c>
      <c r="AH248">
        <v>6.1212999999999997E-2</v>
      </c>
      <c r="AI248">
        <v>1.7111999999999999E-2</v>
      </c>
    </row>
    <row r="249" spans="1:35" x14ac:dyDescent="0.35">
      <c r="A249" t="s">
        <v>0</v>
      </c>
      <c r="B249">
        <v>4250</v>
      </c>
      <c r="C249">
        <v>320</v>
      </c>
      <c r="D249">
        <v>35</v>
      </c>
      <c r="E249">
        <v>0</v>
      </c>
      <c r="F249">
        <v>150596274</v>
      </c>
      <c r="G249">
        <v>1241476.6299999999</v>
      </c>
      <c r="H249">
        <v>148325638.53999999</v>
      </c>
      <c r="I249">
        <v>148857577.27000001</v>
      </c>
      <c r="J249">
        <v>7.8993999999999995E-2</v>
      </c>
      <c r="K249">
        <v>3.8908999999999999E-2</v>
      </c>
      <c r="M249" t="s">
        <v>1</v>
      </c>
      <c r="N249">
        <v>5000</v>
      </c>
      <c r="O249">
        <v>108</v>
      </c>
      <c r="P249">
        <v>492</v>
      </c>
      <c r="Q249">
        <v>0</v>
      </c>
      <c r="R249">
        <v>5675231692</v>
      </c>
      <c r="S249">
        <v>12254083.140000001</v>
      </c>
      <c r="T249">
        <v>5605183433.5900002</v>
      </c>
      <c r="U249">
        <v>5652238508.25</v>
      </c>
      <c r="V249">
        <v>0.11558599999999999</v>
      </c>
      <c r="W249">
        <v>2.2471999999999999E-2</v>
      </c>
      <c r="Y249" t="s">
        <v>1</v>
      </c>
      <c r="Z249">
        <v>5000</v>
      </c>
      <c r="AA249">
        <v>108</v>
      </c>
      <c r="AB249">
        <v>595</v>
      </c>
      <c r="AC249">
        <v>0</v>
      </c>
      <c r="AD249">
        <v>7023577637</v>
      </c>
      <c r="AE249">
        <v>15244870.130000001</v>
      </c>
      <c r="AF249">
        <v>6988444026</v>
      </c>
      <c r="AG249">
        <v>7007407949.9300003</v>
      </c>
      <c r="AH249">
        <v>3.3456E-2</v>
      </c>
      <c r="AI249">
        <v>1.5790000000000001E-3</v>
      </c>
    </row>
    <row r="250" spans="1:35" x14ac:dyDescent="0.35">
      <c r="A250" t="s">
        <v>1</v>
      </c>
      <c r="B250">
        <v>6250</v>
      </c>
      <c r="C250">
        <v>240</v>
      </c>
      <c r="D250">
        <v>529</v>
      </c>
      <c r="E250">
        <v>0</v>
      </c>
      <c r="F250">
        <v>3735851078</v>
      </c>
      <c r="G250">
        <v>20193986.68</v>
      </c>
      <c r="H250">
        <v>3699887022.5500002</v>
      </c>
      <c r="I250">
        <v>3712207909.6700001</v>
      </c>
      <c r="J250">
        <v>4.9495999999999998E-2</v>
      </c>
      <c r="K250">
        <v>1.1023E-2</v>
      </c>
      <c r="M250" t="s">
        <v>0</v>
      </c>
      <c r="N250">
        <v>4250</v>
      </c>
      <c r="O250">
        <v>320</v>
      </c>
      <c r="P250">
        <v>36</v>
      </c>
      <c r="Q250">
        <v>0</v>
      </c>
      <c r="R250">
        <v>149111953</v>
      </c>
      <c r="S250">
        <v>1195756.07</v>
      </c>
      <c r="T250">
        <v>146961060.09</v>
      </c>
      <c r="U250">
        <v>147153185.62</v>
      </c>
      <c r="V250">
        <v>7.4215000000000003E-2</v>
      </c>
      <c r="W250">
        <v>5.9705000000000001E-2</v>
      </c>
      <c r="Y250" t="s">
        <v>0</v>
      </c>
      <c r="Z250">
        <v>4250</v>
      </c>
      <c r="AA250">
        <v>320</v>
      </c>
      <c r="AB250">
        <v>36</v>
      </c>
      <c r="AC250">
        <v>0</v>
      </c>
      <c r="AD250">
        <v>152452317</v>
      </c>
      <c r="AE250">
        <v>1242084.92</v>
      </c>
      <c r="AF250">
        <v>150596274</v>
      </c>
      <c r="AG250">
        <v>150816066.90000001</v>
      </c>
      <c r="AH250">
        <v>4.727E-2</v>
      </c>
      <c r="AI250">
        <v>3.0589000000000002E-2</v>
      </c>
    </row>
    <row r="251" spans="1:35" x14ac:dyDescent="0.35">
      <c r="A251" t="s">
        <v>3</v>
      </c>
      <c r="B251">
        <v>6500</v>
      </c>
      <c r="C251">
        <v>240</v>
      </c>
      <c r="D251">
        <v>76</v>
      </c>
      <c r="E251">
        <v>0</v>
      </c>
      <c r="F251">
        <v>498522780</v>
      </c>
      <c r="G251">
        <v>2605386.2000000002</v>
      </c>
      <c r="H251">
        <v>494866641.38</v>
      </c>
      <c r="I251">
        <v>495753727.38</v>
      </c>
      <c r="J251">
        <v>2.5002E-2</v>
      </c>
      <c r="K251">
        <v>3.9329999999999999E-3</v>
      </c>
      <c r="M251" t="s">
        <v>1</v>
      </c>
      <c r="N251">
        <v>6250</v>
      </c>
      <c r="O251">
        <v>240</v>
      </c>
      <c r="P251">
        <v>579</v>
      </c>
      <c r="Q251">
        <v>0</v>
      </c>
      <c r="R251">
        <v>3989324460</v>
      </c>
      <c r="S251">
        <v>21394923.949999999</v>
      </c>
      <c r="T251">
        <v>3951897274.1700001</v>
      </c>
      <c r="U251">
        <v>3965589619.5700002</v>
      </c>
      <c r="V251">
        <v>4.7174000000000001E-2</v>
      </c>
      <c r="W251">
        <v>7.0159999999999997E-3</v>
      </c>
      <c r="Y251" t="s">
        <v>1</v>
      </c>
      <c r="Z251">
        <v>6250</v>
      </c>
      <c r="AA251">
        <v>240</v>
      </c>
      <c r="AB251">
        <v>552</v>
      </c>
      <c r="AC251">
        <v>0</v>
      </c>
      <c r="AD251">
        <v>3847915201</v>
      </c>
      <c r="AE251">
        <v>20813076.859999999</v>
      </c>
      <c r="AF251">
        <v>3816397938</v>
      </c>
      <c r="AG251">
        <v>3821541817.8699999</v>
      </c>
      <c r="AH251">
        <v>3.2876000000000002E-2</v>
      </c>
      <c r="AI251">
        <v>1.7203E-2</v>
      </c>
    </row>
    <row r="252" spans="1:35" x14ac:dyDescent="0.35">
      <c r="A252" t="s">
        <v>0</v>
      </c>
      <c r="B252">
        <v>6250</v>
      </c>
      <c r="C252">
        <v>216</v>
      </c>
      <c r="D252">
        <v>4712</v>
      </c>
      <c r="E252">
        <v>0</v>
      </c>
      <c r="F252">
        <v>31555305633</v>
      </c>
      <c r="G252">
        <v>137782432.72999999</v>
      </c>
      <c r="H252">
        <v>31255642229.990002</v>
      </c>
      <c r="I252">
        <v>31385250025.23</v>
      </c>
      <c r="J252">
        <v>5.9853000000000003E-2</v>
      </c>
      <c r="K252">
        <v>1.2204E-2</v>
      </c>
      <c r="M252" t="s">
        <v>3</v>
      </c>
      <c r="N252">
        <v>6500</v>
      </c>
      <c r="O252">
        <v>240</v>
      </c>
      <c r="P252">
        <v>67</v>
      </c>
      <c r="Q252">
        <v>0</v>
      </c>
      <c r="R252">
        <v>469067599</v>
      </c>
      <c r="S252">
        <v>2430468.29</v>
      </c>
      <c r="T252">
        <v>466325033.61000001</v>
      </c>
      <c r="U252">
        <v>466631246.41000003</v>
      </c>
      <c r="V252">
        <v>7.9550000000000003E-3</v>
      </c>
      <c r="W252">
        <v>1.5100000000000001E-4</v>
      </c>
      <c r="Y252" t="s">
        <v>3</v>
      </c>
      <c r="Z252">
        <v>6500</v>
      </c>
      <c r="AA252">
        <v>240</v>
      </c>
      <c r="AB252">
        <v>76</v>
      </c>
      <c r="AC252">
        <v>0</v>
      </c>
      <c r="AD252">
        <v>518547413</v>
      </c>
      <c r="AE252">
        <v>2710057.33</v>
      </c>
      <c r="AF252">
        <v>515055579</v>
      </c>
      <c r="AG252">
        <v>515055579</v>
      </c>
      <c r="AH252">
        <v>1.7942E-2</v>
      </c>
      <c r="AI252">
        <v>1.7942E-2</v>
      </c>
    </row>
    <row r="253" spans="1:35" x14ac:dyDescent="0.35">
      <c r="A253" t="s">
        <v>3</v>
      </c>
      <c r="B253">
        <v>6500</v>
      </c>
      <c r="C253">
        <v>216</v>
      </c>
      <c r="D253">
        <v>29</v>
      </c>
      <c r="E253">
        <v>0</v>
      </c>
      <c r="F253">
        <v>182055748</v>
      </c>
      <c r="G253">
        <v>781500.03</v>
      </c>
      <c r="H253">
        <v>180906852.52000001</v>
      </c>
      <c r="I253">
        <v>181267714.37</v>
      </c>
      <c r="J253">
        <v>2.3949000000000002E-2</v>
      </c>
      <c r="K253">
        <v>4.3100000000000001E-4</v>
      </c>
      <c r="M253" t="s">
        <v>0</v>
      </c>
      <c r="N253">
        <v>6250</v>
      </c>
      <c r="O253">
        <v>216</v>
      </c>
      <c r="P253">
        <v>5027</v>
      </c>
      <c r="Q253">
        <v>0</v>
      </c>
      <c r="R253">
        <v>34092714916</v>
      </c>
      <c r="S253">
        <v>146216852.50999999</v>
      </c>
      <c r="T253">
        <v>33763631496.650002</v>
      </c>
      <c r="U253">
        <v>33912023443.23</v>
      </c>
      <c r="V253">
        <v>6.25E-2</v>
      </c>
      <c r="W253">
        <v>1.2067E-2</v>
      </c>
      <c r="Y253" t="s">
        <v>0</v>
      </c>
      <c r="Z253">
        <v>6250</v>
      </c>
      <c r="AA253">
        <v>216</v>
      </c>
      <c r="AB253">
        <v>4859</v>
      </c>
      <c r="AC253">
        <v>0</v>
      </c>
      <c r="AD253">
        <v>32690024284</v>
      </c>
      <c r="AE253">
        <v>141875633.63</v>
      </c>
      <c r="AF253">
        <v>32297979707</v>
      </c>
      <c r="AG253">
        <v>32432946502.66</v>
      </c>
      <c r="AH253">
        <v>8.8065000000000004E-2</v>
      </c>
      <c r="AI253">
        <v>4.1479000000000002E-2</v>
      </c>
    </row>
    <row r="254" spans="1:35" x14ac:dyDescent="0.35">
      <c r="A254" t="s">
        <v>1</v>
      </c>
      <c r="B254">
        <v>3000</v>
      </c>
      <c r="C254">
        <v>320</v>
      </c>
      <c r="D254">
        <v>1</v>
      </c>
      <c r="E254">
        <v>0</v>
      </c>
      <c r="F254">
        <v>4891975</v>
      </c>
      <c r="G254">
        <v>38312.370000000003</v>
      </c>
      <c r="H254">
        <v>4601461.33</v>
      </c>
      <c r="I254">
        <v>4853662.17</v>
      </c>
      <c r="J254">
        <v>0.47015299999999999</v>
      </c>
      <c r="K254">
        <v>9.9999999999999995E-7</v>
      </c>
      <c r="M254" t="s">
        <v>3</v>
      </c>
      <c r="N254">
        <v>6500</v>
      </c>
      <c r="O254">
        <v>216</v>
      </c>
      <c r="P254">
        <v>41</v>
      </c>
      <c r="Q254">
        <v>0</v>
      </c>
      <c r="R254">
        <v>252276195</v>
      </c>
      <c r="S254">
        <v>1079442.8999999999</v>
      </c>
      <c r="T254">
        <v>250823055.19</v>
      </c>
      <c r="U254">
        <v>251196710.33000001</v>
      </c>
      <c r="V254">
        <v>1.7631999999999998E-2</v>
      </c>
      <c r="W254">
        <v>1.9999999999999999E-6</v>
      </c>
      <c r="Y254" t="s">
        <v>3</v>
      </c>
      <c r="Z254">
        <v>6500</v>
      </c>
      <c r="AA254">
        <v>216</v>
      </c>
      <c r="AB254">
        <v>32</v>
      </c>
      <c r="AC254">
        <v>0</v>
      </c>
      <c r="AD254">
        <v>194098859</v>
      </c>
      <c r="AE254">
        <v>829384.45</v>
      </c>
      <c r="AF254">
        <v>193192375</v>
      </c>
      <c r="AG254">
        <v>193192375</v>
      </c>
      <c r="AH254">
        <v>4.7559999999999998E-3</v>
      </c>
      <c r="AI254">
        <v>4.7559999999999998E-3</v>
      </c>
    </row>
    <row r="255" spans="1:35" x14ac:dyDescent="0.35">
      <c r="A255" t="s">
        <v>1</v>
      </c>
      <c r="B255">
        <v>5250</v>
      </c>
      <c r="C255">
        <v>360</v>
      </c>
      <c r="D255">
        <v>1</v>
      </c>
      <c r="E255">
        <v>0</v>
      </c>
      <c r="F255">
        <v>927892</v>
      </c>
      <c r="G255">
        <v>32451.59</v>
      </c>
      <c r="H255">
        <v>882848.2</v>
      </c>
      <c r="I255">
        <v>895440.41</v>
      </c>
      <c r="J255">
        <v>0.151228</v>
      </c>
      <c r="K255">
        <v>0</v>
      </c>
      <c r="M255" t="s">
        <v>1</v>
      </c>
      <c r="N255">
        <v>3000</v>
      </c>
      <c r="O255">
        <v>320</v>
      </c>
      <c r="P255">
        <v>1</v>
      </c>
      <c r="Q255">
        <v>0</v>
      </c>
      <c r="R255">
        <v>5010127</v>
      </c>
      <c r="S255">
        <v>38056.160000000003</v>
      </c>
      <c r="T255">
        <v>4876444.45</v>
      </c>
      <c r="U255">
        <v>4972070.72</v>
      </c>
      <c r="V255">
        <v>0.20646200000000001</v>
      </c>
      <c r="W255">
        <v>0</v>
      </c>
      <c r="Y255" t="s">
        <v>1</v>
      </c>
      <c r="Z255">
        <v>3000</v>
      </c>
      <c r="AA255">
        <v>320</v>
      </c>
      <c r="AB255">
        <v>1</v>
      </c>
      <c r="AC255">
        <v>0</v>
      </c>
      <c r="AD255">
        <v>4970841</v>
      </c>
      <c r="AE255">
        <v>38532.25</v>
      </c>
      <c r="AF255">
        <v>4891975</v>
      </c>
      <c r="AG255">
        <v>4891975</v>
      </c>
      <c r="AH255">
        <v>9.3139E-2</v>
      </c>
      <c r="AI255">
        <v>9.3139E-2</v>
      </c>
    </row>
    <row r="256" spans="1:35" x14ac:dyDescent="0.35">
      <c r="A256" t="s">
        <v>2</v>
      </c>
      <c r="B256">
        <v>5500</v>
      </c>
      <c r="C256">
        <v>360</v>
      </c>
      <c r="D256">
        <v>1</v>
      </c>
      <c r="E256">
        <v>0</v>
      </c>
      <c r="F256">
        <v>468276</v>
      </c>
      <c r="G256">
        <v>28274.22</v>
      </c>
      <c r="H256">
        <v>437483.4</v>
      </c>
      <c r="I256">
        <v>440001.78</v>
      </c>
      <c r="J256">
        <v>6.2660999999999994E-2</v>
      </c>
      <c r="K256">
        <v>0</v>
      </c>
      <c r="M256" t="s">
        <v>1</v>
      </c>
      <c r="N256">
        <v>5250</v>
      </c>
      <c r="O256">
        <v>360</v>
      </c>
      <c r="P256">
        <v>1</v>
      </c>
      <c r="Q256">
        <v>0</v>
      </c>
      <c r="R256">
        <v>1027327</v>
      </c>
      <c r="S256">
        <v>32120.85</v>
      </c>
      <c r="T256">
        <v>981429.45</v>
      </c>
      <c r="U256">
        <v>995206.15</v>
      </c>
      <c r="V256">
        <v>0.14956900000000001</v>
      </c>
      <c r="W256">
        <v>0</v>
      </c>
      <c r="Y256" t="s">
        <v>1</v>
      </c>
      <c r="Z256">
        <v>5250</v>
      </c>
      <c r="AA256">
        <v>360</v>
      </c>
      <c r="AB256">
        <v>1</v>
      </c>
      <c r="AC256">
        <v>0</v>
      </c>
      <c r="AD256">
        <v>961182</v>
      </c>
      <c r="AE256">
        <v>32343.200000000001</v>
      </c>
      <c r="AF256">
        <v>927892</v>
      </c>
      <c r="AG256">
        <v>927892</v>
      </c>
      <c r="AH256">
        <v>1.1757E-2</v>
      </c>
      <c r="AI256">
        <v>1.1757E-2</v>
      </c>
    </row>
    <row r="257" spans="1:35" x14ac:dyDescent="0.35">
      <c r="A257" t="s">
        <v>1</v>
      </c>
      <c r="B257">
        <v>4750</v>
      </c>
      <c r="C257">
        <v>320</v>
      </c>
      <c r="D257">
        <v>88</v>
      </c>
      <c r="E257">
        <v>0</v>
      </c>
      <c r="F257">
        <v>464609153</v>
      </c>
      <c r="G257">
        <v>3925361.59</v>
      </c>
      <c r="H257">
        <v>454680116.93000001</v>
      </c>
      <c r="I257">
        <v>457119868.89999998</v>
      </c>
      <c r="J257">
        <v>0.14450499999999999</v>
      </c>
      <c r="K257">
        <v>8.8263999999999995E-2</v>
      </c>
      <c r="M257" t="s">
        <v>2</v>
      </c>
      <c r="N257">
        <v>5500</v>
      </c>
      <c r="O257">
        <v>360</v>
      </c>
      <c r="P257">
        <v>1</v>
      </c>
      <c r="Q257">
        <v>0</v>
      </c>
      <c r="R257">
        <v>560382</v>
      </c>
      <c r="S257">
        <v>28295.71</v>
      </c>
      <c r="T257">
        <v>528981.51</v>
      </c>
      <c r="U257">
        <v>532086.29</v>
      </c>
      <c r="V257">
        <v>6.4496999999999999E-2</v>
      </c>
      <c r="W257">
        <v>0</v>
      </c>
      <c r="Y257" t="s">
        <v>2</v>
      </c>
      <c r="Z257">
        <v>5500</v>
      </c>
      <c r="AA257">
        <v>360</v>
      </c>
      <c r="AB257">
        <v>1</v>
      </c>
      <c r="AC257">
        <v>0</v>
      </c>
      <c r="AD257">
        <v>499118</v>
      </c>
      <c r="AE257">
        <v>28298.12</v>
      </c>
      <c r="AF257">
        <v>468276</v>
      </c>
      <c r="AG257">
        <v>468276</v>
      </c>
      <c r="AH257">
        <v>5.9475E-2</v>
      </c>
      <c r="AI257">
        <v>5.9475E-2</v>
      </c>
    </row>
    <row r="258" spans="1:35" x14ac:dyDescent="0.35">
      <c r="A258" t="s">
        <v>0</v>
      </c>
      <c r="B258">
        <v>5250</v>
      </c>
      <c r="C258">
        <v>240</v>
      </c>
      <c r="D258">
        <v>266</v>
      </c>
      <c r="E258">
        <v>0</v>
      </c>
      <c r="F258">
        <v>1621899337</v>
      </c>
      <c r="G258">
        <v>9272312.4800000004</v>
      </c>
      <c r="H258">
        <v>1604858591.98</v>
      </c>
      <c r="I258">
        <v>1612019204.5</v>
      </c>
      <c r="J258">
        <v>5.5986000000000001E-2</v>
      </c>
      <c r="K258">
        <v>4.4879999999999998E-3</v>
      </c>
      <c r="M258" t="s">
        <v>1</v>
      </c>
      <c r="N258">
        <v>4750</v>
      </c>
      <c r="O258">
        <v>320</v>
      </c>
      <c r="P258">
        <v>88</v>
      </c>
      <c r="Q258">
        <v>0</v>
      </c>
      <c r="R258">
        <v>472199697</v>
      </c>
      <c r="S258">
        <v>3869174.19</v>
      </c>
      <c r="T258">
        <v>462461966.99000001</v>
      </c>
      <c r="U258">
        <v>465882326.31999999</v>
      </c>
      <c r="V258">
        <v>0.13935400000000001</v>
      </c>
      <c r="W258">
        <v>6.0471999999999998E-2</v>
      </c>
      <c r="Y258" t="s">
        <v>1</v>
      </c>
      <c r="Z258">
        <v>4750</v>
      </c>
      <c r="AA258">
        <v>320</v>
      </c>
      <c r="AB258">
        <v>90</v>
      </c>
      <c r="AC258">
        <v>0</v>
      </c>
      <c r="AD258">
        <v>476373531</v>
      </c>
      <c r="AE258">
        <v>3975930.15</v>
      </c>
      <c r="AF258">
        <v>464609153</v>
      </c>
      <c r="AG258">
        <v>467814746</v>
      </c>
      <c r="AH258">
        <v>0.179478</v>
      </c>
      <c r="AI258">
        <v>0.109527</v>
      </c>
    </row>
    <row r="259" spans="1:35" x14ac:dyDescent="0.35">
      <c r="A259" t="s">
        <v>0</v>
      </c>
      <c r="B259">
        <v>8500</v>
      </c>
      <c r="C259">
        <v>240</v>
      </c>
      <c r="D259">
        <v>5</v>
      </c>
      <c r="E259">
        <v>0</v>
      </c>
      <c r="F259">
        <v>26467601</v>
      </c>
      <c r="G259">
        <v>129629.86</v>
      </c>
      <c r="H259">
        <v>26233537.52</v>
      </c>
      <c r="I259">
        <v>26337936.59</v>
      </c>
      <c r="J259">
        <v>4.6334E-2</v>
      </c>
      <c r="K259">
        <v>1.5999999999999999E-5</v>
      </c>
      <c r="M259" t="s">
        <v>0</v>
      </c>
      <c r="N259">
        <v>5250</v>
      </c>
      <c r="O259">
        <v>240</v>
      </c>
      <c r="P259">
        <v>341</v>
      </c>
      <c r="Q259">
        <v>0</v>
      </c>
      <c r="R259">
        <v>1907104902</v>
      </c>
      <c r="S259">
        <v>11184440.75</v>
      </c>
      <c r="T259">
        <v>1888834819.5</v>
      </c>
      <c r="U259">
        <v>1895502465.25</v>
      </c>
      <c r="V259">
        <v>4.3685000000000002E-2</v>
      </c>
      <c r="W259">
        <v>2.627E-3</v>
      </c>
      <c r="Y259" t="s">
        <v>0</v>
      </c>
      <c r="Z259">
        <v>5250</v>
      </c>
      <c r="AA259">
        <v>240</v>
      </c>
      <c r="AB259">
        <v>285</v>
      </c>
      <c r="AC259">
        <v>0</v>
      </c>
      <c r="AD259">
        <v>1675672364</v>
      </c>
      <c r="AE259">
        <v>9684412.0999999996</v>
      </c>
      <c r="AF259">
        <v>1659352506</v>
      </c>
      <c r="AG259">
        <v>1659352506</v>
      </c>
      <c r="AH259">
        <v>4.6496999999999997E-2</v>
      </c>
      <c r="AI259">
        <v>4.6496999999999997E-2</v>
      </c>
    </row>
    <row r="260" spans="1:35" x14ac:dyDescent="0.35">
      <c r="A260" t="s">
        <v>0</v>
      </c>
      <c r="B260">
        <v>9000</v>
      </c>
      <c r="C260">
        <v>240</v>
      </c>
      <c r="D260">
        <v>3</v>
      </c>
      <c r="E260">
        <v>0</v>
      </c>
      <c r="F260">
        <v>16721813</v>
      </c>
      <c r="G260">
        <v>73663.350000000006</v>
      </c>
      <c r="H260">
        <v>16582396.58</v>
      </c>
      <c r="I260">
        <v>16647954.689999999</v>
      </c>
      <c r="J260">
        <v>4.6178999999999998E-2</v>
      </c>
      <c r="K260">
        <v>1.3999999999999999E-4</v>
      </c>
      <c r="M260" t="s">
        <v>0</v>
      </c>
      <c r="N260">
        <v>8500</v>
      </c>
      <c r="O260">
        <v>240</v>
      </c>
      <c r="P260">
        <v>7</v>
      </c>
      <c r="Q260">
        <v>0</v>
      </c>
      <c r="R260">
        <v>36842085</v>
      </c>
      <c r="S260">
        <v>210954.75</v>
      </c>
      <c r="T260">
        <v>36233198.710000001</v>
      </c>
      <c r="U260">
        <v>36630905.810000002</v>
      </c>
      <c r="V260">
        <v>0.122183</v>
      </c>
      <c r="W260">
        <v>7.2999999999999999E-5</v>
      </c>
      <c r="Y260" t="s">
        <v>0</v>
      </c>
      <c r="Z260">
        <v>8500</v>
      </c>
      <c r="AA260">
        <v>240</v>
      </c>
      <c r="AB260">
        <v>5</v>
      </c>
      <c r="AC260">
        <v>0</v>
      </c>
      <c r="AD260">
        <v>26618365</v>
      </c>
      <c r="AE260">
        <v>128824.78</v>
      </c>
      <c r="AF260">
        <v>26467601</v>
      </c>
      <c r="AG260">
        <v>26467601</v>
      </c>
      <c r="AH260">
        <v>9.8460000000000006E-3</v>
      </c>
      <c r="AI260">
        <v>9.8460000000000006E-3</v>
      </c>
    </row>
    <row r="261" spans="1:35" x14ac:dyDescent="0.35">
      <c r="A261" t="s">
        <v>0</v>
      </c>
      <c r="B261">
        <v>6750</v>
      </c>
      <c r="C261">
        <v>216</v>
      </c>
      <c r="D261">
        <v>3892</v>
      </c>
      <c r="E261">
        <v>0</v>
      </c>
      <c r="F261">
        <v>24077942934</v>
      </c>
      <c r="G261">
        <v>101609996.77</v>
      </c>
      <c r="H261">
        <v>23830360243.310001</v>
      </c>
      <c r="I261">
        <v>23923654714.43</v>
      </c>
      <c r="J261">
        <v>7.0373000000000005E-2</v>
      </c>
      <c r="K261">
        <v>2.5940000000000001E-2</v>
      </c>
      <c r="M261" t="s">
        <v>0</v>
      </c>
      <c r="N261">
        <v>9000</v>
      </c>
      <c r="O261">
        <v>240</v>
      </c>
      <c r="P261">
        <v>4</v>
      </c>
      <c r="Q261">
        <v>0</v>
      </c>
      <c r="R261">
        <v>19231557</v>
      </c>
      <c r="S261">
        <v>83541.34</v>
      </c>
      <c r="T261">
        <v>19127643.609999999</v>
      </c>
      <c r="U261">
        <v>19147935.82</v>
      </c>
      <c r="V261">
        <v>1.2638E-2</v>
      </c>
      <c r="W261">
        <v>5.0000000000000002E-5</v>
      </c>
      <c r="Y261" t="s">
        <v>0</v>
      </c>
      <c r="Z261">
        <v>9000</v>
      </c>
      <c r="AA261">
        <v>240</v>
      </c>
      <c r="AB261">
        <v>4</v>
      </c>
      <c r="AC261">
        <v>0</v>
      </c>
      <c r="AD261">
        <v>19044109</v>
      </c>
      <c r="AE261">
        <v>84718.8</v>
      </c>
      <c r="AF261">
        <v>18936186</v>
      </c>
      <c r="AG261">
        <v>18936186</v>
      </c>
      <c r="AH261">
        <v>1.4524E-2</v>
      </c>
      <c r="AI261">
        <v>1.4524E-2</v>
      </c>
    </row>
    <row r="262" spans="1:35" x14ac:dyDescent="0.35">
      <c r="A262" t="s">
        <v>0</v>
      </c>
      <c r="B262">
        <v>3000</v>
      </c>
      <c r="C262">
        <v>240</v>
      </c>
      <c r="D262">
        <v>7</v>
      </c>
      <c r="E262">
        <v>0</v>
      </c>
      <c r="F262">
        <v>22896275</v>
      </c>
      <c r="G262">
        <v>161145.60999999999</v>
      </c>
      <c r="H262">
        <v>22633406.75</v>
      </c>
      <c r="I262">
        <v>22735109.149999999</v>
      </c>
      <c r="J262">
        <v>5.2028999999999999E-2</v>
      </c>
      <c r="K262">
        <v>1.1E-5</v>
      </c>
      <c r="M262" t="s">
        <v>0</v>
      </c>
      <c r="N262">
        <v>4750</v>
      </c>
      <c r="O262">
        <v>240</v>
      </c>
      <c r="P262">
        <v>45</v>
      </c>
      <c r="Q262">
        <v>0</v>
      </c>
      <c r="R262">
        <v>234956456</v>
      </c>
      <c r="S262">
        <v>1434759.99</v>
      </c>
      <c r="T262">
        <v>232811052.65000001</v>
      </c>
      <c r="U262">
        <v>233484091.81999999</v>
      </c>
      <c r="V262">
        <v>3.5697E-2</v>
      </c>
      <c r="W262">
        <v>1.9189999999999999E-3</v>
      </c>
      <c r="Y262" t="s">
        <v>0</v>
      </c>
      <c r="Z262">
        <v>3000</v>
      </c>
      <c r="AA262">
        <v>240</v>
      </c>
      <c r="AB262">
        <v>7</v>
      </c>
      <c r="AC262">
        <v>0</v>
      </c>
      <c r="AD262">
        <v>23195587</v>
      </c>
      <c r="AE262">
        <v>161690.84</v>
      </c>
      <c r="AF262">
        <v>22896275</v>
      </c>
      <c r="AG262">
        <v>22896275</v>
      </c>
      <c r="AH262">
        <v>6.8918999999999994E-2</v>
      </c>
      <c r="AI262">
        <v>6.8918999999999994E-2</v>
      </c>
    </row>
    <row r="263" spans="1:35" x14ac:dyDescent="0.35">
      <c r="A263" t="s">
        <v>2</v>
      </c>
      <c r="B263">
        <v>3000</v>
      </c>
      <c r="C263">
        <v>240</v>
      </c>
      <c r="D263">
        <v>2</v>
      </c>
      <c r="E263">
        <v>0</v>
      </c>
      <c r="F263">
        <v>4289397</v>
      </c>
      <c r="G263">
        <v>30711.19</v>
      </c>
      <c r="H263">
        <v>4239796.51</v>
      </c>
      <c r="I263">
        <v>4258683.54</v>
      </c>
      <c r="J263">
        <v>5.1582999999999997E-2</v>
      </c>
      <c r="K263">
        <v>6.0000000000000002E-6</v>
      </c>
      <c r="M263" t="s">
        <v>1</v>
      </c>
      <c r="N263">
        <v>4750</v>
      </c>
      <c r="O263">
        <v>240</v>
      </c>
      <c r="P263">
        <v>29</v>
      </c>
      <c r="Q263">
        <v>0</v>
      </c>
      <c r="R263">
        <v>165992661</v>
      </c>
      <c r="S263">
        <v>985830.11</v>
      </c>
      <c r="T263">
        <v>164417968.43000001</v>
      </c>
      <c r="U263">
        <v>165006718.96000001</v>
      </c>
      <c r="V263">
        <v>4.1749000000000001E-2</v>
      </c>
      <c r="W263">
        <v>7.9999999999999996E-6</v>
      </c>
      <c r="Y263" t="s">
        <v>2</v>
      </c>
      <c r="Z263">
        <v>3000</v>
      </c>
      <c r="AA263">
        <v>240</v>
      </c>
      <c r="AB263">
        <v>3</v>
      </c>
      <c r="AC263">
        <v>0</v>
      </c>
      <c r="AD263">
        <v>7586679</v>
      </c>
      <c r="AE263">
        <v>54021.57</v>
      </c>
      <c r="AF263">
        <v>7505433</v>
      </c>
      <c r="AG263">
        <v>7505433</v>
      </c>
      <c r="AH263">
        <v>4.2222000000000003E-2</v>
      </c>
      <c r="AI263">
        <v>4.2222000000000003E-2</v>
      </c>
    </row>
    <row r="264" spans="1:35" x14ac:dyDescent="0.35">
      <c r="A264" t="s">
        <v>1</v>
      </c>
      <c r="B264">
        <v>4000</v>
      </c>
      <c r="C264">
        <v>320</v>
      </c>
      <c r="D264">
        <v>47</v>
      </c>
      <c r="E264">
        <v>0</v>
      </c>
      <c r="F264">
        <v>202533525</v>
      </c>
      <c r="G264">
        <v>1810879.48</v>
      </c>
      <c r="H264">
        <v>197935190.16</v>
      </c>
      <c r="I264">
        <v>199207019.40000001</v>
      </c>
      <c r="J264">
        <v>0.15321000000000001</v>
      </c>
      <c r="K264">
        <v>8.6194999999999994E-2</v>
      </c>
      <c r="M264" t="s">
        <v>2</v>
      </c>
      <c r="N264">
        <v>5000</v>
      </c>
      <c r="O264">
        <v>240</v>
      </c>
      <c r="P264">
        <v>16</v>
      </c>
      <c r="Q264">
        <v>0</v>
      </c>
      <c r="R264">
        <v>96399706</v>
      </c>
      <c r="S264">
        <v>595861.06999999995</v>
      </c>
      <c r="T264">
        <v>95482090.920000002</v>
      </c>
      <c r="U264">
        <v>95803797.299999997</v>
      </c>
      <c r="V264">
        <v>3.9324999999999999E-2</v>
      </c>
      <c r="W264">
        <v>6.0000000000000002E-6</v>
      </c>
      <c r="Y264" t="s">
        <v>2</v>
      </c>
      <c r="Z264">
        <v>5250</v>
      </c>
      <c r="AA264">
        <v>240</v>
      </c>
      <c r="AB264">
        <v>36</v>
      </c>
      <c r="AC264">
        <v>0</v>
      </c>
      <c r="AD264">
        <v>161404236</v>
      </c>
      <c r="AE264">
        <v>937927.29</v>
      </c>
      <c r="AF264">
        <v>160114718</v>
      </c>
      <c r="AG264">
        <v>160114718</v>
      </c>
      <c r="AH264">
        <v>2.5829000000000001E-2</v>
      </c>
      <c r="AI264">
        <v>2.5829000000000001E-2</v>
      </c>
    </row>
    <row r="265" spans="1:35" x14ac:dyDescent="0.35">
      <c r="A265" t="s">
        <v>3</v>
      </c>
      <c r="B265">
        <v>5500</v>
      </c>
      <c r="C265">
        <v>240</v>
      </c>
      <c r="D265">
        <v>2</v>
      </c>
      <c r="E265">
        <v>0</v>
      </c>
      <c r="F265">
        <v>8978950</v>
      </c>
      <c r="G265">
        <v>52459.86</v>
      </c>
      <c r="H265">
        <v>8923130.8599999994</v>
      </c>
      <c r="I265">
        <v>8926489.9299999997</v>
      </c>
      <c r="J265">
        <v>4.4799999999999996E-3</v>
      </c>
      <c r="K265">
        <v>0</v>
      </c>
      <c r="M265" t="s">
        <v>1</v>
      </c>
      <c r="N265">
        <v>5250</v>
      </c>
      <c r="O265">
        <v>240</v>
      </c>
      <c r="P265">
        <v>34</v>
      </c>
      <c r="Q265">
        <v>0</v>
      </c>
      <c r="R265">
        <v>240097755</v>
      </c>
      <c r="S265">
        <v>1424624.06</v>
      </c>
      <c r="T265">
        <v>238153738.81999999</v>
      </c>
      <c r="U265">
        <v>238672831.30000001</v>
      </c>
      <c r="V265">
        <v>2.5652000000000001E-2</v>
      </c>
      <c r="W265">
        <v>1.5E-5</v>
      </c>
      <c r="Y265" t="s">
        <v>2</v>
      </c>
      <c r="Z265">
        <v>5000</v>
      </c>
      <c r="AA265">
        <v>240</v>
      </c>
      <c r="AB265">
        <v>10</v>
      </c>
      <c r="AC265">
        <v>0</v>
      </c>
      <c r="AD265">
        <v>52499280</v>
      </c>
      <c r="AE265">
        <v>306178.3</v>
      </c>
      <c r="AF265">
        <v>52224590</v>
      </c>
      <c r="AG265">
        <v>52224590</v>
      </c>
      <c r="AH265">
        <v>-7.221E-3</v>
      </c>
      <c r="AI265">
        <v>-7.221E-3</v>
      </c>
    </row>
    <row r="266" spans="1:35" x14ac:dyDescent="0.35">
      <c r="A266" t="s">
        <v>2</v>
      </c>
      <c r="B266">
        <v>5750</v>
      </c>
      <c r="C266">
        <v>240</v>
      </c>
      <c r="D266">
        <v>76</v>
      </c>
      <c r="E266">
        <v>0</v>
      </c>
      <c r="F266">
        <v>355212154</v>
      </c>
      <c r="G266">
        <v>1987846.57</v>
      </c>
      <c r="H266">
        <v>352221833.07999998</v>
      </c>
      <c r="I266">
        <v>353125749.79000002</v>
      </c>
      <c r="J266">
        <v>3.3345E-2</v>
      </c>
      <c r="K266">
        <v>3.3240000000000001E-3</v>
      </c>
      <c r="M266" t="s">
        <v>2</v>
      </c>
      <c r="N266">
        <v>5250</v>
      </c>
      <c r="O266">
        <v>240</v>
      </c>
      <c r="P266">
        <v>51</v>
      </c>
      <c r="Q266">
        <v>0</v>
      </c>
      <c r="R266">
        <v>221248372</v>
      </c>
      <c r="S266">
        <v>1315403.43</v>
      </c>
      <c r="T266">
        <v>219489633.87</v>
      </c>
      <c r="U266">
        <v>219932483.91999999</v>
      </c>
      <c r="V266">
        <v>2.3782000000000001E-2</v>
      </c>
      <c r="W266">
        <v>2.5999999999999998E-5</v>
      </c>
      <c r="Y266" t="s">
        <v>1</v>
      </c>
      <c r="Z266">
        <v>4000</v>
      </c>
      <c r="AA266">
        <v>240</v>
      </c>
      <c r="AB266">
        <v>4</v>
      </c>
      <c r="AC266">
        <v>0</v>
      </c>
      <c r="AD266">
        <v>13730583</v>
      </c>
      <c r="AE266">
        <v>89891.91</v>
      </c>
      <c r="AF266">
        <v>13567559</v>
      </c>
      <c r="AG266">
        <v>13567559</v>
      </c>
      <c r="AH266">
        <v>6.2074999999999998E-2</v>
      </c>
      <c r="AI266">
        <v>6.2074999999999998E-2</v>
      </c>
    </row>
    <row r="267" spans="1:35" x14ac:dyDescent="0.35">
      <c r="A267" t="s">
        <v>0</v>
      </c>
      <c r="B267">
        <v>4750</v>
      </c>
      <c r="C267">
        <v>240</v>
      </c>
      <c r="D267">
        <v>35</v>
      </c>
      <c r="E267">
        <v>0</v>
      </c>
      <c r="F267">
        <v>159975682</v>
      </c>
      <c r="G267">
        <v>980061.28</v>
      </c>
      <c r="H267">
        <v>158110901.31</v>
      </c>
      <c r="I267">
        <v>158988368.53</v>
      </c>
      <c r="J267">
        <v>6.4381999999999995E-2</v>
      </c>
      <c r="K267">
        <v>5.44E-4</v>
      </c>
      <c r="M267" t="s">
        <v>0</v>
      </c>
      <c r="N267">
        <v>3000</v>
      </c>
      <c r="O267">
        <v>240</v>
      </c>
      <c r="P267">
        <v>8</v>
      </c>
      <c r="Q267">
        <v>0</v>
      </c>
      <c r="R267">
        <v>27069315</v>
      </c>
      <c r="S267">
        <v>185964.49</v>
      </c>
      <c r="T267">
        <v>26802459.34</v>
      </c>
      <c r="U267">
        <v>26883337.77</v>
      </c>
      <c r="V267">
        <v>3.5276000000000002E-2</v>
      </c>
      <c r="W267">
        <v>6.0000000000000002E-6</v>
      </c>
      <c r="Y267" t="s">
        <v>0</v>
      </c>
      <c r="Z267">
        <v>4750</v>
      </c>
      <c r="AA267">
        <v>240</v>
      </c>
      <c r="AB267">
        <v>36</v>
      </c>
      <c r="AC267">
        <v>0</v>
      </c>
      <c r="AD267">
        <v>168354106</v>
      </c>
      <c r="AE267">
        <v>1024741.33</v>
      </c>
      <c r="AF267">
        <v>166911082</v>
      </c>
      <c r="AG267">
        <v>166911082</v>
      </c>
      <c r="AH267">
        <v>2.9409999999999999E-2</v>
      </c>
      <c r="AI267">
        <v>2.9409999999999999E-2</v>
      </c>
    </row>
    <row r="268" spans="1:35" x14ac:dyDescent="0.35">
      <c r="A268" t="s">
        <v>1</v>
      </c>
      <c r="B268">
        <v>5250</v>
      </c>
      <c r="C268">
        <v>240</v>
      </c>
      <c r="D268">
        <v>18</v>
      </c>
      <c r="E268">
        <v>0</v>
      </c>
      <c r="F268">
        <v>145020846</v>
      </c>
      <c r="G268">
        <v>821953.88</v>
      </c>
      <c r="H268">
        <v>143752197.28999999</v>
      </c>
      <c r="I268">
        <v>144198682.97</v>
      </c>
      <c r="J268">
        <v>3.6343E-2</v>
      </c>
      <c r="K268">
        <v>1.7E-5</v>
      </c>
      <c r="M268" t="s">
        <v>2</v>
      </c>
      <c r="N268">
        <v>3000</v>
      </c>
      <c r="O268">
        <v>240</v>
      </c>
      <c r="P268">
        <v>5</v>
      </c>
      <c r="Q268">
        <v>0</v>
      </c>
      <c r="R268">
        <v>13634745</v>
      </c>
      <c r="S268">
        <v>95878.53</v>
      </c>
      <c r="T268">
        <v>13530616.460000001</v>
      </c>
      <c r="U268">
        <v>13538862.98</v>
      </c>
      <c r="V268">
        <v>7.2370000000000004E-3</v>
      </c>
      <c r="W268">
        <v>3.0000000000000001E-6</v>
      </c>
      <c r="Y268" t="s">
        <v>3</v>
      </c>
      <c r="Z268">
        <v>5500</v>
      </c>
      <c r="AA268">
        <v>240</v>
      </c>
      <c r="AB268">
        <v>2</v>
      </c>
      <c r="AC268">
        <v>0</v>
      </c>
      <c r="AD268">
        <v>9230933</v>
      </c>
      <c r="AE268">
        <v>53431.76</v>
      </c>
      <c r="AF268">
        <v>8978950</v>
      </c>
      <c r="AG268">
        <v>8978950</v>
      </c>
      <c r="AH268">
        <v>0.22966400000000001</v>
      </c>
      <c r="AI268">
        <v>0.22966400000000001</v>
      </c>
    </row>
    <row r="269" spans="1:35" x14ac:dyDescent="0.35">
      <c r="A269" t="s">
        <v>2</v>
      </c>
      <c r="B269">
        <v>5250</v>
      </c>
      <c r="C269">
        <v>240</v>
      </c>
      <c r="D269">
        <v>32</v>
      </c>
      <c r="E269">
        <v>0</v>
      </c>
      <c r="F269">
        <v>142863393</v>
      </c>
      <c r="G269">
        <v>828869.67</v>
      </c>
      <c r="H269">
        <v>141714126</v>
      </c>
      <c r="I269">
        <v>142033973.36000001</v>
      </c>
      <c r="J269">
        <v>2.6582999999999999E-2</v>
      </c>
      <c r="K269">
        <v>4.6E-5</v>
      </c>
      <c r="M269" t="s">
        <v>1</v>
      </c>
      <c r="N269">
        <v>4000</v>
      </c>
      <c r="O269">
        <v>240</v>
      </c>
      <c r="P269">
        <v>4</v>
      </c>
      <c r="Q269">
        <v>0</v>
      </c>
      <c r="R269">
        <v>14122721</v>
      </c>
      <c r="S269">
        <v>90687.07</v>
      </c>
      <c r="T269">
        <v>13991024.779999999</v>
      </c>
      <c r="U269">
        <v>14032033.49</v>
      </c>
      <c r="V269">
        <v>3.4293999999999998E-2</v>
      </c>
      <c r="W269">
        <v>0</v>
      </c>
      <c r="Y269" t="s">
        <v>2</v>
      </c>
      <c r="Z269">
        <v>5750</v>
      </c>
      <c r="AA269">
        <v>240</v>
      </c>
      <c r="AB269">
        <v>79</v>
      </c>
      <c r="AC269">
        <v>0</v>
      </c>
      <c r="AD269">
        <v>376657992</v>
      </c>
      <c r="AE269">
        <v>2119633.67</v>
      </c>
      <c r="AF269">
        <v>373772636</v>
      </c>
      <c r="AG269">
        <v>373772636</v>
      </c>
      <c r="AH269">
        <v>2.4124E-2</v>
      </c>
      <c r="AI269">
        <v>2.4124E-2</v>
      </c>
    </row>
    <row r="270" spans="1:35" x14ac:dyDescent="0.35">
      <c r="A270" t="s">
        <v>2</v>
      </c>
      <c r="B270">
        <v>5000</v>
      </c>
      <c r="C270">
        <v>240</v>
      </c>
      <c r="D270">
        <v>7</v>
      </c>
      <c r="E270">
        <v>0</v>
      </c>
      <c r="F270">
        <v>39339619</v>
      </c>
      <c r="G270">
        <v>223329.79</v>
      </c>
      <c r="H270">
        <v>39006376.310000002</v>
      </c>
      <c r="I270">
        <v>39116227.969999999</v>
      </c>
      <c r="J270">
        <v>3.3016999999999998E-2</v>
      </c>
      <c r="K270">
        <v>1.9000000000000001E-5</v>
      </c>
      <c r="M270" t="s">
        <v>3</v>
      </c>
      <c r="N270">
        <v>5500</v>
      </c>
      <c r="O270">
        <v>240</v>
      </c>
      <c r="P270">
        <v>2</v>
      </c>
      <c r="Q270">
        <v>0</v>
      </c>
      <c r="R270">
        <v>9811364</v>
      </c>
      <c r="S270">
        <v>55724.25</v>
      </c>
      <c r="T270">
        <v>9752322.9600000009</v>
      </c>
      <c r="U270">
        <v>9755639.2799999993</v>
      </c>
      <c r="V270">
        <v>4.0489999999999996E-3</v>
      </c>
      <c r="W270">
        <v>9.9999999999999995E-7</v>
      </c>
      <c r="Y270" t="s">
        <v>1</v>
      </c>
      <c r="Z270">
        <v>5250</v>
      </c>
      <c r="AA270">
        <v>240</v>
      </c>
      <c r="AB270">
        <v>20</v>
      </c>
      <c r="AC270">
        <v>0</v>
      </c>
      <c r="AD270">
        <v>152283029</v>
      </c>
      <c r="AE270">
        <v>857080.2</v>
      </c>
      <c r="AF270">
        <v>149130760</v>
      </c>
      <c r="AG270">
        <v>151238590.43000001</v>
      </c>
      <c r="AH270">
        <v>0.166598</v>
      </c>
      <c r="AI270">
        <v>1.4664E-2</v>
      </c>
    </row>
    <row r="271" spans="1:35" x14ac:dyDescent="0.35">
      <c r="A271" t="s">
        <v>1</v>
      </c>
      <c r="B271">
        <v>4000</v>
      </c>
      <c r="C271">
        <v>240</v>
      </c>
      <c r="D271">
        <v>3</v>
      </c>
      <c r="E271">
        <v>0</v>
      </c>
      <c r="F271">
        <v>9577229</v>
      </c>
      <c r="G271">
        <v>62298.32</v>
      </c>
      <c r="H271">
        <v>9380463.0500000007</v>
      </c>
      <c r="I271">
        <v>9514929.9800000004</v>
      </c>
      <c r="J271">
        <v>0.15606400000000001</v>
      </c>
      <c r="K271">
        <v>9.9999999999999995E-7</v>
      </c>
      <c r="M271" t="s">
        <v>2</v>
      </c>
      <c r="N271">
        <v>5750</v>
      </c>
      <c r="O271">
        <v>240</v>
      </c>
      <c r="P271">
        <v>108</v>
      </c>
      <c r="Q271">
        <v>0</v>
      </c>
      <c r="R271">
        <v>496012625</v>
      </c>
      <c r="S271">
        <v>2854073.14</v>
      </c>
      <c r="T271">
        <v>491741205.70999998</v>
      </c>
      <c r="U271">
        <v>493036140.35000002</v>
      </c>
      <c r="V271">
        <v>3.3756000000000001E-2</v>
      </c>
      <c r="W271">
        <v>2.957E-3</v>
      </c>
      <c r="Y271" t="s">
        <v>0</v>
      </c>
      <c r="Z271">
        <v>6750</v>
      </c>
      <c r="AA271">
        <v>240</v>
      </c>
      <c r="AB271">
        <v>4320</v>
      </c>
      <c r="AC271">
        <v>0</v>
      </c>
      <c r="AD271">
        <v>23498115441</v>
      </c>
      <c r="AE271">
        <v>118826742.95</v>
      </c>
      <c r="AF271">
        <v>23229415505</v>
      </c>
      <c r="AG271">
        <v>23280962343.639999</v>
      </c>
      <c r="AH271">
        <v>7.3909000000000002E-2</v>
      </c>
      <c r="AI271">
        <v>4.9074E-2</v>
      </c>
    </row>
    <row r="272" spans="1:35" x14ac:dyDescent="0.35">
      <c r="A272" t="s">
        <v>0</v>
      </c>
      <c r="B272">
        <v>4000</v>
      </c>
      <c r="C272">
        <v>240</v>
      </c>
      <c r="D272">
        <v>16</v>
      </c>
      <c r="E272">
        <v>0</v>
      </c>
      <c r="F272">
        <v>66202857</v>
      </c>
      <c r="G272">
        <v>426987.93</v>
      </c>
      <c r="H272">
        <v>65406832.549999997</v>
      </c>
      <c r="I272">
        <v>65775554.090000004</v>
      </c>
      <c r="J272">
        <v>6.4879000000000006E-2</v>
      </c>
      <c r="K272">
        <v>5.7000000000000003E-5</v>
      </c>
      <c r="M272" t="s">
        <v>0</v>
      </c>
      <c r="N272">
        <v>6750</v>
      </c>
      <c r="O272">
        <v>240</v>
      </c>
      <c r="P272">
        <v>3895</v>
      </c>
      <c r="Q272">
        <v>0</v>
      </c>
      <c r="R272">
        <v>20836449520</v>
      </c>
      <c r="S272">
        <v>105107737.86</v>
      </c>
      <c r="T272">
        <v>20618661783.110001</v>
      </c>
      <c r="U272">
        <v>20707359214.43</v>
      </c>
      <c r="V272">
        <v>6.2997999999999998E-2</v>
      </c>
      <c r="W272">
        <v>1.3724999999999999E-2</v>
      </c>
      <c r="Y272" t="s">
        <v>0</v>
      </c>
      <c r="Z272">
        <v>4000</v>
      </c>
      <c r="AA272">
        <v>240</v>
      </c>
      <c r="AB272">
        <v>17</v>
      </c>
      <c r="AC272">
        <v>0</v>
      </c>
      <c r="AD272">
        <v>72485702</v>
      </c>
      <c r="AE272">
        <v>465270.59</v>
      </c>
      <c r="AF272">
        <v>71723189</v>
      </c>
      <c r="AG272">
        <v>71723189</v>
      </c>
      <c r="AH272">
        <v>4.8113999999999997E-2</v>
      </c>
      <c r="AI272">
        <v>4.8113999999999997E-2</v>
      </c>
    </row>
    <row r="273" spans="1:35" x14ac:dyDescent="0.35">
      <c r="A273" t="s">
        <v>2</v>
      </c>
      <c r="B273">
        <v>6250</v>
      </c>
      <c r="C273">
        <v>240</v>
      </c>
      <c r="D273">
        <v>333</v>
      </c>
      <c r="E273">
        <v>0</v>
      </c>
      <c r="F273">
        <v>1690901940</v>
      </c>
      <c r="G273">
        <v>9013719.6799999997</v>
      </c>
      <c r="H273">
        <v>1677379144.47</v>
      </c>
      <c r="I273">
        <v>1681301071.3800001</v>
      </c>
      <c r="J273">
        <v>3.1535000000000001E-2</v>
      </c>
      <c r="K273">
        <v>4.1590000000000004E-3</v>
      </c>
      <c r="M273" t="s">
        <v>0</v>
      </c>
      <c r="N273">
        <v>4000</v>
      </c>
      <c r="O273">
        <v>240</v>
      </c>
      <c r="P273">
        <v>19</v>
      </c>
      <c r="Q273">
        <v>0</v>
      </c>
      <c r="R273">
        <v>80833038</v>
      </c>
      <c r="S273">
        <v>512012.1</v>
      </c>
      <c r="T273">
        <v>79782366.420000002</v>
      </c>
      <c r="U273">
        <v>80321018.659999996</v>
      </c>
      <c r="V273">
        <v>7.7100000000000002E-2</v>
      </c>
      <c r="W273">
        <v>9.9999999999999995E-7</v>
      </c>
      <c r="Y273" t="s">
        <v>2</v>
      </c>
      <c r="Z273">
        <v>6250</v>
      </c>
      <c r="AA273">
        <v>240</v>
      </c>
      <c r="AB273">
        <v>337</v>
      </c>
      <c r="AC273">
        <v>0</v>
      </c>
      <c r="AD273">
        <v>1695892629</v>
      </c>
      <c r="AE273">
        <v>9078005.3399999999</v>
      </c>
      <c r="AF273">
        <v>1684675066</v>
      </c>
      <c r="AG273">
        <v>1684675066</v>
      </c>
      <c r="AH273">
        <v>1.5035E-2</v>
      </c>
      <c r="AI273">
        <v>1.5035E-2</v>
      </c>
    </row>
    <row r="274" spans="1:35" x14ac:dyDescent="0.35">
      <c r="A274" t="s">
        <v>3</v>
      </c>
      <c r="B274">
        <v>5750</v>
      </c>
      <c r="C274">
        <v>240</v>
      </c>
      <c r="D274">
        <v>2</v>
      </c>
      <c r="E274">
        <v>0</v>
      </c>
      <c r="F274">
        <v>10210356</v>
      </c>
      <c r="G274">
        <v>61953.79</v>
      </c>
      <c r="H274">
        <v>10145021.109999999</v>
      </c>
      <c r="I274">
        <v>10148402.08</v>
      </c>
      <c r="J274">
        <v>3.9659999999999999E-3</v>
      </c>
      <c r="K274">
        <v>0</v>
      </c>
      <c r="M274" t="s">
        <v>2</v>
      </c>
      <c r="N274">
        <v>4000</v>
      </c>
      <c r="O274">
        <v>240</v>
      </c>
      <c r="P274">
        <v>4</v>
      </c>
      <c r="Q274">
        <v>0</v>
      </c>
      <c r="R274">
        <v>14525790</v>
      </c>
      <c r="S274">
        <v>94796.53</v>
      </c>
      <c r="T274">
        <v>14410368.26</v>
      </c>
      <c r="U274">
        <v>14430992.82</v>
      </c>
      <c r="V274">
        <v>1.6906000000000001E-2</v>
      </c>
      <c r="W274">
        <v>9.9999999999999995E-7</v>
      </c>
      <c r="Y274" t="s">
        <v>3</v>
      </c>
      <c r="Z274">
        <v>5750</v>
      </c>
      <c r="AA274">
        <v>240</v>
      </c>
      <c r="AB274">
        <v>2</v>
      </c>
      <c r="AC274">
        <v>0</v>
      </c>
      <c r="AD274">
        <v>10282161</v>
      </c>
      <c r="AE274">
        <v>61721.5</v>
      </c>
      <c r="AF274">
        <v>10210356</v>
      </c>
      <c r="AG274">
        <v>10210356</v>
      </c>
      <c r="AH274">
        <v>1.1705E-2</v>
      </c>
      <c r="AI274">
        <v>1.1705E-2</v>
      </c>
    </row>
    <row r="275" spans="1:35" x14ac:dyDescent="0.35">
      <c r="A275" t="s">
        <v>1</v>
      </c>
      <c r="B275">
        <v>6750</v>
      </c>
      <c r="C275">
        <v>216</v>
      </c>
      <c r="D275">
        <v>137</v>
      </c>
      <c r="E275">
        <v>0</v>
      </c>
      <c r="F275">
        <v>914242069</v>
      </c>
      <c r="G275">
        <v>3852650.55</v>
      </c>
      <c r="H275">
        <v>904234047.21000004</v>
      </c>
      <c r="I275">
        <v>910091661.25999999</v>
      </c>
      <c r="J275">
        <v>7.7867000000000006E-2</v>
      </c>
      <c r="K275">
        <v>3.901E-3</v>
      </c>
      <c r="M275" t="s">
        <v>2</v>
      </c>
      <c r="N275">
        <v>6250</v>
      </c>
      <c r="O275">
        <v>240</v>
      </c>
      <c r="P275">
        <v>406</v>
      </c>
      <c r="Q275">
        <v>0</v>
      </c>
      <c r="R275">
        <v>1941884821</v>
      </c>
      <c r="S275">
        <v>10503397.199999999</v>
      </c>
      <c r="T275">
        <v>1925300838.1500001</v>
      </c>
      <c r="U275">
        <v>1931227505.5899999</v>
      </c>
      <c r="V275">
        <v>3.6935000000000003E-2</v>
      </c>
      <c r="W275">
        <v>9.5100000000000002E-4</v>
      </c>
      <c r="Y275" t="s">
        <v>1</v>
      </c>
      <c r="Z275">
        <v>6750</v>
      </c>
      <c r="AA275">
        <v>216</v>
      </c>
      <c r="AB275">
        <v>153</v>
      </c>
      <c r="AC275">
        <v>0</v>
      </c>
      <c r="AD275">
        <v>1026351217</v>
      </c>
      <c r="AE275">
        <v>4319620.91</v>
      </c>
      <c r="AF275">
        <v>1015396206</v>
      </c>
      <c r="AG275">
        <v>1020390049.33</v>
      </c>
      <c r="AH275">
        <v>7.4880000000000002E-2</v>
      </c>
      <c r="AI275">
        <v>1.9025E-2</v>
      </c>
    </row>
    <row r="276" spans="1:35" x14ac:dyDescent="0.35">
      <c r="A276" t="s">
        <v>2</v>
      </c>
      <c r="B276">
        <v>6750</v>
      </c>
      <c r="C276">
        <v>216</v>
      </c>
      <c r="D276">
        <v>743</v>
      </c>
      <c r="E276">
        <v>0</v>
      </c>
      <c r="F276">
        <v>3814475201</v>
      </c>
      <c r="G276">
        <v>16044030.35</v>
      </c>
      <c r="H276">
        <v>3778961102.0999999</v>
      </c>
      <c r="I276">
        <v>3794565880.4899998</v>
      </c>
      <c r="J276">
        <v>5.9561000000000003E-2</v>
      </c>
      <c r="K276">
        <v>1.2092E-2</v>
      </c>
      <c r="M276" t="s">
        <v>3</v>
      </c>
      <c r="N276">
        <v>5750</v>
      </c>
      <c r="O276">
        <v>240</v>
      </c>
      <c r="P276">
        <v>5</v>
      </c>
      <c r="Q276">
        <v>0</v>
      </c>
      <c r="R276">
        <v>26421753</v>
      </c>
      <c r="S276">
        <v>159969.28</v>
      </c>
      <c r="T276">
        <v>26253279.539999999</v>
      </c>
      <c r="U276">
        <v>26261782.23</v>
      </c>
      <c r="V276">
        <v>3.8560000000000001E-3</v>
      </c>
      <c r="W276">
        <v>9.9999999999999995E-7</v>
      </c>
      <c r="Y276" t="s">
        <v>2</v>
      </c>
      <c r="Z276">
        <v>6750</v>
      </c>
      <c r="AA276">
        <v>216</v>
      </c>
      <c r="AB276">
        <v>797</v>
      </c>
      <c r="AC276">
        <v>0</v>
      </c>
      <c r="AD276">
        <v>4111895471</v>
      </c>
      <c r="AE276">
        <v>17225468.59</v>
      </c>
      <c r="AF276">
        <v>4073412923</v>
      </c>
      <c r="AG276">
        <v>4082756907.6199999</v>
      </c>
      <c r="AH276">
        <v>6.0302000000000001E-2</v>
      </c>
      <c r="AI276">
        <v>3.4217999999999998E-2</v>
      </c>
    </row>
    <row r="277" spans="1:35" x14ac:dyDescent="0.35">
      <c r="A277" t="s">
        <v>1</v>
      </c>
      <c r="B277">
        <v>4250</v>
      </c>
      <c r="C277">
        <v>192</v>
      </c>
      <c r="D277">
        <v>6770</v>
      </c>
      <c r="E277">
        <v>0</v>
      </c>
      <c r="F277">
        <v>73001822656</v>
      </c>
      <c r="G277">
        <v>281015723.83999997</v>
      </c>
      <c r="H277">
        <v>72398139481.139999</v>
      </c>
      <c r="I277">
        <v>72699820305.160004</v>
      </c>
      <c r="J277">
        <v>5.1769000000000003E-2</v>
      </c>
      <c r="K277">
        <v>3.444E-3</v>
      </c>
      <c r="M277" t="s">
        <v>1</v>
      </c>
      <c r="N277">
        <v>6750</v>
      </c>
      <c r="O277">
        <v>216</v>
      </c>
      <c r="P277">
        <v>206</v>
      </c>
      <c r="Q277">
        <v>0</v>
      </c>
      <c r="R277">
        <v>1442987274</v>
      </c>
      <c r="S277">
        <v>6106423.1900000004</v>
      </c>
      <c r="T277">
        <v>1430204844.73</v>
      </c>
      <c r="U277">
        <v>1436472779.0799999</v>
      </c>
      <c r="V277">
        <v>5.4127000000000002E-2</v>
      </c>
      <c r="W277">
        <v>3.388E-3</v>
      </c>
      <c r="Y277" t="s">
        <v>1</v>
      </c>
      <c r="Z277">
        <v>4250</v>
      </c>
      <c r="AA277">
        <v>192</v>
      </c>
      <c r="AB277">
        <v>5919</v>
      </c>
      <c r="AC277">
        <v>0</v>
      </c>
      <c r="AD277">
        <v>64645265344</v>
      </c>
      <c r="AE277">
        <v>248587457.09</v>
      </c>
      <c r="AF277">
        <v>63947837224</v>
      </c>
      <c r="AG277">
        <v>64263350419.419998</v>
      </c>
      <c r="AH277">
        <v>8.0208000000000002E-2</v>
      </c>
      <c r="AI277">
        <v>2.4471E-2</v>
      </c>
    </row>
    <row r="278" spans="1:35" x14ac:dyDescent="0.35">
      <c r="A278" t="s">
        <v>2</v>
      </c>
      <c r="B278">
        <v>4750</v>
      </c>
      <c r="C278">
        <v>192</v>
      </c>
      <c r="D278">
        <v>6215</v>
      </c>
      <c r="E278">
        <v>0</v>
      </c>
      <c r="F278">
        <v>46486699045</v>
      </c>
      <c r="G278">
        <v>174657143.31</v>
      </c>
      <c r="H278">
        <v>46076283907.099998</v>
      </c>
      <c r="I278">
        <v>46296858113.75</v>
      </c>
      <c r="J278">
        <v>5.9188999999999999E-2</v>
      </c>
      <c r="K278">
        <v>3.9119999999999997E-3</v>
      </c>
      <c r="M278" t="s">
        <v>2</v>
      </c>
      <c r="N278">
        <v>6750</v>
      </c>
      <c r="O278">
        <v>216</v>
      </c>
      <c r="P278">
        <v>901</v>
      </c>
      <c r="Q278">
        <v>0</v>
      </c>
      <c r="R278">
        <v>4738815008</v>
      </c>
      <c r="S278">
        <v>19676440.280000001</v>
      </c>
      <c r="T278">
        <v>4704816696.46</v>
      </c>
      <c r="U278">
        <v>4717026971.2299995</v>
      </c>
      <c r="V278">
        <v>3.567E-2</v>
      </c>
      <c r="W278">
        <v>5.3340000000000002E-3</v>
      </c>
      <c r="Y278" t="s">
        <v>2</v>
      </c>
      <c r="Z278">
        <v>4750</v>
      </c>
      <c r="AA278">
        <v>192</v>
      </c>
      <c r="AB278">
        <v>6263</v>
      </c>
      <c r="AC278">
        <v>0</v>
      </c>
      <c r="AD278">
        <v>47007179070</v>
      </c>
      <c r="AE278">
        <v>175398881.24000001</v>
      </c>
      <c r="AF278">
        <v>46643264333</v>
      </c>
      <c r="AG278">
        <v>46778690294.480003</v>
      </c>
      <c r="AH278">
        <v>4.7077000000000001E-2</v>
      </c>
      <c r="AI278">
        <v>1.3469E-2</v>
      </c>
    </row>
    <row r="279" spans="1:35" x14ac:dyDescent="0.35">
      <c r="A279" t="s">
        <v>0</v>
      </c>
      <c r="B279">
        <v>2750</v>
      </c>
      <c r="C279">
        <v>240</v>
      </c>
      <c r="D279">
        <v>6</v>
      </c>
      <c r="E279">
        <v>0</v>
      </c>
      <c r="F279">
        <v>16650577</v>
      </c>
      <c r="G279">
        <v>112670.15</v>
      </c>
      <c r="H279">
        <v>16432465.32</v>
      </c>
      <c r="I279">
        <v>16537904.75</v>
      </c>
      <c r="J279">
        <v>7.3400000000000007E-2</v>
      </c>
      <c r="K279">
        <v>1.9999999999999999E-6</v>
      </c>
      <c r="M279" t="s">
        <v>1</v>
      </c>
      <c r="N279">
        <v>4250</v>
      </c>
      <c r="O279">
        <v>192</v>
      </c>
      <c r="P279">
        <v>3934</v>
      </c>
      <c r="Q279">
        <v>0</v>
      </c>
      <c r="R279">
        <v>43876694722</v>
      </c>
      <c r="S279">
        <v>169518071.94</v>
      </c>
      <c r="T279">
        <v>43547390083.68</v>
      </c>
      <c r="U279">
        <v>43696440676.739998</v>
      </c>
      <c r="V279">
        <v>4.2835999999999999E-2</v>
      </c>
      <c r="W279">
        <v>2.9320000000000001E-3</v>
      </c>
      <c r="Y279" t="s">
        <v>0</v>
      </c>
      <c r="Z279">
        <v>2750</v>
      </c>
      <c r="AA279">
        <v>240</v>
      </c>
      <c r="AB279">
        <v>6</v>
      </c>
      <c r="AC279">
        <v>0</v>
      </c>
      <c r="AD279">
        <v>16850960</v>
      </c>
      <c r="AE279">
        <v>113027.57</v>
      </c>
      <c r="AF279">
        <v>16650577</v>
      </c>
      <c r="AG279">
        <v>16650577</v>
      </c>
      <c r="AH279">
        <v>6.0464999999999998E-2</v>
      </c>
      <c r="AI279">
        <v>6.0464999999999998E-2</v>
      </c>
    </row>
    <row r="280" spans="1:35" x14ac:dyDescent="0.35">
      <c r="A280" t="s">
        <v>2</v>
      </c>
      <c r="B280">
        <v>2750</v>
      </c>
      <c r="C280">
        <v>240</v>
      </c>
      <c r="D280">
        <v>8</v>
      </c>
      <c r="E280">
        <v>0</v>
      </c>
      <c r="F280">
        <v>19608966</v>
      </c>
      <c r="G280">
        <v>133526.17000000001</v>
      </c>
      <c r="H280">
        <v>19329569.09</v>
      </c>
      <c r="I280">
        <v>19475428.050000001</v>
      </c>
      <c r="J280">
        <v>8.5705000000000003E-2</v>
      </c>
      <c r="K280">
        <v>6.9999999999999999E-6</v>
      </c>
      <c r="M280" t="s">
        <v>2</v>
      </c>
      <c r="N280">
        <v>4750</v>
      </c>
      <c r="O280">
        <v>192</v>
      </c>
      <c r="P280">
        <v>6088</v>
      </c>
      <c r="Q280">
        <v>0</v>
      </c>
      <c r="R280">
        <v>46298907701</v>
      </c>
      <c r="S280">
        <v>170703346.97999999</v>
      </c>
      <c r="T280">
        <v>45945692576.82</v>
      </c>
      <c r="U280">
        <v>46115979881.459999</v>
      </c>
      <c r="V280">
        <v>4.6292E-2</v>
      </c>
      <c r="W280">
        <v>3.1640000000000001E-3</v>
      </c>
      <c r="Y280" t="s">
        <v>2</v>
      </c>
      <c r="Z280">
        <v>2750</v>
      </c>
      <c r="AA280">
        <v>240</v>
      </c>
      <c r="AB280">
        <v>9</v>
      </c>
      <c r="AC280">
        <v>0</v>
      </c>
      <c r="AD280">
        <v>22676790</v>
      </c>
      <c r="AE280">
        <v>151021.81</v>
      </c>
      <c r="AF280">
        <v>19608966</v>
      </c>
      <c r="AG280">
        <v>22445723.800000001</v>
      </c>
      <c r="AH280">
        <v>0.80837099999999995</v>
      </c>
      <c r="AI280">
        <v>4.1544999999999999E-2</v>
      </c>
    </row>
    <row r="281" spans="1:35" x14ac:dyDescent="0.35">
      <c r="A281" t="s">
        <v>0</v>
      </c>
      <c r="B281">
        <v>3750</v>
      </c>
      <c r="C281">
        <v>240</v>
      </c>
      <c r="D281">
        <v>3</v>
      </c>
      <c r="E281">
        <v>0</v>
      </c>
      <c r="F281">
        <v>10072673</v>
      </c>
      <c r="G281">
        <v>65640.5</v>
      </c>
      <c r="H281">
        <v>9891024.8200000003</v>
      </c>
      <c r="I281">
        <v>10007030.800000001</v>
      </c>
      <c r="J281">
        <v>0.129778</v>
      </c>
      <c r="K281">
        <v>1.9999999999999999E-6</v>
      </c>
      <c r="M281" t="s">
        <v>0</v>
      </c>
      <c r="N281">
        <v>2750</v>
      </c>
      <c r="O281">
        <v>240</v>
      </c>
      <c r="P281">
        <v>6</v>
      </c>
      <c r="Q281">
        <v>0</v>
      </c>
      <c r="R281">
        <v>17185852</v>
      </c>
      <c r="S281">
        <v>113250.43</v>
      </c>
      <c r="T281">
        <v>17058887.370000001</v>
      </c>
      <c r="U281">
        <v>17072597.98</v>
      </c>
      <c r="V281">
        <v>9.5340000000000008E-3</v>
      </c>
      <c r="W281">
        <v>3.0000000000000001E-6</v>
      </c>
      <c r="Y281" t="s">
        <v>0</v>
      </c>
      <c r="Z281">
        <v>3750</v>
      </c>
      <c r="AA281">
        <v>240</v>
      </c>
      <c r="AB281">
        <v>3</v>
      </c>
      <c r="AC281">
        <v>0</v>
      </c>
      <c r="AD281">
        <v>10133955</v>
      </c>
      <c r="AE281">
        <v>65413.79</v>
      </c>
      <c r="AF281">
        <v>10072673</v>
      </c>
      <c r="AG281">
        <v>10072673</v>
      </c>
      <c r="AH281">
        <v>-4.9040000000000004E-3</v>
      </c>
      <c r="AI281">
        <v>-4.9040000000000004E-3</v>
      </c>
    </row>
    <row r="282" spans="1:35" x14ac:dyDescent="0.35">
      <c r="A282" t="s">
        <v>3</v>
      </c>
      <c r="B282">
        <v>6250</v>
      </c>
      <c r="C282">
        <v>240</v>
      </c>
      <c r="D282">
        <v>29</v>
      </c>
      <c r="E282">
        <v>0</v>
      </c>
      <c r="F282">
        <v>176272517</v>
      </c>
      <c r="G282">
        <v>955455.03</v>
      </c>
      <c r="H282">
        <v>174645263.34</v>
      </c>
      <c r="I282">
        <v>175316940.16999999</v>
      </c>
      <c r="J282">
        <v>4.4787E-2</v>
      </c>
      <c r="K282">
        <v>7.9999999999999996E-6</v>
      </c>
      <c r="M282" t="s">
        <v>2</v>
      </c>
      <c r="N282">
        <v>2750</v>
      </c>
      <c r="O282">
        <v>240</v>
      </c>
      <c r="P282">
        <v>9</v>
      </c>
      <c r="Q282">
        <v>0</v>
      </c>
      <c r="R282">
        <v>23067474</v>
      </c>
      <c r="S282">
        <v>150952.07</v>
      </c>
      <c r="T282">
        <v>22902078.890000001</v>
      </c>
      <c r="U282">
        <v>22916521</v>
      </c>
      <c r="V282">
        <v>7.4879999999999999E-3</v>
      </c>
      <c r="W282">
        <v>0</v>
      </c>
      <c r="Y282" t="s">
        <v>3</v>
      </c>
      <c r="Z282">
        <v>6250</v>
      </c>
      <c r="AA282">
        <v>240</v>
      </c>
      <c r="AB282">
        <v>31</v>
      </c>
      <c r="AC282">
        <v>0</v>
      </c>
      <c r="AD282">
        <v>186996790</v>
      </c>
      <c r="AE282">
        <v>1008550.94</v>
      </c>
      <c r="AF282">
        <v>184799772</v>
      </c>
      <c r="AG282">
        <v>184799772</v>
      </c>
      <c r="AH282">
        <v>7.3655999999999999E-2</v>
      </c>
      <c r="AI282">
        <v>7.3655999999999999E-2</v>
      </c>
    </row>
    <row r="283" spans="1:35" x14ac:dyDescent="0.35">
      <c r="A283" t="s">
        <v>1</v>
      </c>
      <c r="B283">
        <v>5750</v>
      </c>
      <c r="C283">
        <v>240</v>
      </c>
      <c r="D283">
        <v>173</v>
      </c>
      <c r="E283">
        <v>0</v>
      </c>
      <c r="F283">
        <v>1285412897</v>
      </c>
      <c r="G283">
        <v>7265845.2199999997</v>
      </c>
      <c r="H283">
        <v>1273659756.52</v>
      </c>
      <c r="I283">
        <v>1278103184.5699999</v>
      </c>
      <c r="J283">
        <v>4.1096000000000001E-2</v>
      </c>
      <c r="K283">
        <v>4.0900000000000002E-4</v>
      </c>
      <c r="M283" t="s">
        <v>0</v>
      </c>
      <c r="N283">
        <v>3750</v>
      </c>
      <c r="O283">
        <v>240</v>
      </c>
      <c r="P283">
        <v>4</v>
      </c>
      <c r="Q283">
        <v>0</v>
      </c>
      <c r="R283">
        <v>18521727</v>
      </c>
      <c r="S283">
        <v>121619.07</v>
      </c>
      <c r="T283">
        <v>18240330.960000001</v>
      </c>
      <c r="U283">
        <v>18400088.530000001</v>
      </c>
      <c r="V283">
        <v>9.8744999999999999E-2</v>
      </c>
      <c r="W283">
        <v>1.2999999999999999E-5</v>
      </c>
      <c r="Y283" t="s">
        <v>1</v>
      </c>
      <c r="Z283">
        <v>5750</v>
      </c>
      <c r="AA283">
        <v>240</v>
      </c>
      <c r="AB283">
        <v>201</v>
      </c>
      <c r="AC283">
        <v>0</v>
      </c>
      <c r="AD283">
        <v>1486756760</v>
      </c>
      <c r="AE283">
        <v>8440119.6500000004</v>
      </c>
      <c r="AF283">
        <v>1451329846</v>
      </c>
      <c r="AG283">
        <v>1451329846</v>
      </c>
      <c r="AH283">
        <v>0.19733600000000001</v>
      </c>
      <c r="AI283">
        <v>0.19733600000000001</v>
      </c>
    </row>
    <row r="284" spans="1:35" x14ac:dyDescent="0.35">
      <c r="A284" t="s">
        <v>2</v>
      </c>
      <c r="B284">
        <v>3750</v>
      </c>
      <c r="C284">
        <v>240</v>
      </c>
      <c r="D284">
        <v>7</v>
      </c>
      <c r="E284">
        <v>0</v>
      </c>
      <c r="F284">
        <v>28080822</v>
      </c>
      <c r="G284">
        <v>172125.94</v>
      </c>
      <c r="H284">
        <v>27458582.010000002</v>
      </c>
      <c r="I284">
        <v>27908641.469999999</v>
      </c>
      <c r="J284">
        <v>0.17626700000000001</v>
      </c>
      <c r="K284">
        <v>2.3E-5</v>
      </c>
      <c r="M284" t="s">
        <v>3</v>
      </c>
      <c r="N284">
        <v>6250</v>
      </c>
      <c r="O284">
        <v>240</v>
      </c>
      <c r="P284">
        <v>36</v>
      </c>
      <c r="Q284">
        <v>0</v>
      </c>
      <c r="R284">
        <v>206105038</v>
      </c>
      <c r="S284">
        <v>1107494.99</v>
      </c>
      <c r="T284">
        <v>204499231.22999999</v>
      </c>
      <c r="U284">
        <v>204988514.36000001</v>
      </c>
      <c r="V284">
        <v>2.8629999999999999E-2</v>
      </c>
      <c r="W284">
        <v>5.2599999999999999E-4</v>
      </c>
      <c r="Y284" t="s">
        <v>2</v>
      </c>
      <c r="Z284">
        <v>3750</v>
      </c>
      <c r="AA284">
        <v>240</v>
      </c>
      <c r="AB284">
        <v>7</v>
      </c>
      <c r="AC284">
        <v>0</v>
      </c>
      <c r="AD284">
        <v>28347913</v>
      </c>
      <c r="AE284">
        <v>172193.44</v>
      </c>
      <c r="AF284">
        <v>28080822</v>
      </c>
      <c r="AG284">
        <v>28080822</v>
      </c>
      <c r="AH284">
        <v>3.9440000000000003E-2</v>
      </c>
      <c r="AI284">
        <v>3.9440000000000003E-2</v>
      </c>
    </row>
    <row r="285" spans="1:35" x14ac:dyDescent="0.35">
      <c r="A285" t="s">
        <v>3</v>
      </c>
      <c r="B285">
        <v>5250</v>
      </c>
      <c r="C285">
        <v>240</v>
      </c>
      <c r="D285">
        <v>1</v>
      </c>
      <c r="E285">
        <v>0</v>
      </c>
      <c r="F285">
        <v>1730392</v>
      </c>
      <c r="G285">
        <v>9502.34</v>
      </c>
      <c r="H285">
        <v>1720212.51</v>
      </c>
      <c r="I285">
        <v>1720889.6</v>
      </c>
      <c r="J285">
        <v>4.6860000000000001E-3</v>
      </c>
      <c r="K285">
        <v>0</v>
      </c>
      <c r="M285" t="s">
        <v>1</v>
      </c>
      <c r="N285">
        <v>5750</v>
      </c>
      <c r="O285">
        <v>240</v>
      </c>
      <c r="P285">
        <v>330</v>
      </c>
      <c r="Q285">
        <v>0</v>
      </c>
      <c r="R285">
        <v>2285767731</v>
      </c>
      <c r="S285">
        <v>13234398.43</v>
      </c>
      <c r="T285">
        <v>2261482738.71</v>
      </c>
      <c r="U285">
        <v>2272210629.1999998</v>
      </c>
      <c r="V285">
        <v>5.6495999999999998E-2</v>
      </c>
      <c r="W285">
        <v>1.6930000000000001E-3</v>
      </c>
      <c r="Y285" t="s">
        <v>3</v>
      </c>
      <c r="Z285">
        <v>5250</v>
      </c>
      <c r="AA285">
        <v>240</v>
      </c>
      <c r="AB285">
        <v>1</v>
      </c>
      <c r="AC285">
        <v>0</v>
      </c>
      <c r="AD285">
        <v>1882141</v>
      </c>
      <c r="AE285">
        <v>10235.74</v>
      </c>
      <c r="AF285">
        <v>1730392</v>
      </c>
      <c r="AG285">
        <v>1730392</v>
      </c>
      <c r="AH285">
        <v>0.60857799999999995</v>
      </c>
      <c r="AI285">
        <v>0.60857799999999995</v>
      </c>
    </row>
    <row r="286" spans="1:35" x14ac:dyDescent="0.35">
      <c r="A286" t="s">
        <v>3</v>
      </c>
      <c r="B286">
        <v>7000</v>
      </c>
      <c r="C286">
        <v>240</v>
      </c>
      <c r="D286">
        <v>16</v>
      </c>
      <c r="E286">
        <v>0</v>
      </c>
      <c r="F286">
        <v>143861571</v>
      </c>
      <c r="G286">
        <v>708437.15</v>
      </c>
      <c r="H286">
        <v>142947743.84</v>
      </c>
      <c r="I286">
        <v>143134270.87</v>
      </c>
      <c r="J286">
        <v>1.6997999999999999E-2</v>
      </c>
      <c r="K286">
        <v>1.572E-3</v>
      </c>
      <c r="M286" t="s">
        <v>2</v>
      </c>
      <c r="N286">
        <v>3750</v>
      </c>
      <c r="O286">
        <v>240</v>
      </c>
      <c r="P286">
        <v>7</v>
      </c>
      <c r="Q286">
        <v>0</v>
      </c>
      <c r="R286">
        <v>24837193</v>
      </c>
      <c r="S286">
        <v>155030.04</v>
      </c>
      <c r="T286">
        <v>24643435.559999999</v>
      </c>
      <c r="U286">
        <v>24682161.010000002</v>
      </c>
      <c r="V286">
        <v>1.8551000000000002E-2</v>
      </c>
      <c r="W286">
        <v>9.9999999999999995E-7</v>
      </c>
      <c r="Y286" t="s">
        <v>3</v>
      </c>
      <c r="Z286">
        <v>7000</v>
      </c>
      <c r="AA286">
        <v>240</v>
      </c>
      <c r="AB286">
        <v>16</v>
      </c>
      <c r="AC286">
        <v>0</v>
      </c>
      <c r="AD286">
        <v>144800279</v>
      </c>
      <c r="AE286">
        <v>705506.51</v>
      </c>
      <c r="AF286">
        <v>143861571</v>
      </c>
      <c r="AG286">
        <v>143861571</v>
      </c>
      <c r="AH286">
        <v>1.9155999999999999E-2</v>
      </c>
      <c r="AI286">
        <v>1.9155999999999999E-2</v>
      </c>
    </row>
    <row r="287" spans="1:35" x14ac:dyDescent="0.35">
      <c r="A287" t="s">
        <v>2</v>
      </c>
      <c r="B287">
        <v>6750</v>
      </c>
      <c r="C287">
        <v>240</v>
      </c>
      <c r="D287">
        <v>846</v>
      </c>
      <c r="E287">
        <v>0</v>
      </c>
      <c r="F287">
        <v>3722816687</v>
      </c>
      <c r="G287">
        <v>18840082.760000002</v>
      </c>
      <c r="H287">
        <v>3690413518.3000002</v>
      </c>
      <c r="I287">
        <v>3701715384.48</v>
      </c>
      <c r="J287">
        <v>4.2853000000000002E-2</v>
      </c>
      <c r="K287">
        <v>7.2639999999999996E-3</v>
      </c>
      <c r="M287" t="s">
        <v>3</v>
      </c>
      <c r="N287">
        <v>7000</v>
      </c>
      <c r="O287">
        <v>240</v>
      </c>
      <c r="P287">
        <v>15</v>
      </c>
      <c r="Q287">
        <v>0</v>
      </c>
      <c r="R287">
        <v>125383435</v>
      </c>
      <c r="S287">
        <v>605204.55000000005</v>
      </c>
      <c r="T287">
        <v>124729198.88</v>
      </c>
      <c r="U287">
        <v>124777857.67</v>
      </c>
      <c r="V287">
        <v>4.6829999999999997E-3</v>
      </c>
      <c r="W287">
        <v>3.6000000000000001E-5</v>
      </c>
      <c r="Y287" t="s">
        <v>2</v>
      </c>
      <c r="Z287">
        <v>6750</v>
      </c>
      <c r="AA287">
        <v>240</v>
      </c>
      <c r="AB287">
        <v>817</v>
      </c>
      <c r="AC287">
        <v>0</v>
      </c>
      <c r="AD287">
        <v>3560784935</v>
      </c>
      <c r="AE287">
        <v>18010210.390000001</v>
      </c>
      <c r="AF287">
        <v>3523493467</v>
      </c>
      <c r="AG287">
        <v>3533789974.2199998</v>
      </c>
      <c r="AH287">
        <v>6.3077999999999995E-2</v>
      </c>
      <c r="AI287">
        <v>2.9862E-2</v>
      </c>
    </row>
    <row r="288" spans="1:35" x14ac:dyDescent="0.35">
      <c r="A288" t="s">
        <v>1</v>
      </c>
      <c r="B288">
        <v>6750</v>
      </c>
      <c r="C288">
        <v>240</v>
      </c>
      <c r="D288">
        <v>364</v>
      </c>
      <c r="E288">
        <v>0</v>
      </c>
      <c r="F288">
        <v>2506424532</v>
      </c>
      <c r="G288">
        <v>12675721.449999999</v>
      </c>
      <c r="H288">
        <v>2481494219.23</v>
      </c>
      <c r="I288">
        <v>2492950220.2800002</v>
      </c>
      <c r="J288">
        <v>5.7119000000000003E-2</v>
      </c>
      <c r="K288">
        <v>3.8170000000000001E-3</v>
      </c>
      <c r="M288" t="s">
        <v>3</v>
      </c>
      <c r="N288">
        <v>5250</v>
      </c>
      <c r="O288">
        <v>240</v>
      </c>
      <c r="P288">
        <v>1</v>
      </c>
      <c r="Q288">
        <v>0</v>
      </c>
      <c r="R288">
        <v>1957532</v>
      </c>
      <c r="S288">
        <v>10442.530000000001</v>
      </c>
      <c r="T288">
        <v>1947051.04</v>
      </c>
      <c r="U288">
        <v>1947089.47</v>
      </c>
      <c r="V288">
        <v>2.3599999999999999E-4</v>
      </c>
      <c r="W288">
        <v>0</v>
      </c>
      <c r="Y288" t="s">
        <v>1</v>
      </c>
      <c r="Z288">
        <v>6750</v>
      </c>
      <c r="AA288">
        <v>240</v>
      </c>
      <c r="AB288">
        <v>356</v>
      </c>
      <c r="AC288">
        <v>0</v>
      </c>
      <c r="AD288">
        <v>2475218656</v>
      </c>
      <c r="AE288">
        <v>12451171.67</v>
      </c>
      <c r="AF288">
        <v>2422300366</v>
      </c>
      <c r="AG288">
        <v>2448254550.6199999</v>
      </c>
      <c r="AH288">
        <v>0.17947299999999999</v>
      </c>
      <c r="AI288">
        <v>6.8134E-2</v>
      </c>
    </row>
    <row r="289" spans="1:35" x14ac:dyDescent="0.35">
      <c r="A289" t="s">
        <v>2</v>
      </c>
      <c r="B289">
        <v>4000</v>
      </c>
      <c r="C289">
        <v>240</v>
      </c>
      <c r="D289">
        <v>2</v>
      </c>
      <c r="E289">
        <v>0</v>
      </c>
      <c r="F289">
        <v>5650017</v>
      </c>
      <c r="G289">
        <v>35986.79</v>
      </c>
      <c r="H289">
        <v>5591936.4299999997</v>
      </c>
      <c r="I289">
        <v>5614028.7199999997</v>
      </c>
      <c r="J289">
        <v>4.5928999999999998E-2</v>
      </c>
      <c r="K289">
        <v>3.0000000000000001E-6</v>
      </c>
      <c r="M289" t="s">
        <v>2</v>
      </c>
      <c r="N289">
        <v>6750</v>
      </c>
      <c r="O289">
        <v>240</v>
      </c>
      <c r="P289">
        <v>734</v>
      </c>
      <c r="Q289">
        <v>0</v>
      </c>
      <c r="R289">
        <v>3139515617</v>
      </c>
      <c r="S289">
        <v>15782701.039999999</v>
      </c>
      <c r="T289">
        <v>3115384717.21</v>
      </c>
      <c r="U289">
        <v>3122585908.0700002</v>
      </c>
      <c r="V289">
        <v>3.1446000000000002E-2</v>
      </c>
      <c r="W289">
        <v>4.3750000000000004E-3</v>
      </c>
      <c r="Y289" t="s">
        <v>2</v>
      </c>
      <c r="Z289">
        <v>4000</v>
      </c>
      <c r="AA289">
        <v>240</v>
      </c>
      <c r="AB289">
        <v>2</v>
      </c>
      <c r="AC289">
        <v>0</v>
      </c>
      <c r="AD289">
        <v>5718193</v>
      </c>
      <c r="AE289">
        <v>36079.24</v>
      </c>
      <c r="AF289">
        <v>5650017</v>
      </c>
      <c r="AG289">
        <v>5650017</v>
      </c>
      <c r="AH289">
        <v>6.5315999999999999E-2</v>
      </c>
      <c r="AI289">
        <v>6.5315999999999999E-2</v>
      </c>
    </row>
    <row r="290" spans="1:35" x14ac:dyDescent="0.35">
      <c r="A290" t="s">
        <v>2</v>
      </c>
      <c r="B290">
        <v>7000</v>
      </c>
      <c r="C290">
        <v>216</v>
      </c>
      <c r="D290">
        <v>395</v>
      </c>
      <c r="E290">
        <v>0</v>
      </c>
      <c r="F290">
        <v>1807605313</v>
      </c>
      <c r="G290">
        <v>7489648.1500000004</v>
      </c>
      <c r="H290">
        <v>1788092078.9200001</v>
      </c>
      <c r="I290">
        <v>1796166099.02</v>
      </c>
      <c r="J290">
        <v>7.6964000000000005E-2</v>
      </c>
      <c r="K290">
        <v>2.5906999999999999E-2</v>
      </c>
      <c r="M290" t="s">
        <v>1</v>
      </c>
      <c r="N290">
        <v>6750</v>
      </c>
      <c r="O290">
        <v>240</v>
      </c>
      <c r="P290">
        <v>317</v>
      </c>
      <c r="Q290">
        <v>0</v>
      </c>
      <c r="R290">
        <v>2169323241</v>
      </c>
      <c r="S290">
        <v>10868061.609999999</v>
      </c>
      <c r="T290">
        <v>2144282340.4400001</v>
      </c>
      <c r="U290">
        <v>2153991984.6799998</v>
      </c>
      <c r="V290">
        <v>7.5643000000000002E-2</v>
      </c>
      <c r="W290">
        <v>2.4410999999999999E-2</v>
      </c>
      <c r="Y290" t="s">
        <v>1</v>
      </c>
      <c r="Z290">
        <v>2750</v>
      </c>
      <c r="AA290">
        <v>240</v>
      </c>
      <c r="AB290">
        <v>1</v>
      </c>
      <c r="AC290">
        <v>0</v>
      </c>
      <c r="AD290">
        <v>4877595</v>
      </c>
      <c r="AE290">
        <v>33277.58</v>
      </c>
      <c r="AF290">
        <v>4843057</v>
      </c>
      <c r="AG290">
        <v>4843057</v>
      </c>
      <c r="AH290">
        <v>3.0969999999999999E-3</v>
      </c>
      <c r="AI290">
        <v>3.0969999999999999E-3</v>
      </c>
    </row>
    <row r="291" spans="1:35" x14ac:dyDescent="0.35">
      <c r="A291" t="s">
        <v>1</v>
      </c>
      <c r="B291">
        <v>2750</v>
      </c>
      <c r="C291">
        <v>240</v>
      </c>
      <c r="D291">
        <v>1</v>
      </c>
      <c r="E291">
        <v>0</v>
      </c>
      <c r="F291">
        <v>4843057</v>
      </c>
      <c r="G291">
        <v>33342.949999999997</v>
      </c>
      <c r="H291">
        <v>4666829.09</v>
      </c>
      <c r="I291">
        <v>4809713.42</v>
      </c>
      <c r="J291">
        <v>0.30187999999999998</v>
      </c>
      <c r="K291">
        <v>1.9999999999999999E-6</v>
      </c>
      <c r="M291" t="s">
        <v>0</v>
      </c>
      <c r="N291">
        <v>6000</v>
      </c>
      <c r="O291">
        <v>192</v>
      </c>
      <c r="P291">
        <v>2846</v>
      </c>
      <c r="Q291">
        <v>0</v>
      </c>
      <c r="R291">
        <v>17312094246</v>
      </c>
      <c r="S291">
        <v>64357951.649999999</v>
      </c>
      <c r="T291">
        <v>17142374264.92</v>
      </c>
      <c r="U291">
        <v>17232865615.98</v>
      </c>
      <c r="V291">
        <v>7.0637000000000005E-2</v>
      </c>
      <c r="W291">
        <v>1.0259000000000001E-2</v>
      </c>
      <c r="Y291" t="s">
        <v>2</v>
      </c>
      <c r="Z291">
        <v>6250</v>
      </c>
      <c r="AA291">
        <v>216</v>
      </c>
      <c r="AB291">
        <v>611</v>
      </c>
      <c r="AC291">
        <v>0</v>
      </c>
      <c r="AD291">
        <v>3422190168</v>
      </c>
      <c r="AE291">
        <v>14919023.310000001</v>
      </c>
      <c r="AF291">
        <v>3386742461</v>
      </c>
      <c r="AG291">
        <v>3403327063.3099999</v>
      </c>
      <c r="AH291">
        <v>6.9655999999999996E-2</v>
      </c>
      <c r="AI291">
        <v>1.3743E-2</v>
      </c>
    </row>
    <row r="292" spans="1:35" x14ac:dyDescent="0.35">
      <c r="A292" t="s">
        <v>2</v>
      </c>
      <c r="B292">
        <v>6250</v>
      </c>
      <c r="C292">
        <v>216</v>
      </c>
      <c r="D292">
        <v>587</v>
      </c>
      <c r="E292">
        <v>0</v>
      </c>
      <c r="F292">
        <v>3285526784</v>
      </c>
      <c r="G292">
        <v>14424106.58</v>
      </c>
      <c r="H292">
        <v>3261415182.9499998</v>
      </c>
      <c r="I292">
        <v>3269281128.5799999</v>
      </c>
      <c r="J292">
        <v>3.4813999999999998E-2</v>
      </c>
      <c r="K292">
        <v>6.633E-3</v>
      </c>
      <c r="M292" t="s">
        <v>1</v>
      </c>
      <c r="N292">
        <v>2750</v>
      </c>
      <c r="O292">
        <v>240</v>
      </c>
      <c r="P292">
        <v>1</v>
      </c>
      <c r="Q292">
        <v>0</v>
      </c>
      <c r="R292">
        <v>4946442</v>
      </c>
      <c r="S292">
        <v>33146.83</v>
      </c>
      <c r="T292">
        <v>4909584.07</v>
      </c>
      <c r="U292">
        <v>4913294.7699999996</v>
      </c>
      <c r="V292">
        <v>8.966E-3</v>
      </c>
      <c r="W292">
        <v>9.9999999999999995E-7</v>
      </c>
      <c r="Y292" t="s">
        <v>2</v>
      </c>
      <c r="Z292">
        <v>7500</v>
      </c>
      <c r="AA292">
        <v>216</v>
      </c>
      <c r="AB292">
        <v>12</v>
      </c>
      <c r="AC292">
        <v>0</v>
      </c>
      <c r="AD292">
        <v>44886036</v>
      </c>
      <c r="AE292">
        <v>187813.38</v>
      </c>
      <c r="AF292">
        <v>44702117</v>
      </c>
      <c r="AG292">
        <v>44702117</v>
      </c>
      <c r="AH292">
        <v>-1.042E-3</v>
      </c>
      <c r="AI292">
        <v>-1.042E-3</v>
      </c>
    </row>
    <row r="293" spans="1:35" x14ac:dyDescent="0.35">
      <c r="A293" t="s">
        <v>2</v>
      </c>
      <c r="B293">
        <v>7500</v>
      </c>
      <c r="C293">
        <v>216</v>
      </c>
      <c r="D293">
        <v>8</v>
      </c>
      <c r="E293">
        <v>0</v>
      </c>
      <c r="F293">
        <v>26797422</v>
      </c>
      <c r="G293">
        <v>111163.25</v>
      </c>
      <c r="H293">
        <v>26523572.02</v>
      </c>
      <c r="I293">
        <v>26686249.620000001</v>
      </c>
      <c r="J293">
        <v>7.0468000000000003E-2</v>
      </c>
      <c r="K293">
        <v>3.9999999999999998E-6</v>
      </c>
      <c r="M293" t="s">
        <v>2</v>
      </c>
      <c r="N293">
        <v>3750</v>
      </c>
      <c r="O293">
        <v>216</v>
      </c>
      <c r="P293">
        <v>2</v>
      </c>
      <c r="Q293">
        <v>0</v>
      </c>
      <c r="R293">
        <v>9204939</v>
      </c>
      <c r="S293">
        <v>50652.36</v>
      </c>
      <c r="T293">
        <v>9046500.2899999991</v>
      </c>
      <c r="U293">
        <v>9154285.9100000001</v>
      </c>
      <c r="V293">
        <v>0.13181000000000001</v>
      </c>
      <c r="W293">
        <v>9.9999999999999995E-7</v>
      </c>
      <c r="Y293" t="s">
        <v>1</v>
      </c>
      <c r="Z293">
        <v>7500</v>
      </c>
      <c r="AA293">
        <v>216</v>
      </c>
      <c r="AB293">
        <v>13</v>
      </c>
      <c r="AC293">
        <v>0</v>
      </c>
      <c r="AD293">
        <v>59613860</v>
      </c>
      <c r="AE293">
        <v>240816.97</v>
      </c>
      <c r="AF293">
        <v>59287823</v>
      </c>
      <c r="AG293">
        <v>59287823</v>
      </c>
      <c r="AH293">
        <v>1.702E-2</v>
      </c>
      <c r="AI293">
        <v>1.702E-2</v>
      </c>
    </row>
    <row r="294" spans="1:35" x14ac:dyDescent="0.35">
      <c r="A294" t="s">
        <v>1</v>
      </c>
      <c r="B294">
        <v>7500</v>
      </c>
      <c r="C294">
        <v>216</v>
      </c>
      <c r="D294">
        <v>10</v>
      </c>
      <c r="E294">
        <v>0</v>
      </c>
      <c r="F294">
        <v>42209340</v>
      </c>
      <c r="G294">
        <v>167730.20000000001</v>
      </c>
      <c r="H294">
        <v>41726156.020000003</v>
      </c>
      <c r="I294">
        <v>42041551.530000001</v>
      </c>
      <c r="J294">
        <v>8.6086999999999997E-2</v>
      </c>
      <c r="K294">
        <v>1.7E-5</v>
      </c>
      <c r="M294" t="s">
        <v>1</v>
      </c>
      <c r="N294">
        <v>6250</v>
      </c>
      <c r="O294">
        <v>216</v>
      </c>
      <c r="P294">
        <v>251</v>
      </c>
      <c r="Q294">
        <v>0</v>
      </c>
      <c r="R294">
        <v>1797847047</v>
      </c>
      <c r="S294">
        <v>7824390.54</v>
      </c>
      <c r="T294">
        <v>1782801144.1500001</v>
      </c>
      <c r="U294">
        <v>1789395087.6099999</v>
      </c>
      <c r="V294">
        <v>4.7149999999999997E-2</v>
      </c>
      <c r="W294">
        <v>4.1809999999999998E-3</v>
      </c>
      <c r="Y294" t="s">
        <v>0</v>
      </c>
      <c r="Z294">
        <v>5250</v>
      </c>
      <c r="AA294">
        <v>216</v>
      </c>
      <c r="AB294">
        <v>12052</v>
      </c>
      <c r="AC294">
        <v>0</v>
      </c>
      <c r="AD294">
        <v>100453835118</v>
      </c>
      <c r="AE294">
        <v>421375052.50999999</v>
      </c>
      <c r="AF294">
        <v>99497088090</v>
      </c>
      <c r="AG294">
        <v>99835057241.449997</v>
      </c>
      <c r="AH294">
        <v>6.2113000000000002E-2</v>
      </c>
      <c r="AI294">
        <v>2.3328000000000002E-2</v>
      </c>
    </row>
    <row r="295" spans="1:35" x14ac:dyDescent="0.35">
      <c r="A295" t="s">
        <v>0</v>
      </c>
      <c r="B295">
        <v>6000</v>
      </c>
      <c r="C295">
        <v>192</v>
      </c>
      <c r="D295">
        <v>1093</v>
      </c>
      <c r="E295">
        <v>0</v>
      </c>
      <c r="F295">
        <v>6576107169</v>
      </c>
      <c r="G295">
        <v>24034769.870000001</v>
      </c>
      <c r="H295">
        <v>6513164598.25</v>
      </c>
      <c r="I295">
        <v>6548105999.1599998</v>
      </c>
      <c r="J295">
        <v>6.8733000000000002E-2</v>
      </c>
      <c r="K295">
        <v>7.2139999999999999E-3</v>
      </c>
      <c r="M295" t="s">
        <v>2</v>
      </c>
      <c r="N295">
        <v>6250</v>
      </c>
      <c r="O295">
        <v>216</v>
      </c>
      <c r="P295">
        <v>636</v>
      </c>
      <c r="Q295">
        <v>0</v>
      </c>
      <c r="R295">
        <v>3607324080</v>
      </c>
      <c r="S295">
        <v>15526820.51</v>
      </c>
      <c r="T295">
        <v>3579715449.02</v>
      </c>
      <c r="U295">
        <v>3590657251.6199999</v>
      </c>
      <c r="V295">
        <v>3.9459000000000001E-2</v>
      </c>
      <c r="W295">
        <v>3.7859999999999999E-3</v>
      </c>
      <c r="Y295" t="s">
        <v>0</v>
      </c>
      <c r="Z295">
        <v>6000</v>
      </c>
      <c r="AA295">
        <v>192</v>
      </c>
      <c r="AB295">
        <v>1435</v>
      </c>
      <c r="AC295">
        <v>0</v>
      </c>
      <c r="AD295">
        <v>8627575231</v>
      </c>
      <c r="AE295">
        <v>31695750.25</v>
      </c>
      <c r="AF295">
        <v>8534707506</v>
      </c>
      <c r="AG295">
        <v>8586229622.9300003</v>
      </c>
      <c r="AH295">
        <v>8.1842999999999999E-2</v>
      </c>
      <c r="AI295">
        <v>1.3339999999999999E-2</v>
      </c>
    </row>
    <row r="296" spans="1:35" x14ac:dyDescent="0.35">
      <c r="A296" t="s">
        <v>3</v>
      </c>
      <c r="B296">
        <v>5000</v>
      </c>
      <c r="C296">
        <v>192</v>
      </c>
      <c r="D296">
        <v>183</v>
      </c>
      <c r="E296">
        <v>0</v>
      </c>
      <c r="F296">
        <v>1660734032</v>
      </c>
      <c r="G296">
        <v>6394106.6399999997</v>
      </c>
      <c r="H296">
        <v>1649161884.6099999</v>
      </c>
      <c r="I296">
        <v>1653424193.5699999</v>
      </c>
      <c r="J296">
        <v>3.678E-2</v>
      </c>
      <c r="K296">
        <v>6.5970000000000004E-3</v>
      </c>
      <c r="M296" t="s">
        <v>0</v>
      </c>
      <c r="N296">
        <v>6500</v>
      </c>
      <c r="O296">
        <v>192</v>
      </c>
      <c r="P296">
        <v>301</v>
      </c>
      <c r="Q296">
        <v>0</v>
      </c>
      <c r="R296">
        <v>1829454589</v>
      </c>
      <c r="S296">
        <v>6455239.0800000001</v>
      </c>
      <c r="T296">
        <v>1811515144</v>
      </c>
      <c r="U296">
        <v>1820487153.9000001</v>
      </c>
      <c r="V296">
        <v>7.2781999999999999E-2</v>
      </c>
      <c r="W296">
        <v>1.6354E-2</v>
      </c>
      <c r="Y296" t="s">
        <v>0</v>
      </c>
      <c r="Z296">
        <v>5750</v>
      </c>
      <c r="AA296">
        <v>216</v>
      </c>
      <c r="AB296">
        <v>7624</v>
      </c>
      <c r="AC296">
        <v>0</v>
      </c>
      <c r="AD296">
        <v>54624844000</v>
      </c>
      <c r="AE296">
        <v>230557285.81</v>
      </c>
      <c r="AF296">
        <v>54001234136</v>
      </c>
      <c r="AG296">
        <v>54278413759.449997</v>
      </c>
      <c r="AH296">
        <v>8.3008999999999999E-2</v>
      </c>
      <c r="AI296">
        <v>2.5159999999999998E-2</v>
      </c>
    </row>
    <row r="297" spans="1:35" x14ac:dyDescent="0.35">
      <c r="A297" t="s">
        <v>3</v>
      </c>
      <c r="B297">
        <v>7500</v>
      </c>
      <c r="C297">
        <v>216</v>
      </c>
      <c r="D297">
        <v>4</v>
      </c>
      <c r="E297">
        <v>0</v>
      </c>
      <c r="F297">
        <v>27590414</v>
      </c>
      <c r="G297">
        <v>109031.14</v>
      </c>
      <c r="H297">
        <v>27438203</v>
      </c>
      <c r="I297">
        <v>27481381.989999998</v>
      </c>
      <c r="J297">
        <v>1.8620000000000001E-2</v>
      </c>
      <c r="K297">
        <v>0</v>
      </c>
      <c r="M297" t="s">
        <v>0</v>
      </c>
      <c r="N297">
        <v>7000</v>
      </c>
      <c r="O297">
        <v>192</v>
      </c>
      <c r="P297">
        <v>17</v>
      </c>
      <c r="Q297">
        <v>0</v>
      </c>
      <c r="R297">
        <v>123781990</v>
      </c>
      <c r="S297">
        <v>436556.48</v>
      </c>
      <c r="T297">
        <v>122827266.93000001</v>
      </c>
      <c r="U297">
        <v>123345009.2</v>
      </c>
      <c r="V297">
        <v>4.9092999999999998E-2</v>
      </c>
      <c r="W297">
        <v>4.1E-5</v>
      </c>
      <c r="Y297" t="s">
        <v>3</v>
      </c>
      <c r="Z297">
        <v>5000</v>
      </c>
      <c r="AA297">
        <v>192</v>
      </c>
      <c r="AB297">
        <v>200</v>
      </c>
      <c r="AC297">
        <v>0</v>
      </c>
      <c r="AD297">
        <v>1834327112</v>
      </c>
      <c r="AE297">
        <v>7056533.0099999998</v>
      </c>
      <c r="AF297">
        <v>1822533205</v>
      </c>
      <c r="AG297">
        <v>1822533205</v>
      </c>
      <c r="AH297">
        <v>3.0554999999999999E-2</v>
      </c>
      <c r="AI297">
        <v>3.0554999999999999E-2</v>
      </c>
    </row>
    <row r="298" spans="1:35" x14ac:dyDescent="0.35">
      <c r="A298" t="s">
        <v>0</v>
      </c>
      <c r="B298">
        <v>5750</v>
      </c>
      <c r="C298">
        <v>216</v>
      </c>
      <c r="D298">
        <v>8075</v>
      </c>
      <c r="E298">
        <v>0</v>
      </c>
      <c r="F298">
        <v>57183840825</v>
      </c>
      <c r="G298">
        <v>242220495.91999999</v>
      </c>
      <c r="H298">
        <v>56645507347.410004</v>
      </c>
      <c r="I298">
        <v>56904752143.57</v>
      </c>
      <c r="J298">
        <v>6.0400000000000002E-2</v>
      </c>
      <c r="K298">
        <v>7.7089999999999997E-3</v>
      </c>
      <c r="M298" t="s">
        <v>1</v>
      </c>
      <c r="N298">
        <v>7500</v>
      </c>
      <c r="O298">
        <v>216</v>
      </c>
      <c r="P298">
        <v>15</v>
      </c>
      <c r="Q298">
        <v>0</v>
      </c>
      <c r="R298">
        <v>78227222</v>
      </c>
      <c r="S298">
        <v>312633.15999999997</v>
      </c>
      <c r="T298">
        <v>76736964.75</v>
      </c>
      <c r="U298">
        <v>77883111.040000007</v>
      </c>
      <c r="V298">
        <v>0.16641600000000001</v>
      </c>
      <c r="W298">
        <v>4.8180000000000002E-3</v>
      </c>
      <c r="Y298" t="s">
        <v>3</v>
      </c>
      <c r="Z298">
        <v>7500</v>
      </c>
      <c r="AA298">
        <v>216</v>
      </c>
      <c r="AB298">
        <v>4</v>
      </c>
      <c r="AC298">
        <v>0</v>
      </c>
      <c r="AD298">
        <v>27779678</v>
      </c>
      <c r="AE298">
        <v>108671.22</v>
      </c>
      <c r="AF298">
        <v>27590414</v>
      </c>
      <c r="AG298">
        <v>27590414</v>
      </c>
      <c r="AH298">
        <v>3.4264000000000003E-2</v>
      </c>
      <c r="AI298">
        <v>3.4264000000000003E-2</v>
      </c>
    </row>
    <row r="299" spans="1:35" x14ac:dyDescent="0.35">
      <c r="A299" t="s">
        <v>0</v>
      </c>
      <c r="B299">
        <v>6500</v>
      </c>
      <c r="C299">
        <v>192</v>
      </c>
      <c r="D299">
        <v>156</v>
      </c>
      <c r="E299">
        <v>0</v>
      </c>
      <c r="F299">
        <v>1030467027</v>
      </c>
      <c r="G299">
        <v>3575112.61</v>
      </c>
      <c r="H299">
        <v>1020347119.08</v>
      </c>
      <c r="I299">
        <v>1025240901.05</v>
      </c>
      <c r="J299">
        <v>7.3608999999999994E-2</v>
      </c>
      <c r="K299">
        <v>1.9057999999999999E-2</v>
      </c>
      <c r="M299" t="s">
        <v>0</v>
      </c>
      <c r="N299">
        <v>5250</v>
      </c>
      <c r="O299">
        <v>216</v>
      </c>
      <c r="P299">
        <v>7250</v>
      </c>
      <c r="Q299">
        <v>0</v>
      </c>
      <c r="R299">
        <v>59751198737</v>
      </c>
      <c r="S299">
        <v>250753197.91999999</v>
      </c>
      <c r="T299">
        <v>59200557828.510002</v>
      </c>
      <c r="U299">
        <v>59477966328.360001</v>
      </c>
      <c r="V299">
        <v>5.8591999999999998E-2</v>
      </c>
      <c r="W299">
        <v>4.5050000000000003E-3</v>
      </c>
      <c r="Y299" t="s">
        <v>1</v>
      </c>
      <c r="Z299">
        <v>4500</v>
      </c>
      <c r="AA299">
        <v>96</v>
      </c>
      <c r="AB299">
        <v>9284</v>
      </c>
      <c r="AC299">
        <v>0</v>
      </c>
      <c r="AD299">
        <v>158094529036</v>
      </c>
      <c r="AE299">
        <v>341146274.94999999</v>
      </c>
      <c r="AF299">
        <v>156880234195</v>
      </c>
      <c r="AG299">
        <v>157582215534.14001</v>
      </c>
      <c r="AH299">
        <v>6.4298999999999995E-2</v>
      </c>
      <c r="AI299">
        <v>1.2914999999999999E-2</v>
      </c>
    </row>
    <row r="300" spans="1:35" x14ac:dyDescent="0.35">
      <c r="A300" t="s">
        <v>0</v>
      </c>
      <c r="B300">
        <v>7000</v>
      </c>
      <c r="C300">
        <v>192</v>
      </c>
      <c r="D300">
        <v>8</v>
      </c>
      <c r="E300">
        <v>0</v>
      </c>
      <c r="F300">
        <v>52801192</v>
      </c>
      <c r="G300">
        <v>184965.03</v>
      </c>
      <c r="H300">
        <v>52482348.82</v>
      </c>
      <c r="I300">
        <v>52616181.75</v>
      </c>
      <c r="J300">
        <v>3.0005E-2</v>
      </c>
      <c r="K300">
        <v>1.0000000000000001E-5</v>
      </c>
      <c r="M300" t="s">
        <v>0</v>
      </c>
      <c r="N300">
        <v>5750</v>
      </c>
      <c r="O300">
        <v>216</v>
      </c>
      <c r="P300">
        <v>6097</v>
      </c>
      <c r="Q300">
        <v>0</v>
      </c>
      <c r="R300">
        <v>44591014825</v>
      </c>
      <c r="S300">
        <v>188064408.31</v>
      </c>
      <c r="T300">
        <v>44193231334.760002</v>
      </c>
      <c r="U300">
        <v>44373461309.419998</v>
      </c>
      <c r="V300">
        <v>5.5001000000000001E-2</v>
      </c>
      <c r="W300">
        <v>7.9070000000000008E-3</v>
      </c>
      <c r="Y300" t="s">
        <v>2</v>
      </c>
      <c r="Z300">
        <v>5750</v>
      </c>
      <c r="AA300">
        <v>216</v>
      </c>
      <c r="AB300">
        <v>1682</v>
      </c>
      <c r="AC300">
        <v>0</v>
      </c>
      <c r="AD300">
        <v>9740661248</v>
      </c>
      <c r="AE300">
        <v>39801137.340000004</v>
      </c>
      <c r="AF300">
        <v>9641006882</v>
      </c>
      <c r="AG300">
        <v>9687773964.5200005</v>
      </c>
      <c r="AH300">
        <v>7.1294999999999997E-2</v>
      </c>
      <c r="AI300">
        <v>1.6003E-2</v>
      </c>
    </row>
    <row r="301" spans="1:35" x14ac:dyDescent="0.35">
      <c r="A301" t="s">
        <v>1</v>
      </c>
      <c r="B301">
        <v>4500</v>
      </c>
      <c r="C301">
        <v>84</v>
      </c>
      <c r="D301">
        <v>5810</v>
      </c>
      <c r="E301">
        <v>0</v>
      </c>
      <c r="F301">
        <v>101597396523</v>
      </c>
      <c r="G301">
        <v>207478244.84999999</v>
      </c>
      <c r="H301">
        <v>100531893959.96001</v>
      </c>
      <c r="I301">
        <v>101215280845.62</v>
      </c>
      <c r="J301">
        <v>9.6767000000000006E-2</v>
      </c>
      <c r="K301">
        <v>2.0433E-2</v>
      </c>
      <c r="M301" t="s">
        <v>3</v>
      </c>
      <c r="N301">
        <v>7000</v>
      </c>
      <c r="O301">
        <v>216</v>
      </c>
      <c r="P301">
        <v>12</v>
      </c>
      <c r="Q301">
        <v>0</v>
      </c>
      <c r="R301">
        <v>80945247</v>
      </c>
      <c r="S301">
        <v>333639.17</v>
      </c>
      <c r="T301">
        <v>80475083.810000002</v>
      </c>
      <c r="U301">
        <v>80591079.489999995</v>
      </c>
      <c r="V301">
        <v>2.0053000000000001E-2</v>
      </c>
      <c r="W301">
        <v>3.039E-3</v>
      </c>
      <c r="Y301" t="s">
        <v>0</v>
      </c>
      <c r="Z301">
        <v>6500</v>
      </c>
      <c r="AA301">
        <v>192</v>
      </c>
      <c r="AB301">
        <v>188</v>
      </c>
      <c r="AC301">
        <v>0</v>
      </c>
      <c r="AD301">
        <v>1227392031</v>
      </c>
      <c r="AE301">
        <v>4286815.16</v>
      </c>
      <c r="AF301">
        <v>1192583213</v>
      </c>
      <c r="AG301">
        <v>1201711885.6900001</v>
      </c>
      <c r="AH301">
        <v>0.26079599999999997</v>
      </c>
      <c r="AI301">
        <v>0.19022800000000001</v>
      </c>
    </row>
    <row r="302" spans="1:35" x14ac:dyDescent="0.35">
      <c r="A302" t="s">
        <v>0</v>
      </c>
      <c r="B302">
        <v>5250</v>
      </c>
      <c r="C302">
        <v>216</v>
      </c>
      <c r="D302">
        <v>15809</v>
      </c>
      <c r="E302">
        <v>0</v>
      </c>
      <c r="F302">
        <v>131452203823</v>
      </c>
      <c r="G302">
        <v>551304346.07000005</v>
      </c>
      <c r="H302">
        <v>130289942154.27</v>
      </c>
      <c r="I302">
        <v>130843264927.11</v>
      </c>
      <c r="J302">
        <v>5.4369000000000001E-2</v>
      </c>
      <c r="K302">
        <v>5.2490000000000002E-3</v>
      </c>
      <c r="M302" t="s">
        <v>3</v>
      </c>
      <c r="N302">
        <v>5000</v>
      </c>
      <c r="O302">
        <v>192</v>
      </c>
      <c r="P302">
        <v>211</v>
      </c>
      <c r="Q302">
        <v>0</v>
      </c>
      <c r="R302">
        <v>1976258291</v>
      </c>
      <c r="S302">
        <v>7521136.7800000003</v>
      </c>
      <c r="T302">
        <v>1963569986.6199999</v>
      </c>
      <c r="U302">
        <v>1968229282.3399999</v>
      </c>
      <c r="V302">
        <v>3.0928000000000001E-2</v>
      </c>
      <c r="W302">
        <v>3.0790000000000001E-3</v>
      </c>
      <c r="Y302" t="s">
        <v>0</v>
      </c>
      <c r="Z302">
        <v>7000</v>
      </c>
      <c r="AA302">
        <v>192</v>
      </c>
      <c r="AB302">
        <v>8</v>
      </c>
      <c r="AC302">
        <v>0</v>
      </c>
      <c r="AD302">
        <v>52992494</v>
      </c>
      <c r="AE302">
        <v>183918.18</v>
      </c>
      <c r="AF302">
        <v>52801192</v>
      </c>
      <c r="AG302">
        <v>52801192</v>
      </c>
      <c r="AH302">
        <v>1.671E-3</v>
      </c>
      <c r="AI302">
        <v>1.671E-3</v>
      </c>
    </row>
    <row r="303" spans="1:35" x14ac:dyDescent="0.35">
      <c r="A303" t="s">
        <v>3</v>
      </c>
      <c r="B303">
        <v>4500</v>
      </c>
      <c r="C303">
        <v>192</v>
      </c>
      <c r="D303">
        <v>156</v>
      </c>
      <c r="E303">
        <v>0</v>
      </c>
      <c r="F303">
        <v>1678074685</v>
      </c>
      <c r="G303">
        <v>6439988.7800000003</v>
      </c>
      <c r="H303">
        <v>1666506482.3</v>
      </c>
      <c r="I303">
        <v>1670799396.78</v>
      </c>
      <c r="J303">
        <v>3.6061999999999997E-2</v>
      </c>
      <c r="K303">
        <v>5.9569999999999996E-3</v>
      </c>
      <c r="M303" t="s">
        <v>3</v>
      </c>
      <c r="N303">
        <v>7500</v>
      </c>
      <c r="O303">
        <v>216</v>
      </c>
      <c r="P303">
        <v>4</v>
      </c>
      <c r="Q303">
        <v>0</v>
      </c>
      <c r="R303">
        <v>28194739</v>
      </c>
      <c r="S303">
        <v>108099.09</v>
      </c>
      <c r="T303">
        <v>28068810.699999999</v>
      </c>
      <c r="U303">
        <v>28086639.300000001</v>
      </c>
      <c r="V303">
        <v>7.5620000000000001E-3</v>
      </c>
      <c r="W303">
        <v>0</v>
      </c>
      <c r="Y303" t="s">
        <v>1</v>
      </c>
      <c r="Z303">
        <v>4500</v>
      </c>
      <c r="AA303">
        <v>84</v>
      </c>
      <c r="AB303">
        <v>6276</v>
      </c>
      <c r="AC303">
        <v>0</v>
      </c>
      <c r="AD303">
        <v>110798316969</v>
      </c>
      <c r="AE303">
        <v>225613793.09999999</v>
      </c>
      <c r="AF303">
        <v>110081095297</v>
      </c>
      <c r="AG303">
        <v>110445125934.07001</v>
      </c>
      <c r="AH303">
        <v>5.1963000000000002E-2</v>
      </c>
      <c r="AI303">
        <v>1.3729999999999999E-2</v>
      </c>
    </row>
    <row r="304" spans="1:35" x14ac:dyDescent="0.35">
      <c r="A304" t="s">
        <v>3</v>
      </c>
      <c r="B304">
        <v>7000</v>
      </c>
      <c r="C304">
        <v>216</v>
      </c>
      <c r="D304">
        <v>8</v>
      </c>
      <c r="E304">
        <v>0</v>
      </c>
      <c r="F304">
        <v>47975045</v>
      </c>
      <c r="G304">
        <v>197414.49</v>
      </c>
      <c r="H304">
        <v>47612913.289999999</v>
      </c>
      <c r="I304">
        <v>47777614.990000002</v>
      </c>
      <c r="J304">
        <v>4.0432000000000003E-2</v>
      </c>
      <c r="K304">
        <v>3.9999999999999998E-6</v>
      </c>
      <c r="M304" t="s">
        <v>1</v>
      </c>
      <c r="N304">
        <v>4500</v>
      </c>
      <c r="O304">
        <v>96</v>
      </c>
      <c r="P304">
        <v>8663</v>
      </c>
      <c r="Q304">
        <v>0</v>
      </c>
      <c r="R304">
        <v>144404565553</v>
      </c>
      <c r="S304">
        <v>310722744.41000003</v>
      </c>
      <c r="T304">
        <v>142952575174.35001</v>
      </c>
      <c r="U304">
        <v>143894728853.73001</v>
      </c>
      <c r="V304">
        <v>9.0823000000000001E-2</v>
      </c>
      <c r="W304">
        <v>1.6421000000000002E-2</v>
      </c>
      <c r="Y304" t="s">
        <v>3</v>
      </c>
      <c r="Z304">
        <v>4500</v>
      </c>
      <c r="AA304">
        <v>192</v>
      </c>
      <c r="AB304">
        <v>149</v>
      </c>
      <c r="AC304">
        <v>0</v>
      </c>
      <c r="AD304">
        <v>1638546266</v>
      </c>
      <c r="AE304">
        <v>6251715.8200000003</v>
      </c>
      <c r="AF304">
        <v>1619247915</v>
      </c>
      <c r="AG304">
        <v>1631250398.8699999</v>
      </c>
      <c r="AH304">
        <v>9.1472999999999999E-2</v>
      </c>
      <c r="AI304">
        <v>7.62E-3</v>
      </c>
    </row>
    <row r="305" spans="1:35" x14ac:dyDescent="0.35">
      <c r="A305" t="s">
        <v>1</v>
      </c>
      <c r="B305">
        <v>4000</v>
      </c>
      <c r="C305">
        <v>84</v>
      </c>
      <c r="D305">
        <v>12763</v>
      </c>
      <c r="E305">
        <v>0</v>
      </c>
      <c r="F305">
        <v>248729431549</v>
      </c>
      <c r="G305">
        <v>536091674.39999998</v>
      </c>
      <c r="H305">
        <v>246310826804.48999</v>
      </c>
      <c r="I305">
        <v>247837344544.42999</v>
      </c>
      <c r="J305">
        <v>8.7135000000000004E-2</v>
      </c>
      <c r="K305">
        <v>1.7041000000000001E-2</v>
      </c>
      <c r="M305" t="s">
        <v>2</v>
      </c>
      <c r="N305">
        <v>6000</v>
      </c>
      <c r="O305">
        <v>192</v>
      </c>
      <c r="P305">
        <v>141</v>
      </c>
      <c r="Q305">
        <v>0</v>
      </c>
      <c r="R305">
        <v>739978165</v>
      </c>
      <c r="S305">
        <v>2804323.7</v>
      </c>
      <c r="T305">
        <v>735621108.07000005</v>
      </c>
      <c r="U305">
        <v>737160705.19000006</v>
      </c>
      <c r="V305">
        <v>2.4892000000000001E-2</v>
      </c>
      <c r="W305">
        <v>2.13E-4</v>
      </c>
      <c r="Y305" t="s">
        <v>3</v>
      </c>
      <c r="Z305">
        <v>7000</v>
      </c>
      <c r="AA305">
        <v>216</v>
      </c>
      <c r="AB305">
        <v>9</v>
      </c>
      <c r="AC305">
        <v>0</v>
      </c>
      <c r="AD305">
        <v>54430687</v>
      </c>
      <c r="AE305">
        <v>220768.68</v>
      </c>
      <c r="AF305">
        <v>47975045</v>
      </c>
      <c r="AG305">
        <v>47975045</v>
      </c>
      <c r="AH305">
        <v>0.76773400000000003</v>
      </c>
      <c r="AI305">
        <v>0.76773400000000003</v>
      </c>
    </row>
    <row r="306" spans="1:35" x14ac:dyDescent="0.35">
      <c r="A306" t="s">
        <v>1</v>
      </c>
      <c r="B306">
        <v>5750</v>
      </c>
      <c r="C306">
        <v>216</v>
      </c>
      <c r="D306">
        <v>416</v>
      </c>
      <c r="E306">
        <v>0</v>
      </c>
      <c r="F306">
        <v>3263284318</v>
      </c>
      <c r="G306">
        <v>14229729.48</v>
      </c>
      <c r="H306">
        <v>3234004165.54</v>
      </c>
      <c r="I306">
        <v>3246163870.1100001</v>
      </c>
      <c r="J306">
        <v>5.3962000000000003E-2</v>
      </c>
      <c r="K306">
        <v>1.0578000000000001E-2</v>
      </c>
      <c r="M306" t="s">
        <v>2</v>
      </c>
      <c r="N306">
        <v>5750</v>
      </c>
      <c r="O306">
        <v>216</v>
      </c>
      <c r="P306">
        <v>1112</v>
      </c>
      <c r="Q306">
        <v>0</v>
      </c>
      <c r="R306">
        <v>6598374174</v>
      </c>
      <c r="S306">
        <v>26960666.719999999</v>
      </c>
      <c r="T306">
        <v>6548334683.2200003</v>
      </c>
      <c r="U306">
        <v>6567565838.5</v>
      </c>
      <c r="V306">
        <v>4.1174000000000002E-2</v>
      </c>
      <c r="W306">
        <v>6.9750000000000003E-3</v>
      </c>
      <c r="Y306" t="s">
        <v>1</v>
      </c>
      <c r="Z306">
        <v>4000</v>
      </c>
      <c r="AA306">
        <v>84</v>
      </c>
      <c r="AB306">
        <v>11912</v>
      </c>
      <c r="AC306">
        <v>0</v>
      </c>
      <c r="AD306">
        <v>233423764134</v>
      </c>
      <c r="AE306">
        <v>501459351.86000001</v>
      </c>
      <c r="AF306">
        <v>231577479067</v>
      </c>
      <c r="AG306">
        <v>232699808373.01999</v>
      </c>
      <c r="AH306">
        <v>6.6986000000000004E-2</v>
      </c>
      <c r="AI306">
        <v>1.1377999999999999E-2</v>
      </c>
    </row>
    <row r="307" spans="1:35" x14ac:dyDescent="0.35">
      <c r="A307" t="s">
        <v>2</v>
      </c>
      <c r="B307">
        <v>5750</v>
      </c>
      <c r="C307">
        <v>216</v>
      </c>
      <c r="D307">
        <v>1706</v>
      </c>
      <c r="E307">
        <v>0</v>
      </c>
      <c r="F307">
        <v>9831801993</v>
      </c>
      <c r="G307">
        <v>40480392.670000002</v>
      </c>
      <c r="H307">
        <v>9752849063.7900009</v>
      </c>
      <c r="I307">
        <v>9787152383.1700001</v>
      </c>
      <c r="J307">
        <v>4.5959E-2</v>
      </c>
      <c r="K307">
        <v>5.0769999999999999E-3</v>
      </c>
      <c r="M307" t="s">
        <v>3</v>
      </c>
      <c r="N307">
        <v>6250</v>
      </c>
      <c r="O307">
        <v>216</v>
      </c>
      <c r="P307">
        <v>17</v>
      </c>
      <c r="Q307">
        <v>0</v>
      </c>
      <c r="R307">
        <v>135743437</v>
      </c>
      <c r="S307">
        <v>590140.23</v>
      </c>
      <c r="T307">
        <v>134549694.19</v>
      </c>
      <c r="U307">
        <v>134800931.09999999</v>
      </c>
      <c r="V307">
        <v>5.2074000000000002E-2</v>
      </c>
      <c r="W307">
        <v>3.0709E-2</v>
      </c>
      <c r="Y307" t="s">
        <v>1</v>
      </c>
      <c r="Z307">
        <v>5750</v>
      </c>
      <c r="AA307">
        <v>216</v>
      </c>
      <c r="AB307">
        <v>404</v>
      </c>
      <c r="AC307">
        <v>0</v>
      </c>
      <c r="AD307">
        <v>3178435206</v>
      </c>
      <c r="AE307">
        <v>13797894.529999999</v>
      </c>
      <c r="AF307">
        <v>3140873678</v>
      </c>
      <c r="AG307">
        <v>3156178824.52</v>
      </c>
      <c r="AH307">
        <v>8.6119000000000001E-2</v>
      </c>
      <c r="AI307">
        <v>3.1470999999999999E-2</v>
      </c>
    </row>
    <row r="308" spans="1:35" x14ac:dyDescent="0.35">
      <c r="A308" t="s">
        <v>0</v>
      </c>
      <c r="B308">
        <v>2750</v>
      </c>
      <c r="C308">
        <v>216</v>
      </c>
      <c r="D308">
        <v>1</v>
      </c>
      <c r="E308">
        <v>0</v>
      </c>
      <c r="F308">
        <v>1681128</v>
      </c>
      <c r="G308">
        <v>9916.82</v>
      </c>
      <c r="H308">
        <v>1647069.35</v>
      </c>
      <c r="I308">
        <v>1671211.15</v>
      </c>
      <c r="J308">
        <v>0.15934599999999999</v>
      </c>
      <c r="K308">
        <v>0</v>
      </c>
      <c r="M308" t="s">
        <v>1</v>
      </c>
      <c r="N308">
        <v>4500</v>
      </c>
      <c r="O308">
        <v>84</v>
      </c>
      <c r="P308">
        <v>7660</v>
      </c>
      <c r="Q308">
        <v>0</v>
      </c>
      <c r="R308">
        <v>136500891343</v>
      </c>
      <c r="S308">
        <v>276939060.08999997</v>
      </c>
      <c r="T308">
        <v>135098945342.8</v>
      </c>
      <c r="U308">
        <v>136015408967.17</v>
      </c>
      <c r="V308">
        <v>9.4538999999999998E-2</v>
      </c>
      <c r="W308">
        <v>1.8180000000000002E-2</v>
      </c>
      <c r="Y308" t="s">
        <v>0</v>
      </c>
      <c r="Z308">
        <v>2750</v>
      </c>
      <c r="AA308">
        <v>216</v>
      </c>
      <c r="AB308">
        <v>1</v>
      </c>
      <c r="AC308">
        <v>0</v>
      </c>
      <c r="AD308">
        <v>1695256</v>
      </c>
      <c r="AE308">
        <v>9919.57</v>
      </c>
      <c r="AF308">
        <v>1681128</v>
      </c>
      <c r="AG308">
        <v>1681128</v>
      </c>
      <c r="AH308">
        <v>2.9385999999999999E-2</v>
      </c>
      <c r="AI308">
        <v>2.9385999999999999E-2</v>
      </c>
    </row>
    <row r="309" spans="1:35" x14ac:dyDescent="0.35">
      <c r="A309" t="s">
        <v>2</v>
      </c>
      <c r="B309">
        <v>5250</v>
      </c>
      <c r="C309">
        <v>216</v>
      </c>
      <c r="D309">
        <v>2887</v>
      </c>
      <c r="E309">
        <v>0</v>
      </c>
      <c r="F309">
        <v>18892117532</v>
      </c>
      <c r="G309">
        <v>80004055.540000007</v>
      </c>
      <c r="H309">
        <v>18718118738.25</v>
      </c>
      <c r="I309">
        <v>18797407909.5</v>
      </c>
      <c r="J309">
        <v>5.8097000000000003E-2</v>
      </c>
      <c r="K309">
        <v>9.3010000000000002E-3</v>
      </c>
      <c r="M309" t="s">
        <v>3</v>
      </c>
      <c r="N309">
        <v>4500</v>
      </c>
      <c r="O309">
        <v>192</v>
      </c>
      <c r="P309">
        <v>134</v>
      </c>
      <c r="Q309">
        <v>0</v>
      </c>
      <c r="R309">
        <v>1469580630</v>
      </c>
      <c r="S309">
        <v>5560426.9299999997</v>
      </c>
      <c r="T309">
        <v>1460324801.74</v>
      </c>
      <c r="U309">
        <v>1463410318.3299999</v>
      </c>
      <c r="V309">
        <v>2.9760999999999999E-2</v>
      </c>
      <c r="W309">
        <v>4.9690000000000003E-3</v>
      </c>
      <c r="Y309" t="s">
        <v>2</v>
      </c>
      <c r="Z309">
        <v>5250</v>
      </c>
      <c r="AA309">
        <v>216</v>
      </c>
      <c r="AB309">
        <v>2460</v>
      </c>
      <c r="AC309">
        <v>0</v>
      </c>
      <c r="AD309">
        <v>15859405656</v>
      </c>
      <c r="AE309">
        <v>67075438.670000002</v>
      </c>
      <c r="AF309">
        <v>15705778411</v>
      </c>
      <c r="AG309">
        <v>15770816248.5</v>
      </c>
      <c r="AH309">
        <v>6.3559000000000004E-2</v>
      </c>
      <c r="AI309">
        <v>1.6157999999999999E-2</v>
      </c>
    </row>
    <row r="310" spans="1:35" x14ac:dyDescent="0.35">
      <c r="A310" t="s">
        <v>1</v>
      </c>
      <c r="B310">
        <v>6250</v>
      </c>
      <c r="C310">
        <v>216</v>
      </c>
      <c r="D310">
        <v>208</v>
      </c>
      <c r="E310">
        <v>0</v>
      </c>
      <c r="F310">
        <v>1461151973</v>
      </c>
      <c r="G310">
        <v>6395765.3700000001</v>
      </c>
      <c r="H310">
        <v>1446778560.72</v>
      </c>
      <c r="I310">
        <v>1452561708.6600001</v>
      </c>
      <c r="J310">
        <v>6.3586000000000004E-2</v>
      </c>
      <c r="K310">
        <v>1.7874999999999999E-2</v>
      </c>
      <c r="M310" t="s">
        <v>1</v>
      </c>
      <c r="N310">
        <v>4000</v>
      </c>
      <c r="O310">
        <v>84</v>
      </c>
      <c r="P310">
        <v>10199</v>
      </c>
      <c r="Q310">
        <v>0</v>
      </c>
      <c r="R310">
        <v>204303158051</v>
      </c>
      <c r="S310">
        <v>436546269.68000001</v>
      </c>
      <c r="T310">
        <v>202370208776.64999</v>
      </c>
      <c r="U310">
        <v>203665994657.48001</v>
      </c>
      <c r="V310">
        <v>8.4436999999999998E-2</v>
      </c>
      <c r="W310">
        <v>1.172E-2</v>
      </c>
      <c r="Y310" t="s">
        <v>1</v>
      </c>
      <c r="Z310">
        <v>6250</v>
      </c>
      <c r="AA310">
        <v>216</v>
      </c>
      <c r="AB310">
        <v>224</v>
      </c>
      <c r="AC310">
        <v>0</v>
      </c>
      <c r="AD310">
        <v>1597816175</v>
      </c>
      <c r="AE310">
        <v>6972783.0999999996</v>
      </c>
      <c r="AF310">
        <v>1588709831</v>
      </c>
      <c r="AG310">
        <v>1588709831</v>
      </c>
      <c r="AH310">
        <v>1.5906E-2</v>
      </c>
      <c r="AI310">
        <v>1.5906E-2</v>
      </c>
    </row>
    <row r="311" spans="1:35" x14ac:dyDescent="0.35">
      <c r="A311" t="s">
        <v>0</v>
      </c>
      <c r="B311">
        <v>4750</v>
      </c>
      <c r="C311">
        <v>216</v>
      </c>
      <c r="D311">
        <v>4828</v>
      </c>
      <c r="E311">
        <v>0</v>
      </c>
      <c r="F311">
        <v>44581170749</v>
      </c>
      <c r="G311">
        <v>196122735.61000001</v>
      </c>
      <c r="H311">
        <v>44212869742.300003</v>
      </c>
      <c r="I311">
        <v>44375955354.650002</v>
      </c>
      <c r="J311">
        <v>4.5373999999999998E-2</v>
      </c>
      <c r="K311">
        <v>2.4450000000000001E-3</v>
      </c>
      <c r="M311" t="s">
        <v>1</v>
      </c>
      <c r="N311">
        <v>4000</v>
      </c>
      <c r="O311">
        <v>72</v>
      </c>
      <c r="P311">
        <v>7618</v>
      </c>
      <c r="Q311">
        <v>0</v>
      </c>
      <c r="R311">
        <v>136908887499</v>
      </c>
      <c r="S311">
        <v>282767437.22000003</v>
      </c>
      <c r="T311">
        <v>135327196408.71001</v>
      </c>
      <c r="U311">
        <v>136269165659.48</v>
      </c>
      <c r="V311">
        <v>0.10809299999999999</v>
      </c>
      <c r="W311">
        <v>3.0842000000000001E-2</v>
      </c>
      <c r="Y311" t="s">
        <v>0</v>
      </c>
      <c r="Z311">
        <v>4750</v>
      </c>
      <c r="AA311">
        <v>216</v>
      </c>
      <c r="AB311">
        <v>4245</v>
      </c>
      <c r="AC311">
        <v>0</v>
      </c>
      <c r="AD311">
        <v>39053115654</v>
      </c>
      <c r="AE311">
        <v>171316396.22999999</v>
      </c>
      <c r="AF311">
        <v>38593133706</v>
      </c>
      <c r="AG311">
        <v>38816616989.400002</v>
      </c>
      <c r="AH311">
        <v>8.5181000000000007E-2</v>
      </c>
      <c r="AI311">
        <v>1.9845999999999999E-2</v>
      </c>
    </row>
    <row r="312" spans="1:35" x14ac:dyDescent="0.35">
      <c r="A312" t="s">
        <v>1</v>
      </c>
      <c r="B312">
        <v>5250</v>
      </c>
      <c r="C312">
        <v>216</v>
      </c>
      <c r="D312">
        <v>1010</v>
      </c>
      <c r="E312">
        <v>0</v>
      </c>
      <c r="F312">
        <v>9264585687</v>
      </c>
      <c r="G312">
        <v>39018858.280000001</v>
      </c>
      <c r="H312">
        <v>9180861316.1100006</v>
      </c>
      <c r="I312">
        <v>9217225879.6800003</v>
      </c>
      <c r="J312">
        <v>5.6392999999999999E-2</v>
      </c>
      <c r="K312">
        <v>1.0749999999999999E-2</v>
      </c>
      <c r="M312" t="s">
        <v>1</v>
      </c>
      <c r="N312">
        <v>5750</v>
      </c>
      <c r="O312">
        <v>216</v>
      </c>
      <c r="P312">
        <v>353</v>
      </c>
      <c r="Q312">
        <v>0</v>
      </c>
      <c r="R312">
        <v>2893191483</v>
      </c>
      <c r="S312">
        <v>12532320.449999999</v>
      </c>
      <c r="T312">
        <v>2872057371.79</v>
      </c>
      <c r="U312">
        <v>2879998472.5100002</v>
      </c>
      <c r="V312">
        <v>3.5099999999999999E-2</v>
      </c>
      <c r="W312">
        <v>2.7369999999999998E-3</v>
      </c>
      <c r="Y312" t="s">
        <v>1</v>
      </c>
      <c r="Z312">
        <v>5250</v>
      </c>
      <c r="AA312">
        <v>216</v>
      </c>
      <c r="AB312">
        <v>839</v>
      </c>
      <c r="AC312">
        <v>0</v>
      </c>
      <c r="AD312">
        <v>7833701987</v>
      </c>
      <c r="AE312">
        <v>32909683.48</v>
      </c>
      <c r="AF312">
        <v>7722115946</v>
      </c>
      <c r="AG312">
        <v>7780752278.1599998</v>
      </c>
      <c r="AH312">
        <v>0.11408</v>
      </c>
      <c r="AI312">
        <v>3.0269999999999998E-2</v>
      </c>
    </row>
    <row r="313" spans="1:35" x14ac:dyDescent="0.35">
      <c r="A313" t="s">
        <v>1</v>
      </c>
      <c r="B313">
        <v>3000</v>
      </c>
      <c r="C313">
        <v>108</v>
      </c>
      <c r="D313">
        <v>479</v>
      </c>
      <c r="E313">
        <v>0</v>
      </c>
      <c r="F313">
        <v>8813069476</v>
      </c>
      <c r="G313">
        <v>25152634.640000001</v>
      </c>
      <c r="H313">
        <v>8740657971.7399998</v>
      </c>
      <c r="I313">
        <v>8783940940.4500008</v>
      </c>
      <c r="J313">
        <v>6.2483999999999998E-2</v>
      </c>
      <c r="K313">
        <v>5.4000000000000003E-3</v>
      </c>
      <c r="M313" t="s">
        <v>0</v>
      </c>
      <c r="N313">
        <v>2750</v>
      </c>
      <c r="O313">
        <v>216</v>
      </c>
      <c r="P313">
        <v>1</v>
      </c>
      <c r="Q313">
        <v>0</v>
      </c>
      <c r="R313">
        <v>1709353</v>
      </c>
      <c r="S313">
        <v>9842.89</v>
      </c>
      <c r="T313">
        <v>1698686.25</v>
      </c>
      <c r="U313">
        <v>1699509.85</v>
      </c>
      <c r="V313">
        <v>5.7679999999999997E-3</v>
      </c>
      <c r="W313">
        <v>1.9999999999999999E-6</v>
      </c>
      <c r="Y313" t="s">
        <v>1</v>
      </c>
      <c r="Z313">
        <v>4000</v>
      </c>
      <c r="AA313">
        <v>216</v>
      </c>
      <c r="AB313">
        <v>17</v>
      </c>
      <c r="AC313">
        <v>0</v>
      </c>
      <c r="AD313">
        <v>163056875</v>
      </c>
      <c r="AE313">
        <v>775030.48</v>
      </c>
      <c r="AF313">
        <v>161720715</v>
      </c>
      <c r="AG313">
        <v>161720715</v>
      </c>
      <c r="AH313">
        <v>4.0523000000000003E-2</v>
      </c>
      <c r="AI313">
        <v>4.0523000000000003E-2</v>
      </c>
    </row>
    <row r="314" spans="1:35" x14ac:dyDescent="0.35">
      <c r="A314" t="s">
        <v>1</v>
      </c>
      <c r="B314">
        <v>4000</v>
      </c>
      <c r="C314">
        <v>216</v>
      </c>
      <c r="D314">
        <v>17</v>
      </c>
      <c r="E314">
        <v>0</v>
      </c>
      <c r="F314">
        <v>161720715</v>
      </c>
      <c r="G314">
        <v>774872.64</v>
      </c>
      <c r="H314">
        <v>160400609.22999999</v>
      </c>
      <c r="I314">
        <v>160885694.41999999</v>
      </c>
      <c r="J314">
        <v>3.9716000000000001E-2</v>
      </c>
      <c r="K314">
        <v>4.4539999999999996E-3</v>
      </c>
      <c r="M314" t="s">
        <v>2</v>
      </c>
      <c r="N314">
        <v>5250</v>
      </c>
      <c r="O314">
        <v>216</v>
      </c>
      <c r="P314">
        <v>1968</v>
      </c>
      <c r="Q314">
        <v>0</v>
      </c>
      <c r="R314">
        <v>12156206904</v>
      </c>
      <c r="S314">
        <v>51107038.090000004</v>
      </c>
      <c r="T314">
        <v>12045769411.860001</v>
      </c>
      <c r="U314">
        <v>12099354457.969999</v>
      </c>
      <c r="V314">
        <v>5.7021000000000002E-2</v>
      </c>
      <c r="W314">
        <v>5.6569999999999997E-3</v>
      </c>
      <c r="Y314" t="s">
        <v>0</v>
      </c>
      <c r="Z314">
        <v>7250</v>
      </c>
      <c r="AA314">
        <v>216</v>
      </c>
      <c r="AB314">
        <v>909</v>
      </c>
      <c r="AC314">
        <v>0</v>
      </c>
      <c r="AD314">
        <v>4958911804</v>
      </c>
      <c r="AE314">
        <v>20135753.02</v>
      </c>
      <c r="AF314">
        <v>4852860518</v>
      </c>
      <c r="AG314">
        <v>4876219544.6099997</v>
      </c>
      <c r="AH314">
        <v>0.189195</v>
      </c>
      <c r="AI314">
        <v>0.14130599999999999</v>
      </c>
    </row>
    <row r="315" spans="1:35" x14ac:dyDescent="0.35">
      <c r="A315" t="s">
        <v>0</v>
      </c>
      <c r="B315">
        <v>7250</v>
      </c>
      <c r="C315">
        <v>216</v>
      </c>
      <c r="D315">
        <v>808</v>
      </c>
      <c r="E315">
        <v>0</v>
      </c>
      <c r="F315">
        <v>4439022861</v>
      </c>
      <c r="G315">
        <v>18072801.690000001</v>
      </c>
      <c r="H315">
        <v>4402610800.9099998</v>
      </c>
      <c r="I315">
        <v>4415726200.6999998</v>
      </c>
      <c r="J315">
        <v>4.8465000000000001E-2</v>
      </c>
      <c r="K315">
        <v>1.4031E-2</v>
      </c>
      <c r="M315" t="s">
        <v>0</v>
      </c>
      <c r="N315">
        <v>4750</v>
      </c>
      <c r="O315">
        <v>216</v>
      </c>
      <c r="P315">
        <v>3524</v>
      </c>
      <c r="Q315">
        <v>0</v>
      </c>
      <c r="R315">
        <v>32553698967</v>
      </c>
      <c r="S315">
        <v>141415770.31999999</v>
      </c>
      <c r="T315">
        <v>32283693535.470001</v>
      </c>
      <c r="U315">
        <v>32405298611.360001</v>
      </c>
      <c r="V315">
        <v>4.6385000000000003E-2</v>
      </c>
      <c r="W315">
        <v>2.5720000000000001E-3</v>
      </c>
      <c r="Y315" t="s">
        <v>0</v>
      </c>
      <c r="Z315">
        <v>6000</v>
      </c>
      <c r="AA315">
        <v>168</v>
      </c>
      <c r="AB315">
        <v>26</v>
      </c>
      <c r="AC315">
        <v>0</v>
      </c>
      <c r="AD315">
        <v>164479637</v>
      </c>
      <c r="AE315">
        <v>465719.84</v>
      </c>
      <c r="AF315">
        <v>156025646</v>
      </c>
      <c r="AG315">
        <v>163925819.66999999</v>
      </c>
      <c r="AH315">
        <v>0.44977699999999998</v>
      </c>
      <c r="AI315">
        <v>6.4079999999999996E-3</v>
      </c>
    </row>
    <row r="316" spans="1:35" x14ac:dyDescent="0.35">
      <c r="A316" t="s">
        <v>0</v>
      </c>
      <c r="B316">
        <v>6000</v>
      </c>
      <c r="C316">
        <v>168</v>
      </c>
      <c r="D316">
        <v>24</v>
      </c>
      <c r="E316">
        <v>0</v>
      </c>
      <c r="F316">
        <v>146944109</v>
      </c>
      <c r="G316">
        <v>415428.8</v>
      </c>
      <c r="H316">
        <v>145716682.50999999</v>
      </c>
      <c r="I316">
        <v>146387262.97999999</v>
      </c>
      <c r="J316">
        <v>6.4332E-2</v>
      </c>
      <c r="K316">
        <v>1.1488E-2</v>
      </c>
      <c r="M316" t="s">
        <v>1</v>
      </c>
      <c r="N316">
        <v>5250</v>
      </c>
      <c r="O316">
        <v>216</v>
      </c>
      <c r="P316">
        <v>539</v>
      </c>
      <c r="Q316">
        <v>0</v>
      </c>
      <c r="R316">
        <v>5041764255</v>
      </c>
      <c r="S316">
        <v>21206178.5</v>
      </c>
      <c r="T316">
        <v>5009085488.25</v>
      </c>
      <c r="U316">
        <v>5019463628.5100002</v>
      </c>
      <c r="V316">
        <v>2.6967000000000001E-2</v>
      </c>
      <c r="W316">
        <v>2.6020000000000001E-3</v>
      </c>
      <c r="Y316" t="s">
        <v>2</v>
      </c>
      <c r="Z316">
        <v>6500</v>
      </c>
      <c r="AA316">
        <v>192</v>
      </c>
      <c r="AB316">
        <v>3</v>
      </c>
      <c r="AC316">
        <v>0</v>
      </c>
      <c r="AD316">
        <v>18982664</v>
      </c>
      <c r="AE316">
        <v>68431.88</v>
      </c>
      <c r="AF316">
        <v>18914222</v>
      </c>
      <c r="AG316">
        <v>18914222</v>
      </c>
      <c r="AH316">
        <v>6.0000000000000002E-6</v>
      </c>
      <c r="AI316">
        <v>6.0000000000000002E-6</v>
      </c>
    </row>
    <row r="317" spans="1:35" x14ac:dyDescent="0.35">
      <c r="A317" t="s">
        <v>2</v>
      </c>
      <c r="B317">
        <v>6500</v>
      </c>
      <c r="C317">
        <v>192</v>
      </c>
      <c r="D317">
        <v>2</v>
      </c>
      <c r="E317">
        <v>0</v>
      </c>
      <c r="F317">
        <v>11486818</v>
      </c>
      <c r="G317">
        <v>41338.26</v>
      </c>
      <c r="H317">
        <v>11437998.08</v>
      </c>
      <c r="I317">
        <v>11445439.26</v>
      </c>
      <c r="J317">
        <v>7.7879999999999998E-3</v>
      </c>
      <c r="K317">
        <v>4.1999999999999998E-5</v>
      </c>
      <c r="M317" t="s">
        <v>1</v>
      </c>
      <c r="N317">
        <v>4000</v>
      </c>
      <c r="O317">
        <v>216</v>
      </c>
      <c r="P317">
        <v>17</v>
      </c>
      <c r="Q317">
        <v>0</v>
      </c>
      <c r="R317">
        <v>165501361</v>
      </c>
      <c r="S317">
        <v>774209.37</v>
      </c>
      <c r="T317">
        <v>164229955.69999999</v>
      </c>
      <c r="U317">
        <v>164712532.59</v>
      </c>
      <c r="V317">
        <v>3.5459999999999998E-2</v>
      </c>
      <c r="W317">
        <v>1.059E-3</v>
      </c>
      <c r="Y317" t="s">
        <v>2</v>
      </c>
      <c r="Z317">
        <v>6000</v>
      </c>
      <c r="AA317">
        <v>192</v>
      </c>
      <c r="AB317">
        <v>26</v>
      </c>
      <c r="AC317">
        <v>0</v>
      </c>
      <c r="AD317">
        <v>131014789</v>
      </c>
      <c r="AE317">
        <v>491368.57</v>
      </c>
      <c r="AF317">
        <v>130531822</v>
      </c>
      <c r="AG317">
        <v>130531822</v>
      </c>
      <c r="AH317">
        <v>-7.6999999999999996E-4</v>
      </c>
      <c r="AI317">
        <v>-7.6999999999999996E-4</v>
      </c>
    </row>
    <row r="318" spans="1:35" x14ac:dyDescent="0.35">
      <c r="A318" t="s">
        <v>2</v>
      </c>
      <c r="B318">
        <v>6000</v>
      </c>
      <c r="C318">
        <v>192</v>
      </c>
      <c r="D318">
        <v>20</v>
      </c>
      <c r="E318">
        <v>0</v>
      </c>
      <c r="F318">
        <v>103604456</v>
      </c>
      <c r="G318">
        <v>390182.32</v>
      </c>
      <c r="H318">
        <v>103049031.90000001</v>
      </c>
      <c r="I318">
        <v>103214233.58</v>
      </c>
      <c r="J318">
        <v>1.8971999999999999E-2</v>
      </c>
      <c r="K318">
        <v>5.0000000000000004E-6</v>
      </c>
      <c r="M318" t="s">
        <v>0</v>
      </c>
      <c r="N318">
        <v>7250</v>
      </c>
      <c r="O318">
        <v>216</v>
      </c>
      <c r="P318">
        <v>1128</v>
      </c>
      <c r="Q318">
        <v>0</v>
      </c>
      <c r="R318">
        <v>6202545167</v>
      </c>
      <c r="S318">
        <v>25144548.120000001</v>
      </c>
      <c r="T318">
        <v>6142138467.4499998</v>
      </c>
      <c r="U318">
        <v>6172138572.46</v>
      </c>
      <c r="V318">
        <v>6.6128000000000006E-2</v>
      </c>
      <c r="W318">
        <v>1.0133E-2</v>
      </c>
      <c r="Y318" t="s">
        <v>3</v>
      </c>
      <c r="Z318">
        <v>6750</v>
      </c>
      <c r="AA318">
        <v>216</v>
      </c>
      <c r="AB318">
        <v>13</v>
      </c>
      <c r="AC318">
        <v>0</v>
      </c>
      <c r="AD318">
        <v>74781189</v>
      </c>
      <c r="AE318">
        <v>313942.83</v>
      </c>
      <c r="AF318">
        <v>74354507</v>
      </c>
      <c r="AG318">
        <v>74354507</v>
      </c>
      <c r="AH318">
        <v>1.7942E-2</v>
      </c>
      <c r="AI318">
        <v>1.7942E-2</v>
      </c>
    </row>
    <row r="319" spans="1:35" x14ac:dyDescent="0.35">
      <c r="A319" t="s">
        <v>3</v>
      </c>
      <c r="B319">
        <v>6750</v>
      </c>
      <c r="C319">
        <v>216</v>
      </c>
      <c r="D319">
        <v>12</v>
      </c>
      <c r="E319">
        <v>0</v>
      </c>
      <c r="F319">
        <v>72613304</v>
      </c>
      <c r="G319">
        <v>307264.18</v>
      </c>
      <c r="H319">
        <v>72072569.870000005</v>
      </c>
      <c r="I319">
        <v>72305992.650000006</v>
      </c>
      <c r="J319">
        <v>3.7907999999999997E-2</v>
      </c>
      <c r="K319">
        <v>7.9999999999999996E-6</v>
      </c>
      <c r="M319" t="s">
        <v>0</v>
      </c>
      <c r="N319">
        <v>6000</v>
      </c>
      <c r="O319">
        <v>168</v>
      </c>
      <c r="P319">
        <v>36</v>
      </c>
      <c r="Q319">
        <v>0</v>
      </c>
      <c r="R319">
        <v>239543891</v>
      </c>
      <c r="S319">
        <v>714474.34</v>
      </c>
      <c r="T319">
        <v>236331034.68000001</v>
      </c>
      <c r="U319">
        <v>237738976.83000001</v>
      </c>
      <c r="V319">
        <v>0.11822100000000001</v>
      </c>
      <c r="W319">
        <v>5.3279E-2</v>
      </c>
      <c r="Y319" t="s">
        <v>2</v>
      </c>
      <c r="Z319">
        <v>7250</v>
      </c>
      <c r="AA319">
        <v>216</v>
      </c>
      <c r="AB319">
        <v>122</v>
      </c>
      <c r="AC319">
        <v>0</v>
      </c>
      <c r="AD319">
        <v>508523904</v>
      </c>
      <c r="AE319">
        <v>2044052.7</v>
      </c>
      <c r="AF319">
        <v>506127117</v>
      </c>
      <c r="AG319">
        <v>506127117</v>
      </c>
      <c r="AH319">
        <v>8.2920000000000008E-3</v>
      </c>
      <c r="AI319">
        <v>8.2920000000000008E-3</v>
      </c>
    </row>
    <row r="320" spans="1:35" x14ac:dyDescent="0.35">
      <c r="A320" t="s">
        <v>2</v>
      </c>
      <c r="B320">
        <v>7250</v>
      </c>
      <c r="C320">
        <v>216</v>
      </c>
      <c r="D320">
        <v>116</v>
      </c>
      <c r="E320">
        <v>0</v>
      </c>
      <c r="F320">
        <v>483384923</v>
      </c>
      <c r="G320">
        <v>1954251.41</v>
      </c>
      <c r="H320">
        <v>479233538.35000002</v>
      </c>
      <c r="I320">
        <v>481418818.64999998</v>
      </c>
      <c r="J320">
        <v>5.3200999999999998E-2</v>
      </c>
      <c r="K320">
        <v>2.9399999999999999E-4</v>
      </c>
      <c r="M320" t="s">
        <v>2</v>
      </c>
      <c r="N320">
        <v>6500</v>
      </c>
      <c r="O320">
        <v>192</v>
      </c>
      <c r="P320">
        <v>6</v>
      </c>
      <c r="Q320">
        <v>0</v>
      </c>
      <c r="R320">
        <v>30356737</v>
      </c>
      <c r="S320">
        <v>108781.23</v>
      </c>
      <c r="T320">
        <v>30201095.300000001</v>
      </c>
      <c r="U320">
        <v>30247897.48</v>
      </c>
      <c r="V320">
        <v>1.8367000000000001E-2</v>
      </c>
      <c r="W320">
        <v>2.3E-5</v>
      </c>
      <c r="Y320" t="s">
        <v>3</v>
      </c>
      <c r="Z320">
        <v>5500</v>
      </c>
      <c r="AA320">
        <v>192</v>
      </c>
      <c r="AB320">
        <v>98</v>
      </c>
      <c r="AC320">
        <v>0</v>
      </c>
      <c r="AD320">
        <v>729883842</v>
      </c>
      <c r="AE320">
        <v>2790242.02</v>
      </c>
      <c r="AF320">
        <v>720378647</v>
      </c>
      <c r="AG320">
        <v>726640227.26999998</v>
      </c>
      <c r="AH320">
        <v>0.10498200000000001</v>
      </c>
      <c r="AI320">
        <v>7.4279999999999997E-3</v>
      </c>
    </row>
    <row r="321" spans="1:35" x14ac:dyDescent="0.35">
      <c r="A321" t="s">
        <v>3</v>
      </c>
      <c r="B321">
        <v>5500</v>
      </c>
      <c r="C321">
        <v>192</v>
      </c>
      <c r="D321">
        <v>83</v>
      </c>
      <c r="E321">
        <v>0</v>
      </c>
      <c r="F321">
        <v>608993279</v>
      </c>
      <c r="G321">
        <v>2328604.6800000002</v>
      </c>
      <c r="H321">
        <v>604536299.94000006</v>
      </c>
      <c r="I321">
        <v>606019895.42999995</v>
      </c>
      <c r="J321">
        <v>4.1141999999999998E-2</v>
      </c>
      <c r="K321">
        <v>1.2631E-2</v>
      </c>
      <c r="M321" t="s">
        <v>3</v>
      </c>
      <c r="N321">
        <v>6750</v>
      </c>
      <c r="O321">
        <v>216</v>
      </c>
      <c r="P321">
        <v>15</v>
      </c>
      <c r="Q321">
        <v>0</v>
      </c>
      <c r="R321">
        <v>88962020</v>
      </c>
      <c r="S321">
        <v>371940.59</v>
      </c>
      <c r="T321">
        <v>88484629.450000003</v>
      </c>
      <c r="U321">
        <v>88590056.269999996</v>
      </c>
      <c r="V321">
        <v>1.4132E-2</v>
      </c>
      <c r="W321">
        <v>3.0000000000000001E-6</v>
      </c>
      <c r="Y321" t="s">
        <v>1</v>
      </c>
      <c r="Z321">
        <v>5000</v>
      </c>
      <c r="AA321">
        <v>168</v>
      </c>
      <c r="AB321">
        <v>396</v>
      </c>
      <c r="AC321">
        <v>0</v>
      </c>
      <c r="AD321">
        <v>3795086413</v>
      </c>
      <c r="AE321">
        <v>11449974.369999999</v>
      </c>
      <c r="AF321">
        <v>3768048178</v>
      </c>
      <c r="AG321">
        <v>3780936772.2199998</v>
      </c>
      <c r="AH321">
        <v>4.8190999999999998E-2</v>
      </c>
      <c r="AI321">
        <v>8.5030000000000001E-3</v>
      </c>
    </row>
    <row r="322" spans="1:35" x14ac:dyDescent="0.35">
      <c r="A322" t="s">
        <v>1</v>
      </c>
      <c r="B322">
        <v>5000</v>
      </c>
      <c r="C322">
        <v>168</v>
      </c>
      <c r="D322">
        <v>434</v>
      </c>
      <c r="E322">
        <v>0</v>
      </c>
      <c r="F322">
        <v>4080159663</v>
      </c>
      <c r="G322">
        <v>12352290.460000001</v>
      </c>
      <c r="H322">
        <v>4041252236.2399998</v>
      </c>
      <c r="I322">
        <v>4065342025.5500002</v>
      </c>
      <c r="J322">
        <v>7.5364E-2</v>
      </c>
      <c r="K322">
        <v>7.2269999999999999E-3</v>
      </c>
      <c r="M322" t="s">
        <v>2</v>
      </c>
      <c r="N322">
        <v>7250</v>
      </c>
      <c r="O322">
        <v>216</v>
      </c>
      <c r="P322">
        <v>148</v>
      </c>
      <c r="Q322">
        <v>0</v>
      </c>
      <c r="R322">
        <v>628117406</v>
      </c>
      <c r="S322">
        <v>2518407.67</v>
      </c>
      <c r="T322">
        <v>623411815.78999996</v>
      </c>
      <c r="U322">
        <v>625510919.79999995</v>
      </c>
      <c r="V322">
        <v>4.0994000000000003E-2</v>
      </c>
      <c r="W322">
        <v>1.681E-3</v>
      </c>
      <c r="Y322" t="s">
        <v>0</v>
      </c>
      <c r="Z322">
        <v>5500</v>
      </c>
      <c r="AA322">
        <v>168</v>
      </c>
      <c r="AB322">
        <v>476</v>
      </c>
      <c r="AC322">
        <v>0</v>
      </c>
      <c r="AD322">
        <v>3022305402</v>
      </c>
      <c r="AE322">
        <v>8719744.7100000009</v>
      </c>
      <c r="AF322">
        <v>2995472674</v>
      </c>
      <c r="AG322">
        <v>3004177538.0300002</v>
      </c>
      <c r="AH322">
        <v>6.9593000000000002E-2</v>
      </c>
      <c r="AI322">
        <v>3.6721999999999998E-2</v>
      </c>
    </row>
    <row r="323" spans="1:35" x14ac:dyDescent="0.35">
      <c r="A323" t="s">
        <v>1</v>
      </c>
      <c r="B323">
        <v>7250</v>
      </c>
      <c r="C323">
        <v>216</v>
      </c>
      <c r="D323">
        <v>14</v>
      </c>
      <c r="E323">
        <v>0</v>
      </c>
      <c r="F323">
        <v>74777279</v>
      </c>
      <c r="G323">
        <v>302309.88</v>
      </c>
      <c r="H323">
        <v>74015714.5</v>
      </c>
      <c r="I323">
        <v>74474666.079999998</v>
      </c>
      <c r="J323">
        <v>7.1260000000000004E-2</v>
      </c>
      <c r="K323">
        <v>4.8999999999999998E-5</v>
      </c>
      <c r="M323" t="s">
        <v>3</v>
      </c>
      <c r="N323">
        <v>5500</v>
      </c>
      <c r="O323">
        <v>192</v>
      </c>
      <c r="P323">
        <v>143</v>
      </c>
      <c r="Q323">
        <v>0</v>
      </c>
      <c r="R323">
        <v>1157993404</v>
      </c>
      <c r="S323">
        <v>4439422.93</v>
      </c>
      <c r="T323">
        <v>1151154280.0699999</v>
      </c>
      <c r="U323">
        <v>1153482083.3</v>
      </c>
      <c r="V323">
        <v>2.4586E-2</v>
      </c>
      <c r="W323">
        <v>7.45E-4</v>
      </c>
      <c r="Y323" t="s">
        <v>1</v>
      </c>
      <c r="Z323">
        <v>7250</v>
      </c>
      <c r="AA323">
        <v>216</v>
      </c>
      <c r="AB323">
        <v>15</v>
      </c>
      <c r="AC323">
        <v>0</v>
      </c>
      <c r="AD323">
        <v>81516395</v>
      </c>
      <c r="AE323">
        <v>326734.96000000002</v>
      </c>
      <c r="AF323">
        <v>74777279</v>
      </c>
      <c r="AG323">
        <v>74777279</v>
      </c>
      <c r="AH323">
        <v>0.62587400000000004</v>
      </c>
      <c r="AI323">
        <v>0.62587400000000004</v>
      </c>
    </row>
    <row r="324" spans="1:35" x14ac:dyDescent="0.35">
      <c r="A324" t="s">
        <v>2</v>
      </c>
      <c r="B324">
        <v>4750</v>
      </c>
      <c r="C324">
        <v>240</v>
      </c>
      <c r="D324">
        <v>6</v>
      </c>
      <c r="E324">
        <v>0</v>
      </c>
      <c r="F324">
        <v>33482862</v>
      </c>
      <c r="G324">
        <v>195127.92</v>
      </c>
      <c r="H324">
        <v>33161338.949999999</v>
      </c>
      <c r="I324">
        <v>33287719.699999999</v>
      </c>
      <c r="J324">
        <v>4.437E-2</v>
      </c>
      <c r="K324">
        <v>5.0000000000000004E-6</v>
      </c>
      <c r="M324" t="s">
        <v>1</v>
      </c>
      <c r="N324">
        <v>4250</v>
      </c>
      <c r="O324">
        <v>168</v>
      </c>
      <c r="P324">
        <v>8861</v>
      </c>
      <c r="Q324">
        <v>0</v>
      </c>
      <c r="R324">
        <v>92712459495</v>
      </c>
      <c r="S324">
        <v>323473275.86000001</v>
      </c>
      <c r="T324">
        <v>91849862206.570007</v>
      </c>
      <c r="U324">
        <v>92350512189.839996</v>
      </c>
      <c r="V324">
        <v>6.7590999999999998E-2</v>
      </c>
      <c r="W324">
        <v>4.9680000000000002E-3</v>
      </c>
      <c r="Y324" t="s">
        <v>2</v>
      </c>
      <c r="Z324">
        <v>4750</v>
      </c>
      <c r="AA324">
        <v>240</v>
      </c>
      <c r="AB324">
        <v>6</v>
      </c>
      <c r="AC324">
        <v>0</v>
      </c>
      <c r="AD324">
        <v>33700789</v>
      </c>
      <c r="AE324">
        <v>194510.64</v>
      </c>
      <c r="AF324">
        <v>33482862</v>
      </c>
      <c r="AG324">
        <v>33482862</v>
      </c>
      <c r="AH324">
        <v>8.3059999999999991E-3</v>
      </c>
      <c r="AI324">
        <v>8.3059999999999991E-3</v>
      </c>
    </row>
    <row r="325" spans="1:35" x14ac:dyDescent="0.35">
      <c r="A325" t="s">
        <v>2</v>
      </c>
      <c r="B325">
        <v>5000</v>
      </c>
      <c r="C325">
        <v>360</v>
      </c>
      <c r="D325">
        <v>2</v>
      </c>
      <c r="E325">
        <v>0</v>
      </c>
      <c r="F325">
        <v>2296319</v>
      </c>
      <c r="G325">
        <v>66592.649999999994</v>
      </c>
      <c r="H325">
        <v>2216964.37</v>
      </c>
      <c r="I325">
        <v>2229726.35</v>
      </c>
      <c r="J325">
        <v>6.4689999999999998E-2</v>
      </c>
      <c r="K325">
        <v>0</v>
      </c>
      <c r="M325" t="s">
        <v>0</v>
      </c>
      <c r="N325">
        <v>4250</v>
      </c>
      <c r="O325">
        <v>168</v>
      </c>
      <c r="P325">
        <v>51200</v>
      </c>
      <c r="Q325">
        <v>0</v>
      </c>
      <c r="R325">
        <v>453348880210</v>
      </c>
      <c r="S325">
        <v>1568451825.22</v>
      </c>
      <c r="T325">
        <v>449660400204.03003</v>
      </c>
      <c r="U325">
        <v>451600460771.79999</v>
      </c>
      <c r="V325">
        <v>5.4695000000000001E-2</v>
      </c>
      <c r="W325">
        <v>4.7530000000000003E-3</v>
      </c>
      <c r="Y325" t="s">
        <v>2</v>
      </c>
      <c r="Z325">
        <v>5000</v>
      </c>
      <c r="AA325">
        <v>360</v>
      </c>
      <c r="AB325">
        <v>1</v>
      </c>
      <c r="AC325">
        <v>0</v>
      </c>
      <c r="AD325">
        <v>1114332</v>
      </c>
      <c r="AE325">
        <v>37603.94</v>
      </c>
      <c r="AF325">
        <v>1073881</v>
      </c>
      <c r="AG325">
        <v>1073881</v>
      </c>
      <c r="AH325">
        <v>3.0231999999999998E-2</v>
      </c>
      <c r="AI325">
        <v>3.0231999999999998E-2</v>
      </c>
    </row>
    <row r="326" spans="1:35" x14ac:dyDescent="0.35">
      <c r="A326" t="s">
        <v>3</v>
      </c>
      <c r="B326">
        <v>4000</v>
      </c>
      <c r="C326">
        <v>192</v>
      </c>
      <c r="D326">
        <v>41</v>
      </c>
      <c r="E326">
        <v>0</v>
      </c>
      <c r="F326">
        <v>394486401</v>
      </c>
      <c r="G326">
        <v>1509460</v>
      </c>
      <c r="H326">
        <v>391777770.25999999</v>
      </c>
      <c r="I326">
        <v>392976892.61000001</v>
      </c>
      <c r="J326">
        <v>3.5874000000000003E-2</v>
      </c>
      <c r="K326">
        <v>9.9999999999999995E-7</v>
      </c>
      <c r="M326" t="s">
        <v>0</v>
      </c>
      <c r="N326">
        <v>5500</v>
      </c>
      <c r="O326">
        <v>168</v>
      </c>
      <c r="P326">
        <v>443</v>
      </c>
      <c r="Q326">
        <v>0</v>
      </c>
      <c r="R326">
        <v>2751282059</v>
      </c>
      <c r="S326">
        <v>8131822.8300000001</v>
      </c>
      <c r="T326">
        <v>2725845848.7199998</v>
      </c>
      <c r="U326">
        <v>2741776370.75</v>
      </c>
      <c r="V326">
        <v>7.2917999999999997E-2</v>
      </c>
      <c r="W326">
        <v>5.9760000000000004E-3</v>
      </c>
      <c r="Y326" t="s">
        <v>3</v>
      </c>
      <c r="Z326">
        <v>4000</v>
      </c>
      <c r="AA326">
        <v>192</v>
      </c>
      <c r="AB326">
        <v>23</v>
      </c>
      <c r="AC326">
        <v>0</v>
      </c>
      <c r="AD326">
        <v>224836447</v>
      </c>
      <c r="AE326">
        <v>863155.04</v>
      </c>
      <c r="AF326">
        <v>223287654</v>
      </c>
      <c r="AG326">
        <v>223287654</v>
      </c>
      <c r="AH326">
        <v>3.5985999999999997E-2</v>
      </c>
      <c r="AI326">
        <v>3.5985999999999997E-2</v>
      </c>
    </row>
    <row r="327" spans="1:35" x14ac:dyDescent="0.35">
      <c r="A327" t="s">
        <v>3</v>
      </c>
      <c r="B327">
        <v>4000</v>
      </c>
      <c r="C327">
        <v>168</v>
      </c>
      <c r="D327">
        <v>320</v>
      </c>
      <c r="E327">
        <v>0</v>
      </c>
      <c r="F327">
        <v>3137075072</v>
      </c>
      <c r="G327">
        <v>11155534.66</v>
      </c>
      <c r="H327">
        <v>3115700838.7199998</v>
      </c>
      <c r="I327">
        <v>3125076641.54</v>
      </c>
      <c r="J327">
        <v>3.8396E-2</v>
      </c>
      <c r="K327">
        <v>3.2200000000000002E-3</v>
      </c>
      <c r="M327" t="s">
        <v>2</v>
      </c>
      <c r="N327">
        <v>5500</v>
      </c>
      <c r="O327">
        <v>168</v>
      </c>
      <c r="P327">
        <v>5</v>
      </c>
      <c r="Q327">
        <v>0</v>
      </c>
      <c r="R327">
        <v>36244827</v>
      </c>
      <c r="S327">
        <v>130401.02</v>
      </c>
      <c r="T327">
        <v>35965458.240000002</v>
      </c>
      <c r="U327">
        <v>36114125.079999998</v>
      </c>
      <c r="V327">
        <v>4.8221E-2</v>
      </c>
      <c r="W327">
        <v>1E-4</v>
      </c>
      <c r="Y327" t="s">
        <v>3</v>
      </c>
      <c r="Z327">
        <v>4000</v>
      </c>
      <c r="AA327">
        <v>168</v>
      </c>
      <c r="AB327">
        <v>329</v>
      </c>
      <c r="AC327">
        <v>0</v>
      </c>
      <c r="AD327">
        <v>3218475493</v>
      </c>
      <c r="AE327">
        <v>11441004.300000001</v>
      </c>
      <c r="AF327">
        <v>3202522269</v>
      </c>
      <c r="AG327">
        <v>3202522269</v>
      </c>
      <c r="AH327">
        <v>1.6695000000000002E-2</v>
      </c>
      <c r="AI327">
        <v>1.6695000000000002E-2</v>
      </c>
    </row>
    <row r="328" spans="1:35" x14ac:dyDescent="0.35">
      <c r="A328" t="s">
        <v>3</v>
      </c>
      <c r="B328">
        <v>3500</v>
      </c>
      <c r="C328">
        <v>168</v>
      </c>
      <c r="D328">
        <v>292</v>
      </c>
      <c r="E328">
        <v>0</v>
      </c>
      <c r="F328">
        <v>3201630276</v>
      </c>
      <c r="G328">
        <v>11542419.77</v>
      </c>
      <c r="H328">
        <v>3179875066.3699999</v>
      </c>
      <c r="I328">
        <v>3188851822.1900001</v>
      </c>
      <c r="J328">
        <v>3.7614000000000002E-2</v>
      </c>
      <c r="K328">
        <v>4.6230000000000004E-3</v>
      </c>
      <c r="M328" t="s">
        <v>1</v>
      </c>
      <c r="N328">
        <v>7250</v>
      </c>
      <c r="O328">
        <v>216</v>
      </c>
      <c r="P328">
        <v>20</v>
      </c>
      <c r="Q328">
        <v>0</v>
      </c>
      <c r="R328">
        <v>110993315</v>
      </c>
      <c r="S328">
        <v>449092.24</v>
      </c>
      <c r="T328">
        <v>109646171.42</v>
      </c>
      <c r="U328">
        <v>110540077.14</v>
      </c>
      <c r="V328">
        <v>9.2885999999999996E-2</v>
      </c>
      <c r="W328">
        <v>4.4799999999999999E-4</v>
      </c>
      <c r="Y328" t="s">
        <v>3</v>
      </c>
      <c r="Z328">
        <v>3500</v>
      </c>
      <c r="AA328">
        <v>168</v>
      </c>
      <c r="AB328">
        <v>292</v>
      </c>
      <c r="AC328">
        <v>0</v>
      </c>
      <c r="AD328">
        <v>3222107084</v>
      </c>
      <c r="AE328">
        <v>11543823.34</v>
      </c>
      <c r="AF328">
        <v>3191152152</v>
      </c>
      <c r="AG328">
        <v>3202813559.8800001</v>
      </c>
      <c r="AH328">
        <v>6.9944000000000006E-2</v>
      </c>
      <c r="AI328">
        <v>2.8483000000000001E-2</v>
      </c>
    </row>
    <row r="329" spans="1:35" x14ac:dyDescent="0.35">
      <c r="A329" t="s">
        <v>1</v>
      </c>
      <c r="B329">
        <v>6500</v>
      </c>
      <c r="C329">
        <v>192</v>
      </c>
      <c r="D329">
        <v>7</v>
      </c>
      <c r="E329">
        <v>0</v>
      </c>
      <c r="F329">
        <v>59577900</v>
      </c>
      <c r="G329">
        <v>211476.72</v>
      </c>
      <c r="H329">
        <v>58809010.799999997</v>
      </c>
      <c r="I329">
        <v>59366283.450000003</v>
      </c>
      <c r="J329">
        <v>0.106671</v>
      </c>
      <c r="K329">
        <v>2.8E-5</v>
      </c>
      <c r="M329" t="s">
        <v>2</v>
      </c>
      <c r="N329">
        <v>4750</v>
      </c>
      <c r="O329">
        <v>240</v>
      </c>
      <c r="P329">
        <v>5</v>
      </c>
      <c r="Q329">
        <v>0</v>
      </c>
      <c r="R329">
        <v>28972989</v>
      </c>
      <c r="S329">
        <v>166629.66</v>
      </c>
      <c r="T329">
        <v>28691614.789999999</v>
      </c>
      <c r="U329">
        <v>28806355.760000002</v>
      </c>
      <c r="V329">
        <v>4.6503000000000003E-2</v>
      </c>
      <c r="W329">
        <v>9.9999999999999995E-7</v>
      </c>
      <c r="Y329" t="s">
        <v>1</v>
      </c>
      <c r="Z329">
        <v>6500</v>
      </c>
      <c r="AA329">
        <v>192</v>
      </c>
      <c r="AB329">
        <v>9</v>
      </c>
      <c r="AC329">
        <v>0</v>
      </c>
      <c r="AD329">
        <v>73217544</v>
      </c>
      <c r="AE329">
        <v>259545.78</v>
      </c>
      <c r="AF329">
        <v>72929895</v>
      </c>
      <c r="AG329">
        <v>72929895</v>
      </c>
      <c r="AH329">
        <v>4.5960000000000003E-3</v>
      </c>
      <c r="AI329">
        <v>4.5960000000000003E-3</v>
      </c>
    </row>
    <row r="330" spans="1:35" x14ac:dyDescent="0.35">
      <c r="A330" t="s">
        <v>2</v>
      </c>
      <c r="B330">
        <v>5250</v>
      </c>
      <c r="C330">
        <v>192</v>
      </c>
      <c r="D330">
        <v>4618</v>
      </c>
      <c r="E330">
        <v>0</v>
      </c>
      <c r="F330">
        <v>31702198370</v>
      </c>
      <c r="G330">
        <v>120793676.95999999</v>
      </c>
      <c r="H330">
        <v>31438082382.419998</v>
      </c>
      <c r="I330">
        <v>31561954574.630001</v>
      </c>
      <c r="J330">
        <v>5.2921999999999997E-2</v>
      </c>
      <c r="K330">
        <v>7.3379999999999999E-3</v>
      </c>
      <c r="M330" t="s">
        <v>2</v>
      </c>
      <c r="N330">
        <v>5750</v>
      </c>
      <c r="O330">
        <v>192</v>
      </c>
      <c r="P330">
        <v>783</v>
      </c>
      <c r="Q330">
        <v>0</v>
      </c>
      <c r="R330">
        <v>4387850677</v>
      </c>
      <c r="S330">
        <v>16888618.719999999</v>
      </c>
      <c r="T330">
        <v>4355088407.1599998</v>
      </c>
      <c r="U330">
        <v>4369578923.9799995</v>
      </c>
      <c r="V330">
        <v>4.2557999999999999E-2</v>
      </c>
      <c r="W330">
        <v>3.7759999999999998E-3</v>
      </c>
      <c r="Y330" t="s">
        <v>2</v>
      </c>
      <c r="Z330">
        <v>5250</v>
      </c>
      <c r="AA330">
        <v>192</v>
      </c>
      <c r="AB330">
        <v>5080</v>
      </c>
      <c r="AC330">
        <v>0</v>
      </c>
      <c r="AD330">
        <v>35187343221</v>
      </c>
      <c r="AE330">
        <v>133838372.40000001</v>
      </c>
      <c r="AF330">
        <v>34888537491</v>
      </c>
      <c r="AG330">
        <v>34980683692.32</v>
      </c>
      <c r="AH330">
        <v>5.4830999999999998E-2</v>
      </c>
      <c r="AI330">
        <v>2.4553999999999999E-2</v>
      </c>
    </row>
    <row r="331" spans="1:35" x14ac:dyDescent="0.35">
      <c r="A331" t="s">
        <v>0</v>
      </c>
      <c r="B331">
        <v>6250</v>
      </c>
      <c r="C331">
        <v>192</v>
      </c>
      <c r="D331">
        <v>165</v>
      </c>
      <c r="E331">
        <v>0</v>
      </c>
      <c r="F331">
        <v>1121133575</v>
      </c>
      <c r="G331">
        <v>3958761.73</v>
      </c>
      <c r="H331">
        <v>1111742597.3399999</v>
      </c>
      <c r="I331">
        <v>1116403354.8800001</v>
      </c>
      <c r="J331">
        <v>5.6619000000000003E-2</v>
      </c>
      <c r="K331">
        <v>8.2260000000000007E-3</v>
      </c>
      <c r="M331" t="s">
        <v>1</v>
      </c>
      <c r="N331">
        <v>6250</v>
      </c>
      <c r="O331">
        <v>192</v>
      </c>
      <c r="P331">
        <v>8</v>
      </c>
      <c r="Q331">
        <v>0</v>
      </c>
      <c r="R331">
        <v>35350786</v>
      </c>
      <c r="S331">
        <v>132133.75</v>
      </c>
      <c r="T331">
        <v>35022600.5</v>
      </c>
      <c r="U331">
        <v>35171982.869999997</v>
      </c>
      <c r="V331">
        <v>6.4558000000000004E-2</v>
      </c>
      <c r="W331">
        <v>1.5727999999999999E-2</v>
      </c>
      <c r="Y331" t="s">
        <v>0</v>
      </c>
      <c r="Z331">
        <v>6250</v>
      </c>
      <c r="AA331">
        <v>192</v>
      </c>
      <c r="AB331">
        <v>208</v>
      </c>
      <c r="AC331">
        <v>0</v>
      </c>
      <c r="AD331">
        <v>1368805708</v>
      </c>
      <c r="AE331">
        <v>4852042.2300000004</v>
      </c>
      <c r="AF331">
        <v>1356330680</v>
      </c>
      <c r="AG331">
        <v>1362637425.04</v>
      </c>
      <c r="AH331">
        <v>6.4819000000000002E-2</v>
      </c>
      <c r="AI331">
        <v>1.1478E-2</v>
      </c>
    </row>
    <row r="332" spans="1:35" x14ac:dyDescent="0.35">
      <c r="A332" t="s">
        <v>2</v>
      </c>
      <c r="B332">
        <v>5750</v>
      </c>
      <c r="C332">
        <v>192</v>
      </c>
      <c r="D332">
        <v>146</v>
      </c>
      <c r="E332">
        <v>0</v>
      </c>
      <c r="F332">
        <v>771448643</v>
      </c>
      <c r="G332">
        <v>2932429.85</v>
      </c>
      <c r="H332">
        <v>765056636.61000001</v>
      </c>
      <c r="I332">
        <v>767911536.19000006</v>
      </c>
      <c r="J332">
        <v>5.2506999999999998E-2</v>
      </c>
      <c r="K332">
        <v>9.3650000000000001E-3</v>
      </c>
      <c r="M332" t="s">
        <v>2</v>
      </c>
      <c r="N332">
        <v>5000</v>
      </c>
      <c r="O332">
        <v>360</v>
      </c>
      <c r="P332">
        <v>1</v>
      </c>
      <c r="Q332">
        <v>0</v>
      </c>
      <c r="R332">
        <v>1194731</v>
      </c>
      <c r="S332">
        <v>37469.99</v>
      </c>
      <c r="T332">
        <v>1150508.27</v>
      </c>
      <c r="U332">
        <v>1157261.01</v>
      </c>
      <c r="V332">
        <v>6.5755999999999995E-2</v>
      </c>
      <c r="W332">
        <v>0</v>
      </c>
      <c r="Y332" t="s">
        <v>2</v>
      </c>
      <c r="Z332">
        <v>5750</v>
      </c>
      <c r="AA332">
        <v>192</v>
      </c>
      <c r="AB332">
        <v>183</v>
      </c>
      <c r="AC332">
        <v>0</v>
      </c>
      <c r="AD332">
        <v>989488883</v>
      </c>
      <c r="AE332">
        <v>3756405.68</v>
      </c>
      <c r="AF332">
        <v>977717854</v>
      </c>
      <c r="AG332">
        <v>984557944.03999996</v>
      </c>
      <c r="AH332">
        <v>9.2981999999999995E-2</v>
      </c>
      <c r="AI332">
        <v>1.4151E-2</v>
      </c>
    </row>
    <row r="333" spans="1:35" x14ac:dyDescent="0.35">
      <c r="A333" t="s">
        <v>1</v>
      </c>
      <c r="B333">
        <v>5250</v>
      </c>
      <c r="C333">
        <v>192</v>
      </c>
      <c r="D333">
        <v>1862</v>
      </c>
      <c r="E333">
        <v>0</v>
      </c>
      <c r="F333">
        <v>15613717549</v>
      </c>
      <c r="G333">
        <v>60126532.520000003</v>
      </c>
      <c r="H333">
        <v>15468426919.780001</v>
      </c>
      <c r="I333">
        <v>15540551941.280001</v>
      </c>
      <c r="J333">
        <v>6.3524999999999998E-2</v>
      </c>
      <c r="K333">
        <v>9.9749999999999995E-3</v>
      </c>
      <c r="M333" t="s">
        <v>3</v>
      </c>
      <c r="N333">
        <v>6000</v>
      </c>
      <c r="O333">
        <v>192</v>
      </c>
      <c r="P333">
        <v>14</v>
      </c>
      <c r="Q333">
        <v>0</v>
      </c>
      <c r="R333">
        <v>84502744</v>
      </c>
      <c r="S333">
        <v>312327.05</v>
      </c>
      <c r="T333">
        <v>84040703.930000007</v>
      </c>
      <c r="U333">
        <v>84190404.909999996</v>
      </c>
      <c r="V333">
        <v>2.1054E-2</v>
      </c>
      <c r="W333">
        <v>1.9999999999999999E-6</v>
      </c>
      <c r="Y333" t="s">
        <v>1</v>
      </c>
      <c r="Z333">
        <v>5250</v>
      </c>
      <c r="AA333">
        <v>192</v>
      </c>
      <c r="AB333">
        <v>2058</v>
      </c>
      <c r="AC333">
        <v>0</v>
      </c>
      <c r="AD333">
        <v>17361898091</v>
      </c>
      <c r="AE333">
        <v>66665212.229999997</v>
      </c>
      <c r="AF333">
        <v>17156187290</v>
      </c>
      <c r="AG333">
        <v>17257188544.59</v>
      </c>
      <c r="AH333">
        <v>9.1981999999999994E-2</v>
      </c>
      <c r="AI333">
        <v>2.598E-2</v>
      </c>
    </row>
    <row r="334" spans="1:35" x14ac:dyDescent="0.35">
      <c r="A334" t="s">
        <v>0</v>
      </c>
      <c r="B334">
        <v>4250</v>
      </c>
      <c r="C334">
        <v>216</v>
      </c>
      <c r="D334">
        <v>391</v>
      </c>
      <c r="E334">
        <v>0</v>
      </c>
      <c r="F334">
        <v>3745157848</v>
      </c>
      <c r="G334">
        <v>17113342.75</v>
      </c>
      <c r="H334">
        <v>3717861352.4099998</v>
      </c>
      <c r="I334">
        <v>3727443926.5300002</v>
      </c>
      <c r="J334">
        <v>3.2145E-2</v>
      </c>
      <c r="K334">
        <v>1.923E-3</v>
      </c>
      <c r="M334" t="s">
        <v>2</v>
      </c>
      <c r="N334">
        <v>4250</v>
      </c>
      <c r="O334">
        <v>168</v>
      </c>
      <c r="P334">
        <v>7581</v>
      </c>
      <c r="Q334">
        <v>0</v>
      </c>
      <c r="R334">
        <v>58266363608</v>
      </c>
      <c r="S334">
        <v>203151822.74000001</v>
      </c>
      <c r="T334">
        <v>57776371393.919998</v>
      </c>
      <c r="U334">
        <v>58042192629.709999</v>
      </c>
      <c r="V334">
        <v>5.7500999999999997E-2</v>
      </c>
      <c r="W334">
        <v>4.3200000000000001E-3</v>
      </c>
      <c r="Y334" t="s">
        <v>0</v>
      </c>
      <c r="Z334">
        <v>4250</v>
      </c>
      <c r="AA334">
        <v>216</v>
      </c>
      <c r="AB334">
        <v>344</v>
      </c>
      <c r="AC334">
        <v>0</v>
      </c>
      <c r="AD334">
        <v>3291476108</v>
      </c>
      <c r="AE334">
        <v>14991367.15</v>
      </c>
      <c r="AF334">
        <v>3269384809</v>
      </c>
      <c r="AG334">
        <v>3269384809</v>
      </c>
      <c r="AH334">
        <v>2.5579999999999999E-2</v>
      </c>
      <c r="AI334">
        <v>2.5579999999999999E-2</v>
      </c>
    </row>
    <row r="335" spans="1:35" x14ac:dyDescent="0.35">
      <c r="A335" t="s">
        <v>0</v>
      </c>
      <c r="B335">
        <v>2500</v>
      </c>
      <c r="C335">
        <v>60</v>
      </c>
      <c r="D335">
        <v>61860</v>
      </c>
      <c r="E335">
        <v>0</v>
      </c>
      <c r="F335">
        <v>1454607625364</v>
      </c>
      <c r="G335">
        <v>3520885547.7600002</v>
      </c>
      <c r="H335">
        <v>1444979632206.47</v>
      </c>
      <c r="I335">
        <v>1450787634649.8</v>
      </c>
      <c r="J335">
        <v>4.9234E-2</v>
      </c>
      <c r="K335">
        <v>2.4650000000000002E-3</v>
      </c>
      <c r="M335" t="s">
        <v>3</v>
      </c>
      <c r="N335">
        <v>4000</v>
      </c>
      <c r="O335">
        <v>168</v>
      </c>
      <c r="P335">
        <v>338</v>
      </c>
      <c r="Q335">
        <v>0</v>
      </c>
      <c r="R335">
        <v>3329078410</v>
      </c>
      <c r="S335">
        <v>11767478.220000001</v>
      </c>
      <c r="T335">
        <v>3305586450.5799999</v>
      </c>
      <c r="U335">
        <v>3317144348.5999999</v>
      </c>
      <c r="V335">
        <v>4.1452999999999997E-2</v>
      </c>
      <c r="W335">
        <v>5.9999999999999995E-4</v>
      </c>
      <c r="Y335" t="s">
        <v>0</v>
      </c>
      <c r="Z335">
        <v>2500</v>
      </c>
      <c r="AA335">
        <v>60</v>
      </c>
      <c r="AB335">
        <v>66944</v>
      </c>
      <c r="AC335">
        <v>0</v>
      </c>
      <c r="AD335">
        <v>1565192400135</v>
      </c>
      <c r="AE335">
        <v>3780813285.9099998</v>
      </c>
      <c r="AF335">
        <v>1556589328036</v>
      </c>
      <c r="AG335">
        <v>1561078604176.8201</v>
      </c>
      <c r="AH335">
        <v>3.6351000000000001E-2</v>
      </c>
      <c r="AI335">
        <v>2.5500000000000002E-3</v>
      </c>
    </row>
    <row r="336" spans="1:35" x14ac:dyDescent="0.35">
      <c r="A336" t="s">
        <v>2</v>
      </c>
      <c r="B336">
        <v>2500</v>
      </c>
      <c r="C336">
        <v>60</v>
      </c>
      <c r="D336">
        <v>6983</v>
      </c>
      <c r="E336">
        <v>0</v>
      </c>
      <c r="F336">
        <v>120362373402</v>
      </c>
      <c r="G336">
        <v>288493268.30000001</v>
      </c>
      <c r="H336">
        <v>119464314803.75999</v>
      </c>
      <c r="I336">
        <v>120034984343.64999</v>
      </c>
      <c r="J336">
        <v>5.9108000000000001E-2</v>
      </c>
      <c r="K336">
        <v>3.8709999999999999E-3</v>
      </c>
      <c r="M336" t="s">
        <v>1</v>
      </c>
      <c r="N336">
        <v>6500</v>
      </c>
      <c r="O336">
        <v>192</v>
      </c>
      <c r="P336">
        <v>14</v>
      </c>
      <c r="Q336">
        <v>0</v>
      </c>
      <c r="R336">
        <v>111640220</v>
      </c>
      <c r="S336">
        <v>394717.14</v>
      </c>
      <c r="T336">
        <v>109763176.06999999</v>
      </c>
      <c r="U336">
        <v>111243412.95999999</v>
      </c>
      <c r="V336">
        <v>0.148197</v>
      </c>
      <c r="W336">
        <v>2.2499999999999999E-4</v>
      </c>
      <c r="Y336" t="s">
        <v>2</v>
      </c>
      <c r="Z336">
        <v>2500</v>
      </c>
      <c r="AA336">
        <v>60</v>
      </c>
      <c r="AB336">
        <v>7799</v>
      </c>
      <c r="AC336">
        <v>0</v>
      </c>
      <c r="AD336">
        <v>134773434059</v>
      </c>
      <c r="AE336">
        <v>322406594.18000001</v>
      </c>
      <c r="AF336">
        <v>134036189806</v>
      </c>
      <c r="AG336">
        <v>134388494894.75</v>
      </c>
      <c r="AH336">
        <v>3.6318000000000003E-2</v>
      </c>
      <c r="AI336">
        <v>5.5539999999999999E-3</v>
      </c>
    </row>
    <row r="337" spans="1:35" x14ac:dyDescent="0.35">
      <c r="A337" t="s">
        <v>1</v>
      </c>
      <c r="B337">
        <v>3500</v>
      </c>
      <c r="C337">
        <v>192</v>
      </c>
      <c r="D337">
        <v>62</v>
      </c>
      <c r="E337">
        <v>0</v>
      </c>
      <c r="F337">
        <v>717330331</v>
      </c>
      <c r="G337">
        <v>2966864.1</v>
      </c>
      <c r="H337">
        <v>710531693.77999997</v>
      </c>
      <c r="I337">
        <v>714055066.52999997</v>
      </c>
      <c r="J337">
        <v>6.225E-2</v>
      </c>
      <c r="K337">
        <v>5.1469999999999997E-3</v>
      </c>
      <c r="M337" t="s">
        <v>0</v>
      </c>
      <c r="N337">
        <v>6250</v>
      </c>
      <c r="O337">
        <v>192</v>
      </c>
      <c r="P337">
        <v>333</v>
      </c>
      <c r="Q337">
        <v>0</v>
      </c>
      <c r="R337">
        <v>2087250440</v>
      </c>
      <c r="S337">
        <v>7454179.8799999999</v>
      </c>
      <c r="T337">
        <v>2067286394.4000001</v>
      </c>
      <c r="U337">
        <v>2077449918.1199999</v>
      </c>
      <c r="V337">
        <v>6.9597999999999993E-2</v>
      </c>
      <c r="W337">
        <v>1.3406E-2</v>
      </c>
      <c r="Y337" t="s">
        <v>1</v>
      </c>
      <c r="Z337">
        <v>3500</v>
      </c>
      <c r="AA337">
        <v>192</v>
      </c>
      <c r="AB337">
        <v>55</v>
      </c>
      <c r="AC337">
        <v>0</v>
      </c>
      <c r="AD337">
        <v>629673864</v>
      </c>
      <c r="AE337">
        <v>2604661.2400000002</v>
      </c>
      <c r="AF337">
        <v>625758284</v>
      </c>
      <c r="AG337">
        <v>625758284</v>
      </c>
      <c r="AH337">
        <v>2.4698999999999999E-2</v>
      </c>
      <c r="AI337">
        <v>2.4698999999999999E-2</v>
      </c>
    </row>
    <row r="338" spans="1:35" x14ac:dyDescent="0.35">
      <c r="A338" t="s">
        <v>1</v>
      </c>
      <c r="B338">
        <v>3750</v>
      </c>
      <c r="C338">
        <v>192</v>
      </c>
      <c r="D338">
        <v>2043</v>
      </c>
      <c r="E338">
        <v>0</v>
      </c>
      <c r="F338">
        <v>25303997173</v>
      </c>
      <c r="G338">
        <v>97899198.280000001</v>
      </c>
      <c r="H338">
        <v>25088973667.23</v>
      </c>
      <c r="I338">
        <v>25199434767</v>
      </c>
      <c r="J338">
        <v>5.4151999999999999E-2</v>
      </c>
      <c r="K338">
        <v>3.1549999999999998E-3</v>
      </c>
      <c r="M338" t="s">
        <v>3</v>
      </c>
      <c r="N338">
        <v>4500</v>
      </c>
      <c r="O338">
        <v>168</v>
      </c>
      <c r="P338">
        <v>95</v>
      </c>
      <c r="Q338">
        <v>0</v>
      </c>
      <c r="R338">
        <v>1000410915</v>
      </c>
      <c r="S338">
        <v>3302789.16</v>
      </c>
      <c r="T338">
        <v>993889058.40999997</v>
      </c>
      <c r="U338">
        <v>996758211.73000002</v>
      </c>
      <c r="V338">
        <v>3.7936999999999999E-2</v>
      </c>
      <c r="W338">
        <v>4.189E-3</v>
      </c>
      <c r="Y338" t="s">
        <v>1</v>
      </c>
      <c r="Z338">
        <v>3750</v>
      </c>
      <c r="AA338">
        <v>192</v>
      </c>
      <c r="AB338">
        <v>1066</v>
      </c>
      <c r="AC338">
        <v>0</v>
      </c>
      <c r="AD338">
        <v>13121342790</v>
      </c>
      <c r="AE338">
        <v>50816252.170000002</v>
      </c>
      <c r="AF338">
        <v>12967611736</v>
      </c>
      <c r="AG338">
        <v>13040049519.940001</v>
      </c>
      <c r="AH338">
        <v>9.0163999999999994E-2</v>
      </c>
      <c r="AI338">
        <v>2.7518999999999998E-2</v>
      </c>
    </row>
    <row r="339" spans="1:35" x14ac:dyDescent="0.35">
      <c r="A339" t="s">
        <v>2</v>
      </c>
      <c r="B339">
        <v>3750</v>
      </c>
      <c r="C339">
        <v>192</v>
      </c>
      <c r="D339">
        <v>714</v>
      </c>
      <c r="E339">
        <v>0</v>
      </c>
      <c r="F339">
        <v>6088822698</v>
      </c>
      <c r="G339">
        <v>23589765.170000002</v>
      </c>
      <c r="H339">
        <v>6036468118.54</v>
      </c>
      <c r="I339">
        <v>6062305895.9399996</v>
      </c>
      <c r="J339">
        <v>5.5239999999999997E-2</v>
      </c>
      <c r="K339">
        <v>5.7530000000000003E-3</v>
      </c>
      <c r="M339" t="s">
        <v>3</v>
      </c>
      <c r="N339">
        <v>3500</v>
      </c>
      <c r="O339">
        <v>168</v>
      </c>
      <c r="P339">
        <v>289</v>
      </c>
      <c r="Q339">
        <v>0</v>
      </c>
      <c r="R339">
        <v>3209612007</v>
      </c>
      <c r="S339">
        <v>11373772.01</v>
      </c>
      <c r="T339">
        <v>3187636971.4899998</v>
      </c>
      <c r="U339">
        <v>3197541133.4099998</v>
      </c>
      <c r="V339">
        <v>3.8924E-2</v>
      </c>
      <c r="W339">
        <v>2.6029999999999998E-3</v>
      </c>
      <c r="Y339" t="s">
        <v>0</v>
      </c>
      <c r="Z339">
        <v>3750</v>
      </c>
      <c r="AA339">
        <v>168</v>
      </c>
      <c r="AB339">
        <v>126929</v>
      </c>
      <c r="AC339">
        <v>0</v>
      </c>
      <c r="AD339">
        <v>1321488375186</v>
      </c>
      <c r="AE339">
        <v>4690645690.0299997</v>
      </c>
      <c r="AF339">
        <v>1310974075896</v>
      </c>
      <c r="AG339">
        <v>1314832186072.1399</v>
      </c>
      <c r="AH339">
        <v>5.1619999999999999E-2</v>
      </c>
      <c r="AI339">
        <v>1.7703E-2</v>
      </c>
    </row>
    <row r="340" spans="1:35" x14ac:dyDescent="0.35">
      <c r="A340" t="s">
        <v>1</v>
      </c>
      <c r="B340">
        <v>3000</v>
      </c>
      <c r="C340">
        <v>192</v>
      </c>
      <c r="D340">
        <v>5</v>
      </c>
      <c r="E340">
        <v>0</v>
      </c>
      <c r="F340">
        <v>45129748</v>
      </c>
      <c r="G340">
        <v>198244.29</v>
      </c>
      <c r="H340">
        <v>44501390.68</v>
      </c>
      <c r="I340">
        <v>44927511.090000004</v>
      </c>
      <c r="J340">
        <v>0.108559</v>
      </c>
      <c r="K340">
        <v>1.0610000000000001E-3</v>
      </c>
      <c r="M340" t="s">
        <v>1</v>
      </c>
      <c r="N340">
        <v>5250</v>
      </c>
      <c r="O340">
        <v>192</v>
      </c>
      <c r="P340">
        <v>2401</v>
      </c>
      <c r="Q340">
        <v>0</v>
      </c>
      <c r="R340">
        <v>20700489943</v>
      </c>
      <c r="S340">
        <v>78978911.859999999</v>
      </c>
      <c r="T340">
        <v>20538740832.599998</v>
      </c>
      <c r="U340">
        <v>20613093309.259998</v>
      </c>
      <c r="V340">
        <v>4.6940000000000003E-2</v>
      </c>
      <c r="W340">
        <v>4.8690000000000001E-3</v>
      </c>
      <c r="Y340" t="s">
        <v>2</v>
      </c>
      <c r="Z340">
        <v>3750</v>
      </c>
      <c r="AA340">
        <v>192</v>
      </c>
      <c r="AB340">
        <v>420</v>
      </c>
      <c r="AC340">
        <v>0</v>
      </c>
      <c r="AD340">
        <v>3577600569</v>
      </c>
      <c r="AE340">
        <v>13860449.67</v>
      </c>
      <c r="AF340">
        <v>3532679765</v>
      </c>
      <c r="AG340">
        <v>3561315279.7399998</v>
      </c>
      <c r="AH340">
        <v>9.9349000000000007E-2</v>
      </c>
      <c r="AI340">
        <v>8.1030000000000008E-3</v>
      </c>
    </row>
    <row r="341" spans="1:35" x14ac:dyDescent="0.35">
      <c r="A341" t="s">
        <v>2</v>
      </c>
      <c r="B341">
        <v>3250</v>
      </c>
      <c r="C341">
        <v>192</v>
      </c>
      <c r="D341">
        <v>12</v>
      </c>
      <c r="E341">
        <v>0</v>
      </c>
      <c r="F341">
        <v>84096195</v>
      </c>
      <c r="G341">
        <v>348708.36</v>
      </c>
      <c r="H341">
        <v>83410350.659999996</v>
      </c>
      <c r="I341">
        <v>83740709.790000007</v>
      </c>
      <c r="J341">
        <v>4.7060999999999999E-2</v>
      </c>
      <c r="K341">
        <v>9.6699999999999998E-4</v>
      </c>
      <c r="M341" t="s">
        <v>2</v>
      </c>
      <c r="N341">
        <v>5250</v>
      </c>
      <c r="O341">
        <v>192</v>
      </c>
      <c r="P341">
        <v>5669</v>
      </c>
      <c r="Q341">
        <v>0</v>
      </c>
      <c r="R341">
        <v>39934462343</v>
      </c>
      <c r="S341">
        <v>150640483.63999999</v>
      </c>
      <c r="T341">
        <v>39618301871.709999</v>
      </c>
      <c r="U341">
        <v>39773282663.07</v>
      </c>
      <c r="V341">
        <v>4.8619000000000002E-2</v>
      </c>
      <c r="W341">
        <v>3.1619999999999999E-3</v>
      </c>
      <c r="Y341" t="s">
        <v>1</v>
      </c>
      <c r="Z341">
        <v>3000</v>
      </c>
      <c r="AA341">
        <v>192</v>
      </c>
      <c r="AB341">
        <v>5</v>
      </c>
      <c r="AC341">
        <v>0</v>
      </c>
      <c r="AD341">
        <v>45374196</v>
      </c>
      <c r="AE341">
        <v>197959.08</v>
      </c>
      <c r="AF341">
        <v>45129748</v>
      </c>
      <c r="AG341">
        <v>45129748</v>
      </c>
      <c r="AH341">
        <v>1.2226000000000001E-2</v>
      </c>
      <c r="AI341">
        <v>1.2226000000000001E-2</v>
      </c>
    </row>
    <row r="342" spans="1:35" x14ac:dyDescent="0.35">
      <c r="A342" t="s">
        <v>3</v>
      </c>
      <c r="B342">
        <v>4750</v>
      </c>
      <c r="C342">
        <v>192</v>
      </c>
      <c r="D342">
        <v>190</v>
      </c>
      <c r="E342">
        <v>0</v>
      </c>
      <c r="F342">
        <v>1785377405</v>
      </c>
      <c r="G342">
        <v>6738095.1399999997</v>
      </c>
      <c r="H342">
        <v>1773078441.5799999</v>
      </c>
      <c r="I342">
        <v>1777505637.1099999</v>
      </c>
      <c r="J342">
        <v>3.6741999999999997E-2</v>
      </c>
      <c r="K342">
        <v>7.5929999999999999E-3</v>
      </c>
      <c r="M342" t="s">
        <v>1</v>
      </c>
      <c r="N342">
        <v>5750</v>
      </c>
      <c r="O342">
        <v>192</v>
      </c>
      <c r="P342">
        <v>137</v>
      </c>
      <c r="Q342">
        <v>0</v>
      </c>
      <c r="R342">
        <v>910187189</v>
      </c>
      <c r="S342">
        <v>3454894.38</v>
      </c>
      <c r="T342">
        <v>902830696.46000004</v>
      </c>
      <c r="U342">
        <v>906499266.47000003</v>
      </c>
      <c r="V342">
        <v>5.0243000000000003E-2</v>
      </c>
      <c r="W342">
        <v>3.068E-3</v>
      </c>
      <c r="Y342" t="s">
        <v>2</v>
      </c>
      <c r="Z342">
        <v>3250</v>
      </c>
      <c r="AA342">
        <v>192</v>
      </c>
      <c r="AB342">
        <v>7</v>
      </c>
      <c r="AC342">
        <v>0</v>
      </c>
      <c r="AD342">
        <v>52982952</v>
      </c>
      <c r="AE342">
        <v>222602.67</v>
      </c>
      <c r="AF342">
        <v>52796670</v>
      </c>
      <c r="AG342">
        <v>52796670</v>
      </c>
      <c r="AH342">
        <v>-8.2570000000000005E-3</v>
      </c>
      <c r="AI342">
        <v>-8.2570000000000005E-3</v>
      </c>
    </row>
    <row r="343" spans="1:35" x14ac:dyDescent="0.35">
      <c r="A343" t="s">
        <v>3</v>
      </c>
      <c r="B343">
        <v>4500</v>
      </c>
      <c r="C343">
        <v>168</v>
      </c>
      <c r="D343">
        <v>112</v>
      </c>
      <c r="E343">
        <v>0</v>
      </c>
      <c r="F343">
        <v>1152924667</v>
      </c>
      <c r="G343">
        <v>3677051.78</v>
      </c>
      <c r="H343">
        <v>1145991877.49</v>
      </c>
      <c r="I343">
        <v>1149156378.9400001</v>
      </c>
      <c r="J343">
        <v>3.3364999999999999E-2</v>
      </c>
      <c r="K343">
        <v>9.4899999999999997E-4</v>
      </c>
      <c r="M343" t="s">
        <v>0</v>
      </c>
      <c r="N343">
        <v>3750</v>
      </c>
      <c r="O343">
        <v>168</v>
      </c>
      <c r="P343">
        <v>129899</v>
      </c>
      <c r="Q343">
        <v>0</v>
      </c>
      <c r="R343">
        <v>1362774186864</v>
      </c>
      <c r="S343">
        <v>4787216025.75</v>
      </c>
      <c r="T343">
        <v>1352140168150.6899</v>
      </c>
      <c r="U343">
        <v>1357690670338.6001</v>
      </c>
      <c r="V343">
        <v>5.0286999999999998E-2</v>
      </c>
      <c r="W343">
        <v>2.6059999999999998E-3</v>
      </c>
      <c r="Y343" t="s">
        <v>3</v>
      </c>
      <c r="Z343">
        <v>4750</v>
      </c>
      <c r="AA343">
        <v>192</v>
      </c>
      <c r="AB343">
        <v>185</v>
      </c>
      <c r="AC343">
        <v>0</v>
      </c>
      <c r="AD343">
        <v>1736446751</v>
      </c>
      <c r="AE343">
        <v>6519808.8799999999</v>
      </c>
      <c r="AF343">
        <v>1722782580</v>
      </c>
      <c r="AG343">
        <v>1722782580</v>
      </c>
      <c r="AH343">
        <v>4.827E-2</v>
      </c>
      <c r="AI343">
        <v>4.827E-2</v>
      </c>
    </row>
    <row r="344" spans="1:35" x14ac:dyDescent="0.35">
      <c r="A344" t="s">
        <v>2</v>
      </c>
      <c r="B344">
        <v>3000</v>
      </c>
      <c r="C344">
        <v>60</v>
      </c>
      <c r="D344">
        <v>9620</v>
      </c>
      <c r="E344">
        <v>0</v>
      </c>
      <c r="F344">
        <v>150466681588</v>
      </c>
      <c r="G344">
        <v>336617433.91000003</v>
      </c>
      <c r="H344">
        <v>149378965714.89999</v>
      </c>
      <c r="I344">
        <v>150046240720.23001</v>
      </c>
      <c r="J344">
        <v>5.8284000000000002E-2</v>
      </c>
      <c r="K344">
        <v>6.6649999999999999E-3</v>
      </c>
      <c r="M344" t="s">
        <v>0</v>
      </c>
      <c r="N344">
        <v>2500</v>
      </c>
      <c r="O344">
        <v>54</v>
      </c>
      <c r="P344">
        <v>38561</v>
      </c>
      <c r="Q344">
        <v>0</v>
      </c>
      <c r="R344">
        <v>976766340941</v>
      </c>
      <c r="S344">
        <v>2302824973.2199998</v>
      </c>
      <c r="T344">
        <v>970196347824.93005</v>
      </c>
      <c r="U344">
        <v>974334247648.18005</v>
      </c>
      <c r="V344">
        <v>5.1182999999999999E-2</v>
      </c>
      <c r="W344">
        <v>1.5870000000000001E-3</v>
      </c>
      <c r="Y344" t="s">
        <v>0</v>
      </c>
      <c r="Z344">
        <v>4250</v>
      </c>
      <c r="AA344">
        <v>168</v>
      </c>
      <c r="AB344">
        <v>47738</v>
      </c>
      <c r="AC344">
        <v>0</v>
      </c>
      <c r="AD344">
        <v>421970242976</v>
      </c>
      <c r="AE344">
        <v>1445149514.6199999</v>
      </c>
      <c r="AF344">
        <v>418347544729</v>
      </c>
      <c r="AG344">
        <v>419872188963.91998</v>
      </c>
      <c r="AH344">
        <v>6.0197000000000001E-2</v>
      </c>
      <c r="AI344">
        <v>1.8409999999999999E-2</v>
      </c>
    </row>
    <row r="345" spans="1:35" x14ac:dyDescent="0.35">
      <c r="A345" t="s">
        <v>0</v>
      </c>
      <c r="B345">
        <v>3000</v>
      </c>
      <c r="C345">
        <v>60</v>
      </c>
      <c r="D345">
        <v>112502</v>
      </c>
      <c r="E345">
        <v>0</v>
      </c>
      <c r="F345">
        <v>2320093709576</v>
      </c>
      <c r="G345">
        <v>5215185282.1300001</v>
      </c>
      <c r="H345">
        <v>2303910766952.3599</v>
      </c>
      <c r="I345">
        <v>2313469621591.5698</v>
      </c>
      <c r="J345">
        <v>5.5275999999999999E-2</v>
      </c>
      <c r="K345">
        <v>7.2630000000000004E-3</v>
      </c>
      <c r="M345" t="s">
        <v>2</v>
      </c>
      <c r="N345">
        <v>2500</v>
      </c>
      <c r="O345">
        <v>54</v>
      </c>
      <c r="P345">
        <v>3966</v>
      </c>
      <c r="Q345">
        <v>0</v>
      </c>
      <c r="R345">
        <v>70529914803</v>
      </c>
      <c r="S345">
        <v>164635682.09</v>
      </c>
      <c r="T345">
        <v>70001279836.660004</v>
      </c>
      <c r="U345">
        <v>70338406840.029999</v>
      </c>
      <c r="V345">
        <v>6.0203E-2</v>
      </c>
      <c r="W345">
        <v>4.5620000000000001E-3</v>
      </c>
      <c r="Y345" t="s">
        <v>1</v>
      </c>
      <c r="Z345">
        <v>4250</v>
      </c>
      <c r="AA345">
        <v>168</v>
      </c>
      <c r="AB345">
        <v>8367</v>
      </c>
      <c r="AC345">
        <v>0</v>
      </c>
      <c r="AD345">
        <v>89691847661</v>
      </c>
      <c r="AE345">
        <v>305224923.16000003</v>
      </c>
      <c r="AF345">
        <v>88931935822</v>
      </c>
      <c r="AG345">
        <v>89243247083.789993</v>
      </c>
      <c r="AH345">
        <v>5.9165000000000002E-2</v>
      </c>
      <c r="AI345">
        <v>1.9015000000000001E-2</v>
      </c>
    </row>
    <row r="346" spans="1:35" x14ac:dyDescent="0.35">
      <c r="A346" t="s">
        <v>0</v>
      </c>
      <c r="B346">
        <v>3500</v>
      </c>
      <c r="C346">
        <v>96</v>
      </c>
      <c r="D346">
        <v>2229</v>
      </c>
      <c r="E346">
        <v>0</v>
      </c>
      <c r="F346">
        <v>32618805947</v>
      </c>
      <c r="G346">
        <v>81499494.480000004</v>
      </c>
      <c r="H346">
        <v>32367175987.459999</v>
      </c>
      <c r="I346">
        <v>32513062709.400002</v>
      </c>
      <c r="J346">
        <v>6.0824000000000003E-2</v>
      </c>
      <c r="K346">
        <v>8.8830000000000003E-3</v>
      </c>
      <c r="M346" t="s">
        <v>3</v>
      </c>
      <c r="N346">
        <v>4000</v>
      </c>
      <c r="O346">
        <v>192</v>
      </c>
      <c r="P346">
        <v>4</v>
      </c>
      <c r="Q346">
        <v>0</v>
      </c>
      <c r="R346">
        <v>47338264</v>
      </c>
      <c r="S346">
        <v>189689.66</v>
      </c>
      <c r="T346">
        <v>47094200.490000002</v>
      </c>
      <c r="U346">
        <v>47148574.07</v>
      </c>
      <c r="V346">
        <v>1.3697000000000001E-2</v>
      </c>
      <c r="W346">
        <v>0</v>
      </c>
      <c r="Y346" t="s">
        <v>3</v>
      </c>
      <c r="Z346">
        <v>4500</v>
      </c>
      <c r="AA346">
        <v>168</v>
      </c>
      <c r="AB346">
        <v>108</v>
      </c>
      <c r="AC346">
        <v>0</v>
      </c>
      <c r="AD346">
        <v>1105800364</v>
      </c>
      <c r="AE346">
        <v>3542478.01</v>
      </c>
      <c r="AF346">
        <v>1088567922</v>
      </c>
      <c r="AG346">
        <v>1100950469.75</v>
      </c>
      <c r="AH346">
        <v>0.138852</v>
      </c>
      <c r="AI346">
        <v>1.4095999999999999E-2</v>
      </c>
    </row>
    <row r="347" spans="1:35" x14ac:dyDescent="0.35">
      <c r="A347" t="s">
        <v>2</v>
      </c>
      <c r="B347">
        <v>3500</v>
      </c>
      <c r="C347">
        <v>96</v>
      </c>
      <c r="D347">
        <v>531</v>
      </c>
      <c r="E347">
        <v>0</v>
      </c>
      <c r="F347">
        <v>6151598367</v>
      </c>
      <c r="G347">
        <v>15540887.890000001</v>
      </c>
      <c r="H347">
        <v>6107656215.3800001</v>
      </c>
      <c r="I347">
        <v>6133610721.1999998</v>
      </c>
      <c r="J347">
        <v>5.4017000000000003E-2</v>
      </c>
      <c r="K347">
        <v>4.7619999999999997E-3</v>
      </c>
      <c r="M347" t="s">
        <v>1</v>
      </c>
      <c r="N347">
        <v>3750</v>
      </c>
      <c r="O347">
        <v>168</v>
      </c>
      <c r="P347">
        <v>38925</v>
      </c>
      <c r="Q347">
        <v>0</v>
      </c>
      <c r="R347">
        <v>495369216605</v>
      </c>
      <c r="S347">
        <v>1751088801.45</v>
      </c>
      <c r="T347">
        <v>491210467904.28998</v>
      </c>
      <c r="U347">
        <v>493509681624.90997</v>
      </c>
      <c r="V347">
        <v>5.679E-2</v>
      </c>
      <c r="W347">
        <v>2.624E-3</v>
      </c>
      <c r="Y347" t="s">
        <v>1</v>
      </c>
      <c r="Z347">
        <v>4750</v>
      </c>
      <c r="AA347">
        <v>168</v>
      </c>
      <c r="AB347">
        <v>1342</v>
      </c>
      <c r="AC347">
        <v>0</v>
      </c>
      <c r="AD347">
        <v>13122819456</v>
      </c>
      <c r="AE347">
        <v>39796760.439999998</v>
      </c>
      <c r="AF347">
        <v>13010755874</v>
      </c>
      <c r="AG347">
        <v>13054449109.790001</v>
      </c>
      <c r="AH347">
        <v>6.4117999999999994E-2</v>
      </c>
      <c r="AI347">
        <v>2.5818000000000001E-2</v>
      </c>
    </row>
    <row r="348" spans="1:35" x14ac:dyDescent="0.35">
      <c r="A348" t="s">
        <v>1</v>
      </c>
      <c r="B348">
        <v>3500</v>
      </c>
      <c r="C348">
        <v>96</v>
      </c>
      <c r="D348">
        <v>1875</v>
      </c>
      <c r="E348">
        <v>0</v>
      </c>
      <c r="F348">
        <v>36769507401</v>
      </c>
      <c r="G348">
        <v>92616153.640000001</v>
      </c>
      <c r="H348">
        <v>36446766365.449997</v>
      </c>
      <c r="I348">
        <v>36657299384.099998</v>
      </c>
      <c r="J348">
        <v>7.2570999999999997E-2</v>
      </c>
      <c r="K348">
        <v>6.3749999999999996E-3</v>
      </c>
      <c r="M348" t="s">
        <v>2</v>
      </c>
      <c r="N348">
        <v>3750</v>
      </c>
      <c r="O348">
        <v>168</v>
      </c>
      <c r="P348">
        <v>18464</v>
      </c>
      <c r="Q348">
        <v>0</v>
      </c>
      <c r="R348">
        <v>155962230962</v>
      </c>
      <c r="S348">
        <v>547851793.88999999</v>
      </c>
      <c r="T348">
        <v>154681278535.85999</v>
      </c>
      <c r="U348">
        <v>155379020184.35001</v>
      </c>
      <c r="V348">
        <v>5.4969999999999998E-2</v>
      </c>
      <c r="W348">
        <v>2.7169999999999998E-3</v>
      </c>
      <c r="Y348" t="s">
        <v>0</v>
      </c>
      <c r="Z348">
        <v>4750</v>
      </c>
      <c r="AA348">
        <v>168</v>
      </c>
      <c r="AB348">
        <v>9506</v>
      </c>
      <c r="AC348">
        <v>0</v>
      </c>
      <c r="AD348">
        <v>78133480270</v>
      </c>
      <c r="AE348">
        <v>241473643.59</v>
      </c>
      <c r="AF348">
        <v>77439817172</v>
      </c>
      <c r="AG348">
        <v>77773954489.389999</v>
      </c>
      <c r="AH348">
        <v>6.7280000000000006E-2</v>
      </c>
      <c r="AI348">
        <v>1.7981E-2</v>
      </c>
    </row>
    <row r="349" spans="1:35" x14ac:dyDescent="0.35">
      <c r="A349" t="s">
        <v>2</v>
      </c>
      <c r="B349">
        <v>4000</v>
      </c>
      <c r="C349">
        <v>96</v>
      </c>
      <c r="D349">
        <v>3947</v>
      </c>
      <c r="E349">
        <v>0</v>
      </c>
      <c r="F349">
        <v>45065133201</v>
      </c>
      <c r="G349">
        <v>107019931.90000001</v>
      </c>
      <c r="H349">
        <v>44700749185.389999</v>
      </c>
      <c r="I349">
        <v>44929885105.290001</v>
      </c>
      <c r="J349">
        <v>6.6419000000000006E-2</v>
      </c>
      <c r="K349">
        <v>7.4910000000000003E-3</v>
      </c>
      <c r="M349" t="s">
        <v>1</v>
      </c>
      <c r="N349">
        <v>3000</v>
      </c>
      <c r="O349">
        <v>192</v>
      </c>
      <c r="P349">
        <v>6</v>
      </c>
      <c r="Q349">
        <v>0</v>
      </c>
      <c r="R349">
        <v>54778077</v>
      </c>
      <c r="S349">
        <v>239846.03</v>
      </c>
      <c r="T349">
        <v>54338086.909999996</v>
      </c>
      <c r="U349">
        <v>54538072.840000004</v>
      </c>
      <c r="V349">
        <v>4.2973999999999998E-2</v>
      </c>
      <c r="W349">
        <v>3.4999999999999997E-5</v>
      </c>
      <c r="Y349" t="s">
        <v>2</v>
      </c>
      <c r="Z349">
        <v>3000</v>
      </c>
      <c r="AA349">
        <v>60</v>
      </c>
      <c r="AB349">
        <v>9508</v>
      </c>
      <c r="AC349">
        <v>0</v>
      </c>
      <c r="AD349">
        <v>146360407898</v>
      </c>
      <c r="AE349">
        <v>327434132.69999999</v>
      </c>
      <c r="AF349">
        <v>145485435163</v>
      </c>
      <c r="AG349">
        <v>145920292662.31</v>
      </c>
      <c r="AH349">
        <v>4.3979999999999998E-2</v>
      </c>
      <c r="AI349">
        <v>9.1999999999999998E-3</v>
      </c>
    </row>
    <row r="350" spans="1:35" x14ac:dyDescent="0.35">
      <c r="A350" t="s">
        <v>0</v>
      </c>
      <c r="B350">
        <v>4000</v>
      </c>
      <c r="C350">
        <v>96</v>
      </c>
      <c r="D350">
        <v>19036</v>
      </c>
      <c r="E350">
        <v>0</v>
      </c>
      <c r="F350">
        <v>281748660221</v>
      </c>
      <c r="G350">
        <v>665188713.33000004</v>
      </c>
      <c r="H350">
        <v>279525072038.21002</v>
      </c>
      <c r="I350">
        <v>280881911860.64001</v>
      </c>
      <c r="J350">
        <v>6.4392000000000005E-2</v>
      </c>
      <c r="K350">
        <v>8.5509999999999996E-3</v>
      </c>
      <c r="M350" t="s">
        <v>2</v>
      </c>
      <c r="N350">
        <v>3750</v>
      </c>
      <c r="O350">
        <v>192</v>
      </c>
      <c r="P350">
        <v>38</v>
      </c>
      <c r="Q350">
        <v>0</v>
      </c>
      <c r="R350">
        <v>334757327</v>
      </c>
      <c r="S350">
        <v>1387363.59</v>
      </c>
      <c r="T350">
        <v>332237122.07999998</v>
      </c>
      <c r="U350">
        <v>333353062.06999999</v>
      </c>
      <c r="V350">
        <v>3.9861000000000001E-2</v>
      </c>
      <c r="W350">
        <v>6.0599999999999998E-4</v>
      </c>
      <c r="Y350" t="s">
        <v>2</v>
      </c>
      <c r="Z350">
        <v>3500</v>
      </c>
      <c r="AA350">
        <v>96</v>
      </c>
      <c r="AB350">
        <v>764</v>
      </c>
      <c r="AC350">
        <v>0</v>
      </c>
      <c r="AD350">
        <v>8996246042</v>
      </c>
      <c r="AE350">
        <v>22671743.52</v>
      </c>
      <c r="AF350">
        <v>8950152967</v>
      </c>
      <c r="AG350">
        <v>8962975986.6700001</v>
      </c>
      <c r="AH350">
        <v>3.0797999999999999E-2</v>
      </c>
      <c r="AI350">
        <v>1.4045999999999999E-2</v>
      </c>
    </row>
    <row r="351" spans="1:35" x14ac:dyDescent="0.35">
      <c r="A351" t="s">
        <v>1</v>
      </c>
      <c r="B351">
        <v>4000</v>
      </c>
      <c r="C351">
        <v>96</v>
      </c>
      <c r="D351">
        <v>8316</v>
      </c>
      <c r="E351">
        <v>0</v>
      </c>
      <c r="F351">
        <v>149293974213</v>
      </c>
      <c r="G351">
        <v>351810853.06999999</v>
      </c>
      <c r="H351">
        <v>147950614057.57001</v>
      </c>
      <c r="I351">
        <v>148802302014.84</v>
      </c>
      <c r="J351">
        <v>7.6851000000000003E-2</v>
      </c>
      <c r="K351">
        <v>1.1183999999999999E-2</v>
      </c>
      <c r="M351" t="s">
        <v>2</v>
      </c>
      <c r="N351">
        <v>3250</v>
      </c>
      <c r="O351">
        <v>192</v>
      </c>
      <c r="P351">
        <v>3</v>
      </c>
      <c r="Q351">
        <v>0</v>
      </c>
      <c r="R351">
        <v>32839572</v>
      </c>
      <c r="S351">
        <v>139939.12</v>
      </c>
      <c r="T351">
        <v>32640016.100000001</v>
      </c>
      <c r="U351">
        <v>32699628.59</v>
      </c>
      <c r="V351">
        <v>2.1569000000000001E-2</v>
      </c>
      <c r="W351">
        <v>1.9999999999999999E-6</v>
      </c>
      <c r="Y351" t="s">
        <v>0</v>
      </c>
      <c r="Z351">
        <v>3500</v>
      </c>
      <c r="AA351">
        <v>96</v>
      </c>
      <c r="AB351">
        <v>3105</v>
      </c>
      <c r="AC351">
        <v>0</v>
      </c>
      <c r="AD351">
        <v>46560059906</v>
      </c>
      <c r="AE351">
        <v>116455006.84999999</v>
      </c>
      <c r="AF351">
        <v>46317783249</v>
      </c>
      <c r="AG351">
        <v>46390043374.139999</v>
      </c>
      <c r="AH351">
        <v>3.1951E-2</v>
      </c>
      <c r="AI351">
        <v>1.3717E-2</v>
      </c>
    </row>
    <row r="352" spans="1:35" x14ac:dyDescent="0.35">
      <c r="A352" t="s">
        <v>1</v>
      </c>
      <c r="B352">
        <v>3250</v>
      </c>
      <c r="C352">
        <v>192</v>
      </c>
      <c r="D352">
        <v>10</v>
      </c>
      <c r="E352">
        <v>0</v>
      </c>
      <c r="F352">
        <v>90354371</v>
      </c>
      <c r="G352">
        <v>366416.53</v>
      </c>
      <c r="H352">
        <v>89560806.359999999</v>
      </c>
      <c r="I352">
        <v>89987844.129999995</v>
      </c>
      <c r="J352">
        <v>5.5278000000000001E-2</v>
      </c>
      <c r="K352">
        <v>1.5E-5</v>
      </c>
      <c r="M352" t="s">
        <v>0</v>
      </c>
      <c r="N352">
        <v>3500</v>
      </c>
      <c r="O352">
        <v>192</v>
      </c>
      <c r="P352">
        <v>77</v>
      </c>
      <c r="Q352">
        <v>0</v>
      </c>
      <c r="R352">
        <v>627552965</v>
      </c>
      <c r="S352">
        <v>2578946.89</v>
      </c>
      <c r="T352">
        <v>621195968.01999998</v>
      </c>
      <c r="U352">
        <v>624458045.90999997</v>
      </c>
      <c r="V352">
        <v>6.9899000000000003E-2</v>
      </c>
      <c r="W352">
        <v>9.8219999999999991E-3</v>
      </c>
      <c r="Y352" t="s">
        <v>1</v>
      </c>
      <c r="Z352">
        <v>3500</v>
      </c>
      <c r="AA352">
        <v>96</v>
      </c>
      <c r="AB352">
        <v>2917</v>
      </c>
      <c r="AC352">
        <v>0</v>
      </c>
      <c r="AD352">
        <v>57115549683</v>
      </c>
      <c r="AE352">
        <v>143693669.28</v>
      </c>
      <c r="AF352">
        <v>56736633233</v>
      </c>
      <c r="AG352">
        <v>56900319656.650002</v>
      </c>
      <c r="AH352">
        <v>4.8315999999999998E-2</v>
      </c>
      <c r="AI352">
        <v>1.4926999999999999E-2</v>
      </c>
    </row>
    <row r="353" spans="1:35" x14ac:dyDescent="0.35">
      <c r="A353" t="s">
        <v>0</v>
      </c>
      <c r="B353">
        <v>3250</v>
      </c>
      <c r="C353">
        <v>168</v>
      </c>
      <c r="D353">
        <v>79944</v>
      </c>
      <c r="E353">
        <v>0</v>
      </c>
      <c r="F353">
        <v>906780842437</v>
      </c>
      <c r="G353">
        <v>3310305173.2600002</v>
      </c>
      <c r="H353">
        <v>899963936631.89001</v>
      </c>
      <c r="I353">
        <v>903334850671.84998</v>
      </c>
      <c r="J353">
        <v>4.5430999999999999E-2</v>
      </c>
      <c r="K353">
        <v>1.794E-3</v>
      </c>
      <c r="M353" t="s">
        <v>3</v>
      </c>
      <c r="N353">
        <v>4750</v>
      </c>
      <c r="O353">
        <v>192</v>
      </c>
      <c r="P353">
        <v>178</v>
      </c>
      <c r="Q353">
        <v>0</v>
      </c>
      <c r="R353">
        <v>1705434190</v>
      </c>
      <c r="S353">
        <v>6326896.7699999996</v>
      </c>
      <c r="T353">
        <v>1695231288.0999999</v>
      </c>
      <c r="U353">
        <v>1699042305.48</v>
      </c>
      <c r="V353">
        <v>2.6935000000000001E-2</v>
      </c>
      <c r="W353">
        <v>4.57E-4</v>
      </c>
      <c r="Y353" t="s">
        <v>0</v>
      </c>
      <c r="Z353">
        <v>3000</v>
      </c>
      <c r="AA353">
        <v>60</v>
      </c>
      <c r="AB353">
        <v>110608</v>
      </c>
      <c r="AC353">
        <v>0</v>
      </c>
      <c r="AD353">
        <v>2255205207991</v>
      </c>
      <c r="AE353">
        <v>5075114726.5</v>
      </c>
      <c r="AF353">
        <v>2242500878062</v>
      </c>
      <c r="AG353">
        <v>2248886428749.96</v>
      </c>
      <c r="AH353">
        <v>3.9848000000000001E-2</v>
      </c>
      <c r="AI353">
        <v>6.5979999999999997E-3</v>
      </c>
    </row>
    <row r="354" spans="1:35" x14ac:dyDescent="0.35">
      <c r="A354" t="s">
        <v>0</v>
      </c>
      <c r="B354">
        <v>4250</v>
      </c>
      <c r="C354">
        <v>168</v>
      </c>
      <c r="D354">
        <v>46459</v>
      </c>
      <c r="E354">
        <v>0</v>
      </c>
      <c r="F354">
        <v>410553164868</v>
      </c>
      <c r="G354">
        <v>1399099550.8299999</v>
      </c>
      <c r="H354">
        <v>407288817136.31</v>
      </c>
      <c r="I354">
        <v>408974814222.20001</v>
      </c>
      <c r="J354">
        <v>5.3177000000000002E-2</v>
      </c>
      <c r="K354">
        <v>5.2269999999999999E-3</v>
      </c>
      <c r="M354" t="s">
        <v>2</v>
      </c>
      <c r="N354">
        <v>3500</v>
      </c>
      <c r="O354">
        <v>192</v>
      </c>
      <c r="P354">
        <v>9</v>
      </c>
      <c r="Q354">
        <v>0</v>
      </c>
      <c r="R354">
        <v>77545626</v>
      </c>
      <c r="S354">
        <v>346312.48</v>
      </c>
      <c r="T354">
        <v>76901575.599999994</v>
      </c>
      <c r="U354">
        <v>77197161.989999995</v>
      </c>
      <c r="V354">
        <v>4.5114000000000001E-2</v>
      </c>
      <c r="W354">
        <v>3.3300000000000002E-4</v>
      </c>
      <c r="Y354" t="s">
        <v>2</v>
      </c>
      <c r="Z354">
        <v>4000</v>
      </c>
      <c r="AA354">
        <v>96</v>
      </c>
      <c r="AB354">
        <v>5178</v>
      </c>
      <c r="AC354">
        <v>0</v>
      </c>
      <c r="AD354">
        <v>58932795575</v>
      </c>
      <c r="AE354">
        <v>139830494.84</v>
      </c>
      <c r="AF354">
        <v>58427171703</v>
      </c>
      <c r="AG354">
        <v>58722640677.839996</v>
      </c>
      <c r="AH354">
        <v>7.1993000000000001E-2</v>
      </c>
      <c r="AI354">
        <v>1.4226000000000001E-2</v>
      </c>
    </row>
    <row r="355" spans="1:35" x14ac:dyDescent="0.35">
      <c r="A355" t="s">
        <v>0</v>
      </c>
      <c r="B355">
        <v>4750</v>
      </c>
      <c r="C355">
        <v>168</v>
      </c>
      <c r="D355">
        <v>10645</v>
      </c>
      <c r="E355">
        <v>0</v>
      </c>
      <c r="F355">
        <v>87918534868</v>
      </c>
      <c r="G355">
        <v>270101383.04000002</v>
      </c>
      <c r="H355">
        <v>87202391019.440002</v>
      </c>
      <c r="I355">
        <v>87595479660.960007</v>
      </c>
      <c r="J355">
        <v>5.9209999999999999E-2</v>
      </c>
      <c r="K355">
        <v>7.2040000000000003E-3</v>
      </c>
      <c r="M355" t="s">
        <v>1</v>
      </c>
      <c r="N355">
        <v>5500</v>
      </c>
      <c r="O355">
        <v>168</v>
      </c>
      <c r="P355">
        <v>37</v>
      </c>
      <c r="Q355">
        <v>0</v>
      </c>
      <c r="R355">
        <v>314788416</v>
      </c>
      <c r="S355">
        <v>984979.55</v>
      </c>
      <c r="T355">
        <v>310715060.02999997</v>
      </c>
      <c r="U355">
        <v>313685767.10000002</v>
      </c>
      <c r="V355">
        <v>0.111582</v>
      </c>
      <c r="W355">
        <v>4.4759999999999999E-3</v>
      </c>
      <c r="Y355" t="s">
        <v>0</v>
      </c>
      <c r="Z355">
        <v>4000</v>
      </c>
      <c r="AA355">
        <v>96</v>
      </c>
      <c r="AB355">
        <v>24637</v>
      </c>
      <c r="AC355">
        <v>0</v>
      </c>
      <c r="AD355">
        <v>365264851489</v>
      </c>
      <c r="AE355">
        <v>861400799.96000004</v>
      </c>
      <c r="AF355">
        <v>362908592222</v>
      </c>
      <c r="AG355">
        <v>364063801968.59998</v>
      </c>
      <c r="AH355">
        <v>4.802E-2</v>
      </c>
      <c r="AI355">
        <v>1.1102000000000001E-2</v>
      </c>
    </row>
    <row r="356" spans="1:35" x14ac:dyDescent="0.35">
      <c r="A356" t="s">
        <v>2</v>
      </c>
      <c r="B356">
        <v>3250</v>
      </c>
      <c r="C356">
        <v>168</v>
      </c>
      <c r="D356">
        <v>12803</v>
      </c>
      <c r="E356">
        <v>0</v>
      </c>
      <c r="F356">
        <v>116825737455</v>
      </c>
      <c r="G356">
        <v>425304052.83999997</v>
      </c>
      <c r="H356">
        <v>115903950383.14</v>
      </c>
      <c r="I356">
        <v>116387646354.45</v>
      </c>
      <c r="J356">
        <v>4.9821999999999998E-2</v>
      </c>
      <c r="K356">
        <v>1.3129999999999999E-3</v>
      </c>
      <c r="M356" t="s">
        <v>1</v>
      </c>
      <c r="N356">
        <v>4750</v>
      </c>
      <c r="O356">
        <v>168</v>
      </c>
      <c r="P356">
        <v>871</v>
      </c>
      <c r="Q356">
        <v>0</v>
      </c>
      <c r="R356">
        <v>8019825328</v>
      </c>
      <c r="S356">
        <v>25423458.309999999</v>
      </c>
      <c r="T356">
        <v>7942921077.8699999</v>
      </c>
      <c r="U356">
        <v>7992564198.9499998</v>
      </c>
      <c r="V356">
        <v>7.4368000000000004E-2</v>
      </c>
      <c r="W356">
        <v>2.7460000000000002E-3</v>
      </c>
      <c r="Y356" t="s">
        <v>1</v>
      </c>
      <c r="Z356">
        <v>4000</v>
      </c>
      <c r="AA356">
        <v>96</v>
      </c>
      <c r="AB356">
        <v>10538</v>
      </c>
      <c r="AC356">
        <v>0</v>
      </c>
      <c r="AD356">
        <v>187233697603</v>
      </c>
      <c r="AE356">
        <v>440941393.12</v>
      </c>
      <c r="AF356">
        <v>185469244604</v>
      </c>
      <c r="AG356">
        <v>186543937590.57001</v>
      </c>
      <c r="AH356">
        <v>8.1603999999999996E-2</v>
      </c>
      <c r="AI356">
        <v>1.5831000000000001E-2</v>
      </c>
    </row>
    <row r="357" spans="1:35" x14ac:dyDescent="0.35">
      <c r="A357" t="s">
        <v>1</v>
      </c>
      <c r="B357">
        <v>3750</v>
      </c>
      <c r="C357">
        <v>168</v>
      </c>
      <c r="D357">
        <v>37575</v>
      </c>
      <c r="E357">
        <v>0</v>
      </c>
      <c r="F357">
        <v>474466410772</v>
      </c>
      <c r="G357">
        <v>1698712906.1400001</v>
      </c>
      <c r="H357">
        <v>470468536970.35999</v>
      </c>
      <c r="I357">
        <v>472640868970.03998</v>
      </c>
      <c r="J357">
        <v>5.6624000000000001E-2</v>
      </c>
      <c r="K357">
        <v>3.2030000000000001E-3</v>
      </c>
      <c r="M357" t="s">
        <v>1</v>
      </c>
      <c r="N357">
        <v>3500</v>
      </c>
      <c r="O357">
        <v>192</v>
      </c>
      <c r="P357">
        <v>35</v>
      </c>
      <c r="Q357">
        <v>0</v>
      </c>
      <c r="R357">
        <v>385332736</v>
      </c>
      <c r="S357">
        <v>1613087.3</v>
      </c>
      <c r="T357">
        <v>380322409.32999998</v>
      </c>
      <c r="U357">
        <v>383122131.70999998</v>
      </c>
      <c r="V357">
        <v>0.100814</v>
      </c>
      <c r="W357">
        <v>1.8450000000000001E-2</v>
      </c>
      <c r="Y357" t="s">
        <v>2</v>
      </c>
      <c r="Z357">
        <v>3750</v>
      </c>
      <c r="AA357">
        <v>168</v>
      </c>
      <c r="AB357">
        <v>18035</v>
      </c>
      <c r="AC357">
        <v>0</v>
      </c>
      <c r="AD357">
        <v>151276387764</v>
      </c>
      <c r="AE357">
        <v>537125172.76999998</v>
      </c>
      <c r="AF357">
        <v>150044378550.32999</v>
      </c>
      <c r="AG357">
        <v>150525477774.45999</v>
      </c>
      <c r="AH357">
        <v>5.3749999999999999E-2</v>
      </c>
      <c r="AI357">
        <v>1.6827000000000002E-2</v>
      </c>
    </row>
    <row r="358" spans="1:35" x14ac:dyDescent="0.35">
      <c r="A358" t="s">
        <v>0</v>
      </c>
      <c r="B358">
        <v>3750</v>
      </c>
      <c r="C358">
        <v>168</v>
      </c>
      <c r="D358">
        <v>125243</v>
      </c>
      <c r="E358">
        <v>0</v>
      </c>
      <c r="F358">
        <v>1298498532753</v>
      </c>
      <c r="G358">
        <v>4631185171.96</v>
      </c>
      <c r="H358">
        <v>1288083611769.3401</v>
      </c>
      <c r="I358">
        <v>1293589825739.96</v>
      </c>
      <c r="J358">
        <v>5.2159999999999998E-2</v>
      </c>
      <c r="K358">
        <v>2.562E-3</v>
      </c>
      <c r="M358" t="s">
        <v>2</v>
      </c>
      <c r="N358">
        <v>3000</v>
      </c>
      <c r="O358">
        <v>54</v>
      </c>
      <c r="P358">
        <v>11614</v>
      </c>
      <c r="Q358">
        <v>0</v>
      </c>
      <c r="R358">
        <v>195174243772</v>
      </c>
      <c r="S358">
        <v>424899326.41000003</v>
      </c>
      <c r="T358">
        <v>193713582490.60001</v>
      </c>
      <c r="U358">
        <v>194639671814.10001</v>
      </c>
      <c r="V358">
        <v>6.1856000000000001E-2</v>
      </c>
      <c r="W358">
        <v>6.7219999999999997E-3</v>
      </c>
      <c r="Y358" t="s">
        <v>1</v>
      </c>
      <c r="Z358">
        <v>5500</v>
      </c>
      <c r="AA358">
        <v>168</v>
      </c>
      <c r="AB358">
        <v>25</v>
      </c>
      <c r="AC358">
        <v>0</v>
      </c>
      <c r="AD358">
        <v>232730474</v>
      </c>
      <c r="AE358">
        <v>709802.38</v>
      </c>
      <c r="AF358">
        <v>231854332</v>
      </c>
      <c r="AG358">
        <v>231854332</v>
      </c>
      <c r="AH358">
        <v>8.5430000000000002E-3</v>
      </c>
      <c r="AI358">
        <v>8.5430000000000002E-3</v>
      </c>
    </row>
    <row r="359" spans="1:35" x14ac:dyDescent="0.35">
      <c r="A359" t="s">
        <v>3</v>
      </c>
      <c r="B359">
        <v>4250</v>
      </c>
      <c r="C359">
        <v>192</v>
      </c>
      <c r="D359">
        <v>163</v>
      </c>
      <c r="E359">
        <v>0</v>
      </c>
      <c r="F359">
        <v>1839510498</v>
      </c>
      <c r="G359">
        <v>7018706.5599999996</v>
      </c>
      <c r="H359">
        <v>1827067129.9100001</v>
      </c>
      <c r="I359">
        <v>1831526925.3</v>
      </c>
      <c r="J359">
        <v>3.4819000000000003E-2</v>
      </c>
      <c r="K359">
        <v>6.2760000000000003E-3</v>
      </c>
      <c r="M359" t="s">
        <v>2</v>
      </c>
      <c r="N359">
        <v>3500</v>
      </c>
      <c r="O359">
        <v>96</v>
      </c>
      <c r="P359">
        <v>1307</v>
      </c>
      <c r="Q359">
        <v>0</v>
      </c>
      <c r="R359">
        <v>16021051137</v>
      </c>
      <c r="S359">
        <v>40211780.710000001</v>
      </c>
      <c r="T359">
        <v>15899997153.290001</v>
      </c>
      <c r="U359">
        <v>15977397251.65</v>
      </c>
      <c r="V359">
        <v>5.8899E-2</v>
      </c>
      <c r="W359">
        <v>2.575E-3</v>
      </c>
      <c r="Y359" t="s">
        <v>0</v>
      </c>
      <c r="Z359">
        <v>3250</v>
      </c>
      <c r="AA359">
        <v>168</v>
      </c>
      <c r="AB359">
        <v>79868</v>
      </c>
      <c r="AC359">
        <v>0</v>
      </c>
      <c r="AD359">
        <v>910139155406</v>
      </c>
      <c r="AE359">
        <v>3302622365.71</v>
      </c>
      <c r="AF359">
        <v>902994409520</v>
      </c>
      <c r="AG359">
        <v>905469478661.33997</v>
      </c>
      <c r="AH359">
        <v>4.9498E-2</v>
      </c>
      <c r="AI359">
        <v>1.7876E-2</v>
      </c>
    </row>
    <row r="360" spans="1:35" x14ac:dyDescent="0.35">
      <c r="A360" t="s">
        <v>2</v>
      </c>
      <c r="B360">
        <v>4250</v>
      </c>
      <c r="C360">
        <v>168</v>
      </c>
      <c r="D360">
        <v>6691</v>
      </c>
      <c r="E360">
        <v>0</v>
      </c>
      <c r="F360">
        <v>52805144057</v>
      </c>
      <c r="G360">
        <v>178112014.03999999</v>
      </c>
      <c r="H360">
        <v>52373639083.050003</v>
      </c>
      <c r="I360">
        <v>52610007432.699997</v>
      </c>
      <c r="J360">
        <v>5.6087999999999999E-2</v>
      </c>
      <c r="K360">
        <v>3.862E-3</v>
      </c>
      <c r="M360" t="s">
        <v>0</v>
      </c>
      <c r="N360">
        <v>3500</v>
      </c>
      <c r="O360">
        <v>96</v>
      </c>
      <c r="P360">
        <v>5353</v>
      </c>
      <c r="Q360">
        <v>0</v>
      </c>
      <c r="R360">
        <v>82938226453</v>
      </c>
      <c r="S360">
        <v>207582398.84999999</v>
      </c>
      <c r="T360">
        <v>82288013528.639999</v>
      </c>
      <c r="U360">
        <v>82692024510.570007</v>
      </c>
      <c r="V360">
        <v>6.2196000000000001E-2</v>
      </c>
      <c r="W360">
        <v>5.5729999999999998E-3</v>
      </c>
      <c r="Y360" t="s">
        <v>2</v>
      </c>
      <c r="Z360">
        <v>3250</v>
      </c>
      <c r="AA360">
        <v>168</v>
      </c>
      <c r="AB360">
        <v>12845</v>
      </c>
      <c r="AC360">
        <v>0</v>
      </c>
      <c r="AD360">
        <v>117639781437</v>
      </c>
      <c r="AE360">
        <v>425599784.14999998</v>
      </c>
      <c r="AF360">
        <v>116761997482</v>
      </c>
      <c r="AG360">
        <v>117082684112.00999</v>
      </c>
      <c r="AH360">
        <v>4.5163000000000002E-2</v>
      </c>
      <c r="AI360">
        <v>1.3331000000000001E-2</v>
      </c>
    </row>
    <row r="361" spans="1:35" x14ac:dyDescent="0.35">
      <c r="A361" t="s">
        <v>2</v>
      </c>
      <c r="B361">
        <v>3750</v>
      </c>
      <c r="C361">
        <v>168</v>
      </c>
      <c r="D361">
        <v>17789</v>
      </c>
      <c r="E361">
        <v>0</v>
      </c>
      <c r="F361">
        <v>148752286589</v>
      </c>
      <c r="G361">
        <v>530635422.89999998</v>
      </c>
      <c r="H361">
        <v>147532825426.95001</v>
      </c>
      <c r="I361">
        <v>148171771736.41</v>
      </c>
      <c r="J361">
        <v>5.4175000000000001E-2</v>
      </c>
      <c r="K361">
        <v>4.0159999999999996E-3</v>
      </c>
      <c r="M361" t="s">
        <v>1</v>
      </c>
      <c r="N361">
        <v>3500</v>
      </c>
      <c r="O361">
        <v>96</v>
      </c>
      <c r="P361">
        <v>5425</v>
      </c>
      <c r="Q361">
        <v>0</v>
      </c>
      <c r="R361">
        <v>105133879164</v>
      </c>
      <c r="S361">
        <v>263720275.91999999</v>
      </c>
      <c r="T361">
        <v>104225487338.48</v>
      </c>
      <c r="U361">
        <v>104824723425.42</v>
      </c>
      <c r="V361">
        <v>7.1151000000000006E-2</v>
      </c>
      <c r="W361">
        <v>5.1739999999999998E-3</v>
      </c>
      <c r="Y361" t="s">
        <v>1</v>
      </c>
      <c r="Z361">
        <v>3250</v>
      </c>
      <c r="AA361">
        <v>168</v>
      </c>
      <c r="AB361">
        <v>39203</v>
      </c>
      <c r="AC361">
        <v>0</v>
      </c>
      <c r="AD361">
        <v>557750030880</v>
      </c>
      <c r="AE361">
        <v>2020728900.3</v>
      </c>
      <c r="AF361">
        <v>552821787480</v>
      </c>
      <c r="AG361">
        <v>554769898079.95996</v>
      </c>
      <c r="AH361">
        <v>6.0791999999999999E-2</v>
      </c>
      <c r="AI361">
        <v>2.0447E-2</v>
      </c>
    </row>
    <row r="362" spans="1:35" x14ac:dyDescent="0.35">
      <c r="A362" t="s">
        <v>1</v>
      </c>
      <c r="B362">
        <v>4250</v>
      </c>
      <c r="C362">
        <v>168</v>
      </c>
      <c r="D362">
        <v>8316</v>
      </c>
      <c r="E362">
        <v>0</v>
      </c>
      <c r="F362">
        <v>90135184076</v>
      </c>
      <c r="G362">
        <v>303312282.20999998</v>
      </c>
      <c r="H362">
        <v>89353791742.800003</v>
      </c>
      <c r="I362">
        <v>89791599529.649994</v>
      </c>
      <c r="J362">
        <v>6.1823999999999997E-2</v>
      </c>
      <c r="K362">
        <v>5.3480000000000003E-3</v>
      </c>
      <c r="M362" t="s">
        <v>0</v>
      </c>
      <c r="N362">
        <v>3000</v>
      </c>
      <c r="O362">
        <v>54</v>
      </c>
      <c r="P362">
        <v>137849</v>
      </c>
      <c r="Q362">
        <v>0</v>
      </c>
      <c r="R362">
        <v>3010528984640</v>
      </c>
      <c r="S362">
        <v>6572196303.1800003</v>
      </c>
      <c r="T362">
        <v>2988553671203.1201</v>
      </c>
      <c r="U362">
        <v>3002356793749.5498</v>
      </c>
      <c r="V362">
        <v>5.9698000000000001E-2</v>
      </c>
      <c r="W362">
        <v>6.3590000000000001E-3</v>
      </c>
      <c r="Y362" t="s">
        <v>2</v>
      </c>
      <c r="Z362">
        <v>4250</v>
      </c>
      <c r="AA362">
        <v>168</v>
      </c>
      <c r="AB362">
        <v>6638</v>
      </c>
      <c r="AC362">
        <v>0</v>
      </c>
      <c r="AD362">
        <v>51253561207</v>
      </c>
      <c r="AE362">
        <v>175197335.59999999</v>
      </c>
      <c r="AF362">
        <v>50809882792</v>
      </c>
      <c r="AG362">
        <v>50990667694.410004</v>
      </c>
      <c r="AH362">
        <v>6.1080000000000002E-2</v>
      </c>
      <c r="AI362">
        <v>2.034E-2</v>
      </c>
    </row>
    <row r="363" spans="1:35" x14ac:dyDescent="0.35">
      <c r="A363" t="s">
        <v>1</v>
      </c>
      <c r="B363">
        <v>3250</v>
      </c>
      <c r="C363">
        <v>144</v>
      </c>
      <c r="D363">
        <v>8508</v>
      </c>
      <c r="E363">
        <v>0</v>
      </c>
      <c r="F363">
        <v>144244835502</v>
      </c>
      <c r="G363">
        <v>447838107.31</v>
      </c>
      <c r="H363">
        <v>143079830225.88</v>
      </c>
      <c r="I363">
        <v>143768600940.19</v>
      </c>
      <c r="J363">
        <v>5.8057999999999998E-2</v>
      </c>
      <c r="K363">
        <v>2.3600000000000001E-3</v>
      </c>
      <c r="M363" t="s">
        <v>2</v>
      </c>
      <c r="N363">
        <v>4000</v>
      </c>
      <c r="O363">
        <v>96</v>
      </c>
      <c r="P363">
        <v>7777</v>
      </c>
      <c r="Q363">
        <v>0</v>
      </c>
      <c r="R363">
        <v>88432626122</v>
      </c>
      <c r="S363">
        <v>209538153.41</v>
      </c>
      <c r="T363">
        <v>87692963360.110001</v>
      </c>
      <c r="U363">
        <v>88175704537.949997</v>
      </c>
      <c r="V363">
        <v>6.9611000000000006E-2</v>
      </c>
      <c r="W363">
        <v>6.411E-3</v>
      </c>
      <c r="Y363" t="s">
        <v>1</v>
      </c>
      <c r="Z363">
        <v>3750</v>
      </c>
      <c r="AA363">
        <v>168</v>
      </c>
      <c r="AB363">
        <v>38090</v>
      </c>
      <c r="AC363">
        <v>0</v>
      </c>
      <c r="AD363">
        <v>481864725114</v>
      </c>
      <c r="AE363">
        <v>1719815011.1199999</v>
      </c>
      <c r="AF363">
        <v>477409014633</v>
      </c>
      <c r="AG363">
        <v>479156139098.17999</v>
      </c>
      <c r="AH363">
        <v>6.6045000000000006E-2</v>
      </c>
      <c r="AI363">
        <v>2.4348000000000002E-2</v>
      </c>
    </row>
    <row r="364" spans="1:35" x14ac:dyDescent="0.35">
      <c r="A364" t="s">
        <v>0</v>
      </c>
      <c r="B364">
        <v>3750</v>
      </c>
      <c r="C364">
        <v>144</v>
      </c>
      <c r="D364">
        <v>70353</v>
      </c>
      <c r="E364">
        <v>0</v>
      </c>
      <c r="F364">
        <v>855927625863</v>
      </c>
      <c r="G364">
        <v>2519598440.8499999</v>
      </c>
      <c r="H364">
        <v>849178062892.93994</v>
      </c>
      <c r="I364">
        <v>853106566145.80005</v>
      </c>
      <c r="J364">
        <v>5.7717999999999998E-2</v>
      </c>
      <c r="K364">
        <v>4.2180000000000004E-3</v>
      </c>
      <c r="M364" t="s">
        <v>0</v>
      </c>
      <c r="N364">
        <v>4000</v>
      </c>
      <c r="O364">
        <v>96</v>
      </c>
      <c r="P364">
        <v>36879</v>
      </c>
      <c r="Q364">
        <v>0</v>
      </c>
      <c r="R364">
        <v>548798232646</v>
      </c>
      <c r="S364">
        <v>1290635302.98</v>
      </c>
      <c r="T364">
        <v>544342955653.69</v>
      </c>
      <c r="U364">
        <v>547184456089.04999</v>
      </c>
      <c r="V364">
        <v>6.7044999999999993E-2</v>
      </c>
      <c r="W364">
        <v>7.0429999999999998E-3</v>
      </c>
      <c r="Y364" t="s">
        <v>3</v>
      </c>
      <c r="Z364">
        <v>4250</v>
      </c>
      <c r="AA364">
        <v>168</v>
      </c>
      <c r="AB364">
        <v>252</v>
      </c>
      <c r="AC364">
        <v>0</v>
      </c>
      <c r="AD364">
        <v>2760279512</v>
      </c>
      <c r="AE364">
        <v>9364579.4299999997</v>
      </c>
      <c r="AF364">
        <v>2746681303</v>
      </c>
      <c r="AG364">
        <v>2746681303</v>
      </c>
      <c r="AH364">
        <v>1.8251E-2</v>
      </c>
      <c r="AI364">
        <v>1.8251E-2</v>
      </c>
    </row>
    <row r="365" spans="1:35" x14ac:dyDescent="0.35">
      <c r="A365" t="s">
        <v>2</v>
      </c>
      <c r="B365">
        <v>3750</v>
      </c>
      <c r="C365">
        <v>144</v>
      </c>
      <c r="D365">
        <v>13381</v>
      </c>
      <c r="E365">
        <v>0</v>
      </c>
      <c r="F365">
        <v>135702523264</v>
      </c>
      <c r="G365">
        <v>404756275.56</v>
      </c>
      <c r="H365">
        <v>134623099271.77</v>
      </c>
      <c r="I365">
        <v>135266472435.75</v>
      </c>
      <c r="J365">
        <v>5.8055000000000002E-2</v>
      </c>
      <c r="K365">
        <v>2.764E-3</v>
      </c>
      <c r="M365" t="s">
        <v>1</v>
      </c>
      <c r="N365">
        <v>4000</v>
      </c>
      <c r="O365">
        <v>96</v>
      </c>
      <c r="P365">
        <v>14167</v>
      </c>
      <c r="Q365">
        <v>0</v>
      </c>
      <c r="R365">
        <v>248497786125</v>
      </c>
      <c r="S365">
        <v>583616076.62</v>
      </c>
      <c r="T365">
        <v>246245386409.95999</v>
      </c>
      <c r="U365">
        <v>247687749299.16</v>
      </c>
      <c r="V365">
        <v>7.7674999999999994E-2</v>
      </c>
      <c r="W365">
        <v>1.0879E-2</v>
      </c>
      <c r="Y365" t="s">
        <v>1</v>
      </c>
      <c r="Z365">
        <v>3250</v>
      </c>
      <c r="AA365">
        <v>144</v>
      </c>
      <c r="AB365">
        <v>8097</v>
      </c>
      <c r="AC365">
        <v>0</v>
      </c>
      <c r="AD365">
        <v>137123954723</v>
      </c>
      <c r="AE365">
        <v>424310995.19999999</v>
      </c>
      <c r="AF365">
        <v>136044900779</v>
      </c>
      <c r="AG365">
        <v>136497984653.42</v>
      </c>
      <c r="AH365">
        <v>5.5816999999999999E-2</v>
      </c>
      <c r="AI365">
        <v>1.7506000000000001E-2</v>
      </c>
    </row>
    <row r="366" spans="1:35" x14ac:dyDescent="0.35">
      <c r="A366" t="s">
        <v>1</v>
      </c>
      <c r="B366">
        <v>3750</v>
      </c>
      <c r="C366">
        <v>144</v>
      </c>
      <c r="D366">
        <v>36230</v>
      </c>
      <c r="E366">
        <v>0</v>
      </c>
      <c r="F366">
        <v>553141170645</v>
      </c>
      <c r="G366">
        <v>1648421768.4400001</v>
      </c>
      <c r="H366">
        <v>548468078878.51001</v>
      </c>
      <c r="I366">
        <v>551294048880.47998</v>
      </c>
      <c r="J366">
        <v>6.368E-2</v>
      </c>
      <c r="K366">
        <v>4.3020000000000003E-3</v>
      </c>
      <c r="M366" t="s">
        <v>2</v>
      </c>
      <c r="N366">
        <v>4750</v>
      </c>
      <c r="O366">
        <v>168</v>
      </c>
      <c r="P366">
        <v>1093</v>
      </c>
      <c r="Q366">
        <v>0</v>
      </c>
      <c r="R366">
        <v>8552527201</v>
      </c>
      <c r="S366">
        <v>26567237.420000002</v>
      </c>
      <c r="T366">
        <v>8479261686.4499998</v>
      </c>
      <c r="U366">
        <v>8523036659.1499996</v>
      </c>
      <c r="V366">
        <v>6.3589999999999994E-2</v>
      </c>
      <c r="W366">
        <v>4.0940000000000004E-3</v>
      </c>
      <c r="Y366" t="s">
        <v>0</v>
      </c>
      <c r="Z366">
        <v>3750</v>
      </c>
      <c r="AA366">
        <v>144</v>
      </c>
      <c r="AB366">
        <v>67021</v>
      </c>
      <c r="AC366">
        <v>0</v>
      </c>
      <c r="AD366">
        <v>810831170753</v>
      </c>
      <c r="AE366">
        <v>2382534462.3299999</v>
      </c>
      <c r="AF366">
        <v>805088073866</v>
      </c>
      <c r="AG366">
        <v>807709394166.41003</v>
      </c>
      <c r="AH366">
        <v>4.8617E-2</v>
      </c>
      <c r="AI366">
        <v>1.0886E-2</v>
      </c>
    </row>
    <row r="367" spans="1:35" x14ac:dyDescent="0.35">
      <c r="A367" t="s">
        <v>0</v>
      </c>
      <c r="B367">
        <v>2500</v>
      </c>
      <c r="C367">
        <v>168</v>
      </c>
      <c r="D367">
        <v>241</v>
      </c>
      <c r="E367">
        <v>0</v>
      </c>
      <c r="F367">
        <v>1825319266</v>
      </c>
      <c r="G367">
        <v>7029357.0899999999</v>
      </c>
      <c r="H367">
        <v>1809342472.9300001</v>
      </c>
      <c r="I367">
        <v>1818261483.6700001</v>
      </c>
      <c r="J367">
        <v>5.7262E-2</v>
      </c>
      <c r="K367">
        <v>1.8699999999999999E-4</v>
      </c>
      <c r="M367" t="s">
        <v>3</v>
      </c>
      <c r="N367">
        <v>4750</v>
      </c>
      <c r="O367">
        <v>168</v>
      </c>
      <c r="P367">
        <v>32</v>
      </c>
      <c r="Q367">
        <v>0</v>
      </c>
      <c r="R367">
        <v>275297741</v>
      </c>
      <c r="S367">
        <v>886721.21</v>
      </c>
      <c r="T367">
        <v>273211307.80000001</v>
      </c>
      <c r="U367">
        <v>274272454.24000001</v>
      </c>
      <c r="V367">
        <v>5.1059E-2</v>
      </c>
      <c r="W367">
        <v>6.0229999999999997E-3</v>
      </c>
      <c r="Y367" t="s">
        <v>2</v>
      </c>
      <c r="Z367">
        <v>3750</v>
      </c>
      <c r="AA367">
        <v>144</v>
      </c>
      <c r="AB367">
        <v>12908</v>
      </c>
      <c r="AC367">
        <v>0</v>
      </c>
      <c r="AD367">
        <v>130917037155</v>
      </c>
      <c r="AE367">
        <v>389583317.76999998</v>
      </c>
      <c r="AF367">
        <v>129884418225</v>
      </c>
      <c r="AG367">
        <v>130417793039.92</v>
      </c>
      <c r="AH367">
        <v>5.7375000000000002E-2</v>
      </c>
      <c r="AI367">
        <v>1.0005E-2</v>
      </c>
    </row>
    <row r="368" spans="1:35" x14ac:dyDescent="0.35">
      <c r="A368" t="s">
        <v>1</v>
      </c>
      <c r="B368">
        <v>4750</v>
      </c>
      <c r="C368">
        <v>168</v>
      </c>
      <c r="D368">
        <v>1470</v>
      </c>
      <c r="E368">
        <v>0</v>
      </c>
      <c r="F368">
        <v>14297904123</v>
      </c>
      <c r="G368">
        <v>43445912.75</v>
      </c>
      <c r="H368">
        <v>14166753514.5</v>
      </c>
      <c r="I368">
        <v>14247195594.65</v>
      </c>
      <c r="J368">
        <v>7.1176000000000003E-2</v>
      </c>
      <c r="K368">
        <v>6.0780000000000001E-3</v>
      </c>
      <c r="M368" t="s">
        <v>0</v>
      </c>
      <c r="N368">
        <v>3250</v>
      </c>
      <c r="O368">
        <v>168</v>
      </c>
      <c r="P368">
        <v>80226</v>
      </c>
      <c r="Q368">
        <v>0</v>
      </c>
      <c r="R368">
        <v>921792193713</v>
      </c>
      <c r="S368">
        <v>3304170332.9899998</v>
      </c>
      <c r="T368">
        <v>914843904189.65002</v>
      </c>
      <c r="U368">
        <v>918375015771.33997</v>
      </c>
      <c r="V368">
        <v>4.6421999999999998E-2</v>
      </c>
      <c r="W368">
        <v>1.47E-3</v>
      </c>
      <c r="Y368" t="s">
        <v>1</v>
      </c>
      <c r="Z368">
        <v>3750</v>
      </c>
      <c r="AA368">
        <v>144</v>
      </c>
      <c r="AB368">
        <v>35074</v>
      </c>
      <c r="AC368">
        <v>0</v>
      </c>
      <c r="AD368">
        <v>534725780438</v>
      </c>
      <c r="AE368">
        <v>1591458331.3599999</v>
      </c>
      <c r="AF368">
        <v>530460004743</v>
      </c>
      <c r="AG368">
        <v>532398989750.59998</v>
      </c>
      <c r="AH368">
        <v>5.8391999999999999E-2</v>
      </c>
      <c r="AI368">
        <v>1.6378E-2</v>
      </c>
    </row>
    <row r="369" spans="1:35" x14ac:dyDescent="0.35">
      <c r="A369" t="s">
        <v>0</v>
      </c>
      <c r="B369">
        <v>2750</v>
      </c>
      <c r="C369">
        <v>168</v>
      </c>
      <c r="D369">
        <v>500</v>
      </c>
      <c r="E369">
        <v>0</v>
      </c>
      <c r="F369">
        <v>5347147575</v>
      </c>
      <c r="G369">
        <v>20503925.34</v>
      </c>
      <c r="H369">
        <v>5307765907.4899998</v>
      </c>
      <c r="I369">
        <v>5325120971.6599998</v>
      </c>
      <c r="J369">
        <v>4.1551999999999999E-2</v>
      </c>
      <c r="K369">
        <v>3.4120000000000001E-3</v>
      </c>
      <c r="M369" t="s">
        <v>2</v>
      </c>
      <c r="N369">
        <v>3250</v>
      </c>
      <c r="O369">
        <v>168</v>
      </c>
      <c r="P369">
        <v>12957</v>
      </c>
      <c r="Q369">
        <v>0</v>
      </c>
      <c r="R369">
        <v>119541200062</v>
      </c>
      <c r="S369">
        <v>427132835.5</v>
      </c>
      <c r="T369">
        <v>118575750965.07001</v>
      </c>
      <c r="U369">
        <v>119090643303.97</v>
      </c>
      <c r="V369">
        <v>5.2720000000000003E-2</v>
      </c>
      <c r="W369">
        <v>2.349E-3</v>
      </c>
      <c r="Y369" t="s">
        <v>0</v>
      </c>
      <c r="Z369">
        <v>2500</v>
      </c>
      <c r="AA369">
        <v>168</v>
      </c>
      <c r="AB369">
        <v>239</v>
      </c>
      <c r="AC369">
        <v>0</v>
      </c>
      <c r="AD369">
        <v>1813621131</v>
      </c>
      <c r="AE369">
        <v>6946258.9800000004</v>
      </c>
      <c r="AF369">
        <v>1805843978</v>
      </c>
      <c r="AG369">
        <v>1805843978</v>
      </c>
      <c r="AH369">
        <v>5.4840000000000002E-3</v>
      </c>
      <c r="AI369">
        <v>5.4840000000000002E-3</v>
      </c>
    </row>
    <row r="370" spans="1:35" x14ac:dyDescent="0.35">
      <c r="A370" t="s">
        <v>1</v>
      </c>
      <c r="B370">
        <v>3250</v>
      </c>
      <c r="C370">
        <v>168</v>
      </c>
      <c r="D370">
        <v>39029</v>
      </c>
      <c r="E370">
        <v>0</v>
      </c>
      <c r="F370">
        <v>552998782560</v>
      </c>
      <c r="G370">
        <v>2016220103.4200001</v>
      </c>
      <c r="H370">
        <v>548498608425.31</v>
      </c>
      <c r="I370">
        <v>550921045903.05005</v>
      </c>
      <c r="J370">
        <v>5.2589999999999998E-2</v>
      </c>
      <c r="K370">
        <v>1.3339999999999999E-3</v>
      </c>
      <c r="M370" t="s">
        <v>1</v>
      </c>
      <c r="N370">
        <v>3250</v>
      </c>
      <c r="O370">
        <v>168</v>
      </c>
      <c r="P370">
        <v>39609</v>
      </c>
      <c r="Q370">
        <v>0</v>
      </c>
      <c r="R370">
        <v>567729081445</v>
      </c>
      <c r="S370">
        <v>2031823069.75</v>
      </c>
      <c r="T370">
        <v>563202097041.34998</v>
      </c>
      <c r="U370">
        <v>565580604543.02002</v>
      </c>
      <c r="V370">
        <v>5.1483000000000001E-2</v>
      </c>
      <c r="W370">
        <v>2.4629999999999999E-3</v>
      </c>
      <c r="Y370" t="s">
        <v>0</v>
      </c>
      <c r="Z370">
        <v>5250</v>
      </c>
      <c r="AA370">
        <v>168</v>
      </c>
      <c r="AB370">
        <v>1249</v>
      </c>
      <c r="AC370">
        <v>0</v>
      </c>
      <c r="AD370">
        <v>9600855830</v>
      </c>
      <c r="AE370">
        <v>27849469.969999999</v>
      </c>
      <c r="AF370">
        <v>9512263147</v>
      </c>
      <c r="AG370">
        <v>9542439406.0900002</v>
      </c>
      <c r="AH370">
        <v>7.3334999999999997E-2</v>
      </c>
      <c r="AI370">
        <v>3.7543E-2</v>
      </c>
    </row>
    <row r="371" spans="1:35" x14ac:dyDescent="0.35">
      <c r="A371" t="s">
        <v>0</v>
      </c>
      <c r="B371">
        <v>2000</v>
      </c>
      <c r="C371">
        <v>168</v>
      </c>
      <c r="D371">
        <v>23</v>
      </c>
      <c r="E371">
        <v>0</v>
      </c>
      <c r="F371">
        <v>183109568</v>
      </c>
      <c r="G371">
        <v>784228.7</v>
      </c>
      <c r="H371">
        <v>181430511.47999999</v>
      </c>
      <c r="I371">
        <v>181945601.63</v>
      </c>
      <c r="J371">
        <v>5.7091000000000003E-2</v>
      </c>
      <c r="K371">
        <v>2.4604000000000001E-2</v>
      </c>
      <c r="M371" t="s">
        <v>3</v>
      </c>
      <c r="N371">
        <v>4250</v>
      </c>
      <c r="O371">
        <v>168</v>
      </c>
      <c r="P371">
        <v>261</v>
      </c>
      <c r="Q371">
        <v>0</v>
      </c>
      <c r="R371">
        <v>2702329135</v>
      </c>
      <c r="S371">
        <v>9402050.2400000002</v>
      </c>
      <c r="T371">
        <v>2684041399.0300002</v>
      </c>
      <c r="U371">
        <v>2692349497.3800001</v>
      </c>
      <c r="V371">
        <v>3.8752000000000002E-2</v>
      </c>
      <c r="W371">
        <v>2.562E-3</v>
      </c>
      <c r="Y371" t="s">
        <v>0</v>
      </c>
      <c r="Z371">
        <v>2750</v>
      </c>
      <c r="AA371">
        <v>168</v>
      </c>
      <c r="AB371">
        <v>498</v>
      </c>
      <c r="AC371">
        <v>0</v>
      </c>
      <c r="AD371">
        <v>5354978201</v>
      </c>
      <c r="AE371">
        <v>20413138.489999998</v>
      </c>
      <c r="AF371">
        <v>5329254776</v>
      </c>
      <c r="AG371">
        <v>5329254776</v>
      </c>
      <c r="AH371">
        <v>1.1835E-2</v>
      </c>
      <c r="AI371">
        <v>1.1835E-2</v>
      </c>
    </row>
    <row r="372" spans="1:35" x14ac:dyDescent="0.35">
      <c r="A372" t="s">
        <v>3</v>
      </c>
      <c r="B372">
        <v>5000</v>
      </c>
      <c r="C372">
        <v>168</v>
      </c>
      <c r="D372">
        <v>25</v>
      </c>
      <c r="E372">
        <v>0</v>
      </c>
      <c r="F372">
        <v>248177526</v>
      </c>
      <c r="G372">
        <v>746754.54</v>
      </c>
      <c r="H372">
        <v>246025967.81</v>
      </c>
      <c r="I372">
        <v>247044607.09</v>
      </c>
      <c r="J372">
        <v>6.5850000000000006E-2</v>
      </c>
      <c r="K372">
        <v>1.8513000000000002E-2</v>
      </c>
      <c r="M372" t="s">
        <v>1</v>
      </c>
      <c r="N372">
        <v>3250</v>
      </c>
      <c r="O372">
        <v>144</v>
      </c>
      <c r="P372">
        <v>7625</v>
      </c>
      <c r="Q372">
        <v>0</v>
      </c>
      <c r="R372">
        <v>129624178783</v>
      </c>
      <c r="S372">
        <v>397875144.10000002</v>
      </c>
      <c r="T372">
        <v>128600030299.39999</v>
      </c>
      <c r="U372">
        <v>129199098901.37</v>
      </c>
      <c r="V372">
        <v>5.6460999999999997E-2</v>
      </c>
      <c r="W372">
        <v>2.516E-3</v>
      </c>
      <c r="Y372" t="s">
        <v>0</v>
      </c>
      <c r="Z372">
        <v>2000</v>
      </c>
      <c r="AA372">
        <v>168</v>
      </c>
      <c r="AB372">
        <v>23</v>
      </c>
      <c r="AC372">
        <v>0</v>
      </c>
      <c r="AD372">
        <v>183905333</v>
      </c>
      <c r="AE372">
        <v>783397.71</v>
      </c>
      <c r="AF372">
        <v>183109568</v>
      </c>
      <c r="AG372">
        <v>183109568</v>
      </c>
      <c r="AH372">
        <v>8.0699999999999999E-4</v>
      </c>
      <c r="AI372">
        <v>8.0699999999999999E-4</v>
      </c>
    </row>
    <row r="373" spans="1:35" x14ac:dyDescent="0.35">
      <c r="A373" t="s">
        <v>3</v>
      </c>
      <c r="B373">
        <v>3750</v>
      </c>
      <c r="C373">
        <v>168</v>
      </c>
      <c r="D373">
        <v>689</v>
      </c>
      <c r="E373">
        <v>0</v>
      </c>
      <c r="F373">
        <v>8097957546</v>
      </c>
      <c r="G373">
        <v>29145184.489999998</v>
      </c>
      <c r="H373">
        <v>8045353373.6400003</v>
      </c>
      <c r="I373">
        <v>8067251544.3500004</v>
      </c>
      <c r="J373">
        <v>3.4214000000000001E-2</v>
      </c>
      <c r="K373">
        <v>2.31E-3</v>
      </c>
      <c r="M373" t="s">
        <v>0</v>
      </c>
      <c r="N373">
        <v>3750</v>
      </c>
      <c r="O373">
        <v>144</v>
      </c>
      <c r="P373">
        <v>58629</v>
      </c>
      <c r="Q373">
        <v>0</v>
      </c>
      <c r="R373">
        <v>701608469052</v>
      </c>
      <c r="S373">
        <v>2054055579.1500001</v>
      </c>
      <c r="T373">
        <v>696058932142.81006</v>
      </c>
      <c r="U373">
        <v>699304281860.04004</v>
      </c>
      <c r="V373">
        <v>5.8173999999999997E-2</v>
      </c>
      <c r="W373">
        <v>4.2700000000000004E-3</v>
      </c>
      <c r="Y373" t="s">
        <v>3</v>
      </c>
      <c r="Z373">
        <v>5000</v>
      </c>
      <c r="AA373">
        <v>168</v>
      </c>
      <c r="AB373">
        <v>23</v>
      </c>
      <c r="AC373">
        <v>0</v>
      </c>
      <c r="AD373">
        <v>224594872</v>
      </c>
      <c r="AE373">
        <v>673716.81</v>
      </c>
      <c r="AF373">
        <v>223940024</v>
      </c>
      <c r="AG373">
        <v>223940024</v>
      </c>
      <c r="AH373">
        <v>-1.0089999999999999E-3</v>
      </c>
      <c r="AI373">
        <v>-1.0089999999999999E-3</v>
      </c>
    </row>
    <row r="374" spans="1:35" x14ac:dyDescent="0.35">
      <c r="A374" t="s">
        <v>2</v>
      </c>
      <c r="B374">
        <v>2000</v>
      </c>
      <c r="C374">
        <v>168</v>
      </c>
      <c r="D374">
        <v>4</v>
      </c>
      <c r="E374">
        <v>0</v>
      </c>
      <c r="F374">
        <v>44674258</v>
      </c>
      <c r="G374">
        <v>203419.58</v>
      </c>
      <c r="H374">
        <v>44460497.469999999</v>
      </c>
      <c r="I374">
        <v>44470426.439999998</v>
      </c>
      <c r="J374">
        <v>2.774E-3</v>
      </c>
      <c r="K374">
        <v>1.11E-4</v>
      </c>
      <c r="M374" t="s">
        <v>2</v>
      </c>
      <c r="N374">
        <v>3750</v>
      </c>
      <c r="O374">
        <v>144</v>
      </c>
      <c r="P374">
        <v>11714</v>
      </c>
      <c r="Q374">
        <v>0</v>
      </c>
      <c r="R374">
        <v>118246990635</v>
      </c>
      <c r="S374">
        <v>350748295.73000002</v>
      </c>
      <c r="T374">
        <v>117278252548.11</v>
      </c>
      <c r="U374">
        <v>117872978804.71001</v>
      </c>
      <c r="V374">
        <v>6.0942999999999997E-2</v>
      </c>
      <c r="W374">
        <v>2.3579999999999999E-3</v>
      </c>
      <c r="Y374" t="s">
        <v>3</v>
      </c>
      <c r="Z374">
        <v>3750</v>
      </c>
      <c r="AA374">
        <v>168</v>
      </c>
      <c r="AB374">
        <v>695</v>
      </c>
      <c r="AC374">
        <v>0</v>
      </c>
      <c r="AD374">
        <v>8231089191</v>
      </c>
      <c r="AE374">
        <v>29507060.809999999</v>
      </c>
      <c r="AF374">
        <v>8177500108</v>
      </c>
      <c r="AG374">
        <v>8194577913.3800001</v>
      </c>
      <c r="AH374">
        <v>3.4549000000000003E-2</v>
      </c>
      <c r="AI374">
        <v>1.0163999999999999E-2</v>
      </c>
    </row>
    <row r="375" spans="1:35" x14ac:dyDescent="0.35">
      <c r="A375" t="s">
        <v>1</v>
      </c>
      <c r="B375">
        <v>2750</v>
      </c>
      <c r="C375">
        <v>168</v>
      </c>
      <c r="D375">
        <v>773</v>
      </c>
      <c r="E375">
        <v>0</v>
      </c>
      <c r="F375">
        <v>10503655521</v>
      </c>
      <c r="G375">
        <v>40068469.729999997</v>
      </c>
      <c r="H375">
        <v>10417698701.059999</v>
      </c>
      <c r="I375">
        <v>10460734197.049999</v>
      </c>
      <c r="J375">
        <v>5.1184E-2</v>
      </c>
      <c r="K375">
        <v>3.2539999999999999E-3</v>
      </c>
      <c r="M375" t="s">
        <v>1</v>
      </c>
      <c r="N375">
        <v>3750</v>
      </c>
      <c r="O375">
        <v>144</v>
      </c>
      <c r="P375">
        <v>31582</v>
      </c>
      <c r="Q375">
        <v>0</v>
      </c>
      <c r="R375">
        <v>478330640912</v>
      </c>
      <c r="S375">
        <v>1419928479.0799999</v>
      </c>
      <c r="T375">
        <v>474294431865.32001</v>
      </c>
      <c r="U375">
        <v>476743505304.44</v>
      </c>
      <c r="V375">
        <v>6.3696000000000003E-2</v>
      </c>
      <c r="W375">
        <v>4.1869999999999997E-3</v>
      </c>
      <c r="Y375" t="s">
        <v>2</v>
      </c>
      <c r="Z375">
        <v>2000</v>
      </c>
      <c r="AA375">
        <v>168</v>
      </c>
      <c r="AB375">
        <v>4</v>
      </c>
      <c r="AC375">
        <v>0</v>
      </c>
      <c r="AD375">
        <v>44880127</v>
      </c>
      <c r="AE375">
        <v>203262.01</v>
      </c>
      <c r="AF375">
        <v>44674258</v>
      </c>
      <c r="AG375">
        <v>44674258</v>
      </c>
      <c r="AH375">
        <v>6.9700000000000003E-4</v>
      </c>
      <c r="AI375">
        <v>6.9700000000000003E-4</v>
      </c>
    </row>
    <row r="376" spans="1:35" x14ac:dyDescent="0.35">
      <c r="A376" t="s">
        <v>3</v>
      </c>
      <c r="B376">
        <v>3000</v>
      </c>
      <c r="C376">
        <v>168</v>
      </c>
      <c r="D376">
        <v>7</v>
      </c>
      <c r="E376">
        <v>0</v>
      </c>
      <c r="F376">
        <v>79893429</v>
      </c>
      <c r="G376">
        <v>300376.86</v>
      </c>
      <c r="H376">
        <v>79451338.620000005</v>
      </c>
      <c r="I376">
        <v>79593051.540000007</v>
      </c>
      <c r="J376">
        <v>2.1079000000000001E-2</v>
      </c>
      <c r="K376">
        <v>0</v>
      </c>
      <c r="M376" t="s">
        <v>0</v>
      </c>
      <c r="N376">
        <v>2500</v>
      </c>
      <c r="O376">
        <v>168</v>
      </c>
      <c r="P376">
        <v>235</v>
      </c>
      <c r="Q376">
        <v>0</v>
      </c>
      <c r="R376">
        <v>1796942922</v>
      </c>
      <c r="S376">
        <v>6816853.6900000004</v>
      </c>
      <c r="T376">
        <v>1781862094.46</v>
      </c>
      <c r="U376">
        <v>1790030713.76</v>
      </c>
      <c r="V376">
        <v>5.3811999999999999E-2</v>
      </c>
      <c r="W376">
        <v>6.3699999999999998E-4</v>
      </c>
      <c r="Y376" t="s">
        <v>1</v>
      </c>
      <c r="Z376">
        <v>2750</v>
      </c>
      <c r="AA376">
        <v>168</v>
      </c>
      <c r="AB376">
        <v>777</v>
      </c>
      <c r="AC376">
        <v>0</v>
      </c>
      <c r="AD376">
        <v>10622735083</v>
      </c>
      <c r="AE376">
        <v>40273276.840000004</v>
      </c>
      <c r="AF376">
        <v>10503655521</v>
      </c>
      <c r="AG376">
        <v>10550569178.6</v>
      </c>
      <c r="AH376">
        <v>8.548E-2</v>
      </c>
      <c r="AI376">
        <v>3.5438999999999998E-2</v>
      </c>
    </row>
    <row r="377" spans="1:35" x14ac:dyDescent="0.35">
      <c r="A377" t="s">
        <v>3</v>
      </c>
      <c r="B377">
        <v>4000</v>
      </c>
      <c r="C377">
        <v>144</v>
      </c>
      <c r="D377">
        <v>638</v>
      </c>
      <c r="E377">
        <v>0</v>
      </c>
      <c r="F377">
        <v>7663798206</v>
      </c>
      <c r="G377">
        <v>22437592.190000001</v>
      </c>
      <c r="H377">
        <v>7615933614.6800003</v>
      </c>
      <c r="I377">
        <v>7639499681.3999996</v>
      </c>
      <c r="J377">
        <v>3.9094999999999998E-2</v>
      </c>
      <c r="K377">
        <v>2.9099999999999998E-3</v>
      </c>
      <c r="M377" t="s">
        <v>0</v>
      </c>
      <c r="N377">
        <v>5250</v>
      </c>
      <c r="O377">
        <v>168</v>
      </c>
      <c r="P377">
        <v>754</v>
      </c>
      <c r="Q377">
        <v>0</v>
      </c>
      <c r="R377">
        <v>5431588988</v>
      </c>
      <c r="S377">
        <v>16270170.85</v>
      </c>
      <c r="T377">
        <v>5383849557.2799997</v>
      </c>
      <c r="U377">
        <v>5413212847.8299999</v>
      </c>
      <c r="V377">
        <v>6.7351999999999995E-2</v>
      </c>
      <c r="W377">
        <v>4.6430000000000004E-3</v>
      </c>
      <c r="Y377" t="s">
        <v>3</v>
      </c>
      <c r="Z377">
        <v>3000</v>
      </c>
      <c r="AA377">
        <v>168</v>
      </c>
      <c r="AB377">
        <v>7</v>
      </c>
      <c r="AC377">
        <v>0</v>
      </c>
      <c r="AD377">
        <v>80341384</v>
      </c>
      <c r="AE377">
        <v>300185.03999999998</v>
      </c>
      <c r="AF377">
        <v>79893429</v>
      </c>
      <c r="AG377">
        <v>79893429</v>
      </c>
      <c r="AH377">
        <v>2.1849E-2</v>
      </c>
      <c r="AI377">
        <v>2.1849E-2</v>
      </c>
    </row>
    <row r="378" spans="1:35" x14ac:dyDescent="0.35">
      <c r="A378" t="s">
        <v>3</v>
      </c>
      <c r="B378">
        <v>4250</v>
      </c>
      <c r="C378">
        <v>168</v>
      </c>
      <c r="D378">
        <v>255</v>
      </c>
      <c r="E378">
        <v>0</v>
      </c>
      <c r="F378">
        <v>2786588354</v>
      </c>
      <c r="G378">
        <v>9319322.1899999995</v>
      </c>
      <c r="H378">
        <v>2768681714.77</v>
      </c>
      <c r="I378">
        <v>2776709908.0300002</v>
      </c>
      <c r="J378">
        <v>3.6360000000000003E-2</v>
      </c>
      <c r="K378">
        <v>2.405E-3</v>
      </c>
      <c r="M378" t="s">
        <v>0</v>
      </c>
      <c r="N378">
        <v>2750</v>
      </c>
      <c r="O378">
        <v>168</v>
      </c>
      <c r="P378">
        <v>492</v>
      </c>
      <c r="Q378">
        <v>0</v>
      </c>
      <c r="R378">
        <v>5320549443</v>
      </c>
      <c r="S378">
        <v>20056284.690000001</v>
      </c>
      <c r="T378">
        <v>5282360337.3100004</v>
      </c>
      <c r="U378">
        <v>5299930959.4200001</v>
      </c>
      <c r="V378">
        <v>4.0139000000000001E-2</v>
      </c>
      <c r="W378">
        <v>1.2669999999999999E-3</v>
      </c>
      <c r="Y378" t="s">
        <v>3</v>
      </c>
      <c r="Z378">
        <v>4000</v>
      </c>
      <c r="AA378">
        <v>144</v>
      </c>
      <c r="AB378">
        <v>619</v>
      </c>
      <c r="AC378">
        <v>0</v>
      </c>
      <c r="AD378">
        <v>7531896813</v>
      </c>
      <c r="AE378">
        <v>21995914.120000001</v>
      </c>
      <c r="AF378">
        <v>7475895669</v>
      </c>
      <c r="AG378">
        <v>7503748646.3299999</v>
      </c>
      <c r="AH378">
        <v>5.2852999999999997E-2</v>
      </c>
      <c r="AI378">
        <v>9.7579999999999993E-3</v>
      </c>
    </row>
    <row r="379" spans="1:35" x14ac:dyDescent="0.35">
      <c r="A379" t="s">
        <v>1</v>
      </c>
      <c r="B379">
        <v>2500</v>
      </c>
      <c r="C379">
        <v>168</v>
      </c>
      <c r="D379">
        <v>14</v>
      </c>
      <c r="E379">
        <v>0</v>
      </c>
      <c r="F379">
        <v>150755679</v>
      </c>
      <c r="G379">
        <v>584182.77</v>
      </c>
      <c r="H379">
        <v>149509461.97999999</v>
      </c>
      <c r="I379">
        <v>150171463.63</v>
      </c>
      <c r="J379">
        <v>5.1443000000000003E-2</v>
      </c>
      <c r="K379">
        <v>3.0000000000000001E-6</v>
      </c>
      <c r="M379" t="s">
        <v>0</v>
      </c>
      <c r="N379">
        <v>2000</v>
      </c>
      <c r="O379">
        <v>168</v>
      </c>
      <c r="P379">
        <v>19</v>
      </c>
      <c r="Q379">
        <v>0</v>
      </c>
      <c r="R379">
        <v>153938818</v>
      </c>
      <c r="S379">
        <v>660215.52</v>
      </c>
      <c r="T379">
        <v>152463243.22999999</v>
      </c>
      <c r="U379">
        <v>153262518.78999999</v>
      </c>
      <c r="V379">
        <v>6.1740000000000003E-2</v>
      </c>
      <c r="W379">
        <v>1.253E-3</v>
      </c>
      <c r="Y379" t="s">
        <v>1</v>
      </c>
      <c r="Z379">
        <v>2500</v>
      </c>
      <c r="AA379">
        <v>168</v>
      </c>
      <c r="AB379">
        <v>14</v>
      </c>
      <c r="AC379">
        <v>0</v>
      </c>
      <c r="AD379">
        <v>151566365</v>
      </c>
      <c r="AE379">
        <v>583839.36</v>
      </c>
      <c r="AF379">
        <v>150755679</v>
      </c>
      <c r="AG379">
        <v>150755679</v>
      </c>
      <c r="AH379">
        <v>1.7812999999999999E-2</v>
      </c>
      <c r="AI379">
        <v>1.7812999999999999E-2</v>
      </c>
    </row>
    <row r="380" spans="1:35" x14ac:dyDescent="0.35">
      <c r="A380" t="s">
        <v>2</v>
      </c>
      <c r="B380">
        <v>2750</v>
      </c>
      <c r="C380">
        <v>168</v>
      </c>
      <c r="D380">
        <v>99</v>
      </c>
      <c r="E380">
        <v>0</v>
      </c>
      <c r="F380">
        <v>847686747</v>
      </c>
      <c r="G380">
        <v>3245482.23</v>
      </c>
      <c r="H380">
        <v>840592373.41999996</v>
      </c>
      <c r="I380">
        <v>844416928.88999999</v>
      </c>
      <c r="J380">
        <v>5.3144999999999998E-2</v>
      </c>
      <c r="K380">
        <v>3.4400000000000001E-4</v>
      </c>
      <c r="M380" t="s">
        <v>3</v>
      </c>
      <c r="N380">
        <v>5000</v>
      </c>
      <c r="O380">
        <v>168</v>
      </c>
      <c r="P380">
        <v>14</v>
      </c>
      <c r="Q380">
        <v>0</v>
      </c>
      <c r="R380">
        <v>132939182</v>
      </c>
      <c r="S380">
        <v>407609.96</v>
      </c>
      <c r="T380">
        <v>132009703.58</v>
      </c>
      <c r="U380">
        <v>132530403.31</v>
      </c>
      <c r="V380">
        <v>4.6103999999999999E-2</v>
      </c>
      <c r="W380">
        <v>1.05E-4</v>
      </c>
      <c r="Y380" t="s">
        <v>2</v>
      </c>
      <c r="Z380">
        <v>2750</v>
      </c>
      <c r="AA380">
        <v>168</v>
      </c>
      <c r="AB380">
        <v>99</v>
      </c>
      <c r="AC380">
        <v>0</v>
      </c>
      <c r="AD380">
        <v>851488832</v>
      </c>
      <c r="AE380">
        <v>3240199.71</v>
      </c>
      <c r="AF380">
        <v>847686747</v>
      </c>
      <c r="AG380">
        <v>847686747</v>
      </c>
      <c r="AH380">
        <v>7.8899999999999994E-3</v>
      </c>
      <c r="AI380">
        <v>7.8899999999999994E-3</v>
      </c>
    </row>
    <row r="381" spans="1:35" x14ac:dyDescent="0.35">
      <c r="A381" t="s">
        <v>2</v>
      </c>
      <c r="B381">
        <v>2500</v>
      </c>
      <c r="C381">
        <v>168</v>
      </c>
      <c r="D381">
        <v>93</v>
      </c>
      <c r="E381">
        <v>0</v>
      </c>
      <c r="F381">
        <v>577174260</v>
      </c>
      <c r="G381">
        <v>2190133.38</v>
      </c>
      <c r="H381">
        <v>572139514.23000002</v>
      </c>
      <c r="I381">
        <v>574975960.50999999</v>
      </c>
      <c r="J381">
        <v>5.7564999999999998E-2</v>
      </c>
      <c r="K381">
        <v>1.7000000000000001E-4</v>
      </c>
      <c r="M381" t="s">
        <v>3</v>
      </c>
      <c r="N381">
        <v>3750</v>
      </c>
      <c r="O381">
        <v>168</v>
      </c>
      <c r="P381">
        <v>724</v>
      </c>
      <c r="Q381">
        <v>0</v>
      </c>
      <c r="R381">
        <v>8665803300</v>
      </c>
      <c r="S381">
        <v>30794554.129999999</v>
      </c>
      <c r="T381">
        <v>8607620026.8999996</v>
      </c>
      <c r="U381">
        <v>8633878101.1399994</v>
      </c>
      <c r="V381">
        <v>3.7274000000000002E-2</v>
      </c>
      <c r="W381">
        <v>1.565E-3</v>
      </c>
      <c r="Y381" t="s">
        <v>2</v>
      </c>
      <c r="Z381">
        <v>2500</v>
      </c>
      <c r="AA381">
        <v>168</v>
      </c>
      <c r="AB381">
        <v>92</v>
      </c>
      <c r="AC381">
        <v>0</v>
      </c>
      <c r="AD381">
        <v>566420036</v>
      </c>
      <c r="AE381">
        <v>2138129.0299999998</v>
      </c>
      <c r="AF381">
        <v>563914676</v>
      </c>
      <c r="AG381">
        <v>563914676</v>
      </c>
      <c r="AH381">
        <v>7.7520000000000002E-3</v>
      </c>
      <c r="AI381">
        <v>7.7520000000000002E-3</v>
      </c>
    </row>
    <row r="382" spans="1:35" x14ac:dyDescent="0.35">
      <c r="A382" t="s">
        <v>1</v>
      </c>
      <c r="B382">
        <v>4000</v>
      </c>
      <c r="C382">
        <v>72</v>
      </c>
      <c r="D382">
        <v>4520</v>
      </c>
      <c r="E382">
        <v>0</v>
      </c>
      <c r="F382">
        <v>80219833462</v>
      </c>
      <c r="G382">
        <v>166416902.30000001</v>
      </c>
      <c r="H382">
        <v>79281006533.460007</v>
      </c>
      <c r="I382">
        <v>79821581783.330002</v>
      </c>
      <c r="J382">
        <v>0.10961700000000001</v>
      </c>
      <c r="K382">
        <v>3.4133999999999998E-2</v>
      </c>
      <c r="M382" t="s">
        <v>2</v>
      </c>
      <c r="N382">
        <v>2000</v>
      </c>
      <c r="O382">
        <v>168</v>
      </c>
      <c r="P382">
        <v>5</v>
      </c>
      <c r="Q382">
        <v>0</v>
      </c>
      <c r="R382">
        <v>55304821</v>
      </c>
      <c r="S382">
        <v>259617.76</v>
      </c>
      <c r="T382">
        <v>54942280.740000002</v>
      </c>
      <c r="U382">
        <v>55045065.399999999</v>
      </c>
      <c r="V382">
        <v>2.2105E-2</v>
      </c>
      <c r="W382">
        <v>3.0000000000000001E-5</v>
      </c>
      <c r="Y382" t="s">
        <v>1</v>
      </c>
      <c r="Z382">
        <v>4000</v>
      </c>
      <c r="AA382">
        <v>72</v>
      </c>
      <c r="AB382">
        <v>5443</v>
      </c>
      <c r="AC382">
        <v>0</v>
      </c>
      <c r="AD382">
        <v>97297537023</v>
      </c>
      <c r="AE382">
        <v>201583224.47999999</v>
      </c>
      <c r="AF382">
        <v>96273581425</v>
      </c>
      <c r="AG382">
        <v>96921967983.490005</v>
      </c>
      <c r="AH382">
        <v>9.6840999999999997E-2</v>
      </c>
      <c r="AI382">
        <v>2.1248E-2</v>
      </c>
    </row>
    <row r="383" spans="1:35" x14ac:dyDescent="0.35">
      <c r="A383" t="s">
        <v>1</v>
      </c>
      <c r="B383">
        <v>3000</v>
      </c>
      <c r="C383">
        <v>96</v>
      </c>
      <c r="D383">
        <v>26</v>
      </c>
      <c r="E383">
        <v>0</v>
      </c>
      <c r="F383">
        <v>513894013</v>
      </c>
      <c r="G383">
        <v>1372916.39</v>
      </c>
      <c r="H383">
        <v>509439774.30000001</v>
      </c>
      <c r="I383">
        <v>512415530.98000002</v>
      </c>
      <c r="J383">
        <v>6.9625999999999993E-2</v>
      </c>
      <c r="K383">
        <v>2.4620000000000002E-3</v>
      </c>
      <c r="M383" t="s">
        <v>1</v>
      </c>
      <c r="N383">
        <v>2750</v>
      </c>
      <c r="O383">
        <v>168</v>
      </c>
      <c r="P383">
        <v>780</v>
      </c>
      <c r="Q383">
        <v>0</v>
      </c>
      <c r="R383">
        <v>10780352985</v>
      </c>
      <c r="S383">
        <v>40373365.890000001</v>
      </c>
      <c r="T383">
        <v>10694045947.76</v>
      </c>
      <c r="U383">
        <v>10738967952.26</v>
      </c>
      <c r="V383">
        <v>4.9949E-2</v>
      </c>
      <c r="W383">
        <v>1.126E-3</v>
      </c>
      <c r="Y383" t="s">
        <v>0</v>
      </c>
      <c r="Z383">
        <v>4500</v>
      </c>
      <c r="AA383">
        <v>96</v>
      </c>
      <c r="AB383">
        <v>36223</v>
      </c>
      <c r="AC383">
        <v>0</v>
      </c>
      <c r="AD383">
        <v>543712047842</v>
      </c>
      <c r="AE383">
        <v>1178102954.6300001</v>
      </c>
      <c r="AF383">
        <v>540099457593</v>
      </c>
      <c r="AG383">
        <v>542059796788.34003</v>
      </c>
      <c r="AH383">
        <v>5.2427000000000001E-2</v>
      </c>
      <c r="AI383">
        <v>1.0415000000000001E-2</v>
      </c>
    </row>
    <row r="384" spans="1:35" x14ac:dyDescent="0.35">
      <c r="A384" t="s">
        <v>0</v>
      </c>
      <c r="B384">
        <v>3000</v>
      </c>
      <c r="C384">
        <v>96</v>
      </c>
      <c r="D384">
        <v>59</v>
      </c>
      <c r="E384">
        <v>0</v>
      </c>
      <c r="F384">
        <v>683479128</v>
      </c>
      <c r="G384">
        <v>1815687.54</v>
      </c>
      <c r="H384">
        <v>678973551.99000001</v>
      </c>
      <c r="I384">
        <v>681653209.98000002</v>
      </c>
      <c r="J384">
        <v>4.6218000000000002E-2</v>
      </c>
      <c r="K384">
        <v>1.8000000000000001E-4</v>
      </c>
      <c r="M384" t="s">
        <v>3</v>
      </c>
      <c r="N384">
        <v>3000</v>
      </c>
      <c r="O384">
        <v>168</v>
      </c>
      <c r="P384">
        <v>7</v>
      </c>
      <c r="Q384">
        <v>0</v>
      </c>
      <c r="R384">
        <v>80992153</v>
      </c>
      <c r="S384">
        <v>298885.88</v>
      </c>
      <c r="T384">
        <v>80573095.230000004</v>
      </c>
      <c r="U384">
        <v>80693267</v>
      </c>
      <c r="V384">
        <v>1.7659999999999999E-2</v>
      </c>
      <c r="W384">
        <v>0</v>
      </c>
      <c r="Y384" t="s">
        <v>1</v>
      </c>
      <c r="Z384">
        <v>3000</v>
      </c>
      <c r="AA384">
        <v>96</v>
      </c>
      <c r="AB384">
        <v>37</v>
      </c>
      <c r="AC384">
        <v>0</v>
      </c>
      <c r="AD384">
        <v>693582272</v>
      </c>
      <c r="AE384">
        <v>1853262.88</v>
      </c>
      <c r="AF384">
        <v>691344270</v>
      </c>
      <c r="AG384">
        <v>691344270</v>
      </c>
      <c r="AH384">
        <v>6.6360000000000004E-3</v>
      </c>
      <c r="AI384">
        <v>6.6360000000000004E-3</v>
      </c>
    </row>
    <row r="385" spans="1:35" x14ac:dyDescent="0.35">
      <c r="A385" t="s">
        <v>2</v>
      </c>
      <c r="B385">
        <v>3000</v>
      </c>
      <c r="C385">
        <v>96</v>
      </c>
      <c r="D385">
        <v>14</v>
      </c>
      <c r="E385">
        <v>0</v>
      </c>
      <c r="F385">
        <v>144976569</v>
      </c>
      <c r="G385">
        <v>387752.14</v>
      </c>
      <c r="H385">
        <v>144379008.47999999</v>
      </c>
      <c r="I385">
        <v>144588779.88</v>
      </c>
      <c r="J385">
        <v>1.7229000000000001E-2</v>
      </c>
      <c r="K385">
        <v>3.0000000000000001E-6</v>
      </c>
      <c r="M385" t="s">
        <v>3</v>
      </c>
      <c r="N385">
        <v>4500</v>
      </c>
      <c r="O385">
        <v>144</v>
      </c>
      <c r="P385">
        <v>288</v>
      </c>
      <c r="Q385">
        <v>0</v>
      </c>
      <c r="R385">
        <v>2976563967</v>
      </c>
      <c r="S385">
        <v>8478616.6300000008</v>
      </c>
      <c r="T385">
        <v>2956399805.7600002</v>
      </c>
      <c r="U385">
        <v>2967434460.8200002</v>
      </c>
      <c r="V385">
        <v>4.6106000000000001E-2</v>
      </c>
      <c r="W385">
        <v>2.6210000000000001E-3</v>
      </c>
      <c r="Y385" t="s">
        <v>0</v>
      </c>
      <c r="Z385">
        <v>3000</v>
      </c>
      <c r="AA385">
        <v>96</v>
      </c>
      <c r="AB385">
        <v>73</v>
      </c>
      <c r="AC385">
        <v>0</v>
      </c>
      <c r="AD385">
        <v>853188830</v>
      </c>
      <c r="AE385">
        <v>2265337.6</v>
      </c>
      <c r="AF385">
        <v>850843919</v>
      </c>
      <c r="AG385">
        <v>850843919</v>
      </c>
      <c r="AH385">
        <v>1.119E-3</v>
      </c>
      <c r="AI385">
        <v>1.119E-3</v>
      </c>
    </row>
    <row r="386" spans="1:35" x14ac:dyDescent="0.35">
      <c r="A386" t="s">
        <v>2</v>
      </c>
      <c r="B386">
        <v>4500</v>
      </c>
      <c r="C386">
        <v>96</v>
      </c>
      <c r="D386">
        <v>7317</v>
      </c>
      <c r="E386">
        <v>0</v>
      </c>
      <c r="F386">
        <v>83112538451</v>
      </c>
      <c r="G386">
        <v>180496598.08000001</v>
      </c>
      <c r="H386">
        <v>82448463624.059998</v>
      </c>
      <c r="I386">
        <v>82878410935.460007</v>
      </c>
      <c r="J386">
        <v>6.7628999999999995E-2</v>
      </c>
      <c r="K386">
        <v>7.7159999999999998E-3</v>
      </c>
      <c r="M386" t="s">
        <v>3</v>
      </c>
      <c r="N386">
        <v>4000</v>
      </c>
      <c r="O386">
        <v>144</v>
      </c>
      <c r="P386">
        <v>558</v>
      </c>
      <c r="Q386">
        <v>0</v>
      </c>
      <c r="R386">
        <v>6582920461</v>
      </c>
      <c r="S386">
        <v>19189549.239999998</v>
      </c>
      <c r="T386">
        <v>6540410899.5100002</v>
      </c>
      <c r="U386">
        <v>6563179936.3100004</v>
      </c>
      <c r="V386">
        <v>4.1690999999999999E-2</v>
      </c>
      <c r="W386">
        <v>1.0039999999999999E-3</v>
      </c>
      <c r="Y386" t="s">
        <v>2</v>
      </c>
      <c r="Z386">
        <v>3000</v>
      </c>
      <c r="AA386">
        <v>96</v>
      </c>
      <c r="AB386">
        <v>18</v>
      </c>
      <c r="AC386">
        <v>0</v>
      </c>
      <c r="AD386">
        <v>190859414</v>
      </c>
      <c r="AE386">
        <v>508665.54</v>
      </c>
      <c r="AF386">
        <v>190309653</v>
      </c>
      <c r="AG386">
        <v>190309653</v>
      </c>
      <c r="AH386">
        <v>2.581E-3</v>
      </c>
      <c r="AI386">
        <v>2.581E-3</v>
      </c>
    </row>
    <row r="387" spans="1:35" x14ac:dyDescent="0.35">
      <c r="A387" t="s">
        <v>0</v>
      </c>
      <c r="B387">
        <v>4500</v>
      </c>
      <c r="C387">
        <v>96</v>
      </c>
      <c r="D387">
        <v>33920</v>
      </c>
      <c r="E387">
        <v>0</v>
      </c>
      <c r="F387">
        <v>511638650926</v>
      </c>
      <c r="G387">
        <v>1110984128.05</v>
      </c>
      <c r="H387">
        <v>507658395737.41998</v>
      </c>
      <c r="I387">
        <v>510156285950.53003</v>
      </c>
      <c r="J387">
        <v>6.5258999999999998E-2</v>
      </c>
      <c r="K387">
        <v>8.6759999999999997E-3</v>
      </c>
      <c r="M387" t="s">
        <v>1</v>
      </c>
      <c r="N387">
        <v>2500</v>
      </c>
      <c r="O387">
        <v>168</v>
      </c>
      <c r="P387">
        <v>13</v>
      </c>
      <c r="Q387">
        <v>0</v>
      </c>
      <c r="R387">
        <v>142247448</v>
      </c>
      <c r="S387">
        <v>542952.56999999995</v>
      </c>
      <c r="T387">
        <v>141122448.75</v>
      </c>
      <c r="U387">
        <v>141704431.30000001</v>
      </c>
      <c r="V387">
        <v>4.8010999999999998E-2</v>
      </c>
      <c r="W387">
        <v>5.0000000000000004E-6</v>
      </c>
      <c r="Y387" t="s">
        <v>2</v>
      </c>
      <c r="Z387">
        <v>4500</v>
      </c>
      <c r="AA387">
        <v>96</v>
      </c>
      <c r="AB387">
        <v>7850</v>
      </c>
      <c r="AC387">
        <v>0</v>
      </c>
      <c r="AD387">
        <v>87935731083</v>
      </c>
      <c r="AE387">
        <v>190584004.66999999</v>
      </c>
      <c r="AF387">
        <v>87224196010</v>
      </c>
      <c r="AG387">
        <v>87675626311.410004</v>
      </c>
      <c r="AH387">
        <v>6.8819000000000005E-2</v>
      </c>
      <c r="AI387">
        <v>9.4459999999999995E-3</v>
      </c>
    </row>
    <row r="388" spans="1:35" x14ac:dyDescent="0.35">
      <c r="A388" t="s">
        <v>1</v>
      </c>
      <c r="B388">
        <v>4500</v>
      </c>
      <c r="C388">
        <v>96</v>
      </c>
      <c r="D388">
        <v>9342</v>
      </c>
      <c r="E388">
        <v>0</v>
      </c>
      <c r="F388">
        <v>161162203698</v>
      </c>
      <c r="G388">
        <v>348632907.95999998</v>
      </c>
      <c r="H388">
        <v>159619733774.60999</v>
      </c>
      <c r="I388">
        <v>160639531323.84</v>
      </c>
      <c r="J388">
        <v>8.5358000000000003E-2</v>
      </c>
      <c r="K388">
        <v>1.2881999999999999E-2</v>
      </c>
      <c r="M388" t="s">
        <v>2</v>
      </c>
      <c r="N388">
        <v>2750</v>
      </c>
      <c r="O388">
        <v>168</v>
      </c>
      <c r="P388">
        <v>100</v>
      </c>
      <c r="Q388">
        <v>0</v>
      </c>
      <c r="R388">
        <v>867737850</v>
      </c>
      <c r="S388">
        <v>3262205.5</v>
      </c>
      <c r="T388">
        <v>861428841.04999995</v>
      </c>
      <c r="U388">
        <v>864475091.04999995</v>
      </c>
      <c r="V388">
        <v>4.1329999999999999E-2</v>
      </c>
      <c r="W388">
        <v>7.9999999999999996E-6</v>
      </c>
      <c r="Y388" t="s">
        <v>0</v>
      </c>
      <c r="Z388">
        <v>5000</v>
      </c>
      <c r="AA388">
        <v>96</v>
      </c>
      <c r="AB388">
        <v>32378</v>
      </c>
      <c r="AC388">
        <v>0</v>
      </c>
      <c r="AD388">
        <v>450244569916</v>
      </c>
      <c r="AE388">
        <v>906590651.60000002</v>
      </c>
      <c r="AF388">
        <v>447029181565</v>
      </c>
      <c r="AG388">
        <v>448893961385.21002</v>
      </c>
      <c r="AH388">
        <v>5.9827999999999999E-2</v>
      </c>
      <c r="AI388">
        <v>1.1769999999999999E-2</v>
      </c>
    </row>
    <row r="389" spans="1:35" x14ac:dyDescent="0.35">
      <c r="A389" t="s">
        <v>0</v>
      </c>
      <c r="B389">
        <v>5000</v>
      </c>
      <c r="C389">
        <v>96</v>
      </c>
      <c r="D389">
        <v>34788</v>
      </c>
      <c r="E389">
        <v>0</v>
      </c>
      <c r="F389">
        <v>485025326530</v>
      </c>
      <c r="G389">
        <v>978814092.19000006</v>
      </c>
      <c r="H389">
        <v>480801637707.34003</v>
      </c>
      <c r="I389">
        <v>483410538423.23999</v>
      </c>
      <c r="J389">
        <v>7.7392000000000002E-2</v>
      </c>
      <c r="K389">
        <v>1.5622E-2</v>
      </c>
      <c r="M389" t="s">
        <v>2</v>
      </c>
      <c r="N389">
        <v>2500</v>
      </c>
      <c r="O389">
        <v>168</v>
      </c>
      <c r="P389">
        <v>85</v>
      </c>
      <c r="Q389">
        <v>0</v>
      </c>
      <c r="R389">
        <v>524859510</v>
      </c>
      <c r="S389">
        <v>1961615.47</v>
      </c>
      <c r="T389">
        <v>520813006.70999998</v>
      </c>
      <c r="U389">
        <v>522895927.94</v>
      </c>
      <c r="V389">
        <v>4.6640000000000001E-2</v>
      </c>
      <c r="W389">
        <v>4.5000000000000003E-5</v>
      </c>
      <c r="Y389" t="s">
        <v>2</v>
      </c>
      <c r="Z389">
        <v>5000</v>
      </c>
      <c r="AA389">
        <v>96</v>
      </c>
      <c r="AB389">
        <v>5484</v>
      </c>
      <c r="AC389">
        <v>0</v>
      </c>
      <c r="AD389">
        <v>58462433574</v>
      </c>
      <c r="AE389">
        <v>117260832.92</v>
      </c>
      <c r="AF389">
        <v>58096933011</v>
      </c>
      <c r="AG389">
        <v>58293144367.949997</v>
      </c>
      <c r="AH389">
        <v>4.9779999999999998E-2</v>
      </c>
      <c r="AI389">
        <v>1.0626999999999999E-2</v>
      </c>
    </row>
    <row r="390" spans="1:35" x14ac:dyDescent="0.35">
      <c r="A390" t="s">
        <v>2</v>
      </c>
      <c r="B390">
        <v>5000</v>
      </c>
      <c r="C390">
        <v>96</v>
      </c>
      <c r="D390">
        <v>6073</v>
      </c>
      <c r="E390">
        <v>0</v>
      </c>
      <c r="F390">
        <v>64901104437</v>
      </c>
      <c r="G390">
        <v>130628153.20999999</v>
      </c>
      <c r="H390">
        <v>64365721996.660004</v>
      </c>
      <c r="I390">
        <v>64713854331.779999</v>
      </c>
      <c r="J390">
        <v>7.2322999999999998E-2</v>
      </c>
      <c r="K390">
        <v>1.0418999999999999E-2</v>
      </c>
      <c r="M390" t="s">
        <v>0</v>
      </c>
      <c r="N390">
        <v>4500</v>
      </c>
      <c r="O390">
        <v>96</v>
      </c>
      <c r="P390">
        <v>38080</v>
      </c>
      <c r="Q390">
        <v>0</v>
      </c>
      <c r="R390">
        <v>561913732531</v>
      </c>
      <c r="S390">
        <v>1215472858.96</v>
      </c>
      <c r="T390">
        <v>557344599583.32996</v>
      </c>
      <c r="U390">
        <v>560233023498.22998</v>
      </c>
      <c r="V390">
        <v>6.9315000000000002E-2</v>
      </c>
      <c r="W390">
        <v>9.8899999999999995E-3</v>
      </c>
      <c r="Y390" t="s">
        <v>1</v>
      </c>
      <c r="Z390">
        <v>5000</v>
      </c>
      <c r="AA390">
        <v>96</v>
      </c>
      <c r="AB390">
        <v>4672</v>
      </c>
      <c r="AC390">
        <v>0</v>
      </c>
      <c r="AD390">
        <v>69779397728</v>
      </c>
      <c r="AE390">
        <v>140215282.43000001</v>
      </c>
      <c r="AF390">
        <v>69110587072</v>
      </c>
      <c r="AG390">
        <v>69438061596.800003</v>
      </c>
      <c r="AH390">
        <v>8.7208999999999995E-2</v>
      </c>
      <c r="AI390">
        <v>3.4043999999999998E-2</v>
      </c>
    </row>
    <row r="391" spans="1:35" x14ac:dyDescent="0.35">
      <c r="A391" t="s">
        <v>1</v>
      </c>
      <c r="B391">
        <v>5000</v>
      </c>
      <c r="C391">
        <v>96</v>
      </c>
      <c r="D391">
        <v>5244</v>
      </c>
      <c r="E391">
        <v>0</v>
      </c>
      <c r="F391">
        <v>79178043654</v>
      </c>
      <c r="G391">
        <v>159450285.44</v>
      </c>
      <c r="H391">
        <v>78308666530.75</v>
      </c>
      <c r="I391">
        <v>78828368176.460007</v>
      </c>
      <c r="J391">
        <v>0.10244399999999999</v>
      </c>
      <c r="K391">
        <v>2.8452000000000002E-2</v>
      </c>
      <c r="M391" t="s">
        <v>2</v>
      </c>
      <c r="N391">
        <v>4500</v>
      </c>
      <c r="O391">
        <v>96</v>
      </c>
      <c r="P391">
        <v>8540</v>
      </c>
      <c r="Q391">
        <v>0</v>
      </c>
      <c r="R391">
        <v>92469929429</v>
      </c>
      <c r="S391">
        <v>200345274.66</v>
      </c>
      <c r="T391">
        <v>91688120844.600006</v>
      </c>
      <c r="U391">
        <v>92201267679.679993</v>
      </c>
      <c r="V391">
        <v>7.2901999999999995E-2</v>
      </c>
      <c r="W391">
        <v>8.8299999999999993E-3</v>
      </c>
      <c r="Y391" t="s">
        <v>0</v>
      </c>
      <c r="Z391">
        <v>5500</v>
      </c>
      <c r="AA391">
        <v>96</v>
      </c>
      <c r="AB391">
        <v>11510</v>
      </c>
      <c r="AC391">
        <v>0</v>
      </c>
      <c r="AD391">
        <v>148986839382</v>
      </c>
      <c r="AE391">
        <v>279448020.64999998</v>
      </c>
      <c r="AF391">
        <v>147897284738</v>
      </c>
      <c r="AG391">
        <v>148540423728.48001</v>
      </c>
      <c r="AH391">
        <v>6.3333E-2</v>
      </c>
      <c r="AI391">
        <v>1.3365999999999999E-2</v>
      </c>
    </row>
    <row r="392" spans="1:35" x14ac:dyDescent="0.35">
      <c r="A392" t="s">
        <v>0</v>
      </c>
      <c r="B392">
        <v>5500</v>
      </c>
      <c r="C392">
        <v>96</v>
      </c>
      <c r="D392">
        <v>13150</v>
      </c>
      <c r="E392">
        <v>0</v>
      </c>
      <c r="F392">
        <v>172244584925</v>
      </c>
      <c r="G392">
        <v>323508389.36000001</v>
      </c>
      <c r="H392">
        <v>170711981188.42999</v>
      </c>
      <c r="I392">
        <v>171635677956.82999</v>
      </c>
      <c r="J392">
        <v>8.1058000000000005E-2</v>
      </c>
      <c r="K392">
        <v>1.9702999999999998E-2</v>
      </c>
      <c r="M392" t="s">
        <v>0</v>
      </c>
      <c r="N392">
        <v>3000</v>
      </c>
      <c r="O392">
        <v>96</v>
      </c>
      <c r="P392">
        <v>109</v>
      </c>
      <c r="Q392">
        <v>0</v>
      </c>
      <c r="R392">
        <v>1348873933</v>
      </c>
      <c r="S392">
        <v>3573609.64</v>
      </c>
      <c r="T392">
        <v>1339062650.3699999</v>
      </c>
      <c r="U392">
        <v>1345282207.3299999</v>
      </c>
      <c r="V392">
        <v>5.4101999999999997E-2</v>
      </c>
      <c r="W392">
        <v>1.6100000000000001E-4</v>
      </c>
      <c r="Y392" t="s">
        <v>1</v>
      </c>
      <c r="Z392">
        <v>2250</v>
      </c>
      <c r="AA392">
        <v>168</v>
      </c>
      <c r="AB392">
        <v>14</v>
      </c>
      <c r="AC392">
        <v>0</v>
      </c>
      <c r="AD392">
        <v>118728059</v>
      </c>
      <c r="AE392">
        <v>463927.79</v>
      </c>
      <c r="AF392">
        <v>118159158</v>
      </c>
      <c r="AG392">
        <v>118159158</v>
      </c>
      <c r="AH392">
        <v>1.0558E-2</v>
      </c>
      <c r="AI392">
        <v>1.0558E-2</v>
      </c>
    </row>
    <row r="393" spans="1:35" x14ac:dyDescent="0.35">
      <c r="A393" t="s">
        <v>1</v>
      </c>
      <c r="B393">
        <v>2250</v>
      </c>
      <c r="C393">
        <v>168</v>
      </c>
      <c r="D393">
        <v>14</v>
      </c>
      <c r="E393">
        <v>0</v>
      </c>
      <c r="F393">
        <v>118159158</v>
      </c>
      <c r="G393">
        <v>464377.47</v>
      </c>
      <c r="H393">
        <v>116768830.93000001</v>
      </c>
      <c r="I393">
        <v>117618318.7</v>
      </c>
      <c r="J393">
        <v>9.0088000000000001E-2</v>
      </c>
      <c r="K393">
        <v>7.7380000000000001E-3</v>
      </c>
      <c r="M393" t="s">
        <v>1</v>
      </c>
      <c r="N393">
        <v>3000</v>
      </c>
      <c r="O393">
        <v>96</v>
      </c>
      <c r="P393">
        <v>77</v>
      </c>
      <c r="Q393">
        <v>0</v>
      </c>
      <c r="R393">
        <v>1448458738</v>
      </c>
      <c r="S393">
        <v>3875570.92</v>
      </c>
      <c r="T393">
        <v>1434898264.23</v>
      </c>
      <c r="U393">
        <v>1443046405.9200001</v>
      </c>
      <c r="V393">
        <v>7.7350000000000002E-2</v>
      </c>
      <c r="W393">
        <v>1.2658000000000001E-2</v>
      </c>
      <c r="Y393" t="s">
        <v>2</v>
      </c>
      <c r="Z393">
        <v>3000</v>
      </c>
      <c r="AA393">
        <v>72</v>
      </c>
      <c r="AB393">
        <v>14105</v>
      </c>
      <c r="AC393">
        <v>0</v>
      </c>
      <c r="AD393">
        <v>223053846486</v>
      </c>
      <c r="AE393">
        <v>513670681.83999997</v>
      </c>
      <c r="AF393">
        <v>221748883931</v>
      </c>
      <c r="AG393">
        <v>222420956231.92999</v>
      </c>
      <c r="AH393">
        <v>4.1750000000000002E-2</v>
      </c>
      <c r="AI393">
        <v>6.3949999999999996E-3</v>
      </c>
    </row>
    <row r="394" spans="1:35" x14ac:dyDescent="0.35">
      <c r="A394" t="s">
        <v>2</v>
      </c>
      <c r="B394">
        <v>3000</v>
      </c>
      <c r="C394">
        <v>72</v>
      </c>
      <c r="D394">
        <v>15514</v>
      </c>
      <c r="E394">
        <v>0</v>
      </c>
      <c r="F394">
        <v>243955019708</v>
      </c>
      <c r="G394">
        <v>563257666.71000004</v>
      </c>
      <c r="H394">
        <v>242167815107.14001</v>
      </c>
      <c r="I394">
        <v>243299017298.63</v>
      </c>
      <c r="J394">
        <v>5.8570999999999998E-2</v>
      </c>
      <c r="K394">
        <v>4.5529999999999998E-3</v>
      </c>
      <c r="M394" t="s">
        <v>2</v>
      </c>
      <c r="N394">
        <v>3000</v>
      </c>
      <c r="O394">
        <v>96</v>
      </c>
      <c r="P394">
        <v>23</v>
      </c>
      <c r="Q394">
        <v>0</v>
      </c>
      <c r="R394">
        <v>245672687</v>
      </c>
      <c r="S394">
        <v>649809.5</v>
      </c>
      <c r="T394">
        <v>244175156.56</v>
      </c>
      <c r="U394">
        <v>245021669.62</v>
      </c>
      <c r="V394">
        <v>4.0629999999999999E-2</v>
      </c>
      <c r="W394">
        <v>5.8999999999999998E-5</v>
      </c>
      <c r="Y394" t="s">
        <v>0</v>
      </c>
      <c r="Z394">
        <v>3000</v>
      </c>
      <c r="AA394">
        <v>72</v>
      </c>
      <c r="AB394">
        <v>97293</v>
      </c>
      <c r="AC394">
        <v>0</v>
      </c>
      <c r="AD394">
        <v>2050646870918</v>
      </c>
      <c r="AE394">
        <v>4742272152.4300003</v>
      </c>
      <c r="AF394">
        <v>2038690154269</v>
      </c>
      <c r="AG394">
        <v>2045053748082.6201</v>
      </c>
      <c r="AH394">
        <v>4.1410000000000002E-2</v>
      </c>
      <c r="AI394">
        <v>4.9680000000000002E-3</v>
      </c>
    </row>
    <row r="395" spans="1:35" x14ac:dyDescent="0.35">
      <c r="A395" t="s">
        <v>0</v>
      </c>
      <c r="B395">
        <v>3000</v>
      </c>
      <c r="C395">
        <v>72</v>
      </c>
      <c r="D395">
        <v>113269</v>
      </c>
      <c r="E395">
        <v>0</v>
      </c>
      <c r="F395">
        <v>2374253684876</v>
      </c>
      <c r="G395">
        <v>5504091223.5100002</v>
      </c>
      <c r="H395">
        <v>2357631848905.6602</v>
      </c>
      <c r="I395">
        <v>2367868491849.4102</v>
      </c>
      <c r="J395">
        <v>5.4767000000000003E-2</v>
      </c>
      <c r="K395">
        <v>4.444E-3</v>
      </c>
      <c r="M395" t="s">
        <v>0</v>
      </c>
      <c r="N395">
        <v>5000</v>
      </c>
      <c r="O395">
        <v>96</v>
      </c>
      <c r="P395">
        <v>26956</v>
      </c>
      <c r="Q395">
        <v>0</v>
      </c>
      <c r="R395">
        <v>372936019418</v>
      </c>
      <c r="S395">
        <v>748679192.76999998</v>
      </c>
      <c r="T395">
        <v>369575928348.03003</v>
      </c>
      <c r="U395">
        <v>371761466421.69</v>
      </c>
      <c r="V395">
        <v>8.0865999999999993E-2</v>
      </c>
      <c r="W395">
        <v>1.3618E-2</v>
      </c>
      <c r="Y395" t="s">
        <v>1</v>
      </c>
      <c r="Z395">
        <v>3000</v>
      </c>
      <c r="AA395">
        <v>72</v>
      </c>
      <c r="AB395">
        <v>85071</v>
      </c>
      <c r="AC395">
        <v>0</v>
      </c>
      <c r="AD395">
        <v>2137137276584</v>
      </c>
      <c r="AE395">
        <v>4971951918.9399996</v>
      </c>
      <c r="AF395">
        <v>2123576393612</v>
      </c>
      <c r="AG395">
        <v>2130083087253.0601</v>
      </c>
      <c r="AH395">
        <v>4.7175000000000002E-2</v>
      </c>
      <c r="AI395">
        <v>1.1629E-2</v>
      </c>
    </row>
    <row r="396" spans="1:35" x14ac:dyDescent="0.35">
      <c r="A396" t="s">
        <v>1</v>
      </c>
      <c r="B396">
        <v>3000</v>
      </c>
      <c r="C396">
        <v>72</v>
      </c>
      <c r="D396">
        <v>90432</v>
      </c>
      <c r="E396">
        <v>0</v>
      </c>
      <c r="F396">
        <v>2259915251393</v>
      </c>
      <c r="G396">
        <v>5273533412.9899998</v>
      </c>
      <c r="H396">
        <v>2241747582378.29</v>
      </c>
      <c r="I396">
        <v>2253491891987.8701</v>
      </c>
      <c r="J396">
        <v>6.6359000000000001E-2</v>
      </c>
      <c r="K396">
        <v>6.0879999999999997E-3</v>
      </c>
      <c r="M396" t="s">
        <v>2</v>
      </c>
      <c r="N396">
        <v>5000</v>
      </c>
      <c r="O396">
        <v>96</v>
      </c>
      <c r="P396">
        <v>4148</v>
      </c>
      <c r="Q396">
        <v>0</v>
      </c>
      <c r="R396">
        <v>44164810422</v>
      </c>
      <c r="S396">
        <v>88025624.859999999</v>
      </c>
      <c r="T396">
        <v>43774452490.099998</v>
      </c>
      <c r="U396">
        <v>44040504776.459999</v>
      </c>
      <c r="V396">
        <v>7.9122999999999999E-2</v>
      </c>
      <c r="W396">
        <v>9.8130000000000005E-3</v>
      </c>
      <c r="Y396" t="s">
        <v>2</v>
      </c>
      <c r="Z396">
        <v>2250</v>
      </c>
      <c r="AA396">
        <v>168</v>
      </c>
      <c r="AB396">
        <v>1</v>
      </c>
      <c r="AC396">
        <v>0</v>
      </c>
      <c r="AD396">
        <v>4427286</v>
      </c>
      <c r="AE396">
        <v>17222.919999999998</v>
      </c>
      <c r="AF396">
        <v>4427286</v>
      </c>
      <c r="AG396">
        <v>4427286</v>
      </c>
      <c r="AH396">
        <v>-4.7694E-2</v>
      </c>
      <c r="AI396">
        <v>-4.7694E-2</v>
      </c>
    </row>
    <row r="397" spans="1:35" x14ac:dyDescent="0.35">
      <c r="A397" t="s">
        <v>2</v>
      </c>
      <c r="B397">
        <v>2250</v>
      </c>
      <c r="C397">
        <v>168</v>
      </c>
      <c r="D397">
        <v>1</v>
      </c>
      <c r="E397">
        <v>0</v>
      </c>
      <c r="F397">
        <v>4427286</v>
      </c>
      <c r="G397">
        <v>17322.599999999999</v>
      </c>
      <c r="H397">
        <v>4386926.08</v>
      </c>
      <c r="I397">
        <v>4409963.03</v>
      </c>
      <c r="J397">
        <v>6.0685000000000003E-2</v>
      </c>
      <c r="K397">
        <v>9.9999999999999995E-7</v>
      </c>
      <c r="M397" t="s">
        <v>1</v>
      </c>
      <c r="N397">
        <v>5000</v>
      </c>
      <c r="O397">
        <v>96</v>
      </c>
      <c r="P397">
        <v>3622</v>
      </c>
      <c r="Q397">
        <v>0</v>
      </c>
      <c r="R397">
        <v>53907848126</v>
      </c>
      <c r="S397">
        <v>107852185.73</v>
      </c>
      <c r="T397">
        <v>53216650124.760002</v>
      </c>
      <c r="U397">
        <v>53676207148.540001</v>
      </c>
      <c r="V397">
        <v>0.12239800000000001</v>
      </c>
      <c r="W397">
        <v>2.7210000000000002E-2</v>
      </c>
      <c r="Y397" t="s">
        <v>2</v>
      </c>
      <c r="Z397">
        <v>4500</v>
      </c>
      <c r="AA397">
        <v>84</v>
      </c>
      <c r="AB397">
        <v>5197</v>
      </c>
      <c r="AC397">
        <v>0</v>
      </c>
      <c r="AD397">
        <v>59928201701</v>
      </c>
      <c r="AE397">
        <v>120923463.36</v>
      </c>
      <c r="AF397">
        <v>59458841486</v>
      </c>
      <c r="AG397">
        <v>59733636013.919998</v>
      </c>
      <c r="AH397">
        <v>6.7582000000000003E-2</v>
      </c>
      <c r="AI397">
        <v>1.4647E-2</v>
      </c>
    </row>
    <row r="398" spans="1:35" x14ac:dyDescent="0.35">
      <c r="A398" t="s">
        <v>2</v>
      </c>
      <c r="B398">
        <v>4000</v>
      </c>
      <c r="C398">
        <v>84</v>
      </c>
      <c r="D398">
        <v>7078</v>
      </c>
      <c r="E398">
        <v>0</v>
      </c>
      <c r="F398">
        <v>90808578964</v>
      </c>
      <c r="G398">
        <v>194277846.25</v>
      </c>
      <c r="H398">
        <v>90056688157.910004</v>
      </c>
      <c r="I398">
        <v>90559114960.259995</v>
      </c>
      <c r="J398">
        <v>7.1248000000000006E-2</v>
      </c>
      <c r="K398">
        <v>7.2680000000000002E-3</v>
      </c>
      <c r="M398" t="s">
        <v>0</v>
      </c>
      <c r="N398">
        <v>5500</v>
      </c>
      <c r="O398">
        <v>96</v>
      </c>
      <c r="P398">
        <v>8997</v>
      </c>
      <c r="Q398">
        <v>0</v>
      </c>
      <c r="R398">
        <v>115765273576</v>
      </c>
      <c r="S398">
        <v>216094517.78</v>
      </c>
      <c r="T398">
        <v>114590548819.74001</v>
      </c>
      <c r="U398">
        <v>115278182053.60001</v>
      </c>
      <c r="V398">
        <v>9.4966999999999996E-2</v>
      </c>
      <c r="W398">
        <v>2.7732E-2</v>
      </c>
      <c r="Y398" t="s">
        <v>0</v>
      </c>
      <c r="Z398">
        <v>4500</v>
      </c>
      <c r="AA398">
        <v>84</v>
      </c>
      <c r="AB398">
        <v>29548</v>
      </c>
      <c r="AC398">
        <v>0</v>
      </c>
      <c r="AD398">
        <v>454243618369</v>
      </c>
      <c r="AE398">
        <v>915039169.77999997</v>
      </c>
      <c r="AF398">
        <v>450461523902</v>
      </c>
      <c r="AG398">
        <v>452512188462</v>
      </c>
      <c r="AH398">
        <v>7.3165999999999995E-2</v>
      </c>
      <c r="AI398">
        <v>2.1354999999999999E-2</v>
      </c>
    </row>
    <row r="399" spans="1:35" x14ac:dyDescent="0.35">
      <c r="A399" t="s">
        <v>0</v>
      </c>
      <c r="B399">
        <v>4000</v>
      </c>
      <c r="C399">
        <v>84</v>
      </c>
      <c r="D399">
        <v>41258</v>
      </c>
      <c r="E399">
        <v>0</v>
      </c>
      <c r="F399">
        <v>709042626803</v>
      </c>
      <c r="G399">
        <v>1517194939.4100001</v>
      </c>
      <c r="H399">
        <v>703353608730.91003</v>
      </c>
      <c r="I399">
        <v>706951059060.66003</v>
      </c>
      <c r="J399">
        <v>6.8363999999999994E-2</v>
      </c>
      <c r="K399">
        <v>9.6780000000000008E-3</v>
      </c>
      <c r="M399" t="s">
        <v>1</v>
      </c>
      <c r="N399">
        <v>2250</v>
      </c>
      <c r="O399">
        <v>168</v>
      </c>
      <c r="P399">
        <v>14</v>
      </c>
      <c r="Q399">
        <v>0</v>
      </c>
      <c r="R399">
        <v>119701755</v>
      </c>
      <c r="S399">
        <v>462394.04</v>
      </c>
      <c r="T399">
        <v>118603745.39</v>
      </c>
      <c r="U399">
        <v>119172363.22</v>
      </c>
      <c r="V399">
        <v>6.1892000000000003E-2</v>
      </c>
      <c r="W399">
        <v>6.6959999999999997E-3</v>
      </c>
      <c r="Y399" t="s">
        <v>2</v>
      </c>
      <c r="Z399">
        <v>4000</v>
      </c>
      <c r="AA399">
        <v>84</v>
      </c>
      <c r="AB399">
        <v>6221</v>
      </c>
      <c r="AC399">
        <v>0</v>
      </c>
      <c r="AD399">
        <v>80183371143</v>
      </c>
      <c r="AE399">
        <v>171090159.09999999</v>
      </c>
      <c r="AF399">
        <v>79640415916</v>
      </c>
      <c r="AG399">
        <v>79940363797.139999</v>
      </c>
      <c r="AH399">
        <v>5.4253999999999997E-2</v>
      </c>
      <c r="AI399">
        <v>1.0710000000000001E-2</v>
      </c>
    </row>
    <row r="400" spans="1:35" x14ac:dyDescent="0.35">
      <c r="A400" t="s">
        <v>2</v>
      </c>
      <c r="B400">
        <v>4500</v>
      </c>
      <c r="C400">
        <v>84</v>
      </c>
      <c r="D400">
        <v>5091</v>
      </c>
      <c r="E400">
        <v>0</v>
      </c>
      <c r="F400">
        <v>58214693034</v>
      </c>
      <c r="G400">
        <v>117865852.11</v>
      </c>
      <c r="H400">
        <v>57732283909.190002</v>
      </c>
      <c r="I400">
        <v>58048511616.910004</v>
      </c>
      <c r="J400">
        <v>7.2609999999999994E-2</v>
      </c>
      <c r="K400">
        <v>9.9139999999999992E-3</v>
      </c>
      <c r="M400" t="s">
        <v>2</v>
      </c>
      <c r="N400">
        <v>3000</v>
      </c>
      <c r="O400">
        <v>72</v>
      </c>
      <c r="P400">
        <v>9867</v>
      </c>
      <c r="Q400">
        <v>0</v>
      </c>
      <c r="R400">
        <v>159724505495</v>
      </c>
      <c r="S400">
        <v>366596693.01999998</v>
      </c>
      <c r="T400">
        <v>158470820273.47</v>
      </c>
      <c r="U400">
        <v>159301242119.38</v>
      </c>
      <c r="V400">
        <v>6.4647999999999997E-2</v>
      </c>
      <c r="W400">
        <v>4.2490000000000002E-3</v>
      </c>
      <c r="Y400" t="s">
        <v>0</v>
      </c>
      <c r="Z400">
        <v>4000</v>
      </c>
      <c r="AA400">
        <v>84</v>
      </c>
      <c r="AB400">
        <v>35458</v>
      </c>
      <c r="AC400">
        <v>0</v>
      </c>
      <c r="AD400">
        <v>616357070504</v>
      </c>
      <c r="AE400">
        <v>1315748131.29</v>
      </c>
      <c r="AF400">
        <v>612176017114</v>
      </c>
      <c r="AG400">
        <v>614615110556.20996</v>
      </c>
      <c r="AH400">
        <v>5.4380999999999999E-2</v>
      </c>
      <c r="AI400">
        <v>8.267E-3</v>
      </c>
    </row>
    <row r="401" spans="1:35" x14ac:dyDescent="0.35">
      <c r="A401" t="s">
        <v>0</v>
      </c>
      <c r="B401">
        <v>4500</v>
      </c>
      <c r="C401">
        <v>84</v>
      </c>
      <c r="D401">
        <v>30082</v>
      </c>
      <c r="E401">
        <v>0</v>
      </c>
      <c r="F401">
        <v>463109948145</v>
      </c>
      <c r="G401">
        <v>935689089.16999996</v>
      </c>
      <c r="H401">
        <v>459168587335.03998</v>
      </c>
      <c r="I401">
        <v>461546171269.07001</v>
      </c>
      <c r="J401">
        <v>7.5161000000000006E-2</v>
      </c>
      <c r="K401">
        <v>1.6154000000000002E-2</v>
      </c>
      <c r="M401" t="s">
        <v>2</v>
      </c>
      <c r="N401">
        <v>3000</v>
      </c>
      <c r="O401">
        <v>60</v>
      </c>
      <c r="P401">
        <v>10741</v>
      </c>
      <c r="Q401">
        <v>0</v>
      </c>
      <c r="R401">
        <v>162476103853</v>
      </c>
      <c r="S401">
        <v>363971187.73000002</v>
      </c>
      <c r="T401">
        <v>161178099272.38</v>
      </c>
      <c r="U401">
        <v>162029110875.31</v>
      </c>
      <c r="V401">
        <v>6.6845000000000002E-2</v>
      </c>
      <c r="W401">
        <v>6.1149999999999998E-3</v>
      </c>
      <c r="Y401" t="s">
        <v>0</v>
      </c>
      <c r="Z401">
        <v>3500</v>
      </c>
      <c r="AA401">
        <v>84</v>
      </c>
      <c r="AB401">
        <v>23240</v>
      </c>
      <c r="AC401">
        <v>0</v>
      </c>
      <c r="AD401">
        <v>455090219271</v>
      </c>
      <c r="AE401">
        <v>1029868407.9299999</v>
      </c>
      <c r="AF401">
        <v>452502006220</v>
      </c>
      <c r="AG401">
        <v>453872806142.27002</v>
      </c>
      <c r="AH401">
        <v>4.0326000000000001E-2</v>
      </c>
      <c r="AI401">
        <v>4.934E-3</v>
      </c>
    </row>
    <row r="402" spans="1:35" x14ac:dyDescent="0.35">
      <c r="A402" t="s">
        <v>0</v>
      </c>
      <c r="B402">
        <v>3500</v>
      </c>
      <c r="C402">
        <v>84</v>
      </c>
      <c r="D402">
        <v>29922</v>
      </c>
      <c r="E402">
        <v>0</v>
      </c>
      <c r="F402">
        <v>583574230550</v>
      </c>
      <c r="G402">
        <v>1323926871.75</v>
      </c>
      <c r="H402">
        <v>579247526745.15002</v>
      </c>
      <c r="I402">
        <v>581972136644.73999</v>
      </c>
      <c r="J402">
        <v>6.0027999999999998E-2</v>
      </c>
      <c r="K402">
        <v>5.705E-3</v>
      </c>
      <c r="M402" t="s">
        <v>0</v>
      </c>
      <c r="N402">
        <v>3000</v>
      </c>
      <c r="O402">
        <v>72</v>
      </c>
      <c r="P402">
        <v>61668</v>
      </c>
      <c r="Q402">
        <v>0</v>
      </c>
      <c r="R402">
        <v>1310168598313</v>
      </c>
      <c r="S402">
        <v>3029148643.1700001</v>
      </c>
      <c r="T402">
        <v>1300262240894.6001</v>
      </c>
      <c r="U402">
        <v>1306810614810.51</v>
      </c>
      <c r="V402">
        <v>6.1201999999999999E-2</v>
      </c>
      <c r="W402">
        <v>3.0079999999999998E-3</v>
      </c>
      <c r="Y402" t="s">
        <v>2</v>
      </c>
      <c r="Z402">
        <v>3500</v>
      </c>
      <c r="AA402">
        <v>84</v>
      </c>
      <c r="AB402">
        <v>3763</v>
      </c>
      <c r="AC402">
        <v>0</v>
      </c>
      <c r="AD402">
        <v>54540325827</v>
      </c>
      <c r="AE402">
        <v>123360343.15000001</v>
      </c>
      <c r="AF402">
        <v>54273512362</v>
      </c>
      <c r="AG402">
        <v>54404629413.519997</v>
      </c>
      <c r="AH402">
        <v>3.1109999999999999E-2</v>
      </c>
      <c r="AI402">
        <v>2.7109999999999999E-3</v>
      </c>
    </row>
    <row r="403" spans="1:35" x14ac:dyDescent="0.35">
      <c r="A403" t="s">
        <v>2</v>
      </c>
      <c r="B403">
        <v>3500</v>
      </c>
      <c r="C403">
        <v>84</v>
      </c>
      <c r="D403">
        <v>4807</v>
      </c>
      <c r="E403">
        <v>0</v>
      </c>
      <c r="F403">
        <v>69654628444</v>
      </c>
      <c r="G403">
        <v>157931555.63999999</v>
      </c>
      <c r="H403">
        <v>69148225830.300003</v>
      </c>
      <c r="I403">
        <v>69474251737.830002</v>
      </c>
      <c r="J403">
        <v>5.8409000000000003E-2</v>
      </c>
      <c r="K403">
        <v>3.8600000000000001E-3</v>
      </c>
      <c r="M403" t="s">
        <v>0</v>
      </c>
      <c r="N403">
        <v>3000</v>
      </c>
      <c r="O403">
        <v>60</v>
      </c>
      <c r="P403">
        <v>109096</v>
      </c>
      <c r="Q403">
        <v>0</v>
      </c>
      <c r="R403">
        <v>2224419017084</v>
      </c>
      <c r="S403">
        <v>5026144850.3599997</v>
      </c>
      <c r="T403">
        <v>2207414069193.4102</v>
      </c>
      <c r="U403">
        <v>2218465975967.3398</v>
      </c>
      <c r="V403">
        <v>6.2742000000000006E-2</v>
      </c>
      <c r="W403">
        <v>4.9890000000000004E-3</v>
      </c>
      <c r="Y403" t="s">
        <v>1</v>
      </c>
      <c r="Z403">
        <v>3500</v>
      </c>
      <c r="AA403">
        <v>84</v>
      </c>
      <c r="AB403">
        <v>19641</v>
      </c>
      <c r="AC403">
        <v>0</v>
      </c>
      <c r="AD403">
        <v>442626112203</v>
      </c>
      <c r="AE403">
        <v>1003721689.75</v>
      </c>
      <c r="AF403">
        <v>439214832002</v>
      </c>
      <c r="AG403">
        <v>441115780326.48999</v>
      </c>
      <c r="AH403">
        <v>6.3353000000000007E-2</v>
      </c>
      <c r="AI403">
        <v>1.3649E-2</v>
      </c>
    </row>
    <row r="404" spans="1:35" x14ac:dyDescent="0.35">
      <c r="A404" t="s">
        <v>1</v>
      </c>
      <c r="B404">
        <v>3500</v>
      </c>
      <c r="C404">
        <v>84</v>
      </c>
      <c r="D404">
        <v>24560</v>
      </c>
      <c r="E404">
        <v>0</v>
      </c>
      <c r="F404">
        <v>549361439985</v>
      </c>
      <c r="G404">
        <v>1249314037.0899999</v>
      </c>
      <c r="H404">
        <v>544675767050.66998</v>
      </c>
      <c r="I404">
        <v>547858457190.23999</v>
      </c>
      <c r="J404">
        <v>7.2533E-2</v>
      </c>
      <c r="K404">
        <v>5.5269999999999998E-3</v>
      </c>
      <c r="M404" t="s">
        <v>1</v>
      </c>
      <c r="N404">
        <v>3000</v>
      </c>
      <c r="O404">
        <v>72</v>
      </c>
      <c r="P404">
        <v>70630</v>
      </c>
      <c r="Q404">
        <v>0</v>
      </c>
      <c r="R404">
        <v>1788158415304</v>
      </c>
      <c r="S404">
        <v>4145040945.8200002</v>
      </c>
      <c r="T404">
        <v>1773473066683.28</v>
      </c>
      <c r="U404">
        <v>1783221783381.45</v>
      </c>
      <c r="V404">
        <v>6.8485000000000004E-2</v>
      </c>
      <c r="W404">
        <v>5.2989999999999999E-3</v>
      </c>
      <c r="Y404" t="s">
        <v>0</v>
      </c>
      <c r="Z404">
        <v>2250</v>
      </c>
      <c r="AA404">
        <v>168</v>
      </c>
      <c r="AB404">
        <v>10</v>
      </c>
      <c r="AC404">
        <v>0</v>
      </c>
      <c r="AD404">
        <v>84870986</v>
      </c>
      <c r="AE404">
        <v>325706.88</v>
      </c>
      <c r="AF404">
        <v>84520258</v>
      </c>
      <c r="AG404">
        <v>84520258</v>
      </c>
      <c r="AH404">
        <v>3.532E-3</v>
      </c>
      <c r="AI404">
        <v>3.532E-3</v>
      </c>
    </row>
    <row r="405" spans="1:35" x14ac:dyDescent="0.35">
      <c r="A405" t="s">
        <v>0</v>
      </c>
      <c r="B405">
        <v>2250</v>
      </c>
      <c r="C405">
        <v>168</v>
      </c>
      <c r="D405">
        <v>12</v>
      </c>
      <c r="E405">
        <v>0</v>
      </c>
      <c r="F405">
        <v>114267648</v>
      </c>
      <c r="G405">
        <v>438684.9</v>
      </c>
      <c r="H405">
        <v>113482668.25</v>
      </c>
      <c r="I405">
        <v>113828817.11</v>
      </c>
      <c r="J405">
        <v>3.5767E-2</v>
      </c>
      <c r="K405">
        <v>1.5E-5</v>
      </c>
      <c r="M405" t="s">
        <v>1</v>
      </c>
      <c r="N405">
        <v>3000</v>
      </c>
      <c r="O405">
        <v>60</v>
      </c>
      <c r="P405">
        <v>42626</v>
      </c>
      <c r="Q405">
        <v>0</v>
      </c>
      <c r="R405">
        <v>1024970449445</v>
      </c>
      <c r="S405">
        <v>2328087607.4000001</v>
      </c>
      <c r="T405">
        <v>1015732299470.5601</v>
      </c>
      <c r="U405">
        <v>1021684515433.63</v>
      </c>
      <c r="V405">
        <v>7.7966999999999995E-2</v>
      </c>
      <c r="W405">
        <v>1.1157E-2</v>
      </c>
      <c r="Y405" t="s">
        <v>2</v>
      </c>
      <c r="Z405">
        <v>4750</v>
      </c>
      <c r="AA405">
        <v>168</v>
      </c>
      <c r="AB405">
        <v>2039</v>
      </c>
      <c r="AC405">
        <v>0</v>
      </c>
      <c r="AD405">
        <v>16823275214</v>
      </c>
      <c r="AE405">
        <v>50507099.590000004</v>
      </c>
      <c r="AF405">
        <v>16728648556</v>
      </c>
      <c r="AG405">
        <v>16757970043.4</v>
      </c>
      <c r="AH405">
        <v>3.1019999999999999E-2</v>
      </c>
      <c r="AI405">
        <v>1.0505E-2</v>
      </c>
    </row>
    <row r="406" spans="1:35" x14ac:dyDescent="0.35">
      <c r="A406" t="s">
        <v>2</v>
      </c>
      <c r="B406">
        <v>4750</v>
      </c>
      <c r="C406">
        <v>168</v>
      </c>
      <c r="D406">
        <v>2525</v>
      </c>
      <c r="E406">
        <v>0</v>
      </c>
      <c r="F406">
        <v>20532948688</v>
      </c>
      <c r="G406">
        <v>61824175.909999996</v>
      </c>
      <c r="H406">
        <v>20362061225.84</v>
      </c>
      <c r="I406">
        <v>20461218335.919998</v>
      </c>
      <c r="J406">
        <v>6.191E-2</v>
      </c>
      <c r="K406">
        <v>5.7739999999999996E-3</v>
      </c>
      <c r="M406" t="s">
        <v>2</v>
      </c>
      <c r="N406">
        <v>2250</v>
      </c>
      <c r="O406">
        <v>168</v>
      </c>
      <c r="P406">
        <v>1</v>
      </c>
      <c r="Q406">
        <v>0</v>
      </c>
      <c r="R406">
        <v>4464327</v>
      </c>
      <c r="S406">
        <v>17168.87</v>
      </c>
      <c r="T406">
        <v>4394241.79</v>
      </c>
      <c r="U406">
        <v>4447158.07</v>
      </c>
      <c r="V406">
        <v>0.133322</v>
      </c>
      <c r="W406">
        <v>0</v>
      </c>
      <c r="Y406" t="s">
        <v>0</v>
      </c>
      <c r="Z406">
        <v>4750</v>
      </c>
      <c r="AA406">
        <v>144</v>
      </c>
      <c r="AB406">
        <v>31842</v>
      </c>
      <c r="AC406">
        <v>0</v>
      </c>
      <c r="AD406">
        <v>279512880948</v>
      </c>
      <c r="AE406">
        <v>778598693.85000002</v>
      </c>
      <c r="AF406">
        <v>277402667058</v>
      </c>
      <c r="AG406">
        <v>278337187982.75</v>
      </c>
      <c r="AH406">
        <v>5.5694E-2</v>
      </c>
      <c r="AI406">
        <v>1.6914999999999999E-2</v>
      </c>
    </row>
    <row r="407" spans="1:35" x14ac:dyDescent="0.35">
      <c r="A407" t="s">
        <v>0</v>
      </c>
      <c r="B407">
        <v>4250</v>
      </c>
      <c r="C407">
        <v>144</v>
      </c>
      <c r="D407">
        <v>81303</v>
      </c>
      <c r="E407">
        <v>0</v>
      </c>
      <c r="F407">
        <v>846355139238</v>
      </c>
      <c r="G407">
        <v>2422645797.6599998</v>
      </c>
      <c r="H407">
        <v>839568182697.46997</v>
      </c>
      <c r="I407">
        <v>843384462184.20996</v>
      </c>
      <c r="J407">
        <v>6.0153999999999999E-2</v>
      </c>
      <c r="K407">
        <v>7.7429999999999999E-3</v>
      </c>
      <c r="M407" t="s">
        <v>0</v>
      </c>
      <c r="N407">
        <v>4000</v>
      </c>
      <c r="O407">
        <v>84</v>
      </c>
      <c r="P407">
        <v>25286</v>
      </c>
      <c r="Q407">
        <v>0</v>
      </c>
      <c r="R407">
        <v>451161183804</v>
      </c>
      <c r="S407">
        <v>958805839.25999999</v>
      </c>
      <c r="T407">
        <v>447446815080.51001</v>
      </c>
      <c r="U407">
        <v>449892320461.01001</v>
      </c>
      <c r="V407">
        <v>7.0879999999999999E-2</v>
      </c>
      <c r="W407">
        <v>8.2159999999999993E-3</v>
      </c>
      <c r="Y407" t="s">
        <v>2</v>
      </c>
      <c r="Z407">
        <v>4250</v>
      </c>
      <c r="AA407">
        <v>144</v>
      </c>
      <c r="AB407">
        <v>18281</v>
      </c>
      <c r="AC407">
        <v>0</v>
      </c>
      <c r="AD407">
        <v>165477511234</v>
      </c>
      <c r="AE407">
        <v>481536215.64999998</v>
      </c>
      <c r="AF407">
        <v>164046599765</v>
      </c>
      <c r="AG407">
        <v>164832313814.14999</v>
      </c>
      <c r="AH407">
        <v>6.6714999999999997E-2</v>
      </c>
      <c r="AI407">
        <v>1.1804E-2</v>
      </c>
    </row>
    <row r="408" spans="1:35" x14ac:dyDescent="0.35">
      <c r="A408" t="s">
        <v>2</v>
      </c>
      <c r="B408">
        <v>4250</v>
      </c>
      <c r="C408">
        <v>144</v>
      </c>
      <c r="D408">
        <v>17841</v>
      </c>
      <c r="E408">
        <v>0</v>
      </c>
      <c r="F408">
        <v>160565220223</v>
      </c>
      <c r="G408">
        <v>467892100.68000001</v>
      </c>
      <c r="H408">
        <v>159220254394.38</v>
      </c>
      <c r="I408">
        <v>160023670539.54999</v>
      </c>
      <c r="J408">
        <v>6.3615000000000005E-2</v>
      </c>
      <c r="K408">
        <v>5.4910000000000002E-3</v>
      </c>
      <c r="M408" t="s">
        <v>2</v>
      </c>
      <c r="N408">
        <v>4000</v>
      </c>
      <c r="O408">
        <v>84</v>
      </c>
      <c r="P408">
        <v>4359</v>
      </c>
      <c r="Q408">
        <v>0</v>
      </c>
      <c r="R408">
        <v>57776368219</v>
      </c>
      <c r="S408">
        <v>122934669.48</v>
      </c>
      <c r="T408">
        <v>57295343998.809998</v>
      </c>
      <c r="U408">
        <v>57621201915.279999</v>
      </c>
      <c r="V408">
        <v>7.1890999999999997E-2</v>
      </c>
      <c r="W408">
        <v>6.6740000000000002E-3</v>
      </c>
      <c r="Y408" t="s">
        <v>2</v>
      </c>
      <c r="Z408">
        <v>2500</v>
      </c>
      <c r="AA408">
        <v>144</v>
      </c>
      <c r="AB408">
        <v>1</v>
      </c>
      <c r="AC408">
        <v>0</v>
      </c>
      <c r="AD408">
        <v>13312406</v>
      </c>
      <c r="AE408">
        <v>48864.06</v>
      </c>
      <c r="AF408">
        <v>13259584</v>
      </c>
      <c r="AG408">
        <v>13259584</v>
      </c>
      <c r="AH408">
        <v>3.5620000000000001E-3</v>
      </c>
      <c r="AI408">
        <v>3.5620000000000001E-3</v>
      </c>
    </row>
    <row r="409" spans="1:35" x14ac:dyDescent="0.35">
      <c r="A409" t="s">
        <v>0</v>
      </c>
      <c r="B409">
        <v>3250</v>
      </c>
      <c r="C409">
        <v>144</v>
      </c>
      <c r="D409">
        <v>6693</v>
      </c>
      <c r="E409">
        <v>0</v>
      </c>
      <c r="F409">
        <v>83691553166</v>
      </c>
      <c r="G409">
        <v>260240604.27000001</v>
      </c>
      <c r="H409">
        <v>83059551724.949997</v>
      </c>
      <c r="I409">
        <v>83406864213.440002</v>
      </c>
      <c r="J409">
        <v>5.2020999999999998E-2</v>
      </c>
      <c r="K409">
        <v>3.5000000000000001E-3</v>
      </c>
      <c r="M409" t="s">
        <v>2</v>
      </c>
      <c r="N409">
        <v>4500</v>
      </c>
      <c r="O409">
        <v>84</v>
      </c>
      <c r="P409">
        <v>5952</v>
      </c>
      <c r="Q409">
        <v>0</v>
      </c>
      <c r="R409">
        <v>69919261338</v>
      </c>
      <c r="S409">
        <v>140751488.63</v>
      </c>
      <c r="T409">
        <v>69333691968.050003</v>
      </c>
      <c r="U409">
        <v>69725883130.25</v>
      </c>
      <c r="V409">
        <v>7.3727000000000001E-2</v>
      </c>
      <c r="W409">
        <v>8.9949999999999995E-3</v>
      </c>
      <c r="Y409" t="s">
        <v>0</v>
      </c>
      <c r="Z409">
        <v>4250</v>
      </c>
      <c r="AA409">
        <v>144</v>
      </c>
      <c r="AB409">
        <v>80492</v>
      </c>
      <c r="AC409">
        <v>0</v>
      </c>
      <c r="AD409">
        <v>835911309519</v>
      </c>
      <c r="AE409">
        <v>2392278183.6300001</v>
      </c>
      <c r="AF409">
        <v>829714020302</v>
      </c>
      <c r="AG409">
        <v>832623486307.68994</v>
      </c>
      <c r="AH409">
        <v>5.3275999999999997E-2</v>
      </c>
      <c r="AI409">
        <v>1.2781000000000001E-2</v>
      </c>
    </row>
    <row r="410" spans="1:35" x14ac:dyDescent="0.35">
      <c r="A410" t="s">
        <v>2</v>
      </c>
      <c r="B410">
        <v>3250</v>
      </c>
      <c r="C410">
        <v>144</v>
      </c>
      <c r="D410">
        <v>1440</v>
      </c>
      <c r="E410">
        <v>0</v>
      </c>
      <c r="F410">
        <v>15233298414</v>
      </c>
      <c r="G410">
        <v>47369141.780000001</v>
      </c>
      <c r="H410">
        <v>15120144411.549999</v>
      </c>
      <c r="I410">
        <v>15183582249.540001</v>
      </c>
      <c r="J410">
        <v>5.0609000000000001E-2</v>
      </c>
      <c r="K410">
        <v>1.8469999999999999E-3</v>
      </c>
      <c r="M410" t="s">
        <v>0</v>
      </c>
      <c r="N410">
        <v>4500</v>
      </c>
      <c r="O410">
        <v>84</v>
      </c>
      <c r="P410">
        <v>30281</v>
      </c>
      <c r="Q410">
        <v>0</v>
      </c>
      <c r="R410">
        <v>469549501640</v>
      </c>
      <c r="S410">
        <v>944477826.26999998</v>
      </c>
      <c r="T410">
        <v>465610434782.97998</v>
      </c>
      <c r="U410">
        <v>468098422168.28998</v>
      </c>
      <c r="V410">
        <v>7.3902999999999996E-2</v>
      </c>
      <c r="W410">
        <v>1.2869999999999999E-2</v>
      </c>
      <c r="Y410" t="s">
        <v>0</v>
      </c>
      <c r="Z410">
        <v>2500</v>
      </c>
      <c r="AA410">
        <v>144</v>
      </c>
      <c r="AB410">
        <v>21</v>
      </c>
      <c r="AC410">
        <v>0</v>
      </c>
      <c r="AD410">
        <v>199891722</v>
      </c>
      <c r="AE410">
        <v>688763.43</v>
      </c>
      <c r="AF410">
        <v>199006246</v>
      </c>
      <c r="AG410">
        <v>199006246</v>
      </c>
      <c r="AH410">
        <v>1.1745E-2</v>
      </c>
      <c r="AI410">
        <v>1.1745E-2</v>
      </c>
    </row>
    <row r="411" spans="1:35" x14ac:dyDescent="0.35">
      <c r="A411" t="s">
        <v>0</v>
      </c>
      <c r="B411">
        <v>4750</v>
      </c>
      <c r="C411">
        <v>144</v>
      </c>
      <c r="D411">
        <v>30616</v>
      </c>
      <c r="E411">
        <v>0</v>
      </c>
      <c r="F411">
        <v>269285506022</v>
      </c>
      <c r="G411">
        <v>751091998.39999998</v>
      </c>
      <c r="H411">
        <v>266969677753.28</v>
      </c>
      <c r="I411">
        <v>268293914316.35001</v>
      </c>
      <c r="J411">
        <v>6.7543000000000006E-2</v>
      </c>
      <c r="K411">
        <v>1.0664999999999999E-2</v>
      </c>
      <c r="M411" t="s">
        <v>0</v>
      </c>
      <c r="N411">
        <v>3500</v>
      </c>
      <c r="O411">
        <v>84</v>
      </c>
      <c r="P411">
        <v>9520</v>
      </c>
      <c r="Q411">
        <v>0</v>
      </c>
      <c r="R411">
        <v>186214575806</v>
      </c>
      <c r="S411">
        <v>420050242.50999999</v>
      </c>
      <c r="T411">
        <v>184804888385.98999</v>
      </c>
      <c r="U411">
        <v>185722265355.79001</v>
      </c>
      <c r="V411">
        <v>6.1942999999999998E-2</v>
      </c>
      <c r="W411">
        <v>4.6470000000000001E-3</v>
      </c>
      <c r="Y411" t="s">
        <v>1</v>
      </c>
      <c r="Z411">
        <v>4250</v>
      </c>
      <c r="AA411">
        <v>144</v>
      </c>
      <c r="AB411">
        <v>17349</v>
      </c>
      <c r="AC411">
        <v>0</v>
      </c>
      <c r="AD411">
        <v>208465787093</v>
      </c>
      <c r="AE411">
        <v>610039860.75</v>
      </c>
      <c r="AF411">
        <v>206521727936</v>
      </c>
      <c r="AG411">
        <v>207471993461.45001</v>
      </c>
      <c r="AH411">
        <v>7.4145000000000003E-2</v>
      </c>
      <c r="AI411">
        <v>2.1867999999999999E-2</v>
      </c>
    </row>
    <row r="412" spans="1:35" x14ac:dyDescent="0.35">
      <c r="A412" t="s">
        <v>0</v>
      </c>
      <c r="B412">
        <v>2000</v>
      </c>
      <c r="C412">
        <v>144</v>
      </c>
      <c r="D412">
        <v>8</v>
      </c>
      <c r="E412">
        <v>0</v>
      </c>
      <c r="F412">
        <v>64480261</v>
      </c>
      <c r="G412">
        <v>239454.38</v>
      </c>
      <c r="H412">
        <v>63804362.380000003</v>
      </c>
      <c r="I412">
        <v>64088240.009999998</v>
      </c>
      <c r="J412">
        <v>7.8267000000000003E-2</v>
      </c>
      <c r="K412">
        <v>2.8027E-2</v>
      </c>
      <c r="M412" t="s">
        <v>2</v>
      </c>
      <c r="N412">
        <v>3500</v>
      </c>
      <c r="O412">
        <v>84</v>
      </c>
      <c r="P412">
        <v>1522</v>
      </c>
      <c r="Q412">
        <v>0</v>
      </c>
      <c r="R412">
        <v>21719440055</v>
      </c>
      <c r="S412">
        <v>49011861.270000003</v>
      </c>
      <c r="T412">
        <v>21552386385.540001</v>
      </c>
      <c r="U412">
        <v>21664698929.360001</v>
      </c>
      <c r="V412">
        <v>6.3303999999999999E-2</v>
      </c>
      <c r="W412">
        <v>3.1610000000000002E-3</v>
      </c>
      <c r="Y412" t="s">
        <v>0</v>
      </c>
      <c r="Z412">
        <v>3250</v>
      </c>
      <c r="AA412">
        <v>144</v>
      </c>
      <c r="AB412">
        <v>6885</v>
      </c>
      <c r="AC412">
        <v>0</v>
      </c>
      <c r="AD412">
        <v>85029620271</v>
      </c>
      <c r="AE412">
        <v>264661902.5</v>
      </c>
      <c r="AF412">
        <v>84445725394</v>
      </c>
      <c r="AG412">
        <v>84659841386.309998</v>
      </c>
      <c r="AH412">
        <v>4.4134E-2</v>
      </c>
      <c r="AI412">
        <v>1.4734000000000001E-2</v>
      </c>
    </row>
    <row r="413" spans="1:35" x14ac:dyDescent="0.35">
      <c r="A413" t="s">
        <v>1</v>
      </c>
      <c r="B413">
        <v>2750</v>
      </c>
      <c r="C413">
        <v>144</v>
      </c>
      <c r="D413">
        <v>423</v>
      </c>
      <c r="E413">
        <v>0</v>
      </c>
      <c r="F413">
        <v>6225113499</v>
      </c>
      <c r="G413">
        <v>20389113.510000002</v>
      </c>
      <c r="H413">
        <v>6171652413.9099998</v>
      </c>
      <c r="I413">
        <v>6202615557.3100004</v>
      </c>
      <c r="J413">
        <v>6.1921999999999998E-2</v>
      </c>
      <c r="K413">
        <v>4.058E-3</v>
      </c>
      <c r="M413" t="s">
        <v>1</v>
      </c>
      <c r="N413">
        <v>3500</v>
      </c>
      <c r="O413">
        <v>84</v>
      </c>
      <c r="P413">
        <v>9105</v>
      </c>
      <c r="Q413">
        <v>0</v>
      </c>
      <c r="R413">
        <v>208459339556</v>
      </c>
      <c r="S413">
        <v>470561185.27999997</v>
      </c>
      <c r="T413">
        <v>206566913823.48001</v>
      </c>
      <c r="U413">
        <v>207907601415.57001</v>
      </c>
      <c r="V413">
        <v>7.8848000000000001E-2</v>
      </c>
      <c r="W413">
        <v>4.6629999999999996E-3</v>
      </c>
      <c r="Y413" t="s">
        <v>2</v>
      </c>
      <c r="Z413">
        <v>3250</v>
      </c>
      <c r="AA413">
        <v>144</v>
      </c>
      <c r="AB413">
        <v>1408</v>
      </c>
      <c r="AC413">
        <v>0</v>
      </c>
      <c r="AD413">
        <v>14992987907</v>
      </c>
      <c r="AE413">
        <v>46420984</v>
      </c>
      <c r="AF413">
        <v>14879102600</v>
      </c>
      <c r="AG413">
        <v>14928298770.709999</v>
      </c>
      <c r="AH413">
        <v>5.2679999999999998E-2</v>
      </c>
      <c r="AI413">
        <v>1.4524E-2</v>
      </c>
    </row>
    <row r="414" spans="1:35" x14ac:dyDescent="0.35">
      <c r="A414" t="s">
        <v>3</v>
      </c>
      <c r="B414">
        <v>4500</v>
      </c>
      <c r="C414">
        <v>144</v>
      </c>
      <c r="D414">
        <v>258</v>
      </c>
      <c r="E414">
        <v>0</v>
      </c>
      <c r="F414">
        <v>2667454649</v>
      </c>
      <c r="G414">
        <v>7617569.75</v>
      </c>
      <c r="H414">
        <v>2650251546.8099999</v>
      </c>
      <c r="I414">
        <v>2658568302.5100002</v>
      </c>
      <c r="J414">
        <v>4.2279999999999998E-2</v>
      </c>
      <c r="K414">
        <v>5.6930000000000001E-3</v>
      </c>
      <c r="M414" t="s">
        <v>0</v>
      </c>
      <c r="N414">
        <v>2250</v>
      </c>
      <c r="O414">
        <v>168</v>
      </c>
      <c r="P414">
        <v>6</v>
      </c>
      <c r="Q414">
        <v>0</v>
      </c>
      <c r="R414">
        <v>35123093</v>
      </c>
      <c r="S414">
        <v>134690.21</v>
      </c>
      <c r="T414">
        <v>34831018.93</v>
      </c>
      <c r="U414">
        <v>34988022.509999998</v>
      </c>
      <c r="V414">
        <v>5.2464999999999998E-2</v>
      </c>
      <c r="W414">
        <v>1.2999999999999999E-4</v>
      </c>
      <c r="Y414" t="s">
        <v>0</v>
      </c>
      <c r="Z414">
        <v>2000</v>
      </c>
      <c r="AA414">
        <v>144</v>
      </c>
      <c r="AB414">
        <v>8</v>
      </c>
      <c r="AC414">
        <v>0</v>
      </c>
      <c r="AD414">
        <v>64696022</v>
      </c>
      <c r="AE414">
        <v>238975.08</v>
      </c>
      <c r="AF414">
        <v>64480261</v>
      </c>
      <c r="AG414">
        <v>64480261</v>
      </c>
      <c r="AH414">
        <v>-4.3140000000000001E-3</v>
      </c>
      <c r="AI414">
        <v>-4.3140000000000001E-3</v>
      </c>
    </row>
    <row r="415" spans="1:35" x14ac:dyDescent="0.35">
      <c r="A415" t="s">
        <v>1</v>
      </c>
      <c r="B415">
        <v>5500</v>
      </c>
      <c r="C415">
        <v>108</v>
      </c>
      <c r="D415">
        <v>64</v>
      </c>
      <c r="E415">
        <v>0</v>
      </c>
      <c r="F415">
        <v>645276047</v>
      </c>
      <c r="G415">
        <v>1300451.23</v>
      </c>
      <c r="H415">
        <v>632398226.58000004</v>
      </c>
      <c r="I415">
        <v>640281980.24000001</v>
      </c>
      <c r="J415">
        <v>0.19527600000000001</v>
      </c>
      <c r="K415">
        <v>6.6567000000000001E-2</v>
      </c>
      <c r="M415" t="s">
        <v>2</v>
      </c>
      <c r="N415">
        <v>3250</v>
      </c>
      <c r="O415">
        <v>144</v>
      </c>
      <c r="P415">
        <v>1341</v>
      </c>
      <c r="Q415">
        <v>0</v>
      </c>
      <c r="R415">
        <v>14471558282</v>
      </c>
      <c r="S415">
        <v>44432278</v>
      </c>
      <c r="T415">
        <v>14359340709.85</v>
      </c>
      <c r="U415">
        <v>14424936957.91</v>
      </c>
      <c r="V415">
        <v>5.4782999999999998E-2</v>
      </c>
      <c r="W415">
        <v>1.8140000000000001E-3</v>
      </c>
      <c r="Y415" t="s">
        <v>1</v>
      </c>
      <c r="Z415">
        <v>2750</v>
      </c>
      <c r="AA415">
        <v>144</v>
      </c>
      <c r="AB415">
        <v>412</v>
      </c>
      <c r="AC415">
        <v>0</v>
      </c>
      <c r="AD415">
        <v>6052005382</v>
      </c>
      <c r="AE415">
        <v>19740332.309999999</v>
      </c>
      <c r="AF415">
        <v>6007497917</v>
      </c>
      <c r="AG415">
        <v>6026421123.9200001</v>
      </c>
      <c r="AH415">
        <v>4.8017999999999998E-2</v>
      </c>
      <c r="AI415">
        <v>1.1526E-2</v>
      </c>
    </row>
    <row r="416" spans="1:35" x14ac:dyDescent="0.35">
      <c r="A416" t="s">
        <v>0</v>
      </c>
      <c r="B416">
        <v>5500</v>
      </c>
      <c r="C416">
        <v>108</v>
      </c>
      <c r="D416">
        <v>1298</v>
      </c>
      <c r="E416">
        <v>0</v>
      </c>
      <c r="F416">
        <v>14083307065</v>
      </c>
      <c r="G416">
        <v>28587984.48</v>
      </c>
      <c r="H416">
        <v>13950556678.280001</v>
      </c>
      <c r="I416">
        <v>14037435955.809999</v>
      </c>
      <c r="J416">
        <v>8.5231000000000001E-2</v>
      </c>
      <c r="K416">
        <v>1.4626999999999999E-2</v>
      </c>
      <c r="M416" t="s">
        <v>0</v>
      </c>
      <c r="N416">
        <v>4250</v>
      </c>
      <c r="O416">
        <v>144</v>
      </c>
      <c r="P416">
        <v>77802</v>
      </c>
      <c r="Q416">
        <v>0</v>
      </c>
      <c r="R416">
        <v>799592144242</v>
      </c>
      <c r="S416">
        <v>2292348084.6900001</v>
      </c>
      <c r="T416">
        <v>793074817330.59998</v>
      </c>
      <c r="U416">
        <v>796759412712.45996</v>
      </c>
      <c r="V416">
        <v>6.1595999999999998E-2</v>
      </c>
      <c r="W416">
        <v>8.0800000000000004E-3</v>
      </c>
      <c r="Y416" t="s">
        <v>3</v>
      </c>
      <c r="Z416">
        <v>4500</v>
      </c>
      <c r="AA416">
        <v>144</v>
      </c>
      <c r="AB416">
        <v>269</v>
      </c>
      <c r="AC416">
        <v>0</v>
      </c>
      <c r="AD416">
        <v>2769980869</v>
      </c>
      <c r="AE416">
        <v>7891437</v>
      </c>
      <c r="AF416">
        <v>2759998724</v>
      </c>
      <c r="AG416">
        <v>2759998724</v>
      </c>
      <c r="AH416">
        <v>9.0200000000000002E-3</v>
      </c>
      <c r="AI416">
        <v>9.0200000000000002E-3</v>
      </c>
    </row>
    <row r="417" spans="1:35" x14ac:dyDescent="0.35">
      <c r="A417" t="s">
        <v>0</v>
      </c>
      <c r="B417">
        <v>2750</v>
      </c>
      <c r="C417">
        <v>144</v>
      </c>
      <c r="D417">
        <v>59</v>
      </c>
      <c r="E417">
        <v>0</v>
      </c>
      <c r="F417">
        <v>644012518</v>
      </c>
      <c r="G417">
        <v>2118520.2799999998</v>
      </c>
      <c r="H417">
        <v>638655020.91999996</v>
      </c>
      <c r="I417">
        <v>641116493.70000005</v>
      </c>
      <c r="J417">
        <v>5.8710999999999999E-2</v>
      </c>
      <c r="K417">
        <v>1.4392E-2</v>
      </c>
      <c r="M417" t="s">
        <v>0</v>
      </c>
      <c r="N417">
        <v>4750</v>
      </c>
      <c r="O417">
        <v>144</v>
      </c>
      <c r="P417">
        <v>34820</v>
      </c>
      <c r="Q417">
        <v>0</v>
      </c>
      <c r="R417">
        <v>305529916965</v>
      </c>
      <c r="S417">
        <v>851495473.08000004</v>
      </c>
      <c r="T417">
        <v>302866585128.65997</v>
      </c>
      <c r="U417">
        <v>304445639734.32001</v>
      </c>
      <c r="V417">
        <v>6.8886000000000003E-2</v>
      </c>
      <c r="W417">
        <v>9.1050000000000002E-3</v>
      </c>
      <c r="Y417" t="s">
        <v>1</v>
      </c>
      <c r="Z417">
        <v>5500</v>
      </c>
      <c r="AA417">
        <v>108</v>
      </c>
      <c r="AB417">
        <v>53</v>
      </c>
      <c r="AC417">
        <v>0</v>
      </c>
      <c r="AD417">
        <v>529665060</v>
      </c>
      <c r="AE417">
        <v>1064955.6599999999</v>
      </c>
      <c r="AF417">
        <v>513334008</v>
      </c>
      <c r="AG417">
        <v>528325244.56999999</v>
      </c>
      <c r="AH417">
        <v>0.29598000000000002</v>
      </c>
      <c r="AI417">
        <v>6.2090000000000001E-3</v>
      </c>
    </row>
    <row r="418" spans="1:35" x14ac:dyDescent="0.35">
      <c r="A418" t="s">
        <v>3</v>
      </c>
      <c r="B418">
        <v>3500</v>
      </c>
      <c r="C418">
        <v>144</v>
      </c>
      <c r="D418">
        <v>159</v>
      </c>
      <c r="E418">
        <v>0</v>
      </c>
      <c r="F418">
        <v>2426535531</v>
      </c>
      <c r="G418">
        <v>7362338.3600000003</v>
      </c>
      <c r="H418">
        <v>2413267422.2199998</v>
      </c>
      <c r="I418">
        <v>2419173076.73</v>
      </c>
      <c r="J418">
        <v>2.8818E-2</v>
      </c>
      <c r="K418">
        <v>9.9999999999999995E-7</v>
      </c>
      <c r="M418" t="s">
        <v>2</v>
      </c>
      <c r="N418">
        <v>4750</v>
      </c>
      <c r="O418">
        <v>144</v>
      </c>
      <c r="P418">
        <v>4927</v>
      </c>
      <c r="Q418">
        <v>0</v>
      </c>
      <c r="R418">
        <v>38615716959</v>
      </c>
      <c r="S418">
        <v>110004429.43000001</v>
      </c>
      <c r="T418">
        <v>38269132439.989998</v>
      </c>
      <c r="U418">
        <v>38483208159.239998</v>
      </c>
      <c r="V418">
        <v>7.1091000000000001E-2</v>
      </c>
      <c r="W418">
        <v>6.9709999999999998E-3</v>
      </c>
      <c r="Y418" t="s">
        <v>0</v>
      </c>
      <c r="Z418">
        <v>5500</v>
      </c>
      <c r="AA418">
        <v>108</v>
      </c>
      <c r="AB418">
        <v>1115</v>
      </c>
      <c r="AC418">
        <v>0</v>
      </c>
      <c r="AD418">
        <v>12109704895</v>
      </c>
      <c r="AE418">
        <v>24518723.75</v>
      </c>
      <c r="AF418">
        <v>12037502844</v>
      </c>
      <c r="AG418">
        <v>12083802724.01</v>
      </c>
      <c r="AH418">
        <v>4.6240999999999997E-2</v>
      </c>
      <c r="AI418">
        <v>1.3699999999999999E-3</v>
      </c>
    </row>
    <row r="419" spans="1:35" x14ac:dyDescent="0.35">
      <c r="A419" t="s">
        <v>1</v>
      </c>
      <c r="B419">
        <v>5500</v>
      </c>
      <c r="C419">
        <v>144</v>
      </c>
      <c r="D419">
        <v>18</v>
      </c>
      <c r="E419">
        <v>0</v>
      </c>
      <c r="F419">
        <v>162645706</v>
      </c>
      <c r="G419">
        <v>406455.12</v>
      </c>
      <c r="H419">
        <v>160873966.91</v>
      </c>
      <c r="I419">
        <v>162239161.11000001</v>
      </c>
      <c r="J419">
        <v>9.6208000000000002E-2</v>
      </c>
      <c r="K419">
        <v>6.9999999999999999E-6</v>
      </c>
      <c r="M419" t="s">
        <v>2</v>
      </c>
      <c r="N419">
        <v>4250</v>
      </c>
      <c r="O419">
        <v>144</v>
      </c>
      <c r="P419">
        <v>18058</v>
      </c>
      <c r="Q419">
        <v>0</v>
      </c>
      <c r="R419">
        <v>164688910565</v>
      </c>
      <c r="S419">
        <v>478322326.56999999</v>
      </c>
      <c r="T419">
        <v>163338493106.38</v>
      </c>
      <c r="U419">
        <v>164143646721.62</v>
      </c>
      <c r="V419">
        <v>6.1726000000000003E-2</v>
      </c>
      <c r="W419">
        <v>4.8669999999999998E-3</v>
      </c>
      <c r="Y419" t="s">
        <v>1</v>
      </c>
      <c r="Z419">
        <v>5500</v>
      </c>
      <c r="AA419">
        <v>96</v>
      </c>
      <c r="AB419">
        <v>877</v>
      </c>
      <c r="AC419">
        <v>0</v>
      </c>
      <c r="AD419">
        <v>11508584457</v>
      </c>
      <c r="AE419">
        <v>21560295.899999999</v>
      </c>
      <c r="AF419">
        <v>11456996434</v>
      </c>
      <c r="AG419">
        <v>11473957859.450001</v>
      </c>
      <c r="AH419">
        <v>3.0863999999999999E-2</v>
      </c>
      <c r="AI419">
        <v>1.3539000000000001E-2</v>
      </c>
    </row>
    <row r="420" spans="1:35" x14ac:dyDescent="0.35">
      <c r="A420" t="s">
        <v>0</v>
      </c>
      <c r="B420">
        <v>6000</v>
      </c>
      <c r="C420">
        <v>144</v>
      </c>
      <c r="D420">
        <v>21</v>
      </c>
      <c r="E420">
        <v>0</v>
      </c>
      <c r="F420">
        <v>136626321</v>
      </c>
      <c r="G420">
        <v>326490.11</v>
      </c>
      <c r="H420">
        <v>135541574.88999999</v>
      </c>
      <c r="I420">
        <v>136257149.69999999</v>
      </c>
      <c r="J420">
        <v>6.4602999999999994E-2</v>
      </c>
      <c r="K420">
        <v>3.7420000000000001E-3</v>
      </c>
      <c r="M420" t="s">
        <v>0</v>
      </c>
      <c r="N420">
        <v>2750</v>
      </c>
      <c r="O420">
        <v>144</v>
      </c>
      <c r="P420">
        <v>63</v>
      </c>
      <c r="Q420">
        <v>0</v>
      </c>
      <c r="R420">
        <v>686495252</v>
      </c>
      <c r="S420">
        <v>2271075.0699999998</v>
      </c>
      <c r="T420">
        <v>680986220.83000004</v>
      </c>
      <c r="U420">
        <v>683789243.74000001</v>
      </c>
      <c r="V420">
        <v>5.5154000000000002E-2</v>
      </c>
      <c r="W420">
        <v>7.5760000000000003E-3</v>
      </c>
      <c r="Y420" t="s">
        <v>0</v>
      </c>
      <c r="Z420">
        <v>2750</v>
      </c>
      <c r="AA420">
        <v>144</v>
      </c>
      <c r="AB420">
        <v>57</v>
      </c>
      <c r="AC420">
        <v>0</v>
      </c>
      <c r="AD420">
        <v>627191609</v>
      </c>
      <c r="AE420">
        <v>2062619.24</v>
      </c>
      <c r="AF420">
        <v>624875805</v>
      </c>
      <c r="AG420">
        <v>624875805</v>
      </c>
      <c r="AH420">
        <v>4.8329999999999996E-3</v>
      </c>
      <c r="AI420">
        <v>4.8329999999999996E-3</v>
      </c>
    </row>
    <row r="421" spans="1:35" x14ac:dyDescent="0.35">
      <c r="A421" t="s">
        <v>2</v>
      </c>
      <c r="B421">
        <v>2750</v>
      </c>
      <c r="C421">
        <v>144</v>
      </c>
      <c r="D421">
        <v>1</v>
      </c>
      <c r="E421">
        <v>0</v>
      </c>
      <c r="F421">
        <v>19885774</v>
      </c>
      <c r="G421">
        <v>63964.51</v>
      </c>
      <c r="H421">
        <v>19732485.710000001</v>
      </c>
      <c r="I421">
        <v>19821763.559999999</v>
      </c>
      <c r="J421">
        <v>5.2589999999999998E-2</v>
      </c>
      <c r="K421">
        <v>2.8E-5</v>
      </c>
      <c r="M421" t="s">
        <v>0</v>
      </c>
      <c r="N421">
        <v>3250</v>
      </c>
      <c r="O421">
        <v>144</v>
      </c>
      <c r="P421">
        <v>6890</v>
      </c>
      <c r="Q421">
        <v>0</v>
      </c>
      <c r="R421">
        <v>84754001540</v>
      </c>
      <c r="S421">
        <v>262784787.66999999</v>
      </c>
      <c r="T421">
        <v>84106612317.759995</v>
      </c>
      <c r="U421">
        <v>84466018479.600006</v>
      </c>
      <c r="V421">
        <v>5.3115999999999997E-2</v>
      </c>
      <c r="W421">
        <v>3.5620000000000001E-3</v>
      </c>
      <c r="Y421" t="s">
        <v>3</v>
      </c>
      <c r="Z421">
        <v>3500</v>
      </c>
      <c r="AA421">
        <v>144</v>
      </c>
      <c r="AB421">
        <v>148</v>
      </c>
      <c r="AC421">
        <v>0</v>
      </c>
      <c r="AD421">
        <v>2259938939</v>
      </c>
      <c r="AE421">
        <v>6844674.54</v>
      </c>
      <c r="AF421">
        <v>2251493077</v>
      </c>
      <c r="AG421">
        <v>2251493077</v>
      </c>
      <c r="AH421">
        <v>8.4690000000000008E-3</v>
      </c>
      <c r="AI421">
        <v>8.4690000000000008E-3</v>
      </c>
    </row>
    <row r="422" spans="1:35" x14ac:dyDescent="0.35">
      <c r="A422" t="s">
        <v>2</v>
      </c>
      <c r="B422">
        <v>4750</v>
      </c>
      <c r="C422">
        <v>144</v>
      </c>
      <c r="D422">
        <v>3379</v>
      </c>
      <c r="E422">
        <v>0</v>
      </c>
      <c r="F422">
        <v>25321327856</v>
      </c>
      <c r="G422">
        <v>71644476.489999995</v>
      </c>
      <c r="H422">
        <v>25091682730.59</v>
      </c>
      <c r="I422">
        <v>25234196889.900002</v>
      </c>
      <c r="J422">
        <v>7.2360999999999995E-2</v>
      </c>
      <c r="K422">
        <v>7.3150000000000003E-3</v>
      </c>
      <c r="M422" t="s">
        <v>2</v>
      </c>
      <c r="N422">
        <v>2500</v>
      </c>
      <c r="O422">
        <v>144</v>
      </c>
      <c r="P422">
        <v>9</v>
      </c>
      <c r="Q422">
        <v>0</v>
      </c>
      <c r="R422">
        <v>62417388</v>
      </c>
      <c r="S422">
        <v>228295.33</v>
      </c>
      <c r="T422">
        <v>61924052.850000001</v>
      </c>
      <c r="U422">
        <v>62189089.649999999</v>
      </c>
      <c r="V422">
        <v>4.9782E-2</v>
      </c>
      <c r="W422">
        <v>9.9999999999999995E-7</v>
      </c>
      <c r="Y422" t="s">
        <v>0</v>
      </c>
      <c r="Z422">
        <v>6000</v>
      </c>
      <c r="AA422">
        <v>144</v>
      </c>
      <c r="AB422">
        <v>22</v>
      </c>
      <c r="AC422">
        <v>0</v>
      </c>
      <c r="AD422">
        <v>140640984</v>
      </c>
      <c r="AE422">
        <v>334410.38</v>
      </c>
      <c r="AF422">
        <v>140266604</v>
      </c>
      <c r="AG422">
        <v>140266604</v>
      </c>
      <c r="AH422">
        <v>3.405E-3</v>
      </c>
      <c r="AI422">
        <v>3.405E-3</v>
      </c>
    </row>
    <row r="423" spans="1:35" x14ac:dyDescent="0.35">
      <c r="A423" t="s">
        <v>0</v>
      </c>
      <c r="B423">
        <v>5500</v>
      </c>
      <c r="C423">
        <v>120</v>
      </c>
      <c r="D423">
        <v>157</v>
      </c>
      <c r="E423">
        <v>0</v>
      </c>
      <c r="F423">
        <v>1349111689</v>
      </c>
      <c r="G423">
        <v>3036158.16</v>
      </c>
      <c r="H423">
        <v>1336227097.05</v>
      </c>
      <c r="I423">
        <v>1344427058.0599999</v>
      </c>
      <c r="J423">
        <v>8.4166000000000005E-2</v>
      </c>
      <c r="K423">
        <v>1.4565E-2</v>
      </c>
      <c r="M423" t="s">
        <v>0</v>
      </c>
      <c r="N423">
        <v>2500</v>
      </c>
      <c r="O423">
        <v>144</v>
      </c>
      <c r="P423">
        <v>27</v>
      </c>
      <c r="Q423">
        <v>0</v>
      </c>
      <c r="R423">
        <v>256016655</v>
      </c>
      <c r="S423">
        <v>897578.65</v>
      </c>
      <c r="T423">
        <v>254054854.74000001</v>
      </c>
      <c r="U423">
        <v>255058912.56</v>
      </c>
      <c r="V423">
        <v>4.8757000000000002E-2</v>
      </c>
      <c r="W423">
        <v>2.8159999999999999E-3</v>
      </c>
      <c r="Y423" t="s">
        <v>2</v>
      </c>
      <c r="Z423">
        <v>2750</v>
      </c>
      <c r="AA423">
        <v>144</v>
      </c>
      <c r="AB423">
        <v>1</v>
      </c>
      <c r="AC423">
        <v>0</v>
      </c>
      <c r="AD423">
        <v>19949614</v>
      </c>
      <c r="AE423">
        <v>63818.33</v>
      </c>
      <c r="AF423">
        <v>19885774</v>
      </c>
      <c r="AG423">
        <v>19885774</v>
      </c>
      <c r="AH423">
        <v>1.2999999999999999E-5</v>
      </c>
      <c r="AI423">
        <v>1.2999999999999999E-5</v>
      </c>
    </row>
    <row r="424" spans="1:35" x14ac:dyDescent="0.35">
      <c r="A424" t="s">
        <v>0</v>
      </c>
      <c r="B424">
        <v>3250</v>
      </c>
      <c r="C424">
        <v>120</v>
      </c>
      <c r="D424">
        <v>37871</v>
      </c>
      <c r="E424">
        <v>0</v>
      </c>
      <c r="F424">
        <v>558628441001</v>
      </c>
      <c r="G424">
        <v>1587860748.28</v>
      </c>
      <c r="H424">
        <v>554348730451.79004</v>
      </c>
      <c r="I424">
        <v>556889076627.52002</v>
      </c>
      <c r="J424">
        <v>5.6315999999999998E-2</v>
      </c>
      <c r="K424">
        <v>3.2499999999999999E-3</v>
      </c>
      <c r="M424" t="s">
        <v>0</v>
      </c>
      <c r="N424">
        <v>2000</v>
      </c>
      <c r="O424">
        <v>144</v>
      </c>
      <c r="P424">
        <v>12</v>
      </c>
      <c r="Q424">
        <v>0</v>
      </c>
      <c r="R424">
        <v>96618472</v>
      </c>
      <c r="S424">
        <v>359268.2</v>
      </c>
      <c r="T424">
        <v>95802879.409999996</v>
      </c>
      <c r="U424">
        <v>96233448.810000002</v>
      </c>
      <c r="V424">
        <v>5.5225999999999997E-2</v>
      </c>
      <c r="W424">
        <v>3.1939999999999998E-3</v>
      </c>
      <c r="Y424" t="s">
        <v>2</v>
      </c>
      <c r="Z424">
        <v>4750</v>
      </c>
      <c r="AA424">
        <v>144</v>
      </c>
      <c r="AB424">
        <v>3852</v>
      </c>
      <c r="AC424">
        <v>0</v>
      </c>
      <c r="AD424">
        <v>29103393637</v>
      </c>
      <c r="AE424">
        <v>82438590.400000006</v>
      </c>
      <c r="AF424">
        <v>28879914189</v>
      </c>
      <c r="AG424">
        <v>28984333847.41</v>
      </c>
      <c r="AH424">
        <v>5.6628999999999999E-2</v>
      </c>
      <c r="AI424">
        <v>1.4996000000000001E-2</v>
      </c>
    </row>
    <row r="425" spans="1:35" x14ac:dyDescent="0.35">
      <c r="A425" t="s">
        <v>2</v>
      </c>
      <c r="B425">
        <v>3250</v>
      </c>
      <c r="C425">
        <v>120</v>
      </c>
      <c r="D425">
        <v>6335</v>
      </c>
      <c r="E425">
        <v>0</v>
      </c>
      <c r="F425">
        <v>73947334693</v>
      </c>
      <c r="G425">
        <v>209717647.84</v>
      </c>
      <c r="H425">
        <v>73375690646.160004</v>
      </c>
      <c r="I425">
        <v>73727057175.449997</v>
      </c>
      <c r="J425">
        <v>5.7176999999999999E-2</v>
      </c>
      <c r="K425">
        <v>1.712E-3</v>
      </c>
      <c r="M425" t="s">
        <v>1</v>
      </c>
      <c r="N425">
        <v>4250</v>
      </c>
      <c r="O425">
        <v>144</v>
      </c>
      <c r="P425">
        <v>18294</v>
      </c>
      <c r="Q425">
        <v>0</v>
      </c>
      <c r="R425">
        <v>221643035156</v>
      </c>
      <c r="S425">
        <v>648061075</v>
      </c>
      <c r="T425">
        <v>219613385389.12</v>
      </c>
      <c r="U425">
        <v>220844621705.29999</v>
      </c>
      <c r="V425">
        <v>7.2289000000000006E-2</v>
      </c>
      <c r="W425">
        <v>8.1099999999999992E-3</v>
      </c>
      <c r="Y425" t="s">
        <v>0</v>
      </c>
      <c r="Z425">
        <v>4750</v>
      </c>
      <c r="AA425">
        <v>120</v>
      </c>
      <c r="AB425">
        <v>6966</v>
      </c>
      <c r="AC425">
        <v>0</v>
      </c>
      <c r="AD425">
        <v>69614192611</v>
      </c>
      <c r="AE425">
        <v>170578582.81</v>
      </c>
      <c r="AF425">
        <v>69098615881</v>
      </c>
      <c r="AG425">
        <v>69350475110.169998</v>
      </c>
      <c r="AH425">
        <v>5.7875999999999997E-2</v>
      </c>
      <c r="AI425">
        <v>1.5938000000000001E-2</v>
      </c>
    </row>
    <row r="426" spans="1:35" x14ac:dyDescent="0.35">
      <c r="A426" t="s">
        <v>0</v>
      </c>
      <c r="B426">
        <v>3750</v>
      </c>
      <c r="C426">
        <v>120</v>
      </c>
      <c r="D426">
        <v>79078</v>
      </c>
      <c r="E426">
        <v>0</v>
      </c>
      <c r="F426">
        <v>1039768305195</v>
      </c>
      <c r="G426">
        <v>2831846004.1900001</v>
      </c>
      <c r="H426">
        <v>1031670450363.74</v>
      </c>
      <c r="I426">
        <v>1036457221009.98</v>
      </c>
      <c r="J426">
        <v>5.9110999999999997E-2</v>
      </c>
      <c r="K426">
        <v>5.5170000000000002E-3</v>
      </c>
      <c r="M426" t="s">
        <v>0</v>
      </c>
      <c r="N426">
        <v>5500</v>
      </c>
      <c r="O426">
        <v>120</v>
      </c>
      <c r="P426">
        <v>447</v>
      </c>
      <c r="Q426">
        <v>0</v>
      </c>
      <c r="R426">
        <v>3068224891</v>
      </c>
      <c r="S426">
        <v>6915335.6299999999</v>
      </c>
      <c r="T426">
        <v>3031808659.4000001</v>
      </c>
      <c r="U426">
        <v>3054342071.6900001</v>
      </c>
      <c r="V426">
        <v>0.10947</v>
      </c>
      <c r="W426">
        <v>2.6911999999999998E-2</v>
      </c>
      <c r="Y426" t="s">
        <v>0</v>
      </c>
      <c r="Z426">
        <v>5500</v>
      </c>
      <c r="AA426">
        <v>120</v>
      </c>
      <c r="AB426">
        <v>225</v>
      </c>
      <c r="AC426">
        <v>0</v>
      </c>
      <c r="AD426">
        <v>1755739970</v>
      </c>
      <c r="AE426">
        <v>3950421.53</v>
      </c>
      <c r="AF426">
        <v>1724185071</v>
      </c>
      <c r="AG426">
        <v>1737674619.0799999</v>
      </c>
      <c r="AH426">
        <v>0.17318</v>
      </c>
      <c r="AI426">
        <v>9.2317999999999997E-2</v>
      </c>
    </row>
    <row r="427" spans="1:35" x14ac:dyDescent="0.35">
      <c r="A427" t="s">
        <v>0</v>
      </c>
      <c r="B427">
        <v>4750</v>
      </c>
      <c r="C427">
        <v>120</v>
      </c>
      <c r="D427">
        <v>6679</v>
      </c>
      <c r="E427">
        <v>0</v>
      </c>
      <c r="F427">
        <v>66931961171</v>
      </c>
      <c r="G427">
        <v>164163188.59</v>
      </c>
      <c r="H427">
        <v>66338456550.540001</v>
      </c>
      <c r="I427">
        <v>66701347953.519997</v>
      </c>
      <c r="J427">
        <v>7.4316999999999994E-2</v>
      </c>
      <c r="K427">
        <v>1.1849E-2</v>
      </c>
      <c r="M427" t="s">
        <v>1</v>
      </c>
      <c r="N427">
        <v>2750</v>
      </c>
      <c r="O427">
        <v>144</v>
      </c>
      <c r="P427">
        <v>408</v>
      </c>
      <c r="Q427">
        <v>0</v>
      </c>
      <c r="R427">
        <v>6049908124</v>
      </c>
      <c r="S427">
        <v>19553187.469999999</v>
      </c>
      <c r="T427">
        <v>5999789423.7600002</v>
      </c>
      <c r="U427">
        <v>6028473076.6700001</v>
      </c>
      <c r="V427">
        <v>5.8970000000000002E-2</v>
      </c>
      <c r="W427">
        <v>3.7260000000000001E-3</v>
      </c>
      <c r="Y427" t="s">
        <v>2</v>
      </c>
      <c r="Z427">
        <v>3250</v>
      </c>
      <c r="AA427">
        <v>120</v>
      </c>
      <c r="AB427">
        <v>5316</v>
      </c>
      <c r="AC427">
        <v>0</v>
      </c>
      <c r="AD427">
        <v>61997119506</v>
      </c>
      <c r="AE427">
        <v>175523824.03999999</v>
      </c>
      <c r="AF427">
        <v>61594190827</v>
      </c>
      <c r="AG427">
        <v>61769074802.199997</v>
      </c>
      <c r="AH427">
        <v>4.3138999999999997E-2</v>
      </c>
      <c r="AI427">
        <v>1.0119E-2</v>
      </c>
    </row>
    <row r="428" spans="1:35" x14ac:dyDescent="0.35">
      <c r="A428" t="s">
        <v>1</v>
      </c>
      <c r="B428">
        <v>4250</v>
      </c>
      <c r="C428">
        <v>120</v>
      </c>
      <c r="D428">
        <v>3216</v>
      </c>
      <c r="E428">
        <v>0</v>
      </c>
      <c r="F428">
        <v>40648614436</v>
      </c>
      <c r="G428">
        <v>105806541.28</v>
      </c>
      <c r="H428">
        <v>40231845978.019997</v>
      </c>
      <c r="I428">
        <v>40473017284.589996</v>
      </c>
      <c r="J428">
        <v>8.8034000000000001E-2</v>
      </c>
      <c r="K428">
        <v>2.0410000000000001E-2</v>
      </c>
      <c r="M428" t="s">
        <v>1</v>
      </c>
      <c r="N428">
        <v>5500</v>
      </c>
      <c r="O428">
        <v>96</v>
      </c>
      <c r="P428">
        <v>673</v>
      </c>
      <c r="Q428">
        <v>0</v>
      </c>
      <c r="R428">
        <v>8668534563</v>
      </c>
      <c r="S428">
        <v>16170920.24</v>
      </c>
      <c r="T428">
        <v>8538376117.3500004</v>
      </c>
      <c r="U428">
        <v>8617345911.3700008</v>
      </c>
      <c r="V428">
        <v>0.146868</v>
      </c>
      <c r="W428">
        <v>4.7412999999999997E-2</v>
      </c>
      <c r="Y428" t="s">
        <v>1</v>
      </c>
      <c r="Z428">
        <v>3250</v>
      </c>
      <c r="AA428">
        <v>120</v>
      </c>
      <c r="AB428">
        <v>29854</v>
      </c>
      <c r="AC428">
        <v>0</v>
      </c>
      <c r="AD428">
        <v>554341233020</v>
      </c>
      <c r="AE428">
        <v>1575597035.55</v>
      </c>
      <c r="AF428">
        <v>550007325402</v>
      </c>
      <c r="AG428">
        <v>552122744128.43005</v>
      </c>
      <c r="AH428">
        <v>5.8103000000000002E-2</v>
      </c>
      <c r="AI428">
        <v>1.3828E-2</v>
      </c>
    </row>
    <row r="429" spans="1:35" x14ac:dyDescent="0.35">
      <c r="A429" t="s">
        <v>0</v>
      </c>
      <c r="B429">
        <v>4250</v>
      </c>
      <c r="C429">
        <v>120</v>
      </c>
      <c r="D429">
        <v>30424</v>
      </c>
      <c r="E429">
        <v>0</v>
      </c>
      <c r="F429">
        <v>353085600557</v>
      </c>
      <c r="G429">
        <v>917883905.98000002</v>
      </c>
      <c r="H429">
        <v>350204102713.09998</v>
      </c>
      <c r="I429">
        <v>351861945538.39001</v>
      </c>
      <c r="J429">
        <v>6.4731999999999998E-2</v>
      </c>
      <c r="K429">
        <v>1.0343E-2</v>
      </c>
      <c r="M429" t="s">
        <v>3</v>
      </c>
      <c r="N429">
        <v>3500</v>
      </c>
      <c r="O429">
        <v>144</v>
      </c>
      <c r="P429">
        <v>149</v>
      </c>
      <c r="Q429">
        <v>0</v>
      </c>
      <c r="R429">
        <v>2280665648</v>
      </c>
      <c r="S429">
        <v>6847789.4299999997</v>
      </c>
      <c r="T429">
        <v>2267433159.1199999</v>
      </c>
      <c r="U429">
        <v>2273702057.0100002</v>
      </c>
      <c r="V429">
        <v>3.3080999999999999E-2</v>
      </c>
      <c r="W429">
        <v>6.0899999999999995E-4</v>
      </c>
      <c r="Y429" t="s">
        <v>2</v>
      </c>
      <c r="Z429">
        <v>3750</v>
      </c>
      <c r="AA429">
        <v>120</v>
      </c>
      <c r="AB429">
        <v>9996</v>
      </c>
      <c r="AC429">
        <v>0</v>
      </c>
      <c r="AD429">
        <v>105307435337</v>
      </c>
      <c r="AE429">
        <v>287549618.89999998</v>
      </c>
      <c r="AF429">
        <v>104544070987</v>
      </c>
      <c r="AG429">
        <v>104885338981.82001</v>
      </c>
      <c r="AH429">
        <v>5.2893000000000003E-2</v>
      </c>
      <c r="AI429">
        <v>1.5225000000000001E-2</v>
      </c>
    </row>
    <row r="430" spans="1:35" x14ac:dyDescent="0.35">
      <c r="A430" t="s">
        <v>2</v>
      </c>
      <c r="B430">
        <v>3750</v>
      </c>
      <c r="C430">
        <v>120</v>
      </c>
      <c r="D430">
        <v>10042</v>
      </c>
      <c r="E430">
        <v>0</v>
      </c>
      <c r="F430">
        <v>105250420317</v>
      </c>
      <c r="G430">
        <v>287715635.89999998</v>
      </c>
      <c r="H430">
        <v>104399646963.32001</v>
      </c>
      <c r="I430">
        <v>104920271133.03</v>
      </c>
      <c r="J430">
        <v>6.2341000000000001E-2</v>
      </c>
      <c r="K430">
        <v>4.8269999999999997E-3</v>
      </c>
      <c r="M430" t="s">
        <v>0</v>
      </c>
      <c r="N430">
        <v>6000</v>
      </c>
      <c r="O430">
        <v>144</v>
      </c>
      <c r="P430">
        <v>29</v>
      </c>
      <c r="Q430">
        <v>0</v>
      </c>
      <c r="R430">
        <v>181765583</v>
      </c>
      <c r="S430">
        <v>435208.84</v>
      </c>
      <c r="T430">
        <v>180341097.59</v>
      </c>
      <c r="U430">
        <v>181329911.78</v>
      </c>
      <c r="V430">
        <v>6.3391000000000003E-2</v>
      </c>
      <c r="W430">
        <v>3.1000000000000001E-5</v>
      </c>
      <c r="Y430" t="s">
        <v>0</v>
      </c>
      <c r="Z430">
        <v>3250</v>
      </c>
      <c r="AA430">
        <v>120</v>
      </c>
      <c r="AB430">
        <v>32949</v>
      </c>
      <c r="AC430">
        <v>0</v>
      </c>
      <c r="AD430">
        <v>484635884801</v>
      </c>
      <c r="AE430">
        <v>1374117727.97</v>
      </c>
      <c r="AF430">
        <v>481421102736</v>
      </c>
      <c r="AG430">
        <v>482863223269.26001</v>
      </c>
      <c r="AH430">
        <v>4.4636000000000002E-2</v>
      </c>
      <c r="AI430">
        <v>9.8239999999999994E-3</v>
      </c>
    </row>
    <row r="431" spans="1:35" x14ac:dyDescent="0.35">
      <c r="A431" t="s">
        <v>1</v>
      </c>
      <c r="B431">
        <v>3750</v>
      </c>
      <c r="C431">
        <v>120</v>
      </c>
      <c r="D431">
        <v>22688</v>
      </c>
      <c r="E431">
        <v>0</v>
      </c>
      <c r="F431">
        <v>354054384010</v>
      </c>
      <c r="G431">
        <v>972994929.78999996</v>
      </c>
      <c r="H431">
        <v>350901736030.91998</v>
      </c>
      <c r="I431">
        <v>352800086723.10999</v>
      </c>
      <c r="J431">
        <v>7.1424000000000001E-2</v>
      </c>
      <c r="K431">
        <v>9.4929999999999997E-3</v>
      </c>
      <c r="M431" t="s">
        <v>2</v>
      </c>
      <c r="N431">
        <v>2750</v>
      </c>
      <c r="O431">
        <v>144</v>
      </c>
      <c r="P431">
        <v>1</v>
      </c>
      <c r="Q431">
        <v>0</v>
      </c>
      <c r="R431">
        <v>20076857</v>
      </c>
      <c r="S431">
        <v>63526.97</v>
      </c>
      <c r="T431">
        <v>19909572.23</v>
      </c>
      <c r="U431">
        <v>20013322.109999999</v>
      </c>
      <c r="V431">
        <v>6.0283999999999997E-2</v>
      </c>
      <c r="W431">
        <v>5.0000000000000004E-6</v>
      </c>
      <c r="Y431" t="s">
        <v>0</v>
      </c>
      <c r="Z431">
        <v>3750</v>
      </c>
      <c r="AA431">
        <v>120</v>
      </c>
      <c r="AB431">
        <v>76876</v>
      </c>
      <c r="AC431">
        <v>0</v>
      </c>
      <c r="AD431">
        <v>1015189084764</v>
      </c>
      <c r="AE431">
        <v>2762211386.8499999</v>
      </c>
      <c r="AF431">
        <v>1007854444056</v>
      </c>
      <c r="AG431">
        <v>1011596358672.74</v>
      </c>
      <c r="AH431">
        <v>5.2728999999999998E-2</v>
      </c>
      <c r="AI431">
        <v>9.7730000000000004E-3</v>
      </c>
    </row>
    <row r="432" spans="1:35" x14ac:dyDescent="0.35">
      <c r="A432" t="s">
        <v>3</v>
      </c>
      <c r="B432">
        <v>4000</v>
      </c>
      <c r="C432">
        <v>120</v>
      </c>
      <c r="D432">
        <v>231</v>
      </c>
      <c r="E432">
        <v>0</v>
      </c>
      <c r="F432">
        <v>2748521198</v>
      </c>
      <c r="G432">
        <v>7338605.9299999997</v>
      </c>
      <c r="H432">
        <v>2729600814.52</v>
      </c>
      <c r="I432">
        <v>2739138778.73</v>
      </c>
      <c r="J432">
        <v>4.9410000000000003E-2</v>
      </c>
      <c r="K432">
        <v>8.8870000000000008E-3</v>
      </c>
      <c r="M432" t="s">
        <v>0</v>
      </c>
      <c r="N432">
        <v>4750</v>
      </c>
      <c r="O432">
        <v>120</v>
      </c>
      <c r="P432">
        <v>8095</v>
      </c>
      <c r="Q432">
        <v>0</v>
      </c>
      <c r="R432">
        <v>80888219691</v>
      </c>
      <c r="S432">
        <v>197960570.94999999</v>
      </c>
      <c r="T432">
        <v>80198767036.690002</v>
      </c>
      <c r="U432">
        <v>80630021653.589996</v>
      </c>
      <c r="V432">
        <v>7.0526000000000005E-2</v>
      </c>
      <c r="W432">
        <v>8.8999999999999999E-3</v>
      </c>
      <c r="Y432" t="s">
        <v>1</v>
      </c>
      <c r="Z432">
        <v>4250</v>
      </c>
      <c r="AA432">
        <v>120</v>
      </c>
      <c r="AB432">
        <v>3390</v>
      </c>
      <c r="AC432">
        <v>0</v>
      </c>
      <c r="AD432">
        <v>43009550557</v>
      </c>
      <c r="AE432">
        <v>111934079.40000001</v>
      </c>
      <c r="AF432">
        <v>42699796659</v>
      </c>
      <c r="AG432">
        <v>42843739057.260002</v>
      </c>
      <c r="AH432">
        <v>5.3817999999999998E-2</v>
      </c>
      <c r="AI432">
        <v>1.4929E-2</v>
      </c>
    </row>
    <row r="433" spans="1:35" x14ac:dyDescent="0.35">
      <c r="A433" t="s">
        <v>1</v>
      </c>
      <c r="B433">
        <v>3250</v>
      </c>
      <c r="C433">
        <v>120</v>
      </c>
      <c r="D433">
        <v>34337</v>
      </c>
      <c r="E433">
        <v>0</v>
      </c>
      <c r="F433">
        <v>636520652152</v>
      </c>
      <c r="G433">
        <v>1812432495.1900001</v>
      </c>
      <c r="H433">
        <v>631385906901.26001</v>
      </c>
      <c r="I433">
        <v>634545679776.72998</v>
      </c>
      <c r="J433">
        <v>6.0866999999999997E-2</v>
      </c>
      <c r="K433">
        <v>3.0599999999999998E-3</v>
      </c>
      <c r="M433" t="s">
        <v>0</v>
      </c>
      <c r="N433">
        <v>3250</v>
      </c>
      <c r="O433">
        <v>120</v>
      </c>
      <c r="P433">
        <v>20578</v>
      </c>
      <c r="Q433">
        <v>0</v>
      </c>
      <c r="R433">
        <v>299697329726</v>
      </c>
      <c r="S433">
        <v>847849690.24000001</v>
      </c>
      <c r="T433">
        <v>297381285819.95001</v>
      </c>
      <c r="U433">
        <v>298777838444.84998</v>
      </c>
      <c r="V433">
        <v>5.7229000000000002E-2</v>
      </c>
      <c r="W433">
        <v>2.8649999999999999E-3</v>
      </c>
      <c r="Y433" t="s">
        <v>0</v>
      </c>
      <c r="Z433">
        <v>4250</v>
      </c>
      <c r="AA433">
        <v>120</v>
      </c>
      <c r="AB433">
        <v>33048</v>
      </c>
      <c r="AC433">
        <v>0</v>
      </c>
      <c r="AD433">
        <v>381214117279</v>
      </c>
      <c r="AE433">
        <v>990429199.97000003</v>
      </c>
      <c r="AF433">
        <v>378574171573</v>
      </c>
      <c r="AG433">
        <v>379912220447.13</v>
      </c>
      <c r="AH433">
        <v>5.0706000000000001E-2</v>
      </c>
      <c r="AI433">
        <v>9.7610000000000006E-3</v>
      </c>
    </row>
    <row r="434" spans="1:35" x14ac:dyDescent="0.35">
      <c r="A434" t="s">
        <v>1</v>
      </c>
      <c r="B434">
        <v>2750</v>
      </c>
      <c r="C434">
        <v>120</v>
      </c>
      <c r="D434">
        <v>2310</v>
      </c>
      <c r="E434">
        <v>0</v>
      </c>
      <c r="F434">
        <v>40458245376</v>
      </c>
      <c r="G434">
        <v>121150624.05</v>
      </c>
      <c r="H434">
        <v>40111197989.580002</v>
      </c>
      <c r="I434">
        <v>40319237883.440002</v>
      </c>
      <c r="J434">
        <v>6.4981999999999998E-2</v>
      </c>
      <c r="K434">
        <v>5.2839999999999996E-3</v>
      </c>
      <c r="M434" t="s">
        <v>0</v>
      </c>
      <c r="N434">
        <v>3750</v>
      </c>
      <c r="O434">
        <v>120</v>
      </c>
      <c r="P434">
        <v>73740</v>
      </c>
      <c r="Q434">
        <v>0</v>
      </c>
      <c r="R434">
        <v>980642841682</v>
      </c>
      <c r="S434">
        <v>2664423408.1300001</v>
      </c>
      <c r="T434">
        <v>972844632381.47998</v>
      </c>
      <c r="U434">
        <v>977530523360.20996</v>
      </c>
      <c r="V434">
        <v>6.1044000000000001E-2</v>
      </c>
      <c r="W434">
        <v>5.4669999999999996E-3</v>
      </c>
      <c r="Y434" t="s">
        <v>1</v>
      </c>
      <c r="Z434">
        <v>3750</v>
      </c>
      <c r="AA434">
        <v>120</v>
      </c>
      <c r="AB434">
        <v>23670</v>
      </c>
      <c r="AC434">
        <v>0</v>
      </c>
      <c r="AD434">
        <v>371690238978</v>
      </c>
      <c r="AE434">
        <v>1019827730.22</v>
      </c>
      <c r="AF434">
        <v>368520330909</v>
      </c>
      <c r="AG434">
        <v>370048043246.90002</v>
      </c>
      <c r="AH434">
        <v>6.7249000000000003E-2</v>
      </c>
      <c r="AI434">
        <v>1.9909E-2</v>
      </c>
    </row>
    <row r="435" spans="1:35" x14ac:dyDescent="0.35">
      <c r="A435" t="s">
        <v>0</v>
      </c>
      <c r="B435">
        <v>2500</v>
      </c>
      <c r="C435">
        <v>120</v>
      </c>
      <c r="D435">
        <v>86</v>
      </c>
      <c r="E435">
        <v>0</v>
      </c>
      <c r="F435">
        <v>797209861</v>
      </c>
      <c r="G435">
        <v>2473839.4300000002</v>
      </c>
      <c r="H435">
        <v>789941530.11000001</v>
      </c>
      <c r="I435">
        <v>794122360.89999998</v>
      </c>
      <c r="J435">
        <v>6.9829000000000002E-2</v>
      </c>
      <c r="K435">
        <v>9.1979999999999996E-3</v>
      </c>
      <c r="M435" t="s">
        <v>2</v>
      </c>
      <c r="N435">
        <v>3250</v>
      </c>
      <c r="O435">
        <v>120</v>
      </c>
      <c r="P435">
        <v>3320</v>
      </c>
      <c r="Q435">
        <v>0</v>
      </c>
      <c r="R435">
        <v>38424467874</v>
      </c>
      <c r="S435">
        <v>108756247.76000001</v>
      </c>
      <c r="T435">
        <v>38111987892.959999</v>
      </c>
      <c r="U435">
        <v>38309883821.550003</v>
      </c>
      <c r="V435">
        <v>6.1800000000000001E-2</v>
      </c>
      <c r="W435">
        <v>1.8190000000000001E-3</v>
      </c>
      <c r="Y435" t="s">
        <v>3</v>
      </c>
      <c r="Z435">
        <v>4000</v>
      </c>
      <c r="AA435">
        <v>120</v>
      </c>
      <c r="AB435">
        <v>245</v>
      </c>
      <c r="AC435">
        <v>0</v>
      </c>
      <c r="AD435">
        <v>2851970579</v>
      </c>
      <c r="AE435">
        <v>7616255.96</v>
      </c>
      <c r="AF435">
        <v>2841596910</v>
      </c>
      <c r="AG435">
        <v>2842909374.75</v>
      </c>
      <c r="AH435">
        <v>1.1540999999999999E-2</v>
      </c>
      <c r="AI435">
        <v>6.0629999999999998E-3</v>
      </c>
    </row>
    <row r="436" spans="1:35" x14ac:dyDescent="0.35">
      <c r="A436" t="s">
        <v>3</v>
      </c>
      <c r="B436">
        <v>5000</v>
      </c>
      <c r="C436">
        <v>120</v>
      </c>
      <c r="D436">
        <v>4</v>
      </c>
      <c r="E436">
        <v>0</v>
      </c>
      <c r="F436">
        <v>31792892</v>
      </c>
      <c r="G436">
        <v>75827.41</v>
      </c>
      <c r="H436">
        <v>31605682.039999999</v>
      </c>
      <c r="I436">
        <v>31717064.27</v>
      </c>
      <c r="J436">
        <v>4.1239999999999999E-2</v>
      </c>
      <c r="K436">
        <v>0</v>
      </c>
      <c r="M436" t="s">
        <v>1</v>
      </c>
      <c r="N436">
        <v>3250</v>
      </c>
      <c r="O436">
        <v>120</v>
      </c>
      <c r="P436">
        <v>19392</v>
      </c>
      <c r="Q436">
        <v>0</v>
      </c>
      <c r="R436">
        <v>363092465960</v>
      </c>
      <c r="S436">
        <v>1030382766.15</v>
      </c>
      <c r="T436">
        <v>360153186060.40002</v>
      </c>
      <c r="U436">
        <v>361927348255.96997</v>
      </c>
      <c r="V436">
        <v>6.1295000000000002E-2</v>
      </c>
      <c r="W436">
        <v>4.444E-3</v>
      </c>
      <c r="Y436" t="s">
        <v>1</v>
      </c>
      <c r="Z436">
        <v>2750</v>
      </c>
      <c r="AA436">
        <v>120</v>
      </c>
      <c r="AB436">
        <v>1805</v>
      </c>
      <c r="AC436">
        <v>0</v>
      </c>
      <c r="AD436">
        <v>31760318161</v>
      </c>
      <c r="AE436">
        <v>94934982.299999997</v>
      </c>
      <c r="AF436">
        <v>31496246542</v>
      </c>
      <c r="AG436">
        <v>31632875435.419998</v>
      </c>
      <c r="AH436">
        <v>6.2066000000000003E-2</v>
      </c>
      <c r="AI436">
        <v>1.2213E-2</v>
      </c>
    </row>
    <row r="437" spans="1:35" x14ac:dyDescent="0.35">
      <c r="A437" t="s">
        <v>2</v>
      </c>
      <c r="B437">
        <v>2750</v>
      </c>
      <c r="C437">
        <v>120</v>
      </c>
      <c r="D437">
        <v>154</v>
      </c>
      <c r="E437">
        <v>0</v>
      </c>
      <c r="F437">
        <v>1500761916</v>
      </c>
      <c r="G437">
        <v>4543713.3600000003</v>
      </c>
      <c r="H437">
        <v>1488521413.74</v>
      </c>
      <c r="I437">
        <v>1495754691.5</v>
      </c>
      <c r="J437">
        <v>5.9836E-2</v>
      </c>
      <c r="K437">
        <v>3.7000000000000002E-3</v>
      </c>
      <c r="M437" t="s">
        <v>1</v>
      </c>
      <c r="N437">
        <v>2750</v>
      </c>
      <c r="O437">
        <v>120</v>
      </c>
      <c r="P437">
        <v>878</v>
      </c>
      <c r="Q437">
        <v>0</v>
      </c>
      <c r="R437">
        <v>14600274163</v>
      </c>
      <c r="S437">
        <v>43662018</v>
      </c>
      <c r="T437">
        <v>14476086857.08</v>
      </c>
      <c r="U437">
        <v>14550482668.639999</v>
      </c>
      <c r="V437">
        <v>6.4213000000000006E-2</v>
      </c>
      <c r="W437">
        <v>5.0260000000000001E-3</v>
      </c>
      <c r="Y437" t="s">
        <v>0</v>
      </c>
      <c r="Z437">
        <v>2500</v>
      </c>
      <c r="AA437">
        <v>120</v>
      </c>
      <c r="AB437">
        <v>74</v>
      </c>
      <c r="AC437">
        <v>0</v>
      </c>
      <c r="AD437">
        <v>702101583</v>
      </c>
      <c r="AE437">
        <v>2174105</v>
      </c>
      <c r="AF437">
        <v>694887586</v>
      </c>
      <c r="AG437">
        <v>694887586</v>
      </c>
      <c r="AH437">
        <v>8.2819000000000004E-2</v>
      </c>
      <c r="AI437">
        <v>8.2819000000000004E-2</v>
      </c>
    </row>
    <row r="438" spans="1:35" x14ac:dyDescent="0.35">
      <c r="A438" t="s">
        <v>2</v>
      </c>
      <c r="B438">
        <v>2500</v>
      </c>
      <c r="C438">
        <v>120</v>
      </c>
      <c r="D438">
        <v>12</v>
      </c>
      <c r="E438">
        <v>0</v>
      </c>
      <c r="F438">
        <v>108660680</v>
      </c>
      <c r="G438">
        <v>334209.67</v>
      </c>
      <c r="H438">
        <v>107780420.41</v>
      </c>
      <c r="I438">
        <v>108314830.62</v>
      </c>
      <c r="J438">
        <v>5.8664000000000001E-2</v>
      </c>
      <c r="K438">
        <v>1.2849999999999999E-3</v>
      </c>
      <c r="M438" t="s">
        <v>2</v>
      </c>
      <c r="N438">
        <v>4750</v>
      </c>
      <c r="O438">
        <v>120</v>
      </c>
      <c r="P438">
        <v>529</v>
      </c>
      <c r="Q438">
        <v>0</v>
      </c>
      <c r="R438">
        <v>3816603948</v>
      </c>
      <c r="S438">
        <v>9469740.1899999995</v>
      </c>
      <c r="T438">
        <v>3783020351.29</v>
      </c>
      <c r="U438">
        <v>3804838057.7399998</v>
      </c>
      <c r="V438">
        <v>7.3237999999999998E-2</v>
      </c>
      <c r="W438">
        <v>7.1960000000000001E-3</v>
      </c>
      <c r="Y438" t="s">
        <v>3</v>
      </c>
      <c r="Z438">
        <v>5000</v>
      </c>
      <c r="AA438">
        <v>120</v>
      </c>
      <c r="AB438">
        <v>4</v>
      </c>
      <c r="AC438">
        <v>0</v>
      </c>
      <c r="AD438">
        <v>31857756</v>
      </c>
      <c r="AE438">
        <v>75490.87</v>
      </c>
      <c r="AF438">
        <v>31792892</v>
      </c>
      <c r="AG438">
        <v>31792892</v>
      </c>
      <c r="AH438">
        <v>-4.0099999999999997E-3</v>
      </c>
      <c r="AI438">
        <v>-4.0099999999999997E-3</v>
      </c>
    </row>
    <row r="439" spans="1:35" x14ac:dyDescent="0.35">
      <c r="A439" t="s">
        <v>1</v>
      </c>
      <c r="B439">
        <v>5500</v>
      </c>
      <c r="C439">
        <v>120</v>
      </c>
      <c r="D439">
        <v>11</v>
      </c>
      <c r="E439">
        <v>0</v>
      </c>
      <c r="F439">
        <v>100266588</v>
      </c>
      <c r="G439">
        <v>223382.71</v>
      </c>
      <c r="H439">
        <v>99106349.530000001</v>
      </c>
      <c r="I439">
        <v>100042121.16</v>
      </c>
      <c r="J439">
        <v>0.10653700000000001</v>
      </c>
      <c r="K439">
        <v>1.2999999999999999E-4</v>
      </c>
      <c r="M439" t="s">
        <v>0</v>
      </c>
      <c r="N439">
        <v>5500</v>
      </c>
      <c r="O439">
        <v>108</v>
      </c>
      <c r="P439">
        <v>878</v>
      </c>
      <c r="Q439">
        <v>0</v>
      </c>
      <c r="R439">
        <v>9395987600</v>
      </c>
      <c r="S439">
        <v>18910790.68</v>
      </c>
      <c r="T439">
        <v>9312582934.4500008</v>
      </c>
      <c r="U439">
        <v>9369958974.2800007</v>
      </c>
      <c r="V439">
        <v>7.9327999999999996E-2</v>
      </c>
      <c r="W439">
        <v>9.0530000000000003E-3</v>
      </c>
      <c r="Y439" t="s">
        <v>2</v>
      </c>
      <c r="Z439">
        <v>2750</v>
      </c>
      <c r="AA439">
        <v>120</v>
      </c>
      <c r="AB439">
        <v>140</v>
      </c>
      <c r="AC439">
        <v>0</v>
      </c>
      <c r="AD439">
        <v>1359446762</v>
      </c>
      <c r="AE439">
        <v>4102140.67</v>
      </c>
      <c r="AF439">
        <v>1355242627</v>
      </c>
      <c r="AG439">
        <v>1355242627</v>
      </c>
      <c r="AH439">
        <v>8.9999999999999998E-4</v>
      </c>
      <c r="AI439">
        <v>8.9999999999999998E-4</v>
      </c>
    </row>
    <row r="440" spans="1:35" x14ac:dyDescent="0.35">
      <c r="A440" t="s">
        <v>3</v>
      </c>
      <c r="B440">
        <v>4000</v>
      </c>
      <c r="C440">
        <v>108</v>
      </c>
      <c r="D440">
        <v>401</v>
      </c>
      <c r="E440">
        <v>0</v>
      </c>
      <c r="F440">
        <v>5779375530</v>
      </c>
      <c r="G440">
        <v>14261774.41</v>
      </c>
      <c r="H440">
        <v>5740126611.1000004</v>
      </c>
      <c r="I440">
        <v>5764092983.5799999</v>
      </c>
      <c r="J440">
        <v>5.0666000000000003E-2</v>
      </c>
      <c r="K440">
        <v>2.117E-3</v>
      </c>
      <c r="M440" t="s">
        <v>0</v>
      </c>
      <c r="N440">
        <v>4250</v>
      </c>
      <c r="O440">
        <v>120</v>
      </c>
      <c r="P440">
        <v>39931</v>
      </c>
      <c r="Q440">
        <v>0</v>
      </c>
      <c r="R440">
        <v>458249308634</v>
      </c>
      <c r="S440">
        <v>1189138331.3499999</v>
      </c>
      <c r="T440">
        <v>454559184821.34003</v>
      </c>
      <c r="U440">
        <v>456729669184.23999</v>
      </c>
      <c r="V440">
        <v>6.3561999999999994E-2</v>
      </c>
      <c r="W440">
        <v>8.6199999999999992E-3</v>
      </c>
      <c r="Y440" t="s">
        <v>2</v>
      </c>
      <c r="Z440">
        <v>2500</v>
      </c>
      <c r="AA440">
        <v>120</v>
      </c>
      <c r="AB440">
        <v>11</v>
      </c>
      <c r="AC440">
        <v>0</v>
      </c>
      <c r="AD440">
        <v>96740972</v>
      </c>
      <c r="AE440">
        <v>296493.99</v>
      </c>
      <c r="AF440">
        <v>96441940</v>
      </c>
      <c r="AG440">
        <v>96441940</v>
      </c>
      <c r="AH440">
        <v>3.1500000000000001E-4</v>
      </c>
      <c r="AI440">
        <v>3.1500000000000001E-4</v>
      </c>
    </row>
    <row r="441" spans="1:35" x14ac:dyDescent="0.35">
      <c r="A441" t="s">
        <v>2</v>
      </c>
      <c r="B441">
        <v>5000</v>
      </c>
      <c r="C441">
        <v>108</v>
      </c>
      <c r="D441">
        <v>207</v>
      </c>
      <c r="E441">
        <v>0</v>
      </c>
      <c r="F441">
        <v>1791097551</v>
      </c>
      <c r="G441">
        <v>3967881.04</v>
      </c>
      <c r="H441">
        <v>1775464711.3099999</v>
      </c>
      <c r="I441">
        <v>1785575616.0699999</v>
      </c>
      <c r="J441">
        <v>7.5412999999999994E-2</v>
      </c>
      <c r="K441">
        <v>1.0362E-2</v>
      </c>
      <c r="M441" t="s">
        <v>2</v>
      </c>
      <c r="N441">
        <v>3750</v>
      </c>
      <c r="O441">
        <v>120</v>
      </c>
      <c r="P441">
        <v>10250</v>
      </c>
      <c r="Q441">
        <v>0</v>
      </c>
      <c r="R441">
        <v>109524711870</v>
      </c>
      <c r="S441">
        <v>298977308.92000002</v>
      </c>
      <c r="T441">
        <v>108603080180.67</v>
      </c>
      <c r="U441">
        <v>109182914123.03</v>
      </c>
      <c r="V441">
        <v>6.6127000000000005E-2</v>
      </c>
      <c r="W441">
        <v>4.6820000000000004E-3</v>
      </c>
      <c r="Y441" t="s">
        <v>1</v>
      </c>
      <c r="Z441">
        <v>5500</v>
      </c>
      <c r="AA441">
        <v>120</v>
      </c>
      <c r="AB441">
        <v>11</v>
      </c>
      <c r="AC441">
        <v>0</v>
      </c>
      <c r="AD441">
        <v>100531918</v>
      </c>
      <c r="AE441">
        <v>222463.33</v>
      </c>
      <c r="AF441">
        <v>100266588</v>
      </c>
      <c r="AG441">
        <v>100266588</v>
      </c>
      <c r="AH441">
        <v>5.1050000000000002E-3</v>
      </c>
      <c r="AI441">
        <v>5.1050000000000002E-3</v>
      </c>
    </row>
    <row r="442" spans="1:35" x14ac:dyDescent="0.35">
      <c r="A442" t="s">
        <v>1</v>
      </c>
      <c r="B442">
        <v>2750</v>
      </c>
      <c r="C442">
        <v>108</v>
      </c>
      <c r="D442">
        <v>252</v>
      </c>
      <c r="E442">
        <v>0</v>
      </c>
      <c r="F442">
        <v>4902621269</v>
      </c>
      <c r="G442">
        <v>14348553.67</v>
      </c>
      <c r="H442">
        <v>4859161077.7799997</v>
      </c>
      <c r="I442">
        <v>4883571628.8299999</v>
      </c>
      <c r="J442">
        <v>6.8973999999999994E-2</v>
      </c>
      <c r="K442">
        <v>1.1446E-2</v>
      </c>
      <c r="M442" t="s">
        <v>1</v>
      </c>
      <c r="N442">
        <v>5500</v>
      </c>
      <c r="O442">
        <v>120</v>
      </c>
      <c r="P442">
        <v>16</v>
      </c>
      <c r="Q442">
        <v>0</v>
      </c>
      <c r="R442">
        <v>159260416</v>
      </c>
      <c r="S442">
        <v>354155.83</v>
      </c>
      <c r="T442">
        <v>157197659.33000001</v>
      </c>
      <c r="U442">
        <v>158826929.24000001</v>
      </c>
      <c r="V442">
        <v>0.121409</v>
      </c>
      <c r="W442">
        <v>5.9610000000000002E-3</v>
      </c>
      <c r="Y442" t="s">
        <v>3</v>
      </c>
      <c r="Z442">
        <v>4000</v>
      </c>
      <c r="AA442">
        <v>108</v>
      </c>
      <c r="AB442">
        <v>393</v>
      </c>
      <c r="AC442">
        <v>0</v>
      </c>
      <c r="AD442">
        <v>5541730332</v>
      </c>
      <c r="AE442">
        <v>13652826.98</v>
      </c>
      <c r="AF442">
        <v>5505530916</v>
      </c>
      <c r="AG442">
        <v>5525210228.1099997</v>
      </c>
      <c r="AH442">
        <v>4.7744000000000002E-2</v>
      </c>
      <c r="AI442">
        <v>6.1910000000000003E-3</v>
      </c>
    </row>
    <row r="443" spans="1:35" x14ac:dyDescent="0.35">
      <c r="A443" t="s">
        <v>1</v>
      </c>
      <c r="B443">
        <v>3250</v>
      </c>
      <c r="C443">
        <v>108</v>
      </c>
      <c r="D443">
        <v>8331</v>
      </c>
      <c r="E443">
        <v>0</v>
      </c>
      <c r="F443">
        <v>155074445902</v>
      </c>
      <c r="G443">
        <v>421277484.94999999</v>
      </c>
      <c r="H443">
        <v>153821996749.44</v>
      </c>
      <c r="I443">
        <v>154602132499.89001</v>
      </c>
      <c r="J443">
        <v>6.2454999999999997E-2</v>
      </c>
      <c r="K443">
        <v>3.9420000000000002E-3</v>
      </c>
      <c r="M443" t="s">
        <v>0</v>
      </c>
      <c r="N443">
        <v>2750</v>
      </c>
      <c r="O443">
        <v>120</v>
      </c>
      <c r="P443">
        <v>199</v>
      </c>
      <c r="Q443">
        <v>0</v>
      </c>
      <c r="R443">
        <v>2934385304</v>
      </c>
      <c r="S443">
        <v>8762723.7899999991</v>
      </c>
      <c r="T443">
        <v>2909492150.3800001</v>
      </c>
      <c r="U443">
        <v>2924112109.9099998</v>
      </c>
      <c r="V443">
        <v>6.4005999999999993E-2</v>
      </c>
      <c r="W443">
        <v>6.1599999999999997E-3</v>
      </c>
      <c r="Y443" t="s">
        <v>2</v>
      </c>
      <c r="Z443">
        <v>5000</v>
      </c>
      <c r="AA443">
        <v>108</v>
      </c>
      <c r="AB443">
        <v>207</v>
      </c>
      <c r="AC443">
        <v>0</v>
      </c>
      <c r="AD443">
        <v>1795654797</v>
      </c>
      <c r="AE443">
        <v>3953472.07</v>
      </c>
      <c r="AF443">
        <v>1784628504</v>
      </c>
      <c r="AG443">
        <v>1791461981.4000001</v>
      </c>
      <c r="AH443">
        <v>4.6255999999999999E-2</v>
      </c>
      <c r="AI443">
        <v>1.598E-3</v>
      </c>
    </row>
    <row r="444" spans="1:35" x14ac:dyDescent="0.35">
      <c r="A444" t="s">
        <v>0</v>
      </c>
      <c r="B444">
        <v>2500</v>
      </c>
      <c r="C444">
        <v>108</v>
      </c>
      <c r="D444">
        <v>26</v>
      </c>
      <c r="E444">
        <v>0</v>
      </c>
      <c r="F444">
        <v>181556327</v>
      </c>
      <c r="G444">
        <v>547548.87</v>
      </c>
      <c r="H444">
        <v>180079112.41</v>
      </c>
      <c r="I444">
        <v>181008636.84999999</v>
      </c>
      <c r="J444">
        <v>5.9744999999999999E-2</v>
      </c>
      <c r="K444">
        <v>9.0000000000000002E-6</v>
      </c>
      <c r="M444" t="s">
        <v>1</v>
      </c>
      <c r="N444">
        <v>4250</v>
      </c>
      <c r="O444">
        <v>120</v>
      </c>
      <c r="P444">
        <v>4147</v>
      </c>
      <c r="Q444">
        <v>0</v>
      </c>
      <c r="R444">
        <v>52198291181</v>
      </c>
      <c r="S444">
        <v>135897689.81</v>
      </c>
      <c r="T444">
        <v>51689064677.410004</v>
      </c>
      <c r="U444">
        <v>51993898189.830002</v>
      </c>
      <c r="V444">
        <v>8.2529000000000005E-2</v>
      </c>
      <c r="W444">
        <v>1.5633000000000001E-2</v>
      </c>
      <c r="Y444" t="s">
        <v>2</v>
      </c>
      <c r="Z444">
        <v>3250</v>
      </c>
      <c r="AA444">
        <v>108</v>
      </c>
      <c r="AB444">
        <v>2471</v>
      </c>
      <c r="AC444">
        <v>0</v>
      </c>
      <c r="AD444">
        <v>29346477500</v>
      </c>
      <c r="AE444">
        <v>80577065.870000005</v>
      </c>
      <c r="AF444">
        <v>29092856072</v>
      </c>
      <c r="AG444">
        <v>29245368240.720001</v>
      </c>
      <c r="AH444">
        <v>6.8509E-2</v>
      </c>
      <c r="AI444">
        <v>8.3639999999999999E-3</v>
      </c>
    </row>
    <row r="445" spans="1:35" x14ac:dyDescent="0.35">
      <c r="A445" t="s">
        <v>1</v>
      </c>
      <c r="B445">
        <v>4250</v>
      </c>
      <c r="C445">
        <v>108</v>
      </c>
      <c r="D445">
        <v>9268</v>
      </c>
      <c r="E445">
        <v>0</v>
      </c>
      <c r="F445">
        <v>138255747837</v>
      </c>
      <c r="G445">
        <v>332252119.00999999</v>
      </c>
      <c r="H445">
        <v>136951112467.52</v>
      </c>
      <c r="I445">
        <v>137732084913.39999</v>
      </c>
      <c r="J445">
        <v>8.1209000000000003E-2</v>
      </c>
      <c r="K445">
        <v>1.6487999999999999E-2</v>
      </c>
      <c r="M445" t="s">
        <v>1</v>
      </c>
      <c r="N445">
        <v>3750</v>
      </c>
      <c r="O445">
        <v>120</v>
      </c>
      <c r="P445">
        <v>26272</v>
      </c>
      <c r="Q445">
        <v>0</v>
      </c>
      <c r="R445">
        <v>419986475480</v>
      </c>
      <c r="S445">
        <v>1149011643.8</v>
      </c>
      <c r="T445">
        <v>416297140122.13</v>
      </c>
      <c r="U445">
        <v>418568415950.71002</v>
      </c>
      <c r="V445">
        <v>7.0216000000000001E-2</v>
      </c>
      <c r="W445">
        <v>7.6600000000000001E-3</v>
      </c>
      <c r="Y445" t="s">
        <v>1</v>
      </c>
      <c r="Z445">
        <v>2750</v>
      </c>
      <c r="AA445">
        <v>108</v>
      </c>
      <c r="AB445">
        <v>783</v>
      </c>
      <c r="AC445">
        <v>0</v>
      </c>
      <c r="AD445">
        <v>14155880767</v>
      </c>
      <c r="AE445">
        <v>41541747.539999999</v>
      </c>
      <c r="AF445">
        <v>14058835566</v>
      </c>
      <c r="AG445">
        <v>14089085585.540001</v>
      </c>
      <c r="AH445">
        <v>4.6049E-2</v>
      </c>
      <c r="AI445">
        <v>2.1198999999999999E-2</v>
      </c>
    </row>
    <row r="446" spans="1:35" x14ac:dyDescent="0.35">
      <c r="A446" t="s">
        <v>2</v>
      </c>
      <c r="B446">
        <v>3250</v>
      </c>
      <c r="C446">
        <v>108</v>
      </c>
      <c r="D446">
        <v>1450</v>
      </c>
      <c r="E446">
        <v>0</v>
      </c>
      <c r="F446">
        <v>17215802068</v>
      </c>
      <c r="G446">
        <v>47017827.909999996</v>
      </c>
      <c r="H446">
        <v>17084594131.290001</v>
      </c>
      <c r="I446">
        <v>17165005421.690001</v>
      </c>
      <c r="J446">
        <v>5.713E-2</v>
      </c>
      <c r="K446">
        <v>2.6310000000000001E-3</v>
      </c>
      <c r="M446" t="s">
        <v>3</v>
      </c>
      <c r="N446">
        <v>4000</v>
      </c>
      <c r="O446">
        <v>120</v>
      </c>
      <c r="P446">
        <v>299</v>
      </c>
      <c r="Q446">
        <v>0</v>
      </c>
      <c r="R446">
        <v>3811256579</v>
      </c>
      <c r="S446">
        <v>10207624.289999999</v>
      </c>
      <c r="T446">
        <v>3786899142.46</v>
      </c>
      <c r="U446">
        <v>3800423044.6799998</v>
      </c>
      <c r="V446">
        <v>4.3652999999999997E-2</v>
      </c>
      <c r="W446">
        <v>1.9689999999999998E-3</v>
      </c>
      <c r="Y446" t="s">
        <v>1</v>
      </c>
      <c r="Z446">
        <v>3250</v>
      </c>
      <c r="AA446">
        <v>108</v>
      </c>
      <c r="AB446">
        <v>12937</v>
      </c>
      <c r="AC446">
        <v>0</v>
      </c>
      <c r="AD446">
        <v>241122639881</v>
      </c>
      <c r="AE446">
        <v>660256696.28999996</v>
      </c>
      <c r="AF446">
        <v>239282676153</v>
      </c>
      <c r="AG446">
        <v>240225496086.75</v>
      </c>
      <c r="AH446">
        <v>5.7155999999999998E-2</v>
      </c>
      <c r="AI446">
        <v>1.1726E-2</v>
      </c>
    </row>
    <row r="447" spans="1:35" x14ac:dyDescent="0.35">
      <c r="A447" t="s">
        <v>0</v>
      </c>
      <c r="B447">
        <v>3250</v>
      </c>
      <c r="C447">
        <v>108</v>
      </c>
      <c r="D447">
        <v>5462</v>
      </c>
      <c r="E447">
        <v>0</v>
      </c>
      <c r="F447">
        <v>81954183637</v>
      </c>
      <c r="G447">
        <v>224697348.08000001</v>
      </c>
      <c r="H447">
        <v>81318637483.679993</v>
      </c>
      <c r="I447">
        <v>81697738742.470001</v>
      </c>
      <c r="J447">
        <v>5.8527000000000003E-2</v>
      </c>
      <c r="K447">
        <v>4.6389999999999999E-3</v>
      </c>
      <c r="M447" t="s">
        <v>0</v>
      </c>
      <c r="N447">
        <v>2500</v>
      </c>
      <c r="O447">
        <v>120</v>
      </c>
      <c r="P447">
        <v>53</v>
      </c>
      <c r="Q447">
        <v>0</v>
      </c>
      <c r="R447">
        <v>492797735</v>
      </c>
      <c r="S447">
        <v>1522910.31</v>
      </c>
      <c r="T447">
        <v>488431935.32999998</v>
      </c>
      <c r="U447">
        <v>491177233.29000002</v>
      </c>
      <c r="V447">
        <v>6.7072000000000007E-2</v>
      </c>
      <c r="W447">
        <v>2.3739999999999998E-3</v>
      </c>
      <c r="Y447" t="s">
        <v>0</v>
      </c>
      <c r="Z447">
        <v>2500</v>
      </c>
      <c r="AA447">
        <v>108</v>
      </c>
      <c r="AB447">
        <v>37</v>
      </c>
      <c r="AC447">
        <v>0</v>
      </c>
      <c r="AD447">
        <v>283093140</v>
      </c>
      <c r="AE447">
        <v>852072.59</v>
      </c>
      <c r="AF447">
        <v>282082343</v>
      </c>
      <c r="AG447">
        <v>282082343</v>
      </c>
      <c r="AH447">
        <v>6.7070000000000003E-3</v>
      </c>
      <c r="AI447">
        <v>6.7070000000000003E-3</v>
      </c>
    </row>
    <row r="448" spans="1:35" x14ac:dyDescent="0.35">
      <c r="A448" t="s">
        <v>2</v>
      </c>
      <c r="B448">
        <v>2500</v>
      </c>
      <c r="C448">
        <v>108</v>
      </c>
      <c r="D448">
        <v>1</v>
      </c>
      <c r="E448">
        <v>0</v>
      </c>
      <c r="F448">
        <v>11521756</v>
      </c>
      <c r="G448">
        <v>34811.32</v>
      </c>
      <c r="H448">
        <v>11431355.25</v>
      </c>
      <c r="I448">
        <v>11486944.619999999</v>
      </c>
      <c r="J448">
        <v>5.6384999999999998E-2</v>
      </c>
      <c r="K448">
        <v>0</v>
      </c>
      <c r="M448" t="s">
        <v>3</v>
      </c>
      <c r="N448">
        <v>5000</v>
      </c>
      <c r="O448">
        <v>120</v>
      </c>
      <c r="P448">
        <v>4</v>
      </c>
      <c r="Q448">
        <v>0</v>
      </c>
      <c r="R448">
        <v>32034408</v>
      </c>
      <c r="S448">
        <v>74930.97</v>
      </c>
      <c r="T448">
        <v>31847012.600000001</v>
      </c>
      <c r="U448">
        <v>31959476.93</v>
      </c>
      <c r="V448">
        <v>4.1325000000000001E-2</v>
      </c>
      <c r="W448">
        <v>0</v>
      </c>
      <c r="Y448" t="s">
        <v>2</v>
      </c>
      <c r="Z448">
        <v>2500</v>
      </c>
      <c r="AA448">
        <v>108</v>
      </c>
      <c r="AB448">
        <v>2</v>
      </c>
      <c r="AC448">
        <v>0</v>
      </c>
      <c r="AD448">
        <v>23812600</v>
      </c>
      <c r="AE448">
        <v>71769</v>
      </c>
      <c r="AF448">
        <v>23740496</v>
      </c>
      <c r="AG448">
        <v>23740496</v>
      </c>
      <c r="AH448">
        <v>1.6899999999999999E-4</v>
      </c>
      <c r="AI448">
        <v>1.6899999999999999E-4</v>
      </c>
    </row>
    <row r="449" spans="1:35" x14ac:dyDescent="0.35">
      <c r="A449" t="s">
        <v>0</v>
      </c>
      <c r="B449">
        <v>4250</v>
      </c>
      <c r="C449">
        <v>108</v>
      </c>
      <c r="D449">
        <v>57419</v>
      </c>
      <c r="E449">
        <v>0</v>
      </c>
      <c r="F449">
        <v>773694509325</v>
      </c>
      <c r="G449">
        <v>1853944359.75</v>
      </c>
      <c r="H449">
        <v>767599983235.09998</v>
      </c>
      <c r="I449">
        <v>771164898065.12</v>
      </c>
      <c r="J449">
        <v>6.3824000000000006E-2</v>
      </c>
      <c r="K449">
        <v>1.0429000000000001E-2</v>
      </c>
      <c r="M449" t="s">
        <v>2</v>
      </c>
      <c r="N449">
        <v>2750</v>
      </c>
      <c r="O449">
        <v>120</v>
      </c>
      <c r="P449">
        <v>88</v>
      </c>
      <c r="Q449">
        <v>0</v>
      </c>
      <c r="R449">
        <v>790960166</v>
      </c>
      <c r="S449">
        <v>2381984.98</v>
      </c>
      <c r="T449">
        <v>784506202.54999995</v>
      </c>
      <c r="U449">
        <v>788576815.39999998</v>
      </c>
      <c r="V449">
        <v>6.0058E-2</v>
      </c>
      <c r="W449">
        <v>2.0999999999999999E-5</v>
      </c>
      <c r="Y449" t="s">
        <v>1</v>
      </c>
      <c r="Z449">
        <v>4250</v>
      </c>
      <c r="AA449">
        <v>108</v>
      </c>
      <c r="AB449">
        <v>8873</v>
      </c>
      <c r="AC449">
        <v>0</v>
      </c>
      <c r="AD449">
        <v>132442358481</v>
      </c>
      <c r="AE449">
        <v>317347718.06</v>
      </c>
      <c r="AF449">
        <v>131386362505</v>
      </c>
      <c r="AG449">
        <v>131972988364.75999</v>
      </c>
      <c r="AH449">
        <v>6.4909999999999995E-2</v>
      </c>
      <c r="AI449">
        <v>1.3687E-2</v>
      </c>
    </row>
    <row r="450" spans="1:35" x14ac:dyDescent="0.35">
      <c r="A450" t="s">
        <v>2</v>
      </c>
      <c r="B450">
        <v>3750</v>
      </c>
      <c r="C450">
        <v>108</v>
      </c>
      <c r="D450">
        <v>9459</v>
      </c>
      <c r="E450">
        <v>0</v>
      </c>
      <c r="F450">
        <v>110702881490</v>
      </c>
      <c r="G450">
        <v>281011489.18000001</v>
      </c>
      <c r="H450">
        <v>109848851176.41</v>
      </c>
      <c r="I450">
        <v>110389531494.71001</v>
      </c>
      <c r="J450">
        <v>6.0375999999999999E-2</v>
      </c>
      <c r="K450">
        <v>3.5000000000000001E-3</v>
      </c>
      <c r="M450" t="s">
        <v>1</v>
      </c>
      <c r="N450">
        <v>2750</v>
      </c>
      <c r="O450">
        <v>108</v>
      </c>
      <c r="P450">
        <v>1746</v>
      </c>
      <c r="Q450">
        <v>0</v>
      </c>
      <c r="R450">
        <v>32158669301</v>
      </c>
      <c r="S450">
        <v>94065222.519999996</v>
      </c>
      <c r="T450">
        <v>31881880209.32</v>
      </c>
      <c r="U450">
        <v>32043387315.66</v>
      </c>
      <c r="V450">
        <v>6.6091999999999998E-2</v>
      </c>
      <c r="W450">
        <v>7.8879999999999992E-3</v>
      </c>
      <c r="Y450" t="s">
        <v>0</v>
      </c>
      <c r="Z450">
        <v>3250</v>
      </c>
      <c r="AA450">
        <v>108</v>
      </c>
      <c r="AB450">
        <v>10619</v>
      </c>
      <c r="AC450">
        <v>0</v>
      </c>
      <c r="AD450">
        <v>160769842708</v>
      </c>
      <c r="AE450">
        <v>443180176.69999999</v>
      </c>
      <c r="AF450">
        <v>159560364213</v>
      </c>
      <c r="AG450">
        <v>160247384129.44</v>
      </c>
      <c r="AH450">
        <v>5.5721E-2</v>
      </c>
      <c r="AI450">
        <v>5.901E-3</v>
      </c>
    </row>
    <row r="451" spans="1:35" x14ac:dyDescent="0.35">
      <c r="A451" t="s">
        <v>0</v>
      </c>
      <c r="B451">
        <v>3750</v>
      </c>
      <c r="C451">
        <v>108</v>
      </c>
      <c r="D451">
        <v>52737</v>
      </c>
      <c r="E451">
        <v>0</v>
      </c>
      <c r="F451">
        <v>777172103436</v>
      </c>
      <c r="G451">
        <v>1981655852.22</v>
      </c>
      <c r="H451">
        <v>771172838732.73999</v>
      </c>
      <c r="I451">
        <v>774828392844.31995</v>
      </c>
      <c r="J451">
        <v>6.0301E-2</v>
      </c>
      <c r="K451">
        <v>5.5760000000000002E-3</v>
      </c>
      <c r="M451" t="s">
        <v>2</v>
      </c>
      <c r="N451">
        <v>2500</v>
      </c>
      <c r="O451">
        <v>120</v>
      </c>
      <c r="P451">
        <v>5</v>
      </c>
      <c r="Q451">
        <v>0</v>
      </c>
      <c r="R451">
        <v>45704723</v>
      </c>
      <c r="S451">
        <v>139910.85999999999</v>
      </c>
      <c r="T451">
        <v>45235967.920000002</v>
      </c>
      <c r="U451">
        <v>45564790.170000002</v>
      </c>
      <c r="V451">
        <v>8.3003999999999994E-2</v>
      </c>
      <c r="W451">
        <v>6.0000000000000002E-6</v>
      </c>
      <c r="Y451" t="s">
        <v>0</v>
      </c>
      <c r="Z451">
        <v>4250</v>
      </c>
      <c r="AA451">
        <v>108</v>
      </c>
      <c r="AB451">
        <v>54416</v>
      </c>
      <c r="AC451">
        <v>0</v>
      </c>
      <c r="AD451">
        <v>734331395668</v>
      </c>
      <c r="AE451">
        <v>1755309401.5699999</v>
      </c>
      <c r="AF451">
        <v>729167836618</v>
      </c>
      <c r="AG451">
        <v>731823553931.83997</v>
      </c>
      <c r="AH451">
        <v>5.4295999999999997E-2</v>
      </c>
      <c r="AI451">
        <v>1.2227999999999999E-2</v>
      </c>
    </row>
    <row r="452" spans="1:35" x14ac:dyDescent="0.35">
      <c r="A452" t="s">
        <v>2</v>
      </c>
      <c r="B452">
        <v>4250</v>
      </c>
      <c r="C452">
        <v>108</v>
      </c>
      <c r="D452">
        <v>8748</v>
      </c>
      <c r="E452">
        <v>0</v>
      </c>
      <c r="F452">
        <v>91311950767</v>
      </c>
      <c r="G452">
        <v>219275690.44</v>
      </c>
      <c r="H452">
        <v>90558359206.929993</v>
      </c>
      <c r="I452">
        <v>91027153158.839996</v>
      </c>
      <c r="J452">
        <v>6.8002000000000007E-2</v>
      </c>
      <c r="K452">
        <v>8.5769999999999996E-3</v>
      </c>
      <c r="M452" t="s">
        <v>0</v>
      </c>
      <c r="N452">
        <v>2500</v>
      </c>
      <c r="O452">
        <v>108</v>
      </c>
      <c r="P452">
        <v>60</v>
      </c>
      <c r="Q452">
        <v>0</v>
      </c>
      <c r="R452">
        <v>520843592</v>
      </c>
      <c r="S452">
        <v>1563038.07</v>
      </c>
      <c r="T452">
        <v>516241711.69</v>
      </c>
      <c r="U452">
        <v>519158134.69999999</v>
      </c>
      <c r="V452">
        <v>6.7809999999999995E-2</v>
      </c>
      <c r="W452">
        <v>2.8170000000000001E-3</v>
      </c>
      <c r="Y452" t="s">
        <v>2</v>
      </c>
      <c r="Z452">
        <v>3750</v>
      </c>
      <c r="AA452">
        <v>108</v>
      </c>
      <c r="AB452">
        <v>9382</v>
      </c>
      <c r="AC452">
        <v>0</v>
      </c>
      <c r="AD452">
        <v>108856785354</v>
      </c>
      <c r="AE452">
        <v>276329615.64999998</v>
      </c>
      <c r="AF452">
        <v>108186516120</v>
      </c>
      <c r="AG452">
        <v>108501247060.11</v>
      </c>
      <c r="AH452">
        <v>4.2573E-2</v>
      </c>
      <c r="AI452">
        <v>8.6969999999999999E-3</v>
      </c>
    </row>
    <row r="453" spans="1:35" x14ac:dyDescent="0.35">
      <c r="A453" t="s">
        <v>0</v>
      </c>
      <c r="B453">
        <v>5000</v>
      </c>
      <c r="C453">
        <v>84</v>
      </c>
      <c r="D453">
        <v>19009</v>
      </c>
      <c r="E453">
        <v>0</v>
      </c>
      <c r="F453">
        <v>271423619504</v>
      </c>
      <c r="G453">
        <v>517911081.16000003</v>
      </c>
      <c r="H453">
        <v>268837230439.26001</v>
      </c>
      <c r="I453">
        <v>270321377613.16</v>
      </c>
      <c r="J453">
        <v>8.7712999999999999E-2</v>
      </c>
      <c r="K453">
        <v>2.5530000000000001E-2</v>
      </c>
      <c r="M453" t="s">
        <v>3</v>
      </c>
      <c r="N453">
        <v>4000</v>
      </c>
      <c r="O453">
        <v>108</v>
      </c>
      <c r="P453">
        <v>337</v>
      </c>
      <c r="Q453">
        <v>0</v>
      </c>
      <c r="R453">
        <v>4650947712</v>
      </c>
      <c r="S453">
        <v>11428389.9</v>
      </c>
      <c r="T453">
        <v>4618538367.7399998</v>
      </c>
      <c r="U453">
        <v>4638203583.71</v>
      </c>
      <c r="V453">
        <v>5.2810000000000003E-2</v>
      </c>
      <c r="W453">
        <v>3.3890000000000001E-3</v>
      </c>
      <c r="Y453" t="s">
        <v>0</v>
      </c>
      <c r="Z453">
        <v>3750</v>
      </c>
      <c r="AA453">
        <v>108</v>
      </c>
      <c r="AB453">
        <v>56096</v>
      </c>
      <c r="AC453">
        <v>0</v>
      </c>
      <c r="AD453">
        <v>812806891917</v>
      </c>
      <c r="AE453">
        <v>2074986664.21</v>
      </c>
      <c r="AF453">
        <v>807347303855</v>
      </c>
      <c r="AG453">
        <v>810104400807.52002</v>
      </c>
      <c r="AH453">
        <v>4.8840000000000001E-2</v>
      </c>
      <c r="AI453">
        <v>9.2250000000000006E-3</v>
      </c>
    </row>
    <row r="454" spans="1:35" x14ac:dyDescent="0.35">
      <c r="A454" t="s">
        <v>1</v>
      </c>
      <c r="B454">
        <v>5000</v>
      </c>
      <c r="C454">
        <v>84</v>
      </c>
      <c r="D454">
        <v>2290</v>
      </c>
      <c r="E454">
        <v>0</v>
      </c>
      <c r="F454">
        <v>35120294267</v>
      </c>
      <c r="G454">
        <v>67792315.260000005</v>
      </c>
      <c r="H454">
        <v>34689421198.290001</v>
      </c>
      <c r="I454">
        <v>34926295624.660004</v>
      </c>
      <c r="J454">
        <v>0.117242</v>
      </c>
      <c r="K454">
        <v>4.2279999999999998E-2</v>
      </c>
      <c r="M454" t="s">
        <v>1</v>
      </c>
      <c r="N454">
        <v>5500</v>
      </c>
      <c r="O454">
        <v>108</v>
      </c>
      <c r="P454">
        <v>28</v>
      </c>
      <c r="Q454">
        <v>0</v>
      </c>
      <c r="R454">
        <v>274697682</v>
      </c>
      <c r="S454">
        <v>553011.59</v>
      </c>
      <c r="T454">
        <v>271873769.92000002</v>
      </c>
      <c r="U454">
        <v>274144287.76999998</v>
      </c>
      <c r="V454">
        <v>9.4813999999999996E-2</v>
      </c>
      <c r="W454">
        <v>1.7E-5</v>
      </c>
      <c r="Y454" t="s">
        <v>2</v>
      </c>
      <c r="Z454">
        <v>4250</v>
      </c>
      <c r="AA454">
        <v>108</v>
      </c>
      <c r="AB454">
        <v>8353</v>
      </c>
      <c r="AC454">
        <v>0</v>
      </c>
      <c r="AD454">
        <v>87262211014</v>
      </c>
      <c r="AE454">
        <v>208910033.41</v>
      </c>
      <c r="AF454">
        <v>86601499257</v>
      </c>
      <c r="AG454">
        <v>86988082582.630005</v>
      </c>
      <c r="AH454">
        <v>6.0391E-2</v>
      </c>
      <c r="AI454">
        <v>8.9320000000000007E-3</v>
      </c>
    </row>
    <row r="455" spans="1:35" x14ac:dyDescent="0.35">
      <c r="A455" t="s">
        <v>1</v>
      </c>
      <c r="B455">
        <v>3750</v>
      </c>
      <c r="C455">
        <v>108</v>
      </c>
      <c r="D455">
        <v>24902</v>
      </c>
      <c r="E455">
        <v>0</v>
      </c>
      <c r="F455">
        <v>445546193324</v>
      </c>
      <c r="G455">
        <v>1132055419.74</v>
      </c>
      <c r="H455">
        <v>441840143705.46997</v>
      </c>
      <c r="I455">
        <v>444147758022.19</v>
      </c>
      <c r="J455">
        <v>6.7165000000000002E-2</v>
      </c>
      <c r="K455">
        <v>7.1510000000000002E-3</v>
      </c>
      <c r="M455" t="s">
        <v>2</v>
      </c>
      <c r="N455">
        <v>5000</v>
      </c>
      <c r="O455">
        <v>108</v>
      </c>
      <c r="P455">
        <v>213</v>
      </c>
      <c r="Q455">
        <v>0</v>
      </c>
      <c r="R455">
        <v>1854074051</v>
      </c>
      <c r="S455">
        <v>4032195.03</v>
      </c>
      <c r="T455">
        <v>1836051546.5999999</v>
      </c>
      <c r="U455">
        <v>1847743778.5599999</v>
      </c>
      <c r="V455">
        <v>8.6884000000000003E-2</v>
      </c>
      <c r="W455">
        <v>1.4773E-2</v>
      </c>
      <c r="Y455" t="s">
        <v>0</v>
      </c>
      <c r="Z455">
        <v>5000</v>
      </c>
      <c r="AA455">
        <v>84</v>
      </c>
      <c r="AB455">
        <v>21999</v>
      </c>
      <c r="AC455">
        <v>0</v>
      </c>
      <c r="AD455">
        <v>313972468633</v>
      </c>
      <c r="AE455">
        <v>599141569.38999999</v>
      </c>
      <c r="AF455">
        <v>311570893296</v>
      </c>
      <c r="AG455">
        <v>312889896410.67999</v>
      </c>
      <c r="AH455">
        <v>6.6754999999999995E-2</v>
      </c>
      <c r="AI455">
        <v>1.8321E-2</v>
      </c>
    </row>
    <row r="456" spans="1:35" x14ac:dyDescent="0.35">
      <c r="A456" t="s">
        <v>0</v>
      </c>
      <c r="B456">
        <v>4750</v>
      </c>
      <c r="C456">
        <v>108</v>
      </c>
      <c r="D456">
        <v>19904</v>
      </c>
      <c r="E456">
        <v>0</v>
      </c>
      <c r="F456">
        <v>248348098813</v>
      </c>
      <c r="G456">
        <v>559921683.38999999</v>
      </c>
      <c r="H456">
        <v>246208678559.42999</v>
      </c>
      <c r="I456">
        <v>247496808927.26001</v>
      </c>
      <c r="J456">
        <v>7.3705999999999994E-2</v>
      </c>
      <c r="K456">
        <v>1.3988E-2</v>
      </c>
      <c r="M456" t="s">
        <v>2</v>
      </c>
      <c r="N456">
        <v>3250</v>
      </c>
      <c r="O456">
        <v>108</v>
      </c>
      <c r="P456">
        <v>4515</v>
      </c>
      <c r="Q456">
        <v>0</v>
      </c>
      <c r="R456">
        <v>53923490397</v>
      </c>
      <c r="S456">
        <v>148076037.25</v>
      </c>
      <c r="T456">
        <v>53491662692.720001</v>
      </c>
      <c r="U456">
        <v>53766027751.330002</v>
      </c>
      <c r="V456">
        <v>6.1350000000000002E-2</v>
      </c>
      <c r="W456">
        <v>2.0869999999999999E-3</v>
      </c>
      <c r="Y456" t="s">
        <v>1</v>
      </c>
      <c r="Z456">
        <v>5000</v>
      </c>
      <c r="AA456">
        <v>84</v>
      </c>
      <c r="AB456">
        <v>2923</v>
      </c>
      <c r="AC456">
        <v>0</v>
      </c>
      <c r="AD456">
        <v>45549626494</v>
      </c>
      <c r="AE456">
        <v>87885952.200000003</v>
      </c>
      <c r="AF456">
        <v>45153636849</v>
      </c>
      <c r="AG456">
        <v>45401046537.779999</v>
      </c>
      <c r="AH456">
        <v>7.8216999999999995E-2</v>
      </c>
      <c r="AI456">
        <v>1.5873000000000002E-2</v>
      </c>
    </row>
    <row r="457" spans="1:35" x14ac:dyDescent="0.35">
      <c r="A457" t="s">
        <v>2</v>
      </c>
      <c r="B457">
        <v>4750</v>
      </c>
      <c r="C457">
        <v>108</v>
      </c>
      <c r="D457">
        <v>2321</v>
      </c>
      <c r="E457">
        <v>0</v>
      </c>
      <c r="F457">
        <v>19746205807</v>
      </c>
      <c r="G457">
        <v>44770277.719999999</v>
      </c>
      <c r="H457">
        <v>19576564100.099998</v>
      </c>
      <c r="I457">
        <v>19685026438.259998</v>
      </c>
      <c r="J457">
        <v>7.3301000000000005E-2</v>
      </c>
      <c r="K457">
        <v>9.9270000000000001E-3</v>
      </c>
      <c r="M457" t="s">
        <v>0</v>
      </c>
      <c r="N457">
        <v>3250</v>
      </c>
      <c r="O457">
        <v>108</v>
      </c>
      <c r="P457">
        <v>23368</v>
      </c>
      <c r="Q457">
        <v>0</v>
      </c>
      <c r="R457">
        <v>352890629801</v>
      </c>
      <c r="S457">
        <v>973363219.24000001</v>
      </c>
      <c r="T457">
        <v>350153634588.44</v>
      </c>
      <c r="U457">
        <v>351820542956.96997</v>
      </c>
      <c r="V457">
        <v>5.8351E-2</v>
      </c>
      <c r="W457">
        <v>3.284E-3</v>
      </c>
      <c r="Y457" t="s">
        <v>2</v>
      </c>
      <c r="Z457">
        <v>5000</v>
      </c>
      <c r="AA457">
        <v>84</v>
      </c>
      <c r="AB457">
        <v>2975</v>
      </c>
      <c r="AC457">
        <v>0</v>
      </c>
      <c r="AD457">
        <v>31479980525</v>
      </c>
      <c r="AE457">
        <v>60450179.869999997</v>
      </c>
      <c r="AF457">
        <v>31296408265</v>
      </c>
      <c r="AG457">
        <v>31389264736.27</v>
      </c>
      <c r="AH457">
        <v>4.5936999999999999E-2</v>
      </c>
      <c r="AI457">
        <v>1.1476E-2</v>
      </c>
    </row>
    <row r="458" spans="1:35" x14ac:dyDescent="0.35">
      <c r="A458" t="s">
        <v>0</v>
      </c>
      <c r="B458">
        <v>4750</v>
      </c>
      <c r="C458">
        <v>96</v>
      </c>
      <c r="D458">
        <v>40540</v>
      </c>
      <c r="E458">
        <v>0</v>
      </c>
      <c r="F458">
        <v>568170890801</v>
      </c>
      <c r="G458">
        <v>1188516815.3</v>
      </c>
      <c r="H458">
        <v>563255770874.38</v>
      </c>
      <c r="I458">
        <v>566250985315</v>
      </c>
      <c r="J458">
        <v>7.5928999999999996E-2</v>
      </c>
      <c r="K458">
        <v>1.5337999999999999E-2</v>
      </c>
      <c r="M458" t="s">
        <v>1</v>
      </c>
      <c r="N458">
        <v>3250</v>
      </c>
      <c r="O458">
        <v>108</v>
      </c>
      <c r="P458">
        <v>23212</v>
      </c>
      <c r="Q458">
        <v>0</v>
      </c>
      <c r="R458">
        <v>430914192059</v>
      </c>
      <c r="S458">
        <v>1185120598.6199999</v>
      </c>
      <c r="T458">
        <v>427457243126.63</v>
      </c>
      <c r="U458">
        <v>429578176172.62</v>
      </c>
      <c r="V458">
        <v>6.1462999999999997E-2</v>
      </c>
      <c r="W458">
        <v>4.1939999999999998E-3</v>
      </c>
      <c r="Y458" t="s">
        <v>1</v>
      </c>
      <c r="Z458">
        <v>3750</v>
      </c>
      <c r="AA458">
        <v>108</v>
      </c>
      <c r="AB458">
        <v>24192</v>
      </c>
      <c r="AC458">
        <v>0</v>
      </c>
      <c r="AD458">
        <v>430630092618</v>
      </c>
      <c r="AE458">
        <v>1092616210.2</v>
      </c>
      <c r="AF458">
        <v>427614984896</v>
      </c>
      <c r="AG458">
        <v>429051123944.71997</v>
      </c>
      <c r="AH458">
        <v>5.2276000000000003E-2</v>
      </c>
      <c r="AI458">
        <v>1.3469E-2</v>
      </c>
    </row>
    <row r="459" spans="1:35" x14ac:dyDescent="0.35">
      <c r="A459" t="s">
        <v>1</v>
      </c>
      <c r="B459">
        <v>4750</v>
      </c>
      <c r="C459">
        <v>108</v>
      </c>
      <c r="D459">
        <v>2224</v>
      </c>
      <c r="E459">
        <v>0</v>
      </c>
      <c r="F459">
        <v>28779950705</v>
      </c>
      <c r="G459">
        <v>64879251.210000001</v>
      </c>
      <c r="H459">
        <v>28423065228.220001</v>
      </c>
      <c r="I459">
        <v>28640939334.419998</v>
      </c>
      <c r="J459">
        <v>0.11518399999999999</v>
      </c>
      <c r="K459">
        <v>3.0476E-2</v>
      </c>
      <c r="M459" t="s">
        <v>1</v>
      </c>
      <c r="N459">
        <v>4250</v>
      </c>
      <c r="O459">
        <v>108</v>
      </c>
      <c r="P459">
        <v>8044</v>
      </c>
      <c r="Q459">
        <v>0</v>
      </c>
      <c r="R459">
        <v>120350082278</v>
      </c>
      <c r="S459">
        <v>286825654.42000002</v>
      </c>
      <c r="T459">
        <v>119177429332.11</v>
      </c>
      <c r="U459">
        <v>119884416111.25999</v>
      </c>
      <c r="V459">
        <v>8.4835999999999995E-2</v>
      </c>
      <c r="W459">
        <v>1.7687000000000001E-2</v>
      </c>
      <c r="Y459" t="s">
        <v>0</v>
      </c>
      <c r="Z459">
        <v>4750</v>
      </c>
      <c r="AA459">
        <v>108</v>
      </c>
      <c r="AB459">
        <v>18802</v>
      </c>
      <c r="AC459">
        <v>0</v>
      </c>
      <c r="AD459">
        <v>234067724408</v>
      </c>
      <c r="AE459">
        <v>526203115.11000001</v>
      </c>
      <c r="AF459">
        <v>232367670894</v>
      </c>
      <c r="AG459">
        <v>233145254408.73001</v>
      </c>
      <c r="AH459">
        <v>5.8548000000000003E-2</v>
      </c>
      <c r="AI459">
        <v>2.0126999999999999E-2</v>
      </c>
    </row>
    <row r="460" spans="1:35" x14ac:dyDescent="0.35">
      <c r="A460" t="s">
        <v>1</v>
      </c>
      <c r="B460">
        <v>4750</v>
      </c>
      <c r="C460">
        <v>96</v>
      </c>
      <c r="D460">
        <v>6897</v>
      </c>
      <c r="E460">
        <v>0</v>
      </c>
      <c r="F460">
        <v>111587228916</v>
      </c>
      <c r="G460">
        <v>233429035.53</v>
      </c>
      <c r="H460">
        <v>110432856935.39999</v>
      </c>
      <c r="I460">
        <v>111183336833.64</v>
      </c>
      <c r="J460">
        <v>9.4662999999999997E-2</v>
      </c>
      <c r="K460">
        <v>1.8178E-2</v>
      </c>
      <c r="M460" t="s">
        <v>2</v>
      </c>
      <c r="N460">
        <v>2500</v>
      </c>
      <c r="O460">
        <v>108</v>
      </c>
      <c r="P460">
        <v>8</v>
      </c>
      <c r="Q460">
        <v>0</v>
      </c>
      <c r="R460">
        <v>75600099</v>
      </c>
      <c r="S460">
        <v>226874.87</v>
      </c>
      <c r="T460">
        <v>74783260.530000001</v>
      </c>
      <c r="U460">
        <v>75368316.239999995</v>
      </c>
      <c r="V460">
        <v>8.9728000000000002E-2</v>
      </c>
      <c r="W460">
        <v>7.7899999999999996E-4</v>
      </c>
      <c r="Y460" t="s">
        <v>0</v>
      </c>
      <c r="Z460">
        <v>4250</v>
      </c>
      <c r="AA460">
        <v>96</v>
      </c>
      <c r="AB460">
        <v>33363</v>
      </c>
      <c r="AC460">
        <v>0</v>
      </c>
      <c r="AD460">
        <v>466087679393</v>
      </c>
      <c r="AE460">
        <v>1053504976.77</v>
      </c>
      <c r="AF460">
        <v>462642581517</v>
      </c>
      <c r="AG460">
        <v>464686764887.57001</v>
      </c>
      <c r="AH460">
        <v>5.9866000000000003E-2</v>
      </c>
      <c r="AI460">
        <v>8.9079999999999993E-3</v>
      </c>
    </row>
    <row r="461" spans="1:35" x14ac:dyDescent="0.35">
      <c r="A461" t="s">
        <v>0</v>
      </c>
      <c r="B461">
        <v>4250</v>
      </c>
      <c r="C461">
        <v>96</v>
      </c>
      <c r="D461">
        <v>28810</v>
      </c>
      <c r="E461">
        <v>0</v>
      </c>
      <c r="F461">
        <v>404689653629</v>
      </c>
      <c r="G461">
        <v>916065429.71000004</v>
      </c>
      <c r="H461">
        <v>401272215406.5</v>
      </c>
      <c r="I461">
        <v>403223413317.14001</v>
      </c>
      <c r="J461">
        <v>7.1701000000000001E-2</v>
      </c>
      <c r="K461">
        <v>1.6192999999999999E-2</v>
      </c>
      <c r="M461" t="s">
        <v>0</v>
      </c>
      <c r="N461">
        <v>4250</v>
      </c>
      <c r="O461">
        <v>108</v>
      </c>
      <c r="P461">
        <v>48058</v>
      </c>
      <c r="Q461">
        <v>0</v>
      </c>
      <c r="R461">
        <v>650362796441</v>
      </c>
      <c r="S461">
        <v>1547865969.05</v>
      </c>
      <c r="T461">
        <v>645174836643.38</v>
      </c>
      <c r="U461">
        <v>648384439827.43994</v>
      </c>
      <c r="V461">
        <v>6.5134999999999998E-2</v>
      </c>
      <c r="W461">
        <v>7.9139999999999992E-3</v>
      </c>
      <c r="Y461" t="s">
        <v>2</v>
      </c>
      <c r="Z461">
        <v>4250</v>
      </c>
      <c r="AA461">
        <v>96</v>
      </c>
      <c r="AB461">
        <v>4525</v>
      </c>
      <c r="AC461">
        <v>0</v>
      </c>
      <c r="AD461">
        <v>52314073488</v>
      </c>
      <c r="AE461">
        <v>118046606.94</v>
      </c>
      <c r="AF461">
        <v>51887058464</v>
      </c>
      <c r="AG461">
        <v>52168598976.18</v>
      </c>
      <c r="AH461">
        <v>6.8614999999999995E-2</v>
      </c>
      <c r="AI461">
        <v>6.2729999999999999E-3</v>
      </c>
    </row>
    <row r="462" spans="1:35" x14ac:dyDescent="0.35">
      <c r="A462" t="s">
        <v>2</v>
      </c>
      <c r="B462">
        <v>3750</v>
      </c>
      <c r="C462">
        <v>96</v>
      </c>
      <c r="D462">
        <v>2113</v>
      </c>
      <c r="E462">
        <v>0</v>
      </c>
      <c r="F462">
        <v>25620976338</v>
      </c>
      <c r="G462">
        <v>62367205.560000002</v>
      </c>
      <c r="H462">
        <v>25416548306.240002</v>
      </c>
      <c r="I462">
        <v>25542861031.119999</v>
      </c>
      <c r="J462">
        <v>6.4544000000000004E-2</v>
      </c>
      <c r="K462">
        <v>7.3509999999999999E-3</v>
      </c>
      <c r="M462" t="s">
        <v>2</v>
      </c>
      <c r="N462">
        <v>3750</v>
      </c>
      <c r="O462">
        <v>108</v>
      </c>
      <c r="P462">
        <v>9098</v>
      </c>
      <c r="Q462">
        <v>0</v>
      </c>
      <c r="R462">
        <v>103476467811</v>
      </c>
      <c r="S462">
        <v>262970066.16999999</v>
      </c>
      <c r="T462">
        <v>102644612921.22</v>
      </c>
      <c r="U462">
        <v>103176745568.97</v>
      </c>
      <c r="V462">
        <v>6.4014000000000001E-2</v>
      </c>
      <c r="W462">
        <v>4.254E-3</v>
      </c>
      <c r="Y462" t="s">
        <v>2</v>
      </c>
      <c r="Z462">
        <v>4750</v>
      </c>
      <c r="AA462">
        <v>96</v>
      </c>
      <c r="AB462">
        <v>6467</v>
      </c>
      <c r="AC462">
        <v>0</v>
      </c>
      <c r="AD462">
        <v>70342160998</v>
      </c>
      <c r="AE462">
        <v>146829709.59</v>
      </c>
      <c r="AF462">
        <v>69833380574</v>
      </c>
      <c r="AG462">
        <v>70142140091.619995</v>
      </c>
      <c r="AH462">
        <v>6.0028999999999999E-2</v>
      </c>
      <c r="AI462">
        <v>9.0360000000000006E-3</v>
      </c>
    </row>
    <row r="463" spans="1:35" x14ac:dyDescent="0.35">
      <c r="A463" t="s">
        <v>2</v>
      </c>
      <c r="B463">
        <v>4750</v>
      </c>
      <c r="C463">
        <v>96</v>
      </c>
      <c r="D463">
        <v>6682</v>
      </c>
      <c r="E463">
        <v>0</v>
      </c>
      <c r="F463">
        <v>72764599862</v>
      </c>
      <c r="G463">
        <v>152445344.41999999</v>
      </c>
      <c r="H463">
        <v>72144296804.740005</v>
      </c>
      <c r="I463">
        <v>72557175076.119995</v>
      </c>
      <c r="J463">
        <v>7.4485999999999997E-2</v>
      </c>
      <c r="K463">
        <v>9.0290000000000006E-3</v>
      </c>
      <c r="M463" t="s">
        <v>0</v>
      </c>
      <c r="N463">
        <v>3750</v>
      </c>
      <c r="O463">
        <v>108</v>
      </c>
      <c r="P463">
        <v>62096</v>
      </c>
      <c r="Q463">
        <v>0</v>
      </c>
      <c r="R463">
        <v>873291346318</v>
      </c>
      <c r="S463">
        <v>2233910941.1100001</v>
      </c>
      <c r="T463">
        <v>866436334697.71997</v>
      </c>
      <c r="U463">
        <v>870521882215.10999</v>
      </c>
      <c r="V463">
        <v>6.1683000000000002E-2</v>
      </c>
      <c r="W463">
        <v>7.3340000000000002E-3</v>
      </c>
      <c r="Y463" t="s">
        <v>0</v>
      </c>
      <c r="Z463">
        <v>4750</v>
      </c>
      <c r="AA463">
        <v>96</v>
      </c>
      <c r="AB463">
        <v>39520</v>
      </c>
      <c r="AC463">
        <v>0</v>
      </c>
      <c r="AD463">
        <v>553618907741</v>
      </c>
      <c r="AE463">
        <v>1155632720.7</v>
      </c>
      <c r="AF463">
        <v>549571922825</v>
      </c>
      <c r="AG463">
        <v>551881459453.77002</v>
      </c>
      <c r="AH463">
        <v>6.0901999999999998E-2</v>
      </c>
      <c r="AI463">
        <v>1.2539E-2</v>
      </c>
    </row>
    <row r="464" spans="1:35" x14ac:dyDescent="0.35">
      <c r="A464" t="s">
        <v>1</v>
      </c>
      <c r="B464">
        <v>3250</v>
      </c>
      <c r="C464">
        <v>96</v>
      </c>
      <c r="D464">
        <v>986</v>
      </c>
      <c r="E464">
        <v>0</v>
      </c>
      <c r="F464">
        <v>18055410346</v>
      </c>
      <c r="G464">
        <v>46801419.759999998</v>
      </c>
      <c r="H464">
        <v>17892849545.34</v>
      </c>
      <c r="I464">
        <v>17994433313.599998</v>
      </c>
      <c r="J464">
        <v>7.4279999999999999E-2</v>
      </c>
      <c r="K464">
        <v>9.3810000000000004E-3</v>
      </c>
      <c r="M464" t="s">
        <v>2</v>
      </c>
      <c r="N464">
        <v>4250</v>
      </c>
      <c r="O464">
        <v>108</v>
      </c>
      <c r="P464">
        <v>7281</v>
      </c>
      <c r="Q464">
        <v>0</v>
      </c>
      <c r="R464">
        <v>75932704243</v>
      </c>
      <c r="S464">
        <v>180578658.72</v>
      </c>
      <c r="T464">
        <v>75307920105.929993</v>
      </c>
      <c r="U464">
        <v>75705872172.139999</v>
      </c>
      <c r="V464">
        <v>6.7985000000000004E-2</v>
      </c>
      <c r="W464">
        <v>7.2849999999999998E-3</v>
      </c>
      <c r="Y464" t="s">
        <v>2</v>
      </c>
      <c r="Z464">
        <v>4750</v>
      </c>
      <c r="AA464">
        <v>108</v>
      </c>
      <c r="AB464">
        <v>2223</v>
      </c>
      <c r="AC464">
        <v>0</v>
      </c>
      <c r="AD464">
        <v>18901186584</v>
      </c>
      <c r="AE464">
        <v>42680170.439999998</v>
      </c>
      <c r="AF464">
        <v>18737839907</v>
      </c>
      <c r="AG464">
        <v>18820245547.75</v>
      </c>
      <c r="AH464">
        <v>7.3974999999999999E-2</v>
      </c>
      <c r="AI464">
        <v>2.4022000000000002E-2</v>
      </c>
    </row>
    <row r="465" spans="1:35" x14ac:dyDescent="0.35">
      <c r="A465" t="s">
        <v>1</v>
      </c>
      <c r="B465">
        <v>5500</v>
      </c>
      <c r="C465">
        <v>96</v>
      </c>
      <c r="D465">
        <v>1076</v>
      </c>
      <c r="E465">
        <v>0</v>
      </c>
      <c r="F465">
        <v>14393548578</v>
      </c>
      <c r="G465">
        <v>26983325.73</v>
      </c>
      <c r="H465">
        <v>14187597746.860001</v>
      </c>
      <c r="I465">
        <v>14324998575.66</v>
      </c>
      <c r="J465">
        <v>0.13941400000000001</v>
      </c>
      <c r="K465">
        <v>3.4109E-2</v>
      </c>
      <c r="M465" t="s">
        <v>0</v>
      </c>
      <c r="N465">
        <v>5000</v>
      </c>
      <c r="O465">
        <v>84</v>
      </c>
      <c r="P465">
        <v>28755</v>
      </c>
      <c r="Q465">
        <v>0</v>
      </c>
      <c r="R465">
        <v>408289795921</v>
      </c>
      <c r="S465">
        <v>778523782.03999996</v>
      </c>
      <c r="T465">
        <v>404540399803.63</v>
      </c>
      <c r="U465">
        <v>406847356228.09998</v>
      </c>
      <c r="V465">
        <v>8.3905999999999994E-2</v>
      </c>
      <c r="W465">
        <v>1.934E-2</v>
      </c>
      <c r="Y465" t="s">
        <v>1</v>
      </c>
      <c r="Z465">
        <v>4750</v>
      </c>
      <c r="AA465">
        <v>108</v>
      </c>
      <c r="AB465">
        <v>2077</v>
      </c>
      <c r="AC465">
        <v>0</v>
      </c>
      <c r="AD465">
        <v>26820180326</v>
      </c>
      <c r="AE465">
        <v>60313432.960000001</v>
      </c>
      <c r="AF465">
        <v>26462518939</v>
      </c>
      <c r="AG465">
        <v>26692256804.759998</v>
      </c>
      <c r="AH465">
        <v>0.125221</v>
      </c>
      <c r="AI465">
        <v>2.9833999999999999E-2</v>
      </c>
    </row>
    <row r="466" spans="1:35" x14ac:dyDescent="0.35">
      <c r="A466" t="s">
        <v>3</v>
      </c>
      <c r="B466">
        <v>5000</v>
      </c>
      <c r="C466">
        <v>108</v>
      </c>
      <c r="D466">
        <v>10</v>
      </c>
      <c r="E466">
        <v>0</v>
      </c>
      <c r="F466">
        <v>102830909</v>
      </c>
      <c r="G466">
        <v>224918.92</v>
      </c>
      <c r="H466">
        <v>102131467.44</v>
      </c>
      <c r="I466">
        <v>102605985.56999999</v>
      </c>
      <c r="J466">
        <v>5.3990999999999997E-2</v>
      </c>
      <c r="K466">
        <v>9.9999999999999995E-7</v>
      </c>
      <c r="M466" t="s">
        <v>1</v>
      </c>
      <c r="N466">
        <v>5000</v>
      </c>
      <c r="O466">
        <v>84</v>
      </c>
      <c r="P466">
        <v>4192</v>
      </c>
      <c r="Q466">
        <v>0</v>
      </c>
      <c r="R466">
        <v>64695489317</v>
      </c>
      <c r="S466">
        <v>124482634.17</v>
      </c>
      <c r="T466">
        <v>63915755607.93</v>
      </c>
      <c r="U466">
        <v>64407566444.389999</v>
      </c>
      <c r="V466">
        <v>0.114992</v>
      </c>
      <c r="W466">
        <v>2.9898000000000001E-2</v>
      </c>
      <c r="Y466" t="s">
        <v>1</v>
      </c>
      <c r="Z466">
        <v>4750</v>
      </c>
      <c r="AA466">
        <v>96</v>
      </c>
      <c r="AB466">
        <v>6696</v>
      </c>
      <c r="AC466">
        <v>0</v>
      </c>
      <c r="AD466">
        <v>107921195914</v>
      </c>
      <c r="AE466">
        <v>225131537.74000001</v>
      </c>
      <c r="AF466">
        <v>106772898789</v>
      </c>
      <c r="AG466">
        <v>107427853324.89</v>
      </c>
      <c r="AH466">
        <v>9.7955E-2</v>
      </c>
      <c r="AI466">
        <v>2.9419000000000001E-2</v>
      </c>
    </row>
    <row r="467" spans="1:35" x14ac:dyDescent="0.35">
      <c r="A467" t="s">
        <v>1</v>
      </c>
      <c r="B467">
        <v>3750</v>
      </c>
      <c r="C467">
        <v>96</v>
      </c>
      <c r="D467">
        <v>6432</v>
      </c>
      <c r="E467">
        <v>0</v>
      </c>
      <c r="F467">
        <v>119371341431</v>
      </c>
      <c r="G467">
        <v>290183521.85000002</v>
      </c>
      <c r="H467">
        <v>118294021022.23</v>
      </c>
      <c r="I467">
        <v>118971684864.02</v>
      </c>
      <c r="J467">
        <v>7.6321E-2</v>
      </c>
      <c r="K467">
        <v>1.095E-2</v>
      </c>
      <c r="M467" t="s">
        <v>2</v>
      </c>
      <c r="N467">
        <v>5000</v>
      </c>
      <c r="O467">
        <v>84</v>
      </c>
      <c r="P467">
        <v>4423</v>
      </c>
      <c r="Q467">
        <v>0</v>
      </c>
      <c r="R467">
        <v>47396414930</v>
      </c>
      <c r="S467">
        <v>90786046.159999996</v>
      </c>
      <c r="T467">
        <v>46985281228.07</v>
      </c>
      <c r="U467">
        <v>47265001049.93</v>
      </c>
      <c r="V467">
        <v>7.8159000000000006E-2</v>
      </c>
      <c r="W467">
        <v>1.0238000000000001E-2</v>
      </c>
      <c r="Y467" t="s">
        <v>2</v>
      </c>
      <c r="Z467">
        <v>3750</v>
      </c>
      <c r="AA467">
        <v>96</v>
      </c>
      <c r="AB467">
        <v>2970</v>
      </c>
      <c r="AC467">
        <v>0</v>
      </c>
      <c r="AD467">
        <v>36029189584</v>
      </c>
      <c r="AE467">
        <v>87604898.980000004</v>
      </c>
      <c r="AF467">
        <v>35730321387</v>
      </c>
      <c r="AG467">
        <v>35886365714.389999</v>
      </c>
      <c r="AH467">
        <v>6.8139000000000005E-2</v>
      </c>
      <c r="AI467">
        <v>1.8237E-2</v>
      </c>
    </row>
    <row r="468" spans="1:35" x14ac:dyDescent="0.35">
      <c r="A468" t="s">
        <v>2</v>
      </c>
      <c r="B468">
        <v>5500</v>
      </c>
      <c r="C468">
        <v>96</v>
      </c>
      <c r="D468">
        <v>1136</v>
      </c>
      <c r="E468">
        <v>0</v>
      </c>
      <c r="F468">
        <v>10786630069</v>
      </c>
      <c r="G468">
        <v>20012989.899999999</v>
      </c>
      <c r="H468">
        <v>10694291651.1</v>
      </c>
      <c r="I468">
        <v>10753612761.01</v>
      </c>
      <c r="J468">
        <v>7.7559000000000003E-2</v>
      </c>
      <c r="K468">
        <v>1.4371999999999999E-2</v>
      </c>
      <c r="M468" t="s">
        <v>1</v>
      </c>
      <c r="N468">
        <v>3750</v>
      </c>
      <c r="O468">
        <v>108</v>
      </c>
      <c r="P468">
        <v>22203</v>
      </c>
      <c r="Q468">
        <v>0</v>
      </c>
      <c r="R468">
        <v>388581148656</v>
      </c>
      <c r="S468">
        <v>984753085.72000003</v>
      </c>
      <c r="T468">
        <v>385298775809.39001</v>
      </c>
      <c r="U468">
        <v>387368842353.28003</v>
      </c>
      <c r="V468">
        <v>6.8692000000000003E-2</v>
      </c>
      <c r="W468">
        <v>7.0049999999999999E-3</v>
      </c>
      <c r="Y468" t="s">
        <v>1</v>
      </c>
      <c r="Z468">
        <v>3250</v>
      </c>
      <c r="AA468">
        <v>96</v>
      </c>
      <c r="AB468">
        <v>1552</v>
      </c>
      <c r="AC468">
        <v>0</v>
      </c>
      <c r="AD468">
        <v>28907218711</v>
      </c>
      <c r="AE468">
        <v>74824442.519999996</v>
      </c>
      <c r="AF468">
        <v>28711089152</v>
      </c>
      <c r="AG468">
        <v>28799715859.860001</v>
      </c>
      <c r="AH468">
        <v>4.9209999999999997E-2</v>
      </c>
      <c r="AI468">
        <v>1.3481E-2</v>
      </c>
    </row>
    <row r="469" spans="1:35" x14ac:dyDescent="0.35">
      <c r="A469" t="s">
        <v>0</v>
      </c>
      <c r="B469">
        <v>6000</v>
      </c>
      <c r="C469">
        <v>96</v>
      </c>
      <c r="D469">
        <v>1584</v>
      </c>
      <c r="E469">
        <v>0</v>
      </c>
      <c r="F469">
        <v>20676475825</v>
      </c>
      <c r="G469">
        <v>36138405.640000001</v>
      </c>
      <c r="H469">
        <v>20441070735.57</v>
      </c>
      <c r="I469">
        <v>20568125041.200001</v>
      </c>
      <c r="J469">
        <v>0.109711</v>
      </c>
      <c r="K469">
        <v>4.1113999999999998E-2</v>
      </c>
      <c r="M469" t="s">
        <v>0</v>
      </c>
      <c r="N469">
        <v>4750</v>
      </c>
      <c r="O469">
        <v>108</v>
      </c>
      <c r="P469">
        <v>16349</v>
      </c>
      <c r="Q469">
        <v>0</v>
      </c>
      <c r="R469">
        <v>202003231686</v>
      </c>
      <c r="S469">
        <v>451746862.62</v>
      </c>
      <c r="T469">
        <v>200271693956.35001</v>
      </c>
      <c r="U469">
        <v>201356470569.20001</v>
      </c>
      <c r="V469">
        <v>7.3431999999999997E-2</v>
      </c>
      <c r="W469">
        <v>1.1524E-2</v>
      </c>
      <c r="Y469" t="s">
        <v>3</v>
      </c>
      <c r="Z469">
        <v>5000</v>
      </c>
      <c r="AA469">
        <v>108</v>
      </c>
      <c r="AB469">
        <v>10</v>
      </c>
      <c r="AC469">
        <v>0</v>
      </c>
      <c r="AD469">
        <v>103055843</v>
      </c>
      <c r="AE469">
        <v>223999.03</v>
      </c>
      <c r="AF469">
        <v>102830909</v>
      </c>
      <c r="AG469">
        <v>102830909</v>
      </c>
      <c r="AH469">
        <v>1.0900000000000001E-4</v>
      </c>
      <c r="AI469">
        <v>1.0900000000000001E-4</v>
      </c>
    </row>
    <row r="470" spans="1:35" x14ac:dyDescent="0.35">
      <c r="A470" t="s">
        <v>2</v>
      </c>
      <c r="B470">
        <v>3250</v>
      </c>
      <c r="C470">
        <v>96</v>
      </c>
      <c r="D470">
        <v>215</v>
      </c>
      <c r="E470">
        <v>0</v>
      </c>
      <c r="F470">
        <v>2473524601</v>
      </c>
      <c r="G470">
        <v>6400254.4199999999</v>
      </c>
      <c r="H470">
        <v>2454210043.02</v>
      </c>
      <c r="I470">
        <v>2465156999</v>
      </c>
      <c r="J470">
        <v>6.0884000000000001E-2</v>
      </c>
      <c r="K470">
        <v>9.5029999999999993E-3</v>
      </c>
      <c r="M470" t="s">
        <v>1</v>
      </c>
      <c r="N470">
        <v>3250</v>
      </c>
      <c r="O470">
        <v>96</v>
      </c>
      <c r="P470">
        <v>2952</v>
      </c>
      <c r="Q470">
        <v>0</v>
      </c>
      <c r="R470">
        <v>56081768951</v>
      </c>
      <c r="S470">
        <v>144738142.13999999</v>
      </c>
      <c r="T470">
        <v>55612021137.900002</v>
      </c>
      <c r="U470">
        <v>55905063389.010002</v>
      </c>
      <c r="V470">
        <v>6.7368999999999998E-2</v>
      </c>
      <c r="W470">
        <v>6.8190000000000004E-3</v>
      </c>
      <c r="Y470" t="s">
        <v>1</v>
      </c>
      <c r="Z470">
        <v>3750</v>
      </c>
      <c r="AA470">
        <v>96</v>
      </c>
      <c r="AB470">
        <v>8403</v>
      </c>
      <c r="AC470">
        <v>0</v>
      </c>
      <c r="AD470">
        <v>155384429979</v>
      </c>
      <c r="AE470">
        <v>377032270.19999999</v>
      </c>
      <c r="AF470">
        <v>154175744176.26001</v>
      </c>
      <c r="AG470">
        <v>154749344264.25</v>
      </c>
      <c r="AH470">
        <v>6.2369000000000001E-2</v>
      </c>
      <c r="AI470">
        <v>1.9748000000000002E-2</v>
      </c>
    </row>
    <row r="471" spans="1:35" x14ac:dyDescent="0.35">
      <c r="A471" t="s">
        <v>0</v>
      </c>
      <c r="B471">
        <v>3750</v>
      </c>
      <c r="C471">
        <v>96</v>
      </c>
      <c r="D471">
        <v>10223</v>
      </c>
      <c r="E471">
        <v>0</v>
      </c>
      <c r="F471">
        <v>158299964402</v>
      </c>
      <c r="G471">
        <v>384609475.58999997</v>
      </c>
      <c r="H471">
        <v>157034719011.73001</v>
      </c>
      <c r="I471">
        <v>157817753098.62</v>
      </c>
      <c r="J471">
        <v>6.4752000000000004E-2</v>
      </c>
      <c r="K471">
        <v>7.3740000000000003E-3</v>
      </c>
      <c r="M471" t="s">
        <v>0</v>
      </c>
      <c r="N471">
        <v>4250</v>
      </c>
      <c r="O471">
        <v>96</v>
      </c>
      <c r="P471">
        <v>41728</v>
      </c>
      <c r="Q471">
        <v>0</v>
      </c>
      <c r="R471">
        <v>574451241016</v>
      </c>
      <c r="S471">
        <v>1295742557.2</v>
      </c>
      <c r="T471">
        <v>569674459074.68005</v>
      </c>
      <c r="U471">
        <v>572580705235.73999</v>
      </c>
      <c r="V471">
        <v>7.0342000000000002E-2</v>
      </c>
      <c r="W471">
        <v>1.1941E-2</v>
      </c>
      <c r="Y471" t="s">
        <v>0</v>
      </c>
      <c r="Z471">
        <v>3750</v>
      </c>
      <c r="AA471">
        <v>96</v>
      </c>
      <c r="AB471">
        <v>14146</v>
      </c>
      <c r="AC471">
        <v>0</v>
      </c>
      <c r="AD471">
        <v>220774051546</v>
      </c>
      <c r="AE471">
        <v>536010746.38999999</v>
      </c>
      <c r="AF471">
        <v>219445863503</v>
      </c>
      <c r="AG471">
        <v>220069266403.32999</v>
      </c>
      <c r="AH471">
        <v>4.2219E-2</v>
      </c>
      <c r="AI471">
        <v>9.1350000000000008E-3</v>
      </c>
    </row>
    <row r="472" spans="1:35" x14ac:dyDescent="0.35">
      <c r="A472" t="s">
        <v>0</v>
      </c>
      <c r="B472">
        <v>5250</v>
      </c>
      <c r="C472">
        <v>96</v>
      </c>
      <c r="D472">
        <v>21566</v>
      </c>
      <c r="E472">
        <v>0</v>
      </c>
      <c r="F472">
        <v>296478547050</v>
      </c>
      <c r="G472">
        <v>578347585.35000002</v>
      </c>
      <c r="H472">
        <v>293931670259.58002</v>
      </c>
      <c r="I472">
        <v>295437268945.35999</v>
      </c>
      <c r="J472">
        <v>7.6829999999999996E-2</v>
      </c>
      <c r="K472">
        <v>1.8577E-2</v>
      </c>
      <c r="M472" t="s">
        <v>2</v>
      </c>
      <c r="N472">
        <v>3750</v>
      </c>
      <c r="O472">
        <v>96</v>
      </c>
      <c r="P472">
        <v>4760</v>
      </c>
      <c r="Q472">
        <v>0</v>
      </c>
      <c r="R472">
        <v>57965452826</v>
      </c>
      <c r="S472">
        <v>140574596.12</v>
      </c>
      <c r="T472">
        <v>57493423642.800003</v>
      </c>
      <c r="U472">
        <v>57804650856.699997</v>
      </c>
      <c r="V472">
        <v>6.6500000000000004E-2</v>
      </c>
      <c r="W472">
        <v>4.1790000000000004E-3</v>
      </c>
      <c r="Y472" t="s">
        <v>2</v>
      </c>
      <c r="Z472">
        <v>5500</v>
      </c>
      <c r="AA472">
        <v>96</v>
      </c>
      <c r="AB472">
        <v>763</v>
      </c>
      <c r="AC472">
        <v>0</v>
      </c>
      <c r="AD472">
        <v>7124668262</v>
      </c>
      <c r="AE472">
        <v>13215013.300000001</v>
      </c>
      <c r="AF472">
        <v>7095918875</v>
      </c>
      <c r="AG472">
        <v>7110460409.54</v>
      </c>
      <c r="AH472">
        <v>2.5853000000000001E-2</v>
      </c>
      <c r="AI472">
        <v>1.671E-3</v>
      </c>
    </row>
    <row r="473" spans="1:35" x14ac:dyDescent="0.35">
      <c r="A473" t="s">
        <v>2</v>
      </c>
      <c r="B473">
        <v>4250</v>
      </c>
      <c r="C473">
        <v>96</v>
      </c>
      <c r="D473">
        <v>3965</v>
      </c>
      <c r="E473">
        <v>0</v>
      </c>
      <c r="F473">
        <v>46545650003</v>
      </c>
      <c r="G473">
        <v>105193193.22</v>
      </c>
      <c r="H473">
        <v>46176654017.839996</v>
      </c>
      <c r="I473">
        <v>46409873066.330002</v>
      </c>
      <c r="J473">
        <v>6.5931000000000003E-2</v>
      </c>
      <c r="K473">
        <v>7.8560000000000001E-3</v>
      </c>
      <c r="M473" t="s">
        <v>2</v>
      </c>
      <c r="N473">
        <v>4250</v>
      </c>
      <c r="O473">
        <v>96</v>
      </c>
      <c r="P473">
        <v>5532</v>
      </c>
      <c r="Q473">
        <v>0</v>
      </c>
      <c r="R473">
        <v>62602486765</v>
      </c>
      <c r="S473">
        <v>141355409.44999999</v>
      </c>
      <c r="T473">
        <v>62093150310.830002</v>
      </c>
      <c r="U473">
        <v>62427784824.910004</v>
      </c>
      <c r="V473">
        <v>6.83E-2</v>
      </c>
      <c r="W473">
        <v>6.3730000000000002E-3</v>
      </c>
      <c r="Y473" t="s">
        <v>0</v>
      </c>
      <c r="Z473">
        <v>6000</v>
      </c>
      <c r="AA473">
        <v>96</v>
      </c>
      <c r="AB473">
        <v>1205</v>
      </c>
      <c r="AC473">
        <v>0</v>
      </c>
      <c r="AD473">
        <v>15421193736</v>
      </c>
      <c r="AE473">
        <v>26949758.559999999</v>
      </c>
      <c r="AF473">
        <v>15305848959</v>
      </c>
      <c r="AG473">
        <v>15353309871.690001</v>
      </c>
      <c r="AH473">
        <v>6.6656999999999994E-2</v>
      </c>
      <c r="AI473">
        <v>3.1392000000000003E-2</v>
      </c>
    </row>
    <row r="474" spans="1:35" x14ac:dyDescent="0.35">
      <c r="A474" t="s">
        <v>1</v>
      </c>
      <c r="B474">
        <v>4250</v>
      </c>
      <c r="C474">
        <v>96</v>
      </c>
      <c r="D474">
        <v>8071</v>
      </c>
      <c r="E474">
        <v>0</v>
      </c>
      <c r="F474">
        <v>144575898798</v>
      </c>
      <c r="G474">
        <v>324258218.19</v>
      </c>
      <c r="H474">
        <v>143264994688.38</v>
      </c>
      <c r="I474">
        <v>144112427372.70001</v>
      </c>
      <c r="J474">
        <v>7.8888E-2</v>
      </c>
      <c r="K474">
        <v>1.1494000000000001E-2</v>
      </c>
      <c r="M474" t="s">
        <v>2</v>
      </c>
      <c r="N474">
        <v>4750</v>
      </c>
      <c r="O474">
        <v>96</v>
      </c>
      <c r="P474">
        <v>5368</v>
      </c>
      <c r="Q474">
        <v>0</v>
      </c>
      <c r="R474">
        <v>57686587951</v>
      </c>
      <c r="S474">
        <v>119760637.13</v>
      </c>
      <c r="T474">
        <v>57194260240.529999</v>
      </c>
      <c r="U474">
        <v>57526110561.760002</v>
      </c>
      <c r="V474">
        <v>7.4806999999999998E-2</v>
      </c>
      <c r="W474">
        <v>8.4370000000000001E-3</v>
      </c>
      <c r="Y474" t="s">
        <v>2</v>
      </c>
      <c r="Z474">
        <v>3250</v>
      </c>
      <c r="AA474">
        <v>96</v>
      </c>
      <c r="AB474">
        <v>293</v>
      </c>
      <c r="AC474">
        <v>0</v>
      </c>
      <c r="AD474">
        <v>3421627894</v>
      </c>
      <c r="AE474">
        <v>8837348.6500000004</v>
      </c>
      <c r="AF474">
        <v>3389518696</v>
      </c>
      <c r="AG474">
        <v>3412371180.9000001</v>
      </c>
      <c r="AH474">
        <v>7.8631999999999994E-2</v>
      </c>
      <c r="AI474">
        <v>1.47E-3</v>
      </c>
    </row>
    <row r="475" spans="1:35" x14ac:dyDescent="0.35">
      <c r="A475" t="s">
        <v>2</v>
      </c>
      <c r="B475">
        <v>5000</v>
      </c>
      <c r="C475">
        <v>84</v>
      </c>
      <c r="D475">
        <v>2368</v>
      </c>
      <c r="E475">
        <v>0</v>
      </c>
      <c r="F475">
        <v>24672803162</v>
      </c>
      <c r="G475">
        <v>47407704.210000001</v>
      </c>
      <c r="H475">
        <v>24461870372.669998</v>
      </c>
      <c r="I475">
        <v>24599856638.130001</v>
      </c>
      <c r="J475">
        <v>7.6697000000000001E-2</v>
      </c>
      <c r="K475">
        <v>1.2351000000000001E-2</v>
      </c>
      <c r="M475" t="s">
        <v>0</v>
      </c>
      <c r="N475">
        <v>4750</v>
      </c>
      <c r="O475">
        <v>96</v>
      </c>
      <c r="P475">
        <v>35594</v>
      </c>
      <c r="Q475">
        <v>0</v>
      </c>
      <c r="R475">
        <v>497078648460</v>
      </c>
      <c r="S475">
        <v>1035072983.85</v>
      </c>
      <c r="T475">
        <v>492736530266.88</v>
      </c>
      <c r="U475">
        <v>495475076547.64001</v>
      </c>
      <c r="V475">
        <v>7.6978000000000005E-2</v>
      </c>
      <c r="W475">
        <v>1.3638000000000001E-2</v>
      </c>
      <c r="Y475" t="s">
        <v>0</v>
      </c>
      <c r="Z475">
        <v>5250</v>
      </c>
      <c r="AA475">
        <v>96</v>
      </c>
      <c r="AB475">
        <v>19853</v>
      </c>
      <c r="AC475">
        <v>0</v>
      </c>
      <c r="AD475">
        <v>270742553369</v>
      </c>
      <c r="AE475">
        <v>527075895.26999998</v>
      </c>
      <c r="AF475">
        <v>268982315211</v>
      </c>
      <c r="AG475">
        <v>269857564883.79999</v>
      </c>
      <c r="AH475">
        <v>5.3308000000000001E-2</v>
      </c>
      <c r="AI475">
        <v>1.5748999999999999E-2</v>
      </c>
    </row>
    <row r="476" spans="1:35" x14ac:dyDescent="0.35">
      <c r="A476" t="s">
        <v>0</v>
      </c>
      <c r="B476">
        <v>5500</v>
      </c>
      <c r="C476">
        <v>84</v>
      </c>
      <c r="D476">
        <v>7126</v>
      </c>
      <c r="E476">
        <v>0</v>
      </c>
      <c r="F476">
        <v>97623377404</v>
      </c>
      <c r="G476">
        <v>174763016.38999999</v>
      </c>
      <c r="H476">
        <v>96741666808.860001</v>
      </c>
      <c r="I476">
        <v>97240633204.699997</v>
      </c>
      <c r="J476">
        <v>8.3519999999999997E-2</v>
      </c>
      <c r="K476">
        <v>2.5267999999999999E-2</v>
      </c>
      <c r="M476" t="s">
        <v>1</v>
      </c>
      <c r="N476">
        <v>4750</v>
      </c>
      <c r="O476">
        <v>96</v>
      </c>
      <c r="P476">
        <v>5781</v>
      </c>
      <c r="Q476">
        <v>0</v>
      </c>
      <c r="R476">
        <v>91606997203</v>
      </c>
      <c r="S476">
        <v>190526556.43000001</v>
      </c>
      <c r="T476">
        <v>90558655218.149994</v>
      </c>
      <c r="U476">
        <v>91253268409.050003</v>
      </c>
      <c r="V476">
        <v>0.10675900000000001</v>
      </c>
      <c r="W476">
        <v>2.1170000000000001E-2</v>
      </c>
      <c r="Y476" t="s">
        <v>1</v>
      </c>
      <c r="Z476">
        <v>4250</v>
      </c>
      <c r="AA476">
        <v>96</v>
      </c>
      <c r="AB476">
        <v>8546</v>
      </c>
      <c r="AC476">
        <v>0</v>
      </c>
      <c r="AD476">
        <v>151174438541</v>
      </c>
      <c r="AE476">
        <v>338261597.80000001</v>
      </c>
      <c r="AF476">
        <v>149984723843</v>
      </c>
      <c r="AG476">
        <v>150599438900.20999</v>
      </c>
      <c r="AH476">
        <v>6.5532000000000007E-2</v>
      </c>
      <c r="AI476">
        <v>1.8631000000000002E-2</v>
      </c>
    </row>
    <row r="477" spans="1:35" x14ac:dyDescent="0.35">
      <c r="A477" t="s">
        <v>2</v>
      </c>
      <c r="B477">
        <v>5500</v>
      </c>
      <c r="C477">
        <v>84</v>
      </c>
      <c r="D477">
        <v>556</v>
      </c>
      <c r="E477">
        <v>0</v>
      </c>
      <c r="F477">
        <v>5302639047</v>
      </c>
      <c r="G477">
        <v>9629870.1799999997</v>
      </c>
      <c r="H477">
        <v>5260920593.1599998</v>
      </c>
      <c r="I477">
        <v>5290046777.3100004</v>
      </c>
      <c r="J477">
        <v>7.0248000000000005E-2</v>
      </c>
      <c r="K477">
        <v>6.6829999999999997E-3</v>
      </c>
      <c r="M477" t="s">
        <v>0</v>
      </c>
      <c r="N477">
        <v>3750</v>
      </c>
      <c r="O477">
        <v>96</v>
      </c>
      <c r="P477">
        <v>22490</v>
      </c>
      <c r="Q477">
        <v>0</v>
      </c>
      <c r="R477">
        <v>353514295013</v>
      </c>
      <c r="S477">
        <v>856032850.61000001</v>
      </c>
      <c r="T477">
        <v>350685529300.84003</v>
      </c>
      <c r="U477">
        <v>352468195558.26001</v>
      </c>
      <c r="V477">
        <v>6.4947000000000005E-2</v>
      </c>
      <c r="W477">
        <v>6.4330000000000003E-3</v>
      </c>
      <c r="Y477" t="s">
        <v>0</v>
      </c>
      <c r="Z477">
        <v>5500</v>
      </c>
      <c r="AA477">
        <v>84</v>
      </c>
      <c r="AB477">
        <v>8981</v>
      </c>
      <c r="AC477">
        <v>0</v>
      </c>
      <c r="AD477">
        <v>123779030367</v>
      </c>
      <c r="AE477">
        <v>221418634.74000001</v>
      </c>
      <c r="AF477">
        <v>122920255015</v>
      </c>
      <c r="AG477">
        <v>123437769785.39</v>
      </c>
      <c r="AH477">
        <v>6.0069999999999998E-2</v>
      </c>
      <c r="AI477">
        <v>1.1557E-2</v>
      </c>
    </row>
    <row r="478" spans="1:35" x14ac:dyDescent="0.35">
      <c r="A478" t="s">
        <v>0</v>
      </c>
      <c r="B478">
        <v>6000</v>
      </c>
      <c r="C478">
        <v>84</v>
      </c>
      <c r="D478">
        <v>1549</v>
      </c>
      <c r="E478">
        <v>0</v>
      </c>
      <c r="F478">
        <v>20745898314</v>
      </c>
      <c r="G478">
        <v>34659957.43</v>
      </c>
      <c r="H478">
        <v>20534361949.060001</v>
      </c>
      <c r="I478">
        <v>20644262253.880001</v>
      </c>
      <c r="J478">
        <v>9.7645999999999997E-2</v>
      </c>
      <c r="K478">
        <v>3.8059999999999997E-2</v>
      </c>
      <c r="M478" t="s">
        <v>1</v>
      </c>
      <c r="N478">
        <v>3750</v>
      </c>
      <c r="O478">
        <v>96</v>
      </c>
      <c r="P478">
        <v>12852</v>
      </c>
      <c r="Q478">
        <v>0</v>
      </c>
      <c r="R478">
        <v>237006224666</v>
      </c>
      <c r="S478">
        <v>573335506.61000001</v>
      </c>
      <c r="T478">
        <v>234910259681.10001</v>
      </c>
      <c r="U478">
        <v>236273041143.66</v>
      </c>
      <c r="V478">
        <v>7.4426999999999993E-2</v>
      </c>
      <c r="W478">
        <v>8.0630000000000007E-3</v>
      </c>
      <c r="Y478" t="s">
        <v>2</v>
      </c>
      <c r="Z478">
        <v>5500</v>
      </c>
      <c r="AA478">
        <v>84</v>
      </c>
      <c r="AB478">
        <v>934</v>
      </c>
      <c r="AC478">
        <v>0</v>
      </c>
      <c r="AD478">
        <v>9045935952</v>
      </c>
      <c r="AE478">
        <v>16390740</v>
      </c>
      <c r="AF478">
        <v>8976774602</v>
      </c>
      <c r="AG478">
        <v>9028418297.5699997</v>
      </c>
      <c r="AH478">
        <v>6.7801E-2</v>
      </c>
      <c r="AI478">
        <v>1.4940000000000001E-3</v>
      </c>
    </row>
    <row r="479" spans="1:35" x14ac:dyDescent="0.35">
      <c r="A479" t="s">
        <v>2</v>
      </c>
      <c r="B479">
        <v>5250</v>
      </c>
      <c r="C479">
        <v>96</v>
      </c>
      <c r="D479">
        <v>4510</v>
      </c>
      <c r="E479">
        <v>0</v>
      </c>
      <c r="F479">
        <v>43251981902</v>
      </c>
      <c r="G479">
        <v>83975755.219999999</v>
      </c>
      <c r="H479">
        <v>42891366155.199997</v>
      </c>
      <c r="I479">
        <v>43119161868.209999</v>
      </c>
      <c r="J479">
        <v>7.4108999999999994E-2</v>
      </c>
      <c r="K479">
        <v>1.3468000000000001E-2</v>
      </c>
      <c r="M479" t="s">
        <v>1</v>
      </c>
      <c r="N479">
        <v>3500</v>
      </c>
      <c r="O479">
        <v>72</v>
      </c>
      <c r="P479">
        <v>49456</v>
      </c>
      <c r="Q479">
        <v>0</v>
      </c>
      <c r="R479">
        <v>1091128952487</v>
      </c>
      <c r="S479">
        <v>2395155480.7800002</v>
      </c>
      <c r="T479">
        <v>1080887322677.26</v>
      </c>
      <c r="U479">
        <v>1087922395649.53</v>
      </c>
      <c r="V479">
        <v>8.2960999999999993E-2</v>
      </c>
      <c r="W479">
        <v>8.8870000000000008E-3</v>
      </c>
      <c r="Y479" t="s">
        <v>1</v>
      </c>
      <c r="Z479">
        <v>5500</v>
      </c>
      <c r="AA479">
        <v>84</v>
      </c>
      <c r="AB479">
        <v>774</v>
      </c>
      <c r="AC479">
        <v>0</v>
      </c>
      <c r="AD479">
        <v>10351770195</v>
      </c>
      <c r="AE479">
        <v>18636586.710000001</v>
      </c>
      <c r="AF479">
        <v>10287526554</v>
      </c>
      <c r="AG479">
        <v>10314048221.190001</v>
      </c>
      <c r="AH479">
        <v>5.1605999999999999E-2</v>
      </c>
      <c r="AI479">
        <v>2.1901E-2</v>
      </c>
    </row>
    <row r="480" spans="1:35" x14ac:dyDescent="0.35">
      <c r="A480" t="s">
        <v>2</v>
      </c>
      <c r="B480">
        <v>4250</v>
      </c>
      <c r="C480">
        <v>84</v>
      </c>
      <c r="D480">
        <v>8369</v>
      </c>
      <c r="E480">
        <v>0</v>
      </c>
      <c r="F480">
        <v>98988332720</v>
      </c>
      <c r="G480">
        <v>205741478.66999999</v>
      </c>
      <c r="H480">
        <v>98140109565.729996</v>
      </c>
      <c r="I480">
        <v>98686777686.910004</v>
      </c>
      <c r="J480">
        <v>7.5164999999999996E-2</v>
      </c>
      <c r="K480">
        <v>1.1553000000000001E-2</v>
      </c>
      <c r="M480" t="s">
        <v>0</v>
      </c>
      <c r="N480">
        <v>3500</v>
      </c>
      <c r="O480">
        <v>72</v>
      </c>
      <c r="P480">
        <v>89881</v>
      </c>
      <c r="Q480">
        <v>0</v>
      </c>
      <c r="R480">
        <v>1704450167980</v>
      </c>
      <c r="S480">
        <v>3713371021.75</v>
      </c>
      <c r="T480">
        <v>1691296938699.0901</v>
      </c>
      <c r="U480">
        <v>1699840692844.5901</v>
      </c>
      <c r="V480">
        <v>6.4473000000000003E-2</v>
      </c>
      <c r="W480">
        <v>6.2909999999999997E-3</v>
      </c>
      <c r="Y480" t="s">
        <v>0</v>
      </c>
      <c r="Z480">
        <v>6000</v>
      </c>
      <c r="AA480">
        <v>84</v>
      </c>
      <c r="AB480">
        <v>1934</v>
      </c>
      <c r="AC480">
        <v>0</v>
      </c>
      <c r="AD480">
        <v>26187546346</v>
      </c>
      <c r="AE480">
        <v>43714930.420000002</v>
      </c>
      <c r="AF480">
        <v>25996132441</v>
      </c>
      <c r="AG480">
        <v>26118598728.189999</v>
      </c>
      <c r="AH480">
        <v>6.5619999999999998E-2</v>
      </c>
      <c r="AI480">
        <v>1.1501000000000001E-2</v>
      </c>
    </row>
    <row r="481" spans="1:35" x14ac:dyDescent="0.35">
      <c r="A481" t="s">
        <v>1</v>
      </c>
      <c r="B481">
        <v>5250</v>
      </c>
      <c r="C481">
        <v>84</v>
      </c>
      <c r="D481">
        <v>1751</v>
      </c>
      <c r="E481">
        <v>0</v>
      </c>
      <c r="F481">
        <v>26081223828</v>
      </c>
      <c r="G481">
        <v>48327808.259999998</v>
      </c>
      <c r="H481">
        <v>25715454123.369999</v>
      </c>
      <c r="I481">
        <v>25902101015.709999</v>
      </c>
      <c r="J481">
        <v>0.13666400000000001</v>
      </c>
      <c r="K481">
        <v>5.8547000000000002E-2</v>
      </c>
      <c r="M481" t="s">
        <v>2</v>
      </c>
      <c r="N481">
        <v>3500</v>
      </c>
      <c r="O481">
        <v>72</v>
      </c>
      <c r="P481">
        <v>15574</v>
      </c>
      <c r="Q481">
        <v>0</v>
      </c>
      <c r="R481">
        <v>223889399690</v>
      </c>
      <c r="S481">
        <v>487977154.94</v>
      </c>
      <c r="T481">
        <v>222127955951.64001</v>
      </c>
      <c r="U481">
        <v>223309340968.76999</v>
      </c>
      <c r="V481">
        <v>6.6159999999999997E-2</v>
      </c>
      <c r="W481">
        <v>4.9240000000000004E-3</v>
      </c>
      <c r="Y481" t="s">
        <v>2</v>
      </c>
      <c r="Z481">
        <v>5250</v>
      </c>
      <c r="AA481">
        <v>96</v>
      </c>
      <c r="AB481">
        <v>4040</v>
      </c>
      <c r="AC481">
        <v>0</v>
      </c>
      <c r="AD481">
        <v>38544826517</v>
      </c>
      <c r="AE481">
        <v>74579229.340000004</v>
      </c>
      <c r="AF481">
        <v>38254293123</v>
      </c>
      <c r="AG481">
        <v>38407484539.230003</v>
      </c>
      <c r="AH481">
        <v>6.5198999999999993E-2</v>
      </c>
      <c r="AI481">
        <v>1.9366000000000001E-2</v>
      </c>
    </row>
    <row r="482" spans="1:35" x14ac:dyDescent="0.35">
      <c r="A482" t="s">
        <v>0</v>
      </c>
      <c r="B482">
        <v>4250</v>
      </c>
      <c r="C482">
        <v>84</v>
      </c>
      <c r="D482">
        <v>46897</v>
      </c>
      <c r="E482">
        <v>0</v>
      </c>
      <c r="F482">
        <v>786990220604</v>
      </c>
      <c r="G482">
        <v>1634769402.8800001</v>
      </c>
      <c r="H482">
        <v>780185904521.10999</v>
      </c>
      <c r="I482">
        <v>784296847475.57996</v>
      </c>
      <c r="J482">
        <v>7.6038999999999995E-2</v>
      </c>
      <c r="K482">
        <v>1.6022999999999999E-2</v>
      </c>
      <c r="M482" t="s">
        <v>3</v>
      </c>
      <c r="N482">
        <v>5000</v>
      </c>
      <c r="O482">
        <v>96</v>
      </c>
      <c r="P482">
        <v>115</v>
      </c>
      <c r="Q482">
        <v>0</v>
      </c>
      <c r="R482">
        <v>1586973838</v>
      </c>
      <c r="S482">
        <v>3175898.05</v>
      </c>
      <c r="T482">
        <v>1572291145.03</v>
      </c>
      <c r="U482">
        <v>1580410681.5999999</v>
      </c>
      <c r="V482">
        <v>8.3622000000000002E-2</v>
      </c>
      <c r="W482">
        <v>2.5314E-2</v>
      </c>
      <c r="Y482" t="s">
        <v>2</v>
      </c>
      <c r="Z482">
        <v>4250</v>
      </c>
      <c r="AA482">
        <v>84</v>
      </c>
      <c r="AB482">
        <v>7661</v>
      </c>
      <c r="AC482">
        <v>0</v>
      </c>
      <c r="AD482">
        <v>91266127008</v>
      </c>
      <c r="AE482">
        <v>189046719.31</v>
      </c>
      <c r="AF482">
        <v>90635482460</v>
      </c>
      <c r="AG482">
        <v>90991688907.520004</v>
      </c>
      <c r="AH482">
        <v>5.6542000000000002E-2</v>
      </c>
      <c r="AI482">
        <v>1.1169999999999999E-2</v>
      </c>
    </row>
    <row r="483" spans="1:35" x14ac:dyDescent="0.35">
      <c r="A483" t="s">
        <v>1</v>
      </c>
      <c r="B483">
        <v>5250</v>
      </c>
      <c r="C483">
        <v>96</v>
      </c>
      <c r="D483">
        <v>2369</v>
      </c>
      <c r="E483">
        <v>0</v>
      </c>
      <c r="F483">
        <v>33499788765</v>
      </c>
      <c r="G483">
        <v>65347859.140000001</v>
      </c>
      <c r="H483">
        <v>33041197870.709999</v>
      </c>
      <c r="I483">
        <v>33287086118.27</v>
      </c>
      <c r="J483">
        <v>0.13211600000000001</v>
      </c>
      <c r="K483">
        <v>5.1526000000000002E-2</v>
      </c>
      <c r="M483" t="s">
        <v>2</v>
      </c>
      <c r="N483">
        <v>5500</v>
      </c>
      <c r="O483">
        <v>96</v>
      </c>
      <c r="P483">
        <v>417</v>
      </c>
      <c r="Q483">
        <v>0</v>
      </c>
      <c r="R483">
        <v>3826758202</v>
      </c>
      <c r="S483">
        <v>7082043.6399999997</v>
      </c>
      <c r="T483">
        <v>3790055584.23</v>
      </c>
      <c r="U483">
        <v>3814486637.7199998</v>
      </c>
      <c r="V483">
        <v>8.9030999999999999E-2</v>
      </c>
      <c r="W483">
        <v>1.6153000000000001E-2</v>
      </c>
      <c r="Y483" t="s">
        <v>1</v>
      </c>
      <c r="Z483">
        <v>4250</v>
      </c>
      <c r="AA483">
        <v>84</v>
      </c>
      <c r="AB483">
        <v>9185</v>
      </c>
      <c r="AC483">
        <v>0</v>
      </c>
      <c r="AD483">
        <v>169074110727</v>
      </c>
      <c r="AE483">
        <v>352979636.02999997</v>
      </c>
      <c r="AF483">
        <v>167736657229</v>
      </c>
      <c r="AG483">
        <v>168357062940.57999</v>
      </c>
      <c r="AH483">
        <v>6.7678000000000002E-2</v>
      </c>
      <c r="AI483">
        <v>2.5536E-2</v>
      </c>
    </row>
    <row r="484" spans="1:35" x14ac:dyDescent="0.35">
      <c r="A484" t="s">
        <v>1</v>
      </c>
      <c r="B484">
        <v>6000</v>
      </c>
      <c r="C484">
        <v>96</v>
      </c>
      <c r="D484">
        <v>36</v>
      </c>
      <c r="E484">
        <v>0</v>
      </c>
      <c r="F484">
        <v>503728926</v>
      </c>
      <c r="G484">
        <v>879121.51</v>
      </c>
      <c r="H484">
        <v>493521094.64999998</v>
      </c>
      <c r="I484">
        <v>500277202.17000002</v>
      </c>
      <c r="J484">
        <v>0.200937</v>
      </c>
      <c r="K484">
        <v>5.9593E-2</v>
      </c>
      <c r="M484" t="s">
        <v>0</v>
      </c>
      <c r="N484">
        <v>6000</v>
      </c>
      <c r="O484">
        <v>96</v>
      </c>
      <c r="P484">
        <v>792</v>
      </c>
      <c r="Q484">
        <v>0</v>
      </c>
      <c r="R484">
        <v>9926866503</v>
      </c>
      <c r="S484">
        <v>17304414.699999999</v>
      </c>
      <c r="T484">
        <v>9806831008.9799995</v>
      </c>
      <c r="U484">
        <v>9874781828.6900005</v>
      </c>
      <c r="V484">
        <v>0.117355</v>
      </c>
      <c r="W484">
        <v>4.1243000000000002E-2</v>
      </c>
      <c r="Y484" t="s">
        <v>0</v>
      </c>
      <c r="Z484">
        <v>4750</v>
      </c>
      <c r="AA484">
        <v>84</v>
      </c>
      <c r="AB484">
        <v>42285</v>
      </c>
      <c r="AC484">
        <v>0</v>
      </c>
      <c r="AD484">
        <v>630121668738</v>
      </c>
      <c r="AE484">
        <v>1234150460.21</v>
      </c>
      <c r="AF484">
        <v>625966464197</v>
      </c>
      <c r="AG484">
        <v>628299510702.30005</v>
      </c>
      <c r="AH484">
        <v>5.4232000000000002E-2</v>
      </c>
      <c r="AI484">
        <v>1.1141E-2</v>
      </c>
    </row>
    <row r="485" spans="1:35" x14ac:dyDescent="0.35">
      <c r="A485" t="s">
        <v>1</v>
      </c>
      <c r="B485">
        <v>5500</v>
      </c>
      <c r="C485">
        <v>84</v>
      </c>
      <c r="D485">
        <v>560</v>
      </c>
      <c r="E485">
        <v>0</v>
      </c>
      <c r="F485">
        <v>7297709718</v>
      </c>
      <c r="G485">
        <v>13128527.73</v>
      </c>
      <c r="H485">
        <v>7188567905.8900003</v>
      </c>
      <c r="I485">
        <v>7245940362.8999996</v>
      </c>
      <c r="J485">
        <v>0.14694199999999999</v>
      </c>
      <c r="K485">
        <v>6.1720999999999998E-2</v>
      </c>
      <c r="M485" t="s">
        <v>2</v>
      </c>
      <c r="N485">
        <v>3250</v>
      </c>
      <c r="O485">
        <v>96</v>
      </c>
      <c r="P485">
        <v>439</v>
      </c>
      <c r="Q485">
        <v>0</v>
      </c>
      <c r="R485">
        <v>5173731226</v>
      </c>
      <c r="S485">
        <v>13327082.41</v>
      </c>
      <c r="T485">
        <v>5134416477.6499996</v>
      </c>
      <c r="U485">
        <v>5158791594.1800003</v>
      </c>
      <c r="V485">
        <v>5.8638000000000003E-2</v>
      </c>
      <c r="W485">
        <v>3.7339999999999999E-3</v>
      </c>
      <c r="Y485" t="s">
        <v>0</v>
      </c>
      <c r="Z485">
        <v>5250</v>
      </c>
      <c r="AA485">
        <v>84</v>
      </c>
      <c r="AB485">
        <v>21047</v>
      </c>
      <c r="AC485">
        <v>0</v>
      </c>
      <c r="AD485">
        <v>299515564116</v>
      </c>
      <c r="AE485">
        <v>551774302.89999998</v>
      </c>
      <c r="AF485">
        <v>297365479025</v>
      </c>
      <c r="AG485">
        <v>298501106808.84998</v>
      </c>
      <c r="AH485">
        <v>6.2189000000000001E-2</v>
      </c>
      <c r="AI485">
        <v>1.8381000000000002E-2</v>
      </c>
    </row>
    <row r="486" spans="1:35" x14ac:dyDescent="0.35">
      <c r="A486" t="s">
        <v>1</v>
      </c>
      <c r="B486">
        <v>6000</v>
      </c>
      <c r="C486">
        <v>84</v>
      </c>
      <c r="D486">
        <v>79</v>
      </c>
      <c r="E486">
        <v>0</v>
      </c>
      <c r="F486">
        <v>932450623</v>
      </c>
      <c r="G486">
        <v>1551828.88</v>
      </c>
      <c r="H486">
        <v>904855304.40999997</v>
      </c>
      <c r="I486">
        <v>914122155.51999998</v>
      </c>
      <c r="J486">
        <v>0.28818100000000002</v>
      </c>
      <c r="K486">
        <v>0.19577</v>
      </c>
      <c r="M486" t="s">
        <v>0</v>
      </c>
      <c r="N486">
        <v>5250</v>
      </c>
      <c r="O486">
        <v>96</v>
      </c>
      <c r="P486">
        <v>16537</v>
      </c>
      <c r="Q486">
        <v>0</v>
      </c>
      <c r="R486">
        <v>221169936561</v>
      </c>
      <c r="S486">
        <v>428863208.77999997</v>
      </c>
      <c r="T486">
        <v>218973306872.91</v>
      </c>
      <c r="U486">
        <v>220396540289.88</v>
      </c>
      <c r="V486">
        <v>9.1808000000000001E-2</v>
      </c>
      <c r="W486">
        <v>1.8533999999999998E-2</v>
      </c>
      <c r="Y486" t="s">
        <v>1</v>
      </c>
      <c r="Z486">
        <v>5250</v>
      </c>
      <c r="AA486">
        <v>84</v>
      </c>
      <c r="AB486">
        <v>2043</v>
      </c>
      <c r="AC486">
        <v>0</v>
      </c>
      <c r="AD486">
        <v>30359400612</v>
      </c>
      <c r="AE486">
        <v>56200633.899999999</v>
      </c>
      <c r="AF486">
        <v>30153567861</v>
      </c>
      <c r="AG486">
        <v>30266320817.279999</v>
      </c>
      <c r="AH486">
        <v>5.7567E-2</v>
      </c>
      <c r="AI486">
        <v>1.448E-2</v>
      </c>
    </row>
    <row r="487" spans="1:35" x14ac:dyDescent="0.35">
      <c r="A487" t="s">
        <v>0</v>
      </c>
      <c r="B487">
        <v>4750</v>
      </c>
      <c r="C487">
        <v>84</v>
      </c>
      <c r="D487">
        <v>40699</v>
      </c>
      <c r="E487">
        <v>0</v>
      </c>
      <c r="F487">
        <v>608811521359</v>
      </c>
      <c r="G487">
        <v>1195694577.1199999</v>
      </c>
      <c r="H487">
        <v>603192809027.47998</v>
      </c>
      <c r="I487">
        <v>606463679266.54004</v>
      </c>
      <c r="J487">
        <v>8.3779999999999993E-2</v>
      </c>
      <c r="K487">
        <v>2.2474999999999998E-2</v>
      </c>
      <c r="M487" t="s">
        <v>1</v>
      </c>
      <c r="N487">
        <v>4250</v>
      </c>
      <c r="O487">
        <v>96</v>
      </c>
      <c r="P487">
        <v>8778</v>
      </c>
      <c r="Q487">
        <v>0</v>
      </c>
      <c r="R487">
        <v>149649658432</v>
      </c>
      <c r="S487">
        <v>334354537.44</v>
      </c>
      <c r="T487">
        <v>148238976877.95999</v>
      </c>
      <c r="U487">
        <v>149130611275.26999</v>
      </c>
      <c r="V487">
        <v>8.2974000000000006E-2</v>
      </c>
      <c r="W487">
        <v>1.4710000000000001E-2</v>
      </c>
      <c r="Y487" t="s">
        <v>0</v>
      </c>
      <c r="Z487">
        <v>4250</v>
      </c>
      <c r="AA487">
        <v>84</v>
      </c>
      <c r="AB487">
        <v>42364</v>
      </c>
      <c r="AC487">
        <v>0</v>
      </c>
      <c r="AD487">
        <v>711574796426</v>
      </c>
      <c r="AE487">
        <v>1473530779.3399999</v>
      </c>
      <c r="AF487">
        <v>707160411855</v>
      </c>
      <c r="AG487">
        <v>709468987462.94995</v>
      </c>
      <c r="AH487">
        <v>4.8482999999999998E-2</v>
      </c>
      <c r="AI487">
        <v>1.0611000000000001E-2</v>
      </c>
    </row>
    <row r="488" spans="1:35" x14ac:dyDescent="0.35">
      <c r="A488" t="s">
        <v>1</v>
      </c>
      <c r="B488">
        <v>4750</v>
      </c>
      <c r="C488">
        <v>84</v>
      </c>
      <c r="D488">
        <v>4855</v>
      </c>
      <c r="E488">
        <v>0</v>
      </c>
      <c r="F488">
        <v>79419533272</v>
      </c>
      <c r="G488">
        <v>157082446.52000001</v>
      </c>
      <c r="H488">
        <v>78478980982.529999</v>
      </c>
      <c r="I488">
        <v>79048512125.020004</v>
      </c>
      <c r="J488">
        <v>0.112163</v>
      </c>
      <c r="K488">
        <v>3.1850999999999997E-2</v>
      </c>
      <c r="M488" t="s">
        <v>0</v>
      </c>
      <c r="N488">
        <v>5500</v>
      </c>
      <c r="O488">
        <v>84</v>
      </c>
      <c r="P488">
        <v>11802</v>
      </c>
      <c r="Q488">
        <v>0</v>
      </c>
      <c r="R488">
        <v>161560902305</v>
      </c>
      <c r="S488">
        <v>287494294.36000001</v>
      </c>
      <c r="T488">
        <v>160018594427.69</v>
      </c>
      <c r="U488">
        <v>160920379649.13</v>
      </c>
      <c r="V488">
        <v>8.9321999999999999E-2</v>
      </c>
      <c r="W488">
        <v>2.5908E-2</v>
      </c>
      <c r="Y488" t="s">
        <v>1</v>
      </c>
      <c r="Z488">
        <v>5250</v>
      </c>
      <c r="AA488">
        <v>96</v>
      </c>
      <c r="AB488">
        <v>2112</v>
      </c>
      <c r="AC488">
        <v>0</v>
      </c>
      <c r="AD488">
        <v>29742434636</v>
      </c>
      <c r="AE488">
        <v>57931992.609999999</v>
      </c>
      <c r="AF488">
        <v>29375617723</v>
      </c>
      <c r="AG488">
        <v>29578887034.060001</v>
      </c>
      <c r="AH488">
        <v>0.117746</v>
      </c>
      <c r="AI488">
        <v>4.1790000000000001E-2</v>
      </c>
    </row>
    <row r="489" spans="1:35" x14ac:dyDescent="0.35">
      <c r="A489" t="s">
        <v>2</v>
      </c>
      <c r="B489">
        <v>4750</v>
      </c>
      <c r="C489">
        <v>84</v>
      </c>
      <c r="D489">
        <v>4984</v>
      </c>
      <c r="E489">
        <v>0</v>
      </c>
      <c r="F489">
        <v>55262506694</v>
      </c>
      <c r="G489">
        <v>109147963.52</v>
      </c>
      <c r="H489">
        <v>54761201015.379997</v>
      </c>
      <c r="I489">
        <v>55095031119.260002</v>
      </c>
      <c r="J489">
        <v>8.1908999999999996E-2</v>
      </c>
      <c r="K489">
        <v>1.2592000000000001E-2</v>
      </c>
      <c r="M489" t="s">
        <v>2</v>
      </c>
      <c r="N489">
        <v>5500</v>
      </c>
      <c r="O489">
        <v>84</v>
      </c>
      <c r="P489">
        <v>1300</v>
      </c>
      <c r="Q489">
        <v>0</v>
      </c>
      <c r="R489">
        <v>12588093929</v>
      </c>
      <c r="S489">
        <v>22607367.34</v>
      </c>
      <c r="T489">
        <v>12476729572.08</v>
      </c>
      <c r="U489">
        <v>12555013803.85</v>
      </c>
      <c r="V489">
        <v>8.1405000000000005E-2</v>
      </c>
      <c r="W489">
        <v>9.9380000000000007E-3</v>
      </c>
      <c r="Y489" t="s">
        <v>1</v>
      </c>
      <c r="Z489">
        <v>6000</v>
      </c>
      <c r="AA489">
        <v>96</v>
      </c>
      <c r="AB489">
        <v>25</v>
      </c>
      <c r="AC489">
        <v>0</v>
      </c>
      <c r="AD489">
        <v>335332251</v>
      </c>
      <c r="AE489">
        <v>585629.74</v>
      </c>
      <c r="AF489">
        <v>334616612</v>
      </c>
      <c r="AG489">
        <v>334616612</v>
      </c>
      <c r="AH489">
        <v>4.6430000000000004E-3</v>
      </c>
      <c r="AI489">
        <v>4.6430000000000004E-3</v>
      </c>
    </row>
    <row r="490" spans="1:35" x14ac:dyDescent="0.35">
      <c r="A490" t="s">
        <v>0</v>
      </c>
      <c r="B490">
        <v>3000</v>
      </c>
      <c r="C490">
        <v>84</v>
      </c>
      <c r="D490">
        <v>2878</v>
      </c>
      <c r="E490">
        <v>0</v>
      </c>
      <c r="F490">
        <v>59371049401</v>
      </c>
      <c r="G490">
        <v>143112551.47</v>
      </c>
      <c r="H490">
        <v>58977214404.389999</v>
      </c>
      <c r="I490">
        <v>59208576854.480003</v>
      </c>
      <c r="J490">
        <v>4.9515000000000003E-2</v>
      </c>
      <c r="K490">
        <v>3.9060000000000002E-3</v>
      </c>
      <c r="M490" t="s">
        <v>1</v>
      </c>
      <c r="N490">
        <v>5500</v>
      </c>
      <c r="O490">
        <v>84</v>
      </c>
      <c r="P490">
        <v>1033</v>
      </c>
      <c r="Q490">
        <v>0</v>
      </c>
      <c r="R490">
        <v>14006613460</v>
      </c>
      <c r="S490">
        <v>25054612.940000001</v>
      </c>
      <c r="T490">
        <v>13829224439.99</v>
      </c>
      <c r="U490">
        <v>13942530728.719999</v>
      </c>
      <c r="V490">
        <v>0.12298000000000001</v>
      </c>
      <c r="W490">
        <v>3.2929E-2</v>
      </c>
      <c r="Y490" t="s">
        <v>1</v>
      </c>
      <c r="Z490">
        <v>6000</v>
      </c>
      <c r="AA490">
        <v>84</v>
      </c>
      <c r="AB490">
        <v>87</v>
      </c>
      <c r="AC490">
        <v>0</v>
      </c>
      <c r="AD490">
        <v>1054544033</v>
      </c>
      <c r="AE490">
        <v>1757380.9</v>
      </c>
      <c r="AF490">
        <v>1052777322</v>
      </c>
      <c r="AG490">
        <v>1052777322</v>
      </c>
      <c r="AH490">
        <v>1.06E-4</v>
      </c>
      <c r="AI490">
        <v>1.06E-4</v>
      </c>
    </row>
    <row r="491" spans="1:35" x14ac:dyDescent="0.35">
      <c r="A491" t="s">
        <v>2</v>
      </c>
      <c r="B491">
        <v>3000</v>
      </c>
      <c r="C491">
        <v>84</v>
      </c>
      <c r="D491">
        <v>512</v>
      </c>
      <c r="E491">
        <v>0</v>
      </c>
      <c r="F491">
        <v>7445416332</v>
      </c>
      <c r="G491">
        <v>17942970.16</v>
      </c>
      <c r="H491">
        <v>7395578210.5900002</v>
      </c>
      <c r="I491">
        <v>7425481432.3599997</v>
      </c>
      <c r="J491">
        <v>5.0212E-2</v>
      </c>
      <c r="K491">
        <v>3.2060000000000001E-3</v>
      </c>
      <c r="M491" t="s">
        <v>0</v>
      </c>
      <c r="N491">
        <v>6000</v>
      </c>
      <c r="O491">
        <v>84</v>
      </c>
      <c r="P491">
        <v>2349</v>
      </c>
      <c r="Q491">
        <v>0</v>
      </c>
      <c r="R491">
        <v>31855814706</v>
      </c>
      <c r="S491">
        <v>52790897.310000002</v>
      </c>
      <c r="T491">
        <v>31516583865.810001</v>
      </c>
      <c r="U491">
        <v>31708821735.220001</v>
      </c>
      <c r="V491">
        <v>0.10272199999999999</v>
      </c>
      <c r="W491">
        <v>3.4914000000000001E-2</v>
      </c>
      <c r="Y491" t="s">
        <v>2</v>
      </c>
      <c r="Z491">
        <v>4750</v>
      </c>
      <c r="AA491">
        <v>84</v>
      </c>
      <c r="AB491">
        <v>5309</v>
      </c>
      <c r="AC491">
        <v>0</v>
      </c>
      <c r="AD491">
        <v>59110611927</v>
      </c>
      <c r="AE491">
        <v>116328903</v>
      </c>
      <c r="AF491">
        <v>58757912700</v>
      </c>
      <c r="AG491">
        <v>58970995527.660004</v>
      </c>
      <c r="AH491">
        <v>4.6944E-2</v>
      </c>
      <c r="AI491">
        <v>4.7169999999999998E-3</v>
      </c>
    </row>
    <row r="492" spans="1:35" x14ac:dyDescent="0.35">
      <c r="A492" t="s">
        <v>0</v>
      </c>
      <c r="B492">
        <v>5250</v>
      </c>
      <c r="C492">
        <v>84</v>
      </c>
      <c r="D492">
        <v>19227</v>
      </c>
      <c r="E492">
        <v>0</v>
      </c>
      <c r="F492">
        <v>272063949375</v>
      </c>
      <c r="G492">
        <v>502203215.98000002</v>
      </c>
      <c r="H492">
        <v>269565057382.20999</v>
      </c>
      <c r="I492">
        <v>270982254613.01001</v>
      </c>
      <c r="J492">
        <v>8.4598999999999994E-2</v>
      </c>
      <c r="K492">
        <v>2.5262E-2</v>
      </c>
      <c r="M492" t="s">
        <v>2</v>
      </c>
      <c r="N492">
        <v>5250</v>
      </c>
      <c r="O492">
        <v>96</v>
      </c>
      <c r="P492">
        <v>2967</v>
      </c>
      <c r="Q492">
        <v>0</v>
      </c>
      <c r="R492">
        <v>28223555172</v>
      </c>
      <c r="S492">
        <v>54258991.740000002</v>
      </c>
      <c r="T492">
        <v>27956965007.610001</v>
      </c>
      <c r="U492">
        <v>28141246987.490002</v>
      </c>
      <c r="V492">
        <v>8.6635000000000004E-2</v>
      </c>
      <c r="W492">
        <v>1.1861E-2</v>
      </c>
      <c r="Y492" t="s">
        <v>1</v>
      </c>
      <c r="Z492">
        <v>4750</v>
      </c>
      <c r="AA492">
        <v>84</v>
      </c>
      <c r="AB492">
        <v>5220</v>
      </c>
      <c r="AC492">
        <v>0</v>
      </c>
      <c r="AD492">
        <v>85908480431</v>
      </c>
      <c r="AE492">
        <v>169472146.44999999</v>
      </c>
      <c r="AF492">
        <v>85210812241</v>
      </c>
      <c r="AG492">
        <v>85558442459.350006</v>
      </c>
      <c r="AH492">
        <v>7.1335999999999997E-2</v>
      </c>
      <c r="AI492">
        <v>2.4933E-2</v>
      </c>
    </row>
    <row r="493" spans="1:35" x14ac:dyDescent="0.35">
      <c r="A493" t="s">
        <v>1</v>
      </c>
      <c r="B493">
        <v>3750</v>
      </c>
      <c r="C493">
        <v>84</v>
      </c>
      <c r="D493">
        <v>19525</v>
      </c>
      <c r="E493">
        <v>0</v>
      </c>
      <c r="F493">
        <v>412991530716</v>
      </c>
      <c r="G493">
        <v>915645367.34000003</v>
      </c>
      <c r="H493">
        <v>409224008465.23999</v>
      </c>
      <c r="I493">
        <v>411685842337.90997</v>
      </c>
      <c r="J493">
        <v>7.9788999999999999E-2</v>
      </c>
      <c r="K493">
        <v>1.1275E-2</v>
      </c>
      <c r="M493" t="s">
        <v>0</v>
      </c>
      <c r="N493">
        <v>5250</v>
      </c>
      <c r="O493">
        <v>84</v>
      </c>
      <c r="P493">
        <v>24382</v>
      </c>
      <c r="Q493">
        <v>0</v>
      </c>
      <c r="R493">
        <v>349317637772</v>
      </c>
      <c r="S493">
        <v>640862861.91999996</v>
      </c>
      <c r="T493">
        <v>345864216514.28998</v>
      </c>
      <c r="U493">
        <v>347989380965.53998</v>
      </c>
      <c r="V493">
        <v>9.2452999999999994E-2</v>
      </c>
      <c r="W493">
        <v>2.3359999999999999E-2</v>
      </c>
      <c r="Y493" t="s">
        <v>0</v>
      </c>
      <c r="Z493">
        <v>3000</v>
      </c>
      <c r="AA493">
        <v>84</v>
      </c>
      <c r="AB493">
        <v>1937</v>
      </c>
      <c r="AC493">
        <v>0</v>
      </c>
      <c r="AD493">
        <v>39655122566</v>
      </c>
      <c r="AE493">
        <v>95377691.329999998</v>
      </c>
      <c r="AF493">
        <v>39508045967</v>
      </c>
      <c r="AG493">
        <v>39552186297.989998</v>
      </c>
      <c r="AH493">
        <v>1.5533E-2</v>
      </c>
      <c r="AI493">
        <v>2.2850000000000001E-3</v>
      </c>
    </row>
    <row r="494" spans="1:35" x14ac:dyDescent="0.35">
      <c r="A494" t="s">
        <v>2</v>
      </c>
      <c r="B494">
        <v>3750</v>
      </c>
      <c r="C494">
        <v>84</v>
      </c>
      <c r="D494">
        <v>7115</v>
      </c>
      <c r="E494">
        <v>0</v>
      </c>
      <c r="F494">
        <v>98268746742</v>
      </c>
      <c r="G494">
        <v>216575149.18000001</v>
      </c>
      <c r="H494">
        <v>97477458381.149994</v>
      </c>
      <c r="I494">
        <v>97999067215.210007</v>
      </c>
      <c r="J494">
        <v>6.7967E-2</v>
      </c>
      <c r="K494">
        <v>6.4660000000000004E-3</v>
      </c>
      <c r="M494" t="s">
        <v>0</v>
      </c>
      <c r="N494">
        <v>4250</v>
      </c>
      <c r="O494">
        <v>84</v>
      </c>
      <c r="P494">
        <v>32409</v>
      </c>
      <c r="Q494">
        <v>0</v>
      </c>
      <c r="R494">
        <v>548935825800</v>
      </c>
      <c r="S494">
        <v>1132759606.78</v>
      </c>
      <c r="T494">
        <v>544408462310.47998</v>
      </c>
      <c r="U494">
        <v>547341186241.08002</v>
      </c>
      <c r="V494">
        <v>7.1734999999999993E-2</v>
      </c>
      <c r="W494">
        <v>1.005E-2</v>
      </c>
      <c r="Y494" t="s">
        <v>2</v>
      </c>
      <c r="Z494">
        <v>3000</v>
      </c>
      <c r="AA494">
        <v>84</v>
      </c>
      <c r="AB494">
        <v>368</v>
      </c>
      <c r="AC494">
        <v>0</v>
      </c>
      <c r="AD494">
        <v>5294833504</v>
      </c>
      <c r="AE494">
        <v>12724760.77</v>
      </c>
      <c r="AF494">
        <v>5270519440</v>
      </c>
      <c r="AG494">
        <v>5281531890.29</v>
      </c>
      <c r="AH494">
        <v>2.5951999999999999E-2</v>
      </c>
      <c r="AI494">
        <v>1.307E-3</v>
      </c>
    </row>
    <row r="495" spans="1:35" x14ac:dyDescent="0.35">
      <c r="A495" t="s">
        <v>0</v>
      </c>
      <c r="B495">
        <v>3750</v>
      </c>
      <c r="C495">
        <v>84</v>
      </c>
      <c r="D495">
        <v>43502</v>
      </c>
      <c r="E495">
        <v>0</v>
      </c>
      <c r="F495">
        <v>816407971305</v>
      </c>
      <c r="G495">
        <v>1799545496.02</v>
      </c>
      <c r="H495">
        <v>810365868558.15002</v>
      </c>
      <c r="I495">
        <v>814234436075.51001</v>
      </c>
      <c r="J495">
        <v>6.0608000000000002E-2</v>
      </c>
      <c r="K495">
        <v>5.483E-3</v>
      </c>
      <c r="M495" t="s">
        <v>0</v>
      </c>
      <c r="N495">
        <v>4750</v>
      </c>
      <c r="O495">
        <v>84</v>
      </c>
      <c r="P495">
        <v>46881</v>
      </c>
      <c r="Q495">
        <v>0</v>
      </c>
      <c r="R495">
        <v>692561933571</v>
      </c>
      <c r="S495">
        <v>1351905017.1500001</v>
      </c>
      <c r="T495">
        <v>686460884308.93005</v>
      </c>
      <c r="U495">
        <v>690249278267.56995</v>
      </c>
      <c r="V495">
        <v>7.9255000000000006E-2</v>
      </c>
      <c r="W495">
        <v>1.652E-2</v>
      </c>
      <c r="Y495" t="s">
        <v>1</v>
      </c>
      <c r="Z495">
        <v>3750</v>
      </c>
      <c r="AA495">
        <v>84</v>
      </c>
      <c r="AB495">
        <v>16784</v>
      </c>
      <c r="AC495">
        <v>0</v>
      </c>
      <c r="AD495">
        <v>358600845138</v>
      </c>
      <c r="AE495">
        <v>792861332.62</v>
      </c>
      <c r="AF495">
        <v>356131000480</v>
      </c>
      <c r="AG495">
        <v>357491936267.06</v>
      </c>
      <c r="AH495">
        <v>5.4696000000000002E-2</v>
      </c>
      <c r="AI495">
        <v>1.0525E-2</v>
      </c>
    </row>
    <row r="496" spans="1:35" x14ac:dyDescent="0.35">
      <c r="A496" t="s">
        <v>2</v>
      </c>
      <c r="B496">
        <v>5250</v>
      </c>
      <c r="C496">
        <v>84</v>
      </c>
      <c r="D496">
        <v>1703</v>
      </c>
      <c r="E496">
        <v>0</v>
      </c>
      <c r="F496">
        <v>16665269113</v>
      </c>
      <c r="G496">
        <v>31154856.98</v>
      </c>
      <c r="H496">
        <v>16523063866.9</v>
      </c>
      <c r="I496">
        <v>16615556576.200001</v>
      </c>
      <c r="J496">
        <v>7.7095999999999998E-2</v>
      </c>
      <c r="K496">
        <v>1.3280999999999999E-2</v>
      </c>
      <c r="M496" t="s">
        <v>2</v>
      </c>
      <c r="N496">
        <v>5250</v>
      </c>
      <c r="O496">
        <v>84</v>
      </c>
      <c r="P496">
        <v>3345</v>
      </c>
      <c r="Q496">
        <v>0</v>
      </c>
      <c r="R496">
        <v>32972743829</v>
      </c>
      <c r="S496">
        <v>61234416.359999999</v>
      </c>
      <c r="T496">
        <v>32663182119.959999</v>
      </c>
      <c r="U496">
        <v>32875758369.360001</v>
      </c>
      <c r="V496">
        <v>8.6723999999999996E-2</v>
      </c>
      <c r="W496">
        <v>1.2933999999999999E-2</v>
      </c>
      <c r="Y496" t="s">
        <v>2</v>
      </c>
      <c r="Z496">
        <v>3750</v>
      </c>
      <c r="AA496">
        <v>84</v>
      </c>
      <c r="AB496">
        <v>5672</v>
      </c>
      <c r="AC496">
        <v>0</v>
      </c>
      <c r="AD496">
        <v>78437049229</v>
      </c>
      <c r="AE496">
        <v>172563949.63999999</v>
      </c>
      <c r="AF496">
        <v>77936841146</v>
      </c>
      <c r="AG496">
        <v>78190733591.610001</v>
      </c>
      <c r="AH496">
        <v>4.8989999999999999E-2</v>
      </c>
      <c r="AI496">
        <v>1.1225000000000001E-2</v>
      </c>
    </row>
    <row r="497" spans="1:35" x14ac:dyDescent="0.35">
      <c r="A497" t="s">
        <v>1</v>
      </c>
      <c r="B497">
        <v>3250</v>
      </c>
      <c r="C497">
        <v>84</v>
      </c>
      <c r="D497">
        <v>11649</v>
      </c>
      <c r="E497">
        <v>0</v>
      </c>
      <c r="F497">
        <v>274208225758</v>
      </c>
      <c r="G497">
        <v>642232377.83000004</v>
      </c>
      <c r="H497">
        <v>271988409430.5</v>
      </c>
      <c r="I497">
        <v>273462943491.69</v>
      </c>
      <c r="J497">
        <v>6.6895999999999997E-2</v>
      </c>
      <c r="K497">
        <v>4.4999999999999997E-3</v>
      </c>
      <c r="M497" t="s">
        <v>2</v>
      </c>
      <c r="N497">
        <v>4250</v>
      </c>
      <c r="O497">
        <v>84</v>
      </c>
      <c r="P497">
        <v>6192</v>
      </c>
      <c r="Q497">
        <v>0</v>
      </c>
      <c r="R497">
        <v>76123317743</v>
      </c>
      <c r="S497">
        <v>157145483.84999999</v>
      </c>
      <c r="T497">
        <v>75493563940.220001</v>
      </c>
      <c r="U497">
        <v>75915335861.580002</v>
      </c>
      <c r="V497">
        <v>7.2009000000000004E-2</v>
      </c>
      <c r="W497">
        <v>7.9839999999999998E-3</v>
      </c>
      <c r="Y497" t="s">
        <v>0</v>
      </c>
      <c r="Z497">
        <v>3750</v>
      </c>
      <c r="AA497">
        <v>84</v>
      </c>
      <c r="AB497">
        <v>35044</v>
      </c>
      <c r="AC497">
        <v>0</v>
      </c>
      <c r="AD497">
        <v>665608253067</v>
      </c>
      <c r="AE497">
        <v>1463340357.8599999</v>
      </c>
      <c r="AF497">
        <v>661844280111</v>
      </c>
      <c r="AG497">
        <v>663914443969.10999</v>
      </c>
      <c r="AH497">
        <v>4.0697999999999998E-2</v>
      </c>
      <c r="AI497">
        <v>4.1469999999999996E-3</v>
      </c>
    </row>
    <row r="498" spans="1:35" x14ac:dyDescent="0.35">
      <c r="A498" t="s">
        <v>0</v>
      </c>
      <c r="B498">
        <v>3500</v>
      </c>
      <c r="C498">
        <v>72</v>
      </c>
      <c r="D498">
        <v>76768</v>
      </c>
      <c r="E498">
        <v>0</v>
      </c>
      <c r="F498">
        <v>1412143369635</v>
      </c>
      <c r="G498">
        <v>3091749778.6999998</v>
      </c>
      <c r="H498">
        <v>1401131919490.5901</v>
      </c>
      <c r="I498">
        <v>1407899838636.5901</v>
      </c>
      <c r="J498">
        <v>6.5262000000000001E-2</v>
      </c>
      <c r="K498">
        <v>9.7439999999999992E-3</v>
      </c>
      <c r="M498" t="s">
        <v>1</v>
      </c>
      <c r="N498">
        <v>4250</v>
      </c>
      <c r="O498">
        <v>84</v>
      </c>
      <c r="P498">
        <v>8908</v>
      </c>
      <c r="Q498">
        <v>0</v>
      </c>
      <c r="R498">
        <v>168328776382</v>
      </c>
      <c r="S498">
        <v>350903002.69</v>
      </c>
      <c r="T498">
        <v>166557145737.54001</v>
      </c>
      <c r="U498">
        <v>167663639998.88</v>
      </c>
      <c r="V498">
        <v>9.6710000000000004E-2</v>
      </c>
      <c r="W498">
        <v>2.2172999999999998E-2</v>
      </c>
      <c r="Y498" t="s">
        <v>2</v>
      </c>
      <c r="Z498">
        <v>5250</v>
      </c>
      <c r="AA498">
        <v>84</v>
      </c>
      <c r="AB498">
        <v>2192</v>
      </c>
      <c r="AC498">
        <v>0</v>
      </c>
      <c r="AD498">
        <v>21656252043</v>
      </c>
      <c r="AE498">
        <v>40407054.810000002</v>
      </c>
      <c r="AF498">
        <v>21500744135</v>
      </c>
      <c r="AG498">
        <v>21610668965.09</v>
      </c>
      <c r="AH498">
        <v>6.1947000000000002E-2</v>
      </c>
      <c r="AI498">
        <v>2.8639999999999998E-3</v>
      </c>
    </row>
    <row r="499" spans="1:35" x14ac:dyDescent="0.35">
      <c r="A499" t="s">
        <v>2</v>
      </c>
      <c r="B499">
        <v>3500</v>
      </c>
      <c r="C499">
        <v>72</v>
      </c>
      <c r="D499">
        <v>13438</v>
      </c>
      <c r="E499">
        <v>0</v>
      </c>
      <c r="F499">
        <v>189613356523</v>
      </c>
      <c r="G499">
        <v>416989423.66000003</v>
      </c>
      <c r="H499">
        <v>188161468154.69</v>
      </c>
      <c r="I499">
        <v>189081840761.72</v>
      </c>
      <c r="J499">
        <v>6.3564999999999997E-2</v>
      </c>
      <c r="K499">
        <v>7.2240000000000004E-3</v>
      </c>
      <c r="M499" t="s">
        <v>1</v>
      </c>
      <c r="N499">
        <v>5250</v>
      </c>
      <c r="O499">
        <v>84</v>
      </c>
      <c r="P499">
        <v>2543</v>
      </c>
      <c r="Q499">
        <v>0</v>
      </c>
      <c r="R499">
        <v>37842115262</v>
      </c>
      <c r="S499">
        <v>69796369.25</v>
      </c>
      <c r="T499">
        <v>37369134074.919998</v>
      </c>
      <c r="U499">
        <v>37650377671.199997</v>
      </c>
      <c r="V499">
        <v>0.12062</v>
      </c>
      <c r="W499">
        <v>3.7990000000000003E-2</v>
      </c>
      <c r="Y499" t="s">
        <v>1</v>
      </c>
      <c r="Z499">
        <v>3250</v>
      </c>
      <c r="AA499">
        <v>84</v>
      </c>
      <c r="AB499">
        <v>8854</v>
      </c>
      <c r="AC499">
        <v>0</v>
      </c>
      <c r="AD499">
        <v>210931714362</v>
      </c>
      <c r="AE499">
        <v>492710831.29000002</v>
      </c>
      <c r="AF499">
        <v>209650092949</v>
      </c>
      <c r="AG499">
        <v>210147072850.45999</v>
      </c>
      <c r="AH499">
        <v>4.3970000000000002E-2</v>
      </c>
      <c r="AI499">
        <v>1.6482E-2</v>
      </c>
    </row>
    <row r="500" spans="1:35" x14ac:dyDescent="0.35">
      <c r="A500" t="s">
        <v>1</v>
      </c>
      <c r="B500">
        <v>3500</v>
      </c>
      <c r="C500">
        <v>72</v>
      </c>
      <c r="D500">
        <v>35196</v>
      </c>
      <c r="E500">
        <v>0</v>
      </c>
      <c r="F500">
        <v>765129216721</v>
      </c>
      <c r="G500">
        <v>1689535964.1400001</v>
      </c>
      <c r="H500">
        <v>757937554428.95996</v>
      </c>
      <c r="I500">
        <v>762742856384.09998</v>
      </c>
      <c r="J500">
        <v>8.2960999999999993E-2</v>
      </c>
      <c r="K500">
        <v>1.0874E-2</v>
      </c>
      <c r="M500" t="s">
        <v>1</v>
      </c>
      <c r="N500">
        <v>6000</v>
      </c>
      <c r="O500">
        <v>84</v>
      </c>
      <c r="P500">
        <v>102</v>
      </c>
      <c r="Q500">
        <v>0</v>
      </c>
      <c r="R500">
        <v>1302565924</v>
      </c>
      <c r="S500">
        <v>2154433.17</v>
      </c>
      <c r="T500">
        <v>1275269355.77</v>
      </c>
      <c r="U500">
        <v>1289940774.55</v>
      </c>
      <c r="V500">
        <v>0.20855000000000001</v>
      </c>
      <c r="W500">
        <v>9.2310000000000003E-2</v>
      </c>
      <c r="Y500" t="s">
        <v>0</v>
      </c>
      <c r="Z500">
        <v>4500</v>
      </c>
      <c r="AA500">
        <v>72</v>
      </c>
      <c r="AB500">
        <v>11203</v>
      </c>
      <c r="AC500">
        <v>0</v>
      </c>
      <c r="AD500">
        <v>186322606249</v>
      </c>
      <c r="AE500">
        <v>356194258.86000001</v>
      </c>
      <c r="AF500">
        <v>185037816099</v>
      </c>
      <c r="AG500">
        <v>185673680257</v>
      </c>
      <c r="AH500">
        <v>5.8193000000000002E-2</v>
      </c>
      <c r="AI500">
        <v>1.8690999999999999E-2</v>
      </c>
    </row>
    <row r="501" spans="1:35" x14ac:dyDescent="0.35">
      <c r="A501" t="s">
        <v>0</v>
      </c>
      <c r="B501">
        <v>4000</v>
      </c>
      <c r="C501">
        <v>72</v>
      </c>
      <c r="D501">
        <v>36515</v>
      </c>
      <c r="E501">
        <v>0</v>
      </c>
      <c r="F501">
        <v>578416962800</v>
      </c>
      <c r="G501">
        <v>1190327247.52</v>
      </c>
      <c r="H501">
        <v>573419056249.90002</v>
      </c>
      <c r="I501">
        <v>576386994430.75</v>
      </c>
      <c r="J501">
        <v>7.6194999999999999E-2</v>
      </c>
      <c r="K501">
        <v>1.7281000000000001E-2</v>
      </c>
      <c r="M501" t="s">
        <v>2</v>
      </c>
      <c r="N501">
        <v>4750</v>
      </c>
      <c r="O501">
        <v>84</v>
      </c>
      <c r="P501">
        <v>6687</v>
      </c>
      <c r="Q501">
        <v>0</v>
      </c>
      <c r="R501">
        <v>74836410184</v>
      </c>
      <c r="S501">
        <v>146787203.87</v>
      </c>
      <c r="T501">
        <v>74187110520.809998</v>
      </c>
      <c r="U501">
        <v>74621986177.110001</v>
      </c>
      <c r="V501">
        <v>7.7668000000000001E-2</v>
      </c>
      <c r="W501">
        <v>1.0792E-2</v>
      </c>
      <c r="Y501" t="s">
        <v>2</v>
      </c>
      <c r="Z501">
        <v>4500</v>
      </c>
      <c r="AA501">
        <v>72</v>
      </c>
      <c r="AB501">
        <v>1101</v>
      </c>
      <c r="AC501">
        <v>0</v>
      </c>
      <c r="AD501">
        <v>11884662071</v>
      </c>
      <c r="AE501">
        <v>22761316.98</v>
      </c>
      <c r="AF501">
        <v>11795361592</v>
      </c>
      <c r="AG501">
        <v>11844447619.799999</v>
      </c>
      <c r="AH501">
        <v>6.5154000000000004E-2</v>
      </c>
      <c r="AI501">
        <v>1.7481E-2</v>
      </c>
    </row>
    <row r="502" spans="1:35" x14ac:dyDescent="0.35">
      <c r="A502" t="s">
        <v>2</v>
      </c>
      <c r="B502">
        <v>4000</v>
      </c>
      <c r="C502">
        <v>72</v>
      </c>
      <c r="D502">
        <v>4394</v>
      </c>
      <c r="E502">
        <v>0</v>
      </c>
      <c r="F502">
        <v>54382021537</v>
      </c>
      <c r="G502">
        <v>112515359.88</v>
      </c>
      <c r="H502">
        <v>53908132193.910004</v>
      </c>
      <c r="I502">
        <v>54215413932.599998</v>
      </c>
      <c r="J502">
        <v>7.689E-2</v>
      </c>
      <c r="K502">
        <v>1.1871E-2</v>
      </c>
      <c r="M502" t="s">
        <v>1</v>
      </c>
      <c r="N502">
        <v>4750</v>
      </c>
      <c r="O502">
        <v>84</v>
      </c>
      <c r="P502">
        <v>6457</v>
      </c>
      <c r="Q502">
        <v>0</v>
      </c>
      <c r="R502">
        <v>107348900356</v>
      </c>
      <c r="S502">
        <v>211375888.75999999</v>
      </c>
      <c r="T502">
        <v>106129044286.67999</v>
      </c>
      <c r="U502">
        <v>106898898520.7</v>
      </c>
      <c r="V502">
        <v>0.107087</v>
      </c>
      <c r="W502">
        <v>2.6350999999999999E-2</v>
      </c>
      <c r="Y502" t="s">
        <v>2</v>
      </c>
      <c r="Z502">
        <v>5000</v>
      </c>
      <c r="AA502">
        <v>72</v>
      </c>
      <c r="AB502">
        <v>251</v>
      </c>
      <c r="AC502">
        <v>0</v>
      </c>
      <c r="AD502">
        <v>2619219397</v>
      </c>
      <c r="AE502">
        <v>4694925.97</v>
      </c>
      <c r="AF502">
        <v>2605012319</v>
      </c>
      <c r="AG502">
        <v>2605012319</v>
      </c>
      <c r="AH502">
        <v>4.2720000000000001E-2</v>
      </c>
      <c r="AI502">
        <v>4.2720000000000001E-2</v>
      </c>
    </row>
    <row r="503" spans="1:35" x14ac:dyDescent="0.35">
      <c r="A503" t="s">
        <v>0</v>
      </c>
      <c r="B503">
        <v>4500</v>
      </c>
      <c r="C503">
        <v>72</v>
      </c>
      <c r="D503">
        <v>9846</v>
      </c>
      <c r="E503">
        <v>0</v>
      </c>
      <c r="F503">
        <v>163597541182</v>
      </c>
      <c r="G503">
        <v>313062811.94</v>
      </c>
      <c r="H503">
        <v>162201402766.07001</v>
      </c>
      <c r="I503">
        <v>163034725421</v>
      </c>
      <c r="J503">
        <v>7.6615000000000003E-2</v>
      </c>
      <c r="K503">
        <v>1.8166999999999999E-2</v>
      </c>
      <c r="M503" t="s">
        <v>0</v>
      </c>
      <c r="N503">
        <v>4000</v>
      </c>
      <c r="O503">
        <v>72</v>
      </c>
      <c r="P503">
        <v>51486</v>
      </c>
      <c r="Q503">
        <v>0</v>
      </c>
      <c r="R503">
        <v>824393321692</v>
      </c>
      <c r="S503">
        <v>1688404608.7</v>
      </c>
      <c r="T503">
        <v>817323258664.41003</v>
      </c>
      <c r="U503">
        <v>821685214354.45996</v>
      </c>
      <c r="V503">
        <v>7.5583999999999998E-2</v>
      </c>
      <c r="W503">
        <v>1.4742E-2</v>
      </c>
      <c r="Y503" t="s">
        <v>0</v>
      </c>
      <c r="Z503">
        <v>5000</v>
      </c>
      <c r="AA503">
        <v>72</v>
      </c>
      <c r="AB503">
        <v>4131</v>
      </c>
      <c r="AC503">
        <v>0</v>
      </c>
      <c r="AD503">
        <v>63263184896</v>
      </c>
      <c r="AE503">
        <v>113053079.86</v>
      </c>
      <c r="AF503">
        <v>62989335432</v>
      </c>
      <c r="AG503">
        <v>63112902788.82</v>
      </c>
      <c r="AH503">
        <v>3.0078000000000001E-2</v>
      </c>
      <c r="AI503">
        <v>7.0390000000000001E-3</v>
      </c>
    </row>
    <row r="504" spans="1:35" x14ac:dyDescent="0.35">
      <c r="A504" t="s">
        <v>2</v>
      </c>
      <c r="B504">
        <v>4500</v>
      </c>
      <c r="C504">
        <v>72</v>
      </c>
      <c r="D504">
        <v>990</v>
      </c>
      <c r="E504">
        <v>0</v>
      </c>
      <c r="F504">
        <v>10801081117</v>
      </c>
      <c r="G504">
        <v>20761446.02</v>
      </c>
      <c r="H504">
        <v>10705422531.120001</v>
      </c>
      <c r="I504">
        <v>10764319197.040001</v>
      </c>
      <c r="J504">
        <v>8.0109E-2</v>
      </c>
      <c r="K504">
        <v>1.7631999999999998E-2</v>
      </c>
      <c r="M504" t="s">
        <v>0</v>
      </c>
      <c r="N504">
        <v>4500</v>
      </c>
      <c r="O504">
        <v>72</v>
      </c>
      <c r="P504">
        <v>14789</v>
      </c>
      <c r="Q504">
        <v>0</v>
      </c>
      <c r="R504">
        <v>240481332770</v>
      </c>
      <c r="S504">
        <v>459372655.58999997</v>
      </c>
      <c r="T504">
        <v>238384180233.60999</v>
      </c>
      <c r="U504">
        <v>239659474094.79001</v>
      </c>
      <c r="V504">
        <v>7.8731999999999996E-2</v>
      </c>
      <c r="W504">
        <v>1.7939E-2</v>
      </c>
      <c r="Y504" t="s">
        <v>0</v>
      </c>
      <c r="Z504">
        <v>3500</v>
      </c>
      <c r="AA504">
        <v>72</v>
      </c>
      <c r="AB504">
        <v>81181</v>
      </c>
      <c r="AC504">
        <v>0</v>
      </c>
      <c r="AD504">
        <v>1505639444567</v>
      </c>
      <c r="AE504">
        <v>3290847092.5300002</v>
      </c>
      <c r="AF504">
        <v>1496310738816</v>
      </c>
      <c r="AG504">
        <v>1501316945734.78</v>
      </c>
      <c r="AH504">
        <v>4.7074999999999999E-2</v>
      </c>
      <c r="AI504">
        <v>8.1910000000000004E-3</v>
      </c>
    </row>
    <row r="505" spans="1:35" x14ac:dyDescent="0.35">
      <c r="A505" t="s">
        <v>0</v>
      </c>
      <c r="B505">
        <v>5000</v>
      </c>
      <c r="C505">
        <v>72</v>
      </c>
      <c r="D505">
        <v>3608</v>
      </c>
      <c r="E505">
        <v>0</v>
      </c>
      <c r="F505">
        <v>55107585599</v>
      </c>
      <c r="G505">
        <v>98729341.099999994</v>
      </c>
      <c r="H505">
        <v>54586504356.209999</v>
      </c>
      <c r="I505">
        <v>54882469847.269997</v>
      </c>
      <c r="J505">
        <v>8.8190000000000004E-2</v>
      </c>
      <c r="K505">
        <v>2.7177E-2</v>
      </c>
      <c r="M505" t="s">
        <v>0</v>
      </c>
      <c r="N505">
        <v>3000</v>
      </c>
      <c r="O505">
        <v>84</v>
      </c>
      <c r="P505">
        <v>298</v>
      </c>
      <c r="Q505">
        <v>0</v>
      </c>
      <c r="R505">
        <v>5492152101</v>
      </c>
      <c r="S505">
        <v>13182702.51</v>
      </c>
      <c r="T505">
        <v>5454884272.6000004</v>
      </c>
      <c r="U505">
        <v>5478631490.5600004</v>
      </c>
      <c r="V505">
        <v>5.1374000000000003E-2</v>
      </c>
      <c r="W505">
        <v>7.3800000000000005E-4</v>
      </c>
      <c r="Y505" t="s">
        <v>2</v>
      </c>
      <c r="Z505">
        <v>3500</v>
      </c>
      <c r="AA505">
        <v>72</v>
      </c>
      <c r="AB505">
        <v>14196</v>
      </c>
      <c r="AC505">
        <v>0</v>
      </c>
      <c r="AD505">
        <v>201556826242</v>
      </c>
      <c r="AE505">
        <v>441871552.44999999</v>
      </c>
      <c r="AF505">
        <v>200227750113</v>
      </c>
      <c r="AG505">
        <v>200983874316.37</v>
      </c>
      <c r="AH505">
        <v>5.1561000000000003E-2</v>
      </c>
      <c r="AI505">
        <v>7.7759999999999999E-3</v>
      </c>
    </row>
    <row r="506" spans="1:35" x14ac:dyDescent="0.35">
      <c r="A506" t="s">
        <v>1</v>
      </c>
      <c r="B506">
        <v>4500</v>
      </c>
      <c r="C506">
        <v>72</v>
      </c>
      <c r="D506">
        <v>944</v>
      </c>
      <c r="E506">
        <v>0</v>
      </c>
      <c r="F506">
        <v>15480465510</v>
      </c>
      <c r="G506">
        <v>29596947.850000001</v>
      </c>
      <c r="H506">
        <v>15280755153.200001</v>
      </c>
      <c r="I506">
        <v>15386521432.299999</v>
      </c>
      <c r="J506">
        <v>0.124182</v>
      </c>
      <c r="K506">
        <v>4.8755E-2</v>
      </c>
      <c r="M506" t="s">
        <v>2</v>
      </c>
      <c r="N506">
        <v>3000</v>
      </c>
      <c r="O506">
        <v>84</v>
      </c>
      <c r="P506">
        <v>78</v>
      </c>
      <c r="Q506">
        <v>0</v>
      </c>
      <c r="R506">
        <v>1058465475</v>
      </c>
      <c r="S506">
        <v>2536794.96</v>
      </c>
      <c r="T506">
        <v>1051041344.48</v>
      </c>
      <c r="U506">
        <v>1055875654.1900001</v>
      </c>
      <c r="V506">
        <v>5.4023000000000002E-2</v>
      </c>
      <c r="W506">
        <v>6.0099999999999997E-4</v>
      </c>
      <c r="Y506" t="s">
        <v>1</v>
      </c>
      <c r="Z506">
        <v>3500</v>
      </c>
      <c r="AA506">
        <v>72</v>
      </c>
      <c r="AB506">
        <v>39675</v>
      </c>
      <c r="AC506">
        <v>0</v>
      </c>
      <c r="AD506">
        <v>865824291819</v>
      </c>
      <c r="AE506">
        <v>1907937076.27</v>
      </c>
      <c r="AF506">
        <v>859396607636</v>
      </c>
      <c r="AG506">
        <v>862892857285.63</v>
      </c>
      <c r="AH506">
        <v>6.0873999999999998E-2</v>
      </c>
      <c r="AI506">
        <v>1.4093E-2</v>
      </c>
    </row>
    <row r="507" spans="1:35" x14ac:dyDescent="0.35">
      <c r="A507" t="s">
        <v>2</v>
      </c>
      <c r="B507">
        <v>5000</v>
      </c>
      <c r="C507">
        <v>72</v>
      </c>
      <c r="D507">
        <v>233</v>
      </c>
      <c r="E507">
        <v>0</v>
      </c>
      <c r="F507">
        <v>2450753060</v>
      </c>
      <c r="G507">
        <v>4417403.42</v>
      </c>
      <c r="H507">
        <v>2426436702.5300002</v>
      </c>
      <c r="I507">
        <v>2439903504.73</v>
      </c>
      <c r="J507">
        <v>9.3199000000000004E-2</v>
      </c>
      <c r="K507">
        <v>3.1043999999999999E-2</v>
      </c>
      <c r="M507" t="s">
        <v>1</v>
      </c>
      <c r="N507">
        <v>3750</v>
      </c>
      <c r="O507">
        <v>84</v>
      </c>
      <c r="P507">
        <v>10691</v>
      </c>
      <c r="Q507">
        <v>0</v>
      </c>
      <c r="R507">
        <v>233309056504</v>
      </c>
      <c r="S507">
        <v>513791549.31</v>
      </c>
      <c r="T507">
        <v>231147171780.45999</v>
      </c>
      <c r="U507">
        <v>232615580429.35999</v>
      </c>
      <c r="V507">
        <v>8.1550999999999998E-2</v>
      </c>
      <c r="W507">
        <v>9.2029999999999994E-3</v>
      </c>
      <c r="Y507" t="s">
        <v>0</v>
      </c>
      <c r="Z507">
        <v>4000</v>
      </c>
      <c r="AA507">
        <v>72</v>
      </c>
      <c r="AB507">
        <v>41779</v>
      </c>
      <c r="AC507">
        <v>0</v>
      </c>
      <c r="AD507">
        <v>663294397975</v>
      </c>
      <c r="AE507">
        <v>1363520178.72</v>
      </c>
      <c r="AF507">
        <v>658653744778</v>
      </c>
      <c r="AG507">
        <v>660940767804.37</v>
      </c>
      <c r="AH507">
        <v>5.7702999999999997E-2</v>
      </c>
      <c r="AI507">
        <v>1.7766000000000001E-2</v>
      </c>
    </row>
    <row r="508" spans="1:35" x14ac:dyDescent="0.35">
      <c r="A508" t="s">
        <v>1</v>
      </c>
      <c r="B508">
        <v>5000</v>
      </c>
      <c r="C508">
        <v>72</v>
      </c>
      <c r="D508">
        <v>252</v>
      </c>
      <c r="E508">
        <v>0</v>
      </c>
      <c r="F508">
        <v>4063184112</v>
      </c>
      <c r="G508">
        <v>7278356.6600000001</v>
      </c>
      <c r="H508">
        <v>4011226480.71</v>
      </c>
      <c r="I508">
        <v>4038053599.3200002</v>
      </c>
      <c r="J508">
        <v>0.12425899999999999</v>
      </c>
      <c r="K508">
        <v>5.1468E-2</v>
      </c>
      <c r="M508" t="s">
        <v>2</v>
      </c>
      <c r="N508">
        <v>3750</v>
      </c>
      <c r="O508">
        <v>84</v>
      </c>
      <c r="P508">
        <v>2829</v>
      </c>
      <c r="Q508">
        <v>0</v>
      </c>
      <c r="R508">
        <v>39490282990</v>
      </c>
      <c r="S508">
        <v>86893081.010000005</v>
      </c>
      <c r="T508">
        <v>39165710464.639999</v>
      </c>
      <c r="U508">
        <v>39384604180.879997</v>
      </c>
      <c r="V508">
        <v>6.9880999999999999E-2</v>
      </c>
      <c r="W508">
        <v>5.6940000000000003E-3</v>
      </c>
      <c r="Y508" t="s">
        <v>2</v>
      </c>
      <c r="Z508">
        <v>4000</v>
      </c>
      <c r="AA508">
        <v>72</v>
      </c>
      <c r="AB508">
        <v>5266</v>
      </c>
      <c r="AC508">
        <v>0</v>
      </c>
      <c r="AD508">
        <v>65485513639</v>
      </c>
      <c r="AE508">
        <v>135157292.36000001</v>
      </c>
      <c r="AF508">
        <v>64976262997</v>
      </c>
      <c r="AG508">
        <v>65254843534.389999</v>
      </c>
      <c r="AH508">
        <v>6.6437999999999997E-2</v>
      </c>
      <c r="AI508">
        <v>1.7363E-2</v>
      </c>
    </row>
    <row r="509" spans="1:35" x14ac:dyDescent="0.35">
      <c r="A509" t="s">
        <v>1</v>
      </c>
      <c r="B509">
        <v>3000</v>
      </c>
      <c r="C509">
        <v>84</v>
      </c>
      <c r="D509">
        <v>4848</v>
      </c>
      <c r="E509">
        <v>0</v>
      </c>
      <c r="F509">
        <v>119373167568</v>
      </c>
      <c r="G509">
        <v>288305966.63999999</v>
      </c>
      <c r="H509">
        <v>118489589864.27</v>
      </c>
      <c r="I509">
        <v>119056297603.09</v>
      </c>
      <c r="J509">
        <v>5.8226E-2</v>
      </c>
      <c r="K509">
        <v>2.8679999999999999E-3</v>
      </c>
      <c r="M509" t="s">
        <v>0</v>
      </c>
      <c r="N509">
        <v>3750</v>
      </c>
      <c r="O509">
        <v>84</v>
      </c>
      <c r="P509">
        <v>17643</v>
      </c>
      <c r="Q509">
        <v>0</v>
      </c>
      <c r="R509">
        <v>339337196394</v>
      </c>
      <c r="S509">
        <v>743365639.80999994</v>
      </c>
      <c r="T509">
        <v>336701968668.87</v>
      </c>
      <c r="U509">
        <v>338444949757.21002</v>
      </c>
      <c r="V509">
        <v>6.4888000000000001E-2</v>
      </c>
      <c r="W509">
        <v>5.2519999999999997E-3</v>
      </c>
      <c r="Y509" t="s">
        <v>1</v>
      </c>
      <c r="Z509">
        <v>4500</v>
      </c>
      <c r="AA509">
        <v>72</v>
      </c>
      <c r="AB509">
        <v>1000</v>
      </c>
      <c r="AC509">
        <v>0</v>
      </c>
      <c r="AD509">
        <v>16306519196</v>
      </c>
      <c r="AE509">
        <v>31109386.399999999</v>
      </c>
      <c r="AF509">
        <v>16131962428</v>
      </c>
      <c r="AG509">
        <v>16212019943.280001</v>
      </c>
      <c r="AH509">
        <v>0.100603</v>
      </c>
      <c r="AI509">
        <v>4.5664000000000003E-2</v>
      </c>
    </row>
    <row r="510" spans="1:35" x14ac:dyDescent="0.35">
      <c r="A510" t="s">
        <v>1</v>
      </c>
      <c r="B510">
        <v>4250</v>
      </c>
      <c r="C510">
        <v>84</v>
      </c>
      <c r="D510">
        <v>9573</v>
      </c>
      <c r="E510">
        <v>0</v>
      </c>
      <c r="F510">
        <v>174509175391</v>
      </c>
      <c r="G510">
        <v>365433777</v>
      </c>
      <c r="H510">
        <v>172572160023.66</v>
      </c>
      <c r="I510">
        <v>173700751204.04001</v>
      </c>
      <c r="J510">
        <v>0.10287300000000001</v>
      </c>
      <c r="K510">
        <v>3.0040000000000001E-2</v>
      </c>
      <c r="M510" t="s">
        <v>1</v>
      </c>
      <c r="N510">
        <v>3250</v>
      </c>
      <c r="O510">
        <v>84</v>
      </c>
      <c r="P510">
        <v>3352</v>
      </c>
      <c r="Q510">
        <v>0</v>
      </c>
      <c r="R510">
        <v>78869773172</v>
      </c>
      <c r="S510">
        <v>183500043.13999999</v>
      </c>
      <c r="T510">
        <v>78191282828.360001</v>
      </c>
      <c r="U510">
        <v>78653739700.259995</v>
      </c>
      <c r="V510">
        <v>7.2766999999999998E-2</v>
      </c>
      <c r="W510">
        <v>4.9389999999999998E-3</v>
      </c>
      <c r="Y510" t="s">
        <v>1</v>
      </c>
      <c r="Z510">
        <v>5000</v>
      </c>
      <c r="AA510">
        <v>72</v>
      </c>
      <c r="AB510">
        <v>293</v>
      </c>
      <c r="AC510">
        <v>0</v>
      </c>
      <c r="AD510">
        <v>4734975213</v>
      </c>
      <c r="AE510">
        <v>8463760.1400000006</v>
      </c>
      <c r="AF510">
        <v>4673418285</v>
      </c>
      <c r="AG510">
        <v>4725936192.5900002</v>
      </c>
      <c r="AH510">
        <v>0.12656000000000001</v>
      </c>
      <c r="AI510">
        <v>1.457E-3</v>
      </c>
    </row>
    <row r="511" spans="1:35" x14ac:dyDescent="0.35">
      <c r="A511" t="s">
        <v>0</v>
      </c>
      <c r="B511">
        <v>3250</v>
      </c>
      <c r="C511">
        <v>84</v>
      </c>
      <c r="D511">
        <v>9615</v>
      </c>
      <c r="E511">
        <v>0</v>
      </c>
      <c r="F511">
        <v>194608279987</v>
      </c>
      <c r="G511">
        <v>455038946.02999997</v>
      </c>
      <c r="H511">
        <v>193232727184.32001</v>
      </c>
      <c r="I511">
        <v>194082586189.07999</v>
      </c>
      <c r="J511">
        <v>5.5307000000000002E-2</v>
      </c>
      <c r="K511">
        <v>4.3480000000000003E-3</v>
      </c>
      <c r="M511" t="s">
        <v>2</v>
      </c>
      <c r="N511">
        <v>4500</v>
      </c>
      <c r="O511">
        <v>72</v>
      </c>
      <c r="P511">
        <v>1329</v>
      </c>
      <c r="Q511">
        <v>0</v>
      </c>
      <c r="R511">
        <v>14084376324</v>
      </c>
      <c r="S511">
        <v>26832719.41</v>
      </c>
      <c r="T511">
        <v>13962490102.950001</v>
      </c>
      <c r="U511">
        <v>14042512639.49</v>
      </c>
      <c r="V511">
        <v>7.8047000000000005E-2</v>
      </c>
      <c r="W511">
        <v>1.2732E-2</v>
      </c>
      <c r="Y511" t="s">
        <v>1</v>
      </c>
      <c r="Z511">
        <v>3000</v>
      </c>
      <c r="AA511">
        <v>84</v>
      </c>
      <c r="AB511">
        <v>3129</v>
      </c>
      <c r="AC511">
        <v>0</v>
      </c>
      <c r="AD511">
        <v>77543819577</v>
      </c>
      <c r="AE511">
        <v>186916431.83000001</v>
      </c>
      <c r="AF511">
        <v>77127042257</v>
      </c>
      <c r="AG511">
        <v>77305237427.639999</v>
      </c>
      <c r="AH511">
        <v>3.4997E-2</v>
      </c>
      <c r="AI511">
        <v>7.9660000000000009E-3</v>
      </c>
    </row>
    <row r="512" spans="1:35" x14ac:dyDescent="0.35">
      <c r="A512" t="s">
        <v>1</v>
      </c>
      <c r="B512">
        <v>3250</v>
      </c>
      <c r="C512">
        <v>72</v>
      </c>
      <c r="D512">
        <v>59512</v>
      </c>
      <c r="E512">
        <v>0</v>
      </c>
      <c r="F512">
        <v>1405352964633</v>
      </c>
      <c r="G512">
        <v>3177871846.8899999</v>
      </c>
      <c r="H512">
        <v>1392853499298.48</v>
      </c>
      <c r="I512">
        <v>1401082089546.8201</v>
      </c>
      <c r="J512">
        <v>7.6755000000000004E-2</v>
      </c>
      <c r="K512">
        <v>9.2929999999999992E-3</v>
      </c>
      <c r="M512" t="s">
        <v>1</v>
      </c>
      <c r="N512">
        <v>4500</v>
      </c>
      <c r="O512">
        <v>72</v>
      </c>
      <c r="P512">
        <v>1176</v>
      </c>
      <c r="Q512">
        <v>0</v>
      </c>
      <c r="R512">
        <v>19011234845</v>
      </c>
      <c r="S512">
        <v>36212307.549999997</v>
      </c>
      <c r="T512">
        <v>18756446513.779999</v>
      </c>
      <c r="U512">
        <v>18893074703.02</v>
      </c>
      <c r="V512">
        <v>0.12956799999999999</v>
      </c>
      <c r="W512">
        <v>5.0516999999999999E-2</v>
      </c>
      <c r="Y512" t="s">
        <v>0</v>
      </c>
      <c r="Z512">
        <v>3250</v>
      </c>
      <c r="AA512">
        <v>84</v>
      </c>
      <c r="AB512">
        <v>7182</v>
      </c>
      <c r="AC512">
        <v>0</v>
      </c>
      <c r="AD512">
        <v>144211595547</v>
      </c>
      <c r="AE512">
        <v>336388687.22000003</v>
      </c>
      <c r="AF512">
        <v>143329254351</v>
      </c>
      <c r="AG512">
        <v>143816825699.54001</v>
      </c>
      <c r="AH512">
        <v>4.4495E-2</v>
      </c>
      <c r="AI512">
        <v>4.8469999999999997E-3</v>
      </c>
    </row>
    <row r="513" spans="1:35" x14ac:dyDescent="0.35">
      <c r="A513" t="s">
        <v>0</v>
      </c>
      <c r="B513">
        <v>3750</v>
      </c>
      <c r="C513">
        <v>72</v>
      </c>
      <c r="D513">
        <v>98481</v>
      </c>
      <c r="E513">
        <v>0</v>
      </c>
      <c r="F513">
        <v>1742625004621</v>
      </c>
      <c r="G513">
        <v>3692821462.52</v>
      </c>
      <c r="H513">
        <v>1729172432907.1201</v>
      </c>
      <c r="I513">
        <v>1737588423726.3799</v>
      </c>
      <c r="J513">
        <v>6.5174999999999997E-2</v>
      </c>
      <c r="K513">
        <v>9.214E-3</v>
      </c>
      <c r="M513" t="s">
        <v>1</v>
      </c>
      <c r="N513">
        <v>5000</v>
      </c>
      <c r="O513">
        <v>72</v>
      </c>
      <c r="P513">
        <v>360</v>
      </c>
      <c r="Q513">
        <v>0</v>
      </c>
      <c r="R513">
        <v>5860753241</v>
      </c>
      <c r="S513">
        <v>10419937.59</v>
      </c>
      <c r="T513">
        <v>5787086836.6300001</v>
      </c>
      <c r="U513">
        <v>5829042002.5699997</v>
      </c>
      <c r="V513">
        <v>0.122082</v>
      </c>
      <c r="W513">
        <v>4.2734000000000001E-2</v>
      </c>
      <c r="Y513" t="s">
        <v>0</v>
      </c>
      <c r="Z513">
        <v>4750</v>
      </c>
      <c r="AA513">
        <v>72</v>
      </c>
      <c r="AB513">
        <v>10673</v>
      </c>
      <c r="AC513">
        <v>0</v>
      </c>
      <c r="AD513">
        <v>166817283378</v>
      </c>
      <c r="AE513">
        <v>307465254.63</v>
      </c>
      <c r="AF513">
        <v>165586390645</v>
      </c>
      <c r="AG513">
        <v>166405254756.78</v>
      </c>
      <c r="AH513">
        <v>6.4440999999999998E-2</v>
      </c>
      <c r="AI513">
        <v>7.4960000000000001E-3</v>
      </c>
    </row>
    <row r="514" spans="1:35" x14ac:dyDescent="0.35">
      <c r="A514" t="s">
        <v>0</v>
      </c>
      <c r="B514">
        <v>4750</v>
      </c>
      <c r="C514">
        <v>72</v>
      </c>
      <c r="D514">
        <v>9540</v>
      </c>
      <c r="E514">
        <v>0</v>
      </c>
      <c r="F514">
        <v>150058947561</v>
      </c>
      <c r="G514">
        <v>276754685.35000002</v>
      </c>
      <c r="H514">
        <v>148741747533.44</v>
      </c>
      <c r="I514">
        <v>149511782585.35001</v>
      </c>
      <c r="J514">
        <v>8.0102000000000007E-2</v>
      </c>
      <c r="K514">
        <v>2.1410999999999999E-2</v>
      </c>
      <c r="M514" t="s">
        <v>2</v>
      </c>
      <c r="N514">
        <v>5000</v>
      </c>
      <c r="O514">
        <v>72</v>
      </c>
      <c r="P514">
        <v>241</v>
      </c>
      <c r="Q514">
        <v>0</v>
      </c>
      <c r="R514">
        <v>2427466636</v>
      </c>
      <c r="S514">
        <v>4287129.93</v>
      </c>
      <c r="T514">
        <v>2405188597.6700001</v>
      </c>
      <c r="U514">
        <v>2418724581.1399999</v>
      </c>
      <c r="V514">
        <v>8.5400000000000004E-2</v>
      </c>
      <c r="W514">
        <v>2.1801999999999998E-2</v>
      </c>
      <c r="Y514" t="s">
        <v>0</v>
      </c>
      <c r="Z514">
        <v>3750</v>
      </c>
      <c r="AA514">
        <v>72</v>
      </c>
      <c r="AB514">
        <v>104255</v>
      </c>
      <c r="AC514">
        <v>0</v>
      </c>
      <c r="AD514">
        <v>1849736541305</v>
      </c>
      <c r="AE514">
        <v>3913819874.9299998</v>
      </c>
      <c r="AF514">
        <v>1837838089958</v>
      </c>
      <c r="AG514">
        <v>1845005198347.4299</v>
      </c>
      <c r="AH514">
        <v>5.0587E-2</v>
      </c>
      <c r="AI514">
        <v>5.2909999999999997E-3</v>
      </c>
    </row>
    <row r="515" spans="1:35" x14ac:dyDescent="0.35">
      <c r="A515" t="s">
        <v>0</v>
      </c>
      <c r="B515">
        <v>3250</v>
      </c>
      <c r="C515">
        <v>72</v>
      </c>
      <c r="D515">
        <v>138153</v>
      </c>
      <c r="E515">
        <v>0</v>
      </c>
      <c r="F515">
        <v>2769829079980</v>
      </c>
      <c r="G515">
        <v>6213776859.4099998</v>
      </c>
      <c r="H515">
        <v>2749119690274.5601</v>
      </c>
      <c r="I515">
        <v>2761976491328.8301</v>
      </c>
      <c r="J515">
        <v>6.1024000000000002E-2</v>
      </c>
      <c r="K515">
        <v>7.077E-3</v>
      </c>
      <c r="M515" t="s">
        <v>0</v>
      </c>
      <c r="N515">
        <v>5000</v>
      </c>
      <c r="O515">
        <v>72</v>
      </c>
      <c r="P515">
        <v>5414</v>
      </c>
      <c r="Q515">
        <v>0</v>
      </c>
      <c r="R515">
        <v>83118779158</v>
      </c>
      <c r="S515">
        <v>147888094.37</v>
      </c>
      <c r="T515">
        <v>82390540982.690002</v>
      </c>
      <c r="U515">
        <v>82828002631.110001</v>
      </c>
      <c r="V515">
        <v>8.0642000000000005E-2</v>
      </c>
      <c r="W515">
        <v>2.0434999999999998E-2</v>
      </c>
      <c r="Y515" t="s">
        <v>1</v>
      </c>
      <c r="Z515">
        <v>3250</v>
      </c>
      <c r="AA515">
        <v>72</v>
      </c>
      <c r="AB515">
        <v>58900</v>
      </c>
      <c r="AC515">
        <v>0</v>
      </c>
      <c r="AD515">
        <v>1396124585476</v>
      </c>
      <c r="AE515">
        <v>3149077603.1399999</v>
      </c>
      <c r="AF515">
        <v>1385726152541</v>
      </c>
      <c r="AG515">
        <v>1391688015515.7</v>
      </c>
      <c r="AH515">
        <v>6.0560999999999997E-2</v>
      </c>
      <c r="AI515">
        <v>1.1010000000000001E-2</v>
      </c>
    </row>
    <row r="516" spans="1:35" x14ac:dyDescent="0.35">
      <c r="A516" t="s">
        <v>2</v>
      </c>
      <c r="B516">
        <v>3250</v>
      </c>
      <c r="C516">
        <v>72</v>
      </c>
      <c r="D516">
        <v>18613</v>
      </c>
      <c r="E516">
        <v>0</v>
      </c>
      <c r="F516">
        <v>276961765898</v>
      </c>
      <c r="G516">
        <v>621122063.98000002</v>
      </c>
      <c r="H516">
        <v>274790417048.54001</v>
      </c>
      <c r="I516">
        <v>276208850163.53998</v>
      </c>
      <c r="J516">
        <v>6.5137E-2</v>
      </c>
      <c r="K516">
        <v>5.6950000000000004E-3</v>
      </c>
      <c r="M516" t="s">
        <v>2</v>
      </c>
      <c r="N516">
        <v>4000</v>
      </c>
      <c r="O516">
        <v>72</v>
      </c>
      <c r="P516">
        <v>7252</v>
      </c>
      <c r="Q516">
        <v>0</v>
      </c>
      <c r="R516">
        <v>90015581444</v>
      </c>
      <c r="S516">
        <v>185066673.22999999</v>
      </c>
      <c r="T516">
        <v>89251304753.949997</v>
      </c>
      <c r="U516">
        <v>89764058915.309998</v>
      </c>
      <c r="V516">
        <v>7.4539999999999995E-2</v>
      </c>
      <c r="W516">
        <v>8.8229999999999992E-3</v>
      </c>
      <c r="Y516" t="s">
        <v>0</v>
      </c>
      <c r="Z516">
        <v>3250</v>
      </c>
      <c r="AA516">
        <v>72</v>
      </c>
      <c r="AB516">
        <v>124514</v>
      </c>
      <c r="AC516">
        <v>0</v>
      </c>
      <c r="AD516">
        <v>2509147267899</v>
      </c>
      <c r="AE516">
        <v>5618700306.0200005</v>
      </c>
      <c r="AF516">
        <v>2493898164668</v>
      </c>
      <c r="AG516">
        <v>2502251166052.29</v>
      </c>
      <c r="AH516">
        <v>4.5096999999999998E-2</v>
      </c>
      <c r="AI516">
        <v>6.0920000000000002E-3</v>
      </c>
    </row>
    <row r="517" spans="1:35" x14ac:dyDescent="0.35">
      <c r="A517" t="s">
        <v>2</v>
      </c>
      <c r="B517">
        <v>3750</v>
      </c>
      <c r="C517">
        <v>72</v>
      </c>
      <c r="D517">
        <v>12948</v>
      </c>
      <c r="E517">
        <v>0</v>
      </c>
      <c r="F517">
        <v>173464920811</v>
      </c>
      <c r="G517">
        <v>369436809.80000001</v>
      </c>
      <c r="H517">
        <v>172012437797.23001</v>
      </c>
      <c r="I517">
        <v>172960373356.81</v>
      </c>
      <c r="J517">
        <v>7.2402999999999995E-2</v>
      </c>
      <c r="K517">
        <v>9.3069999999999993E-3</v>
      </c>
      <c r="M517" t="s">
        <v>1</v>
      </c>
      <c r="N517">
        <v>3000</v>
      </c>
      <c r="O517">
        <v>84</v>
      </c>
      <c r="P517">
        <v>506</v>
      </c>
      <c r="Q517">
        <v>0</v>
      </c>
      <c r="R517">
        <v>11909913771</v>
      </c>
      <c r="S517">
        <v>28675887.59</v>
      </c>
      <c r="T517">
        <v>11810050839.59</v>
      </c>
      <c r="U517">
        <v>11876437901.209999</v>
      </c>
      <c r="V517">
        <v>6.9414000000000003E-2</v>
      </c>
      <c r="W517">
        <v>4.8260000000000004E-3</v>
      </c>
      <c r="Y517" t="s">
        <v>2</v>
      </c>
      <c r="Z517">
        <v>3250</v>
      </c>
      <c r="AA517">
        <v>72</v>
      </c>
      <c r="AB517">
        <v>17475</v>
      </c>
      <c r="AC517">
        <v>0</v>
      </c>
      <c r="AD517">
        <v>261904170879</v>
      </c>
      <c r="AE517">
        <v>585717702.24000001</v>
      </c>
      <c r="AF517">
        <v>260140141995</v>
      </c>
      <c r="AG517">
        <v>261164983402.82999</v>
      </c>
      <c r="AH517">
        <v>5.2671999999999997E-2</v>
      </c>
      <c r="AI517">
        <v>7.0089999999999996E-3</v>
      </c>
    </row>
    <row r="518" spans="1:35" x14ac:dyDescent="0.35">
      <c r="A518" t="s">
        <v>1</v>
      </c>
      <c r="B518">
        <v>3750</v>
      </c>
      <c r="C518">
        <v>72</v>
      </c>
      <c r="D518">
        <v>21799</v>
      </c>
      <c r="E518">
        <v>0</v>
      </c>
      <c r="F518">
        <v>443309402306</v>
      </c>
      <c r="G518">
        <v>945955271.44000006</v>
      </c>
      <c r="H518">
        <v>438757771587.81</v>
      </c>
      <c r="I518">
        <v>441640077221.40002</v>
      </c>
      <c r="J518">
        <v>9.3353000000000005E-2</v>
      </c>
      <c r="K518">
        <v>1.9406E-2</v>
      </c>
      <c r="M518" t="s">
        <v>1</v>
      </c>
      <c r="N518">
        <v>3250</v>
      </c>
      <c r="O518">
        <v>72</v>
      </c>
      <c r="P518">
        <v>57087</v>
      </c>
      <c r="Q518">
        <v>0</v>
      </c>
      <c r="R518">
        <v>1366628847423</v>
      </c>
      <c r="S518">
        <v>3070898284.0500002</v>
      </c>
      <c r="T518">
        <v>1354397190161.5601</v>
      </c>
      <c r="U518">
        <v>1362610722305.0901</v>
      </c>
      <c r="V518">
        <v>7.7537999999999996E-2</v>
      </c>
      <c r="W518">
        <v>8.286E-3</v>
      </c>
      <c r="Y518" t="s">
        <v>2</v>
      </c>
      <c r="Z518">
        <v>3750</v>
      </c>
      <c r="AA518">
        <v>72</v>
      </c>
      <c r="AB518">
        <v>14263</v>
      </c>
      <c r="AC518">
        <v>0</v>
      </c>
      <c r="AD518">
        <v>192150470231</v>
      </c>
      <c r="AE518">
        <v>408193783.25999999</v>
      </c>
      <c r="AF518">
        <v>190478791241</v>
      </c>
      <c r="AG518">
        <v>191455765485.45001</v>
      </c>
      <c r="AH518">
        <v>7.6114000000000001E-2</v>
      </c>
      <c r="AI518">
        <v>1.7746999999999999E-2</v>
      </c>
    </row>
    <row r="519" spans="1:35" x14ac:dyDescent="0.35">
      <c r="A519" t="s">
        <v>0</v>
      </c>
      <c r="B519">
        <v>4250</v>
      </c>
      <c r="C519">
        <v>72</v>
      </c>
      <c r="D519">
        <v>25155</v>
      </c>
      <c r="E519">
        <v>0</v>
      </c>
      <c r="F519">
        <v>426978486140</v>
      </c>
      <c r="G519">
        <v>846024580.84000003</v>
      </c>
      <c r="H519">
        <v>423210312759.90997</v>
      </c>
      <c r="I519">
        <v>425469860563.71997</v>
      </c>
      <c r="J519">
        <v>7.9103999999999994E-2</v>
      </c>
      <c r="K519">
        <v>1.8464000000000001E-2</v>
      </c>
      <c r="M519" t="s">
        <v>0</v>
      </c>
      <c r="N519">
        <v>5250</v>
      </c>
      <c r="O519">
        <v>72</v>
      </c>
      <c r="P519">
        <v>4413</v>
      </c>
      <c r="Q519">
        <v>0</v>
      </c>
      <c r="R519">
        <v>63970711368</v>
      </c>
      <c r="S519">
        <v>110280447.56999999</v>
      </c>
      <c r="T519">
        <v>63373970031.839996</v>
      </c>
      <c r="U519">
        <v>63730868460.290001</v>
      </c>
      <c r="V519">
        <v>8.7531999999999999E-2</v>
      </c>
      <c r="W519">
        <v>2.4035000000000001E-2</v>
      </c>
      <c r="Y519" t="s">
        <v>1</v>
      </c>
      <c r="Z519">
        <v>3750</v>
      </c>
      <c r="AA519">
        <v>72</v>
      </c>
      <c r="AB519">
        <v>24418</v>
      </c>
      <c r="AC519">
        <v>0</v>
      </c>
      <c r="AD519">
        <v>496875255943</v>
      </c>
      <c r="AE519">
        <v>1058382139.7</v>
      </c>
      <c r="AF519">
        <v>492329921816</v>
      </c>
      <c r="AG519">
        <v>495048486138.54999</v>
      </c>
      <c r="AH519">
        <v>8.1037999999999999E-2</v>
      </c>
      <c r="AI519">
        <v>1.84E-2</v>
      </c>
    </row>
    <row r="520" spans="1:35" x14ac:dyDescent="0.35">
      <c r="A520" t="s">
        <v>2</v>
      </c>
      <c r="B520">
        <v>3250</v>
      </c>
      <c r="C520">
        <v>84</v>
      </c>
      <c r="D520">
        <v>1574</v>
      </c>
      <c r="E520">
        <v>0</v>
      </c>
      <c r="F520">
        <v>23550919749</v>
      </c>
      <c r="G520">
        <v>55050427.899999999</v>
      </c>
      <c r="H520">
        <v>23374548365.779999</v>
      </c>
      <c r="I520">
        <v>23489369291.599998</v>
      </c>
      <c r="J520">
        <v>6.0095000000000003E-2</v>
      </c>
      <c r="K520">
        <v>3.307E-3</v>
      </c>
      <c r="M520" t="s">
        <v>0</v>
      </c>
      <c r="N520">
        <v>3750</v>
      </c>
      <c r="O520">
        <v>72</v>
      </c>
      <c r="P520">
        <v>116098</v>
      </c>
      <c r="Q520">
        <v>0</v>
      </c>
      <c r="R520">
        <v>2090987696607</v>
      </c>
      <c r="S520">
        <v>4411156016.1899996</v>
      </c>
      <c r="T520">
        <v>2074222000660.1101</v>
      </c>
      <c r="U520">
        <v>2084886198854.0701</v>
      </c>
      <c r="V520">
        <v>6.8641999999999995E-2</v>
      </c>
      <c r="W520">
        <v>9.6579999999999999E-3</v>
      </c>
      <c r="Y520" t="s">
        <v>0</v>
      </c>
      <c r="Z520">
        <v>4250</v>
      </c>
      <c r="AA520">
        <v>72</v>
      </c>
      <c r="AB520">
        <v>29338</v>
      </c>
      <c r="AC520">
        <v>0</v>
      </c>
      <c r="AD520">
        <v>497218079539</v>
      </c>
      <c r="AE520">
        <v>986129272.44000006</v>
      </c>
      <c r="AF520">
        <v>493975535962</v>
      </c>
      <c r="AG520">
        <v>495954737362.89001</v>
      </c>
      <c r="AH520">
        <v>5.3117999999999999E-2</v>
      </c>
      <c r="AI520">
        <v>6.6699999999999997E-3</v>
      </c>
    </row>
    <row r="521" spans="1:35" x14ac:dyDescent="0.35">
      <c r="A521" t="s">
        <v>0</v>
      </c>
      <c r="B521">
        <v>4500</v>
      </c>
      <c r="C521">
        <v>48</v>
      </c>
      <c r="D521">
        <v>25155</v>
      </c>
      <c r="E521">
        <v>0</v>
      </c>
      <c r="F521">
        <v>613795430426</v>
      </c>
      <c r="G521">
        <v>1029104321.79</v>
      </c>
      <c r="H521">
        <v>609529149063.56006</v>
      </c>
      <c r="I521">
        <v>611728099725.85999</v>
      </c>
      <c r="J521">
        <v>6.1483999999999997E-2</v>
      </c>
      <c r="K521">
        <v>2.0109999999999999E-2</v>
      </c>
      <c r="M521" t="s">
        <v>2</v>
      </c>
      <c r="N521">
        <v>3750</v>
      </c>
      <c r="O521">
        <v>72</v>
      </c>
      <c r="P521">
        <v>16702</v>
      </c>
      <c r="Q521">
        <v>0</v>
      </c>
      <c r="R521">
        <v>226832166220</v>
      </c>
      <c r="S521">
        <v>479935539.17000002</v>
      </c>
      <c r="T521">
        <v>224945104554.85999</v>
      </c>
      <c r="U521">
        <v>226226528494.20999</v>
      </c>
      <c r="V521">
        <v>7.1953000000000003E-2</v>
      </c>
      <c r="W521">
        <v>6.6299999999999996E-3</v>
      </c>
      <c r="Y521" t="s">
        <v>2</v>
      </c>
      <c r="Z521">
        <v>3250</v>
      </c>
      <c r="AA521">
        <v>84</v>
      </c>
      <c r="AB521">
        <v>1175</v>
      </c>
      <c r="AC521">
        <v>0</v>
      </c>
      <c r="AD521">
        <v>17506873054</v>
      </c>
      <c r="AE521">
        <v>40832066.479999997</v>
      </c>
      <c r="AF521">
        <v>17392839789</v>
      </c>
      <c r="AG521">
        <v>17462047560.150002</v>
      </c>
      <c r="AH521">
        <v>4.9036999999999997E-2</v>
      </c>
      <c r="AI521">
        <v>2.7339999999999999E-3</v>
      </c>
    </row>
    <row r="522" spans="1:35" x14ac:dyDescent="0.35">
      <c r="A522" t="s">
        <v>2</v>
      </c>
      <c r="B522">
        <v>4500</v>
      </c>
      <c r="C522">
        <v>48</v>
      </c>
      <c r="D522">
        <v>1566</v>
      </c>
      <c r="E522">
        <v>0</v>
      </c>
      <c r="F522">
        <v>24941415561</v>
      </c>
      <c r="G522">
        <v>41908939.630000003</v>
      </c>
      <c r="H522">
        <v>24740248429.119999</v>
      </c>
      <c r="I522">
        <v>24844325219.689999</v>
      </c>
      <c r="J522">
        <v>7.3988999999999999E-2</v>
      </c>
      <c r="K522">
        <v>2.6228999999999999E-2</v>
      </c>
      <c r="M522" t="s">
        <v>0</v>
      </c>
      <c r="N522">
        <v>4750</v>
      </c>
      <c r="O522">
        <v>72</v>
      </c>
      <c r="P522">
        <v>13636</v>
      </c>
      <c r="Q522">
        <v>0</v>
      </c>
      <c r="R522">
        <v>211514515394</v>
      </c>
      <c r="S522">
        <v>389538109.11000001</v>
      </c>
      <c r="T522">
        <v>209733309314.28</v>
      </c>
      <c r="U522">
        <v>210836735938.85999</v>
      </c>
      <c r="V522">
        <v>7.6159000000000004E-2</v>
      </c>
      <c r="W522">
        <v>1.6230999999999999E-2</v>
      </c>
      <c r="Y522" t="s">
        <v>0</v>
      </c>
      <c r="Z522">
        <v>4500</v>
      </c>
      <c r="AA522">
        <v>42</v>
      </c>
      <c r="AB522">
        <v>21656</v>
      </c>
      <c r="AC522">
        <v>0</v>
      </c>
      <c r="AD522">
        <v>625617974631</v>
      </c>
      <c r="AE522">
        <v>1021752161.11</v>
      </c>
      <c r="AF522">
        <v>622630359180</v>
      </c>
      <c r="AG522">
        <v>624263023185.40002</v>
      </c>
      <c r="AH522">
        <v>3.7061999999999998E-2</v>
      </c>
      <c r="AI522">
        <v>6.3720000000000001E-3</v>
      </c>
    </row>
    <row r="523" spans="1:35" x14ac:dyDescent="0.35">
      <c r="A523" t="s">
        <v>1</v>
      </c>
      <c r="B523">
        <v>4500</v>
      </c>
      <c r="C523">
        <v>48</v>
      </c>
      <c r="D523">
        <v>10119</v>
      </c>
      <c r="E523">
        <v>0</v>
      </c>
      <c r="F523">
        <v>337598097038</v>
      </c>
      <c r="G523">
        <v>563848270.65999997</v>
      </c>
      <c r="H523">
        <v>334348764574.40997</v>
      </c>
      <c r="I523">
        <v>336268016202.07001</v>
      </c>
      <c r="J523">
        <v>9.1388999999999998E-2</v>
      </c>
      <c r="K523">
        <v>2.6897999999999998E-2</v>
      </c>
      <c r="M523" t="s">
        <v>0</v>
      </c>
      <c r="N523">
        <v>3250</v>
      </c>
      <c r="O523">
        <v>72</v>
      </c>
      <c r="P523">
        <v>95703</v>
      </c>
      <c r="Q523">
        <v>0</v>
      </c>
      <c r="R523">
        <v>1951021779396</v>
      </c>
      <c r="S523">
        <v>4358312268.3400002</v>
      </c>
      <c r="T523">
        <v>1936194421652.1699</v>
      </c>
      <c r="U523">
        <v>1945959769905.3101</v>
      </c>
      <c r="V523">
        <v>6.2523999999999996E-2</v>
      </c>
      <c r="W523">
        <v>4.3200000000000001E-3</v>
      </c>
      <c r="Y523" t="s">
        <v>0</v>
      </c>
      <c r="Z523">
        <v>4500</v>
      </c>
      <c r="AA523">
        <v>48</v>
      </c>
      <c r="AB523">
        <v>20083</v>
      </c>
      <c r="AC523">
        <v>0</v>
      </c>
      <c r="AD523">
        <v>475323114109</v>
      </c>
      <c r="AE523">
        <v>795924401.14999998</v>
      </c>
      <c r="AF523">
        <v>472240534182</v>
      </c>
      <c r="AG523">
        <v>473556545651.20001</v>
      </c>
      <c r="AH523">
        <v>5.6225999999999998E-2</v>
      </c>
      <c r="AI523">
        <v>2.4232E-2</v>
      </c>
    </row>
    <row r="524" spans="1:35" x14ac:dyDescent="0.35">
      <c r="A524" t="s">
        <v>0</v>
      </c>
      <c r="B524">
        <v>5000</v>
      </c>
      <c r="C524">
        <v>42</v>
      </c>
      <c r="D524">
        <v>28157</v>
      </c>
      <c r="E524">
        <v>0</v>
      </c>
      <c r="F524">
        <v>771388049334</v>
      </c>
      <c r="G524">
        <v>1166880657.8599999</v>
      </c>
      <c r="H524">
        <v>765934889298.68994</v>
      </c>
      <c r="I524">
        <v>769023729430.64001</v>
      </c>
      <c r="J524">
        <v>6.4677999999999999E-2</v>
      </c>
      <c r="K524">
        <v>1.847E-2</v>
      </c>
      <c r="M524" t="s">
        <v>0</v>
      </c>
      <c r="N524">
        <v>4250</v>
      </c>
      <c r="O524">
        <v>72</v>
      </c>
      <c r="P524">
        <v>39834</v>
      </c>
      <c r="Q524">
        <v>0</v>
      </c>
      <c r="R524">
        <v>670742873119</v>
      </c>
      <c r="S524">
        <v>1330922877.49</v>
      </c>
      <c r="T524">
        <v>665136693434.90002</v>
      </c>
      <c r="U524">
        <v>668735924327.64001</v>
      </c>
      <c r="V524">
        <v>7.3861999999999997E-2</v>
      </c>
      <c r="W524">
        <v>1.2028E-2</v>
      </c>
      <c r="Y524" t="s">
        <v>2</v>
      </c>
      <c r="Z524">
        <v>4500</v>
      </c>
      <c r="AA524">
        <v>42</v>
      </c>
      <c r="AB524">
        <v>1187</v>
      </c>
      <c r="AC524">
        <v>0</v>
      </c>
      <c r="AD524">
        <v>23572858631</v>
      </c>
      <c r="AE524">
        <v>38588226.920000002</v>
      </c>
      <c r="AF524">
        <v>23427488614</v>
      </c>
      <c r="AG524">
        <v>23492735797.68</v>
      </c>
      <c r="AH524">
        <v>5.3024000000000002E-2</v>
      </c>
      <c r="AI524">
        <v>2.094E-2</v>
      </c>
    </row>
    <row r="525" spans="1:35" x14ac:dyDescent="0.35">
      <c r="A525" t="s">
        <v>1</v>
      </c>
      <c r="B525">
        <v>5000</v>
      </c>
      <c r="C525">
        <v>42</v>
      </c>
      <c r="D525">
        <v>17990</v>
      </c>
      <c r="E525">
        <v>0</v>
      </c>
      <c r="F525">
        <v>648746113499</v>
      </c>
      <c r="G525">
        <v>982240057.86000001</v>
      </c>
      <c r="H525">
        <v>642310768149.64001</v>
      </c>
      <c r="I525">
        <v>646415893835.01001</v>
      </c>
      <c r="J525">
        <v>9.6332000000000001E-2</v>
      </c>
      <c r="K525">
        <v>2.4650999999999999E-2</v>
      </c>
      <c r="M525" t="s">
        <v>0</v>
      </c>
      <c r="N525">
        <v>6000</v>
      </c>
      <c r="O525">
        <v>72</v>
      </c>
      <c r="P525">
        <v>119</v>
      </c>
      <c r="Q525">
        <v>0</v>
      </c>
      <c r="R525">
        <v>1478586106</v>
      </c>
      <c r="S525">
        <v>2289401.09</v>
      </c>
      <c r="T525">
        <v>1462875811.97</v>
      </c>
      <c r="U525">
        <v>1471183866.0799999</v>
      </c>
      <c r="V525">
        <v>0.103646</v>
      </c>
      <c r="W525">
        <v>4.0715000000000001E-2</v>
      </c>
      <c r="Y525" t="s">
        <v>1</v>
      </c>
      <c r="Z525">
        <v>4500</v>
      </c>
      <c r="AA525">
        <v>48</v>
      </c>
      <c r="AB525">
        <v>5671</v>
      </c>
      <c r="AC525">
        <v>0</v>
      </c>
      <c r="AD525">
        <v>172898164873</v>
      </c>
      <c r="AE525">
        <v>288527828.88999999</v>
      </c>
      <c r="AF525">
        <v>171325888890</v>
      </c>
      <c r="AG525">
        <v>172196154631.17001</v>
      </c>
      <c r="AH525">
        <v>8.5549E-2</v>
      </c>
      <c r="AI525">
        <v>2.8323000000000001E-2</v>
      </c>
    </row>
    <row r="526" spans="1:35" x14ac:dyDescent="0.35">
      <c r="A526" t="s">
        <v>0</v>
      </c>
      <c r="B526">
        <v>5500</v>
      </c>
      <c r="C526">
        <v>72</v>
      </c>
      <c r="D526">
        <v>390</v>
      </c>
      <c r="E526">
        <v>0</v>
      </c>
      <c r="F526">
        <v>5581628717</v>
      </c>
      <c r="G526">
        <v>9282870.9600000009</v>
      </c>
      <c r="H526">
        <v>5527513149.4499998</v>
      </c>
      <c r="I526">
        <v>5555382369.6499996</v>
      </c>
      <c r="J526">
        <v>9.2240000000000003E-2</v>
      </c>
      <c r="K526">
        <v>3.5866000000000002E-2</v>
      </c>
      <c r="M526" t="s">
        <v>2</v>
      </c>
      <c r="N526">
        <v>3250</v>
      </c>
      <c r="O526">
        <v>72</v>
      </c>
      <c r="P526">
        <v>14469</v>
      </c>
      <c r="Q526">
        <v>0</v>
      </c>
      <c r="R526">
        <v>221527521095</v>
      </c>
      <c r="S526">
        <v>493204773.04000002</v>
      </c>
      <c r="T526">
        <v>219736296991.57001</v>
      </c>
      <c r="U526">
        <v>220945935916.03</v>
      </c>
      <c r="V526">
        <v>6.8090999999999999E-2</v>
      </c>
      <c r="W526">
        <v>4.777E-3</v>
      </c>
      <c r="Y526" t="s">
        <v>1</v>
      </c>
      <c r="Z526">
        <v>4500</v>
      </c>
      <c r="AA526">
        <v>42</v>
      </c>
      <c r="AB526">
        <v>18437</v>
      </c>
      <c r="AC526">
        <v>0</v>
      </c>
      <c r="AD526">
        <v>696137113983</v>
      </c>
      <c r="AE526">
        <v>1137572034.05</v>
      </c>
      <c r="AF526">
        <v>690913792691</v>
      </c>
      <c r="AG526">
        <v>693725328636.25</v>
      </c>
      <c r="AH526">
        <v>6.8199999999999997E-2</v>
      </c>
      <c r="AI526">
        <v>2.1745E-2</v>
      </c>
    </row>
    <row r="527" spans="1:35" x14ac:dyDescent="0.35">
      <c r="A527" t="s">
        <v>2</v>
      </c>
      <c r="B527">
        <v>2750</v>
      </c>
      <c r="C527">
        <v>72</v>
      </c>
      <c r="D527">
        <v>15349</v>
      </c>
      <c r="E527">
        <v>0</v>
      </c>
      <c r="F527">
        <v>252719560351</v>
      </c>
      <c r="G527">
        <v>597674767.23000002</v>
      </c>
      <c r="H527">
        <v>250802084495.95999</v>
      </c>
      <c r="I527">
        <v>252049459776.34</v>
      </c>
      <c r="J527">
        <v>6.0900000000000003E-2</v>
      </c>
      <c r="K527">
        <v>3.434E-3</v>
      </c>
      <c r="M527" t="s">
        <v>1</v>
      </c>
      <c r="N527">
        <v>3750</v>
      </c>
      <c r="O527">
        <v>72</v>
      </c>
      <c r="P527">
        <v>30224</v>
      </c>
      <c r="Q527">
        <v>0</v>
      </c>
      <c r="R527">
        <v>621072057775</v>
      </c>
      <c r="S527">
        <v>1319230144.51</v>
      </c>
      <c r="T527">
        <v>614718483715.82996</v>
      </c>
      <c r="U527">
        <v>618761071267.67004</v>
      </c>
      <c r="V527">
        <v>9.3049000000000007E-2</v>
      </c>
      <c r="W527">
        <v>1.8995000000000001E-2</v>
      </c>
      <c r="Y527" t="s">
        <v>0</v>
      </c>
      <c r="Z527">
        <v>5000</v>
      </c>
      <c r="AA527">
        <v>42</v>
      </c>
      <c r="AB527">
        <v>36613</v>
      </c>
      <c r="AC527">
        <v>0</v>
      </c>
      <c r="AD527">
        <v>990527423074</v>
      </c>
      <c r="AE527">
        <v>1496531779.8199999</v>
      </c>
      <c r="AF527">
        <v>984489887536</v>
      </c>
      <c r="AG527">
        <v>988118775003.20996</v>
      </c>
      <c r="AH527">
        <v>5.3647E-2</v>
      </c>
      <c r="AI527">
        <v>1.0994E-2</v>
      </c>
    </row>
    <row r="528" spans="1:35" x14ac:dyDescent="0.35">
      <c r="A528" t="s">
        <v>1</v>
      </c>
      <c r="B528">
        <v>2750</v>
      </c>
      <c r="C528">
        <v>72</v>
      </c>
      <c r="D528">
        <v>149142</v>
      </c>
      <c r="E528">
        <v>0</v>
      </c>
      <c r="F528">
        <v>4052806059088</v>
      </c>
      <c r="G528">
        <v>9647761807.7800007</v>
      </c>
      <c r="H528">
        <v>4019916333813.6099</v>
      </c>
      <c r="I528">
        <v>4041515184296.9199</v>
      </c>
      <c r="J528">
        <v>6.6687999999999997E-2</v>
      </c>
      <c r="K528">
        <v>4.8539999999999998E-3</v>
      </c>
      <c r="M528" t="s">
        <v>2</v>
      </c>
      <c r="N528">
        <v>4250</v>
      </c>
      <c r="O528">
        <v>72</v>
      </c>
      <c r="P528">
        <v>5829</v>
      </c>
      <c r="Q528">
        <v>0</v>
      </c>
      <c r="R528">
        <v>66186170001</v>
      </c>
      <c r="S528">
        <v>132264268.8</v>
      </c>
      <c r="T528">
        <v>65600359466.620003</v>
      </c>
      <c r="U528">
        <v>65976493660.480003</v>
      </c>
      <c r="V528">
        <v>7.9200999999999994E-2</v>
      </c>
      <c r="W528">
        <v>1.3945000000000001E-2</v>
      </c>
      <c r="Y528" t="s">
        <v>1</v>
      </c>
      <c r="Z528">
        <v>5000</v>
      </c>
      <c r="AA528">
        <v>42</v>
      </c>
      <c r="AB528">
        <v>22116</v>
      </c>
      <c r="AC528">
        <v>0</v>
      </c>
      <c r="AD528">
        <v>791964293475</v>
      </c>
      <c r="AE528">
        <v>1197025258.9100001</v>
      </c>
      <c r="AF528">
        <v>784752143546</v>
      </c>
      <c r="AG528">
        <v>789206334286.69995</v>
      </c>
      <c r="AH528">
        <v>8.7429999999999994E-2</v>
      </c>
      <c r="AI528">
        <v>2.3397000000000001E-2</v>
      </c>
    </row>
    <row r="529" spans="1:35" x14ac:dyDescent="0.35">
      <c r="A529" t="s">
        <v>1</v>
      </c>
      <c r="B529">
        <v>2500</v>
      </c>
      <c r="C529">
        <v>72</v>
      </c>
      <c r="D529">
        <v>65803</v>
      </c>
      <c r="E529">
        <v>0</v>
      </c>
      <c r="F529">
        <v>1838080707646</v>
      </c>
      <c r="G529">
        <v>4537884393.1400003</v>
      </c>
      <c r="H529">
        <v>1823699689730.3201</v>
      </c>
      <c r="I529">
        <v>1832984179409.3799</v>
      </c>
      <c r="J529">
        <v>6.2401999999999999E-2</v>
      </c>
      <c r="K529">
        <v>3.6410000000000001E-3</v>
      </c>
      <c r="M529" t="s">
        <v>0</v>
      </c>
      <c r="N529">
        <v>4500</v>
      </c>
      <c r="O529">
        <v>42</v>
      </c>
      <c r="P529">
        <v>31700</v>
      </c>
      <c r="Q529">
        <v>0</v>
      </c>
      <c r="R529">
        <v>841239529909</v>
      </c>
      <c r="S529">
        <v>1374046298.48</v>
      </c>
      <c r="T529">
        <v>834796591924.14001</v>
      </c>
      <c r="U529">
        <v>838454082346.83997</v>
      </c>
      <c r="V529">
        <v>6.9957000000000005E-2</v>
      </c>
      <c r="W529">
        <v>1.9948E-2</v>
      </c>
      <c r="Y529" t="s">
        <v>0</v>
      </c>
      <c r="Z529">
        <v>5500</v>
      </c>
      <c r="AA529">
        <v>72</v>
      </c>
      <c r="AB529">
        <v>458</v>
      </c>
      <c r="AC529">
        <v>0</v>
      </c>
      <c r="AD529">
        <v>6629355546</v>
      </c>
      <c r="AE529">
        <v>11011959.300000001</v>
      </c>
      <c r="AF529">
        <v>6589357486</v>
      </c>
      <c r="AG529">
        <v>6610265161.8100004</v>
      </c>
      <c r="AH529">
        <v>5.1225E-2</v>
      </c>
      <c r="AI529">
        <v>1.4525E-2</v>
      </c>
    </row>
    <row r="530" spans="1:35" x14ac:dyDescent="0.35">
      <c r="A530" t="s">
        <v>2</v>
      </c>
      <c r="B530">
        <v>2500</v>
      </c>
      <c r="C530">
        <v>72</v>
      </c>
      <c r="D530">
        <v>3899</v>
      </c>
      <c r="E530">
        <v>0</v>
      </c>
      <c r="F530">
        <v>67357221456</v>
      </c>
      <c r="G530">
        <v>164525478.08000001</v>
      </c>
      <c r="H530">
        <v>66856879853.040001</v>
      </c>
      <c r="I530">
        <v>67175691577.82</v>
      </c>
      <c r="J530">
        <v>5.8214000000000002E-2</v>
      </c>
      <c r="K530">
        <v>3.0249999999999999E-3</v>
      </c>
      <c r="M530" t="s">
        <v>2</v>
      </c>
      <c r="N530">
        <v>4500</v>
      </c>
      <c r="O530">
        <v>42</v>
      </c>
      <c r="P530">
        <v>1973</v>
      </c>
      <c r="Q530">
        <v>0</v>
      </c>
      <c r="R530">
        <v>34342730322</v>
      </c>
      <c r="S530">
        <v>56377804.32</v>
      </c>
      <c r="T530">
        <v>34060400297.549999</v>
      </c>
      <c r="U530">
        <v>34224695956.560001</v>
      </c>
      <c r="V530">
        <v>7.6157000000000002E-2</v>
      </c>
      <c r="W530">
        <v>2.1333000000000001E-2</v>
      </c>
      <c r="Y530" t="s">
        <v>2</v>
      </c>
      <c r="Z530">
        <v>2750</v>
      </c>
      <c r="AA530">
        <v>72</v>
      </c>
      <c r="AB530">
        <v>13024</v>
      </c>
      <c r="AC530">
        <v>0</v>
      </c>
      <c r="AD530">
        <v>215652579813</v>
      </c>
      <c r="AE530">
        <v>508593129.82999998</v>
      </c>
      <c r="AF530">
        <v>214369838740</v>
      </c>
      <c r="AG530">
        <v>215007199912.66</v>
      </c>
      <c r="AH530">
        <v>4.2236999999999997E-2</v>
      </c>
      <c r="AI530">
        <v>7.5849999999999997E-3</v>
      </c>
    </row>
    <row r="531" spans="1:35" x14ac:dyDescent="0.35">
      <c r="A531" t="s">
        <v>0</v>
      </c>
      <c r="B531">
        <v>2750</v>
      </c>
      <c r="C531">
        <v>72</v>
      </c>
      <c r="D531">
        <v>106385</v>
      </c>
      <c r="E531">
        <v>0</v>
      </c>
      <c r="F531">
        <v>2338196156862</v>
      </c>
      <c r="G531">
        <v>5546621138.29</v>
      </c>
      <c r="H531">
        <v>2323221042673.9902</v>
      </c>
      <c r="I531">
        <v>2332065231567.4702</v>
      </c>
      <c r="J531">
        <v>4.7329999999999997E-2</v>
      </c>
      <c r="K531">
        <v>2.9949999999999998E-3</v>
      </c>
      <c r="M531" t="s">
        <v>1</v>
      </c>
      <c r="N531">
        <v>4500</v>
      </c>
      <c r="O531">
        <v>42</v>
      </c>
      <c r="P531">
        <v>19828</v>
      </c>
      <c r="Q531">
        <v>0</v>
      </c>
      <c r="R531">
        <v>719416657043</v>
      </c>
      <c r="S531">
        <v>1171733404.04</v>
      </c>
      <c r="T531">
        <v>711926178210.80005</v>
      </c>
      <c r="U531">
        <v>716886631314.31995</v>
      </c>
      <c r="V531">
        <v>0.100452</v>
      </c>
      <c r="W531">
        <v>2.2422999999999998E-2</v>
      </c>
      <c r="Y531" t="s">
        <v>1</v>
      </c>
      <c r="Z531">
        <v>2750</v>
      </c>
      <c r="AA531">
        <v>72</v>
      </c>
      <c r="AB531">
        <v>134098</v>
      </c>
      <c r="AC531">
        <v>0</v>
      </c>
      <c r="AD531">
        <v>3656232282532</v>
      </c>
      <c r="AE531">
        <v>8676542093.2600002</v>
      </c>
      <c r="AF531">
        <v>3633384780312</v>
      </c>
      <c r="AG531">
        <v>3644823768051.2798</v>
      </c>
      <c r="AH531">
        <v>4.5531000000000002E-2</v>
      </c>
      <c r="AI531">
        <v>8.9300000000000004E-3</v>
      </c>
    </row>
    <row r="532" spans="1:35" x14ac:dyDescent="0.35">
      <c r="A532" t="s">
        <v>1</v>
      </c>
      <c r="B532">
        <v>5500</v>
      </c>
      <c r="C532">
        <v>72</v>
      </c>
      <c r="D532">
        <v>19</v>
      </c>
      <c r="E532">
        <v>0</v>
      </c>
      <c r="F532">
        <v>298651578</v>
      </c>
      <c r="G532">
        <v>499756.85</v>
      </c>
      <c r="H532">
        <v>295808726.25</v>
      </c>
      <c r="I532">
        <v>298090599.37</v>
      </c>
      <c r="J532">
        <v>9.0189000000000005E-2</v>
      </c>
      <c r="K532">
        <v>2.457E-3</v>
      </c>
      <c r="M532" t="s">
        <v>0</v>
      </c>
      <c r="N532">
        <v>5000</v>
      </c>
      <c r="O532">
        <v>42</v>
      </c>
      <c r="P532">
        <v>36418</v>
      </c>
      <c r="Q532">
        <v>0</v>
      </c>
      <c r="R532">
        <v>961499838426</v>
      </c>
      <c r="S532">
        <v>1444833647.8099999</v>
      </c>
      <c r="T532">
        <v>953965274045.09998</v>
      </c>
      <c r="U532">
        <v>958174583913.48999</v>
      </c>
      <c r="V532">
        <v>7.3410000000000003E-2</v>
      </c>
      <c r="W532">
        <v>2.3217999999999999E-2</v>
      </c>
      <c r="Y532" t="s">
        <v>1</v>
      </c>
      <c r="Z532">
        <v>2500</v>
      </c>
      <c r="AA532">
        <v>72</v>
      </c>
      <c r="AB532">
        <v>48628</v>
      </c>
      <c r="AC532">
        <v>0</v>
      </c>
      <c r="AD532">
        <v>1366260011416</v>
      </c>
      <c r="AE532">
        <v>3366237943.5700002</v>
      </c>
      <c r="AF532">
        <v>1357756217926</v>
      </c>
      <c r="AG532">
        <v>1362163749817.8701</v>
      </c>
      <c r="AH532">
        <v>4.4201999999999998E-2</v>
      </c>
      <c r="AI532">
        <v>6.3930000000000002E-3</v>
      </c>
    </row>
    <row r="533" spans="1:35" x14ac:dyDescent="0.35">
      <c r="A533" t="s">
        <v>1</v>
      </c>
      <c r="B533">
        <v>3000</v>
      </c>
      <c r="C533">
        <v>60</v>
      </c>
      <c r="D533">
        <v>44854</v>
      </c>
      <c r="E533">
        <v>0</v>
      </c>
      <c r="F533">
        <v>1148612801655</v>
      </c>
      <c r="G533">
        <v>2577008149.3299999</v>
      </c>
      <c r="H533">
        <v>1138600573539.0601</v>
      </c>
      <c r="I533">
        <v>1144863009505.45</v>
      </c>
      <c r="J533">
        <v>7.4971999999999997E-2</v>
      </c>
      <c r="K533">
        <v>1.2184E-2</v>
      </c>
      <c r="M533" t="s">
        <v>1</v>
      </c>
      <c r="N533">
        <v>5000</v>
      </c>
      <c r="O533">
        <v>42</v>
      </c>
      <c r="P533">
        <v>19620</v>
      </c>
      <c r="Q533">
        <v>0</v>
      </c>
      <c r="R533">
        <v>692649886224</v>
      </c>
      <c r="S533">
        <v>1040173462.66</v>
      </c>
      <c r="T533">
        <v>685152674393.75</v>
      </c>
      <c r="U533">
        <v>690101750982.68994</v>
      </c>
      <c r="V533">
        <v>0.106306</v>
      </c>
      <c r="W533">
        <v>2.5815000000000001E-2</v>
      </c>
      <c r="Y533" t="s">
        <v>2</v>
      </c>
      <c r="Z533">
        <v>2500</v>
      </c>
      <c r="AA533">
        <v>72</v>
      </c>
      <c r="AB533">
        <v>2777</v>
      </c>
      <c r="AC533">
        <v>0</v>
      </c>
      <c r="AD533">
        <v>47919521816</v>
      </c>
      <c r="AE533">
        <v>116833953.83</v>
      </c>
      <c r="AF533">
        <v>47644180753</v>
      </c>
      <c r="AG533">
        <v>47782345558.779999</v>
      </c>
      <c r="AH533">
        <v>3.8979E-2</v>
      </c>
      <c r="AI533">
        <v>5.0819999999999997E-3</v>
      </c>
    </row>
    <row r="534" spans="1:35" x14ac:dyDescent="0.35">
      <c r="A534" t="s">
        <v>0</v>
      </c>
      <c r="B534">
        <v>2500</v>
      </c>
      <c r="C534">
        <v>54</v>
      </c>
      <c r="D534">
        <v>35137</v>
      </c>
      <c r="E534">
        <v>0</v>
      </c>
      <c r="F534">
        <v>913335188953</v>
      </c>
      <c r="G534">
        <v>2137841613.0599999</v>
      </c>
      <c r="H534">
        <v>907460179832.40002</v>
      </c>
      <c r="I534">
        <v>910922465620.09998</v>
      </c>
      <c r="J534">
        <v>4.8010999999999998E-2</v>
      </c>
      <c r="K534">
        <v>3.6059999999999998E-3</v>
      </c>
      <c r="M534" t="s">
        <v>0</v>
      </c>
      <c r="N534">
        <v>5500</v>
      </c>
      <c r="O534">
        <v>72</v>
      </c>
      <c r="P534">
        <v>632</v>
      </c>
      <c r="Q534">
        <v>0</v>
      </c>
      <c r="R534">
        <v>9022049992</v>
      </c>
      <c r="S534">
        <v>14909988.67</v>
      </c>
      <c r="T534">
        <v>8926097974.3600006</v>
      </c>
      <c r="U534">
        <v>8971955110.3899994</v>
      </c>
      <c r="V534">
        <v>0.10262300000000001</v>
      </c>
      <c r="W534">
        <v>4.5808000000000001E-2</v>
      </c>
      <c r="Y534" t="s">
        <v>0</v>
      </c>
      <c r="Z534">
        <v>2750</v>
      </c>
      <c r="AA534">
        <v>72</v>
      </c>
      <c r="AB534">
        <v>86981</v>
      </c>
      <c r="AC534">
        <v>0</v>
      </c>
      <c r="AD534">
        <v>1911398564646</v>
      </c>
      <c r="AE534">
        <v>4522206344.7399998</v>
      </c>
      <c r="AF534">
        <v>1901058172152</v>
      </c>
      <c r="AG534">
        <v>1906330573403.0901</v>
      </c>
      <c r="AH534">
        <v>3.5922000000000003E-2</v>
      </c>
      <c r="AI534">
        <v>3.421E-3</v>
      </c>
    </row>
    <row r="535" spans="1:35" x14ac:dyDescent="0.35">
      <c r="A535" t="s">
        <v>2</v>
      </c>
      <c r="B535">
        <v>2500</v>
      </c>
      <c r="C535">
        <v>54</v>
      </c>
      <c r="D535">
        <v>3174</v>
      </c>
      <c r="E535">
        <v>0</v>
      </c>
      <c r="F535">
        <v>59365032812</v>
      </c>
      <c r="G535">
        <v>138228227.91</v>
      </c>
      <c r="H535">
        <v>58932285026.699997</v>
      </c>
      <c r="I535">
        <v>59192162347.339996</v>
      </c>
      <c r="J535">
        <v>5.7936000000000001E-2</v>
      </c>
      <c r="K535">
        <v>6.9800000000000001E-3</v>
      </c>
      <c r="M535" t="s">
        <v>2</v>
      </c>
      <c r="N535">
        <v>2750</v>
      </c>
      <c r="O535">
        <v>72</v>
      </c>
      <c r="P535">
        <v>6617</v>
      </c>
      <c r="Q535">
        <v>0</v>
      </c>
      <c r="R535">
        <v>111937741901</v>
      </c>
      <c r="S535">
        <v>263150137.06999999</v>
      </c>
      <c r="T535">
        <v>111049600172.22</v>
      </c>
      <c r="U535">
        <v>111644957236.00999</v>
      </c>
      <c r="V535">
        <v>6.4980999999999997E-2</v>
      </c>
      <c r="W535">
        <v>3.1719999999999999E-3</v>
      </c>
      <c r="Y535" t="s">
        <v>1</v>
      </c>
      <c r="Z535">
        <v>5500</v>
      </c>
      <c r="AA535">
        <v>72</v>
      </c>
      <c r="AB535">
        <v>23</v>
      </c>
      <c r="AC535">
        <v>0</v>
      </c>
      <c r="AD535">
        <v>396334802</v>
      </c>
      <c r="AE535">
        <v>662754.13</v>
      </c>
      <c r="AF535">
        <v>371264835</v>
      </c>
      <c r="AG535">
        <v>371264835</v>
      </c>
      <c r="AH535">
        <v>0.533605</v>
      </c>
      <c r="AI535">
        <v>0.533605</v>
      </c>
    </row>
    <row r="536" spans="1:35" x14ac:dyDescent="0.35">
      <c r="A536" t="s">
        <v>1</v>
      </c>
      <c r="B536">
        <v>2500</v>
      </c>
      <c r="C536">
        <v>54</v>
      </c>
      <c r="D536">
        <v>71750</v>
      </c>
      <c r="E536">
        <v>0</v>
      </c>
      <c r="F536">
        <v>2218912628564</v>
      </c>
      <c r="G536">
        <v>5187351549.1800003</v>
      </c>
      <c r="H536">
        <v>2200512676931.9302</v>
      </c>
      <c r="I536">
        <v>2212296252643.1802</v>
      </c>
      <c r="J536">
        <v>6.9159999999999999E-2</v>
      </c>
      <c r="K536">
        <v>7.7010000000000004E-3</v>
      </c>
      <c r="M536" t="s">
        <v>1</v>
      </c>
      <c r="N536">
        <v>2750</v>
      </c>
      <c r="O536">
        <v>72</v>
      </c>
      <c r="P536">
        <v>95541</v>
      </c>
      <c r="Q536">
        <v>0</v>
      </c>
      <c r="R536">
        <v>2602434425796</v>
      </c>
      <c r="S536">
        <v>6152459176.0299997</v>
      </c>
      <c r="T536">
        <v>2581989891439.23</v>
      </c>
      <c r="U536">
        <v>2595402341441.2202</v>
      </c>
      <c r="V536">
        <v>6.3947000000000004E-2</v>
      </c>
      <c r="W536">
        <v>4.0480000000000004E-3</v>
      </c>
      <c r="Y536" t="s">
        <v>2</v>
      </c>
      <c r="Z536">
        <v>2500</v>
      </c>
      <c r="AA536">
        <v>54</v>
      </c>
      <c r="AB536">
        <v>3132</v>
      </c>
      <c r="AC536">
        <v>0</v>
      </c>
      <c r="AD536">
        <v>58094709912</v>
      </c>
      <c r="AE536">
        <v>135065772.88</v>
      </c>
      <c r="AF536">
        <v>57743470633</v>
      </c>
      <c r="AG536">
        <v>57906162163.449997</v>
      </c>
      <c r="AH536">
        <v>4.3749999999999997E-2</v>
      </c>
      <c r="AI536">
        <v>1.0991000000000001E-2</v>
      </c>
    </row>
    <row r="537" spans="1:35" x14ac:dyDescent="0.35">
      <c r="A537" t="s">
        <v>0</v>
      </c>
      <c r="B537">
        <v>3000</v>
      </c>
      <c r="C537">
        <v>54</v>
      </c>
      <c r="D537">
        <v>160772</v>
      </c>
      <c r="E537">
        <v>0</v>
      </c>
      <c r="F537">
        <v>3444996928389</v>
      </c>
      <c r="G537">
        <v>7499949893.5500002</v>
      </c>
      <c r="H537">
        <v>3421806522733.6001</v>
      </c>
      <c r="I537">
        <v>3434846411290.2402</v>
      </c>
      <c r="J537">
        <v>5.3305999999999999E-2</v>
      </c>
      <c r="K537">
        <v>9.1940000000000008E-3</v>
      </c>
      <c r="M537" t="s">
        <v>1</v>
      </c>
      <c r="N537">
        <v>2500</v>
      </c>
      <c r="O537">
        <v>72</v>
      </c>
      <c r="P537">
        <v>20201</v>
      </c>
      <c r="Q537">
        <v>0</v>
      </c>
      <c r="R537">
        <v>577392994915</v>
      </c>
      <c r="S537">
        <v>1421333785.6400001</v>
      </c>
      <c r="T537">
        <v>573026797900.34998</v>
      </c>
      <c r="U537">
        <v>575845358053.45996</v>
      </c>
      <c r="V537">
        <v>5.9514999999999998E-2</v>
      </c>
      <c r="W537">
        <v>2.6220000000000002E-3</v>
      </c>
      <c r="Y537" t="s">
        <v>0</v>
      </c>
      <c r="Z537">
        <v>2500</v>
      </c>
      <c r="AA537">
        <v>54</v>
      </c>
      <c r="AB537">
        <v>34532</v>
      </c>
      <c r="AC537">
        <v>0</v>
      </c>
      <c r="AD537">
        <v>900253419987</v>
      </c>
      <c r="AE537">
        <v>2104939464.8499999</v>
      </c>
      <c r="AF537">
        <v>895580200094</v>
      </c>
      <c r="AG537">
        <v>897966677863.45996</v>
      </c>
      <c r="AH537">
        <v>3.3702000000000003E-2</v>
      </c>
      <c r="AI537">
        <v>2.421E-3</v>
      </c>
    </row>
    <row r="538" spans="1:35" x14ac:dyDescent="0.35">
      <c r="A538" t="s">
        <v>2</v>
      </c>
      <c r="B538">
        <v>3000</v>
      </c>
      <c r="C538">
        <v>54</v>
      </c>
      <c r="D538">
        <v>11565</v>
      </c>
      <c r="E538">
        <v>0</v>
      </c>
      <c r="F538">
        <v>199110332970</v>
      </c>
      <c r="G538">
        <v>433470166.51999998</v>
      </c>
      <c r="H538">
        <v>197728063265.88</v>
      </c>
      <c r="I538">
        <v>198540875190.79001</v>
      </c>
      <c r="J538">
        <v>5.5707E-2</v>
      </c>
      <c r="K538">
        <v>8.1650000000000004E-3</v>
      </c>
      <c r="M538" t="s">
        <v>2</v>
      </c>
      <c r="N538">
        <v>2500</v>
      </c>
      <c r="O538">
        <v>72</v>
      </c>
      <c r="P538">
        <v>873</v>
      </c>
      <c r="Q538">
        <v>0</v>
      </c>
      <c r="R538">
        <v>15671342974</v>
      </c>
      <c r="S538">
        <v>38096940.759999998</v>
      </c>
      <c r="T538">
        <v>15546475837.870001</v>
      </c>
      <c r="U538">
        <v>15629629754.719999</v>
      </c>
      <c r="V538">
        <v>6.4455999999999999E-2</v>
      </c>
      <c r="W538">
        <v>2.7659999999999998E-3</v>
      </c>
      <c r="Y538" t="s">
        <v>2</v>
      </c>
      <c r="Z538">
        <v>3000</v>
      </c>
      <c r="AA538">
        <v>54</v>
      </c>
      <c r="AB538">
        <v>11674</v>
      </c>
      <c r="AC538">
        <v>0</v>
      </c>
      <c r="AD538">
        <v>199617986647</v>
      </c>
      <c r="AE538">
        <v>434441547.82999998</v>
      </c>
      <c r="AF538">
        <v>198515598783</v>
      </c>
      <c r="AG538">
        <v>199068496944.57001</v>
      </c>
      <c r="AH538">
        <v>3.9423E-2</v>
      </c>
      <c r="AI538">
        <v>6.894E-3</v>
      </c>
    </row>
    <row r="539" spans="1:35" x14ac:dyDescent="0.35">
      <c r="A539" t="s">
        <v>1</v>
      </c>
      <c r="B539">
        <v>3000</v>
      </c>
      <c r="C539">
        <v>54</v>
      </c>
      <c r="D539">
        <v>64035</v>
      </c>
      <c r="E539">
        <v>0</v>
      </c>
      <c r="F539">
        <v>1889621324270</v>
      </c>
      <c r="G539">
        <v>4121265249.1399999</v>
      </c>
      <c r="H539">
        <v>1873058047851.0901</v>
      </c>
      <c r="I539">
        <v>1883098526025.8601</v>
      </c>
      <c r="J539">
        <v>7.6213000000000003E-2</v>
      </c>
      <c r="K539">
        <v>1.5145E-2</v>
      </c>
      <c r="M539" t="s">
        <v>0</v>
      </c>
      <c r="N539">
        <v>2750</v>
      </c>
      <c r="O539">
        <v>72</v>
      </c>
      <c r="P539">
        <v>46944</v>
      </c>
      <c r="Q539">
        <v>0</v>
      </c>
      <c r="R539">
        <v>1036734665474</v>
      </c>
      <c r="S539">
        <v>2448582364.6399999</v>
      </c>
      <c r="T539">
        <v>1028993420024.38</v>
      </c>
      <c r="U539">
        <v>1034046158330.01</v>
      </c>
      <c r="V539">
        <v>5.9569999999999998E-2</v>
      </c>
      <c r="W539">
        <v>2.774E-3</v>
      </c>
      <c r="Y539" t="s">
        <v>0</v>
      </c>
      <c r="Z539">
        <v>3000</v>
      </c>
      <c r="AA539">
        <v>54</v>
      </c>
      <c r="AB539">
        <v>159585</v>
      </c>
      <c r="AC539">
        <v>0</v>
      </c>
      <c r="AD539">
        <v>3434059496087</v>
      </c>
      <c r="AE539">
        <v>7471281856.8999996</v>
      </c>
      <c r="AF539">
        <v>3415802557785</v>
      </c>
      <c r="AG539">
        <v>3424957030666.04</v>
      </c>
      <c r="AH539">
        <v>3.7045000000000002E-2</v>
      </c>
      <c r="AI539">
        <v>5.6849999999999999E-3</v>
      </c>
    </row>
    <row r="540" spans="1:35" x14ac:dyDescent="0.35">
      <c r="A540" t="s">
        <v>0</v>
      </c>
      <c r="B540">
        <v>2500</v>
      </c>
      <c r="C540">
        <v>72</v>
      </c>
      <c r="D540">
        <v>25981</v>
      </c>
      <c r="E540">
        <v>0</v>
      </c>
      <c r="F540">
        <v>602909165156</v>
      </c>
      <c r="G540">
        <v>1483794337.4400001</v>
      </c>
      <c r="H540">
        <v>598951805929.98999</v>
      </c>
      <c r="I540">
        <v>601320869271.89001</v>
      </c>
      <c r="J540">
        <v>4.8136999999999999E-2</v>
      </c>
      <c r="K540">
        <v>2.078E-3</v>
      </c>
      <c r="M540" t="s">
        <v>1</v>
      </c>
      <c r="N540">
        <v>5500</v>
      </c>
      <c r="O540">
        <v>72</v>
      </c>
      <c r="P540">
        <v>32</v>
      </c>
      <c r="Q540">
        <v>0</v>
      </c>
      <c r="R540">
        <v>492019773</v>
      </c>
      <c r="S540">
        <v>816702.57</v>
      </c>
      <c r="T540">
        <v>486040199.91000003</v>
      </c>
      <c r="U540">
        <v>490424351.56999999</v>
      </c>
      <c r="V540">
        <v>0.11890000000000001</v>
      </c>
      <c r="W540">
        <v>1.8828000000000001E-2</v>
      </c>
      <c r="Y540" t="s">
        <v>1</v>
      </c>
      <c r="Z540">
        <v>3000</v>
      </c>
      <c r="AA540">
        <v>54</v>
      </c>
      <c r="AB540">
        <v>64038</v>
      </c>
      <c r="AC540">
        <v>0</v>
      </c>
      <c r="AD540">
        <v>1869151393314</v>
      </c>
      <c r="AE540">
        <v>4077620853.3800001</v>
      </c>
      <c r="AF540">
        <v>1854980210592</v>
      </c>
      <c r="AG540">
        <v>1863066727661.1599</v>
      </c>
      <c r="AH540">
        <v>6.2910999999999995E-2</v>
      </c>
      <c r="AI540">
        <v>1.2808999999999999E-2</v>
      </c>
    </row>
    <row r="541" spans="1:35" x14ac:dyDescent="0.35">
      <c r="A541" t="s">
        <v>0</v>
      </c>
      <c r="B541">
        <v>3500</v>
      </c>
      <c r="C541">
        <v>60</v>
      </c>
      <c r="D541">
        <v>32481</v>
      </c>
      <c r="E541">
        <v>0</v>
      </c>
      <c r="F541">
        <v>625537861652</v>
      </c>
      <c r="G541">
        <v>1302775680.29</v>
      </c>
      <c r="H541">
        <v>621021356721.13</v>
      </c>
      <c r="I541">
        <v>623653765407.77002</v>
      </c>
      <c r="J541">
        <v>5.9937999999999998E-2</v>
      </c>
      <c r="K541">
        <v>1.1095000000000001E-2</v>
      </c>
      <c r="M541" t="s">
        <v>0</v>
      </c>
      <c r="N541">
        <v>4000</v>
      </c>
      <c r="O541">
        <v>60</v>
      </c>
      <c r="P541">
        <v>5098</v>
      </c>
      <c r="Q541">
        <v>0</v>
      </c>
      <c r="R541">
        <v>90439829186</v>
      </c>
      <c r="S541">
        <v>175725372.37</v>
      </c>
      <c r="T541">
        <v>89717624891.899994</v>
      </c>
      <c r="U541">
        <v>90183782203.470001</v>
      </c>
      <c r="V541">
        <v>7.0148000000000002E-2</v>
      </c>
      <c r="W541">
        <v>1.0606000000000001E-2</v>
      </c>
      <c r="Y541" t="s">
        <v>1</v>
      </c>
      <c r="Z541">
        <v>2500</v>
      </c>
      <c r="AA541">
        <v>54</v>
      </c>
      <c r="AB541">
        <v>69964</v>
      </c>
      <c r="AC541">
        <v>0</v>
      </c>
      <c r="AD541">
        <v>2166637873908</v>
      </c>
      <c r="AE541">
        <v>5060363891.9399996</v>
      </c>
      <c r="AF541">
        <v>2153332750458</v>
      </c>
      <c r="AG541">
        <v>2160026953971.9099</v>
      </c>
      <c r="AH541">
        <v>4.4720000000000003E-2</v>
      </c>
      <c r="AI541">
        <v>8.5540000000000008E-3</v>
      </c>
    </row>
    <row r="542" spans="1:35" x14ac:dyDescent="0.35">
      <c r="A542" t="s">
        <v>1</v>
      </c>
      <c r="B542">
        <v>3500</v>
      </c>
      <c r="C542">
        <v>60</v>
      </c>
      <c r="D542">
        <v>6177</v>
      </c>
      <c r="E542">
        <v>0</v>
      </c>
      <c r="F542">
        <v>141239077410</v>
      </c>
      <c r="G542">
        <v>297048296.58999997</v>
      </c>
      <c r="H542">
        <v>139544475138.14001</v>
      </c>
      <c r="I542">
        <v>140480477004.35001</v>
      </c>
      <c r="J542">
        <v>0.112486</v>
      </c>
      <c r="K542">
        <v>3.8517000000000003E-2</v>
      </c>
      <c r="M542" t="s">
        <v>1</v>
      </c>
      <c r="N542">
        <v>3000</v>
      </c>
      <c r="O542">
        <v>54</v>
      </c>
      <c r="P542">
        <v>64964</v>
      </c>
      <c r="Q542">
        <v>0</v>
      </c>
      <c r="R542">
        <v>1830222869032</v>
      </c>
      <c r="S542">
        <v>3994822740.7800002</v>
      </c>
      <c r="T542">
        <v>1813706713045.3999</v>
      </c>
      <c r="U542">
        <v>1824097389443.53</v>
      </c>
      <c r="V542">
        <v>7.9076999999999995E-2</v>
      </c>
      <c r="W542">
        <v>1.3880999999999999E-2</v>
      </c>
      <c r="Y542" t="s">
        <v>0</v>
      </c>
      <c r="Z542">
        <v>3500</v>
      </c>
      <c r="AA542">
        <v>60</v>
      </c>
      <c r="AB542">
        <v>25770</v>
      </c>
      <c r="AC542">
        <v>0</v>
      </c>
      <c r="AD542">
        <v>487173929750</v>
      </c>
      <c r="AE542">
        <v>1015385964.75</v>
      </c>
      <c r="AF542">
        <v>484415985964</v>
      </c>
      <c r="AG542">
        <v>485941335386.81</v>
      </c>
      <c r="AH542">
        <v>4.2088E-2</v>
      </c>
      <c r="AI542">
        <v>5.3369999999999997E-3</v>
      </c>
    </row>
    <row r="543" spans="1:35" x14ac:dyDescent="0.35">
      <c r="A543" t="s">
        <v>2</v>
      </c>
      <c r="B543">
        <v>3500</v>
      </c>
      <c r="C543">
        <v>60</v>
      </c>
      <c r="D543">
        <v>4094</v>
      </c>
      <c r="E543">
        <v>0</v>
      </c>
      <c r="F543">
        <v>56925176257</v>
      </c>
      <c r="G543">
        <v>120020691.09</v>
      </c>
      <c r="H543">
        <v>56477328959.900002</v>
      </c>
      <c r="I543">
        <v>56742605181.540001</v>
      </c>
      <c r="J543">
        <v>6.6959000000000005E-2</v>
      </c>
      <c r="K543">
        <v>1.3106E-2</v>
      </c>
      <c r="M543" t="s">
        <v>1</v>
      </c>
      <c r="N543">
        <v>2500</v>
      </c>
      <c r="O543">
        <v>54</v>
      </c>
      <c r="P543">
        <v>72277</v>
      </c>
      <c r="Q543">
        <v>0</v>
      </c>
      <c r="R543">
        <v>2181524036674</v>
      </c>
      <c r="S543">
        <v>5114965201.1099997</v>
      </c>
      <c r="T543">
        <v>2164090339100.53</v>
      </c>
      <c r="U543">
        <v>2175487752918.47</v>
      </c>
      <c r="V543">
        <v>6.5697000000000005E-2</v>
      </c>
      <c r="W543">
        <v>5.0559999999999997E-3</v>
      </c>
      <c r="Y543" t="s">
        <v>1</v>
      </c>
      <c r="Z543">
        <v>2500</v>
      </c>
      <c r="AA543">
        <v>60</v>
      </c>
      <c r="AB543">
        <v>98732</v>
      </c>
      <c r="AC543">
        <v>0</v>
      </c>
      <c r="AD543">
        <v>2756572405214</v>
      </c>
      <c r="AE543">
        <v>6655323370.71</v>
      </c>
      <c r="AF543">
        <v>2738690365245</v>
      </c>
      <c r="AG543">
        <v>2748037351918.8501</v>
      </c>
      <c r="AH543">
        <v>4.7792000000000001E-2</v>
      </c>
      <c r="AI543">
        <v>8.1519999999999995E-3</v>
      </c>
    </row>
    <row r="544" spans="1:35" x14ac:dyDescent="0.35">
      <c r="A544" t="s">
        <v>0</v>
      </c>
      <c r="B544">
        <v>4000</v>
      </c>
      <c r="C544">
        <v>60</v>
      </c>
      <c r="D544">
        <v>9262</v>
      </c>
      <c r="E544">
        <v>0</v>
      </c>
      <c r="F544">
        <v>180755412498</v>
      </c>
      <c r="G544">
        <v>349503061.11000001</v>
      </c>
      <c r="H544">
        <v>179406391817.57001</v>
      </c>
      <c r="I544">
        <v>180182192372.10999</v>
      </c>
      <c r="J544">
        <v>6.4375000000000002E-2</v>
      </c>
      <c r="K544">
        <v>1.4751E-2</v>
      </c>
      <c r="M544" t="s">
        <v>0</v>
      </c>
      <c r="N544">
        <v>3500</v>
      </c>
      <c r="O544">
        <v>60</v>
      </c>
      <c r="P544">
        <v>14761</v>
      </c>
      <c r="Q544">
        <v>0</v>
      </c>
      <c r="R544">
        <v>244056603127</v>
      </c>
      <c r="S544">
        <v>511414049.41000003</v>
      </c>
      <c r="T544">
        <v>242070396262.10001</v>
      </c>
      <c r="U544">
        <v>243312863959.45001</v>
      </c>
      <c r="V544">
        <v>7.0152000000000006E-2</v>
      </c>
      <c r="W544">
        <v>1.1364000000000001E-2</v>
      </c>
      <c r="Y544" t="s">
        <v>0</v>
      </c>
      <c r="Z544">
        <v>2500</v>
      </c>
      <c r="AA544">
        <v>72</v>
      </c>
      <c r="AB544">
        <v>17496</v>
      </c>
      <c r="AC544">
        <v>0</v>
      </c>
      <c r="AD544">
        <v>406295808267</v>
      </c>
      <c r="AE544">
        <v>998485818.52999997</v>
      </c>
      <c r="AF544">
        <v>404110171086</v>
      </c>
      <c r="AG544">
        <v>405191333372.12</v>
      </c>
      <c r="AH544">
        <v>3.4505000000000001E-2</v>
      </c>
      <c r="AI544">
        <v>3.1259999999999999E-3</v>
      </c>
    </row>
    <row r="545" spans="1:35" x14ac:dyDescent="0.35">
      <c r="A545" t="s">
        <v>2</v>
      </c>
      <c r="B545">
        <v>4000</v>
      </c>
      <c r="C545">
        <v>60</v>
      </c>
      <c r="D545">
        <v>633</v>
      </c>
      <c r="E545">
        <v>0</v>
      </c>
      <c r="F545">
        <v>8049919107</v>
      </c>
      <c r="G545">
        <v>15761754.17</v>
      </c>
      <c r="H545">
        <v>7976804637.0299997</v>
      </c>
      <c r="I545">
        <v>8019684215.3599997</v>
      </c>
      <c r="J545">
        <v>8.2224000000000005E-2</v>
      </c>
      <c r="K545">
        <v>2.1363E-2</v>
      </c>
      <c r="M545" t="s">
        <v>1</v>
      </c>
      <c r="N545">
        <v>3500</v>
      </c>
      <c r="O545">
        <v>60</v>
      </c>
      <c r="P545">
        <v>4495</v>
      </c>
      <c r="Q545">
        <v>0</v>
      </c>
      <c r="R545">
        <v>94923329658</v>
      </c>
      <c r="S545">
        <v>204205383.77000001</v>
      </c>
      <c r="T545">
        <v>93862595644.080002</v>
      </c>
      <c r="U545">
        <v>94532124891.630005</v>
      </c>
      <c r="V545">
        <v>0.103065</v>
      </c>
      <c r="W545">
        <v>2.3386000000000001E-2</v>
      </c>
      <c r="Y545" t="s">
        <v>2</v>
      </c>
      <c r="Z545">
        <v>2750</v>
      </c>
      <c r="AA545">
        <v>60</v>
      </c>
      <c r="AB545">
        <v>15051</v>
      </c>
      <c r="AC545">
        <v>0</v>
      </c>
      <c r="AD545">
        <v>242987802044</v>
      </c>
      <c r="AE545">
        <v>560509362.00999999</v>
      </c>
      <c r="AF545">
        <v>241345634761</v>
      </c>
      <c r="AG545">
        <v>242244514999.12</v>
      </c>
      <c r="AH545">
        <v>5.2129000000000002E-2</v>
      </c>
      <c r="AI545">
        <v>8.9890000000000005E-3</v>
      </c>
    </row>
    <row r="546" spans="1:35" x14ac:dyDescent="0.35">
      <c r="A546" t="s">
        <v>2</v>
      </c>
      <c r="B546">
        <v>2750</v>
      </c>
      <c r="C546">
        <v>60</v>
      </c>
      <c r="D546">
        <v>13897</v>
      </c>
      <c r="E546">
        <v>0</v>
      </c>
      <c r="F546">
        <v>225729785160</v>
      </c>
      <c r="G546">
        <v>521143210.92000002</v>
      </c>
      <c r="H546">
        <v>224040643085.62</v>
      </c>
      <c r="I546">
        <v>225117014911.07999</v>
      </c>
      <c r="J546">
        <v>6.0354999999999999E-2</v>
      </c>
      <c r="K546">
        <v>4.8599999999999997E-3</v>
      </c>
      <c r="M546" t="s">
        <v>2</v>
      </c>
      <c r="N546">
        <v>3500</v>
      </c>
      <c r="O546">
        <v>60</v>
      </c>
      <c r="P546">
        <v>2753</v>
      </c>
      <c r="Q546">
        <v>0</v>
      </c>
      <c r="R546">
        <v>36287783552</v>
      </c>
      <c r="S546">
        <v>79339524.280000001</v>
      </c>
      <c r="T546">
        <v>35960532661.720001</v>
      </c>
      <c r="U546">
        <v>36169680071.160004</v>
      </c>
      <c r="V546">
        <v>7.8969999999999999E-2</v>
      </c>
      <c r="W546">
        <v>1.2744E-2</v>
      </c>
      <c r="Y546" t="s">
        <v>0</v>
      </c>
      <c r="Z546">
        <v>3250</v>
      </c>
      <c r="AA546">
        <v>60</v>
      </c>
      <c r="AB546">
        <v>96203</v>
      </c>
      <c r="AC546">
        <v>0</v>
      </c>
      <c r="AD546">
        <v>1927941631540</v>
      </c>
      <c r="AE546">
        <v>4159326295.96</v>
      </c>
      <c r="AF546">
        <v>1917150452753</v>
      </c>
      <c r="AG546">
        <v>1923013397414.3999</v>
      </c>
      <c r="AH546">
        <v>4.0506E-2</v>
      </c>
      <c r="AI546">
        <v>4.7749999999999997E-3</v>
      </c>
    </row>
    <row r="547" spans="1:35" x14ac:dyDescent="0.35">
      <c r="A547" t="s">
        <v>0</v>
      </c>
      <c r="B547">
        <v>2750</v>
      </c>
      <c r="C547">
        <v>60</v>
      </c>
      <c r="D547">
        <v>128292</v>
      </c>
      <c r="E547">
        <v>0</v>
      </c>
      <c r="F547">
        <v>2837681656448</v>
      </c>
      <c r="G547">
        <v>6574652728.2799997</v>
      </c>
      <c r="H547">
        <v>2819670362693.5898</v>
      </c>
      <c r="I547">
        <v>2830234058223.04</v>
      </c>
      <c r="J547">
        <v>4.7306000000000001E-2</v>
      </c>
      <c r="K547">
        <v>3.6849999999999999E-3</v>
      </c>
      <c r="M547" t="s">
        <v>0</v>
      </c>
      <c r="N547">
        <v>3750</v>
      </c>
      <c r="O547">
        <v>60</v>
      </c>
      <c r="P547">
        <v>17086</v>
      </c>
      <c r="Q547">
        <v>0</v>
      </c>
      <c r="R547">
        <v>304093590782</v>
      </c>
      <c r="S547">
        <v>611738137.61000001</v>
      </c>
      <c r="T547">
        <v>301633975035.96997</v>
      </c>
      <c r="U547">
        <v>303227275619.44</v>
      </c>
      <c r="V547">
        <v>7.0531999999999997E-2</v>
      </c>
      <c r="W547">
        <v>0.01</v>
      </c>
      <c r="Y547" t="s">
        <v>1</v>
      </c>
      <c r="Z547">
        <v>3000</v>
      </c>
      <c r="AA547">
        <v>60</v>
      </c>
      <c r="AB547">
        <v>42162</v>
      </c>
      <c r="AC547">
        <v>0</v>
      </c>
      <c r="AD547">
        <v>1040488965663</v>
      </c>
      <c r="AE547">
        <v>2341289108.1100001</v>
      </c>
      <c r="AF547">
        <v>1032794250737</v>
      </c>
      <c r="AG547">
        <v>1037206701690.3</v>
      </c>
      <c r="AH547">
        <v>6.0024000000000001E-2</v>
      </c>
      <c r="AI547">
        <v>1.0798E-2</v>
      </c>
    </row>
    <row r="548" spans="1:35" x14ac:dyDescent="0.35">
      <c r="A548" t="s">
        <v>1</v>
      </c>
      <c r="B548">
        <v>2500</v>
      </c>
      <c r="C548">
        <v>60</v>
      </c>
      <c r="D548">
        <v>88961</v>
      </c>
      <c r="E548">
        <v>0</v>
      </c>
      <c r="F548">
        <v>2505692351614</v>
      </c>
      <c r="G548">
        <v>6051916242.0900002</v>
      </c>
      <c r="H548">
        <v>2485025657940.9199</v>
      </c>
      <c r="I548">
        <v>2498427771564.71</v>
      </c>
      <c r="J548">
        <v>6.7789000000000002E-2</v>
      </c>
      <c r="K548">
        <v>5.7920000000000003E-3</v>
      </c>
      <c r="M548" t="s">
        <v>0</v>
      </c>
      <c r="N548">
        <v>4500</v>
      </c>
      <c r="O548">
        <v>60</v>
      </c>
      <c r="P548">
        <v>1537</v>
      </c>
      <c r="Q548">
        <v>0</v>
      </c>
      <c r="R548">
        <v>27303938489</v>
      </c>
      <c r="S548">
        <v>49350533.25</v>
      </c>
      <c r="T548">
        <v>27070257904.610001</v>
      </c>
      <c r="U548">
        <v>27211063423.639999</v>
      </c>
      <c r="V548">
        <v>7.8071000000000002E-2</v>
      </c>
      <c r="W548">
        <v>1.8962E-2</v>
      </c>
      <c r="Y548" t="s">
        <v>1</v>
      </c>
      <c r="Z548">
        <v>3500</v>
      </c>
      <c r="AA548">
        <v>60</v>
      </c>
      <c r="AB548">
        <v>5073</v>
      </c>
      <c r="AC548">
        <v>0</v>
      </c>
      <c r="AD548">
        <v>114271925813</v>
      </c>
      <c r="AE548">
        <v>241829057.47999999</v>
      </c>
      <c r="AF548">
        <v>113243307240</v>
      </c>
      <c r="AG548">
        <v>113689061900.41</v>
      </c>
      <c r="AH548">
        <v>7.9564999999999997E-2</v>
      </c>
      <c r="AI548">
        <v>3.5230999999999998E-2</v>
      </c>
    </row>
    <row r="549" spans="1:35" x14ac:dyDescent="0.35">
      <c r="A549" t="s">
        <v>2</v>
      </c>
      <c r="B549">
        <v>3250</v>
      </c>
      <c r="C549">
        <v>60</v>
      </c>
      <c r="D549">
        <v>10534</v>
      </c>
      <c r="E549">
        <v>0</v>
      </c>
      <c r="F549">
        <v>155430014830</v>
      </c>
      <c r="G549">
        <v>337625602.32999998</v>
      </c>
      <c r="H549">
        <v>154203325102.32001</v>
      </c>
      <c r="I549">
        <v>154965064728.97</v>
      </c>
      <c r="J549">
        <v>6.6521999999999998E-2</v>
      </c>
      <c r="K549">
        <v>9.7859999999999996E-3</v>
      </c>
      <c r="M549" t="s">
        <v>0</v>
      </c>
      <c r="N549">
        <v>3250</v>
      </c>
      <c r="O549">
        <v>60</v>
      </c>
      <c r="P549">
        <v>88225</v>
      </c>
      <c r="Q549">
        <v>0</v>
      </c>
      <c r="R549">
        <v>1740038535757</v>
      </c>
      <c r="S549">
        <v>3777278537.1100001</v>
      </c>
      <c r="T549">
        <v>1726434544497.8601</v>
      </c>
      <c r="U549">
        <v>1735315157049.53</v>
      </c>
      <c r="V549">
        <v>6.5702999999999998E-2</v>
      </c>
      <c r="W549">
        <v>6.5050000000000004E-3</v>
      </c>
      <c r="Y549" t="s">
        <v>2</v>
      </c>
      <c r="Z549">
        <v>3500</v>
      </c>
      <c r="AA549">
        <v>60</v>
      </c>
      <c r="AB549">
        <v>3208</v>
      </c>
      <c r="AC549">
        <v>0</v>
      </c>
      <c r="AD549">
        <v>43794793591</v>
      </c>
      <c r="AE549">
        <v>92672971.390000001</v>
      </c>
      <c r="AF549">
        <v>43407947148</v>
      </c>
      <c r="AG549">
        <v>43600521144.360001</v>
      </c>
      <c r="AH549">
        <v>7.7692999999999998E-2</v>
      </c>
      <c r="AI549">
        <v>2.7486E-2</v>
      </c>
    </row>
    <row r="550" spans="1:35" x14ac:dyDescent="0.35">
      <c r="A550" t="s">
        <v>0</v>
      </c>
      <c r="B550">
        <v>3250</v>
      </c>
      <c r="C550">
        <v>60</v>
      </c>
      <c r="D550">
        <v>105691</v>
      </c>
      <c r="E550">
        <v>0</v>
      </c>
      <c r="F550">
        <v>2142556230778</v>
      </c>
      <c r="G550">
        <v>4612133005.3999996</v>
      </c>
      <c r="H550">
        <v>2126785464472.1299</v>
      </c>
      <c r="I550">
        <v>2136044365866.3</v>
      </c>
      <c r="J550">
        <v>6.0738E-2</v>
      </c>
      <c r="K550">
        <v>1.0588E-2</v>
      </c>
      <c r="M550" t="s">
        <v>2</v>
      </c>
      <c r="N550">
        <v>3250</v>
      </c>
      <c r="O550">
        <v>60</v>
      </c>
      <c r="P550">
        <v>10077</v>
      </c>
      <c r="Q550">
        <v>0</v>
      </c>
      <c r="R550">
        <v>141183928704</v>
      </c>
      <c r="S550">
        <v>309915142.16000003</v>
      </c>
      <c r="T550">
        <v>139957516716.26001</v>
      </c>
      <c r="U550">
        <v>140754010771.07001</v>
      </c>
      <c r="V550">
        <v>7.5176000000000007E-2</v>
      </c>
      <c r="W550">
        <v>1.0152E-2</v>
      </c>
      <c r="Y550" t="s">
        <v>2</v>
      </c>
      <c r="Z550">
        <v>4000</v>
      </c>
      <c r="AA550">
        <v>60</v>
      </c>
      <c r="AB550">
        <v>507</v>
      </c>
      <c r="AC550">
        <v>0</v>
      </c>
      <c r="AD550">
        <v>6479415346</v>
      </c>
      <c r="AE550">
        <v>12788240.18</v>
      </c>
      <c r="AF550">
        <v>6379316025</v>
      </c>
      <c r="AG550">
        <v>6437779283.1400003</v>
      </c>
      <c r="AH550">
        <v>0.15024000000000001</v>
      </c>
      <c r="AI550">
        <v>5.2137999999999997E-2</v>
      </c>
    </row>
    <row r="551" spans="1:35" x14ac:dyDescent="0.35">
      <c r="A551" t="s">
        <v>3</v>
      </c>
      <c r="B551">
        <v>3000</v>
      </c>
      <c r="C551">
        <v>72</v>
      </c>
      <c r="D551">
        <v>601</v>
      </c>
      <c r="E551">
        <v>0</v>
      </c>
      <c r="F551">
        <v>11576815871</v>
      </c>
      <c r="G551">
        <v>26859535.059999999</v>
      </c>
      <c r="H551">
        <v>11513010140.85</v>
      </c>
      <c r="I551">
        <v>11549744185.610001</v>
      </c>
      <c r="J551">
        <v>3.7631999999999999E-2</v>
      </c>
      <c r="K551">
        <v>2.2000000000000001E-4</v>
      </c>
      <c r="M551" t="s">
        <v>2</v>
      </c>
      <c r="N551">
        <v>2750</v>
      </c>
      <c r="O551">
        <v>60</v>
      </c>
      <c r="P551">
        <v>17006</v>
      </c>
      <c r="Q551">
        <v>0</v>
      </c>
      <c r="R551">
        <v>275112299580</v>
      </c>
      <c r="S551">
        <v>634618179.65999997</v>
      </c>
      <c r="T551">
        <v>272920018742.20999</v>
      </c>
      <c r="U551">
        <v>274367381286.13</v>
      </c>
      <c r="V551">
        <v>6.5866999999999995E-2</v>
      </c>
      <c r="W551">
        <v>4.8009999999999997E-3</v>
      </c>
      <c r="Y551" t="s">
        <v>0</v>
      </c>
      <c r="Z551">
        <v>4000</v>
      </c>
      <c r="AA551">
        <v>60</v>
      </c>
      <c r="AB551">
        <v>7198</v>
      </c>
      <c r="AC551">
        <v>0</v>
      </c>
      <c r="AD551">
        <v>137384303871</v>
      </c>
      <c r="AE551">
        <v>265896005.78</v>
      </c>
      <c r="AF551">
        <v>136594974427</v>
      </c>
      <c r="AG551">
        <v>136965735872.67</v>
      </c>
      <c r="AH551">
        <v>4.4774000000000001E-2</v>
      </c>
      <c r="AI551">
        <v>1.3254E-2</v>
      </c>
    </row>
    <row r="552" spans="1:35" x14ac:dyDescent="0.35">
      <c r="A552" t="s">
        <v>3</v>
      </c>
      <c r="B552">
        <v>3000</v>
      </c>
      <c r="C552">
        <v>60</v>
      </c>
      <c r="D552">
        <v>332</v>
      </c>
      <c r="E552">
        <v>0</v>
      </c>
      <c r="F552">
        <v>6427253227</v>
      </c>
      <c r="G552">
        <v>14398089.390000001</v>
      </c>
      <c r="H552">
        <v>6389800561.5500002</v>
      </c>
      <c r="I552">
        <v>6412609834.7299995</v>
      </c>
      <c r="J552">
        <v>4.2204999999999999E-2</v>
      </c>
      <c r="K552">
        <v>4.5800000000000002E-4</v>
      </c>
      <c r="M552" t="s">
        <v>2</v>
      </c>
      <c r="N552">
        <v>2500</v>
      </c>
      <c r="O552">
        <v>60</v>
      </c>
      <c r="P552">
        <v>7689</v>
      </c>
      <c r="Q552">
        <v>0</v>
      </c>
      <c r="R552">
        <v>132776644545</v>
      </c>
      <c r="S552">
        <v>316840312.56</v>
      </c>
      <c r="T552">
        <v>131740469425.32001</v>
      </c>
      <c r="U552">
        <v>132418489450.35001</v>
      </c>
      <c r="V552">
        <v>6.3108999999999998E-2</v>
      </c>
      <c r="W552">
        <v>3.728E-3</v>
      </c>
      <c r="Y552" t="s">
        <v>0</v>
      </c>
      <c r="Z552">
        <v>2750</v>
      </c>
      <c r="AA552">
        <v>60</v>
      </c>
      <c r="AB552">
        <v>132068</v>
      </c>
      <c r="AC552">
        <v>0</v>
      </c>
      <c r="AD552">
        <v>2912060809159</v>
      </c>
      <c r="AE552">
        <v>6743303716.4799995</v>
      </c>
      <c r="AF552">
        <v>2895246572026</v>
      </c>
      <c r="AG552">
        <v>2904444360649.7202</v>
      </c>
      <c r="AH552">
        <v>4.0719999999999999E-2</v>
      </c>
      <c r="AI552">
        <v>3.5920000000000001E-3</v>
      </c>
    </row>
    <row r="553" spans="1:35" x14ac:dyDescent="0.35">
      <c r="A553" t="s">
        <v>1</v>
      </c>
      <c r="B553">
        <v>2250</v>
      </c>
      <c r="C553">
        <v>60</v>
      </c>
      <c r="D553">
        <v>192011</v>
      </c>
      <c r="E553">
        <v>0</v>
      </c>
      <c r="F553">
        <v>5569820618668</v>
      </c>
      <c r="G553">
        <v>13772922557.68</v>
      </c>
      <c r="H553">
        <v>5528095466471.4004</v>
      </c>
      <c r="I553">
        <v>5554410266828.5596</v>
      </c>
      <c r="J553">
        <v>5.8587E-2</v>
      </c>
      <c r="K553">
        <v>3.522E-3</v>
      </c>
      <c r="M553" t="s">
        <v>1</v>
      </c>
      <c r="N553">
        <v>2500</v>
      </c>
      <c r="O553">
        <v>60</v>
      </c>
      <c r="P553">
        <v>103446</v>
      </c>
      <c r="Q553">
        <v>0</v>
      </c>
      <c r="R553">
        <v>2872100003641</v>
      </c>
      <c r="S553">
        <v>6945854190.5500002</v>
      </c>
      <c r="T553">
        <v>2849555635201.79</v>
      </c>
      <c r="U553">
        <v>2864098122496.3701</v>
      </c>
      <c r="V553">
        <v>6.3260999999999998E-2</v>
      </c>
      <c r="W553">
        <v>4.4029999999999998E-3</v>
      </c>
      <c r="Y553" t="s">
        <v>1</v>
      </c>
      <c r="Z553">
        <v>2750</v>
      </c>
      <c r="AA553">
        <v>60</v>
      </c>
      <c r="AB553">
        <v>86890</v>
      </c>
      <c r="AC553">
        <v>0</v>
      </c>
      <c r="AD553">
        <v>2316525769897</v>
      </c>
      <c r="AE553">
        <v>5357903096.3999996</v>
      </c>
      <c r="AF553">
        <v>2300612165605</v>
      </c>
      <c r="AG553">
        <v>2309612098904.1001</v>
      </c>
      <c r="AH553">
        <v>5.3331000000000003E-2</v>
      </c>
      <c r="AI553">
        <v>8.0289999999999997E-3</v>
      </c>
    </row>
    <row r="554" spans="1:35" x14ac:dyDescent="0.35">
      <c r="A554" t="s">
        <v>0</v>
      </c>
      <c r="B554">
        <v>2250</v>
      </c>
      <c r="C554">
        <v>60</v>
      </c>
      <c r="D554">
        <v>34657</v>
      </c>
      <c r="E554">
        <v>0</v>
      </c>
      <c r="F554">
        <v>832394591717</v>
      </c>
      <c r="G554">
        <v>2059472488.26</v>
      </c>
      <c r="H554">
        <v>827062750793.65002</v>
      </c>
      <c r="I554">
        <v>830136768037.91003</v>
      </c>
      <c r="J554">
        <v>4.6168000000000001E-2</v>
      </c>
      <c r="K554">
        <v>2.856E-3</v>
      </c>
      <c r="M554" t="s">
        <v>0</v>
      </c>
      <c r="N554">
        <v>2500</v>
      </c>
      <c r="O554">
        <v>60</v>
      </c>
      <c r="P554">
        <v>62686</v>
      </c>
      <c r="Q554">
        <v>0</v>
      </c>
      <c r="R554">
        <v>1453351596484</v>
      </c>
      <c r="S554">
        <v>3510080431.52</v>
      </c>
      <c r="T554">
        <v>1443067287057.8799</v>
      </c>
      <c r="U554">
        <v>1449638654309.71</v>
      </c>
      <c r="V554">
        <v>5.4521E-2</v>
      </c>
      <c r="W554">
        <v>1.6739999999999999E-3</v>
      </c>
      <c r="Y554" t="s">
        <v>3</v>
      </c>
      <c r="Z554">
        <v>3000</v>
      </c>
      <c r="AA554">
        <v>60</v>
      </c>
      <c r="AB554">
        <v>326</v>
      </c>
      <c r="AC554">
        <v>0</v>
      </c>
      <c r="AD554">
        <v>6366594047</v>
      </c>
      <c r="AE554">
        <v>14280614.07</v>
      </c>
      <c r="AF554">
        <v>6327614053</v>
      </c>
      <c r="AG554">
        <v>6349728614.5799999</v>
      </c>
      <c r="AH554">
        <v>4.5574000000000003E-2</v>
      </c>
      <c r="AI554">
        <v>4.8609999999999999E-3</v>
      </c>
    </row>
    <row r="555" spans="1:35" x14ac:dyDescent="0.35">
      <c r="A555" t="s">
        <v>0</v>
      </c>
      <c r="B555">
        <v>4500</v>
      </c>
      <c r="C555">
        <v>54</v>
      </c>
      <c r="D555">
        <v>2612</v>
      </c>
      <c r="E555">
        <v>0</v>
      </c>
      <c r="F555">
        <v>56501849448</v>
      </c>
      <c r="G555">
        <v>98159441.170000002</v>
      </c>
      <c r="H555">
        <v>56079744445.169998</v>
      </c>
      <c r="I555">
        <v>56295191065.610001</v>
      </c>
      <c r="J555">
        <v>6.6671999999999995E-2</v>
      </c>
      <c r="K555">
        <v>2.2800999999999998E-2</v>
      </c>
      <c r="M555" t="s">
        <v>0</v>
      </c>
      <c r="N555">
        <v>2750</v>
      </c>
      <c r="O555">
        <v>60</v>
      </c>
      <c r="P555">
        <v>132423</v>
      </c>
      <c r="Q555">
        <v>0</v>
      </c>
      <c r="R555">
        <v>2908277685949</v>
      </c>
      <c r="S555">
        <v>6736876977.3900003</v>
      </c>
      <c r="T555">
        <v>2886730982674.54</v>
      </c>
      <c r="U555">
        <v>2900736170926.0801</v>
      </c>
      <c r="V555">
        <v>5.9424999999999999E-2</v>
      </c>
      <c r="W555">
        <v>3.3149999999999998E-3</v>
      </c>
      <c r="Y555" t="s">
        <v>2</v>
      </c>
      <c r="Z555">
        <v>3250</v>
      </c>
      <c r="AA555">
        <v>60</v>
      </c>
      <c r="AB555">
        <v>9615</v>
      </c>
      <c r="AC555">
        <v>0</v>
      </c>
      <c r="AD555">
        <v>138155963908</v>
      </c>
      <c r="AE555">
        <v>301144051.58999997</v>
      </c>
      <c r="AF555">
        <v>137060170363</v>
      </c>
      <c r="AG555">
        <v>137702767807.20999</v>
      </c>
      <c r="AH555">
        <v>6.6879999999999995E-2</v>
      </c>
      <c r="AI555">
        <v>1.3127E-2</v>
      </c>
    </row>
    <row r="556" spans="1:35" x14ac:dyDescent="0.35">
      <c r="A556" t="s">
        <v>1</v>
      </c>
      <c r="B556">
        <v>4500</v>
      </c>
      <c r="C556">
        <v>54</v>
      </c>
      <c r="D556">
        <v>291</v>
      </c>
      <c r="E556">
        <v>0</v>
      </c>
      <c r="F556">
        <v>6463042218</v>
      </c>
      <c r="G556">
        <v>11288329.4</v>
      </c>
      <c r="H556">
        <v>6373857646.4899998</v>
      </c>
      <c r="I556">
        <v>6417188406.8999996</v>
      </c>
      <c r="J556">
        <v>0.13541800000000001</v>
      </c>
      <c r="K556">
        <v>6.2323999999999997E-2</v>
      </c>
      <c r="M556" t="s">
        <v>0</v>
      </c>
      <c r="N556">
        <v>2500</v>
      </c>
      <c r="O556">
        <v>72</v>
      </c>
      <c r="P556">
        <v>6119</v>
      </c>
      <c r="Q556">
        <v>0</v>
      </c>
      <c r="R556">
        <v>143028747809</v>
      </c>
      <c r="S556">
        <v>353347073.07999998</v>
      </c>
      <c r="T556">
        <v>142019758365.64001</v>
      </c>
      <c r="U556">
        <v>142654732846.59</v>
      </c>
      <c r="V556">
        <v>5.3642000000000002E-2</v>
      </c>
      <c r="W556">
        <v>1.7329999999999999E-3</v>
      </c>
      <c r="Y556" t="s">
        <v>3</v>
      </c>
      <c r="Z556">
        <v>3000</v>
      </c>
      <c r="AA556">
        <v>72</v>
      </c>
      <c r="AB556">
        <v>540</v>
      </c>
      <c r="AC556">
        <v>0</v>
      </c>
      <c r="AD556">
        <v>10333727077</v>
      </c>
      <c r="AE556">
        <v>23915739.68</v>
      </c>
      <c r="AF556">
        <v>10307754449</v>
      </c>
      <c r="AG556">
        <v>10307754449</v>
      </c>
      <c r="AH556">
        <v>2.3860000000000001E-3</v>
      </c>
      <c r="AI556">
        <v>2.3860000000000001E-3</v>
      </c>
    </row>
    <row r="557" spans="1:35" x14ac:dyDescent="0.35">
      <c r="A557" t="s">
        <v>2</v>
      </c>
      <c r="B557">
        <v>2250</v>
      </c>
      <c r="C557">
        <v>60</v>
      </c>
      <c r="D557">
        <v>4378</v>
      </c>
      <c r="E557">
        <v>0</v>
      </c>
      <c r="F557">
        <v>78262849585</v>
      </c>
      <c r="G557">
        <v>193081964.78999999</v>
      </c>
      <c r="H557">
        <v>77707050850.660004</v>
      </c>
      <c r="I557">
        <v>78051156726.979996</v>
      </c>
      <c r="J557">
        <v>5.4219000000000003E-2</v>
      </c>
      <c r="K557">
        <v>2.8500000000000001E-3</v>
      </c>
      <c r="M557" t="s">
        <v>2</v>
      </c>
      <c r="N557">
        <v>4000</v>
      </c>
      <c r="O557">
        <v>60</v>
      </c>
      <c r="P557">
        <v>496</v>
      </c>
      <c r="Q557">
        <v>0</v>
      </c>
      <c r="R557">
        <v>6213119830</v>
      </c>
      <c r="S557">
        <v>12621687.26</v>
      </c>
      <c r="T557">
        <v>6155971276.7700005</v>
      </c>
      <c r="U557">
        <v>6191738669.3599997</v>
      </c>
      <c r="V557">
        <v>8.2688999999999999E-2</v>
      </c>
      <c r="W557">
        <v>1.6787E-2</v>
      </c>
      <c r="Y557" t="s">
        <v>1</v>
      </c>
      <c r="Z557">
        <v>2250</v>
      </c>
      <c r="AA557">
        <v>60</v>
      </c>
      <c r="AB557">
        <v>209837</v>
      </c>
      <c r="AC557">
        <v>0</v>
      </c>
      <c r="AD557">
        <v>6085813563211</v>
      </c>
      <c r="AE557">
        <v>15020702898.209999</v>
      </c>
      <c r="AF557">
        <v>6050470540499</v>
      </c>
      <c r="AG557">
        <v>6066989669946.8398</v>
      </c>
      <c r="AH557">
        <v>3.9343999999999997E-2</v>
      </c>
      <c r="AI557">
        <v>7.4729999999999996E-3</v>
      </c>
    </row>
    <row r="558" spans="1:35" x14ac:dyDescent="0.35">
      <c r="A558" t="s">
        <v>1</v>
      </c>
      <c r="B558">
        <v>2750</v>
      </c>
      <c r="C558">
        <v>60</v>
      </c>
      <c r="D558">
        <v>88061</v>
      </c>
      <c r="E558">
        <v>0</v>
      </c>
      <c r="F558">
        <v>2394506311726</v>
      </c>
      <c r="G558">
        <v>5529471049.6400003</v>
      </c>
      <c r="H558">
        <v>2373311757937.5698</v>
      </c>
      <c r="I558">
        <v>2387103736366.1499</v>
      </c>
      <c r="J558">
        <v>7.5741000000000003E-2</v>
      </c>
      <c r="K558">
        <v>9.3469999999999994E-3</v>
      </c>
      <c r="M558" t="s">
        <v>1</v>
      </c>
      <c r="N558">
        <v>2750</v>
      </c>
      <c r="O558">
        <v>60</v>
      </c>
      <c r="P558">
        <v>95107</v>
      </c>
      <c r="Q558">
        <v>0</v>
      </c>
      <c r="R558">
        <v>2545215597978</v>
      </c>
      <c r="S558">
        <v>5913048210.8699999</v>
      </c>
      <c r="T558">
        <v>2523557682403.71</v>
      </c>
      <c r="U558">
        <v>2537548845009.8701</v>
      </c>
      <c r="V558">
        <v>7.1758000000000002E-2</v>
      </c>
      <c r="W558">
        <v>8.2369999999999995E-3</v>
      </c>
      <c r="Y558" t="s">
        <v>0</v>
      </c>
      <c r="Z558">
        <v>3500</v>
      </c>
      <c r="AA558">
        <v>54</v>
      </c>
      <c r="AB558">
        <v>56509</v>
      </c>
      <c r="AC558">
        <v>0</v>
      </c>
      <c r="AD558">
        <v>1161418865227</v>
      </c>
      <c r="AE558">
        <v>2353291585.79</v>
      </c>
      <c r="AF558">
        <v>1154690601200</v>
      </c>
      <c r="AG558">
        <v>1158362001605.3999</v>
      </c>
      <c r="AH558">
        <v>4.4277999999999998E-2</v>
      </c>
      <c r="AI558">
        <v>7.2449999999999997E-3</v>
      </c>
    </row>
    <row r="559" spans="1:35" x14ac:dyDescent="0.35">
      <c r="A559" t="s">
        <v>0</v>
      </c>
      <c r="B559">
        <v>3500</v>
      </c>
      <c r="C559">
        <v>54</v>
      </c>
      <c r="D559">
        <v>56493</v>
      </c>
      <c r="E559">
        <v>0</v>
      </c>
      <c r="F559">
        <v>1179503949273</v>
      </c>
      <c r="G559">
        <v>2388870240.3499999</v>
      </c>
      <c r="H559">
        <v>1171556034764.3</v>
      </c>
      <c r="I559">
        <v>1176047053851.3999</v>
      </c>
      <c r="J559">
        <v>5.5113000000000002E-2</v>
      </c>
      <c r="K559">
        <v>1.0812E-2</v>
      </c>
      <c r="M559" t="s">
        <v>3</v>
      </c>
      <c r="N559">
        <v>3000</v>
      </c>
      <c r="O559">
        <v>60</v>
      </c>
      <c r="P559">
        <v>344</v>
      </c>
      <c r="Q559">
        <v>0</v>
      </c>
      <c r="R559">
        <v>6771006896</v>
      </c>
      <c r="S559">
        <v>15185815.470000001</v>
      </c>
      <c r="T559">
        <v>6727832418.6800003</v>
      </c>
      <c r="U559">
        <v>6755223867</v>
      </c>
      <c r="V559">
        <v>4.8490999999999999E-2</v>
      </c>
      <c r="W559">
        <v>1.0579999999999999E-3</v>
      </c>
      <c r="Y559" t="s">
        <v>0</v>
      </c>
      <c r="Z559">
        <v>2250</v>
      </c>
      <c r="AA559">
        <v>60</v>
      </c>
      <c r="AB559">
        <v>36795</v>
      </c>
      <c r="AC559">
        <v>0</v>
      </c>
      <c r="AD559">
        <v>880240645128</v>
      </c>
      <c r="AE559">
        <v>2171743402.5</v>
      </c>
      <c r="AF559">
        <v>875590010154</v>
      </c>
      <c r="AG559">
        <v>877834367377.03003</v>
      </c>
      <c r="AH559">
        <v>3.3274999999999999E-2</v>
      </c>
      <c r="AI559">
        <v>3.1930000000000001E-3</v>
      </c>
    </row>
    <row r="560" spans="1:35" x14ac:dyDescent="0.35">
      <c r="A560" t="s">
        <v>2</v>
      </c>
      <c r="B560">
        <v>3500</v>
      </c>
      <c r="C560">
        <v>54</v>
      </c>
      <c r="D560">
        <v>8427</v>
      </c>
      <c r="E560">
        <v>0</v>
      </c>
      <c r="F560">
        <v>124086429538</v>
      </c>
      <c r="G560">
        <v>256337777.52000001</v>
      </c>
      <c r="H560">
        <v>123108363806.77</v>
      </c>
      <c r="I560">
        <v>123654119488.45</v>
      </c>
      <c r="J560">
        <v>6.7605999999999999E-2</v>
      </c>
      <c r="K560">
        <v>1.6886000000000002E-2</v>
      </c>
      <c r="M560" t="s">
        <v>0</v>
      </c>
      <c r="N560">
        <v>3500</v>
      </c>
      <c r="O560">
        <v>54</v>
      </c>
      <c r="P560">
        <v>58699</v>
      </c>
      <c r="Q560">
        <v>0</v>
      </c>
      <c r="R560">
        <v>1184027788712</v>
      </c>
      <c r="S560">
        <v>2404920269.6500001</v>
      </c>
      <c r="T560">
        <v>1175564084588.6599</v>
      </c>
      <c r="U560">
        <v>1180754908505.3501</v>
      </c>
      <c r="V560">
        <v>5.9706000000000002E-2</v>
      </c>
      <c r="W560">
        <v>8.7609999999999997E-3</v>
      </c>
      <c r="Y560" t="s">
        <v>0</v>
      </c>
      <c r="Z560">
        <v>4500</v>
      </c>
      <c r="AA560">
        <v>54</v>
      </c>
      <c r="AB560">
        <v>2159</v>
      </c>
      <c r="AC560">
        <v>0</v>
      </c>
      <c r="AD560">
        <v>46316446598</v>
      </c>
      <c r="AE560">
        <v>80537850.870000005</v>
      </c>
      <c r="AF560">
        <v>46110367268</v>
      </c>
      <c r="AG560">
        <v>46241830065.269997</v>
      </c>
      <c r="AH560">
        <v>3.2045999999999998E-2</v>
      </c>
      <c r="AI560">
        <v>-1.5349999999999999E-3</v>
      </c>
    </row>
    <row r="561" spans="1:35" x14ac:dyDescent="0.35">
      <c r="A561" t="s">
        <v>1</v>
      </c>
      <c r="B561">
        <v>3500</v>
      </c>
      <c r="C561">
        <v>54</v>
      </c>
      <c r="D561">
        <v>17905</v>
      </c>
      <c r="E561">
        <v>0</v>
      </c>
      <c r="F561">
        <v>450796785314</v>
      </c>
      <c r="G561">
        <v>914939551.84000003</v>
      </c>
      <c r="H561">
        <v>445214514758.73999</v>
      </c>
      <c r="I561">
        <v>448156462205.95001</v>
      </c>
      <c r="J561">
        <v>0.117406</v>
      </c>
      <c r="K561">
        <v>4.4974E-2</v>
      </c>
      <c r="M561" t="s">
        <v>2</v>
      </c>
      <c r="N561">
        <v>3500</v>
      </c>
      <c r="O561">
        <v>54</v>
      </c>
      <c r="P561">
        <v>7725</v>
      </c>
      <c r="Q561">
        <v>0</v>
      </c>
      <c r="R561">
        <v>112197963689</v>
      </c>
      <c r="S561">
        <v>231587110.75</v>
      </c>
      <c r="T561">
        <v>111259139960.50999</v>
      </c>
      <c r="U561">
        <v>111829775960.67999</v>
      </c>
      <c r="V561">
        <v>7.3074E-2</v>
      </c>
      <c r="W561">
        <v>1.4513E-2</v>
      </c>
      <c r="Y561" t="s">
        <v>1</v>
      </c>
      <c r="Z561">
        <v>4500</v>
      </c>
      <c r="AA561">
        <v>54</v>
      </c>
      <c r="AB561">
        <v>255</v>
      </c>
      <c r="AC561">
        <v>0</v>
      </c>
      <c r="AD561">
        <v>5787542363</v>
      </c>
      <c r="AE561">
        <v>10130269.83</v>
      </c>
      <c r="AF561">
        <v>5750034104</v>
      </c>
      <c r="AG561">
        <v>5766967638.7700005</v>
      </c>
      <c r="AH561">
        <v>5.5312E-2</v>
      </c>
      <c r="AI561">
        <v>2.1441999999999999E-2</v>
      </c>
    </row>
    <row r="562" spans="1:35" x14ac:dyDescent="0.35">
      <c r="A562" t="s">
        <v>0</v>
      </c>
      <c r="B562">
        <v>4000</v>
      </c>
      <c r="C562">
        <v>54</v>
      </c>
      <c r="D562">
        <v>17159</v>
      </c>
      <c r="E562">
        <v>0</v>
      </c>
      <c r="F562">
        <v>373882048697</v>
      </c>
      <c r="G562">
        <v>704828753.29999995</v>
      </c>
      <c r="H562">
        <v>371381165627.52002</v>
      </c>
      <c r="I562">
        <v>372711397849.06</v>
      </c>
      <c r="J562">
        <v>5.6147000000000002E-2</v>
      </c>
      <c r="K562">
        <v>1.4848999999999999E-2</v>
      </c>
      <c r="M562" t="s">
        <v>1</v>
      </c>
      <c r="N562">
        <v>2250</v>
      </c>
      <c r="O562">
        <v>54</v>
      </c>
      <c r="P562">
        <v>116114</v>
      </c>
      <c r="Q562">
        <v>0</v>
      </c>
      <c r="R562">
        <v>3492186632820</v>
      </c>
      <c r="S562">
        <v>8433695322.5500002</v>
      </c>
      <c r="T562">
        <v>3465344832089.4502</v>
      </c>
      <c r="U562">
        <v>3482490656467.9502</v>
      </c>
      <c r="V562">
        <v>6.1453000000000001E-2</v>
      </c>
      <c r="W562">
        <v>4.3290000000000004E-3</v>
      </c>
      <c r="Y562" t="s">
        <v>2</v>
      </c>
      <c r="Z562">
        <v>2250</v>
      </c>
      <c r="AA562">
        <v>60</v>
      </c>
      <c r="AB562">
        <v>4817</v>
      </c>
      <c r="AC562">
        <v>0</v>
      </c>
      <c r="AD562">
        <v>86095201905</v>
      </c>
      <c r="AE562">
        <v>211839879.55000001</v>
      </c>
      <c r="AF562">
        <v>85649722960</v>
      </c>
      <c r="AG562">
        <v>85863378515.440002</v>
      </c>
      <c r="AH562">
        <v>3.2083E-2</v>
      </c>
      <c r="AI562">
        <v>2.7820000000000002E-3</v>
      </c>
    </row>
    <row r="563" spans="1:35" x14ac:dyDescent="0.35">
      <c r="A563" t="s">
        <v>1</v>
      </c>
      <c r="B563">
        <v>4000</v>
      </c>
      <c r="C563">
        <v>60</v>
      </c>
      <c r="D563">
        <v>1034</v>
      </c>
      <c r="E563">
        <v>0</v>
      </c>
      <c r="F563">
        <v>21733363307</v>
      </c>
      <c r="G563">
        <v>42308096.149999999</v>
      </c>
      <c r="H563">
        <v>21437005570.540001</v>
      </c>
      <c r="I563">
        <v>21580950933.599998</v>
      </c>
      <c r="J563">
        <v>0.13159699999999999</v>
      </c>
      <c r="K563">
        <v>5.9128E-2</v>
      </c>
      <c r="M563" t="s">
        <v>1</v>
      </c>
      <c r="N563">
        <v>2250</v>
      </c>
      <c r="O563">
        <v>60</v>
      </c>
      <c r="P563">
        <v>200302</v>
      </c>
      <c r="Q563">
        <v>0</v>
      </c>
      <c r="R563">
        <v>5816556165743</v>
      </c>
      <c r="S563">
        <v>14323863630.73</v>
      </c>
      <c r="T563">
        <v>5773861664704.3496</v>
      </c>
      <c r="U563">
        <v>5800790694870.1504</v>
      </c>
      <c r="V563">
        <v>5.6986000000000002E-2</v>
      </c>
      <c r="W563">
        <v>2.97E-3</v>
      </c>
      <c r="Y563" t="s">
        <v>0</v>
      </c>
      <c r="Z563">
        <v>2750</v>
      </c>
      <c r="AA563">
        <v>54</v>
      </c>
      <c r="AB563">
        <v>101388</v>
      </c>
      <c r="AC563">
        <v>0</v>
      </c>
      <c r="AD563">
        <v>2375773181531</v>
      </c>
      <c r="AE563">
        <v>5352159665.0500002</v>
      </c>
      <c r="AF563">
        <v>2363869081306</v>
      </c>
      <c r="AG563">
        <v>2369692969968.3501</v>
      </c>
      <c r="AH563">
        <v>3.2596E-2</v>
      </c>
      <c r="AI563">
        <v>3.6709999999999998E-3</v>
      </c>
    </row>
    <row r="564" spans="1:35" x14ac:dyDescent="0.35">
      <c r="A564" t="s">
        <v>2</v>
      </c>
      <c r="B564">
        <v>4000</v>
      </c>
      <c r="C564">
        <v>54</v>
      </c>
      <c r="D564">
        <v>867</v>
      </c>
      <c r="E564">
        <v>0</v>
      </c>
      <c r="F564">
        <v>11742139732</v>
      </c>
      <c r="G564">
        <v>22266943.030000001</v>
      </c>
      <c r="H564">
        <v>11641603460.790001</v>
      </c>
      <c r="I564">
        <v>11698681901.41</v>
      </c>
      <c r="J564">
        <v>7.7119999999999994E-2</v>
      </c>
      <c r="K564">
        <v>2.1443E-2</v>
      </c>
      <c r="M564" t="s">
        <v>0</v>
      </c>
      <c r="N564">
        <v>3250</v>
      </c>
      <c r="O564">
        <v>54</v>
      </c>
      <c r="P564">
        <v>150207</v>
      </c>
      <c r="Q564">
        <v>0</v>
      </c>
      <c r="R564">
        <v>3182278417999</v>
      </c>
      <c r="S564">
        <v>6675872263.6700001</v>
      </c>
      <c r="T564">
        <v>3158588024946.5098</v>
      </c>
      <c r="U564">
        <v>3172997538253.21</v>
      </c>
      <c r="V564">
        <v>6.2306E-2</v>
      </c>
      <c r="W564">
        <v>9.7789999999999995E-3</v>
      </c>
      <c r="Y564" t="s">
        <v>2</v>
      </c>
      <c r="Z564">
        <v>2750</v>
      </c>
      <c r="AA564">
        <v>54</v>
      </c>
      <c r="AB564">
        <v>9409</v>
      </c>
      <c r="AC564">
        <v>0</v>
      </c>
      <c r="AD564">
        <v>167667679341</v>
      </c>
      <c r="AE564">
        <v>376094679.55000001</v>
      </c>
      <c r="AF564">
        <v>166679296161</v>
      </c>
      <c r="AG564">
        <v>167170475326.01999</v>
      </c>
      <c r="AH564">
        <v>4.2951999999999997E-2</v>
      </c>
      <c r="AI564">
        <v>8.633E-3</v>
      </c>
    </row>
    <row r="565" spans="1:35" x14ac:dyDescent="0.35">
      <c r="A565" t="s">
        <v>1</v>
      </c>
      <c r="B565">
        <v>4000</v>
      </c>
      <c r="C565">
        <v>54</v>
      </c>
      <c r="D565">
        <v>1706</v>
      </c>
      <c r="E565">
        <v>0</v>
      </c>
      <c r="F565">
        <v>41204442259</v>
      </c>
      <c r="G565">
        <v>77537467.760000005</v>
      </c>
      <c r="H565">
        <v>40703292656.82</v>
      </c>
      <c r="I565">
        <v>40974688095.690002</v>
      </c>
      <c r="J565">
        <v>0.11662699999999999</v>
      </c>
      <c r="K565">
        <v>4.3439999999999999E-2</v>
      </c>
      <c r="M565" t="s">
        <v>0</v>
      </c>
      <c r="N565">
        <v>2750</v>
      </c>
      <c r="O565">
        <v>54</v>
      </c>
      <c r="P565">
        <v>115196</v>
      </c>
      <c r="Q565">
        <v>0</v>
      </c>
      <c r="R565">
        <v>2654674559622</v>
      </c>
      <c r="S565">
        <v>5988573943.3599997</v>
      </c>
      <c r="T565">
        <v>2635948503888.1602</v>
      </c>
      <c r="U565">
        <v>2647957809021.7202</v>
      </c>
      <c r="V565">
        <v>5.6082E-2</v>
      </c>
      <c r="W565">
        <v>3.287E-3</v>
      </c>
      <c r="Y565" t="s">
        <v>1</v>
      </c>
      <c r="Z565">
        <v>2750</v>
      </c>
      <c r="AA565">
        <v>54</v>
      </c>
      <c r="AB565">
        <v>98625</v>
      </c>
      <c r="AC565">
        <v>0</v>
      </c>
      <c r="AD565">
        <v>2955779221203</v>
      </c>
      <c r="AE565">
        <v>6653620978.29</v>
      </c>
      <c r="AF565">
        <v>2936085512896</v>
      </c>
      <c r="AG565">
        <v>2947031664288.4199</v>
      </c>
      <c r="AH565">
        <v>5.1674999999999999E-2</v>
      </c>
      <c r="AI565">
        <v>8.4679999999999998E-3</v>
      </c>
    </row>
    <row r="566" spans="1:35" x14ac:dyDescent="0.35">
      <c r="A566" t="s">
        <v>0</v>
      </c>
      <c r="B566">
        <v>4500</v>
      </c>
      <c r="C566">
        <v>60</v>
      </c>
      <c r="D566">
        <v>1260</v>
      </c>
      <c r="E566">
        <v>0</v>
      </c>
      <c r="F566">
        <v>23863896744</v>
      </c>
      <c r="G566">
        <v>42948377.579999998</v>
      </c>
      <c r="H566">
        <v>23668349602.77</v>
      </c>
      <c r="I566">
        <v>23777492199.450001</v>
      </c>
      <c r="J566">
        <v>7.4092000000000005E-2</v>
      </c>
      <c r="K566">
        <v>2.1634E-2</v>
      </c>
      <c r="M566" t="s">
        <v>2</v>
      </c>
      <c r="N566">
        <v>2750</v>
      </c>
      <c r="O566">
        <v>54</v>
      </c>
      <c r="P566">
        <v>10777</v>
      </c>
      <c r="Q566">
        <v>0</v>
      </c>
      <c r="R566">
        <v>186058970893</v>
      </c>
      <c r="S566">
        <v>417975260.89999998</v>
      </c>
      <c r="T566">
        <v>184683566590.31</v>
      </c>
      <c r="U566">
        <v>185563050402.54001</v>
      </c>
      <c r="V566">
        <v>6.0032000000000002E-2</v>
      </c>
      <c r="W566">
        <v>5.0159999999999996E-3</v>
      </c>
      <c r="Y566" t="s">
        <v>2</v>
      </c>
      <c r="Z566">
        <v>3500</v>
      </c>
      <c r="AA566">
        <v>54</v>
      </c>
      <c r="AB566">
        <v>8395</v>
      </c>
      <c r="AC566">
        <v>0</v>
      </c>
      <c r="AD566">
        <v>122675497894</v>
      </c>
      <c r="AE566">
        <v>253351148.21000001</v>
      </c>
      <c r="AF566">
        <v>121768592656</v>
      </c>
      <c r="AG566">
        <v>122140395956.14</v>
      </c>
      <c r="AH566">
        <v>6.2089999999999999E-2</v>
      </c>
      <c r="AI566">
        <v>2.7215E-2</v>
      </c>
    </row>
    <row r="567" spans="1:35" x14ac:dyDescent="0.35">
      <c r="A567" t="s">
        <v>0</v>
      </c>
      <c r="B567">
        <v>2750</v>
      </c>
      <c r="C567">
        <v>54</v>
      </c>
      <c r="D567">
        <v>96153</v>
      </c>
      <c r="E567">
        <v>0</v>
      </c>
      <c r="F567">
        <v>2257029425712</v>
      </c>
      <c r="G567">
        <v>5089502099.3699999</v>
      </c>
      <c r="H567">
        <v>2243329688173.02</v>
      </c>
      <c r="I567">
        <v>2251151594366.0801</v>
      </c>
      <c r="J567">
        <v>4.4830000000000002E-2</v>
      </c>
      <c r="K567">
        <v>4.1830000000000001E-3</v>
      </c>
      <c r="M567" t="s">
        <v>0</v>
      </c>
      <c r="N567">
        <v>2250</v>
      </c>
      <c r="O567">
        <v>60</v>
      </c>
      <c r="P567">
        <v>32183</v>
      </c>
      <c r="Q567">
        <v>0</v>
      </c>
      <c r="R567">
        <v>768949567196</v>
      </c>
      <c r="S567">
        <v>1891471276.3299999</v>
      </c>
      <c r="T567">
        <v>763555158247.34998</v>
      </c>
      <c r="U567">
        <v>766949437837.89001</v>
      </c>
      <c r="V567">
        <v>5.3317000000000003E-2</v>
      </c>
      <c r="W567">
        <v>1.694E-3</v>
      </c>
      <c r="Y567" t="s">
        <v>1</v>
      </c>
      <c r="Z567">
        <v>3500</v>
      </c>
      <c r="AA567">
        <v>54</v>
      </c>
      <c r="AB567">
        <v>16408</v>
      </c>
      <c r="AC567">
        <v>0</v>
      </c>
      <c r="AD567">
        <v>406854914833</v>
      </c>
      <c r="AE567">
        <v>825249539.45000005</v>
      </c>
      <c r="AF567">
        <v>402250608650</v>
      </c>
      <c r="AG567">
        <v>404468231070.96002</v>
      </c>
      <c r="AH567">
        <v>0.10594000000000001</v>
      </c>
      <c r="AI567">
        <v>4.5094000000000002E-2</v>
      </c>
    </row>
    <row r="568" spans="1:35" x14ac:dyDescent="0.35">
      <c r="A568" t="s">
        <v>2</v>
      </c>
      <c r="B568">
        <v>2750</v>
      </c>
      <c r="C568">
        <v>54</v>
      </c>
      <c r="D568">
        <v>9302</v>
      </c>
      <c r="E568">
        <v>0</v>
      </c>
      <c r="F568">
        <v>166023818102</v>
      </c>
      <c r="G568">
        <v>372791502.55000001</v>
      </c>
      <c r="H568">
        <v>164856023824.75</v>
      </c>
      <c r="I568">
        <v>165571052331.53</v>
      </c>
      <c r="J568">
        <v>5.5972000000000001E-2</v>
      </c>
      <c r="K568">
        <v>5.7650000000000002E-3</v>
      </c>
      <c r="M568" t="s">
        <v>0</v>
      </c>
      <c r="N568">
        <v>2250</v>
      </c>
      <c r="O568">
        <v>54</v>
      </c>
      <c r="P568">
        <v>18925</v>
      </c>
      <c r="Q568">
        <v>0</v>
      </c>
      <c r="R568">
        <v>476988346231</v>
      </c>
      <c r="S568">
        <v>1154595909.55</v>
      </c>
      <c r="T568">
        <v>473807034143.53998</v>
      </c>
      <c r="U568">
        <v>475770604914.73999</v>
      </c>
      <c r="V568">
        <v>4.9813000000000003E-2</v>
      </c>
      <c r="W568">
        <v>1.5870000000000001E-3</v>
      </c>
      <c r="Y568" t="s">
        <v>0</v>
      </c>
      <c r="Z568">
        <v>4000</v>
      </c>
      <c r="AA568">
        <v>54</v>
      </c>
      <c r="AB568">
        <v>17057</v>
      </c>
      <c r="AC568">
        <v>0</v>
      </c>
      <c r="AD568">
        <v>363308460788</v>
      </c>
      <c r="AE568">
        <v>685452712.55999994</v>
      </c>
      <c r="AF568">
        <v>361423368381</v>
      </c>
      <c r="AG568">
        <v>362208314044.21997</v>
      </c>
      <c r="AH568">
        <v>3.8912000000000002E-2</v>
      </c>
      <c r="AI568">
        <v>1.3612000000000001E-2</v>
      </c>
    </row>
    <row r="569" spans="1:35" x14ac:dyDescent="0.35">
      <c r="A569" t="s">
        <v>0</v>
      </c>
      <c r="B569">
        <v>3250</v>
      </c>
      <c r="C569">
        <v>54</v>
      </c>
      <c r="D569">
        <v>163010</v>
      </c>
      <c r="E569">
        <v>0</v>
      </c>
      <c r="F569">
        <v>3455385641596</v>
      </c>
      <c r="G569">
        <v>7255425180.0900002</v>
      </c>
      <c r="H569">
        <v>3430420124640.4902</v>
      </c>
      <c r="I569">
        <v>3443863980597.0801</v>
      </c>
      <c r="J569">
        <v>5.9799999999999999E-2</v>
      </c>
      <c r="K569">
        <v>1.4716E-2</v>
      </c>
      <c r="M569" t="s">
        <v>0</v>
      </c>
      <c r="N569">
        <v>4500</v>
      </c>
      <c r="O569">
        <v>54</v>
      </c>
      <c r="P569">
        <v>1903</v>
      </c>
      <c r="Q569">
        <v>0</v>
      </c>
      <c r="R569">
        <v>39294676993</v>
      </c>
      <c r="S569">
        <v>68252299.849999994</v>
      </c>
      <c r="T569">
        <v>38979599909.230003</v>
      </c>
      <c r="U569">
        <v>39150120195.129997</v>
      </c>
      <c r="V569">
        <v>7.2826000000000002E-2</v>
      </c>
      <c r="W569">
        <v>2.3054999999999999E-2</v>
      </c>
      <c r="Y569" t="s">
        <v>2</v>
      </c>
      <c r="Z569">
        <v>4000</v>
      </c>
      <c r="AA569">
        <v>54</v>
      </c>
      <c r="AB569">
        <v>904</v>
      </c>
      <c r="AC569">
        <v>0</v>
      </c>
      <c r="AD569">
        <v>11939588112</v>
      </c>
      <c r="AE569">
        <v>22685081.379999999</v>
      </c>
      <c r="AF569">
        <v>11881516009</v>
      </c>
      <c r="AG569">
        <v>11881516009</v>
      </c>
      <c r="AH569">
        <v>3.4992000000000002E-2</v>
      </c>
      <c r="AI569">
        <v>3.4992000000000002E-2</v>
      </c>
    </row>
    <row r="570" spans="1:35" x14ac:dyDescent="0.35">
      <c r="A570" t="s">
        <v>2</v>
      </c>
      <c r="B570">
        <v>3250</v>
      </c>
      <c r="C570">
        <v>54</v>
      </c>
      <c r="D570">
        <v>11979</v>
      </c>
      <c r="E570">
        <v>0</v>
      </c>
      <c r="F570">
        <v>191143965357</v>
      </c>
      <c r="G570">
        <v>402988252.05000001</v>
      </c>
      <c r="H570">
        <v>189726179886.94</v>
      </c>
      <c r="I570">
        <v>190569270873.26001</v>
      </c>
      <c r="J570">
        <v>6.1880999999999999E-2</v>
      </c>
      <c r="K570">
        <v>1.0727E-2</v>
      </c>
      <c r="M570" t="s">
        <v>1</v>
      </c>
      <c r="N570">
        <v>4500</v>
      </c>
      <c r="O570">
        <v>54</v>
      </c>
      <c r="P570">
        <v>200</v>
      </c>
      <c r="Q570">
        <v>0</v>
      </c>
      <c r="R570">
        <v>4315502708</v>
      </c>
      <c r="S570">
        <v>7586360.1699999999</v>
      </c>
      <c r="T570">
        <v>4249422247.8400002</v>
      </c>
      <c r="U570">
        <v>4279724653.1100001</v>
      </c>
      <c r="V570">
        <v>0.151059</v>
      </c>
      <c r="W570">
        <v>7.5635999999999995E-2</v>
      </c>
      <c r="Y570" t="s">
        <v>1</v>
      </c>
      <c r="Z570">
        <v>4000</v>
      </c>
      <c r="AA570">
        <v>54</v>
      </c>
      <c r="AB570">
        <v>1569</v>
      </c>
      <c r="AC570">
        <v>0</v>
      </c>
      <c r="AD570">
        <v>36182555055</v>
      </c>
      <c r="AE570">
        <v>68219450.629999995</v>
      </c>
      <c r="AF570">
        <v>35895810432</v>
      </c>
      <c r="AG570">
        <v>36019041947.230003</v>
      </c>
      <c r="AH570">
        <v>7.0114999999999997E-2</v>
      </c>
      <c r="AI570">
        <v>3.1150000000000001E-2</v>
      </c>
    </row>
    <row r="571" spans="1:35" x14ac:dyDescent="0.35">
      <c r="A571" t="s">
        <v>0</v>
      </c>
      <c r="B571">
        <v>2250</v>
      </c>
      <c r="C571">
        <v>54</v>
      </c>
      <c r="D571">
        <v>15273</v>
      </c>
      <c r="E571">
        <v>0</v>
      </c>
      <c r="F571">
        <v>395571784757</v>
      </c>
      <c r="G571">
        <v>955106890.36000001</v>
      </c>
      <c r="H571">
        <v>392949049319.41998</v>
      </c>
      <c r="I571">
        <v>394488511452.78998</v>
      </c>
      <c r="J571">
        <v>4.9431999999999997E-2</v>
      </c>
      <c r="K571">
        <v>3.8809999999999999E-3</v>
      </c>
      <c r="M571" t="s">
        <v>0</v>
      </c>
      <c r="N571">
        <v>4500</v>
      </c>
      <c r="O571">
        <v>48</v>
      </c>
      <c r="P571">
        <v>6719</v>
      </c>
      <c r="Q571">
        <v>0</v>
      </c>
      <c r="R571">
        <v>154025232472</v>
      </c>
      <c r="S571">
        <v>258218497.15000001</v>
      </c>
      <c r="T571">
        <v>152892779008.54999</v>
      </c>
      <c r="U571">
        <v>153496297702.42999</v>
      </c>
      <c r="V571">
        <v>6.6025E-2</v>
      </c>
      <c r="W571">
        <v>2.0889000000000001E-2</v>
      </c>
      <c r="Y571" t="s">
        <v>0</v>
      </c>
      <c r="Z571">
        <v>3000</v>
      </c>
      <c r="AA571">
        <v>48</v>
      </c>
      <c r="AB571">
        <v>57444</v>
      </c>
      <c r="AC571">
        <v>0</v>
      </c>
      <c r="AD571">
        <v>1315406520768</v>
      </c>
      <c r="AE571">
        <v>2796733366.6399999</v>
      </c>
      <c r="AF571">
        <v>1308660174000</v>
      </c>
      <c r="AG571">
        <v>1311974179128.3</v>
      </c>
      <c r="AH571">
        <v>3.5442000000000001E-2</v>
      </c>
      <c r="AI571">
        <v>5.7829999999999999E-3</v>
      </c>
    </row>
    <row r="572" spans="1:35" x14ac:dyDescent="0.35">
      <c r="A572" t="s">
        <v>1</v>
      </c>
      <c r="B572">
        <v>2250</v>
      </c>
      <c r="C572">
        <v>54</v>
      </c>
      <c r="D572">
        <v>84422</v>
      </c>
      <c r="E572">
        <v>0</v>
      </c>
      <c r="F572">
        <v>2604985213700</v>
      </c>
      <c r="G572">
        <v>6268055852.8699999</v>
      </c>
      <c r="H572">
        <v>2584186821986.1899</v>
      </c>
      <c r="I572">
        <v>2597355146090.5498</v>
      </c>
      <c r="J572">
        <v>6.4919000000000004E-2</v>
      </c>
      <c r="K572">
        <v>6.2560000000000003E-3</v>
      </c>
      <c r="M572" t="s">
        <v>1</v>
      </c>
      <c r="N572">
        <v>4500</v>
      </c>
      <c r="O572">
        <v>48</v>
      </c>
      <c r="P572">
        <v>805</v>
      </c>
      <c r="Q572">
        <v>0</v>
      </c>
      <c r="R572">
        <v>20269224251</v>
      </c>
      <c r="S572">
        <v>33988593.329999998</v>
      </c>
      <c r="T572">
        <v>19980942402.23</v>
      </c>
      <c r="U572">
        <v>20131417346.389999</v>
      </c>
      <c r="V572">
        <v>0.14058399999999999</v>
      </c>
      <c r="W572">
        <v>5.9761000000000002E-2</v>
      </c>
      <c r="Y572" t="s">
        <v>2</v>
      </c>
      <c r="Z572">
        <v>3000</v>
      </c>
      <c r="AA572">
        <v>48</v>
      </c>
      <c r="AB572">
        <v>5139</v>
      </c>
      <c r="AC572">
        <v>0</v>
      </c>
      <c r="AD572">
        <v>92189128439</v>
      </c>
      <c r="AE572">
        <v>196042464.77000001</v>
      </c>
      <c r="AF572">
        <v>91627430588</v>
      </c>
      <c r="AG572">
        <v>91948502564.460007</v>
      </c>
      <c r="AH572">
        <v>4.6572000000000002E-2</v>
      </c>
      <c r="AI572">
        <v>5.7879999999999997E-3</v>
      </c>
    </row>
    <row r="573" spans="1:35" x14ac:dyDescent="0.35">
      <c r="A573" t="s">
        <v>1</v>
      </c>
      <c r="B573">
        <v>2750</v>
      </c>
      <c r="C573">
        <v>54</v>
      </c>
      <c r="D573">
        <v>93770</v>
      </c>
      <c r="E573">
        <v>0</v>
      </c>
      <c r="F573">
        <v>2821769302734</v>
      </c>
      <c r="G573">
        <v>6354222922.6000004</v>
      </c>
      <c r="H573">
        <v>2796845874303.52</v>
      </c>
      <c r="I573">
        <v>2812783222336.4502</v>
      </c>
      <c r="J573">
        <v>7.6172000000000004E-2</v>
      </c>
      <c r="K573">
        <v>1.1135000000000001E-2</v>
      </c>
      <c r="M573" t="s">
        <v>2</v>
      </c>
      <c r="N573">
        <v>2250</v>
      </c>
      <c r="O573">
        <v>54</v>
      </c>
      <c r="P573">
        <v>1877</v>
      </c>
      <c r="Q573">
        <v>0</v>
      </c>
      <c r="R573">
        <v>34271688593</v>
      </c>
      <c r="S573">
        <v>82586407.219999999</v>
      </c>
      <c r="T573">
        <v>34018179523.279999</v>
      </c>
      <c r="U573">
        <v>34177124508.759998</v>
      </c>
      <c r="V573">
        <v>5.8233E-2</v>
      </c>
      <c r="W573">
        <v>4.1859999999999996E-3</v>
      </c>
      <c r="Y573" t="s">
        <v>0</v>
      </c>
      <c r="Z573">
        <v>3250</v>
      </c>
      <c r="AA573">
        <v>54</v>
      </c>
      <c r="AB573">
        <v>159285</v>
      </c>
      <c r="AC573">
        <v>0</v>
      </c>
      <c r="AD573">
        <v>3401572257942</v>
      </c>
      <c r="AE573">
        <v>7139476024.4700003</v>
      </c>
      <c r="AF573">
        <v>3384167495248.9902</v>
      </c>
      <c r="AG573">
        <v>3393061971954.8599</v>
      </c>
      <c r="AH573">
        <v>3.5618999999999998E-2</v>
      </c>
      <c r="AI573">
        <v>4.8250000000000003E-3</v>
      </c>
    </row>
    <row r="574" spans="1:35" x14ac:dyDescent="0.35">
      <c r="A574" t="s">
        <v>0</v>
      </c>
      <c r="B574">
        <v>2500</v>
      </c>
      <c r="C574">
        <v>48</v>
      </c>
      <c r="D574">
        <v>7046</v>
      </c>
      <c r="E574">
        <v>0</v>
      </c>
      <c r="F574">
        <v>189207943075</v>
      </c>
      <c r="G574">
        <v>432952884.56999999</v>
      </c>
      <c r="H574">
        <v>187986230610.03</v>
      </c>
      <c r="I574">
        <v>188709803166.69</v>
      </c>
      <c r="J574">
        <v>4.8894E-2</v>
      </c>
      <c r="K574">
        <v>4.1260000000000003E-3</v>
      </c>
      <c r="M574" t="s">
        <v>1</v>
      </c>
      <c r="N574">
        <v>2750</v>
      </c>
      <c r="O574">
        <v>54</v>
      </c>
      <c r="P574">
        <v>104922</v>
      </c>
      <c r="Q574">
        <v>0</v>
      </c>
      <c r="R574">
        <v>3065025383585</v>
      </c>
      <c r="S574">
        <v>6898006766.6000004</v>
      </c>
      <c r="T574">
        <v>3038881714602.9702</v>
      </c>
      <c r="U574">
        <v>3055805156822.54</v>
      </c>
      <c r="V574">
        <v>7.2801000000000005E-2</v>
      </c>
      <c r="W574">
        <v>9.0539999999999995E-3</v>
      </c>
      <c r="Y574" t="s">
        <v>2</v>
      </c>
      <c r="Z574">
        <v>3250</v>
      </c>
      <c r="AA574">
        <v>54</v>
      </c>
      <c r="AB574">
        <v>12788</v>
      </c>
      <c r="AC574">
        <v>0</v>
      </c>
      <c r="AD574">
        <v>203510971997</v>
      </c>
      <c r="AE574">
        <v>429145030.67000002</v>
      </c>
      <c r="AF574">
        <v>202221986001</v>
      </c>
      <c r="AG574">
        <v>202792903007.03</v>
      </c>
      <c r="AH574">
        <v>4.9539E-2</v>
      </c>
      <c r="AI574">
        <v>1.6903999999999999E-2</v>
      </c>
    </row>
    <row r="575" spans="1:35" x14ac:dyDescent="0.35">
      <c r="A575" t="s">
        <v>2</v>
      </c>
      <c r="B575">
        <v>2500</v>
      </c>
      <c r="C575">
        <v>48</v>
      </c>
      <c r="D575">
        <v>629</v>
      </c>
      <c r="E575">
        <v>0</v>
      </c>
      <c r="F575">
        <v>11867787755</v>
      </c>
      <c r="G575">
        <v>27141112.920000002</v>
      </c>
      <c r="H575">
        <v>11781324372.620001</v>
      </c>
      <c r="I575">
        <v>11831458462.99</v>
      </c>
      <c r="J575">
        <v>5.8361000000000003E-2</v>
      </c>
      <c r="K575">
        <v>9.2510000000000005E-3</v>
      </c>
      <c r="M575" t="s">
        <v>1</v>
      </c>
      <c r="N575">
        <v>3500</v>
      </c>
      <c r="O575">
        <v>54</v>
      </c>
      <c r="P575">
        <v>12720</v>
      </c>
      <c r="Q575">
        <v>0</v>
      </c>
      <c r="R575">
        <v>312880197472</v>
      </c>
      <c r="S575">
        <v>634465336.99000001</v>
      </c>
      <c r="T575">
        <v>309129649476.90002</v>
      </c>
      <c r="U575">
        <v>311375715958.28003</v>
      </c>
      <c r="V575">
        <v>0.113178</v>
      </c>
      <c r="W575">
        <v>3.2862000000000002E-2</v>
      </c>
      <c r="Y575" t="s">
        <v>0</v>
      </c>
      <c r="Z575">
        <v>2250</v>
      </c>
      <c r="AA575">
        <v>54</v>
      </c>
      <c r="AB575">
        <v>15245</v>
      </c>
      <c r="AC575">
        <v>0</v>
      </c>
      <c r="AD575">
        <v>396724901806</v>
      </c>
      <c r="AE575">
        <v>956704300.55999994</v>
      </c>
      <c r="AF575">
        <v>394785536450</v>
      </c>
      <c r="AG575">
        <v>395680348749.48999</v>
      </c>
      <c r="AH575">
        <v>2.9322000000000001E-2</v>
      </c>
      <c r="AI575">
        <v>2.6540000000000001E-3</v>
      </c>
    </row>
    <row r="576" spans="1:35" x14ac:dyDescent="0.35">
      <c r="A576" t="s">
        <v>1</v>
      </c>
      <c r="B576">
        <v>2500</v>
      </c>
      <c r="C576">
        <v>48</v>
      </c>
      <c r="D576">
        <v>20077</v>
      </c>
      <c r="E576">
        <v>0</v>
      </c>
      <c r="F576">
        <v>661805844194</v>
      </c>
      <c r="G576">
        <v>1516130060.48</v>
      </c>
      <c r="H576">
        <v>656036343398.78003</v>
      </c>
      <c r="I576">
        <v>659772318041.04004</v>
      </c>
      <c r="J576">
        <v>7.4454000000000006E-2</v>
      </c>
      <c r="K576">
        <v>9.3410000000000003E-3</v>
      </c>
      <c r="M576" t="s">
        <v>0</v>
      </c>
      <c r="N576">
        <v>4000</v>
      </c>
      <c r="O576">
        <v>54</v>
      </c>
      <c r="P576">
        <v>16591</v>
      </c>
      <c r="Q576">
        <v>0</v>
      </c>
      <c r="R576">
        <v>343612158597</v>
      </c>
      <c r="S576">
        <v>646997387.90999997</v>
      </c>
      <c r="T576">
        <v>341107866525.77002</v>
      </c>
      <c r="U576">
        <v>342620226123.62</v>
      </c>
      <c r="V576">
        <v>6.2968999999999997E-2</v>
      </c>
      <c r="W576">
        <v>1.1979999999999999E-2</v>
      </c>
      <c r="Y576" t="s">
        <v>1</v>
      </c>
      <c r="Z576">
        <v>2250</v>
      </c>
      <c r="AA576">
        <v>54</v>
      </c>
      <c r="AB576">
        <v>89770</v>
      </c>
      <c r="AC576">
        <v>0</v>
      </c>
      <c r="AD576">
        <v>2748782915268</v>
      </c>
      <c r="AE576">
        <v>6610215495.1000004</v>
      </c>
      <c r="AF576">
        <v>2732357779404</v>
      </c>
      <c r="AG576">
        <v>2740485331431.4199</v>
      </c>
      <c r="AH576">
        <v>4.2015999999999998E-2</v>
      </c>
      <c r="AI576">
        <v>7.3419999999999996E-3</v>
      </c>
    </row>
    <row r="577" spans="1:35" x14ac:dyDescent="0.35">
      <c r="A577" t="s">
        <v>2</v>
      </c>
      <c r="B577">
        <v>3000</v>
      </c>
      <c r="C577">
        <v>48</v>
      </c>
      <c r="D577">
        <v>3471</v>
      </c>
      <c r="E577">
        <v>0</v>
      </c>
      <c r="F577">
        <v>62320297608</v>
      </c>
      <c r="G577">
        <v>132692872</v>
      </c>
      <c r="H577">
        <v>61894232658.610001</v>
      </c>
      <c r="I577">
        <v>62140987832.699997</v>
      </c>
      <c r="J577">
        <v>5.5050000000000002E-2</v>
      </c>
      <c r="K577">
        <v>8.9390000000000008E-3</v>
      </c>
      <c r="M577" t="s">
        <v>2</v>
      </c>
      <c r="N577">
        <v>4000</v>
      </c>
      <c r="O577">
        <v>54</v>
      </c>
      <c r="P577">
        <v>960</v>
      </c>
      <c r="Q577">
        <v>0</v>
      </c>
      <c r="R577">
        <v>12669637838</v>
      </c>
      <c r="S577">
        <v>24067594.960000001</v>
      </c>
      <c r="T577">
        <v>12554207890.52</v>
      </c>
      <c r="U577">
        <v>12625432254.610001</v>
      </c>
      <c r="V577">
        <v>8.3183000000000007E-2</v>
      </c>
      <c r="W577">
        <v>1.8908000000000001E-2</v>
      </c>
      <c r="Y577" t="s">
        <v>2</v>
      </c>
      <c r="Z577">
        <v>2250</v>
      </c>
      <c r="AA577">
        <v>54</v>
      </c>
      <c r="AB577">
        <v>1074</v>
      </c>
      <c r="AC577">
        <v>0</v>
      </c>
      <c r="AD577">
        <v>20208592483</v>
      </c>
      <c r="AE577">
        <v>48357722.030000001</v>
      </c>
      <c r="AF577">
        <v>20119404120</v>
      </c>
      <c r="AG577">
        <v>20158881819.32</v>
      </c>
      <c r="AH577">
        <v>2.3977999999999999E-2</v>
      </c>
      <c r="AI577">
        <v>8.03E-4</v>
      </c>
    </row>
    <row r="578" spans="1:35" x14ac:dyDescent="0.35">
      <c r="A578" t="s">
        <v>0</v>
      </c>
      <c r="B578">
        <v>3000</v>
      </c>
      <c r="C578">
        <v>48</v>
      </c>
      <c r="D578">
        <v>36437</v>
      </c>
      <c r="E578">
        <v>0</v>
      </c>
      <c r="F578">
        <v>857639754499</v>
      </c>
      <c r="G578">
        <v>1825183278.77</v>
      </c>
      <c r="H578">
        <v>851960914380.77002</v>
      </c>
      <c r="I578">
        <v>855253404499.93005</v>
      </c>
      <c r="J578">
        <v>5.2607000000000001E-2</v>
      </c>
      <c r="K578">
        <v>7.8239999999999994E-3</v>
      </c>
      <c r="M578" t="s">
        <v>1</v>
      </c>
      <c r="N578">
        <v>4000</v>
      </c>
      <c r="O578">
        <v>54</v>
      </c>
      <c r="P578">
        <v>1508</v>
      </c>
      <c r="Q578">
        <v>0</v>
      </c>
      <c r="R578">
        <v>33681590345</v>
      </c>
      <c r="S578">
        <v>63508608.490000002</v>
      </c>
      <c r="T578">
        <v>33244159202.52</v>
      </c>
      <c r="U578">
        <v>33472611183.68</v>
      </c>
      <c r="V578">
        <v>0.12537999999999999</v>
      </c>
      <c r="W578">
        <v>5.0613999999999999E-2</v>
      </c>
      <c r="Y578" t="s">
        <v>0</v>
      </c>
      <c r="Z578">
        <v>4000</v>
      </c>
      <c r="AA578">
        <v>48</v>
      </c>
      <c r="AB578">
        <v>40201</v>
      </c>
      <c r="AC578">
        <v>0</v>
      </c>
      <c r="AD578">
        <v>932320388135</v>
      </c>
      <c r="AE578">
        <v>1693738140.1099999</v>
      </c>
      <c r="AF578">
        <v>927401087021</v>
      </c>
      <c r="AG578">
        <v>930145472658.30005</v>
      </c>
      <c r="AH578">
        <v>4.0736000000000001E-2</v>
      </c>
      <c r="AI578">
        <v>6.1760000000000001E-3</v>
      </c>
    </row>
    <row r="579" spans="1:35" x14ac:dyDescent="0.35">
      <c r="A579" t="s">
        <v>2</v>
      </c>
      <c r="B579">
        <v>3500</v>
      </c>
      <c r="C579">
        <v>48</v>
      </c>
      <c r="D579">
        <v>4699</v>
      </c>
      <c r="E579">
        <v>0</v>
      </c>
      <c r="F579">
        <v>77586891366</v>
      </c>
      <c r="G579">
        <v>153820477.96000001</v>
      </c>
      <c r="H579">
        <v>77036568891.919998</v>
      </c>
      <c r="I579">
        <v>77344046990.809998</v>
      </c>
      <c r="J579">
        <v>5.9630000000000002E-2</v>
      </c>
      <c r="K579">
        <v>1.3682E-2</v>
      </c>
      <c r="M579" t="s">
        <v>0</v>
      </c>
      <c r="N579">
        <v>3000</v>
      </c>
      <c r="O579">
        <v>48</v>
      </c>
      <c r="P579">
        <v>121401</v>
      </c>
      <c r="Q579">
        <v>0</v>
      </c>
      <c r="R579">
        <v>2616195672071</v>
      </c>
      <c r="S579">
        <v>5563473289.5200005</v>
      </c>
      <c r="T579">
        <v>2596894909127.3501</v>
      </c>
      <c r="U579">
        <v>2608412625365.3301</v>
      </c>
      <c r="V579">
        <v>6.1221999999999999E-2</v>
      </c>
      <c r="W579">
        <v>1.0133E-2</v>
      </c>
      <c r="Y579" t="s">
        <v>2</v>
      </c>
      <c r="Z579">
        <v>2500</v>
      </c>
      <c r="AA579">
        <v>48</v>
      </c>
      <c r="AB579">
        <v>1027</v>
      </c>
      <c r="AC579">
        <v>0</v>
      </c>
      <c r="AD579">
        <v>19617176773</v>
      </c>
      <c r="AE579">
        <v>44807734.960000001</v>
      </c>
      <c r="AF579">
        <v>19510827560</v>
      </c>
      <c r="AG579">
        <v>19554267137.369999</v>
      </c>
      <c r="AH579">
        <v>3.7003000000000001E-2</v>
      </c>
      <c r="AI579">
        <v>1.1017000000000001E-2</v>
      </c>
    </row>
    <row r="580" spans="1:35" x14ac:dyDescent="0.35">
      <c r="A580" t="s">
        <v>0</v>
      </c>
      <c r="B580">
        <v>3500</v>
      </c>
      <c r="C580">
        <v>48</v>
      </c>
      <c r="D580">
        <v>44721</v>
      </c>
      <c r="E580">
        <v>0</v>
      </c>
      <c r="F580">
        <v>1018038705600</v>
      </c>
      <c r="G580">
        <v>2002151743.02</v>
      </c>
      <c r="H580">
        <v>1011195049163.67</v>
      </c>
      <c r="I580">
        <v>1015000739433.11</v>
      </c>
      <c r="J580">
        <v>5.5599000000000003E-2</v>
      </c>
      <c r="K580">
        <v>1.2141000000000001E-2</v>
      </c>
      <c r="M580" t="s">
        <v>2</v>
      </c>
      <c r="N580">
        <v>3000</v>
      </c>
      <c r="O580">
        <v>48</v>
      </c>
      <c r="P580">
        <v>8634</v>
      </c>
      <c r="Q580">
        <v>0</v>
      </c>
      <c r="R580">
        <v>152389474353</v>
      </c>
      <c r="S580">
        <v>323236408.93000001</v>
      </c>
      <c r="T580">
        <v>151241740386.70999</v>
      </c>
      <c r="U580">
        <v>151956714911.89001</v>
      </c>
      <c r="V580">
        <v>6.3028000000000001E-2</v>
      </c>
      <c r="W580">
        <v>8.5900000000000004E-3</v>
      </c>
      <c r="Y580" t="s">
        <v>1</v>
      </c>
      <c r="Z580">
        <v>2500</v>
      </c>
      <c r="AA580">
        <v>48</v>
      </c>
      <c r="AB580">
        <v>30176</v>
      </c>
      <c r="AC580">
        <v>0</v>
      </c>
      <c r="AD580">
        <v>978389887429</v>
      </c>
      <c r="AE580">
        <v>2238905606.79</v>
      </c>
      <c r="AF580">
        <v>972713960498</v>
      </c>
      <c r="AG580">
        <v>975474153906.73999</v>
      </c>
      <c r="AH580">
        <v>4.1349999999999998E-2</v>
      </c>
      <c r="AI580">
        <v>8.2699999999999996E-3</v>
      </c>
    </row>
    <row r="581" spans="1:35" x14ac:dyDescent="0.35">
      <c r="A581" t="s">
        <v>1</v>
      </c>
      <c r="B581">
        <v>3500</v>
      </c>
      <c r="C581">
        <v>48</v>
      </c>
      <c r="D581">
        <v>23958</v>
      </c>
      <c r="E581">
        <v>0</v>
      </c>
      <c r="F581">
        <v>759091584115</v>
      </c>
      <c r="G581">
        <v>1492740972.75</v>
      </c>
      <c r="H581">
        <v>751290782311.02002</v>
      </c>
      <c r="I581">
        <v>755954587499.67004</v>
      </c>
      <c r="J581">
        <v>9.5285999999999996E-2</v>
      </c>
      <c r="K581">
        <v>2.5686E-2</v>
      </c>
      <c r="M581" t="s">
        <v>1</v>
      </c>
      <c r="N581">
        <v>3000</v>
      </c>
      <c r="O581">
        <v>48</v>
      </c>
      <c r="P581">
        <v>56319</v>
      </c>
      <c r="Q581">
        <v>0</v>
      </c>
      <c r="R581">
        <v>1744841350920</v>
      </c>
      <c r="S581">
        <v>3704213324.6700001</v>
      </c>
      <c r="T581">
        <v>1728083242073.99</v>
      </c>
      <c r="U581">
        <v>1738431734148.3201</v>
      </c>
      <c r="V581">
        <v>8.6174000000000001E-2</v>
      </c>
      <c r="W581">
        <v>1.8447999999999999E-2</v>
      </c>
      <c r="Y581" t="s">
        <v>0</v>
      </c>
      <c r="Z581">
        <v>2500</v>
      </c>
      <c r="AA581">
        <v>48</v>
      </c>
      <c r="AB581">
        <v>11431</v>
      </c>
      <c r="AC581">
        <v>0</v>
      </c>
      <c r="AD581">
        <v>304635632407</v>
      </c>
      <c r="AE581">
        <v>696853956.46000004</v>
      </c>
      <c r="AF581">
        <v>303234220245</v>
      </c>
      <c r="AG581">
        <v>303933115128.85999</v>
      </c>
      <c r="AH581">
        <v>2.7403E-2</v>
      </c>
      <c r="AI581">
        <v>2.23E-4</v>
      </c>
    </row>
    <row r="582" spans="1:35" x14ac:dyDescent="0.35">
      <c r="A582" t="s">
        <v>1</v>
      </c>
      <c r="B582">
        <v>3000</v>
      </c>
      <c r="C582">
        <v>48</v>
      </c>
      <c r="D582">
        <v>30800</v>
      </c>
      <c r="E582">
        <v>0</v>
      </c>
      <c r="F582">
        <v>1013757216882</v>
      </c>
      <c r="G582">
        <v>2157044036.0900002</v>
      </c>
      <c r="H582">
        <v>1004938311077.75</v>
      </c>
      <c r="I582">
        <v>1010402605203.35</v>
      </c>
      <c r="J582">
        <v>7.6068999999999998E-2</v>
      </c>
      <c r="K582">
        <v>1.4083999999999999E-2</v>
      </c>
      <c r="M582" t="s">
        <v>2</v>
      </c>
      <c r="N582">
        <v>3500</v>
      </c>
      <c r="O582">
        <v>48</v>
      </c>
      <c r="P582">
        <v>7934</v>
      </c>
      <c r="Q582">
        <v>0</v>
      </c>
      <c r="R582">
        <v>121856875279</v>
      </c>
      <c r="S582">
        <v>244908917.28999999</v>
      </c>
      <c r="T582">
        <v>120852411487.39999</v>
      </c>
      <c r="U582">
        <v>121460390250.2</v>
      </c>
      <c r="V582">
        <v>7.2286000000000003E-2</v>
      </c>
      <c r="W582">
        <v>1.4825E-2</v>
      </c>
      <c r="Y582" t="s">
        <v>2</v>
      </c>
      <c r="Z582">
        <v>3500</v>
      </c>
      <c r="AA582">
        <v>48</v>
      </c>
      <c r="AB582">
        <v>5958</v>
      </c>
      <c r="AC582">
        <v>0</v>
      </c>
      <c r="AD582">
        <v>96840302789</v>
      </c>
      <c r="AE582">
        <v>191964052.61000001</v>
      </c>
      <c r="AF582">
        <v>96291602793</v>
      </c>
      <c r="AG582">
        <v>96582803665.869995</v>
      </c>
      <c r="AH582">
        <v>4.3319999999999997E-2</v>
      </c>
      <c r="AI582">
        <v>8.0909999999999992E-3</v>
      </c>
    </row>
    <row r="583" spans="1:35" x14ac:dyDescent="0.35">
      <c r="A583" t="s">
        <v>0</v>
      </c>
      <c r="B583">
        <v>4000</v>
      </c>
      <c r="C583">
        <v>48</v>
      </c>
      <c r="D583">
        <v>39958</v>
      </c>
      <c r="E583">
        <v>0</v>
      </c>
      <c r="F583">
        <v>933135562158</v>
      </c>
      <c r="G583">
        <v>1698914094.4100001</v>
      </c>
      <c r="H583">
        <v>926851647555.88</v>
      </c>
      <c r="I583">
        <v>930344568097.68994</v>
      </c>
      <c r="J583">
        <v>5.7395000000000002E-2</v>
      </c>
      <c r="K583">
        <v>1.3953999999999999E-2</v>
      </c>
      <c r="M583" t="s">
        <v>0</v>
      </c>
      <c r="N583">
        <v>3500</v>
      </c>
      <c r="O583">
        <v>48</v>
      </c>
      <c r="P583">
        <v>59007</v>
      </c>
      <c r="Q583">
        <v>0</v>
      </c>
      <c r="R583">
        <v>1276527648190</v>
      </c>
      <c r="S583">
        <v>2504381600.4899998</v>
      </c>
      <c r="T583">
        <v>1267380667062.8999</v>
      </c>
      <c r="U583">
        <v>1272646783864.98</v>
      </c>
      <c r="V583">
        <v>6.0686999999999998E-2</v>
      </c>
      <c r="W583">
        <v>1.2862999999999999E-2</v>
      </c>
      <c r="Y583" t="s">
        <v>0</v>
      </c>
      <c r="Z583">
        <v>3500</v>
      </c>
      <c r="AA583">
        <v>48</v>
      </c>
      <c r="AB583">
        <v>53492</v>
      </c>
      <c r="AC583">
        <v>0</v>
      </c>
      <c r="AD583">
        <v>1207519003283</v>
      </c>
      <c r="AE583">
        <v>2371236150.0100002</v>
      </c>
      <c r="AF583">
        <v>1201148365372</v>
      </c>
      <c r="AG583">
        <v>1204588985949.2</v>
      </c>
      <c r="AH583">
        <v>3.9029000000000001E-2</v>
      </c>
      <c r="AI583">
        <v>5.5389999999999997E-3</v>
      </c>
    </row>
    <row r="584" spans="1:35" x14ac:dyDescent="0.35">
      <c r="A584" t="s">
        <v>1</v>
      </c>
      <c r="B584">
        <v>4000</v>
      </c>
      <c r="C584">
        <v>48</v>
      </c>
      <c r="D584">
        <v>17830</v>
      </c>
      <c r="E584">
        <v>0</v>
      </c>
      <c r="F584">
        <v>562154104203</v>
      </c>
      <c r="G584">
        <v>1019574381.46</v>
      </c>
      <c r="H584">
        <v>556197766053.93005</v>
      </c>
      <c r="I584">
        <v>559570412978.27002</v>
      </c>
      <c r="J584">
        <v>0.100439</v>
      </c>
      <c r="K584">
        <v>3.2882000000000002E-2</v>
      </c>
      <c r="M584" t="s">
        <v>1</v>
      </c>
      <c r="N584">
        <v>3500</v>
      </c>
      <c r="O584">
        <v>48</v>
      </c>
      <c r="P584">
        <v>22933</v>
      </c>
      <c r="Q584">
        <v>0</v>
      </c>
      <c r="R584">
        <v>616537993866</v>
      </c>
      <c r="S584">
        <v>1216046260.1500001</v>
      </c>
      <c r="T584">
        <v>608801377636.10999</v>
      </c>
      <c r="U584">
        <v>613381021337.71997</v>
      </c>
      <c r="V584">
        <v>0.119785</v>
      </c>
      <c r="W584">
        <v>3.7130000000000003E-2</v>
      </c>
      <c r="Y584" t="s">
        <v>1</v>
      </c>
      <c r="Z584">
        <v>3500</v>
      </c>
      <c r="AA584">
        <v>48</v>
      </c>
      <c r="AB584">
        <v>26377</v>
      </c>
      <c r="AC584">
        <v>0</v>
      </c>
      <c r="AD584">
        <v>812046873653</v>
      </c>
      <c r="AE584">
        <v>1594461671.9000001</v>
      </c>
      <c r="AF584">
        <v>806457538164</v>
      </c>
      <c r="AG584">
        <v>809147873129.07996</v>
      </c>
      <c r="AH584">
        <v>5.7463E-2</v>
      </c>
      <c r="AI584">
        <v>1.9108E-2</v>
      </c>
    </row>
    <row r="585" spans="1:35" x14ac:dyDescent="0.35">
      <c r="A585" t="s">
        <v>1</v>
      </c>
      <c r="B585">
        <v>5000</v>
      </c>
      <c r="C585">
        <v>48</v>
      </c>
      <c r="D585">
        <v>6050</v>
      </c>
      <c r="E585">
        <v>0</v>
      </c>
      <c r="F585">
        <v>202252292899</v>
      </c>
      <c r="G585">
        <v>312064242.55000001</v>
      </c>
      <c r="H585">
        <v>200181433427.72</v>
      </c>
      <c r="I585">
        <v>201310675649.89999</v>
      </c>
      <c r="J585">
        <v>9.9502999999999994E-2</v>
      </c>
      <c r="K585">
        <v>3.6720000000000003E-2</v>
      </c>
      <c r="M585" t="s">
        <v>0</v>
      </c>
      <c r="N585">
        <v>4000</v>
      </c>
      <c r="O585">
        <v>48</v>
      </c>
      <c r="P585">
        <v>23100</v>
      </c>
      <c r="Q585">
        <v>0</v>
      </c>
      <c r="R585">
        <v>519422817676</v>
      </c>
      <c r="S585">
        <v>945384377.86000001</v>
      </c>
      <c r="T585">
        <v>515704152574.5</v>
      </c>
      <c r="U585">
        <v>517849204239.40997</v>
      </c>
      <c r="V585">
        <v>6.2222E-2</v>
      </c>
      <c r="W585">
        <v>1.4418E-2</v>
      </c>
      <c r="Y585" t="s">
        <v>1</v>
      </c>
      <c r="Z585">
        <v>3000</v>
      </c>
      <c r="AA585">
        <v>48</v>
      </c>
      <c r="AB585">
        <v>41317</v>
      </c>
      <c r="AC585">
        <v>0</v>
      </c>
      <c r="AD585">
        <v>1335312676953</v>
      </c>
      <c r="AE585">
        <v>2837742515.2800002</v>
      </c>
      <c r="AF585">
        <v>1326384366167</v>
      </c>
      <c r="AG585">
        <v>1331170838860.2</v>
      </c>
      <c r="AH585">
        <v>5.3380999999999998E-2</v>
      </c>
      <c r="AI585">
        <v>1.1657000000000001E-2</v>
      </c>
    </row>
    <row r="586" spans="1:35" x14ac:dyDescent="0.35">
      <c r="A586" t="s">
        <v>0</v>
      </c>
      <c r="B586">
        <v>5000</v>
      </c>
      <c r="C586">
        <v>48</v>
      </c>
      <c r="D586">
        <v>15508</v>
      </c>
      <c r="E586">
        <v>0</v>
      </c>
      <c r="F586">
        <v>391882564793</v>
      </c>
      <c r="G586">
        <v>604451891</v>
      </c>
      <c r="H586">
        <v>389299678516.03998</v>
      </c>
      <c r="I586">
        <v>390621874802.88</v>
      </c>
      <c r="J586">
        <v>5.8928000000000001E-2</v>
      </c>
      <c r="K586">
        <v>1.9911000000000002E-2</v>
      </c>
      <c r="M586" t="s">
        <v>2</v>
      </c>
      <c r="N586">
        <v>4000</v>
      </c>
      <c r="O586">
        <v>48</v>
      </c>
      <c r="P586">
        <v>1531</v>
      </c>
      <c r="Q586">
        <v>0</v>
      </c>
      <c r="R586">
        <v>22395667331</v>
      </c>
      <c r="S586">
        <v>41030221.75</v>
      </c>
      <c r="T586">
        <v>22205253161.259998</v>
      </c>
      <c r="U586">
        <v>22318842003.84</v>
      </c>
      <c r="V586">
        <v>7.7170000000000002E-2</v>
      </c>
      <c r="W586">
        <v>1.9012000000000001E-2</v>
      </c>
      <c r="Y586" t="s">
        <v>1</v>
      </c>
      <c r="Z586">
        <v>4000</v>
      </c>
      <c r="AA586">
        <v>48</v>
      </c>
      <c r="AB586">
        <v>15544</v>
      </c>
      <c r="AC586">
        <v>0</v>
      </c>
      <c r="AD586">
        <v>478593618636</v>
      </c>
      <c r="AE586">
        <v>865737668.63999999</v>
      </c>
      <c r="AF586">
        <v>474131635192</v>
      </c>
      <c r="AG586">
        <v>476387564288.63</v>
      </c>
      <c r="AH586">
        <v>8.6536000000000002E-2</v>
      </c>
      <c r="AI586">
        <v>3.3093999999999998E-2</v>
      </c>
    </row>
    <row r="587" spans="1:35" x14ac:dyDescent="0.35">
      <c r="A587" t="s">
        <v>2</v>
      </c>
      <c r="B587">
        <v>5000</v>
      </c>
      <c r="C587">
        <v>48</v>
      </c>
      <c r="D587">
        <v>915</v>
      </c>
      <c r="E587">
        <v>0</v>
      </c>
      <c r="F587">
        <v>14748727798</v>
      </c>
      <c r="G587">
        <v>22799876.760000002</v>
      </c>
      <c r="H587">
        <v>14646032951.190001</v>
      </c>
      <c r="I587">
        <v>14704172969.719999</v>
      </c>
      <c r="J587">
        <v>6.3103000000000006E-2</v>
      </c>
      <c r="K587">
        <v>1.7558000000000001E-2</v>
      </c>
      <c r="M587" t="s">
        <v>2</v>
      </c>
      <c r="N587">
        <v>3250</v>
      </c>
      <c r="O587">
        <v>54</v>
      </c>
      <c r="P587">
        <v>13394</v>
      </c>
      <c r="Q587">
        <v>0</v>
      </c>
      <c r="R587">
        <v>211120799823</v>
      </c>
      <c r="S587">
        <v>445197214.66000003</v>
      </c>
      <c r="T587">
        <v>209456683362.42001</v>
      </c>
      <c r="U587">
        <v>210505755780.26001</v>
      </c>
      <c r="V587">
        <v>6.7125000000000004E-2</v>
      </c>
      <c r="W587">
        <v>9.6109999999999998E-3</v>
      </c>
      <c r="Y587" t="s">
        <v>2</v>
      </c>
      <c r="Z587">
        <v>4500</v>
      </c>
      <c r="AA587">
        <v>48</v>
      </c>
      <c r="AB587">
        <v>1176</v>
      </c>
      <c r="AC587">
        <v>0</v>
      </c>
      <c r="AD587">
        <v>17984028630</v>
      </c>
      <c r="AE587">
        <v>30206193.960000001</v>
      </c>
      <c r="AF587">
        <v>17818355392</v>
      </c>
      <c r="AG587">
        <v>17847366578.080002</v>
      </c>
      <c r="AH587">
        <v>8.6738999999999997E-2</v>
      </c>
      <c r="AI587">
        <v>6.8765999999999994E-2</v>
      </c>
    </row>
    <row r="588" spans="1:35" x14ac:dyDescent="0.35">
      <c r="A588" t="s">
        <v>2</v>
      </c>
      <c r="B588">
        <v>4500</v>
      </c>
      <c r="C588">
        <v>42</v>
      </c>
      <c r="D588">
        <v>780</v>
      </c>
      <c r="E588">
        <v>0</v>
      </c>
      <c r="F588">
        <v>16416026251</v>
      </c>
      <c r="G588">
        <v>26889809.780000001</v>
      </c>
      <c r="H588">
        <v>16292579954.17</v>
      </c>
      <c r="I588">
        <v>16356933945.709999</v>
      </c>
      <c r="J588">
        <v>6.8343000000000001E-2</v>
      </c>
      <c r="K588">
        <v>2.3286999999999999E-2</v>
      </c>
      <c r="M588" t="s">
        <v>0</v>
      </c>
      <c r="N588">
        <v>3250</v>
      </c>
      <c r="O588">
        <v>48</v>
      </c>
      <c r="P588">
        <v>144802</v>
      </c>
      <c r="Q588">
        <v>0</v>
      </c>
      <c r="R588">
        <v>3089497095401</v>
      </c>
      <c r="S588">
        <v>6321949247.4200001</v>
      </c>
      <c r="T588">
        <v>3066752179084.0801</v>
      </c>
      <c r="U588">
        <v>3079938827185.0498</v>
      </c>
      <c r="V588">
        <v>6.1956999999999998E-2</v>
      </c>
      <c r="W588">
        <v>1.2498E-2</v>
      </c>
      <c r="Y588" t="s">
        <v>1</v>
      </c>
      <c r="Z588">
        <v>5000</v>
      </c>
      <c r="AA588">
        <v>48</v>
      </c>
      <c r="AB588">
        <v>1597</v>
      </c>
      <c r="AC588">
        <v>0</v>
      </c>
      <c r="AD588">
        <v>46947746131</v>
      </c>
      <c r="AE588">
        <v>72468151.319999993</v>
      </c>
      <c r="AF588">
        <v>46298504769</v>
      </c>
      <c r="AG588">
        <v>46608366755.57</v>
      </c>
      <c r="AH588">
        <v>0.13786100000000001</v>
      </c>
      <c r="AI588">
        <v>6.6129999999999994E-2</v>
      </c>
    </row>
    <row r="589" spans="1:35" x14ac:dyDescent="0.35">
      <c r="A589" t="s">
        <v>0</v>
      </c>
      <c r="B589">
        <v>4500</v>
      </c>
      <c r="C589">
        <v>42</v>
      </c>
      <c r="D589">
        <v>16040</v>
      </c>
      <c r="E589">
        <v>0</v>
      </c>
      <c r="F589">
        <v>476921379493</v>
      </c>
      <c r="G589">
        <v>779613954.04999995</v>
      </c>
      <c r="H589">
        <v>473499201681.59003</v>
      </c>
      <c r="I589">
        <v>475386019515.56</v>
      </c>
      <c r="J589">
        <v>6.4501000000000003E-2</v>
      </c>
      <c r="K589">
        <v>1.8851E-2</v>
      </c>
      <c r="M589" t="s">
        <v>0</v>
      </c>
      <c r="N589">
        <v>2750</v>
      </c>
      <c r="O589">
        <v>48</v>
      </c>
      <c r="P589">
        <v>64185</v>
      </c>
      <c r="Q589">
        <v>0</v>
      </c>
      <c r="R589">
        <v>1547351197728</v>
      </c>
      <c r="S589">
        <v>3410017442.4299998</v>
      </c>
      <c r="T589">
        <v>1536653912275.77</v>
      </c>
      <c r="U589">
        <v>1543506005419.3799</v>
      </c>
      <c r="V589">
        <v>5.5072999999999997E-2</v>
      </c>
      <c r="W589">
        <v>3.3700000000000002E-3</v>
      </c>
      <c r="Y589" t="s">
        <v>0</v>
      </c>
      <c r="Z589">
        <v>5000</v>
      </c>
      <c r="AA589">
        <v>48</v>
      </c>
      <c r="AB589">
        <v>6548</v>
      </c>
      <c r="AC589">
        <v>0</v>
      </c>
      <c r="AD589">
        <v>157578011996</v>
      </c>
      <c r="AE589">
        <v>242823331.34</v>
      </c>
      <c r="AF589">
        <v>156796362142</v>
      </c>
      <c r="AG589">
        <v>157158285900.76001</v>
      </c>
      <c r="AH589">
        <v>4.027E-2</v>
      </c>
      <c r="AI589">
        <v>1.3389E-2</v>
      </c>
    </row>
    <row r="590" spans="1:35" x14ac:dyDescent="0.35">
      <c r="A590" t="s">
        <v>1</v>
      </c>
      <c r="B590">
        <v>4500</v>
      </c>
      <c r="C590">
        <v>42</v>
      </c>
      <c r="D590">
        <v>14092</v>
      </c>
      <c r="E590">
        <v>0</v>
      </c>
      <c r="F590">
        <v>536225198805</v>
      </c>
      <c r="G590">
        <v>877116114.63999999</v>
      </c>
      <c r="H590">
        <v>531336240669.83002</v>
      </c>
      <c r="I590">
        <v>534614779600.78003</v>
      </c>
      <c r="J590">
        <v>8.6176000000000003E-2</v>
      </c>
      <c r="K590">
        <v>1.6286999999999999E-2</v>
      </c>
      <c r="M590" t="s">
        <v>2</v>
      </c>
      <c r="N590">
        <v>2750</v>
      </c>
      <c r="O590">
        <v>48</v>
      </c>
      <c r="P590">
        <v>6702</v>
      </c>
      <c r="Q590">
        <v>0</v>
      </c>
      <c r="R590">
        <v>122258704860</v>
      </c>
      <c r="S590">
        <v>268263146.62</v>
      </c>
      <c r="T590">
        <v>121345395065.75</v>
      </c>
      <c r="U590">
        <v>121919090105.32001</v>
      </c>
      <c r="V590">
        <v>6.1508E-2</v>
      </c>
      <c r="W590">
        <v>6.9810000000000002E-3</v>
      </c>
      <c r="Y590" t="s">
        <v>2</v>
      </c>
      <c r="Z590">
        <v>5000</v>
      </c>
      <c r="AA590">
        <v>48</v>
      </c>
      <c r="AB590">
        <v>304</v>
      </c>
      <c r="AC590">
        <v>0</v>
      </c>
      <c r="AD590">
        <v>4398884109</v>
      </c>
      <c r="AE590">
        <v>6856266.2999999998</v>
      </c>
      <c r="AF590">
        <v>4372204492</v>
      </c>
      <c r="AG590">
        <v>4372204492</v>
      </c>
      <c r="AH590">
        <v>5.2756999999999998E-2</v>
      </c>
      <c r="AI590">
        <v>5.2756999999999998E-2</v>
      </c>
    </row>
    <row r="591" spans="1:35" x14ac:dyDescent="0.35">
      <c r="A591" t="s">
        <v>2</v>
      </c>
      <c r="B591">
        <v>5000</v>
      </c>
      <c r="C591">
        <v>42</v>
      </c>
      <c r="D591">
        <v>1765</v>
      </c>
      <c r="E591">
        <v>0</v>
      </c>
      <c r="F591">
        <v>32729727434</v>
      </c>
      <c r="G591">
        <v>49585243.759999998</v>
      </c>
      <c r="H591">
        <v>32492557529.689999</v>
      </c>
      <c r="I591">
        <v>32622813427.349998</v>
      </c>
      <c r="J591">
        <v>6.6649E-2</v>
      </c>
      <c r="K591">
        <v>2.0818E-2</v>
      </c>
      <c r="M591" t="s">
        <v>2</v>
      </c>
      <c r="N591">
        <v>2500</v>
      </c>
      <c r="O591">
        <v>48</v>
      </c>
      <c r="P591">
        <v>2300</v>
      </c>
      <c r="Q591">
        <v>0</v>
      </c>
      <c r="R591">
        <v>44138642094</v>
      </c>
      <c r="S591">
        <v>100621395.58</v>
      </c>
      <c r="T591">
        <v>43810777197.349998</v>
      </c>
      <c r="U591">
        <v>44012955908.989998</v>
      </c>
      <c r="V591">
        <v>6.0061000000000003E-2</v>
      </c>
      <c r="W591">
        <v>6.7930000000000004E-3</v>
      </c>
      <c r="Y591" t="s">
        <v>2</v>
      </c>
      <c r="Z591">
        <v>5000</v>
      </c>
      <c r="AA591">
        <v>42</v>
      </c>
      <c r="AB591">
        <v>2364</v>
      </c>
      <c r="AC591">
        <v>0</v>
      </c>
      <c r="AD591">
        <v>42872882437</v>
      </c>
      <c r="AE591">
        <v>64823718.460000001</v>
      </c>
      <c r="AF591">
        <v>42587385510</v>
      </c>
      <c r="AG591">
        <v>42744428184.260002</v>
      </c>
      <c r="AH591">
        <v>6.0047000000000003E-2</v>
      </c>
      <c r="AI591">
        <v>1.7665E-2</v>
      </c>
    </row>
    <row r="592" spans="1:35" x14ac:dyDescent="0.35">
      <c r="A592" t="s">
        <v>0</v>
      </c>
      <c r="B592">
        <v>5500</v>
      </c>
      <c r="C592">
        <v>42</v>
      </c>
      <c r="D592">
        <v>28238</v>
      </c>
      <c r="E592">
        <v>0</v>
      </c>
      <c r="F592">
        <v>704455554908</v>
      </c>
      <c r="G592">
        <v>979120121.61000001</v>
      </c>
      <c r="H592">
        <v>698981903479.12</v>
      </c>
      <c r="I592">
        <v>701801150791.70996</v>
      </c>
      <c r="J592">
        <v>7.3930999999999997E-2</v>
      </c>
      <c r="K592">
        <v>2.8167000000000001E-2</v>
      </c>
      <c r="M592" t="s">
        <v>0</v>
      </c>
      <c r="N592">
        <v>2500</v>
      </c>
      <c r="O592">
        <v>48</v>
      </c>
      <c r="P592">
        <v>25861</v>
      </c>
      <c r="Q592">
        <v>0</v>
      </c>
      <c r="R592">
        <v>678701895981</v>
      </c>
      <c r="S592">
        <v>1554400608.26</v>
      </c>
      <c r="T592">
        <v>674210946017.30005</v>
      </c>
      <c r="U592">
        <v>677019670812.15002</v>
      </c>
      <c r="V592">
        <v>5.0702999999999998E-2</v>
      </c>
      <c r="W592">
        <v>2.258E-3</v>
      </c>
      <c r="Y592" t="s">
        <v>0</v>
      </c>
      <c r="Z592">
        <v>5500</v>
      </c>
      <c r="AA592">
        <v>42</v>
      </c>
      <c r="AB592">
        <v>30184</v>
      </c>
      <c r="AC592">
        <v>0</v>
      </c>
      <c r="AD592">
        <v>753318974184</v>
      </c>
      <c r="AE592">
        <v>1044417752.37</v>
      </c>
      <c r="AF592">
        <v>748438050305</v>
      </c>
      <c r="AG592">
        <v>750886420708.58997</v>
      </c>
      <c r="AH592">
        <v>5.9430999999999998E-2</v>
      </c>
      <c r="AI592">
        <v>2.189E-2</v>
      </c>
    </row>
    <row r="593" spans="1:35" x14ac:dyDescent="0.35">
      <c r="A593" t="s">
        <v>1</v>
      </c>
      <c r="B593">
        <v>5500</v>
      </c>
      <c r="C593">
        <v>42</v>
      </c>
      <c r="D593">
        <v>13941</v>
      </c>
      <c r="E593">
        <v>0</v>
      </c>
      <c r="F593">
        <v>450947830947</v>
      </c>
      <c r="G593">
        <v>627320941.38</v>
      </c>
      <c r="H593">
        <v>445166804187.41998</v>
      </c>
      <c r="I593">
        <v>448921257741.96997</v>
      </c>
      <c r="J593">
        <v>0.12884300000000001</v>
      </c>
      <c r="K593">
        <v>3.6606E-2</v>
      </c>
      <c r="M593" t="s">
        <v>1</v>
      </c>
      <c r="N593">
        <v>2500</v>
      </c>
      <c r="O593">
        <v>48</v>
      </c>
      <c r="P593">
        <v>55602</v>
      </c>
      <c r="Q593">
        <v>0</v>
      </c>
      <c r="R593">
        <v>1763221211301</v>
      </c>
      <c r="S593">
        <v>4030236784.8099999</v>
      </c>
      <c r="T593">
        <v>1748149206970.4099</v>
      </c>
      <c r="U593">
        <v>1758011620411.1299</v>
      </c>
      <c r="V593">
        <v>7.2611999999999996E-2</v>
      </c>
      <c r="W593">
        <v>7.9970000000000006E-3</v>
      </c>
      <c r="Y593" t="s">
        <v>1</v>
      </c>
      <c r="Z593">
        <v>5500</v>
      </c>
      <c r="AA593">
        <v>42</v>
      </c>
      <c r="AB593">
        <v>14559</v>
      </c>
      <c r="AC593">
        <v>0</v>
      </c>
      <c r="AD593">
        <v>464154604970</v>
      </c>
      <c r="AE593">
        <v>643920053.61000001</v>
      </c>
      <c r="AF593">
        <v>458876782346</v>
      </c>
      <c r="AG593">
        <v>461565394229.33002</v>
      </c>
      <c r="AH593">
        <v>0.113438</v>
      </c>
      <c r="AI593">
        <v>4.9148999999999998E-2</v>
      </c>
    </row>
    <row r="594" spans="1:35" x14ac:dyDescent="0.35">
      <c r="A594" t="s">
        <v>2</v>
      </c>
      <c r="B594">
        <v>5500</v>
      </c>
      <c r="C594">
        <v>48</v>
      </c>
      <c r="D594">
        <v>253</v>
      </c>
      <c r="E594">
        <v>0</v>
      </c>
      <c r="F594">
        <v>3508841453</v>
      </c>
      <c r="G594">
        <v>5001748.6500000004</v>
      </c>
      <c r="H594">
        <v>3482613388.9899998</v>
      </c>
      <c r="I594">
        <v>3495674258.6700001</v>
      </c>
      <c r="J594">
        <v>7.0224999999999996E-2</v>
      </c>
      <c r="K594">
        <v>2.7570999999999998E-2</v>
      </c>
      <c r="M594" t="s">
        <v>0</v>
      </c>
      <c r="N594">
        <v>3000</v>
      </c>
      <c r="O594">
        <v>42</v>
      </c>
      <c r="P594">
        <v>5266</v>
      </c>
      <c r="Q594">
        <v>0</v>
      </c>
      <c r="R594">
        <v>128562705753</v>
      </c>
      <c r="S594">
        <v>266361781.09</v>
      </c>
      <c r="T594">
        <v>127609602396.42999</v>
      </c>
      <c r="U594">
        <v>128190938835.67</v>
      </c>
      <c r="V594">
        <v>6.225E-2</v>
      </c>
      <c r="W594">
        <v>9.7940000000000006E-3</v>
      </c>
      <c r="Y594" t="s">
        <v>2</v>
      </c>
      <c r="Z594">
        <v>5500</v>
      </c>
      <c r="AA594">
        <v>42</v>
      </c>
      <c r="AB594">
        <v>2335</v>
      </c>
      <c r="AC594">
        <v>0</v>
      </c>
      <c r="AD594">
        <v>38800779503</v>
      </c>
      <c r="AE594">
        <v>53710992.130000003</v>
      </c>
      <c r="AF594">
        <v>38437725104</v>
      </c>
      <c r="AG594">
        <v>38695365315.220001</v>
      </c>
      <c r="AH594">
        <v>9.1586000000000001E-2</v>
      </c>
      <c r="AI594">
        <v>1.5873999999999999E-2</v>
      </c>
    </row>
    <row r="595" spans="1:35" x14ac:dyDescent="0.35">
      <c r="A595" t="s">
        <v>0</v>
      </c>
      <c r="B595">
        <v>5500</v>
      </c>
      <c r="C595">
        <v>48</v>
      </c>
      <c r="D595">
        <v>4810</v>
      </c>
      <c r="E595">
        <v>0</v>
      </c>
      <c r="F595">
        <v>119615051492</v>
      </c>
      <c r="G595">
        <v>169758138.53</v>
      </c>
      <c r="H595">
        <v>118813790362.86</v>
      </c>
      <c r="I595">
        <v>119202717239.47</v>
      </c>
      <c r="J595">
        <v>6.1545999999999997E-2</v>
      </c>
      <c r="K595">
        <v>2.4066000000000001E-2</v>
      </c>
      <c r="M595" t="s">
        <v>2</v>
      </c>
      <c r="N595">
        <v>3000</v>
      </c>
      <c r="O595">
        <v>42</v>
      </c>
      <c r="P595">
        <v>383</v>
      </c>
      <c r="Q595">
        <v>0</v>
      </c>
      <c r="R595">
        <v>7102847500</v>
      </c>
      <c r="S595">
        <v>14762619.73</v>
      </c>
      <c r="T595">
        <v>7051569794.1800003</v>
      </c>
      <c r="U595">
        <v>7082201911.0799999</v>
      </c>
      <c r="V595">
        <v>5.9976000000000002E-2</v>
      </c>
      <c r="W595">
        <v>9.894E-3</v>
      </c>
      <c r="Y595" t="s">
        <v>0</v>
      </c>
      <c r="Z595">
        <v>3750</v>
      </c>
      <c r="AA595">
        <v>54</v>
      </c>
      <c r="AB595">
        <v>48726</v>
      </c>
      <c r="AC595">
        <v>0</v>
      </c>
      <c r="AD595">
        <v>989757819315</v>
      </c>
      <c r="AE595">
        <v>1937971620.52</v>
      </c>
      <c r="AF595">
        <v>984751898511</v>
      </c>
      <c r="AG595">
        <v>987450945861.56995</v>
      </c>
      <c r="AH595">
        <v>3.6568999999999997E-2</v>
      </c>
      <c r="AI595">
        <v>4.463E-3</v>
      </c>
    </row>
    <row r="596" spans="1:35" x14ac:dyDescent="0.35">
      <c r="A596" t="s">
        <v>0</v>
      </c>
      <c r="B596">
        <v>3750</v>
      </c>
      <c r="C596">
        <v>54</v>
      </c>
      <c r="D596">
        <v>49662</v>
      </c>
      <c r="E596">
        <v>0</v>
      </c>
      <c r="F596">
        <v>1026685490868</v>
      </c>
      <c r="G596">
        <v>2009234492.51</v>
      </c>
      <c r="H596">
        <v>1019789214749.78</v>
      </c>
      <c r="I596">
        <v>1023785795455.65</v>
      </c>
      <c r="J596">
        <v>5.5648000000000003E-2</v>
      </c>
      <c r="K596">
        <v>1.0357999999999999E-2</v>
      </c>
      <c r="M596" t="s">
        <v>1</v>
      </c>
      <c r="N596">
        <v>3000</v>
      </c>
      <c r="O596">
        <v>42</v>
      </c>
      <c r="P596">
        <v>6242</v>
      </c>
      <c r="Q596">
        <v>0</v>
      </c>
      <c r="R596">
        <v>230996280761</v>
      </c>
      <c r="S596">
        <v>479345620.76999998</v>
      </c>
      <c r="T596">
        <v>228961576394.78</v>
      </c>
      <c r="U596">
        <v>230299416233.94</v>
      </c>
      <c r="V596">
        <v>7.7872999999999998E-2</v>
      </c>
      <c r="W596">
        <v>1.1242E-2</v>
      </c>
      <c r="Y596" t="s">
        <v>0</v>
      </c>
      <c r="Z596">
        <v>3250</v>
      </c>
      <c r="AA596">
        <v>48</v>
      </c>
      <c r="AB596">
        <v>97764</v>
      </c>
      <c r="AC596">
        <v>0</v>
      </c>
      <c r="AD596">
        <v>2101639067113</v>
      </c>
      <c r="AE596">
        <v>4310433166.4300003</v>
      </c>
      <c r="AF596">
        <v>2090563834154</v>
      </c>
      <c r="AG596">
        <v>2095892569208.23</v>
      </c>
      <c r="AH596">
        <v>3.7948999999999997E-2</v>
      </c>
      <c r="AI596">
        <v>8.1689999999999992E-3</v>
      </c>
    </row>
    <row r="597" spans="1:35" x14ac:dyDescent="0.35">
      <c r="A597" t="s">
        <v>0</v>
      </c>
      <c r="B597">
        <v>3250</v>
      </c>
      <c r="C597">
        <v>48</v>
      </c>
      <c r="D597">
        <v>67802</v>
      </c>
      <c r="E597">
        <v>0</v>
      </c>
      <c r="F597">
        <v>1490278332922</v>
      </c>
      <c r="G597">
        <v>3059629859.7800002</v>
      </c>
      <c r="H597">
        <v>1479777992281.22</v>
      </c>
      <c r="I597">
        <v>1485395726450.6499</v>
      </c>
      <c r="J597">
        <v>5.8296000000000001E-2</v>
      </c>
      <c r="K597">
        <v>1.4581E-2</v>
      </c>
      <c r="M597" t="s">
        <v>0</v>
      </c>
      <c r="N597">
        <v>3500</v>
      </c>
      <c r="O597">
        <v>42</v>
      </c>
      <c r="P597">
        <v>13569</v>
      </c>
      <c r="Q597">
        <v>0</v>
      </c>
      <c r="R597">
        <v>347198548163</v>
      </c>
      <c r="S597">
        <v>667259717.11000001</v>
      </c>
      <c r="T597">
        <v>344822166344.33002</v>
      </c>
      <c r="U597">
        <v>346256906376.34998</v>
      </c>
      <c r="V597">
        <v>5.7498E-2</v>
      </c>
      <c r="W597">
        <v>9.4420000000000007E-3</v>
      </c>
      <c r="Y597" t="s">
        <v>2</v>
      </c>
      <c r="Z597">
        <v>3250</v>
      </c>
      <c r="AA597">
        <v>48</v>
      </c>
      <c r="AB597">
        <v>7609</v>
      </c>
      <c r="AC597">
        <v>0</v>
      </c>
      <c r="AD597">
        <v>124007473929</v>
      </c>
      <c r="AE597">
        <v>254654888.61000001</v>
      </c>
      <c r="AF597">
        <v>123226953571</v>
      </c>
      <c r="AG597">
        <v>123498385028.07001</v>
      </c>
      <c r="AH597">
        <v>4.9716999999999997E-2</v>
      </c>
      <c r="AI597">
        <v>2.4344999999999999E-2</v>
      </c>
    </row>
    <row r="598" spans="1:35" x14ac:dyDescent="0.35">
      <c r="A598" t="s">
        <v>2</v>
      </c>
      <c r="B598">
        <v>3250</v>
      </c>
      <c r="C598">
        <v>48</v>
      </c>
      <c r="D598">
        <v>5806</v>
      </c>
      <c r="E598">
        <v>0</v>
      </c>
      <c r="F598">
        <v>94319393926</v>
      </c>
      <c r="G598">
        <v>194276238.25999999</v>
      </c>
      <c r="H598">
        <v>93628495064.839996</v>
      </c>
      <c r="I598">
        <v>94030092029.970001</v>
      </c>
      <c r="J598">
        <v>6.1386000000000003E-2</v>
      </c>
      <c r="K598">
        <v>1.2023000000000001E-2</v>
      </c>
      <c r="M598" t="s">
        <v>1</v>
      </c>
      <c r="N598">
        <v>3500</v>
      </c>
      <c r="O598">
        <v>42</v>
      </c>
      <c r="P598">
        <v>12604</v>
      </c>
      <c r="Q598">
        <v>0</v>
      </c>
      <c r="R598">
        <v>449960678565</v>
      </c>
      <c r="S598">
        <v>865811872.44000006</v>
      </c>
      <c r="T598">
        <v>445524534603.23999</v>
      </c>
      <c r="U598">
        <v>448505536858.46002</v>
      </c>
      <c r="V598">
        <v>9.1170000000000001E-2</v>
      </c>
      <c r="W598">
        <v>1.5604E-2</v>
      </c>
      <c r="Y598" t="s">
        <v>1</v>
      </c>
      <c r="Z598">
        <v>2250</v>
      </c>
      <c r="AA598">
        <v>48</v>
      </c>
      <c r="AB598">
        <v>25342</v>
      </c>
      <c r="AC598">
        <v>0</v>
      </c>
      <c r="AD598">
        <v>842635179459</v>
      </c>
      <c r="AE598">
        <v>1983436868.22</v>
      </c>
      <c r="AF598">
        <v>837917989514</v>
      </c>
      <c r="AG598">
        <v>840195654368.39001</v>
      </c>
      <c r="AH598">
        <v>3.8244E-2</v>
      </c>
      <c r="AI598">
        <v>6.476E-3</v>
      </c>
    </row>
    <row r="599" spans="1:35" x14ac:dyDescent="0.35">
      <c r="A599" t="s">
        <v>3</v>
      </c>
      <c r="B599">
        <v>3500</v>
      </c>
      <c r="C599">
        <v>48</v>
      </c>
      <c r="D599">
        <v>95</v>
      </c>
      <c r="E599">
        <v>0</v>
      </c>
      <c r="F599">
        <v>2250159830</v>
      </c>
      <c r="G599">
        <v>4424163.45</v>
      </c>
      <c r="H599">
        <v>2239147710.2199998</v>
      </c>
      <c r="I599">
        <v>2245658924.75</v>
      </c>
      <c r="J599">
        <v>3.4573E-2</v>
      </c>
      <c r="K599">
        <v>4.0900000000000002E-4</v>
      </c>
      <c r="M599" t="s">
        <v>2</v>
      </c>
      <c r="N599">
        <v>3500</v>
      </c>
      <c r="O599">
        <v>42</v>
      </c>
      <c r="P599">
        <v>1353</v>
      </c>
      <c r="Q599">
        <v>0</v>
      </c>
      <c r="R599">
        <v>24488419284</v>
      </c>
      <c r="S599">
        <v>47467555.420000002</v>
      </c>
      <c r="T599">
        <v>24312669542.419998</v>
      </c>
      <c r="U599">
        <v>24415817626.299999</v>
      </c>
      <c r="V599">
        <v>6.1081999999999997E-2</v>
      </c>
      <c r="W599">
        <v>1.2246999999999999E-2</v>
      </c>
      <c r="Y599" t="s">
        <v>2</v>
      </c>
      <c r="Z599">
        <v>2750</v>
      </c>
      <c r="AA599">
        <v>48</v>
      </c>
      <c r="AB599">
        <v>3320</v>
      </c>
      <c r="AC599">
        <v>0</v>
      </c>
      <c r="AD599">
        <v>61514732346</v>
      </c>
      <c r="AE599">
        <v>135391466.69999999</v>
      </c>
      <c r="AF599">
        <v>61134627327</v>
      </c>
      <c r="AG599">
        <v>61368272975</v>
      </c>
      <c r="AH599">
        <v>4.6706999999999999E-2</v>
      </c>
      <c r="AI599">
        <v>2.1570000000000001E-3</v>
      </c>
    </row>
    <row r="600" spans="1:35" x14ac:dyDescent="0.35">
      <c r="A600" t="s">
        <v>1</v>
      </c>
      <c r="B600">
        <v>2250</v>
      </c>
      <c r="C600">
        <v>48</v>
      </c>
      <c r="D600">
        <v>16245</v>
      </c>
      <c r="E600">
        <v>0</v>
      </c>
      <c r="F600">
        <v>551724222412</v>
      </c>
      <c r="G600">
        <v>1300307586.53</v>
      </c>
      <c r="H600">
        <v>546960395390.82001</v>
      </c>
      <c r="I600">
        <v>550029419360.18005</v>
      </c>
      <c r="J600">
        <v>7.2784000000000001E-2</v>
      </c>
      <c r="K600">
        <v>8.5470000000000008E-3</v>
      </c>
      <c r="M600" t="s">
        <v>0</v>
      </c>
      <c r="N600">
        <v>4000</v>
      </c>
      <c r="O600">
        <v>42</v>
      </c>
      <c r="P600">
        <v>27994</v>
      </c>
      <c r="Q600">
        <v>0</v>
      </c>
      <c r="R600">
        <v>684027419460</v>
      </c>
      <c r="S600">
        <v>1218481935.3099999</v>
      </c>
      <c r="T600">
        <v>678930124047.57996</v>
      </c>
      <c r="U600">
        <v>681925244654.84998</v>
      </c>
      <c r="V600">
        <v>6.5963999999999995E-2</v>
      </c>
      <c r="W600">
        <v>1.5393E-2</v>
      </c>
      <c r="Y600" t="s">
        <v>0</v>
      </c>
      <c r="Z600">
        <v>3750</v>
      </c>
      <c r="AA600">
        <v>48</v>
      </c>
      <c r="AB600">
        <v>60550</v>
      </c>
      <c r="AC600">
        <v>0</v>
      </c>
      <c r="AD600">
        <v>1411608871880</v>
      </c>
      <c r="AE600">
        <v>2669729495.4899998</v>
      </c>
      <c r="AF600">
        <v>1404082654281</v>
      </c>
      <c r="AG600">
        <v>1408383191579.1101</v>
      </c>
      <c r="AH600">
        <v>4.0511999999999999E-2</v>
      </c>
      <c r="AI600">
        <v>4.7159999999999997E-3</v>
      </c>
    </row>
    <row r="601" spans="1:35" x14ac:dyDescent="0.35">
      <c r="A601" t="s">
        <v>2</v>
      </c>
      <c r="B601">
        <v>2250</v>
      </c>
      <c r="C601">
        <v>48</v>
      </c>
      <c r="D601">
        <v>205</v>
      </c>
      <c r="E601">
        <v>0</v>
      </c>
      <c r="F601">
        <v>3930706985</v>
      </c>
      <c r="G601">
        <v>9264542.2599999998</v>
      </c>
      <c r="H601">
        <v>3904285417.0100002</v>
      </c>
      <c r="I601">
        <v>3919453132.8200002</v>
      </c>
      <c r="J601">
        <v>5.1138999999999997E-2</v>
      </c>
      <c r="K601">
        <v>6.0559999999999998E-3</v>
      </c>
      <c r="M601" t="s">
        <v>1</v>
      </c>
      <c r="N601">
        <v>4000</v>
      </c>
      <c r="O601">
        <v>42</v>
      </c>
      <c r="P601">
        <v>16437</v>
      </c>
      <c r="Q601">
        <v>0</v>
      </c>
      <c r="R601">
        <v>556283194579</v>
      </c>
      <c r="S601">
        <v>989029645.05999994</v>
      </c>
      <c r="T601">
        <v>550191867049.42004</v>
      </c>
      <c r="U601">
        <v>554004658491.46997</v>
      </c>
      <c r="V601">
        <v>0.10467899999999999</v>
      </c>
      <c r="W601">
        <v>2.7465E-2</v>
      </c>
      <c r="Y601" t="s">
        <v>3</v>
      </c>
      <c r="Z601">
        <v>3500</v>
      </c>
      <c r="AA601">
        <v>48</v>
      </c>
      <c r="AB601">
        <v>133</v>
      </c>
      <c r="AC601">
        <v>0</v>
      </c>
      <c r="AD601">
        <v>3116360987</v>
      </c>
      <c r="AE601">
        <v>6125784.3399999999</v>
      </c>
      <c r="AF601">
        <v>3109791643</v>
      </c>
      <c r="AG601">
        <v>3109791643</v>
      </c>
      <c r="AH601">
        <v>1.707E-3</v>
      </c>
      <c r="AI601">
        <v>1.707E-3</v>
      </c>
    </row>
    <row r="602" spans="1:35" x14ac:dyDescent="0.35">
      <c r="A602" t="s">
        <v>2</v>
      </c>
      <c r="B602">
        <v>2750</v>
      </c>
      <c r="C602">
        <v>48</v>
      </c>
      <c r="D602">
        <v>2070</v>
      </c>
      <c r="E602">
        <v>0</v>
      </c>
      <c r="F602">
        <v>38810294402</v>
      </c>
      <c r="G602">
        <v>85584041.140000001</v>
      </c>
      <c r="H602">
        <v>38544678621.220001</v>
      </c>
      <c r="I602">
        <v>38704949483.870003</v>
      </c>
      <c r="J602">
        <v>5.4267000000000003E-2</v>
      </c>
      <c r="K602">
        <v>6.0930000000000003E-3</v>
      </c>
      <c r="M602" t="s">
        <v>2</v>
      </c>
      <c r="N602">
        <v>5000</v>
      </c>
      <c r="O602">
        <v>42</v>
      </c>
      <c r="P602">
        <v>2314</v>
      </c>
      <c r="Q602">
        <v>0</v>
      </c>
      <c r="R602">
        <v>40721259264</v>
      </c>
      <c r="S602">
        <v>61283758.090000004</v>
      </c>
      <c r="T602">
        <v>40400918391.57</v>
      </c>
      <c r="U602">
        <v>40603515921.860001</v>
      </c>
      <c r="V602">
        <v>7.3724999999999999E-2</v>
      </c>
      <c r="W602">
        <v>1.6511999999999999E-2</v>
      </c>
      <c r="Y602" t="s">
        <v>2</v>
      </c>
      <c r="Z602">
        <v>2250</v>
      </c>
      <c r="AA602">
        <v>48</v>
      </c>
      <c r="AB602">
        <v>331</v>
      </c>
      <c r="AC602">
        <v>0</v>
      </c>
      <c r="AD602">
        <v>6053471803</v>
      </c>
      <c r="AE602">
        <v>14244054.949999999</v>
      </c>
      <c r="AF602">
        <v>6039193076</v>
      </c>
      <c r="AG602">
        <v>6039193076</v>
      </c>
      <c r="AH602">
        <v>6.8999999999999997E-5</v>
      </c>
      <c r="AI602">
        <v>6.8999999999999997E-5</v>
      </c>
    </row>
    <row r="603" spans="1:35" x14ac:dyDescent="0.35">
      <c r="A603" t="s">
        <v>0</v>
      </c>
      <c r="B603">
        <v>3750</v>
      </c>
      <c r="C603">
        <v>48</v>
      </c>
      <c r="D603">
        <v>53836</v>
      </c>
      <c r="E603">
        <v>0</v>
      </c>
      <c r="F603">
        <v>1273031040586</v>
      </c>
      <c r="G603">
        <v>2411424478.0700002</v>
      </c>
      <c r="H603">
        <v>1264539348592.8101</v>
      </c>
      <c r="I603">
        <v>1269571739792.3999</v>
      </c>
      <c r="J603">
        <v>5.5833000000000001E-2</v>
      </c>
      <c r="K603">
        <v>9.8329999999999997E-3</v>
      </c>
      <c r="M603" t="s">
        <v>0</v>
      </c>
      <c r="N603">
        <v>5500</v>
      </c>
      <c r="O603">
        <v>42</v>
      </c>
      <c r="P603">
        <v>22748</v>
      </c>
      <c r="Q603">
        <v>0</v>
      </c>
      <c r="R603">
        <v>564214814285</v>
      </c>
      <c r="S603">
        <v>777763092.48000002</v>
      </c>
      <c r="T603">
        <v>559314284012.58997</v>
      </c>
      <c r="U603">
        <v>561770542188.87</v>
      </c>
      <c r="V603">
        <v>8.4246000000000001E-2</v>
      </c>
      <c r="W603">
        <v>3.4874000000000002E-2</v>
      </c>
      <c r="Y603" t="s">
        <v>0</v>
      </c>
      <c r="Z603">
        <v>2750</v>
      </c>
      <c r="AA603">
        <v>48</v>
      </c>
      <c r="AB603">
        <v>34231</v>
      </c>
      <c r="AC603">
        <v>0</v>
      </c>
      <c r="AD603">
        <v>846789161874</v>
      </c>
      <c r="AE603">
        <v>1867079082.52</v>
      </c>
      <c r="AF603">
        <v>842111338724</v>
      </c>
      <c r="AG603">
        <v>844747101755.91003</v>
      </c>
      <c r="AH603">
        <v>3.9112000000000001E-2</v>
      </c>
      <c r="AI603">
        <v>2.477E-3</v>
      </c>
    </row>
    <row r="604" spans="1:35" x14ac:dyDescent="0.35">
      <c r="A604" t="s">
        <v>0</v>
      </c>
      <c r="B604">
        <v>2750</v>
      </c>
      <c r="C604">
        <v>48</v>
      </c>
      <c r="D604">
        <v>22705</v>
      </c>
      <c r="E604">
        <v>0</v>
      </c>
      <c r="F604">
        <v>571304430524</v>
      </c>
      <c r="G604">
        <v>1260803282.9400001</v>
      </c>
      <c r="H604">
        <v>567860672117.20996</v>
      </c>
      <c r="I604">
        <v>569821578385.13</v>
      </c>
      <c r="J604">
        <v>4.4901000000000003E-2</v>
      </c>
      <c r="K604">
        <v>4.6540000000000002E-3</v>
      </c>
      <c r="M604" t="s">
        <v>1</v>
      </c>
      <c r="N604">
        <v>5500</v>
      </c>
      <c r="O604">
        <v>42</v>
      </c>
      <c r="P604">
        <v>10582</v>
      </c>
      <c r="Q604">
        <v>0</v>
      </c>
      <c r="R604">
        <v>327550623719</v>
      </c>
      <c r="S604">
        <v>451627208.67000002</v>
      </c>
      <c r="T604">
        <v>323552153316.88</v>
      </c>
      <c r="U604">
        <v>326030069003.53003</v>
      </c>
      <c r="V604">
        <v>0.122474</v>
      </c>
      <c r="W604">
        <v>3.8464999999999999E-2</v>
      </c>
      <c r="Y604" t="s">
        <v>1</v>
      </c>
      <c r="Z604">
        <v>3250</v>
      </c>
      <c r="AA604">
        <v>48</v>
      </c>
      <c r="AB604">
        <v>43304</v>
      </c>
      <c r="AC604">
        <v>0</v>
      </c>
      <c r="AD604">
        <v>1329930395905</v>
      </c>
      <c r="AE604">
        <v>2708851959.0599999</v>
      </c>
      <c r="AF604">
        <v>1319129099788</v>
      </c>
      <c r="AG604">
        <v>1325011650256.28</v>
      </c>
      <c r="AH604">
        <v>7.0624000000000006E-2</v>
      </c>
      <c r="AI604">
        <v>1.9758999999999999E-2</v>
      </c>
    </row>
    <row r="605" spans="1:35" x14ac:dyDescent="0.35">
      <c r="A605" t="s">
        <v>1</v>
      </c>
      <c r="B605">
        <v>3250</v>
      </c>
      <c r="C605">
        <v>48</v>
      </c>
      <c r="D605">
        <v>37204</v>
      </c>
      <c r="E605">
        <v>0</v>
      </c>
      <c r="F605">
        <v>1162839936762</v>
      </c>
      <c r="G605">
        <v>2371573761.25</v>
      </c>
      <c r="H605">
        <v>1151609761840.02</v>
      </c>
      <c r="I605">
        <v>1158495758363.3201</v>
      </c>
      <c r="J605">
        <v>8.7681999999999996E-2</v>
      </c>
      <c r="K605">
        <v>2.0167999999999998E-2</v>
      </c>
      <c r="M605" t="s">
        <v>2</v>
      </c>
      <c r="N605">
        <v>5500</v>
      </c>
      <c r="O605">
        <v>42</v>
      </c>
      <c r="P605">
        <v>1701</v>
      </c>
      <c r="Q605">
        <v>0</v>
      </c>
      <c r="R605">
        <v>27138073193</v>
      </c>
      <c r="S605">
        <v>37356238.060000002</v>
      </c>
      <c r="T605">
        <v>26909194087.290001</v>
      </c>
      <c r="U605">
        <v>27052793028.16</v>
      </c>
      <c r="V605">
        <v>8.1476999999999994E-2</v>
      </c>
      <c r="W605">
        <v>2.0986999999999999E-2</v>
      </c>
      <c r="Y605" t="s">
        <v>2</v>
      </c>
      <c r="Z605">
        <v>4000</v>
      </c>
      <c r="AA605">
        <v>48</v>
      </c>
      <c r="AB605">
        <v>3190</v>
      </c>
      <c r="AC605">
        <v>0</v>
      </c>
      <c r="AD605">
        <v>51407515851</v>
      </c>
      <c r="AE605">
        <v>93415732.819999993</v>
      </c>
      <c r="AF605">
        <v>51183225893</v>
      </c>
      <c r="AG605">
        <v>51227196732.849998</v>
      </c>
      <c r="AH605">
        <v>3.0126E-2</v>
      </c>
      <c r="AI605">
        <v>2.0098000000000001E-2</v>
      </c>
    </row>
    <row r="606" spans="1:35" x14ac:dyDescent="0.35">
      <c r="A606" t="s">
        <v>2</v>
      </c>
      <c r="B606">
        <v>4000</v>
      </c>
      <c r="C606">
        <v>48</v>
      </c>
      <c r="D606">
        <v>3241</v>
      </c>
      <c r="E606">
        <v>0</v>
      </c>
      <c r="F606">
        <v>53101532763</v>
      </c>
      <c r="G606">
        <v>96766148.519999996</v>
      </c>
      <c r="H606">
        <v>52691423923.720001</v>
      </c>
      <c r="I606">
        <v>52924921387.949997</v>
      </c>
      <c r="J606">
        <v>6.8556000000000006E-2</v>
      </c>
      <c r="K606">
        <v>1.7895000000000001E-2</v>
      </c>
      <c r="M606" t="s">
        <v>0</v>
      </c>
      <c r="N606">
        <v>2250</v>
      </c>
      <c r="O606">
        <v>48</v>
      </c>
      <c r="P606">
        <v>10899</v>
      </c>
      <c r="Q606">
        <v>0</v>
      </c>
      <c r="R606">
        <v>281987408770</v>
      </c>
      <c r="S606">
        <v>667529259.38999999</v>
      </c>
      <c r="T606">
        <v>280087775382.92999</v>
      </c>
      <c r="U606">
        <v>281252044704.09003</v>
      </c>
      <c r="V606">
        <v>5.1189999999999999E-2</v>
      </c>
      <c r="W606">
        <v>2.8830000000000001E-3</v>
      </c>
      <c r="Y606" t="s">
        <v>0</v>
      </c>
      <c r="Z606">
        <v>5500</v>
      </c>
      <c r="AA606">
        <v>48</v>
      </c>
      <c r="AB606">
        <v>1166</v>
      </c>
      <c r="AC606">
        <v>0</v>
      </c>
      <c r="AD606">
        <v>27621191969</v>
      </c>
      <c r="AE606">
        <v>39285860.700000003</v>
      </c>
      <c r="AF606">
        <v>27449036111</v>
      </c>
      <c r="AG606">
        <v>27539584077.119999</v>
      </c>
      <c r="AH606">
        <v>5.6222000000000001E-2</v>
      </c>
      <c r="AI606">
        <v>1.8232999999999999E-2</v>
      </c>
    </row>
    <row r="607" spans="1:35" x14ac:dyDescent="0.35">
      <c r="A607" t="s">
        <v>1</v>
      </c>
      <c r="B607">
        <v>5500</v>
      </c>
      <c r="C607">
        <v>48</v>
      </c>
      <c r="D607">
        <v>1637</v>
      </c>
      <c r="E607">
        <v>0</v>
      </c>
      <c r="F607">
        <v>48904533105</v>
      </c>
      <c r="G607">
        <v>69461235.530000001</v>
      </c>
      <c r="H607">
        <v>48198592807.730003</v>
      </c>
      <c r="I607">
        <v>48536916652.290001</v>
      </c>
      <c r="J607">
        <v>0.14546799999999999</v>
      </c>
      <c r="K607">
        <v>7.0755999999999999E-2</v>
      </c>
      <c r="M607" t="s">
        <v>2</v>
      </c>
      <c r="N607">
        <v>3250</v>
      </c>
      <c r="O607">
        <v>48</v>
      </c>
      <c r="P607">
        <v>10686</v>
      </c>
      <c r="Q607">
        <v>0</v>
      </c>
      <c r="R607">
        <v>170721645958</v>
      </c>
      <c r="S607">
        <v>351292383.89999998</v>
      </c>
      <c r="T607">
        <v>169362681039.45999</v>
      </c>
      <c r="U607">
        <v>170186282467.98999</v>
      </c>
      <c r="V607">
        <v>6.8573999999999996E-2</v>
      </c>
      <c r="W607">
        <v>1.2862E-2</v>
      </c>
      <c r="Y607" t="s">
        <v>2</v>
      </c>
      <c r="Z607">
        <v>5500</v>
      </c>
      <c r="AA607">
        <v>48</v>
      </c>
      <c r="AB607">
        <v>53</v>
      </c>
      <c r="AC607">
        <v>0</v>
      </c>
      <c r="AD607">
        <v>606729160</v>
      </c>
      <c r="AE607">
        <v>888800.46</v>
      </c>
      <c r="AF607">
        <v>605835253</v>
      </c>
      <c r="AG607">
        <v>605835253</v>
      </c>
      <c r="AH607">
        <v>1.01E-4</v>
      </c>
      <c r="AI607">
        <v>1.01E-4</v>
      </c>
    </row>
    <row r="608" spans="1:35" x14ac:dyDescent="0.35">
      <c r="A608" t="s">
        <v>0</v>
      </c>
      <c r="B608">
        <v>6000</v>
      </c>
      <c r="C608">
        <v>48</v>
      </c>
      <c r="D608">
        <v>741</v>
      </c>
      <c r="E608">
        <v>0</v>
      </c>
      <c r="F608">
        <v>16426877795</v>
      </c>
      <c r="G608">
        <v>21489518.670000002</v>
      </c>
      <c r="H608">
        <v>16282423192.66</v>
      </c>
      <c r="I608">
        <v>16351930746.440001</v>
      </c>
      <c r="J608">
        <v>8.6220000000000005E-2</v>
      </c>
      <c r="K608">
        <v>3.8359999999999998E-2</v>
      </c>
      <c r="M608" t="s">
        <v>1</v>
      </c>
      <c r="N608">
        <v>2250</v>
      </c>
      <c r="O608">
        <v>48</v>
      </c>
      <c r="P608">
        <v>55937</v>
      </c>
      <c r="Q608">
        <v>0</v>
      </c>
      <c r="R608">
        <v>1796871182971</v>
      </c>
      <c r="S608">
        <v>4227236824.0700002</v>
      </c>
      <c r="T608">
        <v>1781906917079.0601</v>
      </c>
      <c r="U608">
        <v>1791583363679.25</v>
      </c>
      <c r="V608">
        <v>6.9394999999999998E-2</v>
      </c>
      <c r="W608">
        <v>7.0600000000000003E-3</v>
      </c>
      <c r="Y608" t="s">
        <v>1</v>
      </c>
      <c r="Z608">
        <v>5500</v>
      </c>
      <c r="AA608">
        <v>48</v>
      </c>
      <c r="AB608">
        <v>207</v>
      </c>
      <c r="AC608">
        <v>0</v>
      </c>
      <c r="AD608">
        <v>5885216346</v>
      </c>
      <c r="AE608">
        <v>8393135.6799999997</v>
      </c>
      <c r="AF608">
        <v>5733563079</v>
      </c>
      <c r="AG608">
        <v>5733563079</v>
      </c>
      <c r="AH608">
        <v>0.25600600000000001</v>
      </c>
      <c r="AI608">
        <v>0.25600600000000001</v>
      </c>
    </row>
    <row r="609" spans="1:35" x14ac:dyDescent="0.35">
      <c r="A609" t="s">
        <v>2</v>
      </c>
      <c r="B609">
        <v>6000</v>
      </c>
      <c r="C609">
        <v>48</v>
      </c>
      <c r="D609">
        <v>37</v>
      </c>
      <c r="E609">
        <v>0</v>
      </c>
      <c r="F609">
        <v>405184586</v>
      </c>
      <c r="G609">
        <v>537732.82999999996</v>
      </c>
      <c r="H609">
        <v>399975539.81</v>
      </c>
      <c r="I609">
        <v>401066412.44</v>
      </c>
      <c r="J609">
        <v>0.12990199999999999</v>
      </c>
      <c r="K609">
        <v>0.101034</v>
      </c>
      <c r="M609" t="s">
        <v>0</v>
      </c>
      <c r="N609">
        <v>3750</v>
      </c>
      <c r="O609">
        <v>48</v>
      </c>
      <c r="P609">
        <v>56771</v>
      </c>
      <c r="Q609">
        <v>0</v>
      </c>
      <c r="R609">
        <v>1250849101709</v>
      </c>
      <c r="S609">
        <v>2370827624.6399999</v>
      </c>
      <c r="T609">
        <v>1241854994874.6399</v>
      </c>
      <c r="U609">
        <v>1247297381236.1201</v>
      </c>
      <c r="V609">
        <v>6.1721999999999999E-2</v>
      </c>
      <c r="W609">
        <v>1.1270000000000001E-2</v>
      </c>
      <c r="Y609" t="s">
        <v>0</v>
      </c>
      <c r="Z609">
        <v>6000</v>
      </c>
      <c r="AA609">
        <v>42</v>
      </c>
      <c r="AB609">
        <v>15232</v>
      </c>
      <c r="AC609">
        <v>0</v>
      </c>
      <c r="AD609">
        <v>369848455958</v>
      </c>
      <c r="AE609">
        <v>469811634.76999998</v>
      </c>
      <c r="AF609">
        <v>367007491348</v>
      </c>
      <c r="AG609">
        <v>368550043986.40002</v>
      </c>
      <c r="AH609">
        <v>7.4277999999999997E-2</v>
      </c>
      <c r="AI609">
        <v>2.6556E-2</v>
      </c>
    </row>
    <row r="610" spans="1:35" x14ac:dyDescent="0.35">
      <c r="A610" t="s">
        <v>0</v>
      </c>
      <c r="B610">
        <v>5000</v>
      </c>
      <c r="C610">
        <v>54</v>
      </c>
      <c r="D610">
        <v>275</v>
      </c>
      <c r="E610">
        <v>0</v>
      </c>
      <c r="F610">
        <v>5007403477</v>
      </c>
      <c r="G610">
        <v>8093817.9500000002</v>
      </c>
      <c r="H610">
        <v>4972390505.25</v>
      </c>
      <c r="I610">
        <v>4991869944.3000002</v>
      </c>
      <c r="J610">
        <v>6.2636999999999998E-2</v>
      </c>
      <c r="K610">
        <v>1.7683999999999998E-2</v>
      </c>
      <c r="M610" t="s">
        <v>3</v>
      </c>
      <c r="N610">
        <v>3500</v>
      </c>
      <c r="O610">
        <v>48</v>
      </c>
      <c r="P610">
        <v>139</v>
      </c>
      <c r="Q610">
        <v>0</v>
      </c>
      <c r="R610">
        <v>3222343026</v>
      </c>
      <c r="S610">
        <v>6314002.2199999997</v>
      </c>
      <c r="T610">
        <v>3205673786.1300001</v>
      </c>
      <c r="U610">
        <v>3215856827.2399998</v>
      </c>
      <c r="V610">
        <v>3.7888999999999999E-2</v>
      </c>
      <c r="W610">
        <v>6.4099999999999997E-4</v>
      </c>
      <c r="Y610" t="s">
        <v>2</v>
      </c>
      <c r="Z610">
        <v>6000</v>
      </c>
      <c r="AA610">
        <v>42</v>
      </c>
      <c r="AB610">
        <v>865</v>
      </c>
      <c r="AC610">
        <v>0</v>
      </c>
      <c r="AD610">
        <v>13356742946</v>
      </c>
      <c r="AE610">
        <v>16963300.879999999</v>
      </c>
      <c r="AF610">
        <v>13298389113</v>
      </c>
      <c r="AG610">
        <v>13298389113</v>
      </c>
      <c r="AH610">
        <v>3.6559000000000001E-2</v>
      </c>
      <c r="AI610">
        <v>3.6559000000000001E-2</v>
      </c>
    </row>
    <row r="611" spans="1:35" x14ac:dyDescent="0.35">
      <c r="A611" t="s">
        <v>0</v>
      </c>
      <c r="B611">
        <v>4250</v>
      </c>
      <c r="C611">
        <v>48</v>
      </c>
      <c r="D611">
        <v>35134</v>
      </c>
      <c r="E611">
        <v>0</v>
      </c>
      <c r="F611">
        <v>845090632466</v>
      </c>
      <c r="G611">
        <v>1474734561.27</v>
      </c>
      <c r="H611">
        <v>839094967595.92004</v>
      </c>
      <c r="I611">
        <v>842196353909.71997</v>
      </c>
      <c r="J611">
        <v>6.234E-2</v>
      </c>
      <c r="K611">
        <v>1.9972E-2</v>
      </c>
      <c r="M611" t="s">
        <v>2</v>
      </c>
      <c r="N611">
        <v>2250</v>
      </c>
      <c r="O611">
        <v>48</v>
      </c>
      <c r="P611">
        <v>825</v>
      </c>
      <c r="Q611">
        <v>0</v>
      </c>
      <c r="R611">
        <v>15328872060</v>
      </c>
      <c r="S611">
        <v>36006030.130000003</v>
      </c>
      <c r="T611">
        <v>15221374768.299999</v>
      </c>
      <c r="U611">
        <v>15289377888.459999</v>
      </c>
      <c r="V611">
        <v>5.4552000000000003E-2</v>
      </c>
      <c r="W611">
        <v>2.7269999999999998E-3</v>
      </c>
      <c r="Y611" t="s">
        <v>1</v>
      </c>
      <c r="Z611">
        <v>2750</v>
      </c>
      <c r="AA611">
        <v>48</v>
      </c>
      <c r="AB611">
        <v>50551</v>
      </c>
      <c r="AC611">
        <v>0</v>
      </c>
      <c r="AD611">
        <v>1594540069930</v>
      </c>
      <c r="AE611">
        <v>3504933865.23</v>
      </c>
      <c r="AF611">
        <v>1584607265811</v>
      </c>
      <c r="AG611">
        <v>1589662531733.79</v>
      </c>
      <c r="AH611">
        <v>4.7315999999999997E-2</v>
      </c>
      <c r="AI611">
        <v>1.0281E-2</v>
      </c>
    </row>
    <row r="612" spans="1:35" x14ac:dyDescent="0.35">
      <c r="A612" t="s">
        <v>1</v>
      </c>
      <c r="B612">
        <v>2750</v>
      </c>
      <c r="C612">
        <v>48</v>
      </c>
      <c r="D612">
        <v>37362</v>
      </c>
      <c r="E612">
        <v>0</v>
      </c>
      <c r="F612">
        <v>1184467942002</v>
      </c>
      <c r="G612">
        <v>2607651913.46</v>
      </c>
      <c r="H612">
        <v>1173291062241.4299</v>
      </c>
      <c r="I612">
        <v>1180404718908.1899</v>
      </c>
      <c r="J612">
        <v>8.3443000000000003E-2</v>
      </c>
      <c r="K612">
        <v>1.4647E-2</v>
      </c>
      <c r="M612" t="s">
        <v>1</v>
      </c>
      <c r="N612">
        <v>3250</v>
      </c>
      <c r="O612">
        <v>48</v>
      </c>
      <c r="P612">
        <v>42896</v>
      </c>
      <c r="Q612">
        <v>0</v>
      </c>
      <c r="R612">
        <v>1242305231024</v>
      </c>
      <c r="S612">
        <v>2532397967.4499998</v>
      </c>
      <c r="T612">
        <v>1227869016480.5</v>
      </c>
      <c r="U612">
        <v>1236093469100.6101</v>
      </c>
      <c r="V612">
        <v>0.109114</v>
      </c>
      <c r="W612">
        <v>3.4966999999999998E-2</v>
      </c>
      <c r="Y612" t="s">
        <v>0</v>
      </c>
      <c r="Z612">
        <v>4250</v>
      </c>
      <c r="AA612">
        <v>48</v>
      </c>
      <c r="AB612">
        <v>33040</v>
      </c>
      <c r="AC612">
        <v>0</v>
      </c>
      <c r="AD612">
        <v>782047665029</v>
      </c>
      <c r="AE612">
        <v>1361749235.75</v>
      </c>
      <c r="AF612">
        <v>777686976528</v>
      </c>
      <c r="AG612">
        <v>779980014487.59998</v>
      </c>
      <c r="AH612">
        <v>4.5058000000000001E-2</v>
      </c>
      <c r="AI612">
        <v>1.0777999999999999E-2</v>
      </c>
    </row>
    <row r="613" spans="1:35" x14ac:dyDescent="0.35">
      <c r="A613" t="s">
        <v>2</v>
      </c>
      <c r="B613">
        <v>3750</v>
      </c>
      <c r="C613">
        <v>48</v>
      </c>
      <c r="D613">
        <v>5096</v>
      </c>
      <c r="E613">
        <v>0</v>
      </c>
      <c r="F613">
        <v>82740006182</v>
      </c>
      <c r="G613">
        <v>157675133.75</v>
      </c>
      <c r="H613">
        <v>82117497414.929993</v>
      </c>
      <c r="I613">
        <v>82469434693.589996</v>
      </c>
      <c r="J613">
        <v>6.5370999999999999E-2</v>
      </c>
      <c r="K613">
        <v>1.6251000000000002E-2</v>
      </c>
      <c r="M613" t="s">
        <v>1</v>
      </c>
      <c r="N613">
        <v>4000</v>
      </c>
      <c r="O613">
        <v>48</v>
      </c>
      <c r="P613">
        <v>5081</v>
      </c>
      <c r="Q613">
        <v>0</v>
      </c>
      <c r="R613">
        <v>132962671959</v>
      </c>
      <c r="S613">
        <v>240862916.46000001</v>
      </c>
      <c r="T613">
        <v>131224708447.8</v>
      </c>
      <c r="U613">
        <v>132175024374.67999</v>
      </c>
      <c r="V613">
        <v>0.127054</v>
      </c>
      <c r="W613">
        <v>4.8246999999999998E-2</v>
      </c>
      <c r="Y613" t="s">
        <v>2</v>
      </c>
      <c r="Z613">
        <v>3750</v>
      </c>
      <c r="AA613">
        <v>48</v>
      </c>
      <c r="AB613">
        <v>5754</v>
      </c>
      <c r="AC613">
        <v>0</v>
      </c>
      <c r="AD613">
        <v>92188877211</v>
      </c>
      <c r="AE613">
        <v>175670356.38</v>
      </c>
      <c r="AF613">
        <v>91657622160</v>
      </c>
      <c r="AG613">
        <v>91880382046.210007</v>
      </c>
      <c r="AH613">
        <v>4.5316000000000002E-2</v>
      </c>
      <c r="AI613">
        <v>1.7153000000000002E-2</v>
      </c>
    </row>
    <row r="614" spans="1:35" x14ac:dyDescent="0.35">
      <c r="A614" t="s">
        <v>1</v>
      </c>
      <c r="B614">
        <v>3750</v>
      </c>
      <c r="C614">
        <v>48</v>
      </c>
      <c r="D614">
        <v>28278</v>
      </c>
      <c r="E614">
        <v>0</v>
      </c>
      <c r="F614">
        <v>900171751050</v>
      </c>
      <c r="G614">
        <v>1698494026.76</v>
      </c>
      <c r="H614">
        <v>890714640711.15002</v>
      </c>
      <c r="I614">
        <v>896254707705.33997</v>
      </c>
      <c r="J614">
        <v>9.8664000000000002E-2</v>
      </c>
      <c r="K614">
        <v>2.9177000000000002E-2</v>
      </c>
      <c r="M614" t="s">
        <v>2</v>
      </c>
      <c r="N614">
        <v>4000</v>
      </c>
      <c r="O614">
        <v>42</v>
      </c>
      <c r="P614">
        <v>2346</v>
      </c>
      <c r="Q614">
        <v>0</v>
      </c>
      <c r="R614">
        <v>40899523711</v>
      </c>
      <c r="S614">
        <v>73133757.349999994</v>
      </c>
      <c r="T614">
        <v>40559885023.010002</v>
      </c>
      <c r="U614">
        <v>40754832202.5</v>
      </c>
      <c r="V614">
        <v>7.5451000000000004E-2</v>
      </c>
      <c r="W614">
        <v>2.0794E-2</v>
      </c>
      <c r="Y614" t="s">
        <v>1</v>
      </c>
      <c r="Z614">
        <v>3750</v>
      </c>
      <c r="AA614">
        <v>48</v>
      </c>
      <c r="AB614">
        <v>28256</v>
      </c>
      <c r="AC614">
        <v>0</v>
      </c>
      <c r="AD614">
        <v>874523020993</v>
      </c>
      <c r="AE614">
        <v>1646805701.48</v>
      </c>
      <c r="AF614">
        <v>867891820327</v>
      </c>
      <c r="AG614">
        <v>871273911388.68994</v>
      </c>
      <c r="AH614">
        <v>6.6291000000000003E-2</v>
      </c>
      <c r="AI614">
        <v>2.1766000000000001E-2</v>
      </c>
    </row>
    <row r="615" spans="1:35" x14ac:dyDescent="0.35">
      <c r="A615" t="s">
        <v>0</v>
      </c>
      <c r="B615">
        <v>4750</v>
      </c>
      <c r="C615">
        <v>48</v>
      </c>
      <c r="D615">
        <v>29151</v>
      </c>
      <c r="E615">
        <v>0</v>
      </c>
      <c r="F615">
        <v>703548004332</v>
      </c>
      <c r="G615">
        <v>1133000126.8800001</v>
      </c>
      <c r="H615">
        <v>698722377975.65002</v>
      </c>
      <c r="I615">
        <v>701190256938.22998</v>
      </c>
      <c r="J615">
        <v>6.1196E-2</v>
      </c>
      <c r="K615">
        <v>2.0691000000000001E-2</v>
      </c>
      <c r="M615" t="s">
        <v>2</v>
      </c>
      <c r="N615">
        <v>4500</v>
      </c>
      <c r="O615">
        <v>48</v>
      </c>
      <c r="P615">
        <v>252</v>
      </c>
      <c r="Q615">
        <v>0</v>
      </c>
      <c r="R615">
        <v>3407548272</v>
      </c>
      <c r="S615">
        <v>5888289.25</v>
      </c>
      <c r="T615">
        <v>3378435584.23</v>
      </c>
      <c r="U615">
        <v>3395079276.1300001</v>
      </c>
      <c r="V615">
        <v>7.8789999999999999E-2</v>
      </c>
      <c r="W615">
        <v>2.2929999999999999E-2</v>
      </c>
      <c r="Y615" t="s">
        <v>0</v>
      </c>
      <c r="Z615">
        <v>4750</v>
      </c>
      <c r="AA615">
        <v>48</v>
      </c>
      <c r="AB615">
        <v>20258</v>
      </c>
      <c r="AC615">
        <v>0</v>
      </c>
      <c r="AD615">
        <v>466487364447</v>
      </c>
      <c r="AE615">
        <v>750562646.47000003</v>
      </c>
      <c r="AF615">
        <v>463620861286</v>
      </c>
      <c r="AG615">
        <v>464911643492.22998</v>
      </c>
      <c r="AH615">
        <v>5.3093000000000001E-2</v>
      </c>
      <c r="AI615">
        <v>2.1021000000000001E-2</v>
      </c>
    </row>
    <row r="616" spans="1:35" x14ac:dyDescent="0.35">
      <c r="A616" t="s">
        <v>0</v>
      </c>
      <c r="B616">
        <v>5250</v>
      </c>
      <c r="C616">
        <v>48</v>
      </c>
      <c r="D616">
        <v>23524</v>
      </c>
      <c r="E616">
        <v>0</v>
      </c>
      <c r="F616">
        <v>554378674185</v>
      </c>
      <c r="G616">
        <v>820986840.85000002</v>
      </c>
      <c r="H616">
        <v>550565474250.27002</v>
      </c>
      <c r="I616">
        <v>552389540035.41003</v>
      </c>
      <c r="J616">
        <v>6.2880000000000005E-2</v>
      </c>
      <c r="K616">
        <v>2.4995E-2</v>
      </c>
      <c r="M616" t="s">
        <v>0</v>
      </c>
      <c r="N616">
        <v>6000</v>
      </c>
      <c r="O616">
        <v>42</v>
      </c>
      <c r="P616">
        <v>7025</v>
      </c>
      <c r="Q616">
        <v>0</v>
      </c>
      <c r="R616">
        <v>164130692946</v>
      </c>
      <c r="S616">
        <v>207929497.71000001</v>
      </c>
      <c r="T616">
        <v>162151862532.56</v>
      </c>
      <c r="U616">
        <v>163073541654.17999</v>
      </c>
      <c r="V616">
        <v>0.122061</v>
      </c>
      <c r="W616">
        <v>6.0352000000000003E-2</v>
      </c>
      <c r="Y616" t="s">
        <v>0</v>
      </c>
      <c r="Z616">
        <v>5250</v>
      </c>
      <c r="AA616">
        <v>48</v>
      </c>
      <c r="AB616">
        <v>7904</v>
      </c>
      <c r="AC616">
        <v>0</v>
      </c>
      <c r="AD616">
        <v>187860674967</v>
      </c>
      <c r="AE616">
        <v>278412432.23000002</v>
      </c>
      <c r="AF616">
        <v>186853466877</v>
      </c>
      <c r="AG616">
        <v>187254016865.89999</v>
      </c>
      <c r="AH616">
        <v>4.5573000000000002E-2</v>
      </c>
      <c r="AI616">
        <v>2.0767000000000001E-2</v>
      </c>
    </row>
    <row r="617" spans="1:35" x14ac:dyDescent="0.35">
      <c r="A617" t="s">
        <v>2</v>
      </c>
      <c r="B617">
        <v>4250</v>
      </c>
      <c r="C617">
        <v>48</v>
      </c>
      <c r="D617">
        <v>2909</v>
      </c>
      <c r="E617">
        <v>0</v>
      </c>
      <c r="F617">
        <v>47099097938</v>
      </c>
      <c r="G617">
        <v>82507795.230000004</v>
      </c>
      <c r="H617">
        <v>46727114589.639999</v>
      </c>
      <c r="I617">
        <v>46920132141.68</v>
      </c>
      <c r="J617">
        <v>7.1309999999999998E-2</v>
      </c>
      <c r="K617">
        <v>2.4301E-2</v>
      </c>
      <c r="M617" t="s">
        <v>2</v>
      </c>
      <c r="N617">
        <v>6000</v>
      </c>
      <c r="O617">
        <v>42</v>
      </c>
      <c r="P617">
        <v>390</v>
      </c>
      <c r="Q617">
        <v>0</v>
      </c>
      <c r="R617">
        <v>5314954775</v>
      </c>
      <c r="S617">
        <v>6739444.9900000002</v>
      </c>
      <c r="T617">
        <v>5256998432.8599997</v>
      </c>
      <c r="U617">
        <v>5285916079.6899996</v>
      </c>
      <c r="V617">
        <v>0.10970000000000001</v>
      </c>
      <c r="W617">
        <v>4.9201000000000002E-2</v>
      </c>
      <c r="Y617" t="s">
        <v>2</v>
      </c>
      <c r="Z617">
        <v>4250</v>
      </c>
      <c r="AA617">
        <v>48</v>
      </c>
      <c r="AB617">
        <v>2613</v>
      </c>
      <c r="AC617">
        <v>0</v>
      </c>
      <c r="AD617">
        <v>41566241074</v>
      </c>
      <c r="AE617">
        <v>72639622.099999994</v>
      </c>
      <c r="AF617">
        <v>41041671050</v>
      </c>
      <c r="AG617">
        <v>41302361934.169998</v>
      </c>
      <c r="AH617">
        <v>0.122944</v>
      </c>
      <c r="AI617">
        <v>5.3834E-2</v>
      </c>
    </row>
    <row r="618" spans="1:35" x14ac:dyDescent="0.35">
      <c r="A618" t="s">
        <v>0</v>
      </c>
      <c r="B618">
        <v>5750</v>
      </c>
      <c r="C618">
        <v>48</v>
      </c>
      <c r="D618">
        <v>6180</v>
      </c>
      <c r="E618">
        <v>0</v>
      </c>
      <c r="F618">
        <v>148863382088</v>
      </c>
      <c r="G618">
        <v>203726693.13</v>
      </c>
      <c r="H618">
        <v>147688383861.56</v>
      </c>
      <c r="I618">
        <v>148197869461.20999</v>
      </c>
      <c r="J618">
        <v>7.5546000000000002E-2</v>
      </c>
      <c r="K618">
        <v>3.6595999999999997E-2</v>
      </c>
      <c r="M618" t="s">
        <v>1</v>
      </c>
      <c r="N618">
        <v>2750</v>
      </c>
      <c r="O618">
        <v>48</v>
      </c>
      <c r="P618">
        <v>76537</v>
      </c>
      <c r="Q618">
        <v>0</v>
      </c>
      <c r="R618">
        <v>2367460846363</v>
      </c>
      <c r="S618">
        <v>5197526534.1300001</v>
      </c>
      <c r="T618">
        <v>2345795993047.3901</v>
      </c>
      <c r="U618">
        <v>2359642824206.79</v>
      </c>
      <c r="V618">
        <v>8.0348000000000003E-2</v>
      </c>
      <c r="W618">
        <v>1.3202E-2</v>
      </c>
      <c r="Y618" t="s">
        <v>0</v>
      </c>
      <c r="Z618">
        <v>3750</v>
      </c>
      <c r="AA618">
        <v>42</v>
      </c>
      <c r="AB618">
        <v>4090</v>
      </c>
      <c r="AC618">
        <v>0</v>
      </c>
      <c r="AD618">
        <v>105865426361</v>
      </c>
      <c r="AE618">
        <v>195104812.56</v>
      </c>
      <c r="AF618">
        <v>105446659215</v>
      </c>
      <c r="AG618">
        <v>105600915281.03999</v>
      </c>
      <c r="AH618">
        <v>2.5059999999999999E-2</v>
      </c>
      <c r="AI618">
        <v>7.8390000000000005E-3</v>
      </c>
    </row>
    <row r="619" spans="1:35" x14ac:dyDescent="0.35">
      <c r="A619" t="s">
        <v>0</v>
      </c>
      <c r="B619">
        <v>6250</v>
      </c>
      <c r="C619">
        <v>48</v>
      </c>
      <c r="D619">
        <v>1232</v>
      </c>
      <c r="E619">
        <v>0</v>
      </c>
      <c r="F619">
        <v>29481018116</v>
      </c>
      <c r="G619">
        <v>37025761.850000001</v>
      </c>
      <c r="H619">
        <v>29142409908.349998</v>
      </c>
      <c r="I619">
        <v>29259341102.07</v>
      </c>
      <c r="J619">
        <v>0.11608</v>
      </c>
      <c r="K619">
        <v>7.2624999999999995E-2</v>
      </c>
      <c r="M619" t="s">
        <v>0</v>
      </c>
      <c r="N619">
        <v>5000</v>
      </c>
      <c r="O619">
        <v>48</v>
      </c>
      <c r="P619">
        <v>561</v>
      </c>
      <c r="Q619">
        <v>0</v>
      </c>
      <c r="R619">
        <v>12402830008</v>
      </c>
      <c r="S619">
        <v>19165444.52</v>
      </c>
      <c r="T619">
        <v>12313213565.1</v>
      </c>
      <c r="U619">
        <v>12357784248.77</v>
      </c>
      <c r="V619">
        <v>6.6073000000000007E-2</v>
      </c>
      <c r="W619">
        <v>2.4754000000000002E-2</v>
      </c>
      <c r="Y619" t="s">
        <v>2</v>
      </c>
      <c r="Z619">
        <v>4000</v>
      </c>
      <c r="AA619">
        <v>42</v>
      </c>
      <c r="AB619">
        <v>462</v>
      </c>
      <c r="AC619">
        <v>0</v>
      </c>
      <c r="AD619">
        <v>9169532467</v>
      </c>
      <c r="AE619">
        <v>16424030.18</v>
      </c>
      <c r="AF619">
        <v>9123350645</v>
      </c>
      <c r="AG619">
        <v>9123350645</v>
      </c>
      <c r="AH619">
        <v>3.8255999999999998E-2</v>
      </c>
      <c r="AI619">
        <v>3.8255999999999998E-2</v>
      </c>
    </row>
    <row r="620" spans="1:35" x14ac:dyDescent="0.35">
      <c r="A620" t="s">
        <v>1</v>
      </c>
      <c r="B620">
        <v>4250</v>
      </c>
      <c r="C620">
        <v>48</v>
      </c>
      <c r="D620">
        <v>14737</v>
      </c>
      <c r="E620">
        <v>0</v>
      </c>
      <c r="F620">
        <v>484385558296</v>
      </c>
      <c r="G620">
        <v>842068402.25</v>
      </c>
      <c r="H620">
        <v>479261852091.48999</v>
      </c>
      <c r="I620">
        <v>482059209216.76001</v>
      </c>
      <c r="J620">
        <v>0.101064</v>
      </c>
      <c r="K620">
        <v>3.6158000000000003E-2</v>
      </c>
      <c r="M620" t="s">
        <v>0</v>
      </c>
      <c r="N620">
        <v>4250</v>
      </c>
      <c r="O620">
        <v>48</v>
      </c>
      <c r="P620">
        <v>15173</v>
      </c>
      <c r="Q620">
        <v>0</v>
      </c>
      <c r="R620">
        <v>339162673683</v>
      </c>
      <c r="S620">
        <v>591743123.23000002</v>
      </c>
      <c r="T620">
        <v>336689156282.84003</v>
      </c>
      <c r="U620">
        <v>338071713554.94</v>
      </c>
      <c r="V620">
        <v>6.4585000000000004E-2</v>
      </c>
      <c r="W620">
        <v>1.7520999999999998E-2</v>
      </c>
      <c r="Y620" t="s">
        <v>0</v>
      </c>
      <c r="Z620">
        <v>4000</v>
      </c>
      <c r="AA620">
        <v>42</v>
      </c>
      <c r="AB620">
        <v>7304</v>
      </c>
      <c r="AC620">
        <v>0</v>
      </c>
      <c r="AD620">
        <v>200751773588</v>
      </c>
      <c r="AE620">
        <v>355462216.72000003</v>
      </c>
      <c r="AF620">
        <v>199928034088</v>
      </c>
      <c r="AG620">
        <v>200373765547.57999</v>
      </c>
      <c r="AH620">
        <v>2.7635E-2</v>
      </c>
      <c r="AI620">
        <v>1.3470000000000001E-3</v>
      </c>
    </row>
    <row r="621" spans="1:35" x14ac:dyDescent="0.35">
      <c r="A621" t="s">
        <v>2</v>
      </c>
      <c r="B621">
        <v>4750</v>
      </c>
      <c r="C621">
        <v>48</v>
      </c>
      <c r="D621">
        <v>1998</v>
      </c>
      <c r="E621">
        <v>0</v>
      </c>
      <c r="F621">
        <v>31692061364</v>
      </c>
      <c r="G621">
        <v>51141928.049999997</v>
      </c>
      <c r="H621">
        <v>31445114633.73</v>
      </c>
      <c r="I621">
        <v>31578561152.330002</v>
      </c>
      <c r="J621">
        <v>7.1672E-2</v>
      </c>
      <c r="K621">
        <v>2.3358E-2</v>
      </c>
      <c r="M621" t="s">
        <v>2</v>
      </c>
      <c r="N621">
        <v>3750</v>
      </c>
      <c r="O621">
        <v>48</v>
      </c>
      <c r="P621">
        <v>4893</v>
      </c>
      <c r="Q621">
        <v>0</v>
      </c>
      <c r="R621">
        <v>73908987289</v>
      </c>
      <c r="S621">
        <v>141740418.36000001</v>
      </c>
      <c r="T621">
        <v>73286300210.330002</v>
      </c>
      <c r="U621">
        <v>73676867007.660004</v>
      </c>
      <c r="V621">
        <v>7.5352000000000002E-2</v>
      </c>
      <c r="W621">
        <v>1.4576E-2</v>
      </c>
      <c r="Y621" t="s">
        <v>0</v>
      </c>
      <c r="Z621">
        <v>4250</v>
      </c>
      <c r="AA621">
        <v>42</v>
      </c>
      <c r="AB621">
        <v>11634</v>
      </c>
      <c r="AC621">
        <v>0</v>
      </c>
      <c r="AD621">
        <v>329990673567</v>
      </c>
      <c r="AE621">
        <v>560790724.11000001</v>
      </c>
      <c r="AF621">
        <v>328319290943</v>
      </c>
      <c r="AG621">
        <v>329211916408.22998</v>
      </c>
      <c r="AH621">
        <v>3.9647000000000002E-2</v>
      </c>
      <c r="AI621">
        <v>7.8980000000000005E-3</v>
      </c>
    </row>
    <row r="622" spans="1:35" x14ac:dyDescent="0.35">
      <c r="A622" t="s">
        <v>0</v>
      </c>
      <c r="B622">
        <v>4000</v>
      </c>
      <c r="C622">
        <v>42</v>
      </c>
      <c r="D622">
        <v>4393</v>
      </c>
      <c r="E622">
        <v>0</v>
      </c>
      <c r="F622">
        <v>129064706652</v>
      </c>
      <c r="G622">
        <v>227930988.33000001</v>
      </c>
      <c r="H622">
        <v>128166949999.67999</v>
      </c>
      <c r="I622">
        <v>128654705185.58</v>
      </c>
      <c r="J622">
        <v>6.0531000000000001E-2</v>
      </c>
      <c r="K622">
        <v>1.6798E-2</v>
      </c>
      <c r="M622" t="s">
        <v>0</v>
      </c>
      <c r="N622">
        <v>5500</v>
      </c>
      <c r="O622">
        <v>48</v>
      </c>
      <c r="P622">
        <v>106</v>
      </c>
      <c r="Q622">
        <v>0</v>
      </c>
      <c r="R622">
        <v>2434293285</v>
      </c>
      <c r="S622">
        <v>3471371.63</v>
      </c>
      <c r="T622">
        <v>2411476517.4099998</v>
      </c>
      <c r="U622">
        <v>2420758942.8099999</v>
      </c>
      <c r="V622">
        <v>9.1304999999999997E-2</v>
      </c>
      <c r="W622">
        <v>4.8494000000000002E-2</v>
      </c>
      <c r="Y622" t="s">
        <v>0</v>
      </c>
      <c r="Z622">
        <v>4750</v>
      </c>
      <c r="AA622">
        <v>42</v>
      </c>
      <c r="AB622">
        <v>43169</v>
      </c>
      <c r="AC622">
        <v>0</v>
      </c>
      <c r="AD622">
        <v>1236666767979</v>
      </c>
      <c r="AE622">
        <v>1939267960.3299999</v>
      </c>
      <c r="AF622">
        <v>1229669967470</v>
      </c>
      <c r="AG622">
        <v>1233330675069.0901</v>
      </c>
      <c r="AH622">
        <v>4.7987000000000002E-2</v>
      </c>
      <c r="AI622">
        <v>1.3469999999999999E-2</v>
      </c>
    </row>
    <row r="623" spans="1:35" x14ac:dyDescent="0.35">
      <c r="A623" t="s">
        <v>0</v>
      </c>
      <c r="B623">
        <v>4750</v>
      </c>
      <c r="C623">
        <v>42</v>
      </c>
      <c r="D623">
        <v>34609</v>
      </c>
      <c r="E623">
        <v>0</v>
      </c>
      <c r="F623">
        <v>1012427798800</v>
      </c>
      <c r="G623">
        <v>1589859353.6199999</v>
      </c>
      <c r="H623">
        <v>1005452223546.6899</v>
      </c>
      <c r="I623">
        <v>1009442631183.28</v>
      </c>
      <c r="J623">
        <v>6.2E-2</v>
      </c>
      <c r="K623">
        <v>1.6413000000000001E-2</v>
      </c>
      <c r="M623" t="s">
        <v>0</v>
      </c>
      <c r="N623">
        <v>3250</v>
      </c>
      <c r="O623">
        <v>42</v>
      </c>
      <c r="P623">
        <v>10743</v>
      </c>
      <c r="Q623">
        <v>0</v>
      </c>
      <c r="R623">
        <v>259049127234</v>
      </c>
      <c r="S623">
        <v>516767575.66000003</v>
      </c>
      <c r="T623">
        <v>257182746607.54999</v>
      </c>
      <c r="U623">
        <v>258290208116.54999</v>
      </c>
      <c r="V623">
        <v>6.0758E-2</v>
      </c>
      <c r="W623">
        <v>1.116E-2</v>
      </c>
      <c r="Y623" t="s">
        <v>0</v>
      </c>
      <c r="Z623">
        <v>3000</v>
      </c>
      <c r="AA623">
        <v>42</v>
      </c>
      <c r="AB623">
        <v>1148</v>
      </c>
      <c r="AC623">
        <v>0</v>
      </c>
      <c r="AD623">
        <v>24355589132</v>
      </c>
      <c r="AE623">
        <v>50421817.979999997</v>
      </c>
      <c r="AF623">
        <v>24235208287</v>
      </c>
      <c r="AG623">
        <v>24293324954.77</v>
      </c>
      <c r="AH623">
        <v>3.3929000000000001E-2</v>
      </c>
      <c r="AI623">
        <v>5.8190000000000004E-3</v>
      </c>
    </row>
    <row r="624" spans="1:35" x14ac:dyDescent="0.35">
      <c r="A624" t="s">
        <v>0</v>
      </c>
      <c r="B624">
        <v>5250</v>
      </c>
      <c r="C624">
        <v>42</v>
      </c>
      <c r="D624">
        <v>54569</v>
      </c>
      <c r="E624">
        <v>0</v>
      </c>
      <c r="F624">
        <v>1437634910496</v>
      </c>
      <c r="G624">
        <v>2086802901.0699999</v>
      </c>
      <c r="H624">
        <v>1426991655646.1899</v>
      </c>
      <c r="I624">
        <v>1432525163915.73</v>
      </c>
      <c r="J624">
        <v>6.9128999999999996E-2</v>
      </c>
      <c r="K624">
        <v>2.4943E-2</v>
      </c>
      <c r="M624" t="s">
        <v>2</v>
      </c>
      <c r="N624">
        <v>3250</v>
      </c>
      <c r="O624">
        <v>42</v>
      </c>
      <c r="P624">
        <v>937</v>
      </c>
      <c r="Q624">
        <v>0</v>
      </c>
      <c r="R624">
        <v>16672759352</v>
      </c>
      <c r="S624">
        <v>33524964.170000002</v>
      </c>
      <c r="T624">
        <v>16549703095.67</v>
      </c>
      <c r="U624">
        <v>16624908168.540001</v>
      </c>
      <c r="V624">
        <v>6.2569E-2</v>
      </c>
      <c r="W624">
        <v>1.0263E-2</v>
      </c>
      <c r="Y624" t="s">
        <v>0</v>
      </c>
      <c r="Z624">
        <v>3500</v>
      </c>
      <c r="AA624">
        <v>42</v>
      </c>
      <c r="AB624">
        <v>2021</v>
      </c>
      <c r="AC624">
        <v>0</v>
      </c>
      <c r="AD624">
        <v>49738513259</v>
      </c>
      <c r="AE624">
        <v>95445546.950000003</v>
      </c>
      <c r="AF624">
        <v>49512488745</v>
      </c>
      <c r="AG624">
        <v>49643884193.709999</v>
      </c>
      <c r="AH624">
        <v>3.1053000000000001E-2</v>
      </c>
      <c r="AI624">
        <v>-1.9699999999999999E-4</v>
      </c>
    </row>
    <row r="625" spans="1:35" x14ac:dyDescent="0.35">
      <c r="A625" t="s">
        <v>2</v>
      </c>
      <c r="B625">
        <v>5250</v>
      </c>
      <c r="C625">
        <v>48</v>
      </c>
      <c r="D625">
        <v>1735</v>
      </c>
      <c r="E625">
        <v>0</v>
      </c>
      <c r="F625">
        <v>24909454528</v>
      </c>
      <c r="G625">
        <v>37046168.259999998</v>
      </c>
      <c r="H625">
        <v>24702177773.82</v>
      </c>
      <c r="I625">
        <v>24806797908.240002</v>
      </c>
      <c r="J625">
        <v>7.8993999999999995E-2</v>
      </c>
      <c r="K625">
        <v>3.1154000000000001E-2</v>
      </c>
      <c r="M625" t="s">
        <v>0</v>
      </c>
      <c r="N625">
        <v>3750</v>
      </c>
      <c r="O625">
        <v>42</v>
      </c>
      <c r="P625">
        <v>24216</v>
      </c>
      <c r="Q625">
        <v>0</v>
      </c>
      <c r="R625">
        <v>607658777912</v>
      </c>
      <c r="S625">
        <v>1123869185.98</v>
      </c>
      <c r="T625">
        <v>603364661536.13</v>
      </c>
      <c r="U625">
        <v>605991988683.92004</v>
      </c>
      <c r="V625">
        <v>6.0839999999999998E-2</v>
      </c>
      <c r="W625">
        <v>1.0669E-2</v>
      </c>
      <c r="Y625" t="s">
        <v>0</v>
      </c>
      <c r="Z625">
        <v>3250</v>
      </c>
      <c r="AA625">
        <v>42</v>
      </c>
      <c r="AB625">
        <v>2334</v>
      </c>
      <c r="AC625">
        <v>0</v>
      </c>
      <c r="AD625">
        <v>49142352003</v>
      </c>
      <c r="AE625">
        <v>98089262.390000001</v>
      </c>
      <c r="AF625">
        <v>48842595989</v>
      </c>
      <c r="AG625">
        <v>49033745972.639999</v>
      </c>
      <c r="AH625">
        <v>4.8148000000000003E-2</v>
      </c>
      <c r="AI625">
        <v>2.565E-3</v>
      </c>
    </row>
    <row r="626" spans="1:35" x14ac:dyDescent="0.35">
      <c r="A626" t="s">
        <v>1</v>
      </c>
      <c r="B626">
        <v>6000</v>
      </c>
      <c r="C626">
        <v>48</v>
      </c>
      <c r="D626">
        <v>125</v>
      </c>
      <c r="E626">
        <v>0</v>
      </c>
      <c r="F626">
        <v>3110516067</v>
      </c>
      <c r="G626">
        <v>4065788</v>
      </c>
      <c r="H626">
        <v>3051234191.9200001</v>
      </c>
      <c r="I626">
        <v>3089066081.4000001</v>
      </c>
      <c r="J626">
        <v>0.19340199999999999</v>
      </c>
      <c r="K626">
        <v>6.5043000000000004E-2</v>
      </c>
      <c r="M626" t="s">
        <v>1</v>
      </c>
      <c r="N626">
        <v>3750</v>
      </c>
      <c r="O626">
        <v>42</v>
      </c>
      <c r="P626">
        <v>19922</v>
      </c>
      <c r="Q626">
        <v>0</v>
      </c>
      <c r="R626">
        <v>689316908192</v>
      </c>
      <c r="S626">
        <v>1274060440.3599999</v>
      </c>
      <c r="T626">
        <v>682446807960.66003</v>
      </c>
      <c r="U626">
        <v>686851096025.01001</v>
      </c>
      <c r="V626">
        <v>9.3185000000000004E-2</v>
      </c>
      <c r="W626">
        <v>2.0551E-2</v>
      </c>
      <c r="Y626" t="s">
        <v>0</v>
      </c>
      <c r="Z626">
        <v>5250</v>
      </c>
      <c r="AA626">
        <v>42</v>
      </c>
      <c r="AB626">
        <v>69182</v>
      </c>
      <c r="AC626">
        <v>0</v>
      </c>
      <c r="AD626">
        <v>1778483022316</v>
      </c>
      <c r="AE626">
        <v>2576859902.9299998</v>
      </c>
      <c r="AF626">
        <v>1768672783283</v>
      </c>
      <c r="AG626">
        <v>1773847580832.6899</v>
      </c>
      <c r="AH626">
        <v>4.7729000000000001E-2</v>
      </c>
      <c r="AI626">
        <v>1.3802E-2</v>
      </c>
    </row>
    <row r="627" spans="1:35" x14ac:dyDescent="0.35">
      <c r="A627" t="s">
        <v>0</v>
      </c>
      <c r="B627">
        <v>3500</v>
      </c>
      <c r="C627">
        <v>42</v>
      </c>
      <c r="D627">
        <v>862</v>
      </c>
      <c r="E627">
        <v>0</v>
      </c>
      <c r="F627">
        <v>19830882597</v>
      </c>
      <c r="G627">
        <v>38001600.700000003</v>
      </c>
      <c r="H627">
        <v>19679106974.41</v>
      </c>
      <c r="I627">
        <v>19748947285.240002</v>
      </c>
      <c r="J627">
        <v>6.6714999999999997E-2</v>
      </c>
      <c r="K627">
        <v>2.6263000000000002E-2</v>
      </c>
      <c r="M627" t="s">
        <v>1</v>
      </c>
      <c r="N627">
        <v>2250</v>
      </c>
      <c r="O627">
        <v>42</v>
      </c>
      <c r="P627">
        <v>700</v>
      </c>
      <c r="Q627">
        <v>0</v>
      </c>
      <c r="R627">
        <v>26715967012</v>
      </c>
      <c r="S627">
        <v>61611057.649999999</v>
      </c>
      <c r="T627">
        <v>26469127981.990002</v>
      </c>
      <c r="U627">
        <v>26609293011.610001</v>
      </c>
      <c r="V627">
        <v>8.0098000000000003E-2</v>
      </c>
      <c r="W627">
        <v>2.0053999999999999E-2</v>
      </c>
      <c r="Y627" t="s">
        <v>0</v>
      </c>
      <c r="Z627">
        <v>5750</v>
      </c>
      <c r="AA627">
        <v>42</v>
      </c>
      <c r="AB627">
        <v>66280</v>
      </c>
      <c r="AC627">
        <v>0</v>
      </c>
      <c r="AD627">
        <v>1636743027506</v>
      </c>
      <c r="AE627">
        <v>2184016983.1399999</v>
      </c>
      <c r="AF627">
        <v>1626522514730</v>
      </c>
      <c r="AG627">
        <v>1632046887316.2</v>
      </c>
      <c r="AH627">
        <v>5.7355000000000003E-2</v>
      </c>
      <c r="AI627">
        <v>1.8263000000000001E-2</v>
      </c>
    </row>
    <row r="628" spans="1:35" x14ac:dyDescent="0.35">
      <c r="A628" t="s">
        <v>0</v>
      </c>
      <c r="B628">
        <v>4250</v>
      </c>
      <c r="C628">
        <v>42</v>
      </c>
      <c r="D628">
        <v>7466</v>
      </c>
      <c r="E628">
        <v>0</v>
      </c>
      <c r="F628">
        <v>220181413879</v>
      </c>
      <c r="G628">
        <v>374170427</v>
      </c>
      <c r="H628">
        <v>218603348941.66</v>
      </c>
      <c r="I628">
        <v>219495161570.41</v>
      </c>
      <c r="J628">
        <v>6.3674999999999995E-2</v>
      </c>
      <c r="K628">
        <v>1.6877E-2</v>
      </c>
      <c r="M628" t="s">
        <v>2</v>
      </c>
      <c r="N628">
        <v>2750</v>
      </c>
      <c r="O628">
        <v>42</v>
      </c>
      <c r="P628">
        <v>187</v>
      </c>
      <c r="Q628">
        <v>0</v>
      </c>
      <c r="R628">
        <v>3555171032</v>
      </c>
      <c r="S628">
        <v>7711725.3399999999</v>
      </c>
      <c r="T628">
        <v>3530296378.9699998</v>
      </c>
      <c r="U628">
        <v>3544201848</v>
      </c>
      <c r="V628">
        <v>5.6417000000000002E-2</v>
      </c>
      <c r="W628">
        <v>1.094E-2</v>
      </c>
      <c r="Y628" t="s">
        <v>0</v>
      </c>
      <c r="Z628">
        <v>6250</v>
      </c>
      <c r="AA628">
        <v>42</v>
      </c>
      <c r="AB628">
        <v>23312</v>
      </c>
      <c r="AC628">
        <v>0</v>
      </c>
      <c r="AD628">
        <v>572513754308</v>
      </c>
      <c r="AE628">
        <v>698159731.44000006</v>
      </c>
      <c r="AF628">
        <v>566636545551</v>
      </c>
      <c r="AG628">
        <v>570327183496.79004</v>
      </c>
      <c r="AH628">
        <v>0.103312</v>
      </c>
      <c r="AI628">
        <v>3.0755000000000001E-2</v>
      </c>
    </row>
    <row r="629" spans="1:35" x14ac:dyDescent="0.35">
      <c r="A629" t="s">
        <v>1</v>
      </c>
      <c r="B629">
        <v>5250</v>
      </c>
      <c r="C629">
        <v>42</v>
      </c>
      <c r="D629">
        <v>27699</v>
      </c>
      <c r="E629">
        <v>0</v>
      </c>
      <c r="F629">
        <v>958491228837</v>
      </c>
      <c r="G629">
        <v>1391494916.28</v>
      </c>
      <c r="H629">
        <v>947735093318.34998</v>
      </c>
      <c r="I629">
        <v>954150456435.97998</v>
      </c>
      <c r="J629">
        <v>0.11114300000000001</v>
      </c>
      <c r="K629">
        <v>3.6304999999999997E-2</v>
      </c>
      <c r="M629" t="s">
        <v>1</v>
      </c>
      <c r="N629">
        <v>2750</v>
      </c>
      <c r="O629">
        <v>42</v>
      </c>
      <c r="P629">
        <v>5946</v>
      </c>
      <c r="Q629">
        <v>0</v>
      </c>
      <c r="R629">
        <v>196138025819</v>
      </c>
      <c r="S629">
        <v>421271225.56</v>
      </c>
      <c r="T629">
        <v>194315539773.14001</v>
      </c>
      <c r="U629">
        <v>195453575283.16</v>
      </c>
      <c r="V629">
        <v>8.2438999999999998E-2</v>
      </c>
      <c r="W629">
        <v>1.5983000000000001E-2</v>
      </c>
      <c r="Y629" t="s">
        <v>2</v>
      </c>
      <c r="Z629">
        <v>3750</v>
      </c>
      <c r="AA629">
        <v>42</v>
      </c>
      <c r="AB629">
        <v>338</v>
      </c>
      <c r="AC629">
        <v>0</v>
      </c>
      <c r="AD629">
        <v>6306056995</v>
      </c>
      <c r="AE629">
        <v>11776296.470000001</v>
      </c>
      <c r="AF629">
        <v>6252514113</v>
      </c>
      <c r="AG629">
        <v>6269993016.2200003</v>
      </c>
      <c r="AH629">
        <v>7.6647000000000007E-2</v>
      </c>
      <c r="AI629">
        <v>4.5251E-2</v>
      </c>
    </row>
    <row r="630" spans="1:35" x14ac:dyDescent="0.35">
      <c r="A630" t="s">
        <v>2</v>
      </c>
      <c r="B630">
        <v>5250</v>
      </c>
      <c r="C630">
        <v>42</v>
      </c>
      <c r="D630">
        <v>4165</v>
      </c>
      <c r="E630">
        <v>0</v>
      </c>
      <c r="F630">
        <v>70177442976</v>
      </c>
      <c r="G630">
        <v>102117795.33</v>
      </c>
      <c r="H630">
        <v>69656623420.220001</v>
      </c>
      <c r="I630">
        <v>69949967283.029999</v>
      </c>
      <c r="J630">
        <v>6.9292999999999993E-2</v>
      </c>
      <c r="K630">
        <v>2.1225999999999998E-2</v>
      </c>
      <c r="M630" t="s">
        <v>0</v>
      </c>
      <c r="N630">
        <v>4250</v>
      </c>
      <c r="O630">
        <v>42</v>
      </c>
      <c r="P630">
        <v>31103</v>
      </c>
      <c r="Q630">
        <v>0</v>
      </c>
      <c r="R630">
        <v>792281467023</v>
      </c>
      <c r="S630">
        <v>1351569794.3599999</v>
      </c>
      <c r="T630">
        <v>786289385109.75</v>
      </c>
      <c r="U630">
        <v>789736785944.18005</v>
      </c>
      <c r="V630">
        <v>6.8065000000000001E-2</v>
      </c>
      <c r="W630">
        <v>1.7922E-2</v>
      </c>
      <c r="Y630" t="s">
        <v>2</v>
      </c>
      <c r="Z630">
        <v>4250</v>
      </c>
      <c r="AA630">
        <v>42</v>
      </c>
      <c r="AB630">
        <v>777</v>
      </c>
      <c r="AC630">
        <v>0</v>
      </c>
      <c r="AD630">
        <v>14460119394</v>
      </c>
      <c r="AE630">
        <v>24816065.510000002</v>
      </c>
      <c r="AF630">
        <v>14364337843</v>
      </c>
      <c r="AG630">
        <v>14427354883.639999</v>
      </c>
      <c r="AH630">
        <v>5.7327999999999997E-2</v>
      </c>
      <c r="AI630">
        <v>6.5760000000000002E-3</v>
      </c>
    </row>
    <row r="631" spans="1:35" x14ac:dyDescent="0.35">
      <c r="A631" t="s">
        <v>2</v>
      </c>
      <c r="B631">
        <v>5500</v>
      </c>
      <c r="C631">
        <v>42</v>
      </c>
      <c r="D631">
        <v>2185</v>
      </c>
      <c r="E631">
        <v>0</v>
      </c>
      <c r="F631">
        <v>36909443270</v>
      </c>
      <c r="G631">
        <v>51288565.520000003</v>
      </c>
      <c r="H631">
        <v>36632724237.550003</v>
      </c>
      <c r="I631">
        <v>36794401973</v>
      </c>
      <c r="J631">
        <v>7.0878999999999998E-2</v>
      </c>
      <c r="K631">
        <v>2.0532000000000002E-2</v>
      </c>
      <c r="M631" t="s">
        <v>2</v>
      </c>
      <c r="N631">
        <v>3750</v>
      </c>
      <c r="O631">
        <v>42</v>
      </c>
      <c r="P631">
        <v>2358</v>
      </c>
      <c r="Q631">
        <v>0</v>
      </c>
      <c r="R631">
        <v>41124333502</v>
      </c>
      <c r="S631">
        <v>76692378.25</v>
      </c>
      <c r="T631">
        <v>40805962285.550003</v>
      </c>
      <c r="U631">
        <v>41002306876.300003</v>
      </c>
      <c r="V631">
        <v>6.8285999999999999E-2</v>
      </c>
      <c r="W631">
        <v>1.3148999999999999E-2</v>
      </c>
      <c r="Y631" t="s">
        <v>1</v>
      </c>
      <c r="Z631">
        <v>4250</v>
      </c>
      <c r="AA631">
        <v>42</v>
      </c>
      <c r="AB631">
        <v>11786</v>
      </c>
      <c r="AC631">
        <v>0</v>
      </c>
      <c r="AD631">
        <v>444329934019</v>
      </c>
      <c r="AE631">
        <v>754947854.65999997</v>
      </c>
      <c r="AF631">
        <v>441061888320</v>
      </c>
      <c r="AG631">
        <v>442850933801.14001</v>
      </c>
      <c r="AH631">
        <v>6.5798999999999996E-2</v>
      </c>
      <c r="AI631">
        <v>1.9380000000000001E-2</v>
      </c>
    </row>
    <row r="632" spans="1:35" x14ac:dyDescent="0.35">
      <c r="A632" t="s">
        <v>0</v>
      </c>
      <c r="B632">
        <v>6000</v>
      </c>
      <c r="C632">
        <v>42</v>
      </c>
      <c r="D632">
        <v>18103</v>
      </c>
      <c r="E632">
        <v>0</v>
      </c>
      <c r="F632">
        <v>447527932109</v>
      </c>
      <c r="G632">
        <v>569865267.64999998</v>
      </c>
      <c r="H632">
        <v>442599125722.27002</v>
      </c>
      <c r="I632">
        <v>445304957692.10999</v>
      </c>
      <c r="J632">
        <v>0.110818</v>
      </c>
      <c r="K632">
        <v>4.3437000000000003E-2</v>
      </c>
      <c r="M632" t="s">
        <v>0</v>
      </c>
      <c r="N632">
        <v>4750</v>
      </c>
      <c r="O632">
        <v>42</v>
      </c>
      <c r="P632">
        <v>48672</v>
      </c>
      <c r="Q632">
        <v>0</v>
      </c>
      <c r="R632">
        <v>1296915052925</v>
      </c>
      <c r="S632">
        <v>2031884067.52</v>
      </c>
      <c r="T632">
        <v>1287062879049.5601</v>
      </c>
      <c r="U632">
        <v>1292715392389.23</v>
      </c>
      <c r="V632">
        <v>7.0007E-2</v>
      </c>
      <c r="W632">
        <v>1.9873999999999999E-2</v>
      </c>
      <c r="Y632" t="s">
        <v>2</v>
      </c>
      <c r="Z632">
        <v>4750</v>
      </c>
      <c r="AA632">
        <v>42</v>
      </c>
      <c r="AB632">
        <v>2603</v>
      </c>
      <c r="AC632">
        <v>0</v>
      </c>
      <c r="AD632">
        <v>49148697786</v>
      </c>
      <c r="AE632">
        <v>77290719.840000004</v>
      </c>
      <c r="AF632">
        <v>48808306850</v>
      </c>
      <c r="AG632">
        <v>48977641903.019997</v>
      </c>
      <c r="AH632">
        <v>6.2379999999999998E-2</v>
      </c>
      <c r="AI632">
        <v>2.2655000000000002E-2</v>
      </c>
    </row>
    <row r="633" spans="1:35" x14ac:dyDescent="0.35">
      <c r="A633" t="s">
        <v>0</v>
      </c>
      <c r="B633">
        <v>7500</v>
      </c>
      <c r="C633">
        <v>42</v>
      </c>
      <c r="D633">
        <v>616</v>
      </c>
      <c r="E633">
        <v>0</v>
      </c>
      <c r="F633">
        <v>14432154103</v>
      </c>
      <c r="G633">
        <v>14058177.66</v>
      </c>
      <c r="H633">
        <v>14193599226.200001</v>
      </c>
      <c r="I633">
        <v>14360091044.120001</v>
      </c>
      <c r="J633">
        <v>0.17149400000000001</v>
      </c>
      <c r="K633">
        <v>4.7177999999999998E-2</v>
      </c>
      <c r="M633" t="s">
        <v>0</v>
      </c>
      <c r="N633">
        <v>5250</v>
      </c>
      <c r="O633">
        <v>42</v>
      </c>
      <c r="P633">
        <v>61350</v>
      </c>
      <c r="Q633">
        <v>0</v>
      </c>
      <c r="R633">
        <v>1551409037304</v>
      </c>
      <c r="S633">
        <v>2235466118.5500002</v>
      </c>
      <c r="T633">
        <v>1538106429679.1599</v>
      </c>
      <c r="U633">
        <v>1545153230435.1899</v>
      </c>
      <c r="V633">
        <v>8.2322999999999993E-2</v>
      </c>
      <c r="W633">
        <v>3.0658000000000001E-2</v>
      </c>
      <c r="Y633" t="s">
        <v>2</v>
      </c>
      <c r="Z633">
        <v>5250</v>
      </c>
      <c r="AA633">
        <v>42</v>
      </c>
      <c r="AB633">
        <v>5522</v>
      </c>
      <c r="AC633">
        <v>0</v>
      </c>
      <c r="AD633">
        <v>89573783642</v>
      </c>
      <c r="AE633">
        <v>130141509.81</v>
      </c>
      <c r="AF633">
        <v>88808193876</v>
      </c>
      <c r="AG633">
        <v>89147003958.589996</v>
      </c>
      <c r="AH633">
        <v>8.1884999999999999E-2</v>
      </c>
      <c r="AI633">
        <v>3.9024000000000003E-2</v>
      </c>
    </row>
    <row r="634" spans="1:35" x14ac:dyDescent="0.35">
      <c r="A634" t="s">
        <v>0</v>
      </c>
      <c r="B634">
        <v>7000</v>
      </c>
      <c r="C634">
        <v>42</v>
      </c>
      <c r="D634">
        <v>3997</v>
      </c>
      <c r="E634">
        <v>0</v>
      </c>
      <c r="F634">
        <v>93509353613</v>
      </c>
      <c r="G634">
        <v>99852876.769999996</v>
      </c>
      <c r="H634">
        <v>91736739174.710007</v>
      </c>
      <c r="I634">
        <v>92827817720.580002</v>
      </c>
      <c r="J634">
        <v>0.19475400000000001</v>
      </c>
      <c r="K634">
        <v>7.2145000000000001E-2</v>
      </c>
      <c r="M634" t="s">
        <v>1</v>
      </c>
      <c r="N634">
        <v>3250</v>
      </c>
      <c r="O634">
        <v>42</v>
      </c>
      <c r="P634">
        <v>14228</v>
      </c>
      <c r="Q634">
        <v>0</v>
      </c>
      <c r="R634">
        <v>489077524739</v>
      </c>
      <c r="S634">
        <v>974132283.05999994</v>
      </c>
      <c r="T634">
        <v>484281523892.59998</v>
      </c>
      <c r="U634">
        <v>487322021759.66998</v>
      </c>
      <c r="V634">
        <v>8.9845999999999995E-2</v>
      </c>
      <c r="W634">
        <v>1.9004E-2</v>
      </c>
      <c r="Y634" t="s">
        <v>1</v>
      </c>
      <c r="Z634">
        <v>6000</v>
      </c>
      <c r="AA634">
        <v>42</v>
      </c>
      <c r="AB634">
        <v>6440</v>
      </c>
      <c r="AC634">
        <v>0</v>
      </c>
      <c r="AD634">
        <v>183269214274</v>
      </c>
      <c r="AE634">
        <v>232843804.88999999</v>
      </c>
      <c r="AF634">
        <v>179778773034</v>
      </c>
      <c r="AG634">
        <v>182215477242.70001</v>
      </c>
      <c r="AH634">
        <v>0.193634</v>
      </c>
      <c r="AI634">
        <v>5.2444999999999999E-2</v>
      </c>
    </row>
    <row r="635" spans="1:35" x14ac:dyDescent="0.35">
      <c r="A635" t="s">
        <v>0</v>
      </c>
      <c r="B635">
        <v>6500</v>
      </c>
      <c r="C635">
        <v>42</v>
      </c>
      <c r="D635">
        <v>7693</v>
      </c>
      <c r="E635">
        <v>0</v>
      </c>
      <c r="F635">
        <v>192644752445</v>
      </c>
      <c r="G635">
        <v>224378463.50999999</v>
      </c>
      <c r="H635">
        <v>189420775965.95999</v>
      </c>
      <c r="I635">
        <v>191100786580.25</v>
      </c>
      <c r="J635">
        <v>0.171648</v>
      </c>
      <c r="K635">
        <v>7.9171000000000005E-2</v>
      </c>
      <c r="M635" t="s">
        <v>2</v>
      </c>
      <c r="N635">
        <v>4250</v>
      </c>
      <c r="O635">
        <v>42</v>
      </c>
      <c r="P635">
        <v>2642</v>
      </c>
      <c r="Q635">
        <v>0</v>
      </c>
      <c r="R635">
        <v>44931602802</v>
      </c>
      <c r="S635">
        <v>77255220.099999994</v>
      </c>
      <c r="T635">
        <v>44553260047.910004</v>
      </c>
      <c r="U635">
        <v>44760948946.800003</v>
      </c>
      <c r="V635">
        <v>7.7514E-2</v>
      </c>
      <c r="W635">
        <v>2.4660999999999999E-2</v>
      </c>
      <c r="Y635" t="s">
        <v>1</v>
      </c>
      <c r="Z635">
        <v>5250</v>
      </c>
      <c r="AA635">
        <v>42</v>
      </c>
      <c r="AB635">
        <v>32345</v>
      </c>
      <c r="AC635">
        <v>0</v>
      </c>
      <c r="AD635">
        <v>1106543952767</v>
      </c>
      <c r="AE635">
        <v>1602148468.6400001</v>
      </c>
      <c r="AF635">
        <v>1095039763145</v>
      </c>
      <c r="AG635">
        <v>1101353331858.1499</v>
      </c>
      <c r="AH635">
        <v>0.102253</v>
      </c>
      <c r="AI635">
        <v>3.8228999999999999E-2</v>
      </c>
    </row>
    <row r="636" spans="1:35" x14ac:dyDescent="0.35">
      <c r="A636" t="s">
        <v>2</v>
      </c>
      <c r="B636">
        <v>6000</v>
      </c>
      <c r="C636">
        <v>42</v>
      </c>
      <c r="D636">
        <v>1010</v>
      </c>
      <c r="E636">
        <v>0</v>
      </c>
      <c r="F636">
        <v>16407310800</v>
      </c>
      <c r="G636">
        <v>20890226.829999998</v>
      </c>
      <c r="H636">
        <v>16275803217.950001</v>
      </c>
      <c r="I636">
        <v>16353326144.4</v>
      </c>
      <c r="J636">
        <v>7.7969999999999998E-2</v>
      </c>
      <c r="K636">
        <v>2.3938000000000001E-2</v>
      </c>
      <c r="M636" t="s">
        <v>0</v>
      </c>
      <c r="N636">
        <v>5750</v>
      </c>
      <c r="O636">
        <v>42</v>
      </c>
      <c r="P636">
        <v>47620</v>
      </c>
      <c r="Q636">
        <v>0</v>
      </c>
      <c r="R636">
        <v>1169226209177</v>
      </c>
      <c r="S636">
        <v>1550633180.71</v>
      </c>
      <c r="T636">
        <v>1157869578303.9399</v>
      </c>
      <c r="U636">
        <v>1163234285347.4299</v>
      </c>
      <c r="V636">
        <v>9.6126000000000003E-2</v>
      </c>
      <c r="W636">
        <v>4.4642000000000001E-2</v>
      </c>
      <c r="Y636" t="s">
        <v>0</v>
      </c>
      <c r="Z636">
        <v>6000</v>
      </c>
      <c r="AA636">
        <v>48</v>
      </c>
      <c r="AB636">
        <v>171</v>
      </c>
      <c r="AC636">
        <v>0</v>
      </c>
      <c r="AD636">
        <v>3797956243</v>
      </c>
      <c r="AE636">
        <v>4972221.38</v>
      </c>
      <c r="AF636">
        <v>3793836812</v>
      </c>
      <c r="AG636">
        <v>3793836812</v>
      </c>
      <c r="AH636">
        <v>-2.6979999999999999E-3</v>
      </c>
      <c r="AI636">
        <v>-2.6979999999999999E-3</v>
      </c>
    </row>
    <row r="637" spans="1:35" x14ac:dyDescent="0.35">
      <c r="A637" t="s">
        <v>0</v>
      </c>
      <c r="B637">
        <v>6500</v>
      </c>
      <c r="C637">
        <v>48</v>
      </c>
      <c r="D637">
        <v>132</v>
      </c>
      <c r="E637">
        <v>0</v>
      </c>
      <c r="F637">
        <v>2908922020</v>
      </c>
      <c r="G637">
        <v>3485764.5</v>
      </c>
      <c r="H637">
        <v>2881903739.8600001</v>
      </c>
      <c r="I637">
        <v>2891915274.0999999</v>
      </c>
      <c r="J637">
        <v>9.2871999999999996E-2</v>
      </c>
      <c r="K637">
        <v>5.4372999999999998E-2</v>
      </c>
      <c r="M637" t="s">
        <v>0</v>
      </c>
      <c r="N637">
        <v>6250</v>
      </c>
      <c r="O637">
        <v>42</v>
      </c>
      <c r="P637">
        <v>10455</v>
      </c>
      <c r="Q637">
        <v>0</v>
      </c>
      <c r="R637">
        <v>251417298126</v>
      </c>
      <c r="S637">
        <v>305873714.63999999</v>
      </c>
      <c r="T637">
        <v>248006860333.81</v>
      </c>
      <c r="U637">
        <v>249297638232.84</v>
      </c>
      <c r="V637">
        <v>0.138518</v>
      </c>
      <c r="W637">
        <v>8.3216999999999999E-2</v>
      </c>
      <c r="Y637" t="s">
        <v>0</v>
      </c>
      <c r="Z637">
        <v>7500</v>
      </c>
      <c r="AA637">
        <v>42</v>
      </c>
      <c r="AB637">
        <v>111</v>
      </c>
      <c r="AC637">
        <v>0</v>
      </c>
      <c r="AD637">
        <v>2871140252</v>
      </c>
      <c r="AE637">
        <v>2794943.97</v>
      </c>
      <c r="AF637">
        <v>2795581232</v>
      </c>
      <c r="AG637">
        <v>2868885807.4699998</v>
      </c>
      <c r="AH637">
        <v>0.26511400000000002</v>
      </c>
      <c r="AI637">
        <v>-2.261E-3</v>
      </c>
    </row>
    <row r="638" spans="1:35" x14ac:dyDescent="0.35">
      <c r="A638" t="s">
        <v>2</v>
      </c>
      <c r="B638">
        <v>6500</v>
      </c>
      <c r="C638">
        <v>48</v>
      </c>
      <c r="D638">
        <v>5</v>
      </c>
      <c r="E638">
        <v>0</v>
      </c>
      <c r="F638">
        <v>46764424</v>
      </c>
      <c r="G638">
        <v>63222.62</v>
      </c>
      <c r="H638">
        <v>46575435.340000004</v>
      </c>
      <c r="I638">
        <v>46700808.490000002</v>
      </c>
      <c r="J638">
        <v>3.1799000000000001E-2</v>
      </c>
      <c r="K638">
        <v>1.01E-4</v>
      </c>
      <c r="M638" t="s">
        <v>1</v>
      </c>
      <c r="N638">
        <v>4250</v>
      </c>
      <c r="O638">
        <v>42</v>
      </c>
      <c r="P638">
        <v>18542</v>
      </c>
      <c r="Q638">
        <v>0</v>
      </c>
      <c r="R638">
        <v>654552027464</v>
      </c>
      <c r="S638">
        <v>1112036465.3399999</v>
      </c>
      <c r="T638">
        <v>647622521043.44995</v>
      </c>
      <c r="U638">
        <v>652092444559.04004</v>
      </c>
      <c r="V638">
        <v>0.101591</v>
      </c>
      <c r="W638">
        <v>2.4427000000000001E-2</v>
      </c>
      <c r="Y638" t="s">
        <v>0</v>
      </c>
      <c r="Z638">
        <v>7500</v>
      </c>
      <c r="AA638">
        <v>36</v>
      </c>
      <c r="AB638">
        <v>2667</v>
      </c>
      <c r="AC638">
        <v>0</v>
      </c>
      <c r="AD638">
        <v>60968832622</v>
      </c>
      <c r="AE638">
        <v>57834747.18</v>
      </c>
      <c r="AF638">
        <v>60127817403</v>
      </c>
      <c r="AG638">
        <v>60772679404.599998</v>
      </c>
      <c r="AH638">
        <v>0.14371</v>
      </c>
      <c r="AI638">
        <v>2.6887000000000001E-2</v>
      </c>
    </row>
    <row r="639" spans="1:35" x14ac:dyDescent="0.35">
      <c r="A639" t="s">
        <v>2</v>
      </c>
      <c r="B639">
        <v>6500</v>
      </c>
      <c r="C639">
        <v>42</v>
      </c>
      <c r="D639">
        <v>437</v>
      </c>
      <c r="E639">
        <v>0</v>
      </c>
      <c r="F639">
        <v>7289045502</v>
      </c>
      <c r="G639">
        <v>8460567.25</v>
      </c>
      <c r="H639">
        <v>7223696756.0200005</v>
      </c>
      <c r="I639">
        <v>7263543949.3000002</v>
      </c>
      <c r="J639">
        <v>8.9737999999999998E-2</v>
      </c>
      <c r="K639">
        <v>2.7696999999999999E-2</v>
      </c>
      <c r="M639" t="s">
        <v>2</v>
      </c>
      <c r="N639">
        <v>4750</v>
      </c>
      <c r="O639">
        <v>42</v>
      </c>
      <c r="P639">
        <v>3164</v>
      </c>
      <c r="Q639">
        <v>0</v>
      </c>
      <c r="R639">
        <v>54774220849</v>
      </c>
      <c r="S639">
        <v>86189186.730000004</v>
      </c>
      <c r="T639">
        <v>54320909898.830002</v>
      </c>
      <c r="U639">
        <v>54582133017.089996</v>
      </c>
      <c r="V639">
        <v>7.7530000000000002E-2</v>
      </c>
      <c r="W639">
        <v>2.2955E-2</v>
      </c>
      <c r="Y639" t="s">
        <v>0</v>
      </c>
      <c r="Z639">
        <v>7000</v>
      </c>
      <c r="AA639">
        <v>42</v>
      </c>
      <c r="AB639">
        <v>1648</v>
      </c>
      <c r="AC639">
        <v>0</v>
      </c>
      <c r="AD639">
        <v>36767223963</v>
      </c>
      <c r="AE639">
        <v>39320553.350000001</v>
      </c>
      <c r="AF639">
        <v>36245944328</v>
      </c>
      <c r="AG639">
        <v>36657696528.470001</v>
      </c>
      <c r="AH639">
        <v>0.14644099999999999</v>
      </c>
      <c r="AI639">
        <v>2.2675000000000001E-2</v>
      </c>
    </row>
    <row r="640" spans="1:35" x14ac:dyDescent="0.35">
      <c r="A640" t="s">
        <v>1</v>
      </c>
      <c r="B640">
        <v>6500</v>
      </c>
      <c r="C640">
        <v>42</v>
      </c>
      <c r="D640">
        <v>2128</v>
      </c>
      <c r="E640">
        <v>0</v>
      </c>
      <c r="F640">
        <v>61653016233</v>
      </c>
      <c r="G640">
        <v>71579561.760000005</v>
      </c>
      <c r="H640">
        <v>59480374064.190002</v>
      </c>
      <c r="I640">
        <v>61258117705.019997</v>
      </c>
      <c r="J640">
        <v>0.34037000000000001</v>
      </c>
      <c r="K640">
        <v>6.1145999999999999E-2</v>
      </c>
      <c r="M640" t="s">
        <v>2</v>
      </c>
      <c r="N640">
        <v>5250</v>
      </c>
      <c r="O640">
        <v>42</v>
      </c>
      <c r="P640">
        <v>4866</v>
      </c>
      <c r="Q640">
        <v>0</v>
      </c>
      <c r="R640">
        <v>76597060975</v>
      </c>
      <c r="S640">
        <v>110707756.23</v>
      </c>
      <c r="T640">
        <v>75905981629.929993</v>
      </c>
      <c r="U640">
        <v>76307969157.300003</v>
      </c>
      <c r="V640">
        <v>8.7228E-2</v>
      </c>
      <c r="W640">
        <v>2.7591000000000001E-2</v>
      </c>
      <c r="Y640" t="s">
        <v>1</v>
      </c>
      <c r="Z640">
        <v>4250</v>
      </c>
      <c r="AA640">
        <v>48</v>
      </c>
      <c r="AB640">
        <v>11164</v>
      </c>
      <c r="AC640">
        <v>0</v>
      </c>
      <c r="AD640">
        <v>350133082993</v>
      </c>
      <c r="AE640">
        <v>607913054.45000005</v>
      </c>
      <c r="AF640">
        <v>346712303866</v>
      </c>
      <c r="AG640">
        <v>348467831490.82001</v>
      </c>
      <c r="AH640">
        <v>9.2257000000000006E-2</v>
      </c>
      <c r="AI640">
        <v>3.5642E-2</v>
      </c>
    </row>
    <row r="641" spans="1:35" x14ac:dyDescent="0.35">
      <c r="A641" t="s">
        <v>1</v>
      </c>
      <c r="B641">
        <v>6000</v>
      </c>
      <c r="C641">
        <v>42</v>
      </c>
      <c r="D641">
        <v>8007</v>
      </c>
      <c r="E641">
        <v>0</v>
      </c>
      <c r="F641">
        <v>237644783985</v>
      </c>
      <c r="G641">
        <v>302563932.89999998</v>
      </c>
      <c r="H641">
        <v>231993924075.95001</v>
      </c>
      <c r="I641">
        <v>236268093445.31</v>
      </c>
      <c r="J641">
        <v>0.23902200000000001</v>
      </c>
      <c r="K641">
        <v>5.2909999999999999E-2</v>
      </c>
      <c r="M641" t="s">
        <v>1</v>
      </c>
      <c r="N641">
        <v>6000</v>
      </c>
      <c r="O641">
        <v>42</v>
      </c>
      <c r="P641">
        <v>3040</v>
      </c>
      <c r="Q641">
        <v>0</v>
      </c>
      <c r="R641">
        <v>81660701337</v>
      </c>
      <c r="S641">
        <v>103455335.54000001</v>
      </c>
      <c r="T641">
        <v>79800710591.759995</v>
      </c>
      <c r="U641">
        <v>81123744107.779999</v>
      </c>
      <c r="V641">
        <v>0.22967199999999999</v>
      </c>
      <c r="W641">
        <v>6.1874999999999999E-2</v>
      </c>
      <c r="Y641" t="s">
        <v>2</v>
      </c>
      <c r="Z641">
        <v>3500</v>
      </c>
      <c r="AA641">
        <v>42</v>
      </c>
      <c r="AB641">
        <v>221</v>
      </c>
      <c r="AC641">
        <v>0</v>
      </c>
      <c r="AD641">
        <v>3879841066</v>
      </c>
      <c r="AE641">
        <v>7608967.1799999997</v>
      </c>
      <c r="AF641">
        <v>3845757739</v>
      </c>
      <c r="AG641">
        <v>3872080394.46</v>
      </c>
      <c r="AH641">
        <v>7.8879000000000005E-2</v>
      </c>
      <c r="AI641">
        <v>4.6900000000000002E-4</v>
      </c>
    </row>
    <row r="642" spans="1:35" x14ac:dyDescent="0.35">
      <c r="A642" t="s">
        <v>2</v>
      </c>
      <c r="B642">
        <v>7000</v>
      </c>
      <c r="C642">
        <v>42</v>
      </c>
      <c r="D642">
        <v>260</v>
      </c>
      <c r="E642">
        <v>0</v>
      </c>
      <c r="F642">
        <v>3695795758</v>
      </c>
      <c r="G642">
        <v>3936989.38</v>
      </c>
      <c r="H642">
        <v>3650144644.8800001</v>
      </c>
      <c r="I642">
        <v>3681778607.9299998</v>
      </c>
      <c r="J642">
        <v>0.12734300000000001</v>
      </c>
      <c r="K642">
        <v>3.2243000000000001E-2</v>
      </c>
      <c r="M642" t="s">
        <v>1</v>
      </c>
      <c r="N642">
        <v>5250</v>
      </c>
      <c r="O642">
        <v>42</v>
      </c>
      <c r="P642">
        <v>25567</v>
      </c>
      <c r="Q642">
        <v>0</v>
      </c>
      <c r="R642">
        <v>864826209510</v>
      </c>
      <c r="S642">
        <v>1244571244.8900001</v>
      </c>
      <c r="T642">
        <v>854751962513.60999</v>
      </c>
      <c r="U642">
        <v>860969329178.14001</v>
      </c>
      <c r="V642">
        <v>0.115866</v>
      </c>
      <c r="W642">
        <v>3.5651000000000002E-2</v>
      </c>
      <c r="Y642" t="s">
        <v>0</v>
      </c>
      <c r="Z642">
        <v>6500</v>
      </c>
      <c r="AA642">
        <v>42</v>
      </c>
      <c r="AB642">
        <v>4499</v>
      </c>
      <c r="AC642">
        <v>0</v>
      </c>
      <c r="AD642">
        <v>110121952594</v>
      </c>
      <c r="AE642">
        <v>128405411.20999999</v>
      </c>
      <c r="AF642">
        <v>108664232239</v>
      </c>
      <c r="AG642">
        <v>109225783290.13</v>
      </c>
      <c r="AH642">
        <v>0.13561500000000001</v>
      </c>
      <c r="AI642">
        <v>8.0529000000000003E-2</v>
      </c>
    </row>
    <row r="643" spans="1:35" x14ac:dyDescent="0.35">
      <c r="A643" t="s">
        <v>2</v>
      </c>
      <c r="B643">
        <v>4750</v>
      </c>
      <c r="C643">
        <v>42</v>
      </c>
      <c r="D643">
        <v>1844</v>
      </c>
      <c r="E643">
        <v>0</v>
      </c>
      <c r="F643">
        <v>36308425979</v>
      </c>
      <c r="G643">
        <v>57120246.18</v>
      </c>
      <c r="H643">
        <v>36049262523.25</v>
      </c>
      <c r="I643">
        <v>36203699885.580002</v>
      </c>
      <c r="J643">
        <v>6.4768999999999993E-2</v>
      </c>
      <c r="K643">
        <v>1.5620999999999999E-2</v>
      </c>
      <c r="M643" t="s">
        <v>0</v>
      </c>
      <c r="N643">
        <v>5000</v>
      </c>
      <c r="O643">
        <v>36</v>
      </c>
      <c r="P643">
        <v>10857</v>
      </c>
      <c r="Q643">
        <v>0</v>
      </c>
      <c r="R643">
        <v>317820665201</v>
      </c>
      <c r="S643">
        <v>464282149.27999997</v>
      </c>
      <c r="T643">
        <v>315376236844.90997</v>
      </c>
      <c r="U643">
        <v>316906267603.33002</v>
      </c>
      <c r="V643">
        <v>7.2255E-2</v>
      </c>
      <c r="W643">
        <v>1.6863E-2</v>
      </c>
      <c r="Y643" t="s">
        <v>2</v>
      </c>
      <c r="Z643">
        <v>6500</v>
      </c>
      <c r="AA643">
        <v>42</v>
      </c>
      <c r="AB643">
        <v>209</v>
      </c>
      <c r="AC643">
        <v>0</v>
      </c>
      <c r="AD643">
        <v>3150854607</v>
      </c>
      <c r="AE643">
        <v>3659975.23</v>
      </c>
      <c r="AF643">
        <v>3111840554</v>
      </c>
      <c r="AG643">
        <v>3111840554</v>
      </c>
      <c r="AH643">
        <v>0.126639</v>
      </c>
      <c r="AI643">
        <v>0.126639</v>
      </c>
    </row>
    <row r="644" spans="1:35" x14ac:dyDescent="0.35">
      <c r="A644" t="s">
        <v>0</v>
      </c>
      <c r="B644">
        <v>5750</v>
      </c>
      <c r="C644">
        <v>42</v>
      </c>
      <c r="D644">
        <v>64218</v>
      </c>
      <c r="E644">
        <v>0</v>
      </c>
      <c r="F644">
        <v>1591543234740</v>
      </c>
      <c r="G644">
        <v>2131435922.51</v>
      </c>
      <c r="H644">
        <v>1577212606563.78</v>
      </c>
      <c r="I644">
        <v>1584041882147.1899</v>
      </c>
      <c r="J644">
        <v>8.8200000000000001E-2</v>
      </c>
      <c r="K644">
        <v>3.9745000000000003E-2</v>
      </c>
      <c r="M644" t="s">
        <v>0</v>
      </c>
      <c r="N644">
        <v>7500</v>
      </c>
      <c r="O644">
        <v>36</v>
      </c>
      <c r="P644">
        <v>1736</v>
      </c>
      <c r="Q644">
        <v>0</v>
      </c>
      <c r="R644">
        <v>39398307348</v>
      </c>
      <c r="S644">
        <v>37239265.149999999</v>
      </c>
      <c r="T644">
        <v>38591453059.480003</v>
      </c>
      <c r="U644">
        <v>39121753063.769997</v>
      </c>
      <c r="V644">
        <v>0.21079600000000001</v>
      </c>
      <c r="W644">
        <v>7.0503999999999997E-2</v>
      </c>
      <c r="Y644" t="s">
        <v>1</v>
      </c>
      <c r="Z644">
        <v>6500</v>
      </c>
      <c r="AA644">
        <v>42</v>
      </c>
      <c r="AB644">
        <v>901</v>
      </c>
      <c r="AC644">
        <v>0</v>
      </c>
      <c r="AD644">
        <v>23606210820</v>
      </c>
      <c r="AE644">
        <v>27432327.890000001</v>
      </c>
      <c r="AF644">
        <v>22503247801</v>
      </c>
      <c r="AG644">
        <v>23363816901.790001</v>
      </c>
      <c r="AH644">
        <v>0.42855300000000002</v>
      </c>
      <c r="AI644">
        <v>0.103964</v>
      </c>
    </row>
    <row r="645" spans="1:35" x14ac:dyDescent="0.35">
      <c r="A645" t="s">
        <v>2</v>
      </c>
      <c r="B645">
        <v>5750</v>
      </c>
      <c r="C645">
        <v>42</v>
      </c>
      <c r="D645">
        <v>5299</v>
      </c>
      <c r="E645">
        <v>0</v>
      </c>
      <c r="F645">
        <v>84736712658</v>
      </c>
      <c r="G645">
        <v>113599106.15000001</v>
      </c>
      <c r="H645">
        <v>84069567757.119995</v>
      </c>
      <c r="I645">
        <v>84445307168.550003</v>
      </c>
      <c r="J645">
        <v>7.5634000000000007E-2</v>
      </c>
      <c r="K645">
        <v>2.4891E-2</v>
      </c>
      <c r="M645" t="s">
        <v>0</v>
      </c>
      <c r="N645">
        <v>7000</v>
      </c>
      <c r="O645">
        <v>36</v>
      </c>
      <c r="P645">
        <v>7704</v>
      </c>
      <c r="Q645">
        <v>0</v>
      </c>
      <c r="R645">
        <v>179830544598</v>
      </c>
      <c r="S645">
        <v>186531589.21000001</v>
      </c>
      <c r="T645">
        <v>175719805668.22</v>
      </c>
      <c r="U645">
        <v>178116548564.5</v>
      </c>
      <c r="V645">
        <v>0.23261000000000001</v>
      </c>
      <c r="W645">
        <v>9.7297999999999996E-2</v>
      </c>
      <c r="Y645" t="s">
        <v>2</v>
      </c>
      <c r="Z645">
        <v>7000</v>
      </c>
      <c r="AA645">
        <v>42</v>
      </c>
      <c r="AB645">
        <v>54</v>
      </c>
      <c r="AC645">
        <v>0</v>
      </c>
      <c r="AD645">
        <v>773807527</v>
      </c>
      <c r="AE645">
        <v>823981.91</v>
      </c>
      <c r="AF645">
        <v>772785718</v>
      </c>
      <c r="AG645">
        <v>772785718</v>
      </c>
      <c r="AH645">
        <v>3.0639999999999999E-3</v>
      </c>
      <c r="AI645">
        <v>3.0639999999999999E-3</v>
      </c>
    </row>
    <row r="646" spans="1:35" x14ac:dyDescent="0.35">
      <c r="A646" t="s">
        <v>2</v>
      </c>
      <c r="B646">
        <v>4000</v>
      </c>
      <c r="C646">
        <v>42</v>
      </c>
      <c r="D646">
        <v>233</v>
      </c>
      <c r="E646">
        <v>0</v>
      </c>
      <c r="F646">
        <v>4958495696</v>
      </c>
      <c r="G646">
        <v>8923119.2699999996</v>
      </c>
      <c r="H646">
        <v>4921964707.96</v>
      </c>
      <c r="I646">
        <v>4940479881.7799997</v>
      </c>
      <c r="J646">
        <v>6.4805000000000001E-2</v>
      </c>
      <c r="K646">
        <v>2.1784999999999999E-2</v>
      </c>
      <c r="M646" t="s">
        <v>0</v>
      </c>
      <c r="N646">
        <v>6500</v>
      </c>
      <c r="O646">
        <v>42</v>
      </c>
      <c r="P646">
        <v>1840</v>
      </c>
      <c r="Q646">
        <v>0</v>
      </c>
      <c r="R646">
        <v>43543673643</v>
      </c>
      <c r="S646">
        <v>50622583.159999996</v>
      </c>
      <c r="T646">
        <v>42940968246.980003</v>
      </c>
      <c r="U646">
        <v>43171216380.57</v>
      </c>
      <c r="V646">
        <v>0.14197199999999999</v>
      </c>
      <c r="W646">
        <v>8.5175000000000001E-2</v>
      </c>
      <c r="Y646" t="s">
        <v>0</v>
      </c>
      <c r="Z646">
        <v>6500</v>
      </c>
      <c r="AA646">
        <v>36</v>
      </c>
      <c r="AB646">
        <v>18146</v>
      </c>
      <c r="AC646">
        <v>0</v>
      </c>
      <c r="AD646">
        <v>444738663881</v>
      </c>
      <c r="AE646">
        <v>502037576.37</v>
      </c>
      <c r="AF646">
        <v>437652737951</v>
      </c>
      <c r="AG646">
        <v>441509254224.04999</v>
      </c>
      <c r="AH646">
        <v>0.16387399999999999</v>
      </c>
      <c r="AI646">
        <v>7.1157999999999999E-2</v>
      </c>
    </row>
    <row r="647" spans="1:35" x14ac:dyDescent="0.35">
      <c r="A647" t="s">
        <v>0</v>
      </c>
      <c r="B647">
        <v>3750</v>
      </c>
      <c r="C647">
        <v>42</v>
      </c>
      <c r="D647">
        <v>1715</v>
      </c>
      <c r="E647">
        <v>0</v>
      </c>
      <c r="F647">
        <v>45483141514</v>
      </c>
      <c r="G647">
        <v>83614238.659999996</v>
      </c>
      <c r="H647">
        <v>45155875644.900002</v>
      </c>
      <c r="I647">
        <v>45342833713.720001</v>
      </c>
      <c r="J647">
        <v>6.2422999999999999E-2</v>
      </c>
      <c r="K647">
        <v>1.4855999999999999E-2</v>
      </c>
      <c r="M647" t="s">
        <v>2</v>
      </c>
      <c r="N647">
        <v>6500</v>
      </c>
      <c r="O647">
        <v>42</v>
      </c>
      <c r="P647">
        <v>64</v>
      </c>
      <c r="Q647">
        <v>0</v>
      </c>
      <c r="R647">
        <v>838021301</v>
      </c>
      <c r="S647">
        <v>974489.55</v>
      </c>
      <c r="T647">
        <v>831515490.26999998</v>
      </c>
      <c r="U647">
        <v>834828195.30999994</v>
      </c>
      <c r="V647">
        <v>7.6392000000000002E-2</v>
      </c>
      <c r="W647">
        <v>3.1310999999999999E-2</v>
      </c>
      <c r="Y647" t="s">
        <v>2</v>
      </c>
      <c r="Z647">
        <v>5750</v>
      </c>
      <c r="AA647">
        <v>42</v>
      </c>
      <c r="AB647">
        <v>5415</v>
      </c>
      <c r="AC647">
        <v>0</v>
      </c>
      <c r="AD647">
        <v>86106715387</v>
      </c>
      <c r="AE647">
        <v>114918471.45</v>
      </c>
      <c r="AF647">
        <v>85539762751</v>
      </c>
      <c r="AG647">
        <v>85701632354.320007</v>
      </c>
      <c r="AH647">
        <v>6.1209E-2</v>
      </c>
      <c r="AI647">
        <v>3.9697000000000003E-2</v>
      </c>
    </row>
    <row r="648" spans="1:35" x14ac:dyDescent="0.35">
      <c r="A648" t="s">
        <v>2</v>
      </c>
      <c r="B648">
        <v>4250</v>
      </c>
      <c r="C648">
        <v>42</v>
      </c>
      <c r="D648">
        <v>391</v>
      </c>
      <c r="E648">
        <v>0</v>
      </c>
      <c r="F648">
        <v>7519133381</v>
      </c>
      <c r="G648">
        <v>12953836.92</v>
      </c>
      <c r="H648">
        <v>7457176905.0600004</v>
      </c>
      <c r="I648">
        <v>7486694026.2200003</v>
      </c>
      <c r="J648">
        <v>7.5462000000000001E-2</v>
      </c>
      <c r="K648">
        <v>3.0658000000000001E-2</v>
      </c>
      <c r="M648" t="s">
        <v>1</v>
      </c>
      <c r="N648">
        <v>6500</v>
      </c>
      <c r="O648">
        <v>42</v>
      </c>
      <c r="P648">
        <v>191</v>
      </c>
      <c r="Q648">
        <v>0</v>
      </c>
      <c r="R648">
        <v>4651918623</v>
      </c>
      <c r="S648">
        <v>5394926.0300000003</v>
      </c>
      <c r="T648">
        <v>4501160383.6800003</v>
      </c>
      <c r="U648">
        <v>4617090657.8100004</v>
      </c>
      <c r="V648">
        <v>0.31679499999999999</v>
      </c>
      <c r="W648">
        <v>7.3338E-2</v>
      </c>
      <c r="Y648" t="s">
        <v>1</v>
      </c>
      <c r="Z648">
        <v>4750</v>
      </c>
      <c r="AA648">
        <v>42</v>
      </c>
      <c r="AB648">
        <v>34912</v>
      </c>
      <c r="AC648">
        <v>0</v>
      </c>
      <c r="AD648">
        <v>1282727224592</v>
      </c>
      <c r="AE648">
        <v>2013229853.8299999</v>
      </c>
      <c r="AF648">
        <v>1271945280317</v>
      </c>
      <c r="AG648">
        <v>1277985376704.9399</v>
      </c>
      <c r="AH648">
        <v>7.9017000000000004E-2</v>
      </c>
      <c r="AI648">
        <v>2.5229999999999999E-2</v>
      </c>
    </row>
    <row r="649" spans="1:35" x14ac:dyDescent="0.35">
      <c r="A649" t="s">
        <v>1</v>
      </c>
      <c r="B649">
        <v>5250</v>
      </c>
      <c r="C649">
        <v>48</v>
      </c>
      <c r="D649">
        <v>6634</v>
      </c>
      <c r="E649">
        <v>0</v>
      </c>
      <c r="F649">
        <v>207694345175</v>
      </c>
      <c r="G649">
        <v>307398960.01999998</v>
      </c>
      <c r="H649">
        <v>205079973812.07001</v>
      </c>
      <c r="I649">
        <v>206280307150.57999</v>
      </c>
      <c r="J649">
        <v>0.125442</v>
      </c>
      <c r="K649">
        <v>6.2098E-2</v>
      </c>
      <c r="M649" t="s">
        <v>0</v>
      </c>
      <c r="N649">
        <v>5500</v>
      </c>
      <c r="O649">
        <v>36</v>
      </c>
      <c r="P649">
        <v>19259</v>
      </c>
      <c r="Q649">
        <v>0</v>
      </c>
      <c r="R649">
        <v>521249169865</v>
      </c>
      <c r="S649">
        <v>697721693.59000003</v>
      </c>
      <c r="T649">
        <v>516430931559.44</v>
      </c>
      <c r="U649">
        <v>519040165633.32001</v>
      </c>
      <c r="V649">
        <v>9.0842999999999993E-2</v>
      </c>
      <c r="W649">
        <v>3.4243000000000003E-2</v>
      </c>
      <c r="Y649" t="s">
        <v>3</v>
      </c>
      <c r="Z649">
        <v>5000</v>
      </c>
      <c r="AA649">
        <v>42</v>
      </c>
      <c r="AB649">
        <v>77</v>
      </c>
      <c r="AC649">
        <v>0</v>
      </c>
      <c r="AD649">
        <v>1808908246</v>
      </c>
      <c r="AE649">
        <v>2740755.03</v>
      </c>
      <c r="AF649">
        <v>1806126011</v>
      </c>
      <c r="AG649">
        <v>1806126011</v>
      </c>
      <c r="AH649">
        <v>2.7500000000000002E-4</v>
      </c>
      <c r="AI649">
        <v>2.7500000000000002E-4</v>
      </c>
    </row>
    <row r="650" spans="1:35" x14ac:dyDescent="0.35">
      <c r="A650" t="s">
        <v>0</v>
      </c>
      <c r="B650">
        <v>6250</v>
      </c>
      <c r="C650">
        <v>42</v>
      </c>
      <c r="D650">
        <v>27815</v>
      </c>
      <c r="E650">
        <v>0</v>
      </c>
      <c r="F650">
        <v>691064162580</v>
      </c>
      <c r="G650">
        <v>844749772.80999994</v>
      </c>
      <c r="H650">
        <v>680990937495.43005</v>
      </c>
      <c r="I650">
        <v>685658947868.29004</v>
      </c>
      <c r="J650">
        <v>0.14898700000000001</v>
      </c>
      <c r="K650">
        <v>7.6378000000000001E-2</v>
      </c>
      <c r="M650" t="s">
        <v>2</v>
      </c>
      <c r="N650">
        <v>5500</v>
      </c>
      <c r="O650">
        <v>36</v>
      </c>
      <c r="P650">
        <v>1163</v>
      </c>
      <c r="Q650">
        <v>0</v>
      </c>
      <c r="R650">
        <v>22408260038</v>
      </c>
      <c r="S650">
        <v>30103097.09</v>
      </c>
      <c r="T650">
        <v>22223440488.450001</v>
      </c>
      <c r="U650">
        <v>22341444595.560001</v>
      </c>
      <c r="V650">
        <v>7.9778000000000002E-2</v>
      </c>
      <c r="W650">
        <v>1.9484000000000001E-2</v>
      </c>
      <c r="Y650" t="s">
        <v>1</v>
      </c>
      <c r="Z650">
        <v>4000</v>
      </c>
      <c r="AA650">
        <v>42</v>
      </c>
      <c r="AB650">
        <v>6315</v>
      </c>
      <c r="AC650">
        <v>0</v>
      </c>
      <c r="AD650">
        <v>230986726001</v>
      </c>
      <c r="AE650">
        <v>409769703.67000002</v>
      </c>
      <c r="AF650">
        <v>229456629122</v>
      </c>
      <c r="AG650">
        <v>230228076934.92999</v>
      </c>
      <c r="AH650">
        <v>5.6674000000000002E-2</v>
      </c>
      <c r="AI650">
        <v>1.7975000000000001E-2</v>
      </c>
    </row>
    <row r="651" spans="1:35" x14ac:dyDescent="0.35">
      <c r="A651" t="s">
        <v>1</v>
      </c>
      <c r="B651">
        <v>4750</v>
      </c>
      <c r="C651">
        <v>42</v>
      </c>
      <c r="D651">
        <v>29072</v>
      </c>
      <c r="E651">
        <v>0</v>
      </c>
      <c r="F651">
        <v>1067417674088</v>
      </c>
      <c r="G651">
        <v>1678790298.4300001</v>
      </c>
      <c r="H651">
        <v>1057310835895.76</v>
      </c>
      <c r="I651">
        <v>1063873328758.89</v>
      </c>
      <c r="J651">
        <v>9.0741000000000002E-2</v>
      </c>
      <c r="K651">
        <v>2.0771999999999999E-2</v>
      </c>
      <c r="M651" t="s">
        <v>1</v>
      </c>
      <c r="N651">
        <v>6000</v>
      </c>
      <c r="O651">
        <v>36</v>
      </c>
      <c r="P651">
        <v>10700</v>
      </c>
      <c r="Q651">
        <v>0</v>
      </c>
      <c r="R651">
        <v>348616262548</v>
      </c>
      <c r="S651">
        <v>429579098.79000002</v>
      </c>
      <c r="T651">
        <v>338615608006.34998</v>
      </c>
      <c r="U651">
        <v>346927537641.84003</v>
      </c>
      <c r="V651">
        <v>0.28399000000000002</v>
      </c>
      <c r="W651">
        <v>4.2491000000000001E-2</v>
      </c>
      <c r="Y651" t="s">
        <v>0</v>
      </c>
      <c r="Z651">
        <v>6750</v>
      </c>
      <c r="AA651">
        <v>42</v>
      </c>
      <c r="AB651">
        <v>6622</v>
      </c>
      <c r="AC651">
        <v>0</v>
      </c>
      <c r="AD651">
        <v>164064277504</v>
      </c>
      <c r="AE651">
        <v>182987734.40000001</v>
      </c>
      <c r="AF651">
        <v>161206665880</v>
      </c>
      <c r="AG651">
        <v>162445807999.95999</v>
      </c>
      <c r="AH651">
        <v>0.179006</v>
      </c>
      <c r="AI651">
        <v>0.10008599999999999</v>
      </c>
    </row>
    <row r="652" spans="1:35" x14ac:dyDescent="0.35">
      <c r="A652" t="s">
        <v>1</v>
      </c>
      <c r="B652">
        <v>4750</v>
      </c>
      <c r="C652">
        <v>48</v>
      </c>
      <c r="D652">
        <v>11262</v>
      </c>
      <c r="E652">
        <v>0</v>
      </c>
      <c r="F652">
        <v>379854015382</v>
      </c>
      <c r="G652">
        <v>609620115.52999997</v>
      </c>
      <c r="H652">
        <v>376151072670.32001</v>
      </c>
      <c r="I652">
        <v>378285950765.46997</v>
      </c>
      <c r="J652">
        <v>9.3461000000000002E-2</v>
      </c>
      <c r="K652">
        <v>2.9862E-2</v>
      </c>
      <c r="M652" t="s">
        <v>0</v>
      </c>
      <c r="N652">
        <v>6000</v>
      </c>
      <c r="O652">
        <v>36</v>
      </c>
      <c r="P652">
        <v>22368</v>
      </c>
      <c r="Q652">
        <v>0</v>
      </c>
      <c r="R652">
        <v>583091841102</v>
      </c>
      <c r="S652">
        <v>718473969.41999996</v>
      </c>
      <c r="T652">
        <v>575930480429.34998</v>
      </c>
      <c r="U652">
        <v>579767078656.59998</v>
      </c>
      <c r="V652">
        <v>0.12482600000000001</v>
      </c>
      <c r="W652">
        <v>5.2338000000000003E-2</v>
      </c>
      <c r="Y652" t="s">
        <v>0</v>
      </c>
      <c r="Z652">
        <v>7250</v>
      </c>
      <c r="AA652">
        <v>42</v>
      </c>
      <c r="AB652">
        <v>1341</v>
      </c>
      <c r="AC652">
        <v>0</v>
      </c>
      <c r="AD652">
        <v>30582532573</v>
      </c>
      <c r="AE652">
        <v>31236920.82</v>
      </c>
      <c r="AF652">
        <v>29897511107</v>
      </c>
      <c r="AG652">
        <v>30309334405.830002</v>
      </c>
      <c r="AH652">
        <v>0.22842000000000001</v>
      </c>
      <c r="AI652">
        <v>9.0916999999999998E-2</v>
      </c>
    </row>
    <row r="653" spans="1:35" x14ac:dyDescent="0.35">
      <c r="A653" t="s">
        <v>3</v>
      </c>
      <c r="B653">
        <v>5000</v>
      </c>
      <c r="C653">
        <v>42</v>
      </c>
      <c r="D653">
        <v>60</v>
      </c>
      <c r="E653">
        <v>0</v>
      </c>
      <c r="F653">
        <v>1465316481</v>
      </c>
      <c r="G653">
        <v>2224080.09</v>
      </c>
      <c r="H653">
        <v>1458153046.3699999</v>
      </c>
      <c r="I653">
        <v>1463086074.2</v>
      </c>
      <c r="J653">
        <v>3.9709000000000001E-2</v>
      </c>
      <c r="K653">
        <v>5.1999999999999997E-5</v>
      </c>
      <c r="M653" t="s">
        <v>2</v>
      </c>
      <c r="N653">
        <v>6000</v>
      </c>
      <c r="O653">
        <v>36</v>
      </c>
      <c r="P653">
        <v>1290</v>
      </c>
      <c r="Q653">
        <v>0</v>
      </c>
      <c r="R653">
        <v>23285155270</v>
      </c>
      <c r="S653">
        <v>28656222.77</v>
      </c>
      <c r="T653">
        <v>23077201660.560001</v>
      </c>
      <c r="U653">
        <v>23209162717.66</v>
      </c>
      <c r="V653">
        <v>8.8585999999999998E-2</v>
      </c>
      <c r="W653">
        <v>2.4124E-2</v>
      </c>
      <c r="Y653" t="s">
        <v>1</v>
      </c>
      <c r="Z653">
        <v>5750</v>
      </c>
      <c r="AA653">
        <v>42</v>
      </c>
      <c r="AB653">
        <v>24447</v>
      </c>
      <c r="AC653">
        <v>0</v>
      </c>
      <c r="AD653">
        <v>744385126494</v>
      </c>
      <c r="AE653">
        <v>992433161.77999997</v>
      </c>
      <c r="AF653">
        <v>732466865405</v>
      </c>
      <c r="AG653">
        <v>738636924413.47998</v>
      </c>
      <c r="AH653">
        <v>0.16258600000000001</v>
      </c>
      <c r="AI653">
        <v>7.4028999999999998E-2</v>
      </c>
    </row>
    <row r="654" spans="1:35" x14ac:dyDescent="0.35">
      <c r="A654" t="s">
        <v>1</v>
      </c>
      <c r="B654">
        <v>4000</v>
      </c>
      <c r="C654">
        <v>42</v>
      </c>
      <c r="D654">
        <v>3658</v>
      </c>
      <c r="E654">
        <v>0</v>
      </c>
      <c r="F654">
        <v>137409602498</v>
      </c>
      <c r="G654">
        <v>243265296.66</v>
      </c>
      <c r="H654">
        <v>136065749624.81</v>
      </c>
      <c r="I654">
        <v>136912044422.47</v>
      </c>
      <c r="J654">
        <v>9.1991000000000003E-2</v>
      </c>
      <c r="K654">
        <v>2.1982999999999999E-2</v>
      </c>
      <c r="M654" t="s">
        <v>0</v>
      </c>
      <c r="N654">
        <v>6500</v>
      </c>
      <c r="O654">
        <v>36</v>
      </c>
      <c r="P654">
        <v>13874</v>
      </c>
      <c r="Q654">
        <v>0</v>
      </c>
      <c r="R654">
        <v>342015837938</v>
      </c>
      <c r="S654">
        <v>385674039</v>
      </c>
      <c r="T654">
        <v>336338818448.76001</v>
      </c>
      <c r="U654">
        <v>339851793733.21002</v>
      </c>
      <c r="V654">
        <v>0.17064199999999999</v>
      </c>
      <c r="W654">
        <v>6.0642000000000001E-2</v>
      </c>
      <c r="Y654" t="s">
        <v>2</v>
      </c>
      <c r="Z654">
        <v>6250</v>
      </c>
      <c r="AA654">
        <v>42</v>
      </c>
      <c r="AB654">
        <v>1476</v>
      </c>
      <c r="AC654">
        <v>0</v>
      </c>
      <c r="AD654">
        <v>22453726834</v>
      </c>
      <c r="AE654">
        <v>27338095.190000001</v>
      </c>
      <c r="AF654">
        <v>22292717951</v>
      </c>
      <c r="AG654">
        <v>22352512904.66</v>
      </c>
      <c r="AH654">
        <v>6.9144999999999998E-2</v>
      </c>
      <c r="AI654">
        <v>3.8774999999999997E-2</v>
      </c>
    </row>
    <row r="655" spans="1:35" x14ac:dyDescent="0.35">
      <c r="A655" t="s">
        <v>1</v>
      </c>
      <c r="B655">
        <v>4250</v>
      </c>
      <c r="C655">
        <v>42</v>
      </c>
      <c r="D655">
        <v>7988</v>
      </c>
      <c r="E655">
        <v>0</v>
      </c>
      <c r="F655">
        <v>303788545229</v>
      </c>
      <c r="G655">
        <v>516244486.07999998</v>
      </c>
      <c r="H655">
        <v>300831646577.42999</v>
      </c>
      <c r="I655">
        <v>302726783262.84003</v>
      </c>
      <c r="J655">
        <v>9.2260999999999996E-2</v>
      </c>
      <c r="K655">
        <v>2.1336999999999998E-2</v>
      </c>
      <c r="M655" t="s">
        <v>1</v>
      </c>
      <c r="N655">
        <v>6500</v>
      </c>
      <c r="O655">
        <v>36</v>
      </c>
      <c r="P655">
        <v>4692</v>
      </c>
      <c r="Q655">
        <v>0</v>
      </c>
      <c r="R655">
        <v>137142160220</v>
      </c>
      <c r="S655">
        <v>154983693.71000001</v>
      </c>
      <c r="T655">
        <v>131524202034.89999</v>
      </c>
      <c r="U655">
        <v>136397459946.92</v>
      </c>
      <c r="V655">
        <v>0.386021</v>
      </c>
      <c r="W655">
        <v>5.0396999999999997E-2</v>
      </c>
      <c r="Y655" t="s">
        <v>0</v>
      </c>
      <c r="Z655">
        <v>6000</v>
      </c>
      <c r="AA655">
        <v>36</v>
      </c>
      <c r="AB655">
        <v>24364</v>
      </c>
      <c r="AC655">
        <v>0</v>
      </c>
      <c r="AD655">
        <v>655916680449</v>
      </c>
      <c r="AE655">
        <v>805387122.53999996</v>
      </c>
      <c r="AF655">
        <v>650109790430</v>
      </c>
      <c r="AG655">
        <v>653651050253.71997</v>
      </c>
      <c r="AH655">
        <v>8.7761000000000006E-2</v>
      </c>
      <c r="AI655">
        <v>2.639E-2</v>
      </c>
    </row>
    <row r="656" spans="1:35" x14ac:dyDescent="0.35">
      <c r="A656" t="s">
        <v>0</v>
      </c>
      <c r="B656">
        <v>6750</v>
      </c>
      <c r="C656">
        <v>42</v>
      </c>
      <c r="D656">
        <v>13308</v>
      </c>
      <c r="E656">
        <v>0</v>
      </c>
      <c r="F656">
        <v>332431456408</v>
      </c>
      <c r="G656">
        <v>370759572.94</v>
      </c>
      <c r="H656">
        <v>325264391859.08002</v>
      </c>
      <c r="I656">
        <v>328587469426.88</v>
      </c>
      <c r="J656">
        <v>0.21954099999999999</v>
      </c>
      <c r="K656">
        <v>0.11841599999999999</v>
      </c>
      <c r="M656" t="s">
        <v>2</v>
      </c>
      <c r="N656">
        <v>7000</v>
      </c>
      <c r="O656">
        <v>36</v>
      </c>
      <c r="P656">
        <v>496</v>
      </c>
      <c r="Q656">
        <v>0</v>
      </c>
      <c r="R656">
        <v>7284879433</v>
      </c>
      <c r="S656">
        <v>7554740.7800000003</v>
      </c>
      <c r="T656">
        <v>7190912776.5500002</v>
      </c>
      <c r="U656">
        <v>7251885864.5</v>
      </c>
      <c r="V656">
        <v>0.133413</v>
      </c>
      <c r="W656">
        <v>4.1109E-2</v>
      </c>
      <c r="Y656" t="s">
        <v>1</v>
      </c>
      <c r="Z656">
        <v>7000</v>
      </c>
      <c r="AA656">
        <v>42</v>
      </c>
      <c r="AB656">
        <v>232</v>
      </c>
      <c r="AC656">
        <v>0</v>
      </c>
      <c r="AD656">
        <v>5894549036</v>
      </c>
      <c r="AE656">
        <v>6258479.5899999999</v>
      </c>
      <c r="AF656">
        <v>5793503940</v>
      </c>
      <c r="AG656">
        <v>5839794287.3199997</v>
      </c>
      <c r="AH656">
        <v>0.17678099999999999</v>
      </c>
      <c r="AI656">
        <v>9.4381000000000007E-2</v>
      </c>
    </row>
    <row r="657" spans="1:35" x14ac:dyDescent="0.35">
      <c r="A657" t="s">
        <v>0</v>
      </c>
      <c r="B657">
        <v>7250</v>
      </c>
      <c r="C657">
        <v>42</v>
      </c>
      <c r="D657">
        <v>5140</v>
      </c>
      <c r="E657">
        <v>0</v>
      </c>
      <c r="F657">
        <v>114911468119</v>
      </c>
      <c r="G657">
        <v>117359559.77</v>
      </c>
      <c r="H657">
        <v>112700596106.64999</v>
      </c>
      <c r="I657">
        <v>114047669957.38</v>
      </c>
      <c r="J657">
        <v>0.197993</v>
      </c>
      <c r="K657">
        <v>7.5223999999999999E-2</v>
      </c>
      <c r="M657" t="s">
        <v>0</v>
      </c>
      <c r="N657">
        <v>7000</v>
      </c>
      <c r="O657">
        <v>42</v>
      </c>
      <c r="P657">
        <v>361</v>
      </c>
      <c r="Q657">
        <v>0</v>
      </c>
      <c r="R657">
        <v>7573034235</v>
      </c>
      <c r="S657">
        <v>8091372.9500000002</v>
      </c>
      <c r="T657">
        <v>7426993754.29</v>
      </c>
      <c r="U657">
        <v>7491746388.75</v>
      </c>
      <c r="V657">
        <v>0.197967</v>
      </c>
      <c r="W657">
        <v>0.110014</v>
      </c>
      <c r="Y657" t="s">
        <v>0</v>
      </c>
      <c r="Z657">
        <v>7000</v>
      </c>
      <c r="AA657">
        <v>36</v>
      </c>
      <c r="AB657">
        <v>9848</v>
      </c>
      <c r="AC657">
        <v>0</v>
      </c>
      <c r="AD657">
        <v>233601542892</v>
      </c>
      <c r="AE657">
        <v>242699189.84999999</v>
      </c>
      <c r="AF657">
        <v>229074547615</v>
      </c>
      <c r="AG657">
        <v>232018305307.17001</v>
      </c>
      <c r="AH657">
        <v>0.199185</v>
      </c>
      <c r="AI657">
        <v>6.6729999999999998E-2</v>
      </c>
    </row>
    <row r="658" spans="1:35" x14ac:dyDescent="0.35">
      <c r="A658" t="s">
        <v>1</v>
      </c>
      <c r="B658">
        <v>5750</v>
      </c>
      <c r="C658">
        <v>42</v>
      </c>
      <c r="D658">
        <v>24042</v>
      </c>
      <c r="E658">
        <v>0</v>
      </c>
      <c r="F658">
        <v>742051324300</v>
      </c>
      <c r="G658">
        <v>992395936.11000001</v>
      </c>
      <c r="H658">
        <v>727818291953.81006</v>
      </c>
      <c r="I658">
        <v>737625534430.37</v>
      </c>
      <c r="J658">
        <v>0.19430700000000001</v>
      </c>
      <c r="K658">
        <v>5.4130999999999999E-2</v>
      </c>
      <c r="M658" t="s">
        <v>2</v>
      </c>
      <c r="N658">
        <v>5750</v>
      </c>
      <c r="O658">
        <v>42</v>
      </c>
      <c r="P658">
        <v>3580</v>
      </c>
      <c r="Q658">
        <v>0</v>
      </c>
      <c r="R658">
        <v>56193352758</v>
      </c>
      <c r="S658">
        <v>74550336.060000002</v>
      </c>
      <c r="T658">
        <v>55669090547.889999</v>
      </c>
      <c r="U658">
        <v>55984190561.629997</v>
      </c>
      <c r="V658">
        <v>9.1919000000000001E-2</v>
      </c>
      <c r="W658">
        <v>2.8369999999999999E-2</v>
      </c>
      <c r="Y658" t="s">
        <v>0</v>
      </c>
      <c r="Z658">
        <v>5500</v>
      </c>
      <c r="AA658">
        <v>36</v>
      </c>
      <c r="AB658">
        <v>17034</v>
      </c>
      <c r="AC658">
        <v>0</v>
      </c>
      <c r="AD658">
        <v>496899226532</v>
      </c>
      <c r="AE658">
        <v>662728278.87</v>
      </c>
      <c r="AF658">
        <v>494052463096</v>
      </c>
      <c r="AG658">
        <v>495741291369.38</v>
      </c>
      <c r="AH658">
        <v>5.1486999999999998E-2</v>
      </c>
      <c r="AI658">
        <v>1.1894E-2</v>
      </c>
    </row>
    <row r="659" spans="1:35" x14ac:dyDescent="0.35">
      <c r="A659" t="s">
        <v>2</v>
      </c>
      <c r="B659">
        <v>6250</v>
      </c>
      <c r="C659">
        <v>42</v>
      </c>
      <c r="D659">
        <v>1905</v>
      </c>
      <c r="E659">
        <v>0</v>
      </c>
      <c r="F659">
        <v>29982287503</v>
      </c>
      <c r="G659">
        <v>36594136.840000004</v>
      </c>
      <c r="H659">
        <v>29717078150.669998</v>
      </c>
      <c r="I659">
        <v>29848036700.400002</v>
      </c>
      <c r="J659">
        <v>8.7759000000000004E-2</v>
      </c>
      <c r="K659">
        <v>3.8392999999999997E-2</v>
      </c>
      <c r="M659" t="s">
        <v>1</v>
      </c>
      <c r="N659">
        <v>4750</v>
      </c>
      <c r="O659">
        <v>42</v>
      </c>
      <c r="P659">
        <v>31006</v>
      </c>
      <c r="Q659">
        <v>0</v>
      </c>
      <c r="R659">
        <v>1118394656908</v>
      </c>
      <c r="S659">
        <v>1747732884.7</v>
      </c>
      <c r="T659">
        <v>1106663893830.3301</v>
      </c>
      <c r="U659">
        <v>1114386637086.75</v>
      </c>
      <c r="V659">
        <v>0.102009</v>
      </c>
      <c r="W659">
        <v>2.3983999999999998E-2</v>
      </c>
      <c r="Y659" t="s">
        <v>2</v>
      </c>
      <c r="Z659">
        <v>5500</v>
      </c>
      <c r="AA659">
        <v>36</v>
      </c>
      <c r="AB659">
        <v>695</v>
      </c>
      <c r="AC659">
        <v>0</v>
      </c>
      <c r="AD659">
        <v>14652110295</v>
      </c>
      <c r="AE659">
        <v>19578254.649999999</v>
      </c>
      <c r="AF659">
        <v>14613054269</v>
      </c>
      <c r="AG659">
        <v>14631475355.15</v>
      </c>
      <c r="AH659">
        <v>1.5835999999999999E-2</v>
      </c>
      <c r="AI659">
        <v>8.6499999999999999E-4</v>
      </c>
    </row>
    <row r="660" spans="1:35" x14ac:dyDescent="0.35">
      <c r="A660" t="s">
        <v>1</v>
      </c>
      <c r="B660">
        <v>7000</v>
      </c>
      <c r="C660">
        <v>42</v>
      </c>
      <c r="D660">
        <v>1058</v>
      </c>
      <c r="E660">
        <v>0</v>
      </c>
      <c r="F660">
        <v>26549248793</v>
      </c>
      <c r="G660">
        <v>28246777.460000001</v>
      </c>
      <c r="H660">
        <v>25488989852.700001</v>
      </c>
      <c r="I660">
        <v>26326800676.66</v>
      </c>
      <c r="J660">
        <v>0.37859199999999998</v>
      </c>
      <c r="K660">
        <v>8.4330000000000002E-2</v>
      </c>
      <c r="M660" t="s">
        <v>3</v>
      </c>
      <c r="N660">
        <v>5000</v>
      </c>
      <c r="O660">
        <v>42</v>
      </c>
      <c r="P660">
        <v>91</v>
      </c>
      <c r="Q660">
        <v>0</v>
      </c>
      <c r="R660">
        <v>2126953187</v>
      </c>
      <c r="S660">
        <v>3199362.94</v>
      </c>
      <c r="T660">
        <v>2115927628.3699999</v>
      </c>
      <c r="U660">
        <v>2123750399.0799999</v>
      </c>
      <c r="V660">
        <v>4.3271999999999998E-2</v>
      </c>
      <c r="W660">
        <v>1.9000000000000001E-5</v>
      </c>
      <c r="Y660" t="s">
        <v>1</v>
      </c>
      <c r="Z660">
        <v>5500</v>
      </c>
      <c r="AA660">
        <v>36</v>
      </c>
      <c r="AB660">
        <v>11281</v>
      </c>
      <c r="AC660">
        <v>0</v>
      </c>
      <c r="AD660">
        <v>422151886747</v>
      </c>
      <c r="AE660">
        <v>563386327.38999999</v>
      </c>
      <c r="AF660">
        <v>417841165183</v>
      </c>
      <c r="AG660">
        <v>420674406595.81</v>
      </c>
      <c r="AH660">
        <v>0.10147100000000001</v>
      </c>
      <c r="AI660">
        <v>2.5676999999999998E-2</v>
      </c>
    </row>
    <row r="661" spans="1:35" x14ac:dyDescent="0.35">
      <c r="A661" t="s">
        <v>0</v>
      </c>
      <c r="B661">
        <v>6000</v>
      </c>
      <c r="C661">
        <v>36</v>
      </c>
      <c r="D661">
        <v>25915</v>
      </c>
      <c r="E661">
        <v>0</v>
      </c>
      <c r="F661">
        <v>700225961038</v>
      </c>
      <c r="G661">
        <v>859462108.91999996</v>
      </c>
      <c r="H661">
        <v>691503079070</v>
      </c>
      <c r="I661">
        <v>697206538314.39001</v>
      </c>
      <c r="J661">
        <v>0.12673899999999999</v>
      </c>
      <c r="K661">
        <v>3.6394000000000003E-2</v>
      </c>
      <c r="M661" t="s">
        <v>0</v>
      </c>
      <c r="N661">
        <v>5750</v>
      </c>
      <c r="O661">
        <v>36</v>
      </c>
      <c r="P661">
        <v>40123</v>
      </c>
      <c r="Q661">
        <v>0</v>
      </c>
      <c r="R661">
        <v>1078186348970</v>
      </c>
      <c r="S661">
        <v>1388964386.05</v>
      </c>
      <c r="T661">
        <v>1067998963226.37</v>
      </c>
      <c r="U661">
        <v>1073626956001.01</v>
      </c>
      <c r="V661">
        <v>9.3646999999999994E-2</v>
      </c>
      <c r="W661">
        <v>3.4721000000000002E-2</v>
      </c>
      <c r="Y661" t="s">
        <v>2</v>
      </c>
      <c r="Z661">
        <v>6000</v>
      </c>
      <c r="AA661">
        <v>36</v>
      </c>
      <c r="AB661">
        <v>1278</v>
      </c>
      <c r="AC661">
        <v>0</v>
      </c>
      <c r="AD661">
        <v>23990229042</v>
      </c>
      <c r="AE661">
        <v>29455721.030000001</v>
      </c>
      <c r="AF661">
        <v>23856557450</v>
      </c>
      <c r="AG661">
        <v>23899273330.619999</v>
      </c>
      <c r="AH661">
        <v>5.0902000000000003E-2</v>
      </c>
      <c r="AI661">
        <v>3.0332000000000001E-2</v>
      </c>
    </row>
    <row r="662" spans="1:35" x14ac:dyDescent="0.35">
      <c r="A662" t="s">
        <v>0</v>
      </c>
      <c r="B662">
        <v>6500</v>
      </c>
      <c r="C662">
        <v>36</v>
      </c>
      <c r="D662">
        <v>18555</v>
      </c>
      <c r="E662">
        <v>0</v>
      </c>
      <c r="F662">
        <v>448473235833</v>
      </c>
      <c r="G662">
        <v>505886333.32999998</v>
      </c>
      <c r="H662">
        <v>439782042847.40002</v>
      </c>
      <c r="I662">
        <v>444938763373.84003</v>
      </c>
      <c r="J662">
        <v>0.19831599999999999</v>
      </c>
      <c r="K662">
        <v>7.8093999999999997E-2</v>
      </c>
      <c r="M662" t="s">
        <v>1</v>
      </c>
      <c r="N662">
        <v>4000</v>
      </c>
      <c r="O662">
        <v>36</v>
      </c>
      <c r="P662">
        <v>1722</v>
      </c>
      <c r="Q662">
        <v>0</v>
      </c>
      <c r="R662">
        <v>63912505660</v>
      </c>
      <c r="S662">
        <v>110196635.39</v>
      </c>
      <c r="T662">
        <v>63269200047.809998</v>
      </c>
      <c r="U662">
        <v>63722702516.970001</v>
      </c>
      <c r="V662">
        <v>9.5628000000000005E-2</v>
      </c>
      <c r="W662">
        <v>1.4845000000000001E-2</v>
      </c>
      <c r="Y662" t="s">
        <v>1</v>
      </c>
      <c r="Z662">
        <v>6000</v>
      </c>
      <c r="AA662">
        <v>36</v>
      </c>
      <c r="AB662">
        <v>11050</v>
      </c>
      <c r="AC662">
        <v>0</v>
      </c>
      <c r="AD662">
        <v>381699020528</v>
      </c>
      <c r="AE662">
        <v>469869939.36000001</v>
      </c>
      <c r="AF662">
        <v>372271378804</v>
      </c>
      <c r="AG662">
        <v>379589373150.19</v>
      </c>
      <c r="AH662">
        <v>0.24796699999999999</v>
      </c>
      <c r="AI662">
        <v>5.0351E-2</v>
      </c>
    </row>
    <row r="663" spans="1:35" x14ac:dyDescent="0.35">
      <c r="A663" t="s">
        <v>1</v>
      </c>
      <c r="B663">
        <v>6000</v>
      </c>
      <c r="C663">
        <v>36</v>
      </c>
      <c r="D663">
        <v>10788</v>
      </c>
      <c r="E663">
        <v>0</v>
      </c>
      <c r="F663">
        <v>375144169174</v>
      </c>
      <c r="G663">
        <v>461857119.41000003</v>
      </c>
      <c r="H663">
        <v>364221413049.28003</v>
      </c>
      <c r="I663">
        <v>373639833344.17999</v>
      </c>
      <c r="J663">
        <v>0.28778399999999998</v>
      </c>
      <c r="K663">
        <v>3.2842000000000003E-2</v>
      </c>
      <c r="M663" t="s">
        <v>1</v>
      </c>
      <c r="N663">
        <v>4250</v>
      </c>
      <c r="O663">
        <v>36</v>
      </c>
      <c r="P663">
        <v>2992</v>
      </c>
      <c r="Q663">
        <v>0</v>
      </c>
      <c r="R663">
        <v>110436508650</v>
      </c>
      <c r="S663">
        <v>182863181.61000001</v>
      </c>
      <c r="T663">
        <v>109204749129.41</v>
      </c>
      <c r="U663">
        <v>110091478908.77</v>
      </c>
      <c r="V663">
        <v>0.10820399999999999</v>
      </c>
      <c r="W663">
        <v>1.7479000000000001E-2</v>
      </c>
      <c r="Y663" t="s">
        <v>2</v>
      </c>
      <c r="Z663">
        <v>6500</v>
      </c>
      <c r="AA663">
        <v>36</v>
      </c>
      <c r="AB663">
        <v>1340</v>
      </c>
      <c r="AC663">
        <v>0</v>
      </c>
      <c r="AD663">
        <v>22275972039</v>
      </c>
      <c r="AE663">
        <v>25147079.25</v>
      </c>
      <c r="AF663">
        <v>22121082808</v>
      </c>
      <c r="AG663">
        <v>22201829270.349998</v>
      </c>
      <c r="AH663">
        <v>6.7696000000000006E-2</v>
      </c>
      <c r="AI663">
        <v>2.6076999999999999E-2</v>
      </c>
    </row>
    <row r="664" spans="1:35" x14ac:dyDescent="0.35">
      <c r="A664" t="s">
        <v>2</v>
      </c>
      <c r="B664">
        <v>6000</v>
      </c>
      <c r="C664">
        <v>36</v>
      </c>
      <c r="D664">
        <v>1358</v>
      </c>
      <c r="E664">
        <v>0</v>
      </c>
      <c r="F664">
        <v>25253849627</v>
      </c>
      <c r="G664">
        <v>31003466.800000001</v>
      </c>
      <c r="H664">
        <v>25039486075.060001</v>
      </c>
      <c r="I664">
        <v>25178385725.860001</v>
      </c>
      <c r="J664">
        <v>8.3732000000000001E-2</v>
      </c>
      <c r="K664">
        <v>2.0923000000000001E-2</v>
      </c>
      <c r="M664" t="s">
        <v>2</v>
      </c>
      <c r="N664">
        <v>4250</v>
      </c>
      <c r="O664">
        <v>36</v>
      </c>
      <c r="P664">
        <v>159</v>
      </c>
      <c r="Q664">
        <v>0</v>
      </c>
      <c r="R664">
        <v>2945239839</v>
      </c>
      <c r="S664">
        <v>5040548.54</v>
      </c>
      <c r="T664">
        <v>2921478720.4699998</v>
      </c>
      <c r="U664">
        <v>2934849712.54</v>
      </c>
      <c r="V664">
        <v>7.3663999999999993E-2</v>
      </c>
      <c r="W664">
        <v>2.1579999999999998E-2</v>
      </c>
      <c r="Y664" t="s">
        <v>1</v>
      </c>
      <c r="Z664">
        <v>6500</v>
      </c>
      <c r="AA664">
        <v>36</v>
      </c>
      <c r="AB664">
        <v>5356</v>
      </c>
      <c r="AC664">
        <v>0</v>
      </c>
      <c r="AD664">
        <v>157299151886</v>
      </c>
      <c r="AE664">
        <v>178417105.80000001</v>
      </c>
      <c r="AF664">
        <v>151771751615</v>
      </c>
      <c r="AG664">
        <v>156200982218.51999</v>
      </c>
      <c r="AH664">
        <v>0.33976600000000001</v>
      </c>
      <c r="AI664">
        <v>6.7953E-2</v>
      </c>
    </row>
    <row r="665" spans="1:35" x14ac:dyDescent="0.35">
      <c r="A665" t="s">
        <v>2</v>
      </c>
      <c r="B665">
        <v>6500</v>
      </c>
      <c r="C665">
        <v>36</v>
      </c>
      <c r="D665">
        <v>1392</v>
      </c>
      <c r="E665">
        <v>0</v>
      </c>
      <c r="F665">
        <v>22638153184</v>
      </c>
      <c r="G665">
        <v>25533620.16</v>
      </c>
      <c r="H665">
        <v>22403084768.580002</v>
      </c>
      <c r="I665">
        <v>22551349973.919998</v>
      </c>
      <c r="J665">
        <v>0.105587</v>
      </c>
      <c r="K665">
        <v>3.1999E-2</v>
      </c>
      <c r="M665" t="s">
        <v>0</v>
      </c>
      <c r="N665">
        <v>4250</v>
      </c>
      <c r="O665">
        <v>36</v>
      </c>
      <c r="P665">
        <v>2763</v>
      </c>
      <c r="Q665">
        <v>0</v>
      </c>
      <c r="R665">
        <v>83613596958</v>
      </c>
      <c r="S665">
        <v>138125567.22999999</v>
      </c>
      <c r="T665">
        <v>83031967371.25</v>
      </c>
      <c r="U665">
        <v>83405213032.949997</v>
      </c>
      <c r="V665">
        <v>6.1825999999999999E-2</v>
      </c>
      <c r="W665">
        <v>1.0037000000000001E-2</v>
      </c>
      <c r="Y665" t="s">
        <v>1</v>
      </c>
      <c r="Z665">
        <v>5000</v>
      </c>
      <c r="AA665">
        <v>36</v>
      </c>
      <c r="AB665">
        <v>5096</v>
      </c>
      <c r="AC665">
        <v>0</v>
      </c>
      <c r="AD665">
        <v>190110719499</v>
      </c>
      <c r="AE665">
        <v>275703024.29000002</v>
      </c>
      <c r="AF665">
        <v>188503287270</v>
      </c>
      <c r="AG665">
        <v>189509261780.51999</v>
      </c>
      <c r="AH665">
        <v>8.0895999999999996E-2</v>
      </c>
      <c r="AI665">
        <v>2.0369000000000002E-2</v>
      </c>
    </row>
    <row r="666" spans="1:35" x14ac:dyDescent="0.35">
      <c r="A666" t="s">
        <v>1</v>
      </c>
      <c r="B666">
        <v>5000</v>
      </c>
      <c r="C666">
        <v>36</v>
      </c>
      <c r="D666">
        <v>5626</v>
      </c>
      <c r="E666">
        <v>0</v>
      </c>
      <c r="F666">
        <v>209721442506</v>
      </c>
      <c r="G666">
        <v>304183900.04000002</v>
      </c>
      <c r="H666">
        <v>207261377131.62</v>
      </c>
      <c r="I666">
        <v>208876573714.12</v>
      </c>
      <c r="J666">
        <v>0.116616</v>
      </c>
      <c r="K666">
        <v>3.0502000000000001E-2</v>
      </c>
      <c r="M666" t="s">
        <v>0</v>
      </c>
      <c r="N666">
        <v>4500</v>
      </c>
      <c r="O666">
        <v>36</v>
      </c>
      <c r="P666">
        <v>5591</v>
      </c>
      <c r="Q666">
        <v>0</v>
      </c>
      <c r="R666">
        <v>170462020961</v>
      </c>
      <c r="S666">
        <v>270725413.13999999</v>
      </c>
      <c r="T666">
        <v>169303403731.70001</v>
      </c>
      <c r="U666">
        <v>170042512418.42001</v>
      </c>
      <c r="V666">
        <v>6.0745E-2</v>
      </c>
      <c r="W666">
        <v>1.0423999999999999E-2</v>
      </c>
      <c r="Y666" t="s">
        <v>0</v>
      </c>
      <c r="Z666">
        <v>5000</v>
      </c>
      <c r="AA666">
        <v>36</v>
      </c>
      <c r="AB666">
        <v>8149</v>
      </c>
      <c r="AC666">
        <v>0</v>
      </c>
      <c r="AD666">
        <v>256695308045</v>
      </c>
      <c r="AE666">
        <v>371595252.86000001</v>
      </c>
      <c r="AF666">
        <v>255521559646</v>
      </c>
      <c r="AG666">
        <v>256188343831.22</v>
      </c>
      <c r="AH666">
        <v>3.6860999999999998E-2</v>
      </c>
      <c r="AI666">
        <v>6.3099999999999996E-3</v>
      </c>
    </row>
    <row r="667" spans="1:35" x14ac:dyDescent="0.35">
      <c r="A667" t="s">
        <v>0</v>
      </c>
      <c r="B667">
        <v>5000</v>
      </c>
      <c r="C667">
        <v>36</v>
      </c>
      <c r="D667">
        <v>9394</v>
      </c>
      <c r="E667">
        <v>0</v>
      </c>
      <c r="F667">
        <v>299325355883</v>
      </c>
      <c r="G667">
        <v>433557434.66000003</v>
      </c>
      <c r="H667">
        <v>297091820680.77002</v>
      </c>
      <c r="I667">
        <v>298359598438.71002</v>
      </c>
      <c r="J667">
        <v>6.9821999999999995E-2</v>
      </c>
      <c r="K667">
        <v>2.1128999999999998E-2</v>
      </c>
      <c r="M667" t="s">
        <v>2</v>
      </c>
      <c r="N667">
        <v>4500</v>
      </c>
      <c r="O667">
        <v>36</v>
      </c>
      <c r="P667">
        <v>295</v>
      </c>
      <c r="Q667">
        <v>0</v>
      </c>
      <c r="R667">
        <v>6435657192</v>
      </c>
      <c r="S667">
        <v>10329922.220000001</v>
      </c>
      <c r="T667">
        <v>6390693282.04</v>
      </c>
      <c r="U667">
        <v>6421427964.3599997</v>
      </c>
      <c r="V667">
        <v>6.2701000000000007E-2</v>
      </c>
      <c r="W667">
        <v>7.247E-3</v>
      </c>
      <c r="Y667" t="s">
        <v>2</v>
      </c>
      <c r="Z667">
        <v>5000</v>
      </c>
      <c r="AA667">
        <v>36</v>
      </c>
      <c r="AB667">
        <v>191</v>
      </c>
      <c r="AC667">
        <v>0</v>
      </c>
      <c r="AD667">
        <v>4641234946</v>
      </c>
      <c r="AE667">
        <v>6751427.1200000001</v>
      </c>
      <c r="AF667">
        <v>4619244243</v>
      </c>
      <c r="AG667">
        <v>4633690210.8400002</v>
      </c>
      <c r="AH667">
        <v>3.8698000000000003E-2</v>
      </c>
      <c r="AI667">
        <v>2.049E-3</v>
      </c>
    </row>
    <row r="668" spans="1:35" x14ac:dyDescent="0.35">
      <c r="A668" t="s">
        <v>2</v>
      </c>
      <c r="B668">
        <v>5000</v>
      </c>
      <c r="C668">
        <v>36</v>
      </c>
      <c r="D668">
        <v>209</v>
      </c>
      <c r="E668">
        <v>0</v>
      </c>
      <c r="F668">
        <v>5330991619</v>
      </c>
      <c r="G668">
        <v>7741766.7999999998</v>
      </c>
      <c r="H668">
        <v>5301225230.6700001</v>
      </c>
      <c r="I668">
        <v>5321070041.9899998</v>
      </c>
      <c r="J668">
        <v>4.8466000000000002E-2</v>
      </c>
      <c r="K668">
        <v>4.8960000000000002E-3</v>
      </c>
      <c r="M668" t="s">
        <v>2</v>
      </c>
      <c r="N668">
        <v>4750</v>
      </c>
      <c r="O668">
        <v>36</v>
      </c>
      <c r="P668">
        <v>738</v>
      </c>
      <c r="Q668">
        <v>0</v>
      </c>
      <c r="R668">
        <v>15417547731</v>
      </c>
      <c r="S668">
        <v>23661001.170000002</v>
      </c>
      <c r="T668">
        <v>15306211488.74</v>
      </c>
      <c r="U668">
        <v>15378960184.91</v>
      </c>
      <c r="V668">
        <v>6.6145999999999996E-2</v>
      </c>
      <c r="W668">
        <v>1.1556E-2</v>
      </c>
      <c r="Y668" t="s">
        <v>0</v>
      </c>
      <c r="Z668">
        <v>5500</v>
      </c>
      <c r="AA668">
        <v>30</v>
      </c>
      <c r="AB668">
        <v>14420</v>
      </c>
      <c r="AC668">
        <v>0</v>
      </c>
      <c r="AD668">
        <v>461960975434</v>
      </c>
      <c r="AE668">
        <v>596989569.85000002</v>
      </c>
      <c r="AF668">
        <v>459525254625</v>
      </c>
      <c r="AG668">
        <v>460824749084.67999</v>
      </c>
      <c r="AH668">
        <v>4.6731000000000002E-2</v>
      </c>
      <c r="AI668">
        <v>1.3918E-2</v>
      </c>
    </row>
    <row r="669" spans="1:35" x14ac:dyDescent="0.35">
      <c r="A669" t="s">
        <v>0</v>
      </c>
      <c r="B669">
        <v>5500</v>
      </c>
      <c r="C669">
        <v>36</v>
      </c>
      <c r="D669">
        <v>19048</v>
      </c>
      <c r="E669">
        <v>0</v>
      </c>
      <c r="F669">
        <v>568416121658</v>
      </c>
      <c r="G669">
        <v>758255591.88</v>
      </c>
      <c r="H669">
        <v>563267250279.52002</v>
      </c>
      <c r="I669">
        <v>566200713368.85999</v>
      </c>
      <c r="J669">
        <v>8.8853000000000001E-2</v>
      </c>
      <c r="K669">
        <v>3.0332000000000001E-2</v>
      </c>
      <c r="M669" t="s">
        <v>0</v>
      </c>
      <c r="N669">
        <v>4750</v>
      </c>
      <c r="O669">
        <v>36</v>
      </c>
      <c r="P669">
        <v>14727</v>
      </c>
      <c r="Q669">
        <v>0</v>
      </c>
      <c r="R669">
        <v>440227306179</v>
      </c>
      <c r="S669">
        <v>671142968.88</v>
      </c>
      <c r="T669">
        <v>437049512711.16998</v>
      </c>
      <c r="U669">
        <v>439027440598.46997</v>
      </c>
      <c r="V669">
        <v>6.6227999999999995E-2</v>
      </c>
      <c r="W669">
        <v>1.4317E-2</v>
      </c>
      <c r="Y669" t="s">
        <v>1</v>
      </c>
      <c r="Z669">
        <v>5500</v>
      </c>
      <c r="AA669">
        <v>30</v>
      </c>
      <c r="AB669">
        <v>10519</v>
      </c>
      <c r="AC669">
        <v>0</v>
      </c>
      <c r="AD669">
        <v>393666554352</v>
      </c>
      <c r="AE669">
        <v>510887611.16000003</v>
      </c>
      <c r="AF669">
        <v>390301127822</v>
      </c>
      <c r="AG669">
        <v>392175297453.65002</v>
      </c>
      <c r="AH669">
        <v>8.3626000000000006E-2</v>
      </c>
      <c r="AI669">
        <v>2.9478000000000001E-2</v>
      </c>
    </row>
    <row r="670" spans="1:35" x14ac:dyDescent="0.35">
      <c r="A670" t="s">
        <v>2</v>
      </c>
      <c r="B670">
        <v>5500</v>
      </c>
      <c r="C670">
        <v>36</v>
      </c>
      <c r="D670">
        <v>759</v>
      </c>
      <c r="E670">
        <v>0</v>
      </c>
      <c r="F670">
        <v>15976624698</v>
      </c>
      <c r="G670">
        <v>21363861.550000001</v>
      </c>
      <c r="H670">
        <v>15847909306.91</v>
      </c>
      <c r="I670">
        <v>15924752345.02</v>
      </c>
      <c r="J670">
        <v>7.7716999999999994E-2</v>
      </c>
      <c r="K670">
        <v>2.2676000000000002E-2</v>
      </c>
      <c r="M670" t="s">
        <v>1</v>
      </c>
      <c r="N670">
        <v>4750</v>
      </c>
      <c r="O670">
        <v>36</v>
      </c>
      <c r="P670">
        <v>11638</v>
      </c>
      <c r="Q670">
        <v>0</v>
      </c>
      <c r="R670">
        <v>422807341964</v>
      </c>
      <c r="S670">
        <v>645627950.37</v>
      </c>
      <c r="T670">
        <v>417879805358.51001</v>
      </c>
      <c r="U670">
        <v>421214469047.65002</v>
      </c>
      <c r="V670">
        <v>0.114982</v>
      </c>
      <c r="W670">
        <v>2.6556E-2</v>
      </c>
      <c r="Y670" t="s">
        <v>2</v>
      </c>
      <c r="Z670">
        <v>5500</v>
      </c>
      <c r="AA670">
        <v>30</v>
      </c>
      <c r="AB670">
        <v>361</v>
      </c>
      <c r="AC670">
        <v>0</v>
      </c>
      <c r="AD670">
        <v>7917019785</v>
      </c>
      <c r="AE670">
        <v>10246326.869999999</v>
      </c>
      <c r="AF670">
        <v>7853299741</v>
      </c>
      <c r="AG670">
        <v>7874835760.6899996</v>
      </c>
      <c r="AH670">
        <v>7.8106999999999996E-2</v>
      </c>
      <c r="AI670">
        <v>4.7349000000000002E-2</v>
      </c>
    </row>
    <row r="671" spans="1:35" x14ac:dyDescent="0.35">
      <c r="A671" t="s">
        <v>1</v>
      </c>
      <c r="B671">
        <v>5500</v>
      </c>
      <c r="C671">
        <v>36</v>
      </c>
      <c r="D671">
        <v>13373</v>
      </c>
      <c r="E671">
        <v>0</v>
      </c>
      <c r="F671">
        <v>502005805892</v>
      </c>
      <c r="G671">
        <v>670174131.61000001</v>
      </c>
      <c r="H671">
        <v>494912336692.15997</v>
      </c>
      <c r="I671">
        <v>500382658613.41998</v>
      </c>
      <c r="J671">
        <v>0.14318600000000001</v>
      </c>
      <c r="K671">
        <v>2.2544000000000002E-2</v>
      </c>
      <c r="M671" t="s">
        <v>2</v>
      </c>
      <c r="N671">
        <v>5000</v>
      </c>
      <c r="O671">
        <v>36</v>
      </c>
      <c r="P671">
        <v>493</v>
      </c>
      <c r="Q671">
        <v>0</v>
      </c>
      <c r="R671">
        <v>9745606335</v>
      </c>
      <c r="S671">
        <v>14328067.52</v>
      </c>
      <c r="T671">
        <v>9664507053.6499996</v>
      </c>
      <c r="U671">
        <v>9714180961.7299995</v>
      </c>
      <c r="V671">
        <v>7.9188999999999996E-2</v>
      </c>
      <c r="W671">
        <v>2.085E-2</v>
      </c>
      <c r="Y671" t="s">
        <v>0</v>
      </c>
      <c r="Z671">
        <v>6000</v>
      </c>
      <c r="AA671">
        <v>30</v>
      </c>
      <c r="AB671">
        <v>23061</v>
      </c>
      <c r="AC671">
        <v>0</v>
      </c>
      <c r="AD671">
        <v>657539359315</v>
      </c>
      <c r="AE671">
        <v>781280287.11000001</v>
      </c>
      <c r="AF671">
        <v>652246644785</v>
      </c>
      <c r="AG671">
        <v>655921535165.88</v>
      </c>
      <c r="AH671">
        <v>7.9296000000000005E-2</v>
      </c>
      <c r="AI671">
        <v>1.516E-2</v>
      </c>
    </row>
    <row r="672" spans="1:35" x14ac:dyDescent="0.35">
      <c r="A672" t="s">
        <v>0</v>
      </c>
      <c r="B672">
        <v>5500</v>
      </c>
      <c r="C672">
        <v>30</v>
      </c>
      <c r="D672">
        <v>11502</v>
      </c>
      <c r="E672">
        <v>0</v>
      </c>
      <c r="F672">
        <v>373665748847</v>
      </c>
      <c r="G672">
        <v>482610521.55000001</v>
      </c>
      <c r="H672">
        <v>370595889555.92999</v>
      </c>
      <c r="I672">
        <v>372226564494.87</v>
      </c>
      <c r="J672">
        <v>7.9994999999999997E-2</v>
      </c>
      <c r="K672">
        <v>3.0290999999999998E-2</v>
      </c>
      <c r="M672" t="s">
        <v>1</v>
      </c>
      <c r="N672">
        <v>5250</v>
      </c>
      <c r="O672">
        <v>36</v>
      </c>
      <c r="P672">
        <v>14048</v>
      </c>
      <c r="Q672">
        <v>0</v>
      </c>
      <c r="R672">
        <v>506873404673</v>
      </c>
      <c r="S672">
        <v>710866810.09000003</v>
      </c>
      <c r="T672">
        <v>500814864310.90997</v>
      </c>
      <c r="U672">
        <v>505029940862.39001</v>
      </c>
      <c r="V672">
        <v>0.11951000000000001</v>
      </c>
      <c r="W672">
        <v>2.6487E-2</v>
      </c>
      <c r="Y672" t="s">
        <v>0</v>
      </c>
      <c r="Z672">
        <v>6250</v>
      </c>
      <c r="AA672">
        <v>36</v>
      </c>
      <c r="AB672">
        <v>47251</v>
      </c>
      <c r="AC672">
        <v>0</v>
      </c>
      <c r="AD672">
        <v>1284474395103</v>
      </c>
      <c r="AE672">
        <v>1512680643.02</v>
      </c>
      <c r="AF672">
        <v>1269189991731</v>
      </c>
      <c r="AG672">
        <v>1280008042065.9099</v>
      </c>
      <c r="AH672">
        <v>0.121338</v>
      </c>
      <c r="AI672">
        <v>2.7248000000000001E-2</v>
      </c>
    </row>
    <row r="673" spans="1:35" x14ac:dyDescent="0.35">
      <c r="A673" t="s">
        <v>2</v>
      </c>
      <c r="B673">
        <v>5500</v>
      </c>
      <c r="C673">
        <v>30</v>
      </c>
      <c r="D673">
        <v>241</v>
      </c>
      <c r="E673">
        <v>0</v>
      </c>
      <c r="F673">
        <v>5551734045</v>
      </c>
      <c r="G673">
        <v>7173468.7999999998</v>
      </c>
      <c r="H673">
        <v>5515718537.9799995</v>
      </c>
      <c r="I673">
        <v>5538887755.04</v>
      </c>
      <c r="J673">
        <v>6.0590999999999999E-2</v>
      </c>
      <c r="K673">
        <v>1.2193000000000001E-2</v>
      </c>
      <c r="M673" t="s">
        <v>0</v>
      </c>
      <c r="N673">
        <v>5250</v>
      </c>
      <c r="O673">
        <v>36</v>
      </c>
      <c r="P673">
        <v>22490</v>
      </c>
      <c r="Q673">
        <v>0</v>
      </c>
      <c r="R673">
        <v>622146441778</v>
      </c>
      <c r="S673">
        <v>873371657.66999996</v>
      </c>
      <c r="T673">
        <v>616642763024.34998</v>
      </c>
      <c r="U673">
        <v>619854679179.25</v>
      </c>
      <c r="V673">
        <v>8.5743E-2</v>
      </c>
      <c r="W673">
        <v>2.7018E-2</v>
      </c>
      <c r="Y673" t="s">
        <v>2</v>
      </c>
      <c r="Z673">
        <v>7000</v>
      </c>
      <c r="AA673">
        <v>36</v>
      </c>
      <c r="AB673">
        <v>731</v>
      </c>
      <c r="AC673">
        <v>0</v>
      </c>
      <c r="AD673">
        <v>11051299207</v>
      </c>
      <c r="AE673">
        <v>11483905.439999999</v>
      </c>
      <c r="AF673">
        <v>10912769692</v>
      </c>
      <c r="AG673">
        <v>10992483007.9</v>
      </c>
      <c r="AH673">
        <v>0.129555</v>
      </c>
      <c r="AI673">
        <v>5.0201999999999997E-2</v>
      </c>
    </row>
    <row r="674" spans="1:35" x14ac:dyDescent="0.35">
      <c r="A674" t="s">
        <v>0</v>
      </c>
      <c r="B674">
        <v>6250</v>
      </c>
      <c r="C674">
        <v>36</v>
      </c>
      <c r="D674">
        <v>53357</v>
      </c>
      <c r="E674">
        <v>0</v>
      </c>
      <c r="F674">
        <v>1478045870572</v>
      </c>
      <c r="G674">
        <v>1740128576.8599999</v>
      </c>
      <c r="H674">
        <v>1453853946797.0801</v>
      </c>
      <c r="I674">
        <v>1468310878770.3101</v>
      </c>
      <c r="J674">
        <v>0.167799</v>
      </c>
      <c r="K674">
        <v>6.3011999999999999E-2</v>
      </c>
      <c r="M674" t="s">
        <v>2</v>
      </c>
      <c r="N674">
        <v>5250</v>
      </c>
      <c r="O674">
        <v>36</v>
      </c>
      <c r="P674">
        <v>1319</v>
      </c>
      <c r="Q674">
        <v>0</v>
      </c>
      <c r="R674">
        <v>24350321952</v>
      </c>
      <c r="S674">
        <v>34323101.619999997</v>
      </c>
      <c r="T674">
        <v>24152847525.939999</v>
      </c>
      <c r="U674">
        <v>24280175411.880001</v>
      </c>
      <c r="V674">
        <v>7.7504000000000003E-2</v>
      </c>
      <c r="W674">
        <v>1.7512E-2</v>
      </c>
      <c r="Y674" t="s">
        <v>1</v>
      </c>
      <c r="Z674">
        <v>7000</v>
      </c>
      <c r="AA674">
        <v>36</v>
      </c>
      <c r="AB674">
        <v>2835</v>
      </c>
      <c r="AC674">
        <v>0</v>
      </c>
      <c r="AD674">
        <v>70140254594</v>
      </c>
      <c r="AE674">
        <v>73124033.739999995</v>
      </c>
      <c r="AF674">
        <v>67078448674</v>
      </c>
      <c r="AG674">
        <v>69024731024.669998</v>
      </c>
      <c r="AH674">
        <v>0.40698400000000001</v>
      </c>
      <c r="AI674">
        <v>0.164461</v>
      </c>
    </row>
    <row r="675" spans="1:35" x14ac:dyDescent="0.35">
      <c r="A675" t="s">
        <v>1</v>
      </c>
      <c r="B675">
        <v>6500</v>
      </c>
      <c r="C675">
        <v>36</v>
      </c>
      <c r="D675">
        <v>4761</v>
      </c>
      <c r="E675">
        <v>0</v>
      </c>
      <c r="F675">
        <v>137094552383</v>
      </c>
      <c r="G675">
        <v>155292118.38</v>
      </c>
      <c r="H675">
        <v>131301529812.28</v>
      </c>
      <c r="I675">
        <v>136216716457.77</v>
      </c>
      <c r="J675">
        <v>0.39583600000000002</v>
      </c>
      <c r="K675">
        <v>6.1442999999999998E-2</v>
      </c>
      <c r="M675" t="s">
        <v>0</v>
      </c>
      <c r="N675">
        <v>6250</v>
      </c>
      <c r="O675">
        <v>36</v>
      </c>
      <c r="P675">
        <v>40467</v>
      </c>
      <c r="Q675">
        <v>0</v>
      </c>
      <c r="R675">
        <v>1050675189008</v>
      </c>
      <c r="S675">
        <v>1240232014.0699999</v>
      </c>
      <c r="T675">
        <v>1036621955829.71</v>
      </c>
      <c r="U675">
        <v>1044454602167.7</v>
      </c>
      <c r="V675">
        <v>0.13691300000000001</v>
      </c>
      <c r="W675">
        <v>5.5421999999999999E-2</v>
      </c>
      <c r="Y675" t="s">
        <v>0</v>
      </c>
      <c r="Z675">
        <v>6500</v>
      </c>
      <c r="AA675">
        <v>30</v>
      </c>
      <c r="AB675">
        <v>24930</v>
      </c>
      <c r="AC675">
        <v>0</v>
      </c>
      <c r="AD675">
        <v>656165901815</v>
      </c>
      <c r="AE675">
        <v>712903612.88999999</v>
      </c>
      <c r="AF675">
        <v>644681667500</v>
      </c>
      <c r="AG675">
        <v>652820398457.21997</v>
      </c>
      <c r="AH675">
        <v>0.18013999999999999</v>
      </c>
      <c r="AI675">
        <v>4.7097E-2</v>
      </c>
    </row>
    <row r="676" spans="1:35" x14ac:dyDescent="0.35">
      <c r="A676" t="s">
        <v>0</v>
      </c>
      <c r="B676">
        <v>7000</v>
      </c>
      <c r="C676">
        <v>36</v>
      </c>
      <c r="D676">
        <v>9223</v>
      </c>
      <c r="E676">
        <v>0</v>
      </c>
      <c r="F676">
        <v>218853613420</v>
      </c>
      <c r="G676">
        <v>226767988.13999999</v>
      </c>
      <c r="H676">
        <v>213899046603.92001</v>
      </c>
      <c r="I676">
        <v>217009610678.47</v>
      </c>
      <c r="J676">
        <v>0.230544</v>
      </c>
      <c r="K676">
        <v>8.5157999999999998E-2</v>
      </c>
      <c r="M676" t="s">
        <v>0</v>
      </c>
      <c r="N676">
        <v>6750</v>
      </c>
      <c r="O676">
        <v>36</v>
      </c>
      <c r="P676">
        <v>30194</v>
      </c>
      <c r="Q676">
        <v>0</v>
      </c>
      <c r="R676">
        <v>747444400349</v>
      </c>
      <c r="S676">
        <v>808366910.13999999</v>
      </c>
      <c r="T676">
        <v>731707895806.03003</v>
      </c>
      <c r="U676">
        <v>741552852201.23999</v>
      </c>
      <c r="V676">
        <v>0.21501600000000001</v>
      </c>
      <c r="W676">
        <v>7.8625E-2</v>
      </c>
      <c r="Y676" t="s">
        <v>1</v>
      </c>
      <c r="Z676">
        <v>6500</v>
      </c>
      <c r="AA676">
        <v>30</v>
      </c>
      <c r="AB676">
        <v>7222</v>
      </c>
      <c r="AC676">
        <v>0</v>
      </c>
      <c r="AD676">
        <v>228062137952</v>
      </c>
      <c r="AE676">
        <v>247322413.02000001</v>
      </c>
      <c r="AF676">
        <v>219578858785</v>
      </c>
      <c r="AG676">
        <v>226590622185.79999</v>
      </c>
      <c r="AH676">
        <v>0.356846</v>
      </c>
      <c r="AI676">
        <v>6.2546000000000004E-2</v>
      </c>
    </row>
    <row r="677" spans="1:35" x14ac:dyDescent="0.35">
      <c r="A677" t="s">
        <v>1</v>
      </c>
      <c r="B677">
        <v>7000</v>
      </c>
      <c r="C677">
        <v>36</v>
      </c>
      <c r="D677">
        <v>2259</v>
      </c>
      <c r="E677">
        <v>0</v>
      </c>
      <c r="F677">
        <v>54979476632</v>
      </c>
      <c r="G677">
        <v>57222329.68</v>
      </c>
      <c r="H677">
        <v>52473900818.190002</v>
      </c>
      <c r="I677">
        <v>54400682822.300003</v>
      </c>
      <c r="J677">
        <v>0.42111399999999999</v>
      </c>
      <c r="K677">
        <v>0.108084</v>
      </c>
      <c r="M677" t="s">
        <v>0</v>
      </c>
      <c r="N677">
        <v>3750</v>
      </c>
      <c r="O677">
        <v>36</v>
      </c>
      <c r="P677">
        <v>448</v>
      </c>
      <c r="Q677">
        <v>0</v>
      </c>
      <c r="R677">
        <v>12110794008</v>
      </c>
      <c r="S677">
        <v>21698463.02</v>
      </c>
      <c r="T677">
        <v>12015725535.57</v>
      </c>
      <c r="U677">
        <v>12072382983.450001</v>
      </c>
      <c r="V677">
        <v>7.0324999999999999E-2</v>
      </c>
      <c r="W677">
        <v>1.6435000000000002E-2</v>
      </c>
      <c r="Y677" t="s">
        <v>2</v>
      </c>
      <c r="Z677">
        <v>6500</v>
      </c>
      <c r="AA677">
        <v>30</v>
      </c>
      <c r="AB677">
        <v>1610</v>
      </c>
      <c r="AC677">
        <v>0</v>
      </c>
      <c r="AD677">
        <v>28556304563</v>
      </c>
      <c r="AE677">
        <v>31089802.07</v>
      </c>
      <c r="AF677">
        <v>28215921998</v>
      </c>
      <c r="AG677">
        <v>28443254120.23</v>
      </c>
      <c r="AH677">
        <v>0.122502</v>
      </c>
      <c r="AI677">
        <v>3.3903000000000003E-2</v>
      </c>
    </row>
    <row r="678" spans="1:35" x14ac:dyDescent="0.35">
      <c r="A678" t="s">
        <v>2</v>
      </c>
      <c r="B678">
        <v>7000</v>
      </c>
      <c r="C678">
        <v>36</v>
      </c>
      <c r="D678">
        <v>653</v>
      </c>
      <c r="E678">
        <v>0</v>
      </c>
      <c r="F678">
        <v>9929130915</v>
      </c>
      <c r="G678">
        <v>10289453.390000001</v>
      </c>
      <c r="H678">
        <v>9776776988.5200005</v>
      </c>
      <c r="I678">
        <v>9869228069.4599991</v>
      </c>
      <c r="J678">
        <v>0.158807</v>
      </c>
      <c r="K678">
        <v>5.8340000000000003E-2</v>
      </c>
      <c r="M678" t="s">
        <v>0</v>
      </c>
      <c r="N678">
        <v>4000</v>
      </c>
      <c r="O678">
        <v>36</v>
      </c>
      <c r="P678">
        <v>2234</v>
      </c>
      <c r="Q678">
        <v>0</v>
      </c>
      <c r="R678">
        <v>69934633472</v>
      </c>
      <c r="S678">
        <v>120118858.36</v>
      </c>
      <c r="T678">
        <v>69508018790.460007</v>
      </c>
      <c r="U678">
        <v>69754510737.270004</v>
      </c>
      <c r="V678">
        <v>5.1341999999999999E-2</v>
      </c>
      <c r="W678">
        <v>1.0248E-2</v>
      </c>
      <c r="Y678" t="s">
        <v>0</v>
      </c>
      <c r="Z678">
        <v>7000</v>
      </c>
      <c r="AA678">
        <v>30</v>
      </c>
      <c r="AB678">
        <v>22388</v>
      </c>
      <c r="AC678">
        <v>0</v>
      </c>
      <c r="AD678">
        <v>576312125371</v>
      </c>
      <c r="AE678">
        <v>571925839.84000003</v>
      </c>
      <c r="AF678">
        <v>566343674474</v>
      </c>
      <c r="AG678">
        <v>573409629939.08997</v>
      </c>
      <c r="AH678">
        <v>0.17902899999999999</v>
      </c>
      <c r="AI678">
        <v>4.7461999999999997E-2</v>
      </c>
    </row>
    <row r="679" spans="1:35" x14ac:dyDescent="0.35">
      <c r="A679" t="s">
        <v>0</v>
      </c>
      <c r="B679">
        <v>6500</v>
      </c>
      <c r="C679">
        <v>30</v>
      </c>
      <c r="D679">
        <v>22655</v>
      </c>
      <c r="E679">
        <v>0</v>
      </c>
      <c r="F679">
        <v>609199368554</v>
      </c>
      <c r="G679">
        <v>662651078.63</v>
      </c>
      <c r="H679">
        <v>596472824278.06006</v>
      </c>
      <c r="I679">
        <v>605179703377.78003</v>
      </c>
      <c r="J679">
        <v>0.21338699999999999</v>
      </c>
      <c r="K679">
        <v>6.4158999999999994E-2</v>
      </c>
      <c r="M679" t="s">
        <v>1</v>
      </c>
      <c r="N679">
        <v>5500</v>
      </c>
      <c r="O679">
        <v>36</v>
      </c>
      <c r="P679">
        <v>11537</v>
      </c>
      <c r="Q679">
        <v>0</v>
      </c>
      <c r="R679">
        <v>414660927873</v>
      </c>
      <c r="S679">
        <v>554951405.75</v>
      </c>
      <c r="T679">
        <v>409792187729.54999</v>
      </c>
      <c r="U679">
        <v>413352452339.63</v>
      </c>
      <c r="V679">
        <v>0.117937</v>
      </c>
      <c r="W679">
        <v>2.1590000000000002E-2</v>
      </c>
      <c r="Y679" t="s">
        <v>2</v>
      </c>
      <c r="Z679">
        <v>7000</v>
      </c>
      <c r="AA679">
        <v>30</v>
      </c>
      <c r="AB679">
        <v>1612</v>
      </c>
      <c r="AC679">
        <v>0</v>
      </c>
      <c r="AD679">
        <v>26643554360</v>
      </c>
      <c r="AE679">
        <v>26500060.399999999</v>
      </c>
      <c r="AF679">
        <v>26365144430</v>
      </c>
      <c r="AG679">
        <v>26532713798.139999</v>
      </c>
      <c r="AH679">
        <v>0.10774</v>
      </c>
      <c r="AI679">
        <v>3.7331999999999997E-2</v>
      </c>
    </row>
    <row r="680" spans="1:35" x14ac:dyDescent="0.35">
      <c r="A680" t="s">
        <v>2</v>
      </c>
      <c r="B680">
        <v>6500</v>
      </c>
      <c r="C680">
        <v>30</v>
      </c>
      <c r="D680">
        <v>1360</v>
      </c>
      <c r="E680">
        <v>0</v>
      </c>
      <c r="F680">
        <v>24665067088</v>
      </c>
      <c r="G680">
        <v>26923620.91</v>
      </c>
      <c r="H680">
        <v>24438219547.169998</v>
      </c>
      <c r="I680">
        <v>24601552967.439999</v>
      </c>
      <c r="J680">
        <v>9.3045000000000003E-2</v>
      </c>
      <c r="K680">
        <v>1.7656999999999999E-2</v>
      </c>
      <c r="M680" t="s">
        <v>0</v>
      </c>
      <c r="N680">
        <v>7250</v>
      </c>
      <c r="O680">
        <v>36</v>
      </c>
      <c r="P680">
        <v>11108</v>
      </c>
      <c r="Q680">
        <v>0</v>
      </c>
      <c r="R680">
        <v>247643312869</v>
      </c>
      <c r="S680">
        <v>245795213.86000001</v>
      </c>
      <c r="T680">
        <v>241743339223.17999</v>
      </c>
      <c r="U680">
        <v>245640345201.67001</v>
      </c>
      <c r="V680">
        <v>0.242066</v>
      </c>
      <c r="W680">
        <v>8.1901000000000002E-2</v>
      </c>
      <c r="Y680" t="s">
        <v>0</v>
      </c>
      <c r="Z680">
        <v>8000</v>
      </c>
      <c r="AA680">
        <v>36</v>
      </c>
      <c r="AB680">
        <v>156</v>
      </c>
      <c r="AC680">
        <v>0</v>
      </c>
      <c r="AD680">
        <v>4401367275</v>
      </c>
      <c r="AE680">
        <v>3841515.51</v>
      </c>
      <c r="AF680">
        <v>4397759296</v>
      </c>
      <c r="AG680">
        <v>4397759296</v>
      </c>
      <c r="AH680">
        <v>-6.3699999999999998E-4</v>
      </c>
      <c r="AI680">
        <v>-6.3699999999999998E-4</v>
      </c>
    </row>
    <row r="681" spans="1:35" x14ac:dyDescent="0.35">
      <c r="A681" t="s">
        <v>1</v>
      </c>
      <c r="B681">
        <v>6500</v>
      </c>
      <c r="C681">
        <v>30</v>
      </c>
      <c r="D681">
        <v>6770</v>
      </c>
      <c r="E681">
        <v>0</v>
      </c>
      <c r="F681">
        <v>216371008501</v>
      </c>
      <c r="G681">
        <v>235076290.31999999</v>
      </c>
      <c r="H681">
        <v>206667249374.78</v>
      </c>
      <c r="I681">
        <v>215337129461.20001</v>
      </c>
      <c r="J681">
        <v>0.41548499999999999</v>
      </c>
      <c r="K681">
        <v>4.3413E-2</v>
      </c>
      <c r="M681" t="s">
        <v>1</v>
      </c>
      <c r="N681">
        <v>5000</v>
      </c>
      <c r="O681">
        <v>36</v>
      </c>
      <c r="P681">
        <v>7199</v>
      </c>
      <c r="Q681">
        <v>0</v>
      </c>
      <c r="R681">
        <v>265206279159</v>
      </c>
      <c r="S681">
        <v>387834283.87</v>
      </c>
      <c r="T681">
        <v>262094541236.51001</v>
      </c>
      <c r="U681">
        <v>264284937945.20001</v>
      </c>
      <c r="V681">
        <v>0.116521</v>
      </c>
      <c r="W681">
        <v>2.3875E-2</v>
      </c>
      <c r="Y681" t="s">
        <v>0</v>
      </c>
      <c r="Z681">
        <v>5750</v>
      </c>
      <c r="AA681">
        <v>36</v>
      </c>
      <c r="AB681">
        <v>34441</v>
      </c>
      <c r="AC681">
        <v>0</v>
      </c>
      <c r="AD681">
        <v>1014869734492</v>
      </c>
      <c r="AE681">
        <v>1299815513.8</v>
      </c>
      <c r="AF681">
        <v>1007655730046</v>
      </c>
      <c r="AG681">
        <v>1012255077797.59</v>
      </c>
      <c r="AH681">
        <v>6.7732000000000001E-2</v>
      </c>
      <c r="AI681">
        <v>1.5436999999999999E-2</v>
      </c>
    </row>
    <row r="682" spans="1:35" x14ac:dyDescent="0.35">
      <c r="A682" t="s">
        <v>0</v>
      </c>
      <c r="B682">
        <v>7500</v>
      </c>
      <c r="C682">
        <v>36</v>
      </c>
      <c r="D682">
        <v>2755</v>
      </c>
      <c r="E682">
        <v>0</v>
      </c>
      <c r="F682">
        <v>65015292952</v>
      </c>
      <c r="G682">
        <v>61572091.100000001</v>
      </c>
      <c r="H682">
        <v>63764662005.769997</v>
      </c>
      <c r="I682">
        <v>64512562704.870003</v>
      </c>
      <c r="J682">
        <v>0.198683</v>
      </c>
      <c r="K682">
        <v>7.8453999999999996E-2</v>
      </c>
      <c r="M682" t="s">
        <v>1</v>
      </c>
      <c r="N682">
        <v>5750</v>
      </c>
      <c r="O682">
        <v>36</v>
      </c>
      <c r="P682">
        <v>21673</v>
      </c>
      <c r="Q682">
        <v>0</v>
      </c>
      <c r="R682">
        <v>740818460302</v>
      </c>
      <c r="S682">
        <v>952857713.55999994</v>
      </c>
      <c r="T682">
        <v>727114496406.44995</v>
      </c>
      <c r="U682">
        <v>737573253829.09998</v>
      </c>
      <c r="V682">
        <v>0.18807299999999999</v>
      </c>
      <c r="W682">
        <v>3.6506999999999998E-2</v>
      </c>
      <c r="Y682" t="s">
        <v>0</v>
      </c>
      <c r="Z682">
        <v>6750</v>
      </c>
      <c r="AA682">
        <v>36</v>
      </c>
      <c r="AB682">
        <v>40525</v>
      </c>
      <c r="AC682">
        <v>0</v>
      </c>
      <c r="AD682">
        <v>1006634324768</v>
      </c>
      <c r="AE682">
        <v>1090677372.03</v>
      </c>
      <c r="AF682">
        <v>989781055114</v>
      </c>
      <c r="AG682">
        <v>1000751709208.48</v>
      </c>
      <c r="AH682">
        <v>0.172537</v>
      </c>
      <c r="AI682">
        <v>5.5652E-2</v>
      </c>
    </row>
    <row r="683" spans="1:35" x14ac:dyDescent="0.35">
      <c r="A683" t="s">
        <v>0</v>
      </c>
      <c r="B683">
        <v>8000</v>
      </c>
      <c r="C683">
        <v>42</v>
      </c>
      <c r="D683">
        <v>49</v>
      </c>
      <c r="E683">
        <v>0</v>
      </c>
      <c r="F683">
        <v>1383040638</v>
      </c>
      <c r="G683">
        <v>1231070.73</v>
      </c>
      <c r="H683">
        <v>1363071769.26</v>
      </c>
      <c r="I683">
        <v>1379228212.54</v>
      </c>
      <c r="J683">
        <v>0.15099499999999999</v>
      </c>
      <c r="K683">
        <v>2.2169000000000001E-2</v>
      </c>
      <c r="M683" t="s">
        <v>2</v>
      </c>
      <c r="N683">
        <v>5750</v>
      </c>
      <c r="O683">
        <v>36</v>
      </c>
      <c r="P683">
        <v>2998</v>
      </c>
      <c r="Q683">
        <v>0</v>
      </c>
      <c r="R683">
        <v>52215979527</v>
      </c>
      <c r="S683">
        <v>67528454.629999995</v>
      </c>
      <c r="T683">
        <v>51739067723.650002</v>
      </c>
      <c r="U683">
        <v>52031722285.550003</v>
      </c>
      <c r="V683">
        <v>9.0130000000000002E-2</v>
      </c>
      <c r="W683">
        <v>2.6499000000000002E-2</v>
      </c>
      <c r="Y683" t="s">
        <v>2</v>
      </c>
      <c r="Z683">
        <v>5250</v>
      </c>
      <c r="AA683">
        <v>36</v>
      </c>
      <c r="AB683">
        <v>424</v>
      </c>
      <c r="AC683">
        <v>0</v>
      </c>
      <c r="AD683">
        <v>9223111399</v>
      </c>
      <c r="AE683">
        <v>12842505.74</v>
      </c>
      <c r="AF683">
        <v>9193481815</v>
      </c>
      <c r="AG683">
        <v>9209810560.2900009</v>
      </c>
      <c r="AH683">
        <v>2.1624000000000001E-2</v>
      </c>
      <c r="AI683">
        <v>5.9599999999999996E-4</v>
      </c>
    </row>
    <row r="684" spans="1:35" x14ac:dyDescent="0.35">
      <c r="A684" t="s">
        <v>0</v>
      </c>
      <c r="B684">
        <v>8000</v>
      </c>
      <c r="C684">
        <v>36</v>
      </c>
      <c r="D684">
        <v>128</v>
      </c>
      <c r="E684">
        <v>0</v>
      </c>
      <c r="F684">
        <v>3708488898</v>
      </c>
      <c r="G684">
        <v>3236040.75</v>
      </c>
      <c r="H684">
        <v>3642909534.1599998</v>
      </c>
      <c r="I684">
        <v>3693570203.96</v>
      </c>
      <c r="J684">
        <v>0.184086</v>
      </c>
      <c r="K684">
        <v>3.7155000000000001E-2</v>
      </c>
      <c r="M684" t="s">
        <v>2</v>
      </c>
      <c r="N684">
        <v>6250</v>
      </c>
      <c r="O684">
        <v>36</v>
      </c>
      <c r="P684">
        <v>3053</v>
      </c>
      <c r="Q684">
        <v>0</v>
      </c>
      <c r="R684">
        <v>50909803026</v>
      </c>
      <c r="S684">
        <v>60178858.079999998</v>
      </c>
      <c r="T684">
        <v>50360365600.879997</v>
      </c>
      <c r="U684">
        <v>50712812222.690002</v>
      </c>
      <c r="V684">
        <v>0.109419</v>
      </c>
      <c r="W684">
        <v>3.1775999999999999E-2</v>
      </c>
      <c r="Y684" t="s">
        <v>0</v>
      </c>
      <c r="Z684">
        <v>5250</v>
      </c>
      <c r="AA684">
        <v>36</v>
      </c>
      <c r="AB684">
        <v>11624</v>
      </c>
      <c r="AC684">
        <v>0</v>
      </c>
      <c r="AD684">
        <v>355842496795</v>
      </c>
      <c r="AE684">
        <v>495346450.54000002</v>
      </c>
      <c r="AF684">
        <v>353814215312</v>
      </c>
      <c r="AG684">
        <v>354916470759.19</v>
      </c>
      <c r="AH684">
        <v>5.0486999999999997E-2</v>
      </c>
      <c r="AI684">
        <v>1.4427000000000001E-2</v>
      </c>
    </row>
    <row r="685" spans="1:35" x14ac:dyDescent="0.35">
      <c r="A685" t="s">
        <v>2</v>
      </c>
      <c r="B685">
        <v>6750</v>
      </c>
      <c r="C685">
        <v>42</v>
      </c>
      <c r="D685">
        <v>1007</v>
      </c>
      <c r="E685">
        <v>0</v>
      </c>
      <c r="F685">
        <v>15887500222</v>
      </c>
      <c r="G685">
        <v>17691326.18</v>
      </c>
      <c r="H685">
        <v>15716096507.110001</v>
      </c>
      <c r="I685">
        <v>15832833092.709999</v>
      </c>
      <c r="J685">
        <v>0.11011799999999999</v>
      </c>
      <c r="K685">
        <v>2.7573E-2</v>
      </c>
      <c r="M685" t="s">
        <v>2</v>
      </c>
      <c r="N685">
        <v>6500</v>
      </c>
      <c r="O685">
        <v>36</v>
      </c>
      <c r="P685">
        <v>969</v>
      </c>
      <c r="Q685">
        <v>0</v>
      </c>
      <c r="R685">
        <v>15926759149</v>
      </c>
      <c r="S685">
        <v>17938085.469999999</v>
      </c>
      <c r="T685">
        <v>15767421055.51</v>
      </c>
      <c r="U685">
        <v>15877707893.98</v>
      </c>
      <c r="V685">
        <v>0.10148600000000001</v>
      </c>
      <c r="W685">
        <v>2.3192000000000001E-2</v>
      </c>
      <c r="Y685" t="s">
        <v>2</v>
      </c>
      <c r="Z685">
        <v>6750</v>
      </c>
      <c r="AA685">
        <v>36</v>
      </c>
      <c r="AB685">
        <v>3410</v>
      </c>
      <c r="AC685">
        <v>0</v>
      </c>
      <c r="AD685">
        <v>53433402325</v>
      </c>
      <c r="AE685">
        <v>58037233.909999996</v>
      </c>
      <c r="AF685">
        <v>52906287984</v>
      </c>
      <c r="AG685">
        <v>53208082504.279999</v>
      </c>
      <c r="AH685">
        <v>0.10040399999999999</v>
      </c>
      <c r="AI685">
        <v>3.6928000000000002E-2</v>
      </c>
    </row>
    <row r="686" spans="1:35" x14ac:dyDescent="0.35">
      <c r="A686" t="s">
        <v>0</v>
      </c>
      <c r="B686">
        <v>7750</v>
      </c>
      <c r="C686">
        <v>42</v>
      </c>
      <c r="D686">
        <v>632</v>
      </c>
      <c r="E686">
        <v>0</v>
      </c>
      <c r="F686">
        <v>13806511755</v>
      </c>
      <c r="G686">
        <v>12952503.869999999</v>
      </c>
      <c r="H686">
        <v>13540949943.59</v>
      </c>
      <c r="I686">
        <v>13708978179.41</v>
      </c>
      <c r="J686">
        <v>0.19875599999999999</v>
      </c>
      <c r="K686">
        <v>7.1086999999999997E-2</v>
      </c>
      <c r="M686" t="s">
        <v>1</v>
      </c>
      <c r="N686">
        <v>7000</v>
      </c>
      <c r="O686">
        <v>36</v>
      </c>
      <c r="P686">
        <v>2281</v>
      </c>
      <c r="Q686">
        <v>0</v>
      </c>
      <c r="R686">
        <v>56711810829</v>
      </c>
      <c r="S686">
        <v>58847723.5</v>
      </c>
      <c r="T686">
        <v>53735687076.870003</v>
      </c>
      <c r="U686">
        <v>56223828545.330002</v>
      </c>
      <c r="V686">
        <v>0.46938999999999997</v>
      </c>
      <c r="W686">
        <v>8.7118000000000001E-2</v>
      </c>
      <c r="Y686" t="s">
        <v>0</v>
      </c>
      <c r="Z686">
        <v>7250</v>
      </c>
      <c r="AA686">
        <v>36</v>
      </c>
      <c r="AB686">
        <v>15515</v>
      </c>
      <c r="AC686">
        <v>0</v>
      </c>
      <c r="AD686">
        <v>351666109579</v>
      </c>
      <c r="AE686">
        <v>349843569.31</v>
      </c>
      <c r="AF686">
        <v>343569544231</v>
      </c>
      <c r="AG686">
        <v>349163840707.16998</v>
      </c>
      <c r="AH686">
        <v>0.23455599999999999</v>
      </c>
      <c r="AI686">
        <v>7.1025000000000005E-2</v>
      </c>
    </row>
    <row r="687" spans="1:35" x14ac:dyDescent="0.35">
      <c r="A687" t="s">
        <v>1</v>
      </c>
      <c r="B687">
        <v>6750</v>
      </c>
      <c r="C687">
        <v>42</v>
      </c>
      <c r="D687">
        <v>3648</v>
      </c>
      <c r="E687">
        <v>0</v>
      </c>
      <c r="F687">
        <v>102004698547</v>
      </c>
      <c r="G687">
        <v>113716742.70999999</v>
      </c>
      <c r="H687">
        <v>98258457857.990005</v>
      </c>
      <c r="I687">
        <v>101231857462.91</v>
      </c>
      <c r="J687">
        <v>0.35282000000000002</v>
      </c>
      <c r="K687">
        <v>7.4843000000000007E-2</v>
      </c>
      <c r="M687" t="s">
        <v>1</v>
      </c>
      <c r="N687">
        <v>5750</v>
      </c>
      <c r="O687">
        <v>42</v>
      </c>
      <c r="P687">
        <v>16095</v>
      </c>
      <c r="Q687">
        <v>0</v>
      </c>
      <c r="R687">
        <v>481988847400</v>
      </c>
      <c r="S687">
        <v>639451054.59000003</v>
      </c>
      <c r="T687">
        <v>473347006654.5</v>
      </c>
      <c r="U687">
        <v>478656908869.34998</v>
      </c>
      <c r="V687">
        <v>0.18201100000000001</v>
      </c>
      <c r="W687">
        <v>6.5013000000000001E-2</v>
      </c>
      <c r="Y687" t="s">
        <v>0</v>
      </c>
      <c r="Z687">
        <v>7750</v>
      </c>
      <c r="AA687">
        <v>36</v>
      </c>
      <c r="AB687">
        <v>2319</v>
      </c>
      <c r="AC687">
        <v>0</v>
      </c>
      <c r="AD687">
        <v>49951356286</v>
      </c>
      <c r="AE687">
        <v>45605343.799999997</v>
      </c>
      <c r="AF687">
        <v>49127387091</v>
      </c>
      <c r="AG687">
        <v>49545775640.029999</v>
      </c>
      <c r="AH687">
        <v>0.171768</v>
      </c>
      <c r="AI687">
        <v>8.3131999999999998E-2</v>
      </c>
    </row>
    <row r="688" spans="1:35" x14ac:dyDescent="0.35">
      <c r="A688" t="s">
        <v>1</v>
      </c>
      <c r="B688">
        <v>6250</v>
      </c>
      <c r="C688">
        <v>42</v>
      </c>
      <c r="D688">
        <v>9832</v>
      </c>
      <c r="E688">
        <v>0</v>
      </c>
      <c r="F688">
        <v>282655755090</v>
      </c>
      <c r="G688">
        <v>345605473.58999997</v>
      </c>
      <c r="H688">
        <v>275024182236.98999</v>
      </c>
      <c r="I688">
        <v>280327632609.46002</v>
      </c>
      <c r="J688">
        <v>0.26902700000000002</v>
      </c>
      <c r="K688">
        <v>8.0994999999999998E-2</v>
      </c>
      <c r="M688" t="s">
        <v>2</v>
      </c>
      <c r="N688">
        <v>4000</v>
      </c>
      <c r="O688">
        <v>36</v>
      </c>
      <c r="P688">
        <v>123</v>
      </c>
      <c r="Q688">
        <v>0</v>
      </c>
      <c r="R688">
        <v>2551883641</v>
      </c>
      <c r="S688">
        <v>4521879.07</v>
      </c>
      <c r="T688">
        <v>2531166543.9899998</v>
      </c>
      <c r="U688">
        <v>2540800982.98</v>
      </c>
      <c r="V688">
        <v>7.3553999999999994E-2</v>
      </c>
      <c r="W688">
        <v>3.0419000000000002E-2</v>
      </c>
      <c r="Y688" t="s">
        <v>1</v>
      </c>
      <c r="Z688">
        <v>6750</v>
      </c>
      <c r="AA688">
        <v>42</v>
      </c>
      <c r="AB688">
        <v>1503</v>
      </c>
      <c r="AC688">
        <v>0</v>
      </c>
      <c r="AD688">
        <v>39999572683</v>
      </c>
      <c r="AE688">
        <v>44608733.990000002</v>
      </c>
      <c r="AF688">
        <v>38257911975</v>
      </c>
      <c r="AG688">
        <v>39518418652.019997</v>
      </c>
      <c r="AH688">
        <v>0.40561999999999998</v>
      </c>
      <c r="AI688">
        <v>0.12338300000000001</v>
      </c>
    </row>
    <row r="689" spans="1:35" x14ac:dyDescent="0.35">
      <c r="A689" t="s">
        <v>1</v>
      </c>
      <c r="B689">
        <v>6750</v>
      </c>
      <c r="C689">
        <v>36</v>
      </c>
      <c r="D689">
        <v>11134</v>
      </c>
      <c r="E689">
        <v>0</v>
      </c>
      <c r="F689">
        <v>300597689017</v>
      </c>
      <c r="G689">
        <v>325881015.33999997</v>
      </c>
      <c r="H689">
        <v>287253435990.46002</v>
      </c>
      <c r="I689">
        <v>298104150437.08002</v>
      </c>
      <c r="J689">
        <v>0.41215299999999999</v>
      </c>
      <c r="K689">
        <v>8.3183000000000007E-2</v>
      </c>
      <c r="M689" t="s">
        <v>1</v>
      </c>
      <c r="N689">
        <v>4500</v>
      </c>
      <c r="O689">
        <v>36</v>
      </c>
      <c r="P689">
        <v>4852</v>
      </c>
      <c r="Q689">
        <v>0</v>
      </c>
      <c r="R689">
        <v>181210365424</v>
      </c>
      <c r="S689">
        <v>288294540.54000002</v>
      </c>
      <c r="T689">
        <v>179184747086.45999</v>
      </c>
      <c r="U689">
        <v>180568042881.25</v>
      </c>
      <c r="V689">
        <v>0.109171</v>
      </c>
      <c r="W689">
        <v>2.3193999999999999E-2</v>
      </c>
      <c r="Y689" t="s">
        <v>1</v>
      </c>
      <c r="Z689">
        <v>6750</v>
      </c>
      <c r="AA689">
        <v>36</v>
      </c>
      <c r="AB689">
        <v>11734</v>
      </c>
      <c r="AC689">
        <v>0</v>
      </c>
      <c r="AD689">
        <v>320773086082</v>
      </c>
      <c r="AE689">
        <v>348088602.31</v>
      </c>
      <c r="AF689">
        <v>307910623390</v>
      </c>
      <c r="AG689">
        <v>317697444065.84003</v>
      </c>
      <c r="AH689">
        <v>0.379689</v>
      </c>
      <c r="AI689">
        <v>9.7397999999999998E-2</v>
      </c>
    </row>
    <row r="690" spans="1:35" x14ac:dyDescent="0.35">
      <c r="A690" t="s">
        <v>0</v>
      </c>
      <c r="B690">
        <v>6750</v>
      </c>
      <c r="C690">
        <v>36</v>
      </c>
      <c r="D690">
        <v>41588</v>
      </c>
      <c r="E690">
        <v>0</v>
      </c>
      <c r="F690">
        <v>1041023066696</v>
      </c>
      <c r="G690">
        <v>1126553740.3299999</v>
      </c>
      <c r="H690">
        <v>1016944275491.67</v>
      </c>
      <c r="I690">
        <v>1030712097832.98</v>
      </c>
      <c r="J690">
        <v>0.234735</v>
      </c>
      <c r="K690">
        <v>0.100881</v>
      </c>
      <c r="M690" t="s">
        <v>0</v>
      </c>
      <c r="N690">
        <v>6000</v>
      </c>
      <c r="O690">
        <v>30</v>
      </c>
      <c r="P690">
        <v>29665</v>
      </c>
      <c r="Q690">
        <v>0</v>
      </c>
      <c r="R690">
        <v>827393471794</v>
      </c>
      <c r="S690">
        <v>981518112.17999995</v>
      </c>
      <c r="T690">
        <v>817150922124.68005</v>
      </c>
      <c r="U690">
        <v>823561658294.12</v>
      </c>
      <c r="V690">
        <v>0.12634799999999999</v>
      </c>
      <c r="W690">
        <v>4.0564999999999997E-2</v>
      </c>
      <c r="Y690" t="s">
        <v>1</v>
      </c>
      <c r="Z690">
        <v>6250</v>
      </c>
      <c r="AA690">
        <v>42</v>
      </c>
      <c r="AB690">
        <v>7556</v>
      </c>
      <c r="AC690">
        <v>0</v>
      </c>
      <c r="AD690">
        <v>209142521704</v>
      </c>
      <c r="AE690">
        <v>255389802.75999999</v>
      </c>
      <c r="AF690">
        <v>202845397437</v>
      </c>
      <c r="AG690">
        <v>207340689920.06</v>
      </c>
      <c r="AH690">
        <v>0.29655300000000001</v>
      </c>
      <c r="AI690">
        <v>8.5208999999999993E-2</v>
      </c>
    </row>
    <row r="691" spans="1:35" x14ac:dyDescent="0.35">
      <c r="A691" t="s">
        <v>0</v>
      </c>
      <c r="B691">
        <v>5750</v>
      </c>
      <c r="C691">
        <v>36</v>
      </c>
      <c r="D691">
        <v>42126</v>
      </c>
      <c r="E691">
        <v>0</v>
      </c>
      <c r="F691">
        <v>1268515658306</v>
      </c>
      <c r="G691">
        <v>1625163058.04</v>
      </c>
      <c r="H691">
        <v>1255989557260.22</v>
      </c>
      <c r="I691">
        <v>1263262467551.45</v>
      </c>
      <c r="J691">
        <v>9.8385E-2</v>
      </c>
      <c r="K691">
        <v>3.3785999999999997E-2</v>
      </c>
      <c r="M691" t="s">
        <v>2</v>
      </c>
      <c r="N691">
        <v>6000</v>
      </c>
      <c r="O691">
        <v>30</v>
      </c>
      <c r="P691">
        <v>1228</v>
      </c>
      <c r="Q691">
        <v>0</v>
      </c>
      <c r="R691">
        <v>23170665640</v>
      </c>
      <c r="S691">
        <v>27535174.059999999</v>
      </c>
      <c r="T691">
        <v>22988830556.93</v>
      </c>
      <c r="U691">
        <v>23111370586.779999</v>
      </c>
      <c r="V691">
        <v>7.7049000000000006E-2</v>
      </c>
      <c r="W691">
        <v>1.6324999999999999E-2</v>
      </c>
      <c r="Y691" t="s">
        <v>1</v>
      </c>
      <c r="Z691">
        <v>6250</v>
      </c>
      <c r="AA691">
        <v>36</v>
      </c>
      <c r="AB691">
        <v>18679</v>
      </c>
      <c r="AC691">
        <v>0</v>
      </c>
      <c r="AD691">
        <v>599988744335</v>
      </c>
      <c r="AE691">
        <v>707676430.41999996</v>
      </c>
      <c r="AF691">
        <v>582809260745</v>
      </c>
      <c r="AG691">
        <v>596546822598.40002</v>
      </c>
      <c r="AH691">
        <v>0.28398099999999998</v>
      </c>
      <c r="AI691">
        <v>5.3336000000000001E-2</v>
      </c>
    </row>
    <row r="692" spans="1:35" x14ac:dyDescent="0.35">
      <c r="A692" t="s">
        <v>1</v>
      </c>
      <c r="B692">
        <v>5750</v>
      </c>
      <c r="C692">
        <v>36</v>
      </c>
      <c r="D692">
        <v>26616</v>
      </c>
      <c r="E692">
        <v>0</v>
      </c>
      <c r="F692">
        <v>994758162217</v>
      </c>
      <c r="G692">
        <v>1275073987.1500001</v>
      </c>
      <c r="H692">
        <v>973714969629.52002</v>
      </c>
      <c r="I692">
        <v>991480647873.63</v>
      </c>
      <c r="J692">
        <v>0.214055</v>
      </c>
      <c r="K692">
        <v>2.3890000000000002E-2</v>
      </c>
      <c r="M692" t="s">
        <v>1</v>
      </c>
      <c r="N692">
        <v>6000</v>
      </c>
      <c r="O692">
        <v>30</v>
      </c>
      <c r="P692">
        <v>13681</v>
      </c>
      <c r="Q692">
        <v>0</v>
      </c>
      <c r="R692">
        <v>501709691887</v>
      </c>
      <c r="S692">
        <v>595586675.42999995</v>
      </c>
      <c r="T692">
        <v>487712046484.22998</v>
      </c>
      <c r="U692">
        <v>499951009226.82001</v>
      </c>
      <c r="V692">
        <v>0.27740900000000002</v>
      </c>
      <c r="W692">
        <v>2.7466999999999998E-2</v>
      </c>
      <c r="Y692" t="s">
        <v>1</v>
      </c>
      <c r="Z692">
        <v>5750</v>
      </c>
      <c r="AA692">
        <v>36</v>
      </c>
      <c r="AB692">
        <v>21664</v>
      </c>
      <c r="AC692">
        <v>0</v>
      </c>
      <c r="AD692">
        <v>796141212468</v>
      </c>
      <c r="AE692">
        <v>1020105892.28</v>
      </c>
      <c r="AF692">
        <v>784710448057</v>
      </c>
      <c r="AG692">
        <v>792978673134.29004</v>
      </c>
      <c r="AH692">
        <v>0.14610899999999999</v>
      </c>
      <c r="AI692">
        <v>3.1819E-2</v>
      </c>
    </row>
    <row r="693" spans="1:35" x14ac:dyDescent="0.35">
      <c r="A693" t="s">
        <v>2</v>
      </c>
      <c r="B693">
        <v>5250</v>
      </c>
      <c r="C693">
        <v>36</v>
      </c>
      <c r="D693">
        <v>475</v>
      </c>
      <c r="E693">
        <v>0</v>
      </c>
      <c r="F693">
        <v>10721189160</v>
      </c>
      <c r="G693">
        <v>14939261.050000001</v>
      </c>
      <c r="H693">
        <v>10636802272.35</v>
      </c>
      <c r="I693">
        <v>10685477227.309999</v>
      </c>
      <c r="J693">
        <v>7.5021000000000004E-2</v>
      </c>
      <c r="K693">
        <v>2.3004E-2</v>
      </c>
      <c r="M693" t="s">
        <v>2</v>
      </c>
      <c r="N693">
        <v>5000</v>
      </c>
      <c r="O693">
        <v>30</v>
      </c>
      <c r="P693">
        <v>223</v>
      </c>
      <c r="Q693">
        <v>0</v>
      </c>
      <c r="R693">
        <v>5726778486</v>
      </c>
      <c r="S693">
        <v>8070181.8600000003</v>
      </c>
      <c r="T693">
        <v>5688201543.6700001</v>
      </c>
      <c r="U693">
        <v>5710463148.3500004</v>
      </c>
      <c r="V693">
        <v>6.2084E-2</v>
      </c>
      <c r="W693">
        <v>1.7141E-2</v>
      </c>
      <c r="Y693" t="s">
        <v>2</v>
      </c>
      <c r="Z693">
        <v>5750</v>
      </c>
      <c r="AA693">
        <v>36</v>
      </c>
      <c r="AB693">
        <v>1800</v>
      </c>
      <c r="AC693">
        <v>0</v>
      </c>
      <c r="AD693">
        <v>35307228285</v>
      </c>
      <c r="AE693">
        <v>45276198.659999996</v>
      </c>
      <c r="AF693">
        <v>35016123501</v>
      </c>
      <c r="AG693">
        <v>35196492901.870003</v>
      </c>
      <c r="AH693">
        <v>8.0423999999999995E-2</v>
      </c>
      <c r="AI693">
        <v>2.2022E-2</v>
      </c>
    </row>
    <row r="694" spans="1:35" x14ac:dyDescent="0.35">
      <c r="A694" t="s">
        <v>0</v>
      </c>
      <c r="B694">
        <v>7250</v>
      </c>
      <c r="C694">
        <v>36</v>
      </c>
      <c r="D694">
        <v>14741</v>
      </c>
      <c r="E694">
        <v>0</v>
      </c>
      <c r="F694">
        <v>337943825211</v>
      </c>
      <c r="G694">
        <v>335134093.41000003</v>
      </c>
      <c r="H694">
        <v>329920000115.41998</v>
      </c>
      <c r="I694">
        <v>334883449538.26001</v>
      </c>
      <c r="J694">
        <v>0.241316</v>
      </c>
      <c r="K694">
        <v>9.2591000000000007E-2</v>
      </c>
      <c r="M694" t="s">
        <v>0</v>
      </c>
      <c r="N694">
        <v>5000</v>
      </c>
      <c r="O694">
        <v>30</v>
      </c>
      <c r="P694">
        <v>10392</v>
      </c>
      <c r="Q694">
        <v>0</v>
      </c>
      <c r="R694">
        <v>340602393793</v>
      </c>
      <c r="S694">
        <v>479277875.86000001</v>
      </c>
      <c r="T694">
        <v>338313768720.52002</v>
      </c>
      <c r="U694">
        <v>339685878136.03998</v>
      </c>
      <c r="V694">
        <v>6.1915999999999999E-2</v>
      </c>
      <c r="W694">
        <v>1.5296000000000001E-2</v>
      </c>
      <c r="Y694" t="s">
        <v>2</v>
      </c>
      <c r="Z694">
        <v>6250</v>
      </c>
      <c r="AA694">
        <v>36</v>
      </c>
      <c r="AB694">
        <v>3254</v>
      </c>
      <c r="AC694">
        <v>0</v>
      </c>
      <c r="AD694">
        <v>57029530397</v>
      </c>
      <c r="AE694">
        <v>67283841.269999996</v>
      </c>
      <c r="AF694">
        <v>56606231077</v>
      </c>
      <c r="AG694">
        <v>56861773699.440002</v>
      </c>
      <c r="AH694">
        <v>7.2392999999999999E-2</v>
      </c>
      <c r="AI694">
        <v>2.0937999999999998E-2</v>
      </c>
    </row>
    <row r="695" spans="1:35" x14ac:dyDescent="0.35">
      <c r="A695" t="s">
        <v>2</v>
      </c>
      <c r="B695">
        <v>5750</v>
      </c>
      <c r="C695">
        <v>36</v>
      </c>
      <c r="D695">
        <v>2067</v>
      </c>
      <c r="E695">
        <v>0</v>
      </c>
      <c r="F695">
        <v>41246753988</v>
      </c>
      <c r="G695">
        <v>52940030.140000001</v>
      </c>
      <c r="H695">
        <v>40890928688.010002</v>
      </c>
      <c r="I695">
        <v>41091462252.480003</v>
      </c>
      <c r="J695">
        <v>8.4645999999999999E-2</v>
      </c>
      <c r="K695">
        <v>2.9374000000000001E-2</v>
      </c>
      <c r="M695" t="s">
        <v>1</v>
      </c>
      <c r="N695">
        <v>5000</v>
      </c>
      <c r="O695">
        <v>30</v>
      </c>
      <c r="P695">
        <v>6080</v>
      </c>
      <c r="Q695">
        <v>0</v>
      </c>
      <c r="R695">
        <v>226319344037</v>
      </c>
      <c r="S695">
        <v>318853273.97000003</v>
      </c>
      <c r="T695">
        <v>223775902846</v>
      </c>
      <c r="U695">
        <v>225482569294.95999</v>
      </c>
      <c r="V695">
        <v>0.11178100000000001</v>
      </c>
      <c r="W695">
        <v>2.7118E-2</v>
      </c>
      <c r="Y695" t="s">
        <v>1</v>
      </c>
      <c r="Z695">
        <v>5250</v>
      </c>
      <c r="AA695">
        <v>36</v>
      </c>
      <c r="AB695">
        <v>9177</v>
      </c>
      <c r="AC695">
        <v>0</v>
      </c>
      <c r="AD695">
        <v>348768592258</v>
      </c>
      <c r="AE695">
        <v>485333567.91000003</v>
      </c>
      <c r="AF695">
        <v>345372447832</v>
      </c>
      <c r="AG695">
        <v>347340554144.62</v>
      </c>
      <c r="AH695">
        <v>9.5680000000000001E-2</v>
      </c>
      <c r="AI695">
        <v>3.1958E-2</v>
      </c>
    </row>
    <row r="696" spans="1:35" x14ac:dyDescent="0.35">
      <c r="A696" t="s">
        <v>2</v>
      </c>
      <c r="B696">
        <v>6250</v>
      </c>
      <c r="C696">
        <v>36</v>
      </c>
      <c r="D696">
        <v>3539</v>
      </c>
      <c r="E696">
        <v>0</v>
      </c>
      <c r="F696">
        <v>62214763720</v>
      </c>
      <c r="G696">
        <v>73377118.739999995</v>
      </c>
      <c r="H696">
        <v>61661955877.589996</v>
      </c>
      <c r="I696">
        <v>61999941679.849998</v>
      </c>
      <c r="J696">
        <v>8.8651999999999995E-2</v>
      </c>
      <c r="K696">
        <v>2.6943000000000002E-2</v>
      </c>
      <c r="M696" t="s">
        <v>2</v>
      </c>
      <c r="N696">
        <v>5500</v>
      </c>
      <c r="O696">
        <v>30</v>
      </c>
      <c r="P696">
        <v>553</v>
      </c>
      <c r="Q696">
        <v>0</v>
      </c>
      <c r="R696">
        <v>11676252092</v>
      </c>
      <c r="S696">
        <v>15124468.85</v>
      </c>
      <c r="T696">
        <v>11586994918.379999</v>
      </c>
      <c r="U696">
        <v>11644414946.059999</v>
      </c>
      <c r="V696">
        <v>7.3582999999999996E-2</v>
      </c>
      <c r="W696">
        <v>1.7041000000000001E-2</v>
      </c>
      <c r="Y696" t="s">
        <v>1</v>
      </c>
      <c r="Z696">
        <v>4250</v>
      </c>
      <c r="AA696">
        <v>36</v>
      </c>
      <c r="AB696">
        <v>712</v>
      </c>
      <c r="AC696">
        <v>0</v>
      </c>
      <c r="AD696">
        <v>25130546585</v>
      </c>
      <c r="AE696">
        <v>41514151.409999996</v>
      </c>
      <c r="AF696">
        <v>24928563793</v>
      </c>
      <c r="AG696">
        <v>24976335986.860001</v>
      </c>
      <c r="AH696">
        <v>7.399E-2</v>
      </c>
      <c r="AI696">
        <v>5.2505999999999997E-2</v>
      </c>
    </row>
    <row r="697" spans="1:35" x14ac:dyDescent="0.35">
      <c r="A697" t="s">
        <v>1</v>
      </c>
      <c r="B697">
        <v>5250</v>
      </c>
      <c r="C697">
        <v>36</v>
      </c>
      <c r="D697">
        <v>10785</v>
      </c>
      <c r="E697">
        <v>0</v>
      </c>
      <c r="F697">
        <v>411062979573</v>
      </c>
      <c r="G697">
        <v>572316641.94000006</v>
      </c>
      <c r="H697">
        <v>406040372247.70001</v>
      </c>
      <c r="I697">
        <v>409682936480.28003</v>
      </c>
      <c r="J697">
        <v>0.12245200000000001</v>
      </c>
      <c r="K697">
        <v>2.3326E-2</v>
      </c>
      <c r="M697" t="s">
        <v>0</v>
      </c>
      <c r="N697">
        <v>5500</v>
      </c>
      <c r="O697">
        <v>30</v>
      </c>
      <c r="P697">
        <v>18248</v>
      </c>
      <c r="Q697">
        <v>0</v>
      </c>
      <c r="R697">
        <v>567082957423</v>
      </c>
      <c r="S697">
        <v>732360440.70000005</v>
      </c>
      <c r="T697">
        <v>562215356297.20996</v>
      </c>
      <c r="U697">
        <v>565239486997.91003</v>
      </c>
      <c r="V697">
        <v>8.4080000000000002E-2</v>
      </c>
      <c r="W697">
        <v>2.3259999999999999E-2</v>
      </c>
      <c r="Y697" t="s">
        <v>2</v>
      </c>
      <c r="Z697">
        <v>4750</v>
      </c>
      <c r="AA697">
        <v>36</v>
      </c>
      <c r="AB697">
        <v>177</v>
      </c>
      <c r="AC697">
        <v>0</v>
      </c>
      <c r="AD697">
        <v>4046428017</v>
      </c>
      <c r="AE697">
        <v>6145903.7999999998</v>
      </c>
      <c r="AF697">
        <v>4040614409</v>
      </c>
      <c r="AG697">
        <v>4040614409</v>
      </c>
      <c r="AH697">
        <v>-9.859999999999999E-4</v>
      </c>
      <c r="AI697">
        <v>-9.859999999999999E-4</v>
      </c>
    </row>
    <row r="698" spans="1:35" x14ac:dyDescent="0.35">
      <c r="A698" t="s">
        <v>0</v>
      </c>
      <c r="B698">
        <v>5250</v>
      </c>
      <c r="C698">
        <v>36</v>
      </c>
      <c r="D698">
        <v>13416</v>
      </c>
      <c r="E698">
        <v>0</v>
      </c>
      <c r="F698">
        <v>425560406737</v>
      </c>
      <c r="G698">
        <v>592483521.02999997</v>
      </c>
      <c r="H698">
        <v>421917513869.14001</v>
      </c>
      <c r="I698">
        <v>423943032123.89001</v>
      </c>
      <c r="J698">
        <v>8.2704E-2</v>
      </c>
      <c r="K698">
        <v>2.852E-2</v>
      </c>
      <c r="M698" t="s">
        <v>1</v>
      </c>
      <c r="N698">
        <v>5500</v>
      </c>
      <c r="O698">
        <v>30</v>
      </c>
      <c r="P698">
        <v>13516</v>
      </c>
      <c r="Q698">
        <v>0</v>
      </c>
      <c r="R698">
        <v>509492686389</v>
      </c>
      <c r="S698">
        <v>659035547.90999997</v>
      </c>
      <c r="T698">
        <v>503673494438.37</v>
      </c>
      <c r="U698">
        <v>507993386905.54999</v>
      </c>
      <c r="V698">
        <v>0.11498999999999999</v>
      </c>
      <c r="W698">
        <v>1.9612000000000001E-2</v>
      </c>
      <c r="Y698" t="s">
        <v>0</v>
      </c>
      <c r="Z698">
        <v>6250</v>
      </c>
      <c r="AA698">
        <v>30</v>
      </c>
      <c r="AB698">
        <v>48383</v>
      </c>
      <c r="AC698">
        <v>0</v>
      </c>
      <c r="AD698">
        <v>1469877836668</v>
      </c>
      <c r="AE698">
        <v>1677824407.98</v>
      </c>
      <c r="AF698">
        <v>1453214024104</v>
      </c>
      <c r="AG698">
        <v>1465915009027.26</v>
      </c>
      <c r="AH698">
        <v>0.115712</v>
      </c>
      <c r="AI698">
        <v>1.8495999999999999E-2</v>
      </c>
    </row>
    <row r="699" spans="1:35" x14ac:dyDescent="0.35">
      <c r="A699" t="s">
        <v>1</v>
      </c>
      <c r="B699">
        <v>6250</v>
      </c>
      <c r="C699">
        <v>36</v>
      </c>
      <c r="D699">
        <v>19761</v>
      </c>
      <c r="E699">
        <v>0</v>
      </c>
      <c r="F699">
        <v>639895882053</v>
      </c>
      <c r="G699">
        <v>754349056.25999999</v>
      </c>
      <c r="H699">
        <v>619195134669.81995</v>
      </c>
      <c r="I699">
        <v>636835101815.21997</v>
      </c>
      <c r="J699">
        <v>0.31614500000000001</v>
      </c>
      <c r="K699">
        <v>4.2404999999999998E-2</v>
      </c>
      <c r="M699" t="s">
        <v>0</v>
      </c>
      <c r="N699">
        <v>6250</v>
      </c>
      <c r="O699">
        <v>30</v>
      </c>
      <c r="P699">
        <v>63106</v>
      </c>
      <c r="Q699">
        <v>0</v>
      </c>
      <c r="R699">
        <v>1871523551050</v>
      </c>
      <c r="S699">
        <v>2128601962.28</v>
      </c>
      <c r="T699">
        <v>1846238844075.0901</v>
      </c>
      <c r="U699">
        <v>1862684558653.1599</v>
      </c>
      <c r="V699">
        <v>0.13877600000000001</v>
      </c>
      <c r="W699">
        <v>4.2188000000000003E-2</v>
      </c>
      <c r="Y699" t="s">
        <v>1</v>
      </c>
      <c r="Z699">
        <v>6000</v>
      </c>
      <c r="AA699">
        <v>30</v>
      </c>
      <c r="AB699">
        <v>11112</v>
      </c>
      <c r="AC699">
        <v>0</v>
      </c>
      <c r="AD699">
        <v>406512396207</v>
      </c>
      <c r="AE699">
        <v>483690827.67000002</v>
      </c>
      <c r="AF699">
        <v>398181125792</v>
      </c>
      <c r="AG699">
        <v>404928923798.96002</v>
      </c>
      <c r="AH699">
        <v>0.20857600000000001</v>
      </c>
      <c r="AI699">
        <v>3.1986000000000001E-2</v>
      </c>
    </row>
    <row r="700" spans="1:35" x14ac:dyDescent="0.35">
      <c r="A700" t="s">
        <v>2</v>
      </c>
      <c r="B700">
        <v>6750</v>
      </c>
      <c r="C700">
        <v>36</v>
      </c>
      <c r="D700">
        <v>3313</v>
      </c>
      <c r="E700">
        <v>0</v>
      </c>
      <c r="F700">
        <v>51364852771</v>
      </c>
      <c r="G700">
        <v>55785712.530000001</v>
      </c>
      <c r="H700">
        <v>50724704974.830002</v>
      </c>
      <c r="I700">
        <v>51145471038.290001</v>
      </c>
      <c r="J700">
        <v>0.12829399999999999</v>
      </c>
      <c r="K700">
        <v>3.7557E-2</v>
      </c>
      <c r="M700" t="s">
        <v>0</v>
      </c>
      <c r="N700">
        <v>6500</v>
      </c>
      <c r="O700">
        <v>30</v>
      </c>
      <c r="P700">
        <v>25815</v>
      </c>
      <c r="Q700">
        <v>0</v>
      </c>
      <c r="R700">
        <v>659224619861</v>
      </c>
      <c r="S700">
        <v>715649865.57000005</v>
      </c>
      <c r="T700">
        <v>647202873496.18005</v>
      </c>
      <c r="U700">
        <v>654750493973.07996</v>
      </c>
      <c r="V700">
        <v>0.18746199999999999</v>
      </c>
      <c r="W700">
        <v>6.6310999999999995E-2</v>
      </c>
      <c r="Y700" t="s">
        <v>2</v>
      </c>
      <c r="Z700">
        <v>6000</v>
      </c>
      <c r="AA700">
        <v>30</v>
      </c>
      <c r="AB700">
        <v>834</v>
      </c>
      <c r="AC700">
        <v>0</v>
      </c>
      <c r="AD700">
        <v>15895668145</v>
      </c>
      <c r="AE700">
        <v>18930919.539999999</v>
      </c>
      <c r="AF700">
        <v>15779046012</v>
      </c>
      <c r="AG700">
        <v>15830661954.040001</v>
      </c>
      <c r="AH700">
        <v>7.1306999999999995E-2</v>
      </c>
      <c r="AI700">
        <v>3.4234000000000001E-2</v>
      </c>
    </row>
    <row r="701" spans="1:35" x14ac:dyDescent="0.35">
      <c r="A701" t="s">
        <v>0</v>
      </c>
      <c r="B701">
        <v>7750</v>
      </c>
      <c r="C701">
        <v>36</v>
      </c>
      <c r="D701">
        <v>2352</v>
      </c>
      <c r="E701">
        <v>0</v>
      </c>
      <c r="F701">
        <v>52057473903</v>
      </c>
      <c r="G701">
        <v>47361302.270000003</v>
      </c>
      <c r="H701">
        <v>51058179622.660004</v>
      </c>
      <c r="I701">
        <v>51646429471.459999</v>
      </c>
      <c r="J701">
        <v>0.198656</v>
      </c>
      <c r="K701">
        <v>8.0686999999999995E-2</v>
      </c>
      <c r="M701" t="s">
        <v>2</v>
      </c>
      <c r="N701">
        <v>6500</v>
      </c>
      <c r="O701">
        <v>30</v>
      </c>
      <c r="P701">
        <v>1809</v>
      </c>
      <c r="Q701">
        <v>0</v>
      </c>
      <c r="R701">
        <v>31235718780</v>
      </c>
      <c r="S701">
        <v>33934937.450000003</v>
      </c>
      <c r="T701">
        <v>30930953717.27</v>
      </c>
      <c r="U701">
        <v>31129799766.75</v>
      </c>
      <c r="V701">
        <v>9.9224999999999994E-2</v>
      </c>
      <c r="W701">
        <v>2.7307000000000001E-2</v>
      </c>
      <c r="Y701" t="s">
        <v>1</v>
      </c>
      <c r="Z701">
        <v>6250</v>
      </c>
      <c r="AA701">
        <v>30</v>
      </c>
      <c r="AB701">
        <v>19860</v>
      </c>
      <c r="AC701">
        <v>0</v>
      </c>
      <c r="AD701">
        <v>709253679376</v>
      </c>
      <c r="AE701">
        <v>809178199.23000002</v>
      </c>
      <c r="AF701">
        <v>689002630396</v>
      </c>
      <c r="AG701">
        <v>706651789709.05005</v>
      </c>
      <c r="AH701">
        <v>0.28361199999999998</v>
      </c>
      <c r="AI701">
        <v>2.9912999999999999E-2</v>
      </c>
    </row>
    <row r="702" spans="1:35" x14ac:dyDescent="0.35">
      <c r="A702" t="s">
        <v>1</v>
      </c>
      <c r="B702">
        <v>4250</v>
      </c>
      <c r="C702">
        <v>36</v>
      </c>
      <c r="D702">
        <v>589</v>
      </c>
      <c r="E702">
        <v>0</v>
      </c>
      <c r="F702">
        <v>20399640226</v>
      </c>
      <c r="G702">
        <v>33696305.539999999</v>
      </c>
      <c r="H702">
        <v>20177906166.130001</v>
      </c>
      <c r="I702">
        <v>20314309341.779999</v>
      </c>
      <c r="J702">
        <v>0.105173</v>
      </c>
      <c r="K702">
        <v>2.9954999999999999E-2</v>
      </c>
      <c r="M702" t="s">
        <v>0</v>
      </c>
      <c r="N702">
        <v>7000</v>
      </c>
      <c r="O702">
        <v>30</v>
      </c>
      <c r="P702">
        <v>18405</v>
      </c>
      <c r="Q702">
        <v>0</v>
      </c>
      <c r="R702">
        <v>471107453335</v>
      </c>
      <c r="S702">
        <v>466863342.98000002</v>
      </c>
      <c r="T702">
        <v>460154169175.35999</v>
      </c>
      <c r="U702">
        <v>467248952948.91998</v>
      </c>
      <c r="V702">
        <v>0.23671700000000001</v>
      </c>
      <c r="W702">
        <v>8.3051E-2</v>
      </c>
      <c r="Y702" t="s">
        <v>2</v>
      </c>
      <c r="Z702">
        <v>6250</v>
      </c>
      <c r="AA702">
        <v>30</v>
      </c>
      <c r="AB702">
        <v>2338</v>
      </c>
      <c r="AC702">
        <v>0</v>
      </c>
      <c r="AD702">
        <v>43705897961</v>
      </c>
      <c r="AE702">
        <v>49954564.090000004</v>
      </c>
      <c r="AF702">
        <v>43454440569</v>
      </c>
      <c r="AG702">
        <v>43540670158</v>
      </c>
      <c r="AH702">
        <v>5.3943999999999999E-2</v>
      </c>
      <c r="AI702">
        <v>3.1195000000000001E-2</v>
      </c>
    </row>
    <row r="703" spans="1:35" x14ac:dyDescent="0.35">
      <c r="A703" t="s">
        <v>0</v>
      </c>
      <c r="B703">
        <v>6000</v>
      </c>
      <c r="C703">
        <v>30</v>
      </c>
      <c r="D703">
        <v>19417</v>
      </c>
      <c r="E703">
        <v>0</v>
      </c>
      <c r="F703">
        <v>568158889214</v>
      </c>
      <c r="G703">
        <v>675417985.25999999</v>
      </c>
      <c r="H703">
        <v>560874942662.63</v>
      </c>
      <c r="I703">
        <v>565822517410.60999</v>
      </c>
      <c r="J703">
        <v>0.13098599999999999</v>
      </c>
      <c r="K703">
        <v>3.4521999999999997E-2</v>
      </c>
      <c r="M703" t="s">
        <v>2</v>
      </c>
      <c r="N703">
        <v>7000</v>
      </c>
      <c r="O703">
        <v>30</v>
      </c>
      <c r="P703">
        <v>1328</v>
      </c>
      <c r="Q703">
        <v>0</v>
      </c>
      <c r="R703">
        <v>21348102674</v>
      </c>
      <c r="S703">
        <v>21263978.260000002</v>
      </c>
      <c r="T703">
        <v>21085929307.27</v>
      </c>
      <c r="U703">
        <v>21261639471.509998</v>
      </c>
      <c r="V703">
        <v>0.12732099999999999</v>
      </c>
      <c r="W703">
        <v>3.6040000000000003E-2</v>
      </c>
      <c r="Y703" t="s">
        <v>0</v>
      </c>
      <c r="Z703">
        <v>6750</v>
      </c>
      <c r="AA703">
        <v>30</v>
      </c>
      <c r="AB703">
        <v>59071</v>
      </c>
      <c r="AC703">
        <v>0</v>
      </c>
      <c r="AD703">
        <v>1645969899827</v>
      </c>
      <c r="AE703">
        <v>1713859442.4000001</v>
      </c>
      <c r="AF703">
        <v>1612841902863</v>
      </c>
      <c r="AG703">
        <v>1635949092964.8799</v>
      </c>
      <c r="AH703">
        <v>0.206451</v>
      </c>
      <c r="AI703">
        <v>5.8909000000000003E-2</v>
      </c>
    </row>
    <row r="704" spans="1:35" x14ac:dyDescent="0.35">
      <c r="A704" t="s">
        <v>0</v>
      </c>
      <c r="B704">
        <v>6250</v>
      </c>
      <c r="C704">
        <v>30</v>
      </c>
      <c r="D704">
        <v>37294</v>
      </c>
      <c r="E704">
        <v>0</v>
      </c>
      <c r="F704">
        <v>1147089777891</v>
      </c>
      <c r="G704">
        <v>1311706882.0799999</v>
      </c>
      <c r="H704">
        <v>1127626023003.8401</v>
      </c>
      <c r="I704">
        <v>1140677381979.23</v>
      </c>
      <c r="J704">
        <v>0.174207</v>
      </c>
      <c r="K704">
        <v>5.2074000000000002E-2</v>
      </c>
      <c r="M704" t="s">
        <v>1</v>
      </c>
      <c r="N704">
        <v>6500</v>
      </c>
      <c r="O704">
        <v>30</v>
      </c>
      <c r="P704">
        <v>6659</v>
      </c>
      <c r="Q704">
        <v>0</v>
      </c>
      <c r="R704">
        <v>203751751074</v>
      </c>
      <c r="S704">
        <v>221300359.38</v>
      </c>
      <c r="T704">
        <v>195153556991.76999</v>
      </c>
      <c r="U704">
        <v>202446186151.22</v>
      </c>
      <c r="V704">
        <v>0.395762</v>
      </c>
      <c r="W704">
        <v>6.2022000000000001E-2</v>
      </c>
      <c r="Y704" t="s">
        <v>1</v>
      </c>
      <c r="Z704">
        <v>6750</v>
      </c>
      <c r="AA704">
        <v>30</v>
      </c>
      <c r="AB704">
        <v>16115</v>
      </c>
      <c r="AC704">
        <v>0</v>
      </c>
      <c r="AD704">
        <v>498301257183</v>
      </c>
      <c r="AE704">
        <v>519064801.10000002</v>
      </c>
      <c r="AF704">
        <v>479681521717</v>
      </c>
      <c r="AG704">
        <v>495179017393.34998</v>
      </c>
      <c r="AH704">
        <v>0.35854200000000003</v>
      </c>
      <c r="AI704">
        <v>6.0919000000000001E-2</v>
      </c>
    </row>
    <row r="705" spans="1:35" x14ac:dyDescent="0.35">
      <c r="A705" t="s">
        <v>2</v>
      </c>
      <c r="B705">
        <v>6000</v>
      </c>
      <c r="C705">
        <v>30</v>
      </c>
      <c r="D705">
        <v>593</v>
      </c>
      <c r="E705">
        <v>0</v>
      </c>
      <c r="F705">
        <v>11611011571</v>
      </c>
      <c r="G705">
        <v>13829608.07</v>
      </c>
      <c r="H705">
        <v>11522287053.559999</v>
      </c>
      <c r="I705">
        <v>11584466982.139999</v>
      </c>
      <c r="J705">
        <v>7.4716000000000005E-2</v>
      </c>
      <c r="K705">
        <v>1.3062000000000001E-2</v>
      </c>
      <c r="M705" t="s">
        <v>1</v>
      </c>
      <c r="N705">
        <v>7000</v>
      </c>
      <c r="O705">
        <v>30</v>
      </c>
      <c r="P705">
        <v>4226</v>
      </c>
      <c r="Q705">
        <v>0</v>
      </c>
      <c r="R705">
        <v>112340725233</v>
      </c>
      <c r="S705">
        <v>111615146.76000001</v>
      </c>
      <c r="T705">
        <v>106571764769.42</v>
      </c>
      <c r="U705">
        <v>111329447873.34</v>
      </c>
      <c r="V705">
        <v>0.46208399999999999</v>
      </c>
      <c r="W705">
        <v>9.1978000000000004E-2</v>
      </c>
      <c r="Y705" t="s">
        <v>2</v>
      </c>
      <c r="Z705">
        <v>6750</v>
      </c>
      <c r="AA705">
        <v>30</v>
      </c>
      <c r="AB705">
        <v>3422</v>
      </c>
      <c r="AC705">
        <v>0</v>
      </c>
      <c r="AD705">
        <v>58351249123</v>
      </c>
      <c r="AE705">
        <v>60914502.530000001</v>
      </c>
      <c r="AF705">
        <v>57742903656</v>
      </c>
      <c r="AG705">
        <v>58200921780.510002</v>
      </c>
      <c r="AH705">
        <v>0.106949</v>
      </c>
      <c r="AI705">
        <v>1.8234E-2</v>
      </c>
    </row>
    <row r="706" spans="1:35" x14ac:dyDescent="0.35">
      <c r="A706" t="s">
        <v>1</v>
      </c>
      <c r="B706">
        <v>6000</v>
      </c>
      <c r="C706">
        <v>30</v>
      </c>
      <c r="D706">
        <v>9826</v>
      </c>
      <c r="E706">
        <v>0</v>
      </c>
      <c r="F706">
        <v>358529898871</v>
      </c>
      <c r="G706">
        <v>427515705.32999998</v>
      </c>
      <c r="H706">
        <v>348452485913.37</v>
      </c>
      <c r="I706">
        <v>357410230792.59998</v>
      </c>
      <c r="J706">
        <v>0.27921099999999999</v>
      </c>
      <c r="K706">
        <v>2.2922000000000001E-2</v>
      </c>
      <c r="M706" t="s">
        <v>0</v>
      </c>
      <c r="N706">
        <v>8000</v>
      </c>
      <c r="O706">
        <v>36</v>
      </c>
      <c r="P706">
        <v>137</v>
      </c>
      <c r="Q706">
        <v>0</v>
      </c>
      <c r="R706">
        <v>3935451196</v>
      </c>
      <c r="S706">
        <v>3396667.17</v>
      </c>
      <c r="T706">
        <v>3864842807.5700002</v>
      </c>
      <c r="U706">
        <v>3917534323.3400002</v>
      </c>
      <c r="V706">
        <v>0.186747</v>
      </c>
      <c r="W706">
        <v>4.3388000000000003E-2</v>
      </c>
      <c r="Y706" t="s">
        <v>0</v>
      </c>
      <c r="Z706">
        <v>7500</v>
      </c>
      <c r="AA706">
        <v>30</v>
      </c>
      <c r="AB706">
        <v>8474</v>
      </c>
      <c r="AC706">
        <v>0</v>
      </c>
      <c r="AD706">
        <v>222574210638</v>
      </c>
      <c r="AE706">
        <v>201322928.71000001</v>
      </c>
      <c r="AF706">
        <v>218103077034</v>
      </c>
      <c r="AG706">
        <v>221194754742.19</v>
      </c>
      <c r="AH706">
        <v>0.20740400000000001</v>
      </c>
      <c r="AI706">
        <v>6.1702E-2</v>
      </c>
    </row>
    <row r="707" spans="1:35" x14ac:dyDescent="0.35">
      <c r="A707" t="s">
        <v>1</v>
      </c>
      <c r="B707">
        <v>6250</v>
      </c>
      <c r="C707">
        <v>30</v>
      </c>
      <c r="D707">
        <v>15761</v>
      </c>
      <c r="E707">
        <v>0</v>
      </c>
      <c r="F707">
        <v>567395416729</v>
      </c>
      <c r="G707">
        <v>649029773.65999997</v>
      </c>
      <c r="H707">
        <v>548316636734.46002</v>
      </c>
      <c r="I707">
        <v>565059511410.08997</v>
      </c>
      <c r="J707">
        <v>0.32715899999999998</v>
      </c>
      <c r="K707">
        <v>3.5098999999999998E-2</v>
      </c>
      <c r="M707" t="s">
        <v>0</v>
      </c>
      <c r="N707">
        <v>7500</v>
      </c>
      <c r="O707">
        <v>30</v>
      </c>
      <c r="P707">
        <v>5359</v>
      </c>
      <c r="Q707">
        <v>0</v>
      </c>
      <c r="R707">
        <v>138620181232</v>
      </c>
      <c r="S707">
        <v>125604873.64</v>
      </c>
      <c r="T707">
        <v>135671343841.02</v>
      </c>
      <c r="U707">
        <v>137409816346.5</v>
      </c>
      <c r="V707">
        <v>0.21879899999999999</v>
      </c>
      <c r="W707">
        <v>8.9967000000000005E-2</v>
      </c>
      <c r="Y707" t="s">
        <v>1</v>
      </c>
      <c r="Z707">
        <v>7000</v>
      </c>
      <c r="AA707">
        <v>30</v>
      </c>
      <c r="AB707">
        <v>5164</v>
      </c>
      <c r="AC707">
        <v>0</v>
      </c>
      <c r="AD707">
        <v>141330369296</v>
      </c>
      <c r="AE707">
        <v>140169530.46000001</v>
      </c>
      <c r="AF707">
        <v>136091178634</v>
      </c>
      <c r="AG707">
        <v>139923329753.07001</v>
      </c>
      <c r="AH707">
        <v>0.356574</v>
      </c>
      <c r="AI707">
        <v>0.102419</v>
      </c>
    </row>
    <row r="708" spans="1:35" x14ac:dyDescent="0.35">
      <c r="A708" t="s">
        <v>2</v>
      </c>
      <c r="B708">
        <v>6250</v>
      </c>
      <c r="C708">
        <v>30</v>
      </c>
      <c r="D708">
        <v>1610</v>
      </c>
      <c r="E708">
        <v>0</v>
      </c>
      <c r="F708">
        <v>30896561827</v>
      </c>
      <c r="G708">
        <v>35343237.240000002</v>
      </c>
      <c r="H708">
        <v>30623909271.529999</v>
      </c>
      <c r="I708">
        <v>30790098852.48</v>
      </c>
      <c r="J708">
        <v>8.8373999999999994E-2</v>
      </c>
      <c r="K708">
        <v>2.7275000000000001E-2</v>
      </c>
      <c r="M708" t="s">
        <v>2</v>
      </c>
      <c r="N708">
        <v>6750</v>
      </c>
      <c r="O708">
        <v>36</v>
      </c>
      <c r="P708">
        <v>2594</v>
      </c>
      <c r="Q708">
        <v>0</v>
      </c>
      <c r="R708">
        <v>40704375073</v>
      </c>
      <c r="S708">
        <v>44035547.909999996</v>
      </c>
      <c r="T708">
        <v>40237419075.489998</v>
      </c>
      <c r="U708">
        <v>40556626333.400002</v>
      </c>
      <c r="V708">
        <v>0.117797</v>
      </c>
      <c r="W708">
        <v>3.0151000000000001E-2</v>
      </c>
      <c r="Y708" t="s">
        <v>0</v>
      </c>
      <c r="Z708">
        <v>7250</v>
      </c>
      <c r="AA708">
        <v>30</v>
      </c>
      <c r="AB708">
        <v>37889</v>
      </c>
      <c r="AC708">
        <v>0</v>
      </c>
      <c r="AD708">
        <v>963187497043</v>
      </c>
      <c r="AE708">
        <v>914110049.29999995</v>
      </c>
      <c r="AF708">
        <v>940374255762</v>
      </c>
      <c r="AG708">
        <v>956489053892</v>
      </c>
      <c r="AH708">
        <v>0.241174</v>
      </c>
      <c r="AI708">
        <v>6.9732000000000002E-2</v>
      </c>
    </row>
    <row r="709" spans="1:35" x14ac:dyDescent="0.35">
      <c r="A709" t="s">
        <v>0</v>
      </c>
      <c r="B709">
        <v>6750</v>
      </c>
      <c r="C709">
        <v>30</v>
      </c>
      <c r="D709">
        <v>53610</v>
      </c>
      <c r="E709">
        <v>0</v>
      </c>
      <c r="F709">
        <v>1510565949368</v>
      </c>
      <c r="G709">
        <v>1576357371.3199999</v>
      </c>
      <c r="H709">
        <v>1475103938305.73</v>
      </c>
      <c r="I709">
        <v>1498645991911.9199</v>
      </c>
      <c r="J709">
        <v>0.238339</v>
      </c>
      <c r="K709">
        <v>7.9144999999999993E-2</v>
      </c>
      <c r="M709" t="s">
        <v>0</v>
      </c>
      <c r="N709">
        <v>7750</v>
      </c>
      <c r="O709">
        <v>36</v>
      </c>
      <c r="P709">
        <v>1726</v>
      </c>
      <c r="Q709">
        <v>0</v>
      </c>
      <c r="R709">
        <v>36876215135</v>
      </c>
      <c r="S709">
        <v>33532259.34</v>
      </c>
      <c r="T709">
        <v>36114602114.660004</v>
      </c>
      <c r="U709">
        <v>36598497942.349998</v>
      </c>
      <c r="V709">
        <v>0.21281900000000001</v>
      </c>
      <c r="W709">
        <v>7.6630000000000004E-2</v>
      </c>
      <c r="Y709" t="s">
        <v>2</v>
      </c>
      <c r="Z709">
        <v>7250</v>
      </c>
      <c r="AA709">
        <v>36</v>
      </c>
      <c r="AB709">
        <v>1334</v>
      </c>
      <c r="AC709">
        <v>0</v>
      </c>
      <c r="AD709">
        <v>18227649671</v>
      </c>
      <c r="AE709">
        <v>18220579.25</v>
      </c>
      <c r="AF709">
        <v>17834871282</v>
      </c>
      <c r="AG709">
        <v>18122772346.119999</v>
      </c>
      <c r="AH709">
        <v>0.22054099999999999</v>
      </c>
      <c r="AI709">
        <v>5.5580999999999998E-2</v>
      </c>
    </row>
    <row r="710" spans="1:35" x14ac:dyDescent="0.35">
      <c r="A710" t="s">
        <v>1</v>
      </c>
      <c r="B710">
        <v>6750</v>
      </c>
      <c r="C710">
        <v>30</v>
      </c>
      <c r="D710">
        <v>14850</v>
      </c>
      <c r="E710">
        <v>0</v>
      </c>
      <c r="F710">
        <v>464135486863</v>
      </c>
      <c r="G710">
        <v>484574123.88</v>
      </c>
      <c r="H710">
        <v>443800601995.34998</v>
      </c>
      <c r="I710">
        <v>461528606881.98999</v>
      </c>
      <c r="J710">
        <v>0.40816000000000002</v>
      </c>
      <c r="K710">
        <v>5.3511999999999997E-2</v>
      </c>
      <c r="M710" t="s">
        <v>1</v>
      </c>
      <c r="N710">
        <v>6750</v>
      </c>
      <c r="O710">
        <v>36</v>
      </c>
      <c r="P710">
        <v>9768</v>
      </c>
      <c r="Q710">
        <v>0</v>
      </c>
      <c r="R710">
        <v>269627989075</v>
      </c>
      <c r="S710">
        <v>291528668.05000001</v>
      </c>
      <c r="T710">
        <v>255906477384.98999</v>
      </c>
      <c r="U710">
        <v>267350372893.37</v>
      </c>
      <c r="V710">
        <v>0.45833699999999999</v>
      </c>
      <c r="W710">
        <v>8.4898000000000001E-2</v>
      </c>
      <c r="Y710" t="s">
        <v>1</v>
      </c>
      <c r="Z710">
        <v>7250</v>
      </c>
      <c r="AA710">
        <v>30</v>
      </c>
      <c r="AB710">
        <v>6702</v>
      </c>
      <c r="AC710">
        <v>0</v>
      </c>
      <c r="AD710">
        <v>175886738439</v>
      </c>
      <c r="AE710">
        <v>167311984.66</v>
      </c>
      <c r="AF710">
        <v>167083714113</v>
      </c>
      <c r="AG710">
        <v>173447350867.37</v>
      </c>
      <c r="AH710">
        <v>0.45345200000000002</v>
      </c>
      <c r="AI710">
        <v>0.14446100000000001</v>
      </c>
    </row>
    <row r="711" spans="1:35" x14ac:dyDescent="0.35">
      <c r="A711" t="s">
        <v>2</v>
      </c>
      <c r="B711">
        <v>6750</v>
      </c>
      <c r="C711">
        <v>30</v>
      </c>
      <c r="D711">
        <v>3001</v>
      </c>
      <c r="E711">
        <v>0</v>
      </c>
      <c r="F711">
        <v>52230065153</v>
      </c>
      <c r="G711">
        <v>54632185.289999999</v>
      </c>
      <c r="H711">
        <v>51638049429.339996</v>
      </c>
      <c r="I711">
        <v>52058739839.080002</v>
      </c>
      <c r="J711">
        <v>0.116713</v>
      </c>
      <c r="K711">
        <v>2.6484000000000001E-2</v>
      </c>
      <c r="M711" t="s">
        <v>1</v>
      </c>
      <c r="N711">
        <v>6250</v>
      </c>
      <c r="O711">
        <v>36</v>
      </c>
      <c r="P711">
        <v>16488</v>
      </c>
      <c r="Q711">
        <v>0</v>
      </c>
      <c r="R711">
        <v>507791809470</v>
      </c>
      <c r="S711">
        <v>599594631.92999995</v>
      </c>
      <c r="T711">
        <v>488300090841.17999</v>
      </c>
      <c r="U711">
        <v>505292074008.04999</v>
      </c>
      <c r="V711">
        <v>0.365533</v>
      </c>
      <c r="W711">
        <v>4.3991000000000002E-2</v>
      </c>
      <c r="Y711" t="s">
        <v>2</v>
      </c>
      <c r="Z711">
        <v>7250</v>
      </c>
      <c r="AA711">
        <v>30</v>
      </c>
      <c r="AB711">
        <v>3079</v>
      </c>
      <c r="AC711">
        <v>0</v>
      </c>
      <c r="AD711">
        <v>47681933186</v>
      </c>
      <c r="AE711">
        <v>45274435.100000001</v>
      </c>
      <c r="AF711">
        <v>47003392208</v>
      </c>
      <c r="AG711">
        <v>47411755445.019997</v>
      </c>
      <c r="AH711">
        <v>0.148231</v>
      </c>
      <c r="AI711">
        <v>5.5155000000000003E-2</v>
      </c>
    </row>
    <row r="712" spans="1:35" x14ac:dyDescent="0.35">
      <c r="A712" t="s">
        <v>0</v>
      </c>
      <c r="B712">
        <v>7000</v>
      </c>
      <c r="C712">
        <v>30</v>
      </c>
      <c r="D712">
        <v>23510</v>
      </c>
      <c r="E712">
        <v>0</v>
      </c>
      <c r="F712">
        <v>609815681124</v>
      </c>
      <c r="G712">
        <v>606275377.40999997</v>
      </c>
      <c r="H712">
        <v>595063889587.95996</v>
      </c>
      <c r="I712">
        <v>605029538725.06995</v>
      </c>
      <c r="J712">
        <v>0.245452</v>
      </c>
      <c r="K712">
        <v>7.9221E-2</v>
      </c>
      <c r="M712" t="s">
        <v>0</v>
      </c>
      <c r="N712">
        <v>5750</v>
      </c>
      <c r="O712">
        <v>30</v>
      </c>
      <c r="P712">
        <v>43734</v>
      </c>
      <c r="Q712">
        <v>0</v>
      </c>
      <c r="R712">
        <v>1372156906320</v>
      </c>
      <c r="S712">
        <v>1705541026.8299999</v>
      </c>
      <c r="T712">
        <v>1359802664629.1799</v>
      </c>
      <c r="U712">
        <v>1367684634391.0601</v>
      </c>
      <c r="V712">
        <v>8.9252999999999999E-2</v>
      </c>
      <c r="W712">
        <v>2.393E-2</v>
      </c>
      <c r="Y712" t="s">
        <v>1</v>
      </c>
      <c r="Z712">
        <v>5250</v>
      </c>
      <c r="AA712">
        <v>30</v>
      </c>
      <c r="AB712">
        <v>7311</v>
      </c>
      <c r="AC712">
        <v>0</v>
      </c>
      <c r="AD712">
        <v>277729323654</v>
      </c>
      <c r="AE712">
        <v>376679750.5</v>
      </c>
      <c r="AF712">
        <v>275553783142</v>
      </c>
      <c r="AG712">
        <v>276803227272.56</v>
      </c>
      <c r="AH712">
        <v>7.5013999999999997E-2</v>
      </c>
      <c r="AI712">
        <v>2.3481999999999999E-2</v>
      </c>
    </row>
    <row r="713" spans="1:35" x14ac:dyDescent="0.35">
      <c r="A713" t="s">
        <v>0</v>
      </c>
      <c r="B713">
        <v>7500</v>
      </c>
      <c r="C713">
        <v>30</v>
      </c>
      <c r="D713">
        <v>10876</v>
      </c>
      <c r="E713">
        <v>0</v>
      </c>
      <c r="F713">
        <v>281888916988</v>
      </c>
      <c r="G713">
        <v>254757682.38999999</v>
      </c>
      <c r="H713">
        <v>275634337289.69</v>
      </c>
      <c r="I713">
        <v>279558980980.34998</v>
      </c>
      <c r="J713">
        <v>0.22753599999999999</v>
      </c>
      <c r="K713">
        <v>8.4849999999999995E-2</v>
      </c>
      <c r="M713" t="s">
        <v>1</v>
      </c>
      <c r="N713">
        <v>5750</v>
      </c>
      <c r="O713">
        <v>30</v>
      </c>
      <c r="P713">
        <v>28985</v>
      </c>
      <c r="Q713">
        <v>0</v>
      </c>
      <c r="R713">
        <v>1128999543991</v>
      </c>
      <c r="S713">
        <v>1402716951.02</v>
      </c>
      <c r="T713">
        <v>1109359419035.8701</v>
      </c>
      <c r="U713">
        <v>1125455729114.1699</v>
      </c>
      <c r="V713">
        <v>0.17751600000000001</v>
      </c>
      <c r="W713">
        <v>2.2522E-2</v>
      </c>
      <c r="Y713" t="s">
        <v>1</v>
      </c>
      <c r="Z713">
        <v>5750</v>
      </c>
      <c r="AA713">
        <v>30</v>
      </c>
      <c r="AB713">
        <v>20042</v>
      </c>
      <c r="AC713">
        <v>0</v>
      </c>
      <c r="AD713">
        <v>786961367712</v>
      </c>
      <c r="AE713">
        <v>982815252.71000004</v>
      </c>
      <c r="AF713">
        <v>776201543103</v>
      </c>
      <c r="AG713">
        <v>783898200119.41003</v>
      </c>
      <c r="AH713">
        <v>0.13930799999999999</v>
      </c>
      <c r="AI713">
        <v>3.1265000000000001E-2</v>
      </c>
    </row>
    <row r="714" spans="1:35" x14ac:dyDescent="0.35">
      <c r="A714" t="s">
        <v>1</v>
      </c>
      <c r="B714">
        <v>7000</v>
      </c>
      <c r="C714">
        <v>30</v>
      </c>
      <c r="D714">
        <v>5646</v>
      </c>
      <c r="E714">
        <v>0</v>
      </c>
      <c r="F714">
        <v>158698125717</v>
      </c>
      <c r="G714">
        <v>157581620.75999999</v>
      </c>
      <c r="H714">
        <v>151125699543.67001</v>
      </c>
      <c r="I714">
        <v>157650767878.78</v>
      </c>
      <c r="J714">
        <v>0.43684299999999998</v>
      </c>
      <c r="K714">
        <v>6.5243999999999996E-2</v>
      </c>
      <c r="M714" t="s">
        <v>2</v>
      </c>
      <c r="N714">
        <v>5250</v>
      </c>
      <c r="O714">
        <v>30</v>
      </c>
      <c r="P714">
        <v>464</v>
      </c>
      <c r="Q714">
        <v>0</v>
      </c>
      <c r="R714">
        <v>11003370660</v>
      </c>
      <c r="S714">
        <v>14907497.609999999</v>
      </c>
      <c r="T714">
        <v>10921915380.52</v>
      </c>
      <c r="U714">
        <v>10970418961.200001</v>
      </c>
      <c r="V714">
        <v>7.0208999999999994E-2</v>
      </c>
      <c r="W714">
        <v>1.9501999999999999E-2</v>
      </c>
      <c r="Y714" t="s">
        <v>0</v>
      </c>
      <c r="Z714">
        <v>5750</v>
      </c>
      <c r="AA714">
        <v>30</v>
      </c>
      <c r="AB714">
        <v>30698</v>
      </c>
      <c r="AC714">
        <v>0</v>
      </c>
      <c r="AD714">
        <v>978215314232</v>
      </c>
      <c r="AE714">
        <v>1221378537.4000001</v>
      </c>
      <c r="AF714">
        <v>971485328774</v>
      </c>
      <c r="AG714">
        <v>975644680241.5</v>
      </c>
      <c r="AH714">
        <v>6.5520999999999996E-2</v>
      </c>
      <c r="AI714">
        <v>1.6427000000000001E-2</v>
      </c>
    </row>
    <row r="715" spans="1:35" x14ac:dyDescent="0.35">
      <c r="A715" t="s">
        <v>2</v>
      </c>
      <c r="B715">
        <v>7000</v>
      </c>
      <c r="C715">
        <v>30</v>
      </c>
      <c r="D715">
        <v>1627</v>
      </c>
      <c r="E715">
        <v>0</v>
      </c>
      <c r="F715">
        <v>27425723769</v>
      </c>
      <c r="G715">
        <v>27354326.710000001</v>
      </c>
      <c r="H715">
        <v>27068814547.599998</v>
      </c>
      <c r="I715">
        <v>27325804140.549999</v>
      </c>
      <c r="J715">
        <v>0.13503699999999999</v>
      </c>
      <c r="K715">
        <v>3.1293000000000001E-2</v>
      </c>
      <c r="M715" t="s">
        <v>0</v>
      </c>
      <c r="N715">
        <v>7250</v>
      </c>
      <c r="O715">
        <v>30</v>
      </c>
      <c r="P715">
        <v>28421</v>
      </c>
      <c r="Q715">
        <v>0</v>
      </c>
      <c r="R715">
        <v>701447931304</v>
      </c>
      <c r="S715">
        <v>666041319.17999995</v>
      </c>
      <c r="T715">
        <v>683937413410.40002</v>
      </c>
      <c r="U715">
        <v>695555622184.03003</v>
      </c>
      <c r="V715">
        <v>0.25299500000000003</v>
      </c>
      <c r="W715">
        <v>8.5833999999999994E-2</v>
      </c>
      <c r="Y715" t="s">
        <v>2</v>
      </c>
      <c r="Z715">
        <v>5750</v>
      </c>
      <c r="AA715">
        <v>30</v>
      </c>
      <c r="AB715">
        <v>1085</v>
      </c>
      <c r="AC715">
        <v>0</v>
      </c>
      <c r="AD715">
        <v>22701977826</v>
      </c>
      <c r="AE715">
        <v>28390919.23</v>
      </c>
      <c r="AF715">
        <v>22623296635</v>
      </c>
      <c r="AG715">
        <v>22664668312.299999</v>
      </c>
      <c r="AH715">
        <v>2.6261E-2</v>
      </c>
      <c r="AI715">
        <v>4.7039999999999998E-3</v>
      </c>
    </row>
    <row r="716" spans="1:35" x14ac:dyDescent="0.35">
      <c r="A716" t="s">
        <v>0</v>
      </c>
      <c r="B716">
        <v>7250</v>
      </c>
      <c r="C716">
        <v>30</v>
      </c>
      <c r="D716">
        <v>40044</v>
      </c>
      <c r="E716">
        <v>0</v>
      </c>
      <c r="F716">
        <v>1032118790494</v>
      </c>
      <c r="G716">
        <v>981106343.25999999</v>
      </c>
      <c r="H716">
        <v>1006677136767.8</v>
      </c>
      <c r="I716">
        <v>1023409952814.24</v>
      </c>
      <c r="J716">
        <v>0.25010100000000002</v>
      </c>
      <c r="K716">
        <v>8.6237999999999995E-2</v>
      </c>
      <c r="M716" t="s">
        <v>0</v>
      </c>
      <c r="N716">
        <v>6750</v>
      </c>
      <c r="O716">
        <v>30</v>
      </c>
      <c r="P716">
        <v>60733</v>
      </c>
      <c r="Q716">
        <v>0</v>
      </c>
      <c r="R716">
        <v>1635721213330</v>
      </c>
      <c r="S716">
        <v>1700322046.3299999</v>
      </c>
      <c r="T716">
        <v>1599437456273.3</v>
      </c>
      <c r="U716">
        <v>1624140085762.23</v>
      </c>
      <c r="V716">
        <v>0.226192</v>
      </c>
      <c r="W716">
        <v>7.0126999999999995E-2</v>
      </c>
      <c r="Y716" t="s">
        <v>1</v>
      </c>
      <c r="Z716">
        <v>7500</v>
      </c>
      <c r="AA716">
        <v>30</v>
      </c>
      <c r="AB716">
        <v>1095</v>
      </c>
      <c r="AC716">
        <v>0</v>
      </c>
      <c r="AD716">
        <v>27480390435</v>
      </c>
      <c r="AE716">
        <v>24836037.780000001</v>
      </c>
      <c r="AF716">
        <v>26579225978</v>
      </c>
      <c r="AG716">
        <v>27205605331.349998</v>
      </c>
      <c r="AH716">
        <v>0.32220100000000002</v>
      </c>
      <c r="AI716">
        <v>0.103849</v>
      </c>
    </row>
    <row r="717" spans="1:35" x14ac:dyDescent="0.35">
      <c r="A717" t="s">
        <v>2</v>
      </c>
      <c r="B717">
        <v>7250</v>
      </c>
      <c r="C717">
        <v>36</v>
      </c>
      <c r="D717">
        <v>1181</v>
      </c>
      <c r="E717">
        <v>0</v>
      </c>
      <c r="F717">
        <v>16105312661</v>
      </c>
      <c r="G717">
        <v>16054684.9</v>
      </c>
      <c r="H717">
        <v>15827398560.34</v>
      </c>
      <c r="I717">
        <v>15993020057.83</v>
      </c>
      <c r="J717">
        <v>0.17857400000000001</v>
      </c>
      <c r="K717">
        <v>6.9395999999999999E-2</v>
      </c>
      <c r="M717" t="s">
        <v>2</v>
      </c>
      <c r="N717">
        <v>5750</v>
      </c>
      <c r="O717">
        <v>30</v>
      </c>
      <c r="P717">
        <v>1762</v>
      </c>
      <c r="Q717">
        <v>0</v>
      </c>
      <c r="R717">
        <v>36378536225</v>
      </c>
      <c r="S717">
        <v>45310820.899999999</v>
      </c>
      <c r="T717">
        <v>36082297445.830002</v>
      </c>
      <c r="U717">
        <v>36266925694.93</v>
      </c>
      <c r="V717">
        <v>7.9702999999999996E-2</v>
      </c>
      <c r="W717">
        <v>2.1652000000000001E-2</v>
      </c>
      <c r="Y717" t="s">
        <v>0</v>
      </c>
      <c r="Z717">
        <v>7750</v>
      </c>
      <c r="AA717">
        <v>30</v>
      </c>
      <c r="AB717">
        <v>10573</v>
      </c>
      <c r="AC717">
        <v>0</v>
      </c>
      <c r="AD717">
        <v>264451035186</v>
      </c>
      <c r="AE717">
        <v>228714114.18000001</v>
      </c>
      <c r="AF717">
        <v>258256251121</v>
      </c>
      <c r="AG717">
        <v>261959439039.35999</v>
      </c>
      <c r="AH717">
        <v>0.239533</v>
      </c>
      <c r="AI717">
        <v>9.7986000000000004E-2</v>
      </c>
    </row>
    <row r="718" spans="1:35" x14ac:dyDescent="0.35">
      <c r="A718" t="s">
        <v>1</v>
      </c>
      <c r="B718">
        <v>7250</v>
      </c>
      <c r="C718">
        <v>30</v>
      </c>
      <c r="D718">
        <v>6898</v>
      </c>
      <c r="E718">
        <v>0</v>
      </c>
      <c r="F718">
        <v>185766458114</v>
      </c>
      <c r="G718">
        <v>176748153.88</v>
      </c>
      <c r="H718">
        <v>176279892075.94</v>
      </c>
      <c r="I718">
        <v>183748370231.95001</v>
      </c>
      <c r="J718">
        <v>0.46042899999999998</v>
      </c>
      <c r="K718">
        <v>0.11267000000000001</v>
      </c>
      <c r="M718" t="s">
        <v>2</v>
      </c>
      <c r="N718">
        <v>6250</v>
      </c>
      <c r="O718">
        <v>30</v>
      </c>
      <c r="P718">
        <v>3466</v>
      </c>
      <c r="Q718">
        <v>0</v>
      </c>
      <c r="R718">
        <v>63478011677</v>
      </c>
      <c r="S718">
        <v>72330840.670000002</v>
      </c>
      <c r="T718">
        <v>62883711425.470001</v>
      </c>
      <c r="U718">
        <v>63296907214.269997</v>
      </c>
      <c r="V718">
        <v>9.4331999999999999E-2</v>
      </c>
      <c r="W718">
        <v>2.0369999999999999E-2</v>
      </c>
      <c r="Y718" t="s">
        <v>2</v>
      </c>
      <c r="Z718">
        <v>7500</v>
      </c>
      <c r="AA718">
        <v>30</v>
      </c>
      <c r="AB718">
        <v>259</v>
      </c>
      <c r="AC718">
        <v>0</v>
      </c>
      <c r="AD718">
        <v>4182325650</v>
      </c>
      <c r="AE718">
        <v>3764313.95</v>
      </c>
      <c r="AF718">
        <v>4086509709</v>
      </c>
      <c r="AG718">
        <v>4178627338.73</v>
      </c>
      <c r="AH718">
        <v>0.234377</v>
      </c>
      <c r="AI718">
        <v>-1.8900000000000001E-4</v>
      </c>
    </row>
    <row r="719" spans="1:35" x14ac:dyDescent="0.35">
      <c r="A719" t="s">
        <v>2</v>
      </c>
      <c r="B719">
        <v>7250</v>
      </c>
      <c r="C719">
        <v>30</v>
      </c>
      <c r="D719">
        <v>3227</v>
      </c>
      <c r="E719">
        <v>0</v>
      </c>
      <c r="F719">
        <v>50474981475</v>
      </c>
      <c r="G719">
        <v>48052117.530000001</v>
      </c>
      <c r="H719">
        <v>49716292243.769997</v>
      </c>
      <c r="I719">
        <v>50213545970.989998</v>
      </c>
      <c r="J719">
        <v>0.15646099999999999</v>
      </c>
      <c r="K719">
        <v>4.9567E-2</v>
      </c>
      <c r="M719" t="s">
        <v>0</v>
      </c>
      <c r="N719">
        <v>5250</v>
      </c>
      <c r="O719">
        <v>30</v>
      </c>
      <c r="P719">
        <v>13972</v>
      </c>
      <c r="Q719">
        <v>0</v>
      </c>
      <c r="R719">
        <v>457707218326</v>
      </c>
      <c r="S719">
        <v>618610459.60000002</v>
      </c>
      <c r="T719">
        <v>454085521868.60999</v>
      </c>
      <c r="U719">
        <v>456401369586.91998</v>
      </c>
      <c r="V719">
        <v>7.5953999999999994E-2</v>
      </c>
      <c r="W719">
        <v>1.787E-2</v>
      </c>
      <c r="Y719" t="s">
        <v>0</v>
      </c>
      <c r="Z719">
        <v>6750</v>
      </c>
      <c r="AA719">
        <v>24</v>
      </c>
      <c r="AB719">
        <v>27272</v>
      </c>
      <c r="AC719">
        <v>0</v>
      </c>
      <c r="AD719">
        <v>781046747092</v>
      </c>
      <c r="AE719">
        <v>785992290.85000002</v>
      </c>
      <c r="AF719">
        <v>761954275505</v>
      </c>
      <c r="AG719">
        <v>777536904808.34998</v>
      </c>
      <c r="AH719">
        <v>0.247692</v>
      </c>
      <c r="AI719">
        <v>4.1056000000000002E-2</v>
      </c>
    </row>
    <row r="720" spans="1:35" x14ac:dyDescent="0.35">
      <c r="A720" t="s">
        <v>2</v>
      </c>
      <c r="B720">
        <v>5750</v>
      </c>
      <c r="C720">
        <v>30</v>
      </c>
      <c r="D720">
        <v>651</v>
      </c>
      <c r="E720">
        <v>0</v>
      </c>
      <c r="F720">
        <v>13884040840</v>
      </c>
      <c r="G720">
        <v>17377385.649999999</v>
      </c>
      <c r="H720">
        <v>13789379541.52</v>
      </c>
      <c r="I720">
        <v>13848977499.07</v>
      </c>
      <c r="J720">
        <v>6.4788999999999999E-2</v>
      </c>
      <c r="K720">
        <v>1.5179E-2</v>
      </c>
      <c r="M720" t="s">
        <v>1</v>
      </c>
      <c r="N720">
        <v>6250</v>
      </c>
      <c r="O720">
        <v>30</v>
      </c>
      <c r="P720">
        <v>25687</v>
      </c>
      <c r="Q720">
        <v>0</v>
      </c>
      <c r="R720">
        <v>904650396948</v>
      </c>
      <c r="S720">
        <v>1028143246.83</v>
      </c>
      <c r="T720">
        <v>867204641569.93994</v>
      </c>
      <c r="U720">
        <v>900814538165.20996</v>
      </c>
      <c r="V720">
        <v>0.38924799999999998</v>
      </c>
      <c r="W720">
        <v>3.6615000000000002E-2</v>
      </c>
      <c r="Y720" t="s">
        <v>0</v>
      </c>
      <c r="Z720">
        <v>7500</v>
      </c>
      <c r="AA720">
        <v>24</v>
      </c>
      <c r="AB720">
        <v>6715</v>
      </c>
      <c r="AC720">
        <v>0</v>
      </c>
      <c r="AD720">
        <v>166766038697</v>
      </c>
      <c r="AE720">
        <v>146820667.84999999</v>
      </c>
      <c r="AF720">
        <v>162755300078</v>
      </c>
      <c r="AG720">
        <v>165645361581.57001</v>
      </c>
      <c r="AH720">
        <v>0.24520400000000001</v>
      </c>
      <c r="AI720">
        <v>6.7867999999999998E-2</v>
      </c>
    </row>
    <row r="721" spans="1:35" x14ac:dyDescent="0.35">
      <c r="A721" t="s">
        <v>0</v>
      </c>
      <c r="B721">
        <v>5750</v>
      </c>
      <c r="C721">
        <v>30</v>
      </c>
      <c r="D721">
        <v>20496</v>
      </c>
      <c r="E721">
        <v>0</v>
      </c>
      <c r="F721">
        <v>659499403982</v>
      </c>
      <c r="G721">
        <v>823755690.83000004</v>
      </c>
      <c r="H721">
        <v>653205956813.29004</v>
      </c>
      <c r="I721">
        <v>657169266529.70996</v>
      </c>
      <c r="J721">
        <v>9.5107999999999998E-2</v>
      </c>
      <c r="K721">
        <v>2.7067999999999998E-2</v>
      </c>
      <c r="M721" t="s">
        <v>1</v>
      </c>
      <c r="N721">
        <v>6750</v>
      </c>
      <c r="O721">
        <v>30</v>
      </c>
      <c r="P721">
        <v>16243</v>
      </c>
      <c r="Q721">
        <v>0</v>
      </c>
      <c r="R721">
        <v>483558831052</v>
      </c>
      <c r="S721">
        <v>503110140.56</v>
      </c>
      <c r="T721">
        <v>458426040402.26001</v>
      </c>
      <c r="U721">
        <v>480188962968.37</v>
      </c>
      <c r="V721">
        <v>0.46598200000000001</v>
      </c>
      <c r="W721">
        <v>6.8866999999999998E-2</v>
      </c>
      <c r="Y721" t="s">
        <v>0</v>
      </c>
      <c r="Z721">
        <v>7750</v>
      </c>
      <c r="AA721">
        <v>24</v>
      </c>
      <c r="AB721">
        <v>12195</v>
      </c>
      <c r="AC721">
        <v>0</v>
      </c>
      <c r="AD721">
        <v>295866849774</v>
      </c>
      <c r="AE721">
        <v>249869469.41</v>
      </c>
      <c r="AF721">
        <v>286535415856</v>
      </c>
      <c r="AG721">
        <v>293195570248.78003</v>
      </c>
      <c r="AH721">
        <v>0.31209799999999999</v>
      </c>
      <c r="AI721">
        <v>9.3907000000000004E-2</v>
      </c>
    </row>
    <row r="722" spans="1:35" x14ac:dyDescent="0.35">
      <c r="A722" t="s">
        <v>1</v>
      </c>
      <c r="B722">
        <v>5750</v>
      </c>
      <c r="C722">
        <v>30</v>
      </c>
      <c r="D722">
        <v>13342</v>
      </c>
      <c r="E722">
        <v>0</v>
      </c>
      <c r="F722">
        <v>522317152984</v>
      </c>
      <c r="G722">
        <v>652998496.09000003</v>
      </c>
      <c r="H722">
        <v>511518126497</v>
      </c>
      <c r="I722">
        <v>520679984297.13</v>
      </c>
      <c r="J722">
        <v>0.20974100000000001</v>
      </c>
      <c r="K722">
        <v>2.2377999999999999E-2</v>
      </c>
      <c r="M722" t="s">
        <v>2</v>
      </c>
      <c r="N722">
        <v>6750</v>
      </c>
      <c r="O722">
        <v>30</v>
      </c>
      <c r="P722">
        <v>3824</v>
      </c>
      <c r="Q722">
        <v>0</v>
      </c>
      <c r="R722">
        <v>62651743766</v>
      </c>
      <c r="S722">
        <v>65312572.75</v>
      </c>
      <c r="T722">
        <v>61949048857.480003</v>
      </c>
      <c r="U722">
        <v>62419263902.629997</v>
      </c>
      <c r="V722">
        <v>0.115477</v>
      </c>
      <c r="W722">
        <v>3.1552999999999998E-2</v>
      </c>
      <c r="Y722" t="s">
        <v>0</v>
      </c>
      <c r="Z722">
        <v>6500</v>
      </c>
      <c r="AA722">
        <v>24</v>
      </c>
      <c r="AB722">
        <v>11673</v>
      </c>
      <c r="AC722">
        <v>0</v>
      </c>
      <c r="AD722">
        <v>328106517947</v>
      </c>
      <c r="AE722">
        <v>344807122.95999998</v>
      </c>
      <c r="AF722">
        <v>321034331136</v>
      </c>
      <c r="AG722">
        <v>326973132446.85999</v>
      </c>
      <c r="AH722">
        <v>0.220109</v>
      </c>
      <c r="AI722">
        <v>2.8462999999999999E-2</v>
      </c>
    </row>
    <row r="723" spans="1:35" x14ac:dyDescent="0.35">
      <c r="A723" t="s">
        <v>1</v>
      </c>
      <c r="B723">
        <v>7500</v>
      </c>
      <c r="C723">
        <v>30</v>
      </c>
      <c r="D723">
        <v>1686</v>
      </c>
      <c r="E723">
        <v>0</v>
      </c>
      <c r="F723">
        <v>43191474339</v>
      </c>
      <c r="G723">
        <v>39022300.789999999</v>
      </c>
      <c r="H723">
        <v>41027506511.93</v>
      </c>
      <c r="I723">
        <v>42722510655.980003</v>
      </c>
      <c r="J723">
        <v>0.45414199999999999</v>
      </c>
      <c r="K723">
        <v>0.113124</v>
      </c>
      <c r="M723" t="s">
        <v>0</v>
      </c>
      <c r="N723">
        <v>6750</v>
      </c>
      <c r="O723">
        <v>24</v>
      </c>
      <c r="P723">
        <v>30074</v>
      </c>
      <c r="Q723">
        <v>0</v>
      </c>
      <c r="R723">
        <v>893508990308</v>
      </c>
      <c r="S723">
        <v>900597354.17999995</v>
      </c>
      <c r="T723">
        <v>872044118447.70996</v>
      </c>
      <c r="U723">
        <v>888664398677.64001</v>
      </c>
      <c r="V723">
        <v>0.24376999999999999</v>
      </c>
      <c r="W723">
        <v>5.1700999999999997E-2</v>
      </c>
      <c r="Y723" t="s">
        <v>0</v>
      </c>
      <c r="Z723">
        <v>7000</v>
      </c>
      <c r="AA723">
        <v>24</v>
      </c>
      <c r="AB723">
        <v>10437</v>
      </c>
      <c r="AC723">
        <v>0</v>
      </c>
      <c r="AD723">
        <v>265801229835</v>
      </c>
      <c r="AE723">
        <v>256064541.15000001</v>
      </c>
      <c r="AF723">
        <v>258897818276</v>
      </c>
      <c r="AG723">
        <v>264137881417.45001</v>
      </c>
      <c r="AH723">
        <v>0.26208100000000001</v>
      </c>
      <c r="AI723">
        <v>6.1716E-2</v>
      </c>
    </row>
    <row r="724" spans="1:35" x14ac:dyDescent="0.35">
      <c r="A724" t="s">
        <v>0</v>
      </c>
      <c r="B724">
        <v>7750</v>
      </c>
      <c r="C724">
        <v>30</v>
      </c>
      <c r="D724">
        <v>15390</v>
      </c>
      <c r="E724">
        <v>0</v>
      </c>
      <c r="F724">
        <v>384361082699</v>
      </c>
      <c r="G724">
        <v>332315829.42000002</v>
      </c>
      <c r="H724">
        <v>375153151818.91998</v>
      </c>
      <c r="I724">
        <v>380698652501.58002</v>
      </c>
      <c r="J724">
        <v>0.244482</v>
      </c>
      <c r="K724">
        <v>9.9154000000000006E-2</v>
      </c>
      <c r="M724" t="s">
        <v>0</v>
      </c>
      <c r="N724">
        <v>7000</v>
      </c>
      <c r="O724">
        <v>24</v>
      </c>
      <c r="P724">
        <v>15761</v>
      </c>
      <c r="Q724">
        <v>0</v>
      </c>
      <c r="R724">
        <v>411286251126</v>
      </c>
      <c r="S724">
        <v>395522583.24000001</v>
      </c>
      <c r="T724">
        <v>400335397475.28998</v>
      </c>
      <c r="U724">
        <v>408513470427.84998</v>
      </c>
      <c r="V724">
        <v>0.26801199999999997</v>
      </c>
      <c r="W724">
        <v>6.7197999999999994E-2</v>
      </c>
      <c r="Y724" t="s">
        <v>0</v>
      </c>
      <c r="Z724">
        <v>7250</v>
      </c>
      <c r="AA724">
        <v>24</v>
      </c>
      <c r="AB724">
        <v>19110</v>
      </c>
      <c r="AC724">
        <v>0</v>
      </c>
      <c r="AD724">
        <v>503512119241</v>
      </c>
      <c r="AE724">
        <v>464478658.24000001</v>
      </c>
      <c r="AF724">
        <v>489843103016</v>
      </c>
      <c r="AG724">
        <v>500649018587.51001</v>
      </c>
      <c r="AH724">
        <v>0.27305099999999999</v>
      </c>
      <c r="AI724">
        <v>5.5690999999999997E-2</v>
      </c>
    </row>
    <row r="725" spans="1:35" x14ac:dyDescent="0.35">
      <c r="A725" t="s">
        <v>2</v>
      </c>
      <c r="B725">
        <v>7500</v>
      </c>
      <c r="C725">
        <v>30</v>
      </c>
      <c r="D725">
        <v>510</v>
      </c>
      <c r="E725">
        <v>0</v>
      </c>
      <c r="F725">
        <v>8235592647</v>
      </c>
      <c r="G725">
        <v>7395147.7000000002</v>
      </c>
      <c r="H725">
        <v>8110933293.4300003</v>
      </c>
      <c r="I725">
        <v>8208458290.75</v>
      </c>
      <c r="J725">
        <v>0.15809899999999999</v>
      </c>
      <c r="K725">
        <v>2.8386000000000002E-2</v>
      </c>
      <c r="M725" t="s">
        <v>0</v>
      </c>
      <c r="N725">
        <v>7250</v>
      </c>
      <c r="O725">
        <v>24</v>
      </c>
      <c r="P725">
        <v>31371</v>
      </c>
      <c r="Q725">
        <v>0</v>
      </c>
      <c r="R725">
        <v>837699872723</v>
      </c>
      <c r="S725">
        <v>771210290.88999999</v>
      </c>
      <c r="T725">
        <v>814153641183.28003</v>
      </c>
      <c r="U725">
        <v>831739552202.07996</v>
      </c>
      <c r="V725">
        <v>0.28162799999999999</v>
      </c>
      <c r="W725">
        <v>7.1853E-2</v>
      </c>
      <c r="Y725" t="s">
        <v>1</v>
      </c>
      <c r="Z725">
        <v>7500</v>
      </c>
      <c r="AA725">
        <v>24</v>
      </c>
      <c r="AB725">
        <v>1251</v>
      </c>
      <c r="AC725">
        <v>0</v>
      </c>
      <c r="AD725">
        <v>32069911224</v>
      </c>
      <c r="AE725">
        <v>28419040.359999999</v>
      </c>
      <c r="AF725">
        <v>30103979518</v>
      </c>
      <c r="AG725">
        <v>31642661981.59</v>
      </c>
      <c r="AH725">
        <v>0.52659699999999998</v>
      </c>
      <c r="AI725">
        <v>0.13943900000000001</v>
      </c>
    </row>
    <row r="726" spans="1:35" x14ac:dyDescent="0.35">
      <c r="A726" t="s">
        <v>0</v>
      </c>
      <c r="B726">
        <v>7500</v>
      </c>
      <c r="C726">
        <v>24</v>
      </c>
      <c r="D726">
        <v>4297</v>
      </c>
      <c r="E726">
        <v>0</v>
      </c>
      <c r="F726">
        <v>106561292522</v>
      </c>
      <c r="G726">
        <v>93772089.430000007</v>
      </c>
      <c r="H726">
        <v>103490144853.47</v>
      </c>
      <c r="I726">
        <v>105676295216.58</v>
      </c>
      <c r="J726">
        <v>0.28827199999999997</v>
      </c>
      <c r="K726">
        <v>8.5551000000000002E-2</v>
      </c>
      <c r="M726" t="s">
        <v>1</v>
      </c>
      <c r="N726">
        <v>5250</v>
      </c>
      <c r="O726">
        <v>30</v>
      </c>
      <c r="P726">
        <v>10791</v>
      </c>
      <c r="Q726">
        <v>0</v>
      </c>
      <c r="R726">
        <v>411909721785</v>
      </c>
      <c r="S726">
        <v>557011967.30999994</v>
      </c>
      <c r="T726">
        <v>407074830661.03998</v>
      </c>
      <c r="U726">
        <v>410570942069.07001</v>
      </c>
      <c r="V726">
        <v>0.11774800000000001</v>
      </c>
      <c r="W726">
        <v>2.2539E-2</v>
      </c>
      <c r="Y726" t="s">
        <v>2</v>
      </c>
      <c r="Z726">
        <v>7000</v>
      </c>
      <c r="AA726">
        <v>24</v>
      </c>
      <c r="AB726">
        <v>617</v>
      </c>
      <c r="AC726">
        <v>0</v>
      </c>
      <c r="AD726">
        <v>10325764895</v>
      </c>
      <c r="AE726">
        <v>9940999.25</v>
      </c>
      <c r="AF726">
        <v>10200787554</v>
      </c>
      <c r="AG726">
        <v>10248949282.67</v>
      </c>
      <c r="AH726">
        <v>0.12579399999999999</v>
      </c>
      <c r="AI726">
        <v>7.5008000000000005E-2</v>
      </c>
    </row>
    <row r="727" spans="1:35" x14ac:dyDescent="0.35">
      <c r="A727" t="s">
        <v>1</v>
      </c>
      <c r="B727">
        <v>7500</v>
      </c>
      <c r="C727">
        <v>24</v>
      </c>
      <c r="D727">
        <v>683</v>
      </c>
      <c r="E727">
        <v>0</v>
      </c>
      <c r="F727">
        <v>16875134711</v>
      </c>
      <c r="G727">
        <v>15002542.74</v>
      </c>
      <c r="H727">
        <v>15912418388.51</v>
      </c>
      <c r="I727">
        <v>16610945271.73</v>
      </c>
      <c r="J727">
        <v>0.50022</v>
      </c>
      <c r="K727">
        <v>0.163492</v>
      </c>
      <c r="M727" t="s">
        <v>2</v>
      </c>
      <c r="N727">
        <v>7250</v>
      </c>
      <c r="O727">
        <v>30</v>
      </c>
      <c r="P727">
        <v>2052</v>
      </c>
      <c r="Q727">
        <v>0</v>
      </c>
      <c r="R727">
        <v>30448269767</v>
      </c>
      <c r="S727">
        <v>28944461.600000001</v>
      </c>
      <c r="T727">
        <v>30026462652.82</v>
      </c>
      <c r="U727">
        <v>30311950638.220001</v>
      </c>
      <c r="V727">
        <v>0.14430299999999999</v>
      </c>
      <c r="W727">
        <v>4.1506000000000001E-2</v>
      </c>
      <c r="Y727" t="s">
        <v>2</v>
      </c>
      <c r="Z727">
        <v>7500</v>
      </c>
      <c r="AA727">
        <v>24</v>
      </c>
      <c r="AB727">
        <v>498</v>
      </c>
      <c r="AC727">
        <v>0</v>
      </c>
      <c r="AD727">
        <v>7877511696</v>
      </c>
      <c r="AE727">
        <v>6937352.5800000001</v>
      </c>
      <c r="AF727">
        <v>7735802763</v>
      </c>
      <c r="AG727">
        <v>7856397369.3199997</v>
      </c>
      <c r="AH727">
        <v>0.18704299999999999</v>
      </c>
      <c r="AI727">
        <v>2.1384E-2</v>
      </c>
    </row>
    <row r="728" spans="1:35" x14ac:dyDescent="0.35">
      <c r="A728" t="s">
        <v>0</v>
      </c>
      <c r="B728">
        <v>7000</v>
      </c>
      <c r="C728">
        <v>24</v>
      </c>
      <c r="D728">
        <v>9618</v>
      </c>
      <c r="E728">
        <v>0</v>
      </c>
      <c r="F728">
        <v>237657274928</v>
      </c>
      <c r="G728">
        <v>228648619.88</v>
      </c>
      <c r="H728">
        <v>231061483870.39999</v>
      </c>
      <c r="I728">
        <v>235838227938.51001</v>
      </c>
      <c r="J728">
        <v>0.278109</v>
      </c>
      <c r="K728">
        <v>7.7412999999999996E-2</v>
      </c>
      <c r="M728" t="s">
        <v>1</v>
      </c>
      <c r="N728">
        <v>6500</v>
      </c>
      <c r="O728">
        <v>24</v>
      </c>
      <c r="P728">
        <v>5189</v>
      </c>
      <c r="Q728">
        <v>0</v>
      </c>
      <c r="R728">
        <v>176180921295</v>
      </c>
      <c r="S728">
        <v>185393092.75999999</v>
      </c>
      <c r="T728">
        <v>167869243962.14001</v>
      </c>
      <c r="U728">
        <v>175511488695.35001</v>
      </c>
      <c r="V728">
        <v>0.432587</v>
      </c>
      <c r="W728">
        <v>3.2474999999999997E-2</v>
      </c>
      <c r="Y728" t="s">
        <v>0</v>
      </c>
      <c r="Z728">
        <v>5000</v>
      </c>
      <c r="AA728">
        <v>30</v>
      </c>
      <c r="AB728">
        <v>8223</v>
      </c>
      <c r="AC728">
        <v>0</v>
      </c>
      <c r="AD728">
        <v>271216518170</v>
      </c>
      <c r="AE728">
        <v>381673832.11000001</v>
      </c>
      <c r="AF728">
        <v>270217791059</v>
      </c>
      <c r="AG728">
        <v>270689138620.12</v>
      </c>
      <c r="AH728">
        <v>2.6963000000000001E-2</v>
      </c>
      <c r="AI728">
        <v>6.4279999999999997E-3</v>
      </c>
    </row>
    <row r="729" spans="1:35" x14ac:dyDescent="0.35">
      <c r="A729" t="s">
        <v>2</v>
      </c>
      <c r="B729">
        <v>7000</v>
      </c>
      <c r="C729">
        <v>24</v>
      </c>
      <c r="D729">
        <v>617</v>
      </c>
      <c r="E729">
        <v>0</v>
      </c>
      <c r="F729">
        <v>9913906245</v>
      </c>
      <c r="G729">
        <v>9540891.6099999994</v>
      </c>
      <c r="H729">
        <v>9789243708.7099991</v>
      </c>
      <c r="I729">
        <v>9875324708.6499996</v>
      </c>
      <c r="J729">
        <v>0.13078200000000001</v>
      </c>
      <c r="K729">
        <v>3.4590999999999997E-2</v>
      </c>
      <c r="M729" t="s">
        <v>1</v>
      </c>
      <c r="N729">
        <v>6750</v>
      </c>
      <c r="O729">
        <v>24</v>
      </c>
      <c r="P729">
        <v>9973</v>
      </c>
      <c r="Q729">
        <v>0</v>
      </c>
      <c r="R729">
        <v>326923897326</v>
      </c>
      <c r="S729">
        <v>329906242.67000002</v>
      </c>
      <c r="T729">
        <v>307407277680.59003</v>
      </c>
      <c r="U729">
        <v>325216535099.28998</v>
      </c>
      <c r="V729">
        <v>0.51605100000000004</v>
      </c>
      <c r="W729">
        <v>4.9404999999999998E-2</v>
      </c>
      <c r="Y729" t="s">
        <v>0</v>
      </c>
      <c r="Z729">
        <v>5500</v>
      </c>
      <c r="AA729">
        <v>20</v>
      </c>
      <c r="AB729">
        <v>3667</v>
      </c>
      <c r="AC729">
        <v>0</v>
      </c>
      <c r="AD729">
        <v>124082646196</v>
      </c>
      <c r="AE729">
        <v>152777577.59</v>
      </c>
      <c r="AF729">
        <v>123723080523</v>
      </c>
      <c r="AG729">
        <v>123889866978.42</v>
      </c>
      <c r="AH729">
        <v>1.9816E-2</v>
      </c>
      <c r="AI729">
        <v>3.862E-3</v>
      </c>
    </row>
    <row r="730" spans="1:35" x14ac:dyDescent="0.35">
      <c r="A730" t="s">
        <v>2</v>
      </c>
      <c r="B730">
        <v>7500</v>
      </c>
      <c r="C730">
        <v>24</v>
      </c>
      <c r="D730">
        <v>296</v>
      </c>
      <c r="E730">
        <v>0</v>
      </c>
      <c r="F730">
        <v>4413190330</v>
      </c>
      <c r="G730">
        <v>3877669.04</v>
      </c>
      <c r="H730">
        <v>4319616836.8500004</v>
      </c>
      <c r="I730">
        <v>4370806334.3299999</v>
      </c>
      <c r="J730">
        <v>0.21839600000000001</v>
      </c>
      <c r="K730">
        <v>9.9821999999999994E-2</v>
      </c>
      <c r="M730" t="s">
        <v>1</v>
      </c>
      <c r="N730">
        <v>7000</v>
      </c>
      <c r="O730">
        <v>24</v>
      </c>
      <c r="P730">
        <v>4362</v>
      </c>
      <c r="Q730">
        <v>0</v>
      </c>
      <c r="R730">
        <v>130711238008</v>
      </c>
      <c r="S730">
        <v>125811905.73</v>
      </c>
      <c r="T730">
        <v>122736465189.41</v>
      </c>
      <c r="U730">
        <v>129986032856.61</v>
      </c>
      <c r="V730">
        <v>0.52437199999999995</v>
      </c>
      <c r="W730">
        <v>5.3661E-2</v>
      </c>
      <c r="Y730" t="s">
        <v>2</v>
      </c>
      <c r="Z730">
        <v>5500</v>
      </c>
      <c r="AA730">
        <v>20</v>
      </c>
      <c r="AB730">
        <v>77</v>
      </c>
      <c r="AC730">
        <v>0</v>
      </c>
      <c r="AD730">
        <v>1793655756</v>
      </c>
      <c r="AE730">
        <v>2209900.41</v>
      </c>
      <c r="AF730">
        <v>1774770083</v>
      </c>
      <c r="AG730">
        <v>1791350013.72</v>
      </c>
      <c r="AH730">
        <v>0.106033</v>
      </c>
      <c r="AI730">
        <v>6.4099999999999997E-4</v>
      </c>
    </row>
    <row r="731" spans="1:35" x14ac:dyDescent="0.35">
      <c r="A731" t="s">
        <v>0</v>
      </c>
      <c r="B731">
        <v>5000</v>
      </c>
      <c r="C731">
        <v>30</v>
      </c>
      <c r="D731">
        <v>7503</v>
      </c>
      <c r="E731">
        <v>0</v>
      </c>
      <c r="F731">
        <v>247062627651</v>
      </c>
      <c r="G731">
        <v>347088881.44</v>
      </c>
      <c r="H731">
        <v>245504623167.67001</v>
      </c>
      <c r="I731">
        <v>246290188888.98001</v>
      </c>
      <c r="J731">
        <v>5.7255E-2</v>
      </c>
      <c r="K731">
        <v>2.0465000000000001E-2</v>
      </c>
      <c r="M731" t="s">
        <v>2</v>
      </c>
      <c r="N731">
        <v>7000</v>
      </c>
      <c r="O731">
        <v>24</v>
      </c>
      <c r="P731">
        <v>995</v>
      </c>
      <c r="Q731">
        <v>0</v>
      </c>
      <c r="R731">
        <v>17330774600</v>
      </c>
      <c r="S731">
        <v>16707169.91</v>
      </c>
      <c r="T731">
        <v>17127499723.610001</v>
      </c>
      <c r="U731">
        <v>17272047501.529999</v>
      </c>
      <c r="V731">
        <v>0.12180100000000001</v>
      </c>
      <c r="W731">
        <v>2.8709999999999999E-2</v>
      </c>
      <c r="Y731" t="s">
        <v>1</v>
      </c>
      <c r="Z731">
        <v>5500</v>
      </c>
      <c r="AA731">
        <v>20</v>
      </c>
      <c r="AB731">
        <v>2229</v>
      </c>
      <c r="AC731">
        <v>0</v>
      </c>
      <c r="AD731">
        <v>86597869587</v>
      </c>
      <c r="AE731">
        <v>106633474.7</v>
      </c>
      <c r="AF731">
        <v>85916855696</v>
      </c>
      <c r="AG731">
        <v>86473166860.910004</v>
      </c>
      <c r="AH731">
        <v>7.6752000000000001E-2</v>
      </c>
      <c r="AI731">
        <v>2.5010000000000002E-3</v>
      </c>
    </row>
    <row r="732" spans="1:35" x14ac:dyDescent="0.35">
      <c r="A732" t="s">
        <v>1</v>
      </c>
      <c r="B732">
        <v>5500</v>
      </c>
      <c r="C732">
        <v>30</v>
      </c>
      <c r="D732">
        <v>7647</v>
      </c>
      <c r="E732">
        <v>0</v>
      </c>
      <c r="F732">
        <v>283578651917</v>
      </c>
      <c r="G732">
        <v>368135696.06</v>
      </c>
      <c r="H732">
        <v>279801671712.96002</v>
      </c>
      <c r="I732">
        <v>282671570668.97998</v>
      </c>
      <c r="J732">
        <v>0.13508500000000001</v>
      </c>
      <c r="K732">
        <v>2.2568999999999999E-2</v>
      </c>
      <c r="M732" t="s">
        <v>1</v>
      </c>
      <c r="N732">
        <v>7250</v>
      </c>
      <c r="O732">
        <v>24</v>
      </c>
      <c r="P732">
        <v>6050</v>
      </c>
      <c r="Q732">
        <v>0</v>
      </c>
      <c r="R732">
        <v>172926466252</v>
      </c>
      <c r="S732">
        <v>159322345.58000001</v>
      </c>
      <c r="T732">
        <v>161240910053.85001</v>
      </c>
      <c r="U732">
        <v>171481533969.16</v>
      </c>
      <c r="V732">
        <v>0.56296900000000005</v>
      </c>
      <c r="W732">
        <v>8.5653999999999994E-2</v>
      </c>
      <c r="Y732" t="s">
        <v>2</v>
      </c>
      <c r="Z732">
        <v>5500</v>
      </c>
      <c r="AA732">
        <v>18</v>
      </c>
      <c r="AB732">
        <v>93</v>
      </c>
      <c r="AC732">
        <v>0</v>
      </c>
      <c r="AD732">
        <v>2320304690</v>
      </c>
      <c r="AE732">
        <v>2825418.08</v>
      </c>
      <c r="AF732">
        <v>2317539039</v>
      </c>
      <c r="AG732">
        <v>2317539039</v>
      </c>
      <c r="AH732">
        <v>-3.0899999999999998E-4</v>
      </c>
      <c r="AI732">
        <v>-3.0899999999999998E-4</v>
      </c>
    </row>
    <row r="733" spans="1:35" x14ac:dyDescent="0.35">
      <c r="A733" t="s">
        <v>0</v>
      </c>
      <c r="B733">
        <v>5500</v>
      </c>
      <c r="C733">
        <v>20</v>
      </c>
      <c r="D733">
        <v>4107</v>
      </c>
      <c r="E733">
        <v>0</v>
      </c>
      <c r="F733">
        <v>139501471640</v>
      </c>
      <c r="G733">
        <v>171658983.31999999</v>
      </c>
      <c r="H733">
        <v>138649659043.01999</v>
      </c>
      <c r="I733">
        <v>139092662723.54001</v>
      </c>
      <c r="J733">
        <v>5.6964000000000001E-2</v>
      </c>
      <c r="K733">
        <v>2.0209999999999999E-2</v>
      </c>
      <c r="M733" t="s">
        <v>0</v>
      </c>
      <c r="N733">
        <v>6500</v>
      </c>
      <c r="O733">
        <v>24</v>
      </c>
      <c r="P733">
        <v>13318</v>
      </c>
      <c r="Q733">
        <v>0</v>
      </c>
      <c r="R733">
        <v>386291228721</v>
      </c>
      <c r="S733">
        <v>406463516.25999999</v>
      </c>
      <c r="T733">
        <v>378919481735.67999</v>
      </c>
      <c r="U733">
        <v>384366182180.07001</v>
      </c>
      <c r="V733">
        <v>0.196155</v>
      </c>
      <c r="W733">
        <v>4.6168000000000001E-2</v>
      </c>
      <c r="Y733" t="s">
        <v>0</v>
      </c>
      <c r="Z733">
        <v>5500</v>
      </c>
      <c r="AA733">
        <v>18</v>
      </c>
      <c r="AB733">
        <v>4270</v>
      </c>
      <c r="AC733">
        <v>0</v>
      </c>
      <c r="AD733">
        <v>147462233581</v>
      </c>
      <c r="AE733">
        <v>179206337.62</v>
      </c>
      <c r="AF733">
        <v>147071326313</v>
      </c>
      <c r="AG733">
        <v>147206403890.14999</v>
      </c>
      <c r="AH733">
        <v>1.7092E-2</v>
      </c>
      <c r="AI733">
        <v>6.2179999999999996E-3</v>
      </c>
    </row>
    <row r="734" spans="1:35" x14ac:dyDescent="0.35">
      <c r="A734" t="s">
        <v>2</v>
      </c>
      <c r="B734">
        <v>5500</v>
      </c>
      <c r="C734">
        <v>20</v>
      </c>
      <c r="D734">
        <v>94</v>
      </c>
      <c r="E734">
        <v>0</v>
      </c>
      <c r="F734">
        <v>2215811041</v>
      </c>
      <c r="G734">
        <v>2727892.08</v>
      </c>
      <c r="H734">
        <v>2204521899.5999999</v>
      </c>
      <c r="I734">
        <v>2210065624.3600001</v>
      </c>
      <c r="J734">
        <v>4.5392000000000002E-2</v>
      </c>
      <c r="K734">
        <v>1.6219999999999998E-2</v>
      </c>
      <c r="M734" t="s">
        <v>2</v>
      </c>
      <c r="N734">
        <v>6750</v>
      </c>
      <c r="O734">
        <v>24</v>
      </c>
      <c r="P734">
        <v>1399</v>
      </c>
      <c r="Q734">
        <v>0</v>
      </c>
      <c r="R734">
        <v>25831107536</v>
      </c>
      <c r="S734">
        <v>26097345.210000001</v>
      </c>
      <c r="T734">
        <v>25567232721.529999</v>
      </c>
      <c r="U734">
        <v>25750394887.549999</v>
      </c>
      <c r="V734">
        <v>0.10503700000000001</v>
      </c>
      <c r="W734">
        <v>2.5079000000000001E-2</v>
      </c>
      <c r="Y734" t="s">
        <v>1</v>
      </c>
      <c r="Z734">
        <v>5500</v>
      </c>
      <c r="AA734">
        <v>18</v>
      </c>
      <c r="AB734">
        <v>2040</v>
      </c>
      <c r="AC734">
        <v>0</v>
      </c>
      <c r="AD734">
        <v>78282226701</v>
      </c>
      <c r="AE734">
        <v>95190908.969999999</v>
      </c>
      <c r="AF734">
        <v>77687095656</v>
      </c>
      <c r="AG734">
        <v>78038330835.100006</v>
      </c>
      <c r="AH734">
        <v>7.4000999999999997E-2</v>
      </c>
      <c r="AI734">
        <v>2.2558999999999999E-2</v>
      </c>
    </row>
    <row r="735" spans="1:35" x14ac:dyDescent="0.35">
      <c r="A735" t="s">
        <v>1</v>
      </c>
      <c r="B735">
        <v>5500</v>
      </c>
      <c r="C735">
        <v>20</v>
      </c>
      <c r="D735">
        <v>2055</v>
      </c>
      <c r="E735">
        <v>0</v>
      </c>
      <c r="F735">
        <v>79505962388</v>
      </c>
      <c r="G735">
        <v>97862431.620000005</v>
      </c>
      <c r="H735">
        <v>78462976634.429993</v>
      </c>
      <c r="I735">
        <v>79283290419.850006</v>
      </c>
      <c r="J735">
        <v>0.133683</v>
      </c>
      <c r="K735">
        <v>1.8676000000000002E-2</v>
      </c>
      <c r="M735" t="s">
        <v>2</v>
      </c>
      <c r="N735">
        <v>7250</v>
      </c>
      <c r="O735">
        <v>24</v>
      </c>
      <c r="P735">
        <v>2372</v>
      </c>
      <c r="Q735">
        <v>0</v>
      </c>
      <c r="R735">
        <v>38449178976</v>
      </c>
      <c r="S735">
        <v>35476249.189999998</v>
      </c>
      <c r="T735">
        <v>37879193534.040001</v>
      </c>
      <c r="U735">
        <v>38264004010.279999</v>
      </c>
      <c r="V735">
        <v>0.154638</v>
      </c>
      <c r="W735">
        <v>4.5733000000000003E-2</v>
      </c>
      <c r="Y735" t="s">
        <v>0</v>
      </c>
      <c r="Z735">
        <v>5500</v>
      </c>
      <c r="AA735">
        <v>16</v>
      </c>
      <c r="AB735">
        <v>4549</v>
      </c>
      <c r="AC735">
        <v>0</v>
      </c>
      <c r="AD735">
        <v>159481099882</v>
      </c>
      <c r="AE735">
        <v>191745787.77000001</v>
      </c>
      <c r="AF735">
        <v>158973779817</v>
      </c>
      <c r="AG735">
        <v>159255349388.20999</v>
      </c>
      <c r="AH735">
        <v>2.3487999999999998E-2</v>
      </c>
      <c r="AI735">
        <v>2.5560000000000001E-3</v>
      </c>
    </row>
    <row r="736" spans="1:35" x14ac:dyDescent="0.35">
      <c r="A736" t="s">
        <v>0</v>
      </c>
      <c r="B736">
        <v>5500</v>
      </c>
      <c r="C736">
        <v>18</v>
      </c>
      <c r="D736">
        <v>4094</v>
      </c>
      <c r="E736">
        <v>0</v>
      </c>
      <c r="F736">
        <v>142549746445</v>
      </c>
      <c r="G736">
        <v>173346190.09999999</v>
      </c>
      <c r="H736">
        <v>141775605019.53</v>
      </c>
      <c r="I736">
        <v>142182046594.28</v>
      </c>
      <c r="J736">
        <v>4.9419999999999999E-2</v>
      </c>
      <c r="K736">
        <v>1.6239E-2</v>
      </c>
      <c r="M736" t="s">
        <v>0</v>
      </c>
      <c r="N736">
        <v>7500</v>
      </c>
      <c r="O736">
        <v>24</v>
      </c>
      <c r="P736">
        <v>10245</v>
      </c>
      <c r="Q736">
        <v>0</v>
      </c>
      <c r="R736">
        <v>264114600332</v>
      </c>
      <c r="S736">
        <v>231235262.12</v>
      </c>
      <c r="T736">
        <v>256551836730.57001</v>
      </c>
      <c r="U736">
        <v>262022523766.29999</v>
      </c>
      <c r="V736">
        <v>0.28667399999999998</v>
      </c>
      <c r="W736">
        <v>8.1346000000000002E-2</v>
      </c>
      <c r="Y736" t="s">
        <v>2</v>
      </c>
      <c r="Z736">
        <v>5500</v>
      </c>
      <c r="AA736">
        <v>16</v>
      </c>
      <c r="AB736">
        <v>118</v>
      </c>
      <c r="AC736">
        <v>0</v>
      </c>
      <c r="AD736">
        <v>2722354032</v>
      </c>
      <c r="AE736">
        <v>3267739.89</v>
      </c>
      <c r="AF736">
        <v>2719037688</v>
      </c>
      <c r="AG736">
        <v>2719037688</v>
      </c>
      <c r="AH736">
        <v>2.14E-4</v>
      </c>
      <c r="AI736">
        <v>2.14E-4</v>
      </c>
    </row>
    <row r="737" spans="1:35" x14ac:dyDescent="0.35">
      <c r="A737" t="s">
        <v>2</v>
      </c>
      <c r="B737">
        <v>5500</v>
      </c>
      <c r="C737">
        <v>18</v>
      </c>
      <c r="D737">
        <v>81</v>
      </c>
      <c r="E737">
        <v>0</v>
      </c>
      <c r="F737">
        <v>1937855869</v>
      </c>
      <c r="G737">
        <v>2359636.61</v>
      </c>
      <c r="H737">
        <v>1931331176.0999999</v>
      </c>
      <c r="I737">
        <v>1935485319.21</v>
      </c>
      <c r="J737">
        <v>2.5489000000000001E-2</v>
      </c>
      <c r="K737">
        <v>6.7999999999999999E-5</v>
      </c>
      <c r="M737" t="s">
        <v>1</v>
      </c>
      <c r="N737">
        <v>7250</v>
      </c>
      <c r="O737">
        <v>30</v>
      </c>
      <c r="P737">
        <v>5621</v>
      </c>
      <c r="Q737">
        <v>0</v>
      </c>
      <c r="R737">
        <v>140766182204</v>
      </c>
      <c r="S737">
        <v>134054656.59999999</v>
      </c>
      <c r="T737">
        <v>133116663691.39</v>
      </c>
      <c r="U737">
        <v>139005454054.17999</v>
      </c>
      <c r="V737">
        <v>0.48232799999999998</v>
      </c>
      <c r="W737">
        <v>0.130188</v>
      </c>
      <c r="Y737" t="s">
        <v>1</v>
      </c>
      <c r="Z737">
        <v>5500</v>
      </c>
      <c r="AA737">
        <v>16</v>
      </c>
      <c r="AB737">
        <v>3397</v>
      </c>
      <c r="AC737">
        <v>0</v>
      </c>
      <c r="AD737">
        <v>140203019778</v>
      </c>
      <c r="AE737">
        <v>168569811.40000001</v>
      </c>
      <c r="AF737">
        <v>138991481042</v>
      </c>
      <c r="AG737">
        <v>139791717876.14999</v>
      </c>
      <c r="AH737">
        <v>8.5705000000000003E-2</v>
      </c>
      <c r="AI737">
        <v>2.0579E-2</v>
      </c>
    </row>
    <row r="738" spans="1:35" x14ac:dyDescent="0.35">
      <c r="A738" t="s">
        <v>1</v>
      </c>
      <c r="B738">
        <v>5500</v>
      </c>
      <c r="C738">
        <v>18</v>
      </c>
      <c r="D738">
        <v>2161</v>
      </c>
      <c r="E738">
        <v>0</v>
      </c>
      <c r="F738">
        <v>84056157055</v>
      </c>
      <c r="G738">
        <v>102225726.63</v>
      </c>
      <c r="H738">
        <v>82925684289.539993</v>
      </c>
      <c r="I738">
        <v>83780433844.330002</v>
      </c>
      <c r="J738">
        <v>0.13730999999999999</v>
      </c>
      <c r="K738">
        <v>2.4490000000000001E-2</v>
      </c>
      <c r="M738" t="s">
        <v>1</v>
      </c>
      <c r="N738">
        <v>6250</v>
      </c>
      <c r="O738">
        <v>24</v>
      </c>
      <c r="P738">
        <v>5925</v>
      </c>
      <c r="Q738">
        <v>0</v>
      </c>
      <c r="R738">
        <v>217982350498</v>
      </c>
      <c r="S738">
        <v>240557163.22999999</v>
      </c>
      <c r="T738">
        <v>208479599315.76001</v>
      </c>
      <c r="U738">
        <v>217181735751.01999</v>
      </c>
      <c r="V738">
        <v>0.40609499999999998</v>
      </c>
      <c r="W738">
        <v>3.0398999999999999E-2</v>
      </c>
      <c r="Y738" t="s">
        <v>1</v>
      </c>
      <c r="Z738">
        <v>7250</v>
      </c>
      <c r="AA738">
        <v>24</v>
      </c>
      <c r="AB738">
        <v>3701</v>
      </c>
      <c r="AC738">
        <v>0</v>
      </c>
      <c r="AD738">
        <v>102996977563</v>
      </c>
      <c r="AE738">
        <v>95213421.430000007</v>
      </c>
      <c r="AF738">
        <v>98014009213</v>
      </c>
      <c r="AG738">
        <v>101742594500.23</v>
      </c>
      <c r="AH738">
        <v>0.44201299999999999</v>
      </c>
      <c r="AI738">
        <v>0.126999</v>
      </c>
    </row>
    <row r="739" spans="1:35" x14ac:dyDescent="0.35">
      <c r="A739" t="s">
        <v>0</v>
      </c>
      <c r="B739">
        <v>7250</v>
      </c>
      <c r="C739">
        <v>24</v>
      </c>
      <c r="D739">
        <v>17234</v>
      </c>
      <c r="E739">
        <v>0</v>
      </c>
      <c r="F739">
        <v>444741127736</v>
      </c>
      <c r="G739">
        <v>409944901.30000001</v>
      </c>
      <c r="H739">
        <v>431616584042.98999</v>
      </c>
      <c r="I739">
        <v>440958040061.67999</v>
      </c>
      <c r="J739">
        <v>0.29394700000000001</v>
      </c>
      <c r="K739">
        <v>8.7312000000000001E-2</v>
      </c>
      <c r="M739" t="s">
        <v>2</v>
      </c>
      <c r="N739">
        <v>6500</v>
      </c>
      <c r="O739">
        <v>24</v>
      </c>
      <c r="P739">
        <v>559</v>
      </c>
      <c r="Q739">
        <v>0</v>
      </c>
      <c r="R739">
        <v>10736359635</v>
      </c>
      <c r="S739">
        <v>11312016.890000001</v>
      </c>
      <c r="T739">
        <v>10649025374.549999</v>
      </c>
      <c r="U739">
        <v>10711856310.809999</v>
      </c>
      <c r="V739">
        <v>8.1738000000000005E-2</v>
      </c>
      <c r="W739">
        <v>1.4645E-2</v>
      </c>
      <c r="Y739" t="s">
        <v>0</v>
      </c>
      <c r="Z739">
        <v>8000</v>
      </c>
      <c r="AA739">
        <v>30</v>
      </c>
      <c r="AB739">
        <v>997</v>
      </c>
      <c r="AC739">
        <v>0</v>
      </c>
      <c r="AD739">
        <v>27043446422</v>
      </c>
      <c r="AE739">
        <v>22260517.780000001</v>
      </c>
      <c r="AF739">
        <v>26640060989</v>
      </c>
      <c r="AG739">
        <v>26953645179.360001</v>
      </c>
      <c r="AH739">
        <v>0.15660499999999999</v>
      </c>
      <c r="AI739">
        <v>2.9562000000000001E-2</v>
      </c>
    </row>
    <row r="740" spans="1:35" x14ac:dyDescent="0.35">
      <c r="A740" t="s">
        <v>1</v>
      </c>
      <c r="B740">
        <v>7250</v>
      </c>
      <c r="C740">
        <v>24</v>
      </c>
      <c r="D740">
        <v>3326</v>
      </c>
      <c r="E740">
        <v>0</v>
      </c>
      <c r="F740">
        <v>88674519058</v>
      </c>
      <c r="G740">
        <v>81901854.799999997</v>
      </c>
      <c r="H740">
        <v>83068118209.399994</v>
      </c>
      <c r="I740">
        <v>87526157151.210007</v>
      </c>
      <c r="J740">
        <v>0.53787200000000002</v>
      </c>
      <c r="K740">
        <v>0.13514599999999999</v>
      </c>
      <c r="M740" t="s">
        <v>1</v>
      </c>
      <c r="N740">
        <v>7500</v>
      </c>
      <c r="O740">
        <v>24</v>
      </c>
      <c r="P740">
        <v>1893</v>
      </c>
      <c r="Q740">
        <v>0</v>
      </c>
      <c r="R740">
        <v>49981016682</v>
      </c>
      <c r="S740">
        <v>43922966.82</v>
      </c>
      <c r="T740">
        <v>46467436201.610001</v>
      </c>
      <c r="U740">
        <v>49534591283.760002</v>
      </c>
      <c r="V740">
        <v>0.57825800000000005</v>
      </c>
      <c r="W740">
        <v>9.2469999999999997E-2</v>
      </c>
      <c r="Y740" t="s">
        <v>1</v>
      </c>
      <c r="Z740">
        <v>6750</v>
      </c>
      <c r="AA740">
        <v>24</v>
      </c>
      <c r="AB740">
        <v>8285</v>
      </c>
      <c r="AC740">
        <v>0</v>
      </c>
      <c r="AD740">
        <v>251108263338</v>
      </c>
      <c r="AE740">
        <v>252838330.78</v>
      </c>
      <c r="AF740">
        <v>239497041657</v>
      </c>
      <c r="AG740">
        <v>248871196842.91</v>
      </c>
      <c r="AH740">
        <v>0.42618899999999998</v>
      </c>
      <c r="AI740">
        <v>9.0808E-2</v>
      </c>
    </row>
    <row r="741" spans="1:35" x14ac:dyDescent="0.35">
      <c r="A741" t="s">
        <v>1</v>
      </c>
      <c r="B741">
        <v>7250</v>
      </c>
      <c r="C741">
        <v>36</v>
      </c>
      <c r="D741">
        <v>2957</v>
      </c>
      <c r="E741">
        <v>0</v>
      </c>
      <c r="F741">
        <v>68340222982</v>
      </c>
      <c r="G741">
        <v>67960818.879999995</v>
      </c>
      <c r="H741">
        <v>64963888808.089996</v>
      </c>
      <c r="I741">
        <v>67297361545.660004</v>
      </c>
      <c r="J741">
        <v>0.448689</v>
      </c>
      <c r="K741">
        <v>0.15837200000000001</v>
      </c>
      <c r="M741" t="s">
        <v>0</v>
      </c>
      <c r="N741">
        <v>6000</v>
      </c>
      <c r="O741">
        <v>24</v>
      </c>
      <c r="P741">
        <v>10305</v>
      </c>
      <c r="Q741">
        <v>0</v>
      </c>
      <c r="R741">
        <v>328548680692</v>
      </c>
      <c r="S741">
        <v>377431533.88999999</v>
      </c>
      <c r="T741">
        <v>325098954103.03998</v>
      </c>
      <c r="U741">
        <v>327144885802.90997</v>
      </c>
      <c r="V741">
        <v>0.106618</v>
      </c>
      <c r="W741">
        <v>3.6850000000000001E-2</v>
      </c>
      <c r="Y741" t="s">
        <v>1</v>
      </c>
      <c r="Z741">
        <v>7000</v>
      </c>
      <c r="AA741">
        <v>24</v>
      </c>
      <c r="AB741">
        <v>2251</v>
      </c>
      <c r="AC741">
        <v>0</v>
      </c>
      <c r="AD741">
        <v>66279305376</v>
      </c>
      <c r="AE741">
        <v>64105820.899999999</v>
      </c>
      <c r="AF741">
        <v>62967186370</v>
      </c>
      <c r="AG741">
        <v>65465203810.25</v>
      </c>
      <c r="AH741">
        <v>0.45280900000000002</v>
      </c>
      <c r="AI741">
        <v>0.12764800000000001</v>
      </c>
    </row>
    <row r="742" spans="1:35" x14ac:dyDescent="0.35">
      <c r="A742" t="s">
        <v>0</v>
      </c>
      <c r="B742">
        <v>8000</v>
      </c>
      <c r="C742">
        <v>30</v>
      </c>
      <c r="D742">
        <v>1994</v>
      </c>
      <c r="E742">
        <v>0</v>
      </c>
      <c r="F742">
        <v>50546097840</v>
      </c>
      <c r="G742">
        <v>41598326.509999998</v>
      </c>
      <c r="H742">
        <v>49424047897.040001</v>
      </c>
      <c r="I742">
        <v>50069493358.230003</v>
      </c>
      <c r="J742">
        <v>0.22839899999999999</v>
      </c>
      <c r="K742">
        <v>9.8522999999999999E-2</v>
      </c>
      <c r="M742" t="s">
        <v>0</v>
      </c>
      <c r="N742">
        <v>6250</v>
      </c>
      <c r="O742">
        <v>24</v>
      </c>
      <c r="P742">
        <v>13157</v>
      </c>
      <c r="Q742">
        <v>0</v>
      </c>
      <c r="R742">
        <v>423095264953</v>
      </c>
      <c r="S742">
        <v>466456314.58999997</v>
      </c>
      <c r="T742">
        <v>417187180805.77002</v>
      </c>
      <c r="U742">
        <v>421277319479.21997</v>
      </c>
      <c r="V742">
        <v>0.143875</v>
      </c>
      <c r="W742">
        <v>3.7664999999999997E-2</v>
      </c>
      <c r="Y742" t="s">
        <v>2</v>
      </c>
      <c r="Z742">
        <v>7750</v>
      </c>
      <c r="AA742">
        <v>30</v>
      </c>
      <c r="AB742">
        <v>477</v>
      </c>
      <c r="AC742">
        <v>0</v>
      </c>
      <c r="AD742">
        <v>7157871728</v>
      </c>
      <c r="AE742">
        <v>6173091.6399999997</v>
      </c>
      <c r="AF742">
        <v>7049319974</v>
      </c>
      <c r="AG742">
        <v>7142051101.1700001</v>
      </c>
      <c r="AH742">
        <v>0.15875700000000001</v>
      </c>
      <c r="AI742">
        <v>1.6055E-2</v>
      </c>
    </row>
    <row r="743" spans="1:35" x14ac:dyDescent="0.35">
      <c r="A743" t="s">
        <v>0</v>
      </c>
      <c r="B743">
        <v>6750</v>
      </c>
      <c r="C743">
        <v>24</v>
      </c>
      <c r="D743">
        <v>33790</v>
      </c>
      <c r="E743">
        <v>0</v>
      </c>
      <c r="F743">
        <v>958618052901</v>
      </c>
      <c r="G743">
        <v>965177876.80999994</v>
      </c>
      <c r="H743">
        <v>932450648939.63</v>
      </c>
      <c r="I743">
        <v>950844393538.31995</v>
      </c>
      <c r="J743">
        <v>0.27363500000000002</v>
      </c>
      <c r="K743">
        <v>8.1976999999999994E-2</v>
      </c>
      <c r="M743" t="s">
        <v>0</v>
      </c>
      <c r="N743">
        <v>7750</v>
      </c>
      <c r="O743">
        <v>24</v>
      </c>
      <c r="P743">
        <v>17176</v>
      </c>
      <c r="Q743">
        <v>0</v>
      </c>
      <c r="R743">
        <v>426232769954</v>
      </c>
      <c r="S743">
        <v>357825981.55000001</v>
      </c>
      <c r="T743">
        <v>413591250000.34003</v>
      </c>
      <c r="U743">
        <v>422672498240.38</v>
      </c>
      <c r="V743">
        <v>0.29595399999999999</v>
      </c>
      <c r="W743">
        <v>8.6526000000000006E-2</v>
      </c>
      <c r="Y743" t="s">
        <v>0</v>
      </c>
      <c r="Z743">
        <v>8250</v>
      </c>
      <c r="AA743">
        <v>30</v>
      </c>
      <c r="AB743">
        <v>1406</v>
      </c>
      <c r="AC743">
        <v>0</v>
      </c>
      <c r="AD743">
        <v>34684611575</v>
      </c>
      <c r="AE743">
        <v>27165615.989999998</v>
      </c>
      <c r="AF743">
        <v>34237478980</v>
      </c>
      <c r="AG743">
        <v>34542072572.860001</v>
      </c>
      <c r="AH743">
        <v>0.13600200000000001</v>
      </c>
      <c r="AI743">
        <v>3.9194E-2</v>
      </c>
    </row>
    <row r="744" spans="1:35" x14ac:dyDescent="0.35">
      <c r="A744" t="s">
        <v>1</v>
      </c>
      <c r="B744">
        <v>6750</v>
      </c>
      <c r="C744">
        <v>24</v>
      </c>
      <c r="D744">
        <v>10140</v>
      </c>
      <c r="E744">
        <v>0</v>
      </c>
      <c r="F744">
        <v>305225094659</v>
      </c>
      <c r="G744">
        <v>307277157.80000001</v>
      </c>
      <c r="H744">
        <v>288859482160.70001</v>
      </c>
      <c r="I744">
        <v>303176731034.22998</v>
      </c>
      <c r="J744">
        <v>0.47719800000000001</v>
      </c>
      <c r="K744">
        <v>6.6344E-2</v>
      </c>
      <c r="M744" t="s">
        <v>2</v>
      </c>
      <c r="N744">
        <v>7500</v>
      </c>
      <c r="O744">
        <v>24</v>
      </c>
      <c r="P744">
        <v>643</v>
      </c>
      <c r="Q744">
        <v>0</v>
      </c>
      <c r="R744">
        <v>10517343311</v>
      </c>
      <c r="S744">
        <v>9188100.6099999994</v>
      </c>
      <c r="T744">
        <v>10367535994.870001</v>
      </c>
      <c r="U744">
        <v>10486858830.870001</v>
      </c>
      <c r="V744">
        <v>0.14915500000000001</v>
      </c>
      <c r="W744">
        <v>2.4029999999999999E-2</v>
      </c>
      <c r="Y744" t="s">
        <v>0</v>
      </c>
      <c r="Z744">
        <v>8500</v>
      </c>
      <c r="AA744">
        <v>24</v>
      </c>
      <c r="AB744">
        <v>307</v>
      </c>
      <c r="AC744">
        <v>0</v>
      </c>
      <c r="AD744">
        <v>7095081033</v>
      </c>
      <c r="AE744">
        <v>5212823.5999999996</v>
      </c>
      <c r="AF744">
        <v>6981427286</v>
      </c>
      <c r="AG744">
        <v>7052523301.8100004</v>
      </c>
      <c r="AH744">
        <v>0.16874900000000001</v>
      </c>
      <c r="AI744">
        <v>6.1365000000000003E-2</v>
      </c>
    </row>
    <row r="745" spans="1:35" x14ac:dyDescent="0.35">
      <c r="A745" t="s">
        <v>1</v>
      </c>
      <c r="B745">
        <v>7000</v>
      </c>
      <c r="C745">
        <v>24</v>
      </c>
      <c r="D745">
        <v>1684</v>
      </c>
      <c r="E745">
        <v>0</v>
      </c>
      <c r="F745">
        <v>46623336600</v>
      </c>
      <c r="G745">
        <v>45046910.659999996</v>
      </c>
      <c r="H745">
        <v>43879983322.830002</v>
      </c>
      <c r="I745">
        <v>46123405745.209999</v>
      </c>
      <c r="J745">
        <v>0.51100500000000004</v>
      </c>
      <c r="K745">
        <v>0.110996</v>
      </c>
      <c r="M745" t="s">
        <v>0</v>
      </c>
      <c r="N745">
        <v>7000</v>
      </c>
      <c r="O745">
        <v>20</v>
      </c>
      <c r="P745">
        <v>4041</v>
      </c>
      <c r="Q745">
        <v>0</v>
      </c>
      <c r="R745">
        <v>99295512169</v>
      </c>
      <c r="S745">
        <v>93719789.739999995</v>
      </c>
      <c r="T745">
        <v>96698923606.600006</v>
      </c>
      <c r="U745">
        <v>98543727900.470001</v>
      </c>
      <c r="V745">
        <v>0.26387300000000002</v>
      </c>
      <c r="W745">
        <v>7.6691999999999996E-2</v>
      </c>
      <c r="Y745" t="s">
        <v>0</v>
      </c>
      <c r="Z745">
        <v>8000</v>
      </c>
      <c r="AA745">
        <v>24</v>
      </c>
      <c r="AB745">
        <v>2057</v>
      </c>
      <c r="AC745">
        <v>0</v>
      </c>
      <c r="AD745">
        <v>48863530783</v>
      </c>
      <c r="AE745">
        <v>39412491.25</v>
      </c>
      <c r="AF745">
        <v>48096871595</v>
      </c>
      <c r="AG745">
        <v>48446624115.010002</v>
      </c>
      <c r="AH745">
        <v>0.16468099999999999</v>
      </c>
      <c r="AI745">
        <v>8.8866000000000001E-2</v>
      </c>
    </row>
    <row r="746" spans="1:35" x14ac:dyDescent="0.35">
      <c r="A746" t="s">
        <v>2</v>
      </c>
      <c r="B746">
        <v>7750</v>
      </c>
      <c r="C746">
        <v>30</v>
      </c>
      <c r="D746">
        <v>971</v>
      </c>
      <c r="E746">
        <v>0</v>
      </c>
      <c r="F746">
        <v>14549393172</v>
      </c>
      <c r="G746">
        <v>12537991.15</v>
      </c>
      <c r="H746">
        <v>14288318042.299999</v>
      </c>
      <c r="I746">
        <v>14471018456.09</v>
      </c>
      <c r="J746">
        <v>0.18678400000000001</v>
      </c>
      <c r="K746">
        <v>5.2969000000000002E-2</v>
      </c>
      <c r="M746" t="s">
        <v>2</v>
      </c>
      <c r="N746">
        <v>7000</v>
      </c>
      <c r="O746">
        <v>20</v>
      </c>
      <c r="P746">
        <v>271</v>
      </c>
      <c r="Q746">
        <v>0</v>
      </c>
      <c r="R746">
        <v>4254695904</v>
      </c>
      <c r="S746">
        <v>4014854.52</v>
      </c>
      <c r="T746">
        <v>4213645676.2199998</v>
      </c>
      <c r="U746">
        <v>4242762799.52</v>
      </c>
      <c r="V746">
        <v>9.9597000000000005E-2</v>
      </c>
      <c r="W746">
        <v>2.2106000000000001E-2</v>
      </c>
      <c r="Y746" t="s">
        <v>1</v>
      </c>
      <c r="Z746">
        <v>8000</v>
      </c>
      <c r="AA746">
        <v>30</v>
      </c>
      <c r="AB746">
        <v>99</v>
      </c>
      <c r="AC746">
        <v>0</v>
      </c>
      <c r="AD746">
        <v>2119561712</v>
      </c>
      <c r="AE746">
        <v>1733587.47</v>
      </c>
      <c r="AF746">
        <v>2117310836</v>
      </c>
      <c r="AG746">
        <v>2117310836</v>
      </c>
      <c r="AH746">
        <v>2.9250000000000001E-3</v>
      </c>
      <c r="AI746">
        <v>2.9250000000000001E-3</v>
      </c>
    </row>
    <row r="747" spans="1:35" x14ac:dyDescent="0.35">
      <c r="A747" t="s">
        <v>0</v>
      </c>
      <c r="B747">
        <v>8250</v>
      </c>
      <c r="C747">
        <v>30</v>
      </c>
      <c r="D747">
        <v>2436</v>
      </c>
      <c r="E747">
        <v>0</v>
      </c>
      <c r="F747">
        <v>59511574896</v>
      </c>
      <c r="G747">
        <v>46674203.32</v>
      </c>
      <c r="H747">
        <v>58171092332.730003</v>
      </c>
      <c r="I747">
        <v>58908757145.300003</v>
      </c>
      <c r="J747">
        <v>0.23184399999999999</v>
      </c>
      <c r="K747">
        <v>0.106554</v>
      </c>
      <c r="M747" t="s">
        <v>0</v>
      </c>
      <c r="N747">
        <v>7500</v>
      </c>
      <c r="O747">
        <v>20</v>
      </c>
      <c r="P747">
        <v>1441</v>
      </c>
      <c r="Q747">
        <v>0</v>
      </c>
      <c r="R747">
        <v>34427628928</v>
      </c>
      <c r="S747">
        <v>29632153.539999999</v>
      </c>
      <c r="T747">
        <v>33501178545.080002</v>
      </c>
      <c r="U747">
        <v>34186220960.740002</v>
      </c>
      <c r="V747">
        <v>0.27147700000000002</v>
      </c>
      <c r="W747">
        <v>7.1369000000000002E-2</v>
      </c>
      <c r="Y747" t="s">
        <v>1</v>
      </c>
      <c r="Z747">
        <v>6500</v>
      </c>
      <c r="AA747">
        <v>24</v>
      </c>
      <c r="AB747">
        <v>3600</v>
      </c>
      <c r="AC747">
        <v>0</v>
      </c>
      <c r="AD747">
        <v>117225547343</v>
      </c>
      <c r="AE747">
        <v>123288858.33</v>
      </c>
      <c r="AF747">
        <v>111731754315</v>
      </c>
      <c r="AG747">
        <v>116569461810.17999</v>
      </c>
      <c r="AH747">
        <v>0.43036099999999999</v>
      </c>
      <c r="AI747">
        <v>5.3198000000000002E-2</v>
      </c>
    </row>
    <row r="748" spans="1:35" x14ac:dyDescent="0.35">
      <c r="A748" t="s">
        <v>0</v>
      </c>
      <c r="B748">
        <v>8500</v>
      </c>
      <c r="C748">
        <v>30</v>
      </c>
      <c r="D748">
        <v>322</v>
      </c>
      <c r="E748">
        <v>0</v>
      </c>
      <c r="F748">
        <v>7548463347</v>
      </c>
      <c r="G748">
        <v>5641485</v>
      </c>
      <c r="H748">
        <v>7417292815.7799997</v>
      </c>
      <c r="I748">
        <v>7485114028.6999998</v>
      </c>
      <c r="J748">
        <v>0.18228</v>
      </c>
      <c r="K748">
        <v>8.7979000000000002E-2</v>
      </c>
      <c r="M748" t="s">
        <v>2</v>
      </c>
      <c r="N748">
        <v>7500</v>
      </c>
      <c r="O748">
        <v>20</v>
      </c>
      <c r="P748">
        <v>72</v>
      </c>
      <c r="Q748">
        <v>0</v>
      </c>
      <c r="R748">
        <v>959033542</v>
      </c>
      <c r="S748">
        <v>823055.7</v>
      </c>
      <c r="T748">
        <v>942957278.13999999</v>
      </c>
      <c r="U748">
        <v>951702370.91999996</v>
      </c>
      <c r="V748">
        <v>0.175016</v>
      </c>
      <c r="W748">
        <v>7.8462000000000004E-2</v>
      </c>
      <c r="Y748" t="s">
        <v>2</v>
      </c>
      <c r="Z748">
        <v>6750</v>
      </c>
      <c r="AA748">
        <v>24</v>
      </c>
      <c r="AB748">
        <v>1445</v>
      </c>
      <c r="AC748">
        <v>0</v>
      </c>
      <c r="AD748">
        <v>25788400754</v>
      </c>
      <c r="AE748">
        <v>25966286.260000002</v>
      </c>
      <c r="AF748">
        <v>25410721150</v>
      </c>
      <c r="AG748">
        <v>25668530798.939999</v>
      </c>
      <c r="AH748">
        <v>0.15192600000000001</v>
      </c>
      <c r="AI748">
        <v>4.2831000000000001E-2</v>
      </c>
    </row>
    <row r="749" spans="1:35" x14ac:dyDescent="0.35">
      <c r="A749" t="s">
        <v>0</v>
      </c>
      <c r="B749">
        <v>8500</v>
      </c>
      <c r="C749">
        <v>24</v>
      </c>
      <c r="D749">
        <v>137</v>
      </c>
      <c r="E749">
        <v>0</v>
      </c>
      <c r="F749">
        <v>3124647047</v>
      </c>
      <c r="G749">
        <v>2292684.02</v>
      </c>
      <c r="H749">
        <v>3058235786.25</v>
      </c>
      <c r="I749">
        <v>3100197216.1199999</v>
      </c>
      <c r="J749">
        <v>0.22026799999999999</v>
      </c>
      <c r="K749">
        <v>8.1851999999999994E-2</v>
      </c>
      <c r="M749" t="s">
        <v>0</v>
      </c>
      <c r="N749">
        <v>5000</v>
      </c>
      <c r="O749">
        <v>24</v>
      </c>
      <c r="P749">
        <v>4234</v>
      </c>
      <c r="Q749">
        <v>0</v>
      </c>
      <c r="R749">
        <v>138740703946</v>
      </c>
      <c r="S749">
        <v>189273241.88</v>
      </c>
      <c r="T749">
        <v>138060465067.37</v>
      </c>
      <c r="U749">
        <v>138403321867.23999</v>
      </c>
      <c r="V749">
        <v>4.1647999999999998E-2</v>
      </c>
      <c r="W749">
        <v>1.2735E-2</v>
      </c>
      <c r="Y749" t="s">
        <v>2</v>
      </c>
      <c r="Z749">
        <v>7750</v>
      </c>
      <c r="AA749">
        <v>24</v>
      </c>
      <c r="AB749">
        <v>1115</v>
      </c>
      <c r="AC749">
        <v>0</v>
      </c>
      <c r="AD749">
        <v>16084952603</v>
      </c>
      <c r="AE749">
        <v>13621845.9</v>
      </c>
      <c r="AF749">
        <v>15557459158</v>
      </c>
      <c r="AG749">
        <v>15831146969.32</v>
      </c>
      <c r="AH749">
        <v>0.32268999999999998</v>
      </c>
      <c r="AI749">
        <v>0.16517899999999999</v>
      </c>
    </row>
    <row r="750" spans="1:35" x14ac:dyDescent="0.35">
      <c r="A750" t="s">
        <v>0</v>
      </c>
      <c r="B750">
        <v>8000</v>
      </c>
      <c r="C750">
        <v>24</v>
      </c>
      <c r="D750">
        <v>1165</v>
      </c>
      <c r="E750">
        <v>0</v>
      </c>
      <c r="F750">
        <v>27662439923</v>
      </c>
      <c r="G750">
        <v>22300505.390000001</v>
      </c>
      <c r="H750">
        <v>26954137758.23</v>
      </c>
      <c r="I750">
        <v>27399785432.389999</v>
      </c>
      <c r="J750">
        <v>0.26017400000000002</v>
      </c>
      <c r="K750">
        <v>9.9424999999999999E-2</v>
      </c>
      <c r="M750" t="s">
        <v>1</v>
      </c>
      <c r="N750">
        <v>5500</v>
      </c>
      <c r="O750">
        <v>24</v>
      </c>
      <c r="P750">
        <v>2501</v>
      </c>
      <c r="Q750">
        <v>0</v>
      </c>
      <c r="R750">
        <v>92720621754</v>
      </c>
      <c r="S750">
        <v>116359050.97</v>
      </c>
      <c r="T750">
        <v>91759741435.850006</v>
      </c>
      <c r="U750">
        <v>92433349075.160004</v>
      </c>
      <c r="V750">
        <v>0.103986</v>
      </c>
      <c r="W750">
        <v>2.1897E-2</v>
      </c>
      <c r="Y750" t="s">
        <v>0</v>
      </c>
      <c r="Z750">
        <v>6750</v>
      </c>
      <c r="AA750">
        <v>20</v>
      </c>
      <c r="AB750">
        <v>24292</v>
      </c>
      <c r="AC750">
        <v>0</v>
      </c>
      <c r="AD750">
        <v>696889058427</v>
      </c>
      <c r="AE750">
        <v>688491219.12</v>
      </c>
      <c r="AF750">
        <v>681125629490</v>
      </c>
      <c r="AG750">
        <v>693591945467.90002</v>
      </c>
      <c r="AH750">
        <v>0.23082</v>
      </c>
      <c r="AI750">
        <v>4.4006000000000003E-2</v>
      </c>
    </row>
    <row r="751" spans="1:35" x14ac:dyDescent="0.35">
      <c r="A751" t="s">
        <v>1</v>
      </c>
      <c r="B751">
        <v>8000</v>
      </c>
      <c r="C751">
        <v>30</v>
      </c>
      <c r="D751">
        <v>236</v>
      </c>
      <c r="E751">
        <v>0</v>
      </c>
      <c r="F751">
        <v>5388166201</v>
      </c>
      <c r="G751">
        <v>4426263.5</v>
      </c>
      <c r="H751">
        <v>5128144999.46</v>
      </c>
      <c r="I751">
        <v>5299857683.6400003</v>
      </c>
      <c r="J751">
        <v>0.44187900000000002</v>
      </c>
      <c r="K751">
        <v>0.17161999999999999</v>
      </c>
      <c r="M751" t="s">
        <v>0</v>
      </c>
      <c r="N751">
        <v>5500</v>
      </c>
      <c r="O751">
        <v>24</v>
      </c>
      <c r="P751">
        <v>5648</v>
      </c>
      <c r="Q751">
        <v>0</v>
      </c>
      <c r="R751">
        <v>190329125584</v>
      </c>
      <c r="S751">
        <v>238160277.49000001</v>
      </c>
      <c r="T751">
        <v>189126073165.10999</v>
      </c>
      <c r="U751">
        <v>189772767614.16</v>
      </c>
      <c r="V751">
        <v>5.9166999999999997E-2</v>
      </c>
      <c r="W751">
        <v>1.9878E-2</v>
      </c>
      <c r="Y751" t="s">
        <v>1</v>
      </c>
      <c r="Z751">
        <v>6750</v>
      </c>
      <c r="AA751">
        <v>20</v>
      </c>
      <c r="AB751">
        <v>7505</v>
      </c>
      <c r="AC751">
        <v>0</v>
      </c>
      <c r="AD751">
        <v>240539880753</v>
      </c>
      <c r="AE751">
        <v>237810725.99000001</v>
      </c>
      <c r="AF751">
        <v>228536558865</v>
      </c>
      <c r="AG751">
        <v>239167912435.79001</v>
      </c>
      <c r="AH751">
        <v>0.45217299999999999</v>
      </c>
      <c r="AI751">
        <v>5.5135999999999998E-2</v>
      </c>
    </row>
    <row r="752" spans="1:35" x14ac:dyDescent="0.35">
      <c r="A752" t="s">
        <v>2</v>
      </c>
      <c r="B752">
        <v>6750</v>
      </c>
      <c r="C752">
        <v>24</v>
      </c>
      <c r="D752">
        <v>1932</v>
      </c>
      <c r="E752">
        <v>0</v>
      </c>
      <c r="F752">
        <v>34470228643</v>
      </c>
      <c r="G752">
        <v>34730061.560000002</v>
      </c>
      <c r="H752">
        <v>34143462659.509998</v>
      </c>
      <c r="I752">
        <v>34372529805.400002</v>
      </c>
      <c r="J752">
        <v>9.7059000000000006E-2</v>
      </c>
      <c r="K752">
        <v>2.1701999999999999E-2</v>
      </c>
      <c r="M752" t="s">
        <v>2</v>
      </c>
      <c r="N752">
        <v>5500</v>
      </c>
      <c r="O752">
        <v>24</v>
      </c>
      <c r="P752">
        <v>109</v>
      </c>
      <c r="Q752">
        <v>0</v>
      </c>
      <c r="R752">
        <v>2725292332</v>
      </c>
      <c r="S752">
        <v>3413048.91</v>
      </c>
      <c r="T752">
        <v>2710185726.29</v>
      </c>
      <c r="U752">
        <v>2719011999.6900001</v>
      </c>
      <c r="V752">
        <v>5.0291000000000002E-2</v>
      </c>
      <c r="W752">
        <v>1.2552000000000001E-2</v>
      </c>
      <c r="Y752" t="s">
        <v>0</v>
      </c>
      <c r="Z752">
        <v>6500</v>
      </c>
      <c r="AA752">
        <v>20</v>
      </c>
      <c r="AB752">
        <v>8912</v>
      </c>
      <c r="AC752">
        <v>0</v>
      </c>
      <c r="AD752">
        <v>245688015677</v>
      </c>
      <c r="AE752">
        <v>252839237.38999999</v>
      </c>
      <c r="AF752">
        <v>240912473293</v>
      </c>
      <c r="AG752">
        <v>244824304677.70001</v>
      </c>
      <c r="AH752">
        <v>0.199852</v>
      </c>
      <c r="AI752">
        <v>2.9432E-2</v>
      </c>
    </row>
    <row r="753" spans="1:35" x14ac:dyDescent="0.35">
      <c r="A753" t="s">
        <v>0</v>
      </c>
      <c r="B753">
        <v>6750</v>
      </c>
      <c r="C753">
        <v>20</v>
      </c>
      <c r="D753">
        <v>26307</v>
      </c>
      <c r="E753">
        <v>0</v>
      </c>
      <c r="F753">
        <v>777540694386</v>
      </c>
      <c r="G753">
        <v>767463718.95000005</v>
      </c>
      <c r="H753">
        <v>756685067083.06995</v>
      </c>
      <c r="I753">
        <v>771851930168.27002</v>
      </c>
      <c r="J753">
        <v>0.26955499999999999</v>
      </c>
      <c r="K753">
        <v>7.3362999999999998E-2</v>
      </c>
      <c r="M753" t="s">
        <v>0</v>
      </c>
      <c r="N753">
        <v>5500</v>
      </c>
      <c r="O753">
        <v>18</v>
      </c>
      <c r="P753">
        <v>3690</v>
      </c>
      <c r="Q753">
        <v>0</v>
      </c>
      <c r="R753">
        <v>125046546321</v>
      </c>
      <c r="S753">
        <v>152208094.97999999</v>
      </c>
      <c r="T753">
        <v>124307544828.72</v>
      </c>
      <c r="U753">
        <v>124735094349.03999</v>
      </c>
      <c r="V753">
        <v>5.4879999999999998E-2</v>
      </c>
      <c r="W753">
        <v>1.5174999999999999E-2</v>
      </c>
      <c r="Y753" t="s">
        <v>2</v>
      </c>
      <c r="Z753">
        <v>6750</v>
      </c>
      <c r="AA753">
        <v>20</v>
      </c>
      <c r="AB753">
        <v>1492</v>
      </c>
      <c r="AC753">
        <v>0</v>
      </c>
      <c r="AD753">
        <v>26434294485</v>
      </c>
      <c r="AE753">
        <v>26152603.289999999</v>
      </c>
      <c r="AF753">
        <v>26175405393</v>
      </c>
      <c r="AG753">
        <v>26357587102.900002</v>
      </c>
      <c r="AH753">
        <v>0.10068299999999999</v>
      </c>
      <c r="AI753">
        <v>2.2710000000000001E-2</v>
      </c>
    </row>
    <row r="754" spans="1:35" x14ac:dyDescent="0.35">
      <c r="A754" t="s">
        <v>1</v>
      </c>
      <c r="B754">
        <v>6750</v>
      </c>
      <c r="C754">
        <v>20</v>
      </c>
      <c r="D754">
        <v>8775</v>
      </c>
      <c r="E754">
        <v>0</v>
      </c>
      <c r="F754">
        <v>297362196633</v>
      </c>
      <c r="G754">
        <v>293797772.64999998</v>
      </c>
      <c r="H754">
        <v>280807634963.08002</v>
      </c>
      <c r="I754">
        <v>295850845613.32001</v>
      </c>
      <c r="J754">
        <v>0.49075400000000002</v>
      </c>
      <c r="K754">
        <v>4.8043000000000002E-2</v>
      </c>
      <c r="M754" t="s">
        <v>2</v>
      </c>
      <c r="N754">
        <v>5500</v>
      </c>
      <c r="O754">
        <v>18</v>
      </c>
      <c r="P754">
        <v>77</v>
      </c>
      <c r="Q754">
        <v>0</v>
      </c>
      <c r="R754">
        <v>1798408526</v>
      </c>
      <c r="S754">
        <v>2190367.61</v>
      </c>
      <c r="T754">
        <v>1790848337.72</v>
      </c>
      <c r="U754">
        <v>1795533318.8399999</v>
      </c>
      <c r="V754">
        <v>3.5248000000000002E-2</v>
      </c>
      <c r="W754">
        <v>4.5599999999999998E-3</v>
      </c>
      <c r="Y754" t="s">
        <v>0</v>
      </c>
      <c r="Z754">
        <v>7000</v>
      </c>
      <c r="AA754">
        <v>20</v>
      </c>
      <c r="AB754">
        <v>6356</v>
      </c>
      <c r="AC754">
        <v>0</v>
      </c>
      <c r="AD754">
        <v>159263042889</v>
      </c>
      <c r="AE754">
        <v>149982290.05000001</v>
      </c>
      <c r="AF754">
        <v>156149088280</v>
      </c>
      <c r="AG754">
        <v>158272430290.64999</v>
      </c>
      <c r="AH754">
        <v>0.20182800000000001</v>
      </c>
      <c r="AI754">
        <v>6.1532000000000003E-2</v>
      </c>
    </row>
    <row r="755" spans="1:35" x14ac:dyDescent="0.35">
      <c r="A755" t="s">
        <v>0</v>
      </c>
      <c r="B755">
        <v>6500</v>
      </c>
      <c r="C755">
        <v>24</v>
      </c>
      <c r="D755">
        <v>13465</v>
      </c>
      <c r="E755">
        <v>0</v>
      </c>
      <c r="F755">
        <v>370641618096</v>
      </c>
      <c r="G755">
        <v>389209297.02999997</v>
      </c>
      <c r="H755">
        <v>361829631808.69</v>
      </c>
      <c r="I755">
        <v>368251344616.46002</v>
      </c>
      <c r="J755">
        <v>0.24106900000000001</v>
      </c>
      <c r="K755">
        <v>6.2896999999999995E-2</v>
      </c>
      <c r="M755" t="s">
        <v>1</v>
      </c>
      <c r="N755">
        <v>5500</v>
      </c>
      <c r="O755">
        <v>18</v>
      </c>
      <c r="P755">
        <v>2272</v>
      </c>
      <c r="Q755">
        <v>0</v>
      </c>
      <c r="R755">
        <v>88900281967</v>
      </c>
      <c r="S755">
        <v>108208462.95</v>
      </c>
      <c r="T755">
        <v>87848230708.779999</v>
      </c>
      <c r="U755">
        <v>88629372582.699997</v>
      </c>
      <c r="V755">
        <v>0.12021999999999999</v>
      </c>
      <c r="W755">
        <v>2.1742000000000001E-2</v>
      </c>
      <c r="Y755" t="s">
        <v>0</v>
      </c>
      <c r="Z755">
        <v>6750</v>
      </c>
      <c r="AA755">
        <v>18</v>
      </c>
      <c r="AB755">
        <v>27382</v>
      </c>
      <c r="AC755">
        <v>0</v>
      </c>
      <c r="AD755">
        <v>835637796317</v>
      </c>
      <c r="AE755">
        <v>814030128.99000001</v>
      </c>
      <c r="AF755">
        <v>816620638415</v>
      </c>
      <c r="AG755">
        <v>832222600962.04004</v>
      </c>
      <c r="AH755">
        <v>0.23225000000000001</v>
      </c>
      <c r="AI755">
        <v>3.6720999999999997E-2</v>
      </c>
    </row>
    <row r="756" spans="1:35" x14ac:dyDescent="0.35">
      <c r="A756" t="s">
        <v>2</v>
      </c>
      <c r="B756">
        <v>6750</v>
      </c>
      <c r="C756">
        <v>20</v>
      </c>
      <c r="D756">
        <v>1577</v>
      </c>
      <c r="E756">
        <v>0</v>
      </c>
      <c r="F756">
        <v>28564570247</v>
      </c>
      <c r="G756">
        <v>28230221.449999999</v>
      </c>
      <c r="H756">
        <v>28305413664.310001</v>
      </c>
      <c r="I756">
        <v>28481195116.57</v>
      </c>
      <c r="J756">
        <v>9.2813000000000007E-2</v>
      </c>
      <c r="K756">
        <v>2.2922000000000001E-2</v>
      </c>
      <c r="M756" t="s">
        <v>2</v>
      </c>
      <c r="N756">
        <v>5500</v>
      </c>
      <c r="O756">
        <v>16</v>
      </c>
      <c r="P756">
        <v>94</v>
      </c>
      <c r="Q756">
        <v>0</v>
      </c>
      <c r="R756">
        <v>2342780953</v>
      </c>
      <c r="S756">
        <v>2819977.44</v>
      </c>
      <c r="T756">
        <v>2334905320.4000001</v>
      </c>
      <c r="U756">
        <v>2339396047.3499999</v>
      </c>
      <c r="V756">
        <v>2.5590999999999999E-2</v>
      </c>
      <c r="W756">
        <v>2.8900000000000002E-3</v>
      </c>
      <c r="Y756" t="s">
        <v>1</v>
      </c>
      <c r="Z756">
        <v>6750</v>
      </c>
      <c r="AA756">
        <v>18</v>
      </c>
      <c r="AB756">
        <v>10522</v>
      </c>
      <c r="AC756">
        <v>0</v>
      </c>
      <c r="AD756">
        <v>369839004062</v>
      </c>
      <c r="AE756">
        <v>360863836.39999998</v>
      </c>
      <c r="AF756">
        <v>349722766787</v>
      </c>
      <c r="AG756">
        <v>368237104325.79999</v>
      </c>
      <c r="AH756">
        <v>0.48250100000000001</v>
      </c>
      <c r="AI756">
        <v>3.9531999999999998E-2</v>
      </c>
    </row>
    <row r="757" spans="1:35" x14ac:dyDescent="0.35">
      <c r="A757" t="s">
        <v>0</v>
      </c>
      <c r="B757">
        <v>7000</v>
      </c>
      <c r="C757">
        <v>20</v>
      </c>
      <c r="D757">
        <v>8914</v>
      </c>
      <c r="E757">
        <v>0</v>
      </c>
      <c r="F757">
        <v>230546891231</v>
      </c>
      <c r="G757">
        <v>216854971</v>
      </c>
      <c r="H757">
        <v>224596583188.06</v>
      </c>
      <c r="I757">
        <v>229085185465.48999</v>
      </c>
      <c r="J757">
        <v>0.26080999999999999</v>
      </c>
      <c r="K757">
        <v>6.2905000000000003E-2</v>
      </c>
      <c r="M757" t="s">
        <v>0</v>
      </c>
      <c r="N757">
        <v>5500</v>
      </c>
      <c r="O757">
        <v>16</v>
      </c>
      <c r="P757">
        <v>4286</v>
      </c>
      <c r="Q757">
        <v>0</v>
      </c>
      <c r="R757">
        <v>148378699344</v>
      </c>
      <c r="S757">
        <v>178255475.81999999</v>
      </c>
      <c r="T757">
        <v>147698779355.13</v>
      </c>
      <c r="U757">
        <v>148035572280.81</v>
      </c>
      <c r="V757">
        <v>3.9826E-2</v>
      </c>
      <c r="W757">
        <v>1.3252999999999999E-2</v>
      </c>
      <c r="Y757" t="s">
        <v>0</v>
      </c>
      <c r="Z757">
        <v>7000</v>
      </c>
      <c r="AA757">
        <v>18</v>
      </c>
      <c r="AB757">
        <v>10856</v>
      </c>
      <c r="AC757">
        <v>0</v>
      </c>
      <c r="AD757">
        <v>280749553385</v>
      </c>
      <c r="AE757">
        <v>260733639.71000001</v>
      </c>
      <c r="AF757">
        <v>275642067385</v>
      </c>
      <c r="AG757">
        <v>279431118284.79999</v>
      </c>
      <c r="AH757">
        <v>0.188582</v>
      </c>
      <c r="AI757">
        <v>4.4283999999999997E-2</v>
      </c>
    </row>
    <row r="758" spans="1:35" x14ac:dyDescent="0.35">
      <c r="A758" t="s">
        <v>1</v>
      </c>
      <c r="B758">
        <v>7000</v>
      </c>
      <c r="C758">
        <v>20</v>
      </c>
      <c r="D758">
        <v>1859</v>
      </c>
      <c r="E758">
        <v>0</v>
      </c>
      <c r="F758">
        <v>54992852113</v>
      </c>
      <c r="G758">
        <v>51895528.25</v>
      </c>
      <c r="H758">
        <v>51572903311.860001</v>
      </c>
      <c r="I758">
        <v>54448584079.720001</v>
      </c>
      <c r="J758">
        <v>0.53159100000000004</v>
      </c>
      <c r="K758">
        <v>0.10230499999999999</v>
      </c>
      <c r="M758" t="s">
        <v>1</v>
      </c>
      <c r="N758">
        <v>5500</v>
      </c>
      <c r="O758">
        <v>16</v>
      </c>
      <c r="P758">
        <v>2052</v>
      </c>
      <c r="Q758">
        <v>0</v>
      </c>
      <c r="R758">
        <v>79068851401</v>
      </c>
      <c r="S758">
        <v>95044780.730000004</v>
      </c>
      <c r="T758">
        <v>78384767620.990005</v>
      </c>
      <c r="U758">
        <v>78875215148.429993</v>
      </c>
      <c r="V758">
        <v>8.5822999999999997E-2</v>
      </c>
      <c r="W758">
        <v>1.4860999999999999E-2</v>
      </c>
      <c r="Y758" t="s">
        <v>1</v>
      </c>
      <c r="Z758">
        <v>7000</v>
      </c>
      <c r="AA758">
        <v>18</v>
      </c>
      <c r="AB758">
        <v>2165</v>
      </c>
      <c r="AC758">
        <v>0</v>
      </c>
      <c r="AD758">
        <v>64846742551</v>
      </c>
      <c r="AE758">
        <v>60404639.259999998</v>
      </c>
      <c r="AF758">
        <v>61626699560</v>
      </c>
      <c r="AG758">
        <v>64362239587.32</v>
      </c>
      <c r="AH758">
        <v>0.45087100000000002</v>
      </c>
      <c r="AI758">
        <v>7.5717999999999994E-2</v>
      </c>
    </row>
    <row r="759" spans="1:35" x14ac:dyDescent="0.35">
      <c r="A759" t="s">
        <v>0</v>
      </c>
      <c r="B759">
        <v>6250</v>
      </c>
      <c r="C759">
        <v>24</v>
      </c>
      <c r="D759">
        <v>32082</v>
      </c>
      <c r="E759">
        <v>0</v>
      </c>
      <c r="F759">
        <v>1020009751011</v>
      </c>
      <c r="G759">
        <v>1120258043.3399999</v>
      </c>
      <c r="H759">
        <v>1001080541509.96</v>
      </c>
      <c r="I759">
        <v>1014601884086.24</v>
      </c>
      <c r="J759">
        <v>0.190522</v>
      </c>
      <c r="K759">
        <v>4.9292000000000002E-2</v>
      </c>
      <c r="M759" t="s">
        <v>0</v>
      </c>
      <c r="N759">
        <v>5500</v>
      </c>
      <c r="O759">
        <v>14</v>
      </c>
      <c r="P759">
        <v>4573</v>
      </c>
      <c r="Q759">
        <v>0</v>
      </c>
      <c r="R759">
        <v>160740247582</v>
      </c>
      <c r="S759">
        <v>191076840.22</v>
      </c>
      <c r="T759">
        <v>159892411854.70001</v>
      </c>
      <c r="U759">
        <v>160384104866.60001</v>
      </c>
      <c r="V759">
        <v>4.7943E-2</v>
      </c>
      <c r="W759">
        <v>1.2253999999999999E-2</v>
      </c>
      <c r="Y759" t="s">
        <v>2</v>
      </c>
      <c r="Z759">
        <v>7250</v>
      </c>
      <c r="AA759">
        <v>24</v>
      </c>
      <c r="AB759">
        <v>1257</v>
      </c>
      <c r="AC759">
        <v>0</v>
      </c>
      <c r="AD759">
        <v>19997857997</v>
      </c>
      <c r="AE759">
        <v>18456567.600000001</v>
      </c>
      <c r="AF759">
        <v>19492885224</v>
      </c>
      <c r="AG759">
        <v>19841632099.630001</v>
      </c>
      <c r="AH759">
        <v>0.25587799999999999</v>
      </c>
      <c r="AI759">
        <v>7.9608999999999999E-2</v>
      </c>
    </row>
    <row r="760" spans="1:35" x14ac:dyDescent="0.35">
      <c r="A760" t="s">
        <v>0</v>
      </c>
      <c r="B760">
        <v>7750</v>
      </c>
      <c r="C760">
        <v>24</v>
      </c>
      <c r="D760">
        <v>7775</v>
      </c>
      <c r="E760">
        <v>0</v>
      </c>
      <c r="F760">
        <v>185700731147</v>
      </c>
      <c r="G760">
        <v>156467237.62</v>
      </c>
      <c r="H760">
        <v>180075766856.38</v>
      </c>
      <c r="I760">
        <v>183966078571.57001</v>
      </c>
      <c r="J760">
        <v>0.30140400000000001</v>
      </c>
      <c r="K760">
        <v>9.7348000000000004E-2</v>
      </c>
      <c r="M760" t="s">
        <v>2</v>
      </c>
      <c r="N760">
        <v>5500</v>
      </c>
      <c r="O760">
        <v>14</v>
      </c>
      <c r="P760">
        <v>119</v>
      </c>
      <c r="Q760">
        <v>0</v>
      </c>
      <c r="R760">
        <v>2750155439</v>
      </c>
      <c r="S760">
        <v>3263260.82</v>
      </c>
      <c r="T760">
        <v>2740643085.6199999</v>
      </c>
      <c r="U760">
        <v>2746136121.23</v>
      </c>
      <c r="V760">
        <v>2.6929000000000002E-2</v>
      </c>
      <c r="W760">
        <v>3.2940000000000001E-3</v>
      </c>
      <c r="Y760" t="s">
        <v>0</v>
      </c>
      <c r="Z760">
        <v>8250</v>
      </c>
      <c r="AA760">
        <v>24</v>
      </c>
      <c r="AB760">
        <v>2215</v>
      </c>
      <c r="AC760">
        <v>0</v>
      </c>
      <c r="AD760">
        <v>54060495752</v>
      </c>
      <c r="AE760">
        <v>41520627.520000003</v>
      </c>
      <c r="AF760">
        <v>52876311792</v>
      </c>
      <c r="AG760">
        <v>53643822263.540001</v>
      </c>
      <c r="AH760">
        <v>0.226137</v>
      </c>
      <c r="AI760">
        <v>8.0168000000000003E-2</v>
      </c>
    </row>
    <row r="761" spans="1:35" x14ac:dyDescent="0.35">
      <c r="A761" t="s">
        <v>0</v>
      </c>
      <c r="B761">
        <v>5750</v>
      </c>
      <c r="C761">
        <v>24</v>
      </c>
      <c r="D761">
        <v>15294</v>
      </c>
      <c r="E761">
        <v>0</v>
      </c>
      <c r="F761">
        <v>521867946636</v>
      </c>
      <c r="G761">
        <v>625674137.51999998</v>
      </c>
      <c r="H761">
        <v>517023068601.02002</v>
      </c>
      <c r="I761">
        <v>520145712750.88</v>
      </c>
      <c r="J761">
        <v>9.2817999999999998E-2</v>
      </c>
      <c r="K761">
        <v>2.4924999999999999E-2</v>
      </c>
      <c r="M761" t="s">
        <v>1</v>
      </c>
      <c r="N761">
        <v>5500</v>
      </c>
      <c r="O761">
        <v>14</v>
      </c>
      <c r="P761">
        <v>3450</v>
      </c>
      <c r="Q761">
        <v>0</v>
      </c>
      <c r="R761">
        <v>142884502552</v>
      </c>
      <c r="S761">
        <v>169851281.59</v>
      </c>
      <c r="T761">
        <v>141178108602.26999</v>
      </c>
      <c r="U761">
        <v>142531870598.79999</v>
      </c>
      <c r="V761">
        <v>0.12168</v>
      </c>
      <c r="W761">
        <v>1.5243E-2</v>
      </c>
      <c r="Y761" t="s">
        <v>2</v>
      </c>
      <c r="Z761">
        <v>6250</v>
      </c>
      <c r="AA761">
        <v>24</v>
      </c>
      <c r="AB761">
        <v>940</v>
      </c>
      <c r="AC761">
        <v>0</v>
      </c>
      <c r="AD761">
        <v>19047380042</v>
      </c>
      <c r="AE761">
        <v>20880885.379999999</v>
      </c>
      <c r="AF761">
        <v>18974096953</v>
      </c>
      <c r="AG761">
        <v>19025198529.470001</v>
      </c>
      <c r="AH761">
        <v>3.2518999999999999E-2</v>
      </c>
      <c r="AI761">
        <v>8.1899999999999996E-4</v>
      </c>
    </row>
    <row r="762" spans="1:35" x14ac:dyDescent="0.35">
      <c r="A762" t="s">
        <v>0</v>
      </c>
      <c r="B762">
        <v>6000</v>
      </c>
      <c r="C762">
        <v>24</v>
      </c>
      <c r="D762">
        <v>18086</v>
      </c>
      <c r="E762">
        <v>0</v>
      </c>
      <c r="F762">
        <v>563325635935</v>
      </c>
      <c r="G762">
        <v>646438953.37</v>
      </c>
      <c r="H762">
        <v>556017076142.90002</v>
      </c>
      <c r="I762">
        <v>561087582330.27002</v>
      </c>
      <c r="J762">
        <v>0.13303999999999999</v>
      </c>
      <c r="K762">
        <v>3.3383000000000003E-2</v>
      </c>
      <c r="M762" t="s">
        <v>0</v>
      </c>
      <c r="N762">
        <v>7750</v>
      </c>
      <c r="O762">
        <v>30</v>
      </c>
      <c r="P762">
        <v>5161</v>
      </c>
      <c r="Q762">
        <v>0</v>
      </c>
      <c r="R762">
        <v>129033416748</v>
      </c>
      <c r="S762">
        <v>111723553.43000001</v>
      </c>
      <c r="T762">
        <v>126057373515.78999</v>
      </c>
      <c r="U762">
        <v>127755960950.12</v>
      </c>
      <c r="V762">
        <v>0.236147</v>
      </c>
      <c r="W762">
        <v>0.103184</v>
      </c>
      <c r="Y762" t="s">
        <v>0</v>
      </c>
      <c r="Z762">
        <v>6250</v>
      </c>
      <c r="AA762">
        <v>24</v>
      </c>
      <c r="AB762">
        <v>23495</v>
      </c>
      <c r="AC762">
        <v>0</v>
      </c>
      <c r="AD762">
        <v>747868896579</v>
      </c>
      <c r="AE762">
        <v>819934312.80999994</v>
      </c>
      <c r="AF762">
        <v>737845243927</v>
      </c>
      <c r="AG762">
        <v>746147481356.73999</v>
      </c>
      <c r="AH762">
        <v>0.13808200000000001</v>
      </c>
      <c r="AI762">
        <v>1.4369E-2</v>
      </c>
    </row>
    <row r="763" spans="1:35" x14ac:dyDescent="0.35">
      <c r="A763" t="s">
        <v>1</v>
      </c>
      <c r="B763">
        <v>6000</v>
      </c>
      <c r="C763">
        <v>24</v>
      </c>
      <c r="D763">
        <v>10025</v>
      </c>
      <c r="E763">
        <v>0</v>
      </c>
      <c r="F763">
        <v>359505970502</v>
      </c>
      <c r="G763">
        <v>412830396.56</v>
      </c>
      <c r="H763">
        <v>348155596177.71002</v>
      </c>
      <c r="I763">
        <v>358315403789.78998</v>
      </c>
      <c r="J763">
        <v>0.30978699999999998</v>
      </c>
      <c r="K763">
        <v>2.5654E-2</v>
      </c>
      <c r="M763" t="s">
        <v>0</v>
      </c>
      <c r="N763">
        <v>8000</v>
      </c>
      <c r="O763">
        <v>30</v>
      </c>
      <c r="P763">
        <v>298</v>
      </c>
      <c r="Q763">
        <v>0</v>
      </c>
      <c r="R763">
        <v>8093761007</v>
      </c>
      <c r="S763">
        <v>6680911.96</v>
      </c>
      <c r="T763">
        <v>7954805263.7299995</v>
      </c>
      <c r="U763">
        <v>8040227981.2399998</v>
      </c>
      <c r="V763">
        <v>0.17941199999999999</v>
      </c>
      <c r="W763">
        <v>6.7294999999999994E-2</v>
      </c>
      <c r="Y763" t="s">
        <v>0</v>
      </c>
      <c r="Z763">
        <v>5750</v>
      </c>
      <c r="AA763">
        <v>24</v>
      </c>
      <c r="AB763">
        <v>12123</v>
      </c>
      <c r="AC763">
        <v>0</v>
      </c>
      <c r="AD763">
        <v>415614126970</v>
      </c>
      <c r="AE763">
        <v>497020630.72000003</v>
      </c>
      <c r="AF763">
        <v>413205177925</v>
      </c>
      <c r="AG763">
        <v>414613464332.81</v>
      </c>
      <c r="AH763">
        <v>5.3827E-2</v>
      </c>
      <c r="AI763">
        <v>1.4445E-2</v>
      </c>
    </row>
    <row r="764" spans="1:35" x14ac:dyDescent="0.35">
      <c r="A764" t="s">
        <v>2</v>
      </c>
      <c r="B764">
        <v>6000</v>
      </c>
      <c r="C764">
        <v>24</v>
      </c>
      <c r="D764">
        <v>561</v>
      </c>
      <c r="E764">
        <v>0</v>
      </c>
      <c r="F764">
        <v>12043611107</v>
      </c>
      <c r="G764">
        <v>13797672.029999999</v>
      </c>
      <c r="H764">
        <v>11963543724.33</v>
      </c>
      <c r="I764">
        <v>12015503079.559999</v>
      </c>
      <c r="J764">
        <v>6.4068E-2</v>
      </c>
      <c r="K764">
        <v>1.4166E-2</v>
      </c>
      <c r="M764" t="s">
        <v>0</v>
      </c>
      <c r="N764">
        <v>6750</v>
      </c>
      <c r="O764">
        <v>20</v>
      </c>
      <c r="P764">
        <v>16328</v>
      </c>
      <c r="Q764">
        <v>0</v>
      </c>
      <c r="R764">
        <v>456070834424</v>
      </c>
      <c r="S764">
        <v>450890387.83999997</v>
      </c>
      <c r="T764">
        <v>445078959518.21997</v>
      </c>
      <c r="U764">
        <v>453211681972.64001</v>
      </c>
      <c r="V764">
        <v>0.244675</v>
      </c>
      <c r="W764">
        <v>6.1557000000000001E-2</v>
      </c>
      <c r="Y764" t="s">
        <v>0</v>
      </c>
      <c r="Z764">
        <v>6000</v>
      </c>
      <c r="AA764">
        <v>24</v>
      </c>
      <c r="AB764">
        <v>14783</v>
      </c>
      <c r="AC764">
        <v>0</v>
      </c>
      <c r="AD764">
        <v>470202811506</v>
      </c>
      <c r="AE764">
        <v>539034763.12</v>
      </c>
      <c r="AF764">
        <v>467058712771</v>
      </c>
      <c r="AG764">
        <v>469162833316.45001</v>
      </c>
      <c r="AH764">
        <v>6.4494999999999997E-2</v>
      </c>
      <c r="AI764">
        <v>1.2710000000000001E-2</v>
      </c>
    </row>
    <row r="765" spans="1:35" x14ac:dyDescent="0.35">
      <c r="A765" t="s">
        <v>2</v>
      </c>
      <c r="B765">
        <v>6250</v>
      </c>
      <c r="C765">
        <v>24</v>
      </c>
      <c r="D765">
        <v>1406</v>
      </c>
      <c r="E765">
        <v>0</v>
      </c>
      <c r="F765">
        <v>28601150358</v>
      </c>
      <c r="G765">
        <v>31396008.379999999</v>
      </c>
      <c r="H765">
        <v>28402865732.34</v>
      </c>
      <c r="I765">
        <v>28540099167.130001</v>
      </c>
      <c r="J765">
        <v>6.7816000000000001E-2</v>
      </c>
      <c r="K765">
        <v>1.2371999999999999E-2</v>
      </c>
      <c r="M765" t="s">
        <v>1</v>
      </c>
      <c r="N765">
        <v>6750</v>
      </c>
      <c r="O765">
        <v>20</v>
      </c>
      <c r="P765">
        <v>5034</v>
      </c>
      <c r="Q765">
        <v>0</v>
      </c>
      <c r="R765">
        <v>148439200737</v>
      </c>
      <c r="S765">
        <v>146731780.53</v>
      </c>
      <c r="T765">
        <v>139454582617.04001</v>
      </c>
      <c r="U765">
        <v>147269076929.04001</v>
      </c>
      <c r="V765">
        <v>0.52127000000000001</v>
      </c>
      <c r="W765">
        <v>7.9666000000000001E-2</v>
      </c>
      <c r="Y765" t="s">
        <v>1</v>
      </c>
      <c r="Z765">
        <v>6000</v>
      </c>
      <c r="AA765">
        <v>24</v>
      </c>
      <c r="AB765">
        <v>8159</v>
      </c>
      <c r="AC765">
        <v>0</v>
      </c>
      <c r="AD765">
        <v>291116561540</v>
      </c>
      <c r="AE765">
        <v>333744171.74000001</v>
      </c>
      <c r="AF765">
        <v>284226692877</v>
      </c>
      <c r="AG765">
        <v>290015025040.81</v>
      </c>
      <c r="AH765">
        <v>0.23916399999999999</v>
      </c>
      <c r="AI765">
        <v>3.1194E-2</v>
      </c>
    </row>
    <row r="766" spans="1:35" x14ac:dyDescent="0.35">
      <c r="A766" t="s">
        <v>1</v>
      </c>
      <c r="B766">
        <v>7750</v>
      </c>
      <c r="C766">
        <v>24</v>
      </c>
      <c r="D766">
        <v>1066</v>
      </c>
      <c r="E766">
        <v>0</v>
      </c>
      <c r="F766">
        <v>24620313614</v>
      </c>
      <c r="G766">
        <v>20743573.510000002</v>
      </c>
      <c r="H766">
        <v>23151284730.73</v>
      </c>
      <c r="I766">
        <v>24234156573.09</v>
      </c>
      <c r="J766">
        <v>0.51688999999999996</v>
      </c>
      <c r="K766">
        <v>0.16426099999999999</v>
      </c>
      <c r="M766" t="s">
        <v>2</v>
      </c>
      <c r="N766">
        <v>7750</v>
      </c>
      <c r="O766">
        <v>30</v>
      </c>
      <c r="P766">
        <v>96</v>
      </c>
      <c r="Q766">
        <v>0</v>
      </c>
      <c r="R766">
        <v>1369030429</v>
      </c>
      <c r="S766">
        <v>1184860.27</v>
      </c>
      <c r="T766">
        <v>1347037105.5799999</v>
      </c>
      <c r="U766">
        <v>1357863503.23</v>
      </c>
      <c r="V766">
        <v>0.16789200000000001</v>
      </c>
      <c r="W766">
        <v>8.4071000000000007E-2</v>
      </c>
      <c r="Y766" t="s">
        <v>2</v>
      </c>
      <c r="Z766">
        <v>6000</v>
      </c>
      <c r="AA766">
        <v>24</v>
      </c>
      <c r="AB766">
        <v>423</v>
      </c>
      <c r="AC766">
        <v>0</v>
      </c>
      <c r="AD766">
        <v>9126728732</v>
      </c>
      <c r="AE766">
        <v>10442713.25</v>
      </c>
      <c r="AF766">
        <v>9099538789</v>
      </c>
      <c r="AG766">
        <v>9116078881.9500008</v>
      </c>
      <c r="AH766">
        <v>2.1798999999999999E-2</v>
      </c>
      <c r="AI766">
        <v>2.72E-4</v>
      </c>
    </row>
    <row r="767" spans="1:35" x14ac:dyDescent="0.35">
      <c r="A767" t="s">
        <v>0</v>
      </c>
      <c r="B767">
        <v>7000</v>
      </c>
      <c r="C767">
        <v>18</v>
      </c>
      <c r="D767">
        <v>9850</v>
      </c>
      <c r="E767">
        <v>0</v>
      </c>
      <c r="F767">
        <v>251406651574</v>
      </c>
      <c r="G767">
        <v>233551523.05000001</v>
      </c>
      <c r="H767">
        <v>244752488611.54999</v>
      </c>
      <c r="I767">
        <v>249484732546.35001</v>
      </c>
      <c r="J767">
        <v>0.26688000000000001</v>
      </c>
      <c r="K767">
        <v>7.7676999999999996E-2</v>
      </c>
      <c r="M767" t="s">
        <v>0</v>
      </c>
      <c r="N767">
        <v>8250</v>
      </c>
      <c r="O767">
        <v>30</v>
      </c>
      <c r="P767">
        <v>351</v>
      </c>
      <c r="Q767">
        <v>0</v>
      </c>
      <c r="R767">
        <v>8785568146</v>
      </c>
      <c r="S767">
        <v>6903754.9000000004</v>
      </c>
      <c r="T767">
        <v>8615844564.7600002</v>
      </c>
      <c r="U767">
        <v>8714490437.4300003</v>
      </c>
      <c r="V767">
        <v>0.201067</v>
      </c>
      <c r="W767">
        <v>8.4217E-2</v>
      </c>
      <c r="Y767" t="s">
        <v>1</v>
      </c>
      <c r="Z767">
        <v>7750</v>
      </c>
      <c r="AA767">
        <v>24</v>
      </c>
      <c r="AB767">
        <v>1680</v>
      </c>
      <c r="AC767">
        <v>0</v>
      </c>
      <c r="AD767">
        <v>41428436509</v>
      </c>
      <c r="AE767">
        <v>35059228.090000004</v>
      </c>
      <c r="AF767">
        <v>38819398420</v>
      </c>
      <c r="AG767">
        <v>40752795883.300003</v>
      </c>
      <c r="AH767">
        <v>0.53686500000000004</v>
      </c>
      <c r="AI767">
        <v>0.17055400000000001</v>
      </c>
    </row>
    <row r="768" spans="1:35" x14ac:dyDescent="0.35">
      <c r="A768" t="s">
        <v>0</v>
      </c>
      <c r="B768">
        <v>6750</v>
      </c>
      <c r="C768">
        <v>18</v>
      </c>
      <c r="D768">
        <v>27076</v>
      </c>
      <c r="E768">
        <v>0</v>
      </c>
      <c r="F768">
        <v>820332989286</v>
      </c>
      <c r="G768">
        <v>798947516.30999994</v>
      </c>
      <c r="H768">
        <v>798280954706.93994</v>
      </c>
      <c r="I768">
        <v>814636777966.14001</v>
      </c>
      <c r="J768">
        <v>0.270206</v>
      </c>
      <c r="K768">
        <v>6.9332000000000005E-2</v>
      </c>
      <c r="M768" t="s">
        <v>0</v>
      </c>
      <c r="N768">
        <v>8500</v>
      </c>
      <c r="O768">
        <v>24</v>
      </c>
      <c r="P768">
        <v>413</v>
      </c>
      <c r="Q768">
        <v>0</v>
      </c>
      <c r="R768">
        <v>9614560648</v>
      </c>
      <c r="S768">
        <v>6990758.5300000003</v>
      </c>
      <c r="T768">
        <v>9442517091.3899994</v>
      </c>
      <c r="U768">
        <v>9551735667.1200008</v>
      </c>
      <c r="V768">
        <v>0.18762400000000001</v>
      </c>
      <c r="W768">
        <v>6.7503999999999995E-2</v>
      </c>
      <c r="Y768" t="s">
        <v>1</v>
      </c>
      <c r="Z768">
        <v>6250</v>
      </c>
      <c r="AA768">
        <v>24</v>
      </c>
      <c r="AB768">
        <v>12221</v>
      </c>
      <c r="AC768">
        <v>0</v>
      </c>
      <c r="AD768">
        <v>422322831101</v>
      </c>
      <c r="AE768">
        <v>462695089.49000001</v>
      </c>
      <c r="AF768">
        <v>408533015017</v>
      </c>
      <c r="AG768">
        <v>420590827509.21002</v>
      </c>
      <c r="AH768">
        <v>0.31940299999999999</v>
      </c>
      <c r="AI768">
        <v>3.5476000000000001E-2</v>
      </c>
    </row>
    <row r="769" spans="1:35" x14ac:dyDescent="0.35">
      <c r="A769" t="s">
        <v>1</v>
      </c>
      <c r="B769">
        <v>7000</v>
      </c>
      <c r="C769">
        <v>18</v>
      </c>
      <c r="D769">
        <v>1527</v>
      </c>
      <c r="E769">
        <v>0</v>
      </c>
      <c r="F769">
        <v>43862411187</v>
      </c>
      <c r="G769">
        <v>40903291.039999999</v>
      </c>
      <c r="H769">
        <v>41067793460.550003</v>
      </c>
      <c r="I769">
        <v>43458462959.860001</v>
      </c>
      <c r="J769">
        <v>0.54070200000000002</v>
      </c>
      <c r="K769">
        <v>9.4923999999999994E-2</v>
      </c>
      <c r="M769" t="s">
        <v>0</v>
      </c>
      <c r="N769">
        <v>8000</v>
      </c>
      <c r="O769">
        <v>24</v>
      </c>
      <c r="P769">
        <v>2530</v>
      </c>
      <c r="Q769">
        <v>0</v>
      </c>
      <c r="R769">
        <v>63201864592</v>
      </c>
      <c r="S769">
        <v>50563938.859999999</v>
      </c>
      <c r="T769">
        <v>61557025791.209999</v>
      </c>
      <c r="U769">
        <v>62711084593.110001</v>
      </c>
      <c r="V769">
        <v>0.264044</v>
      </c>
      <c r="W769">
        <v>8.0453999999999998E-2</v>
      </c>
      <c r="Y769" t="s">
        <v>2</v>
      </c>
      <c r="Z769">
        <v>7000</v>
      </c>
      <c r="AA769">
        <v>18</v>
      </c>
      <c r="AB769">
        <v>804</v>
      </c>
      <c r="AC769">
        <v>0</v>
      </c>
      <c r="AD769">
        <v>14005273104</v>
      </c>
      <c r="AE769">
        <v>13067600.279999999</v>
      </c>
      <c r="AF769">
        <v>13733176285</v>
      </c>
      <c r="AG769">
        <v>13940641414.559999</v>
      </c>
      <c r="AH769">
        <v>0.20069999999999999</v>
      </c>
      <c r="AI769">
        <v>4.3297000000000002E-2</v>
      </c>
    </row>
    <row r="770" spans="1:35" x14ac:dyDescent="0.35">
      <c r="A770" t="s">
        <v>2</v>
      </c>
      <c r="B770">
        <v>7000</v>
      </c>
      <c r="C770">
        <v>18</v>
      </c>
      <c r="D770">
        <v>701</v>
      </c>
      <c r="E770">
        <v>0</v>
      </c>
      <c r="F770">
        <v>12056686312</v>
      </c>
      <c r="G770">
        <v>11247217.949999999</v>
      </c>
      <c r="H770">
        <v>11924390666.860001</v>
      </c>
      <c r="I770">
        <v>12025810939.17</v>
      </c>
      <c r="J770">
        <v>0.11404400000000001</v>
      </c>
      <c r="K770">
        <v>1.9362000000000001E-2</v>
      </c>
      <c r="M770" t="s">
        <v>1</v>
      </c>
      <c r="N770">
        <v>8000</v>
      </c>
      <c r="O770">
        <v>30</v>
      </c>
      <c r="P770">
        <v>7</v>
      </c>
      <c r="Q770">
        <v>0</v>
      </c>
      <c r="R770">
        <v>185671570</v>
      </c>
      <c r="S770">
        <v>153761.51999999999</v>
      </c>
      <c r="T770">
        <v>174396195.24000001</v>
      </c>
      <c r="U770">
        <v>176984016.46000001</v>
      </c>
      <c r="V770">
        <v>0.52346800000000004</v>
      </c>
      <c r="W770">
        <v>0.431423</v>
      </c>
      <c r="Y770" t="s">
        <v>0</v>
      </c>
      <c r="Z770">
        <v>7500</v>
      </c>
      <c r="AA770">
        <v>18</v>
      </c>
      <c r="AB770">
        <v>2757</v>
      </c>
      <c r="AC770">
        <v>0</v>
      </c>
      <c r="AD770">
        <v>72008365118</v>
      </c>
      <c r="AE770">
        <v>61098668.090000004</v>
      </c>
      <c r="AF770">
        <v>70918936532</v>
      </c>
      <c r="AG770">
        <v>71433539705.149994</v>
      </c>
      <c r="AH770">
        <v>0.158529</v>
      </c>
      <c r="AI770">
        <v>8.2331000000000001E-2</v>
      </c>
    </row>
    <row r="771" spans="1:35" x14ac:dyDescent="0.35">
      <c r="A771" t="s">
        <v>0</v>
      </c>
      <c r="B771">
        <v>7500</v>
      </c>
      <c r="C771">
        <v>20</v>
      </c>
      <c r="D771">
        <v>2503</v>
      </c>
      <c r="E771">
        <v>0</v>
      </c>
      <c r="F771">
        <v>65338810912</v>
      </c>
      <c r="G771">
        <v>56135920.979999997</v>
      </c>
      <c r="H771">
        <v>63743891933.18</v>
      </c>
      <c r="I771">
        <v>64830907317.029999</v>
      </c>
      <c r="J771">
        <v>0.24873100000000001</v>
      </c>
      <c r="K771">
        <v>7.9887E-2</v>
      </c>
      <c r="M771" t="s">
        <v>2</v>
      </c>
      <c r="N771">
        <v>7750</v>
      </c>
      <c r="O771">
        <v>24</v>
      </c>
      <c r="P771">
        <v>1349</v>
      </c>
      <c r="Q771">
        <v>0</v>
      </c>
      <c r="R771">
        <v>20127525639</v>
      </c>
      <c r="S771">
        <v>16915530.809999999</v>
      </c>
      <c r="T771">
        <v>19804478919.43</v>
      </c>
      <c r="U771">
        <v>20031579240.130001</v>
      </c>
      <c r="V771">
        <v>0.16799500000000001</v>
      </c>
      <c r="W771">
        <v>4.6114000000000002E-2</v>
      </c>
      <c r="Y771" t="s">
        <v>0</v>
      </c>
      <c r="Z771">
        <v>6750</v>
      </c>
      <c r="AA771">
        <v>16</v>
      </c>
      <c r="AB771">
        <v>27165</v>
      </c>
      <c r="AC771">
        <v>0</v>
      </c>
      <c r="AD771">
        <v>803158179184</v>
      </c>
      <c r="AE771">
        <v>772482022.91999996</v>
      </c>
      <c r="AF771">
        <v>783269115920</v>
      </c>
      <c r="AG771">
        <v>799157018594.19995</v>
      </c>
      <c r="AH771">
        <v>0.25104399999999999</v>
      </c>
      <c r="AI771">
        <v>4.7187E-2</v>
      </c>
    </row>
    <row r="772" spans="1:35" x14ac:dyDescent="0.35">
      <c r="A772" t="s">
        <v>1</v>
      </c>
      <c r="B772">
        <v>6750</v>
      </c>
      <c r="C772">
        <v>18</v>
      </c>
      <c r="D772">
        <v>9798</v>
      </c>
      <c r="E772">
        <v>0</v>
      </c>
      <c r="F772">
        <v>333340483102</v>
      </c>
      <c r="G772">
        <v>325389263.04000002</v>
      </c>
      <c r="H772">
        <v>313849814621.44</v>
      </c>
      <c r="I772">
        <v>332011182436.90997</v>
      </c>
      <c r="J772">
        <v>0.508633</v>
      </c>
      <c r="K772">
        <v>3.5547000000000002E-2</v>
      </c>
      <c r="M772" t="s">
        <v>2</v>
      </c>
      <c r="N772">
        <v>6750</v>
      </c>
      <c r="O772">
        <v>20</v>
      </c>
      <c r="P772">
        <v>938</v>
      </c>
      <c r="Q772">
        <v>0</v>
      </c>
      <c r="R772">
        <v>16252084555</v>
      </c>
      <c r="S772">
        <v>16073729.199999999</v>
      </c>
      <c r="T772">
        <v>16105210052.76</v>
      </c>
      <c r="U772">
        <v>16198171064.08</v>
      </c>
      <c r="V772">
        <v>9.2415999999999998E-2</v>
      </c>
      <c r="W772">
        <v>2.7584999999999998E-2</v>
      </c>
      <c r="Y772" t="s">
        <v>0</v>
      </c>
      <c r="Z772">
        <v>6500</v>
      </c>
      <c r="AA772">
        <v>16</v>
      </c>
      <c r="AB772">
        <v>9820</v>
      </c>
      <c r="AC772">
        <v>0</v>
      </c>
      <c r="AD772">
        <v>274089260131</v>
      </c>
      <c r="AE772">
        <v>274957027.37</v>
      </c>
      <c r="AF772">
        <v>267218131582</v>
      </c>
      <c r="AG772">
        <v>272799821822.64001</v>
      </c>
      <c r="AH772">
        <v>0.253471</v>
      </c>
      <c r="AI772">
        <v>4.3521999999999998E-2</v>
      </c>
    </row>
    <row r="773" spans="1:35" x14ac:dyDescent="0.35">
      <c r="A773" t="s">
        <v>2</v>
      </c>
      <c r="B773">
        <v>7250</v>
      </c>
      <c r="C773">
        <v>24</v>
      </c>
      <c r="D773">
        <v>1164</v>
      </c>
      <c r="E773">
        <v>0</v>
      </c>
      <c r="F773">
        <v>18228244448</v>
      </c>
      <c r="G773">
        <v>16818608.920000002</v>
      </c>
      <c r="H773">
        <v>17962684571.950001</v>
      </c>
      <c r="I773">
        <v>18140389904.029999</v>
      </c>
      <c r="J773">
        <v>0.152003</v>
      </c>
      <c r="K773">
        <v>4.5775000000000003E-2</v>
      </c>
      <c r="M773" t="s">
        <v>0</v>
      </c>
      <c r="N773">
        <v>7250</v>
      </c>
      <c r="O773">
        <v>20</v>
      </c>
      <c r="P773">
        <v>6771</v>
      </c>
      <c r="Q773">
        <v>0</v>
      </c>
      <c r="R773">
        <v>172929605844</v>
      </c>
      <c r="S773">
        <v>156193285.22999999</v>
      </c>
      <c r="T773">
        <v>167994768373.14999</v>
      </c>
      <c r="U773">
        <v>171422810388.12</v>
      </c>
      <c r="V773">
        <v>0.28556900000000002</v>
      </c>
      <c r="W773">
        <v>8.9799000000000004E-2</v>
      </c>
      <c r="Y773" t="s">
        <v>1</v>
      </c>
      <c r="Z773">
        <v>6750</v>
      </c>
      <c r="AA773">
        <v>16</v>
      </c>
      <c r="AB773">
        <v>8847</v>
      </c>
      <c r="AC773">
        <v>0</v>
      </c>
      <c r="AD773">
        <v>287507820610</v>
      </c>
      <c r="AE773">
        <v>277172932.16000003</v>
      </c>
      <c r="AF773">
        <v>272339338770</v>
      </c>
      <c r="AG773">
        <v>285950170014.85999</v>
      </c>
      <c r="AH773">
        <v>0.47176200000000001</v>
      </c>
      <c r="AI773">
        <v>5.2155E-2</v>
      </c>
    </row>
    <row r="774" spans="1:35" x14ac:dyDescent="0.35">
      <c r="A774" t="s">
        <v>0</v>
      </c>
      <c r="B774">
        <v>8250</v>
      </c>
      <c r="C774">
        <v>24</v>
      </c>
      <c r="D774">
        <v>1300</v>
      </c>
      <c r="E774">
        <v>0</v>
      </c>
      <c r="F774">
        <v>32033248362</v>
      </c>
      <c r="G774">
        <v>24572325.579999998</v>
      </c>
      <c r="H774">
        <v>31066786290.66</v>
      </c>
      <c r="I774">
        <v>31663216482.25</v>
      </c>
      <c r="J774">
        <v>0.30102000000000001</v>
      </c>
      <c r="K774">
        <v>0.122006</v>
      </c>
      <c r="M774" t="s">
        <v>0</v>
      </c>
      <c r="N774">
        <v>6750</v>
      </c>
      <c r="O774">
        <v>18</v>
      </c>
      <c r="P774">
        <v>25369</v>
      </c>
      <c r="Q774">
        <v>0</v>
      </c>
      <c r="R774">
        <v>733498939689</v>
      </c>
      <c r="S774">
        <v>715326174.05999994</v>
      </c>
      <c r="T774">
        <v>715471957266.82996</v>
      </c>
      <c r="U774">
        <v>729717945407.94995</v>
      </c>
      <c r="V774">
        <v>0.249198</v>
      </c>
      <c r="W774">
        <v>4.9016999999999998E-2</v>
      </c>
      <c r="Y774" t="s">
        <v>1</v>
      </c>
      <c r="Z774">
        <v>6500</v>
      </c>
      <c r="AA774">
        <v>16</v>
      </c>
      <c r="AB774">
        <v>3664</v>
      </c>
      <c r="AC774">
        <v>0</v>
      </c>
      <c r="AD774">
        <v>126360766574</v>
      </c>
      <c r="AE774">
        <v>126967860.31</v>
      </c>
      <c r="AF774">
        <v>120475953560</v>
      </c>
      <c r="AG774">
        <v>125909793240.09</v>
      </c>
      <c r="AH774">
        <v>0.428591</v>
      </c>
      <c r="AI774">
        <v>3.0339000000000001E-2</v>
      </c>
    </row>
    <row r="775" spans="1:35" x14ac:dyDescent="0.35">
      <c r="A775" t="s">
        <v>0</v>
      </c>
      <c r="B775">
        <v>6500</v>
      </c>
      <c r="C775">
        <v>18</v>
      </c>
      <c r="D775">
        <v>10383</v>
      </c>
      <c r="E775">
        <v>0</v>
      </c>
      <c r="F775">
        <v>304856482284</v>
      </c>
      <c r="G775">
        <v>309922152.95999998</v>
      </c>
      <c r="H775">
        <v>297313753614.67999</v>
      </c>
      <c r="I775">
        <v>303256898349.71002</v>
      </c>
      <c r="J775">
        <v>0.25034000000000001</v>
      </c>
      <c r="K775">
        <v>4.9599999999999998E-2</v>
      </c>
      <c r="M775" t="s">
        <v>1</v>
      </c>
      <c r="N775">
        <v>6750</v>
      </c>
      <c r="O775">
        <v>18</v>
      </c>
      <c r="P775">
        <v>8377</v>
      </c>
      <c r="Q775">
        <v>0</v>
      </c>
      <c r="R775">
        <v>273059704373</v>
      </c>
      <c r="S775">
        <v>266488494.22</v>
      </c>
      <c r="T775">
        <v>254755560419.13</v>
      </c>
      <c r="U775">
        <v>271599483727.98999</v>
      </c>
      <c r="V775">
        <v>0.55960600000000005</v>
      </c>
      <c r="W775">
        <v>5.1216999999999999E-2</v>
      </c>
      <c r="Y775" t="s">
        <v>2</v>
      </c>
      <c r="Z775">
        <v>6500</v>
      </c>
      <c r="AA775">
        <v>16</v>
      </c>
      <c r="AB775">
        <v>870</v>
      </c>
      <c r="AC775">
        <v>0</v>
      </c>
      <c r="AD775">
        <v>16698739326</v>
      </c>
      <c r="AE775">
        <v>16796064.940000001</v>
      </c>
      <c r="AF775">
        <v>16609095581</v>
      </c>
      <c r="AG775">
        <v>16649358649.93</v>
      </c>
      <c r="AH775">
        <v>5.1111999999999998E-2</v>
      </c>
      <c r="AI775">
        <v>2.3165999999999999E-2</v>
      </c>
    </row>
    <row r="776" spans="1:35" x14ac:dyDescent="0.35">
      <c r="A776" t="s">
        <v>1</v>
      </c>
      <c r="B776">
        <v>6500</v>
      </c>
      <c r="C776">
        <v>18</v>
      </c>
      <c r="D776">
        <v>4849</v>
      </c>
      <c r="E776">
        <v>0</v>
      </c>
      <c r="F776">
        <v>172473648527</v>
      </c>
      <c r="G776">
        <v>175628837.18000001</v>
      </c>
      <c r="H776">
        <v>162100141491.95001</v>
      </c>
      <c r="I776">
        <v>171852690100.85999</v>
      </c>
      <c r="J776">
        <v>0.51875000000000004</v>
      </c>
      <c r="K776">
        <v>3.0547999999999999E-2</v>
      </c>
      <c r="M776" t="s">
        <v>0</v>
      </c>
      <c r="N776">
        <v>6500</v>
      </c>
      <c r="O776">
        <v>18</v>
      </c>
      <c r="P776">
        <v>9306</v>
      </c>
      <c r="Q776">
        <v>0</v>
      </c>
      <c r="R776">
        <v>258684803127</v>
      </c>
      <c r="S776">
        <v>262890984.38999999</v>
      </c>
      <c r="T776">
        <v>253525574364.82999</v>
      </c>
      <c r="U776">
        <v>257474461695.09</v>
      </c>
      <c r="V776">
        <v>0.20491899999999999</v>
      </c>
      <c r="W776">
        <v>4.3076000000000003E-2</v>
      </c>
      <c r="Y776" t="s">
        <v>0</v>
      </c>
      <c r="Z776">
        <v>7000</v>
      </c>
      <c r="AA776">
        <v>16</v>
      </c>
      <c r="AB776">
        <v>8317</v>
      </c>
      <c r="AC776">
        <v>0</v>
      </c>
      <c r="AD776">
        <v>215278683019</v>
      </c>
      <c r="AE776">
        <v>197634050.63999999</v>
      </c>
      <c r="AF776">
        <v>210971352049</v>
      </c>
      <c r="AG776">
        <v>214257476368.35999</v>
      </c>
      <c r="AH776">
        <v>0.20649600000000001</v>
      </c>
      <c r="AI776">
        <v>4.4954000000000001E-2</v>
      </c>
    </row>
    <row r="777" spans="1:35" x14ac:dyDescent="0.35">
      <c r="A777" t="s">
        <v>2</v>
      </c>
      <c r="B777">
        <v>6500</v>
      </c>
      <c r="C777">
        <v>18</v>
      </c>
      <c r="D777">
        <v>774</v>
      </c>
      <c r="E777">
        <v>0</v>
      </c>
      <c r="F777">
        <v>14954104738</v>
      </c>
      <c r="G777">
        <v>15215335.01</v>
      </c>
      <c r="H777">
        <v>14848458279.82</v>
      </c>
      <c r="I777">
        <v>14923402632.809999</v>
      </c>
      <c r="J777">
        <v>7.0201E-2</v>
      </c>
      <c r="K777">
        <v>1.2357E-2</v>
      </c>
      <c r="M777" t="s">
        <v>2</v>
      </c>
      <c r="N777">
        <v>6750</v>
      </c>
      <c r="O777">
        <v>18</v>
      </c>
      <c r="P777">
        <v>1505</v>
      </c>
      <c r="Q777">
        <v>0</v>
      </c>
      <c r="R777">
        <v>26751796366</v>
      </c>
      <c r="S777">
        <v>26123443.420000002</v>
      </c>
      <c r="T777">
        <v>26530721566.790001</v>
      </c>
      <c r="U777">
        <v>26690725458.310001</v>
      </c>
      <c r="V777">
        <v>8.4028000000000005E-2</v>
      </c>
      <c r="W777">
        <v>1.5564E-2</v>
      </c>
      <c r="Y777" t="s">
        <v>0</v>
      </c>
      <c r="Z777">
        <v>5500</v>
      </c>
      <c r="AA777">
        <v>24</v>
      </c>
      <c r="AB777">
        <v>5914</v>
      </c>
      <c r="AC777">
        <v>0</v>
      </c>
      <c r="AD777">
        <v>198395859952</v>
      </c>
      <c r="AE777">
        <v>248087120.37</v>
      </c>
      <c r="AF777">
        <v>197686015357</v>
      </c>
      <c r="AG777">
        <v>198079862308.39001</v>
      </c>
      <c r="AH777">
        <v>2.7574999999999999E-2</v>
      </c>
      <c r="AI777">
        <v>4.1000000000000003E-3</v>
      </c>
    </row>
    <row r="778" spans="1:35" x14ac:dyDescent="0.35">
      <c r="A778" t="s">
        <v>0</v>
      </c>
      <c r="B778">
        <v>6500</v>
      </c>
      <c r="C778">
        <v>16</v>
      </c>
      <c r="D778">
        <v>8768</v>
      </c>
      <c r="E778">
        <v>0</v>
      </c>
      <c r="F778">
        <v>230625565606</v>
      </c>
      <c r="G778">
        <v>231721501.77000001</v>
      </c>
      <c r="H778">
        <v>224465218453.35999</v>
      </c>
      <c r="I778">
        <v>228791521429.51999</v>
      </c>
      <c r="J778">
        <v>0.26839499999999999</v>
      </c>
      <c r="K778">
        <v>8.0258999999999997E-2</v>
      </c>
      <c r="M778" t="s">
        <v>0</v>
      </c>
      <c r="N778">
        <v>7000</v>
      </c>
      <c r="O778">
        <v>18</v>
      </c>
      <c r="P778">
        <v>6636</v>
      </c>
      <c r="Q778">
        <v>0</v>
      </c>
      <c r="R778">
        <v>167391488660</v>
      </c>
      <c r="S778">
        <v>155560174.33000001</v>
      </c>
      <c r="T778">
        <v>162797691783.14999</v>
      </c>
      <c r="U778">
        <v>166176469372.64999</v>
      </c>
      <c r="V778">
        <v>0.27563799999999999</v>
      </c>
      <c r="W778">
        <v>7.3361999999999997E-2</v>
      </c>
      <c r="Y778" t="s">
        <v>1</v>
      </c>
      <c r="Z778">
        <v>5500</v>
      </c>
      <c r="AA778">
        <v>24</v>
      </c>
      <c r="AB778">
        <v>3660</v>
      </c>
      <c r="AC778">
        <v>0</v>
      </c>
      <c r="AD778">
        <v>143213789992</v>
      </c>
      <c r="AE778">
        <v>178670487.06999999</v>
      </c>
      <c r="AF778">
        <v>141872839849</v>
      </c>
      <c r="AG778">
        <v>142778617360.84</v>
      </c>
      <c r="AH778">
        <v>9.3157000000000004E-2</v>
      </c>
      <c r="AI778">
        <v>2.1281999999999999E-2</v>
      </c>
    </row>
    <row r="779" spans="1:35" x14ac:dyDescent="0.35">
      <c r="A779" t="s">
        <v>0</v>
      </c>
      <c r="B779">
        <v>6750</v>
      </c>
      <c r="C779">
        <v>16</v>
      </c>
      <c r="D779">
        <v>20624</v>
      </c>
      <c r="E779">
        <v>0</v>
      </c>
      <c r="F779">
        <v>586252159905</v>
      </c>
      <c r="G779">
        <v>564841062.80999994</v>
      </c>
      <c r="H779">
        <v>569198353690.83997</v>
      </c>
      <c r="I779">
        <v>581546557811.90002</v>
      </c>
      <c r="J779">
        <v>0.28989999999999999</v>
      </c>
      <c r="K779">
        <v>8.1541000000000002E-2</v>
      </c>
      <c r="M779" t="s">
        <v>0</v>
      </c>
      <c r="N779">
        <v>6750</v>
      </c>
      <c r="O779">
        <v>16</v>
      </c>
      <c r="P779">
        <v>28800</v>
      </c>
      <c r="Q779">
        <v>0</v>
      </c>
      <c r="R779">
        <v>886073058595</v>
      </c>
      <c r="S779">
        <v>852054044.66999996</v>
      </c>
      <c r="T779">
        <v>861469979594.98999</v>
      </c>
      <c r="U779">
        <v>881811147098.70996</v>
      </c>
      <c r="V779">
        <v>0.278229</v>
      </c>
      <c r="W779">
        <v>4.5213999999999997E-2</v>
      </c>
      <c r="Y779" t="s">
        <v>1</v>
      </c>
      <c r="Z779">
        <v>5750</v>
      </c>
      <c r="AA779">
        <v>24</v>
      </c>
      <c r="AB779">
        <v>8365</v>
      </c>
      <c r="AC779">
        <v>0</v>
      </c>
      <c r="AD779">
        <v>326166462843</v>
      </c>
      <c r="AE779">
        <v>389806271.07999998</v>
      </c>
      <c r="AF779">
        <v>320750714425</v>
      </c>
      <c r="AG779">
        <v>325216592868.82001</v>
      </c>
      <c r="AH779">
        <v>0.170016</v>
      </c>
      <c r="AI779">
        <v>2.0412E-2</v>
      </c>
    </row>
    <row r="780" spans="1:35" x14ac:dyDescent="0.35">
      <c r="A780" t="s">
        <v>0</v>
      </c>
      <c r="B780">
        <v>5500</v>
      </c>
      <c r="C780">
        <v>24</v>
      </c>
      <c r="D780">
        <v>6407</v>
      </c>
      <c r="E780">
        <v>0</v>
      </c>
      <c r="F780">
        <v>215259299237</v>
      </c>
      <c r="G780">
        <v>269544552.60000002</v>
      </c>
      <c r="H780">
        <v>213579103998.47</v>
      </c>
      <c r="I780">
        <v>214541948510.84</v>
      </c>
      <c r="J780">
        <v>7.5866000000000003E-2</v>
      </c>
      <c r="K780">
        <v>2.4680000000000001E-2</v>
      </c>
      <c r="M780" t="s">
        <v>1</v>
      </c>
      <c r="N780">
        <v>6750</v>
      </c>
      <c r="O780">
        <v>16</v>
      </c>
      <c r="P780">
        <v>11909</v>
      </c>
      <c r="Q780">
        <v>0</v>
      </c>
      <c r="R780">
        <v>425818466489</v>
      </c>
      <c r="S780">
        <v>410043075.24000001</v>
      </c>
      <c r="T780">
        <v>389832750343.65002</v>
      </c>
      <c r="U780">
        <v>424091384478.71002</v>
      </c>
      <c r="V780">
        <v>0.64898599999999995</v>
      </c>
      <c r="W780">
        <v>3.6491000000000003E-2</v>
      </c>
      <c r="Y780" t="s">
        <v>2</v>
      </c>
      <c r="Z780">
        <v>5750</v>
      </c>
      <c r="AA780">
        <v>24</v>
      </c>
      <c r="AB780">
        <v>273</v>
      </c>
      <c r="AC780">
        <v>0</v>
      </c>
      <c r="AD780">
        <v>6197452433</v>
      </c>
      <c r="AE780">
        <v>7416915.0099999998</v>
      </c>
      <c r="AF780">
        <v>6159464963</v>
      </c>
      <c r="AG780">
        <v>6180422848.5200005</v>
      </c>
      <c r="AH780">
        <v>5.7612999999999998E-2</v>
      </c>
      <c r="AI780">
        <v>1.8454999999999999E-2</v>
      </c>
    </row>
    <row r="781" spans="1:35" x14ac:dyDescent="0.35">
      <c r="A781" t="s">
        <v>1</v>
      </c>
      <c r="B781">
        <v>5500</v>
      </c>
      <c r="C781">
        <v>24</v>
      </c>
      <c r="D781">
        <v>4376</v>
      </c>
      <c r="E781">
        <v>0</v>
      </c>
      <c r="F781">
        <v>171923772667</v>
      </c>
      <c r="G781">
        <v>215032597.83000001</v>
      </c>
      <c r="H781">
        <v>168935702122.10001</v>
      </c>
      <c r="I781">
        <v>171295929715.79999</v>
      </c>
      <c r="J781">
        <v>0.17727399999999999</v>
      </c>
      <c r="K781">
        <v>2.8435999999999999E-2</v>
      </c>
      <c r="M781" t="s">
        <v>0</v>
      </c>
      <c r="N781">
        <v>7000</v>
      </c>
      <c r="O781">
        <v>16</v>
      </c>
      <c r="P781">
        <v>11302</v>
      </c>
      <c r="Q781">
        <v>0</v>
      </c>
      <c r="R781">
        <v>294341502096</v>
      </c>
      <c r="S781">
        <v>269763443.41000003</v>
      </c>
      <c r="T781">
        <v>285470552159.40002</v>
      </c>
      <c r="U781">
        <v>292381486118</v>
      </c>
      <c r="V781">
        <v>0.29944799999999999</v>
      </c>
      <c r="W781">
        <v>6.6775000000000001E-2</v>
      </c>
      <c r="Y781" t="s">
        <v>2</v>
      </c>
      <c r="Z781">
        <v>6500</v>
      </c>
      <c r="AA781">
        <v>24</v>
      </c>
      <c r="AB781">
        <v>627</v>
      </c>
      <c r="AC781">
        <v>0</v>
      </c>
      <c r="AD781">
        <v>11348488399</v>
      </c>
      <c r="AE781">
        <v>11890918.439999999</v>
      </c>
      <c r="AF781">
        <v>11254233458</v>
      </c>
      <c r="AG781">
        <v>11336456844.4</v>
      </c>
      <c r="AH781">
        <v>8.3698999999999996E-2</v>
      </c>
      <c r="AI781">
        <v>1.4899999999999999E-4</v>
      </c>
    </row>
    <row r="782" spans="1:35" x14ac:dyDescent="0.35">
      <c r="A782" t="s">
        <v>1</v>
      </c>
      <c r="B782">
        <v>5750</v>
      </c>
      <c r="C782">
        <v>24</v>
      </c>
      <c r="D782">
        <v>10812</v>
      </c>
      <c r="E782">
        <v>0</v>
      </c>
      <c r="F782">
        <v>420402115046</v>
      </c>
      <c r="G782">
        <v>503830446.50999999</v>
      </c>
      <c r="H782">
        <v>408999662182.59998</v>
      </c>
      <c r="I782">
        <v>418781400754.31</v>
      </c>
      <c r="J782">
        <v>0.27035300000000001</v>
      </c>
      <c r="K782">
        <v>3.1419000000000002E-2</v>
      </c>
      <c r="M782" t="s">
        <v>1</v>
      </c>
      <c r="N782">
        <v>7000</v>
      </c>
      <c r="O782">
        <v>16</v>
      </c>
      <c r="P782">
        <v>2462</v>
      </c>
      <c r="Q782">
        <v>0</v>
      </c>
      <c r="R782">
        <v>75612331357</v>
      </c>
      <c r="S782">
        <v>69503187.819999993</v>
      </c>
      <c r="T782">
        <v>69464467788.600006</v>
      </c>
      <c r="U782">
        <v>75003234258.779999</v>
      </c>
      <c r="V782">
        <v>0.63419199999999998</v>
      </c>
      <c r="W782">
        <v>8.2352999999999996E-2</v>
      </c>
      <c r="Y782" t="s">
        <v>0</v>
      </c>
      <c r="Z782">
        <v>5250</v>
      </c>
      <c r="AA782">
        <v>24</v>
      </c>
      <c r="AB782">
        <v>2717</v>
      </c>
      <c r="AC782">
        <v>0</v>
      </c>
      <c r="AD782">
        <v>92886413206</v>
      </c>
      <c r="AE782">
        <v>121280863.68000001</v>
      </c>
      <c r="AF782">
        <v>92293968060</v>
      </c>
      <c r="AG782">
        <v>92645727170.990005</v>
      </c>
      <c r="AH782">
        <v>5.9200000000000003E-2</v>
      </c>
      <c r="AI782">
        <v>1.5317000000000001E-2</v>
      </c>
    </row>
    <row r="783" spans="1:35" x14ac:dyDescent="0.35">
      <c r="A783" t="s">
        <v>2</v>
      </c>
      <c r="B783">
        <v>5750</v>
      </c>
      <c r="C783">
        <v>24</v>
      </c>
      <c r="D783">
        <v>370</v>
      </c>
      <c r="E783">
        <v>0</v>
      </c>
      <c r="F783">
        <v>8657654407</v>
      </c>
      <c r="G783">
        <v>10389890.68</v>
      </c>
      <c r="H783">
        <v>8606215932.1399994</v>
      </c>
      <c r="I783">
        <v>8637905990.9699993</v>
      </c>
      <c r="J783">
        <v>5.5434999999999998E-2</v>
      </c>
      <c r="K783">
        <v>1.2895E-2</v>
      </c>
      <c r="M783" t="s">
        <v>0</v>
      </c>
      <c r="N783">
        <v>8250</v>
      </c>
      <c r="O783">
        <v>24</v>
      </c>
      <c r="P783">
        <v>3117</v>
      </c>
      <c r="Q783">
        <v>0</v>
      </c>
      <c r="R783">
        <v>76473738028</v>
      </c>
      <c r="S783">
        <v>58293266.159999996</v>
      </c>
      <c r="T783">
        <v>74283381406.490005</v>
      </c>
      <c r="U783">
        <v>75693838474.130005</v>
      </c>
      <c r="V783">
        <v>0.28773700000000002</v>
      </c>
      <c r="W783">
        <v>0.10753600000000001</v>
      </c>
      <c r="Y783" t="s">
        <v>1</v>
      </c>
      <c r="Z783">
        <v>5250</v>
      </c>
      <c r="AA783">
        <v>24</v>
      </c>
      <c r="AB783">
        <v>1610</v>
      </c>
      <c r="AC783">
        <v>0</v>
      </c>
      <c r="AD783">
        <v>63326366217</v>
      </c>
      <c r="AE783">
        <v>82487968.859999999</v>
      </c>
      <c r="AF783">
        <v>62936356109</v>
      </c>
      <c r="AG783">
        <v>63194847787.160004</v>
      </c>
      <c r="AH783">
        <v>5.6742000000000001E-2</v>
      </c>
      <c r="AI783">
        <v>9.2519999999999998E-3</v>
      </c>
    </row>
    <row r="784" spans="1:35" x14ac:dyDescent="0.35">
      <c r="A784" t="s">
        <v>1</v>
      </c>
      <c r="B784">
        <v>6250</v>
      </c>
      <c r="C784">
        <v>24</v>
      </c>
      <c r="D784">
        <v>16865</v>
      </c>
      <c r="E784">
        <v>0</v>
      </c>
      <c r="F784">
        <v>590760184268</v>
      </c>
      <c r="G784">
        <v>648666988.03999996</v>
      </c>
      <c r="H784">
        <v>567842464248.21997</v>
      </c>
      <c r="I784">
        <v>588317596033.10999</v>
      </c>
      <c r="J784">
        <v>0.36940600000000001</v>
      </c>
      <c r="K784">
        <v>3.5837000000000001E-2</v>
      </c>
      <c r="M784" t="s">
        <v>2</v>
      </c>
      <c r="N784">
        <v>6250</v>
      </c>
      <c r="O784">
        <v>24</v>
      </c>
      <c r="P784">
        <v>419</v>
      </c>
      <c r="Q784">
        <v>0</v>
      </c>
      <c r="R784">
        <v>8755680417</v>
      </c>
      <c r="S784">
        <v>9647945.5099999998</v>
      </c>
      <c r="T784">
        <v>8686575511.2900009</v>
      </c>
      <c r="U784">
        <v>8731048022.3899994</v>
      </c>
      <c r="V784">
        <v>7.8511999999999998E-2</v>
      </c>
      <c r="W784">
        <v>2.0344999999999999E-2</v>
      </c>
      <c r="Y784" t="s">
        <v>0</v>
      </c>
      <c r="Z784">
        <v>6000</v>
      </c>
      <c r="AA784">
        <v>20</v>
      </c>
      <c r="AB784">
        <v>10178</v>
      </c>
      <c r="AC784">
        <v>0</v>
      </c>
      <c r="AD784">
        <v>311325591280</v>
      </c>
      <c r="AE784">
        <v>351209972.81</v>
      </c>
      <c r="AF784">
        <v>308435248008</v>
      </c>
      <c r="AG784">
        <v>310490107311.03998</v>
      </c>
      <c r="AH784">
        <v>9.3598000000000001E-2</v>
      </c>
      <c r="AI784">
        <v>1.8506999999999999E-2</v>
      </c>
    </row>
    <row r="785" spans="1:35" x14ac:dyDescent="0.35">
      <c r="A785" t="s">
        <v>2</v>
      </c>
      <c r="B785">
        <v>6500</v>
      </c>
      <c r="C785">
        <v>24</v>
      </c>
      <c r="D785">
        <v>924</v>
      </c>
      <c r="E785">
        <v>0</v>
      </c>
      <c r="F785">
        <v>16873327607</v>
      </c>
      <c r="G785">
        <v>17700650.550000001</v>
      </c>
      <c r="H785">
        <v>16729147628.16</v>
      </c>
      <c r="I785">
        <v>16827630751.41</v>
      </c>
      <c r="J785">
        <v>8.6332999999999993E-2</v>
      </c>
      <c r="K785">
        <v>1.9730000000000001E-2</v>
      </c>
      <c r="M785" t="s">
        <v>0</v>
      </c>
      <c r="N785">
        <v>5750</v>
      </c>
      <c r="O785">
        <v>24</v>
      </c>
      <c r="P785">
        <v>5740</v>
      </c>
      <c r="Q785">
        <v>0</v>
      </c>
      <c r="R785">
        <v>192367985870</v>
      </c>
      <c r="S785">
        <v>231109817.78</v>
      </c>
      <c r="T785">
        <v>190917206078.10999</v>
      </c>
      <c r="U785">
        <v>191780171021.07001</v>
      </c>
      <c r="V785">
        <v>7.3485999999999996E-2</v>
      </c>
      <c r="W785">
        <v>2.2026E-2</v>
      </c>
      <c r="Y785" t="s">
        <v>0</v>
      </c>
      <c r="Z785">
        <v>6250</v>
      </c>
      <c r="AA785">
        <v>20</v>
      </c>
      <c r="AB785">
        <v>20754</v>
      </c>
      <c r="AC785">
        <v>0</v>
      </c>
      <c r="AD785">
        <v>668709268504</v>
      </c>
      <c r="AE785">
        <v>722003337.42999995</v>
      </c>
      <c r="AF785">
        <v>658843803201</v>
      </c>
      <c r="AG785">
        <v>667200862707.29004</v>
      </c>
      <c r="AH785">
        <v>0.152286</v>
      </c>
      <c r="AI785">
        <v>1.4021E-2</v>
      </c>
    </row>
    <row r="786" spans="1:35" x14ac:dyDescent="0.35">
      <c r="A786" t="s">
        <v>0</v>
      </c>
      <c r="B786">
        <v>5250</v>
      </c>
      <c r="C786">
        <v>24</v>
      </c>
      <c r="D786">
        <v>3166</v>
      </c>
      <c r="E786">
        <v>0</v>
      </c>
      <c r="F786">
        <v>108781042846</v>
      </c>
      <c r="G786">
        <v>142106868.74000001</v>
      </c>
      <c r="H786">
        <v>108045796345.42999</v>
      </c>
      <c r="I786">
        <v>108460277457.17</v>
      </c>
      <c r="J786">
        <v>6.3504000000000005E-2</v>
      </c>
      <c r="K786">
        <v>1.9531E-2</v>
      </c>
      <c r="M786" t="s">
        <v>1</v>
      </c>
      <c r="N786">
        <v>6000</v>
      </c>
      <c r="O786">
        <v>24</v>
      </c>
      <c r="P786">
        <v>4808</v>
      </c>
      <c r="Q786">
        <v>0</v>
      </c>
      <c r="R786">
        <v>177912994999</v>
      </c>
      <c r="S786">
        <v>204799472.53</v>
      </c>
      <c r="T786">
        <v>172996886931.62</v>
      </c>
      <c r="U786">
        <v>177299015088.78</v>
      </c>
      <c r="V786">
        <v>0.27534199999999998</v>
      </c>
      <c r="W786">
        <v>2.7251999999999998E-2</v>
      </c>
      <c r="Y786" t="s">
        <v>1</v>
      </c>
      <c r="Z786">
        <v>5250</v>
      </c>
      <c r="AA786">
        <v>20</v>
      </c>
      <c r="AB786">
        <v>1193</v>
      </c>
      <c r="AC786">
        <v>0</v>
      </c>
      <c r="AD786">
        <v>47056350223</v>
      </c>
      <c r="AE786">
        <v>60463198.57</v>
      </c>
      <c r="AF786">
        <v>46524516849</v>
      </c>
      <c r="AG786">
        <v>46956200520.169998</v>
      </c>
      <c r="AH786">
        <v>0.113799</v>
      </c>
      <c r="AI786">
        <v>1.0074E-2</v>
      </c>
    </row>
    <row r="787" spans="1:35" x14ac:dyDescent="0.35">
      <c r="A787" t="s">
        <v>1</v>
      </c>
      <c r="B787">
        <v>5250</v>
      </c>
      <c r="C787">
        <v>24</v>
      </c>
      <c r="D787">
        <v>1966</v>
      </c>
      <c r="E787">
        <v>0</v>
      </c>
      <c r="F787">
        <v>77096617223</v>
      </c>
      <c r="G787">
        <v>100577770.09</v>
      </c>
      <c r="H787">
        <v>76086711640.210007</v>
      </c>
      <c r="I787">
        <v>76834126409.979996</v>
      </c>
      <c r="J787">
        <v>0.13270599999999999</v>
      </c>
      <c r="K787">
        <v>2.4913000000000001E-2</v>
      </c>
      <c r="M787" t="s">
        <v>2</v>
      </c>
      <c r="N787">
        <v>6000</v>
      </c>
      <c r="O787">
        <v>24</v>
      </c>
      <c r="P787">
        <v>243</v>
      </c>
      <c r="Q787">
        <v>0</v>
      </c>
      <c r="R787">
        <v>5291789186</v>
      </c>
      <c r="S787">
        <v>6071294.7800000003</v>
      </c>
      <c r="T787">
        <v>5259672778.5500002</v>
      </c>
      <c r="U787">
        <v>5282170656.1899996</v>
      </c>
      <c r="V787">
        <v>5.7488999999999998E-2</v>
      </c>
      <c r="W787">
        <v>8.0140000000000003E-3</v>
      </c>
      <c r="Y787" t="s">
        <v>0</v>
      </c>
      <c r="Z787">
        <v>5750</v>
      </c>
      <c r="AA787">
        <v>20</v>
      </c>
      <c r="AB787">
        <v>7853</v>
      </c>
      <c r="AC787">
        <v>0</v>
      </c>
      <c r="AD787">
        <v>265095258667</v>
      </c>
      <c r="AE787">
        <v>312834216.06999999</v>
      </c>
      <c r="AF787">
        <v>263283985464</v>
      </c>
      <c r="AG787">
        <v>264452464662.78</v>
      </c>
      <c r="AH787">
        <v>6.5759999999999999E-2</v>
      </c>
      <c r="AI787">
        <v>1.4834E-2</v>
      </c>
    </row>
    <row r="788" spans="1:35" x14ac:dyDescent="0.35">
      <c r="A788" t="s">
        <v>2</v>
      </c>
      <c r="B788">
        <v>5750</v>
      </c>
      <c r="C788">
        <v>20</v>
      </c>
      <c r="D788">
        <v>147</v>
      </c>
      <c r="E788">
        <v>0</v>
      </c>
      <c r="F788">
        <v>3242086030</v>
      </c>
      <c r="G788">
        <v>3830591.6</v>
      </c>
      <c r="H788">
        <v>3220745628.3000002</v>
      </c>
      <c r="I788">
        <v>3231923057.21</v>
      </c>
      <c r="J788">
        <v>6.2919000000000003E-2</v>
      </c>
      <c r="K788">
        <v>2.3188E-2</v>
      </c>
      <c r="M788" t="s">
        <v>1</v>
      </c>
      <c r="N788">
        <v>7750</v>
      </c>
      <c r="O788">
        <v>24</v>
      </c>
      <c r="P788">
        <v>2801</v>
      </c>
      <c r="Q788">
        <v>0</v>
      </c>
      <c r="R788">
        <v>69133267846</v>
      </c>
      <c r="S788">
        <v>58268251.75</v>
      </c>
      <c r="T788">
        <v>64469765035.080002</v>
      </c>
      <c r="U788">
        <v>68149278618.519997</v>
      </c>
      <c r="V788">
        <v>0.56274400000000002</v>
      </c>
      <c r="W788">
        <v>0.149363</v>
      </c>
      <c r="Y788" t="s">
        <v>1</v>
      </c>
      <c r="Z788">
        <v>6000</v>
      </c>
      <c r="AA788">
        <v>20</v>
      </c>
      <c r="AB788">
        <v>5477</v>
      </c>
      <c r="AC788">
        <v>0</v>
      </c>
      <c r="AD788">
        <v>204677394614</v>
      </c>
      <c r="AE788">
        <v>230919011.33000001</v>
      </c>
      <c r="AF788">
        <v>199700672388</v>
      </c>
      <c r="AG788">
        <v>203907652365.79001</v>
      </c>
      <c r="AH788">
        <v>0.245362</v>
      </c>
      <c r="AI788">
        <v>3.1137000000000001E-2</v>
      </c>
    </row>
    <row r="789" spans="1:35" x14ac:dyDescent="0.35">
      <c r="A789" t="s">
        <v>0</v>
      </c>
      <c r="B789">
        <v>5750</v>
      </c>
      <c r="C789">
        <v>20</v>
      </c>
      <c r="D789">
        <v>5893</v>
      </c>
      <c r="E789">
        <v>0</v>
      </c>
      <c r="F789">
        <v>196957452273</v>
      </c>
      <c r="G789">
        <v>232602964.80000001</v>
      </c>
      <c r="H789">
        <v>195233927326.89999</v>
      </c>
      <c r="I789">
        <v>196300667697.31</v>
      </c>
      <c r="J789">
        <v>8.7149000000000004E-2</v>
      </c>
      <c r="K789">
        <v>2.554E-2</v>
      </c>
      <c r="M789" t="s">
        <v>2</v>
      </c>
      <c r="N789">
        <v>7000</v>
      </c>
      <c r="O789">
        <v>16</v>
      </c>
      <c r="P789">
        <v>821</v>
      </c>
      <c r="Q789">
        <v>0</v>
      </c>
      <c r="R789">
        <v>14305219585</v>
      </c>
      <c r="S789">
        <v>13169542.869999999</v>
      </c>
      <c r="T789">
        <v>14158839629.309999</v>
      </c>
      <c r="U789">
        <v>14266447558.01</v>
      </c>
      <c r="V789">
        <v>0.106195</v>
      </c>
      <c r="W789">
        <v>2.1267000000000001E-2</v>
      </c>
      <c r="Y789" t="s">
        <v>2</v>
      </c>
      <c r="Z789">
        <v>6000</v>
      </c>
      <c r="AA789">
        <v>20</v>
      </c>
      <c r="AB789">
        <v>313</v>
      </c>
      <c r="AC789">
        <v>0</v>
      </c>
      <c r="AD789">
        <v>6628548110</v>
      </c>
      <c r="AE789">
        <v>7468877.79</v>
      </c>
      <c r="AF789">
        <v>6621213692</v>
      </c>
      <c r="AG789">
        <v>6621213692</v>
      </c>
      <c r="AH789">
        <v>-2.43E-4</v>
      </c>
      <c r="AI789">
        <v>-2.43E-4</v>
      </c>
    </row>
    <row r="790" spans="1:35" x14ac:dyDescent="0.35">
      <c r="A790" t="s">
        <v>1</v>
      </c>
      <c r="B790">
        <v>5750</v>
      </c>
      <c r="C790">
        <v>20</v>
      </c>
      <c r="D790">
        <v>4094</v>
      </c>
      <c r="E790">
        <v>0</v>
      </c>
      <c r="F790">
        <v>162618974550</v>
      </c>
      <c r="G790">
        <v>191968172.81999999</v>
      </c>
      <c r="H790">
        <v>157910077162.89999</v>
      </c>
      <c r="I790">
        <v>162009561010.79001</v>
      </c>
      <c r="J790">
        <v>0.28682600000000003</v>
      </c>
      <c r="K790">
        <v>3.0373000000000001E-2</v>
      </c>
      <c r="M790" t="s">
        <v>0</v>
      </c>
      <c r="N790">
        <v>7500</v>
      </c>
      <c r="O790">
        <v>16</v>
      </c>
      <c r="P790">
        <v>2835</v>
      </c>
      <c r="Q790">
        <v>0</v>
      </c>
      <c r="R790">
        <v>74398008655</v>
      </c>
      <c r="S790">
        <v>62250900.100000001</v>
      </c>
      <c r="T790">
        <v>72182830594.369995</v>
      </c>
      <c r="U790">
        <v>73842411508.850006</v>
      </c>
      <c r="V790">
        <v>0.29698600000000003</v>
      </c>
      <c r="W790">
        <v>7.6734999999999998E-2</v>
      </c>
      <c r="Y790" t="s">
        <v>2</v>
      </c>
      <c r="Z790">
        <v>6500</v>
      </c>
      <c r="AA790">
        <v>20</v>
      </c>
      <c r="AB790">
        <v>772</v>
      </c>
      <c r="AC790">
        <v>0</v>
      </c>
      <c r="AD790">
        <v>14720275429</v>
      </c>
      <c r="AE790">
        <v>15206701.130000001</v>
      </c>
      <c r="AF790">
        <v>14559920792</v>
      </c>
      <c r="AG790">
        <v>14689919611.469999</v>
      </c>
      <c r="AH790">
        <v>0.11211400000000001</v>
      </c>
      <c r="AI790">
        <v>1.2279999999999999E-2</v>
      </c>
    </row>
    <row r="791" spans="1:35" x14ac:dyDescent="0.35">
      <c r="A791" t="s">
        <v>1</v>
      </c>
      <c r="B791">
        <v>6000</v>
      </c>
      <c r="C791">
        <v>20</v>
      </c>
      <c r="D791">
        <v>4736</v>
      </c>
      <c r="E791">
        <v>0</v>
      </c>
      <c r="F791">
        <v>180868283112</v>
      </c>
      <c r="G791">
        <v>204189870.05000001</v>
      </c>
      <c r="H791">
        <v>174697296421.38</v>
      </c>
      <c r="I791">
        <v>180313729121.25</v>
      </c>
      <c r="J791">
        <v>0.33139000000000002</v>
      </c>
      <c r="K791">
        <v>2.2998999999999999E-2</v>
      </c>
      <c r="M791" t="s">
        <v>0</v>
      </c>
      <c r="N791">
        <v>6750</v>
      </c>
      <c r="O791">
        <v>14</v>
      </c>
      <c r="P791">
        <v>28538</v>
      </c>
      <c r="Q791">
        <v>0</v>
      </c>
      <c r="R791">
        <v>850059570743</v>
      </c>
      <c r="S791">
        <v>807141898</v>
      </c>
      <c r="T791">
        <v>825850343885.56995</v>
      </c>
      <c r="U791">
        <v>845739317672.56006</v>
      </c>
      <c r="V791">
        <v>0.28465600000000002</v>
      </c>
      <c r="W791">
        <v>4.8481999999999997E-2</v>
      </c>
      <c r="Y791" t="s">
        <v>0</v>
      </c>
      <c r="Z791">
        <v>7250</v>
      </c>
      <c r="AA791">
        <v>20</v>
      </c>
      <c r="AB791">
        <v>10890</v>
      </c>
      <c r="AC791">
        <v>0</v>
      </c>
      <c r="AD791">
        <v>285955427289</v>
      </c>
      <c r="AE791">
        <v>258055497.02000001</v>
      </c>
      <c r="AF791">
        <v>279488161816</v>
      </c>
      <c r="AG791">
        <v>284679794198.09998</v>
      </c>
      <c r="AH791">
        <v>0.23159399999999999</v>
      </c>
      <c r="AI791">
        <v>4.1875999999999997E-2</v>
      </c>
    </row>
    <row r="792" spans="1:35" x14ac:dyDescent="0.35">
      <c r="A792" t="s">
        <v>0</v>
      </c>
      <c r="B792">
        <v>6000</v>
      </c>
      <c r="C792">
        <v>20</v>
      </c>
      <c r="D792">
        <v>8867</v>
      </c>
      <c r="E792">
        <v>0</v>
      </c>
      <c r="F792">
        <v>278217012118</v>
      </c>
      <c r="G792">
        <v>314180488.63999999</v>
      </c>
      <c r="H792">
        <v>274632510643.07999</v>
      </c>
      <c r="I792">
        <v>277198069184.51001</v>
      </c>
      <c r="J792">
        <v>0.13228400000000001</v>
      </c>
      <c r="K792">
        <v>2.9978000000000001E-2</v>
      </c>
      <c r="M792" t="s">
        <v>0</v>
      </c>
      <c r="N792">
        <v>8000</v>
      </c>
      <c r="O792">
        <v>20</v>
      </c>
      <c r="P792">
        <v>364</v>
      </c>
      <c r="Q792">
        <v>0</v>
      </c>
      <c r="R792">
        <v>8492774822</v>
      </c>
      <c r="S792">
        <v>6665775.2000000002</v>
      </c>
      <c r="T792">
        <v>8290080164.1199999</v>
      </c>
      <c r="U792">
        <v>8420953056.5200005</v>
      </c>
      <c r="V792">
        <v>0.244389</v>
      </c>
      <c r="W792">
        <v>8.8275999999999993E-2</v>
      </c>
      <c r="Y792" t="s">
        <v>1</v>
      </c>
      <c r="Z792">
        <v>7250</v>
      </c>
      <c r="AA792">
        <v>20</v>
      </c>
      <c r="AB792">
        <v>2399</v>
      </c>
      <c r="AC792">
        <v>0</v>
      </c>
      <c r="AD792">
        <v>64399160732</v>
      </c>
      <c r="AE792">
        <v>58292506.420000002</v>
      </c>
      <c r="AF792">
        <v>60928663909</v>
      </c>
      <c r="AG792">
        <v>63481446591.870003</v>
      </c>
      <c r="AH792">
        <v>0.47966700000000001</v>
      </c>
      <c r="AI792">
        <v>0.148896</v>
      </c>
    </row>
    <row r="793" spans="1:35" x14ac:dyDescent="0.35">
      <c r="A793" t="s">
        <v>0</v>
      </c>
      <c r="B793">
        <v>6250</v>
      </c>
      <c r="C793">
        <v>20</v>
      </c>
      <c r="D793">
        <v>17391</v>
      </c>
      <c r="E793">
        <v>0</v>
      </c>
      <c r="F793">
        <v>564556709796</v>
      </c>
      <c r="G793">
        <v>609810086.05999994</v>
      </c>
      <c r="H793">
        <v>554154697330.45996</v>
      </c>
      <c r="I793">
        <v>561898315203.81995</v>
      </c>
      <c r="J793">
        <v>0.189388</v>
      </c>
      <c r="K793">
        <v>4.2685000000000001E-2</v>
      </c>
      <c r="M793" t="s">
        <v>0</v>
      </c>
      <c r="N793">
        <v>6250</v>
      </c>
      <c r="O793">
        <v>20</v>
      </c>
      <c r="P793">
        <v>18843</v>
      </c>
      <c r="Q793">
        <v>0</v>
      </c>
      <c r="R793">
        <v>597276824302</v>
      </c>
      <c r="S793">
        <v>645072642.07000005</v>
      </c>
      <c r="T793">
        <v>588975719899.46997</v>
      </c>
      <c r="U793">
        <v>594875937445.71997</v>
      </c>
      <c r="V793">
        <v>0.143425</v>
      </c>
      <c r="W793">
        <v>3.4712E-2</v>
      </c>
      <c r="Y793" t="s">
        <v>2</v>
      </c>
      <c r="Z793">
        <v>5750</v>
      </c>
      <c r="AA793">
        <v>20</v>
      </c>
      <c r="AB793">
        <v>196</v>
      </c>
      <c r="AC793">
        <v>0</v>
      </c>
      <c r="AD793">
        <v>4683084707</v>
      </c>
      <c r="AE793">
        <v>5541031.9699999997</v>
      </c>
      <c r="AF793">
        <v>4677532630</v>
      </c>
      <c r="AG793">
        <v>4677532630</v>
      </c>
      <c r="AH793">
        <v>2.8E-5</v>
      </c>
      <c r="AI793">
        <v>2.8E-5</v>
      </c>
    </row>
    <row r="794" spans="1:35" x14ac:dyDescent="0.35">
      <c r="A794" t="s">
        <v>2</v>
      </c>
      <c r="B794">
        <v>6250</v>
      </c>
      <c r="C794">
        <v>20</v>
      </c>
      <c r="D794">
        <v>766</v>
      </c>
      <c r="E794">
        <v>0</v>
      </c>
      <c r="F794">
        <v>15691207196</v>
      </c>
      <c r="G794">
        <v>16934126.850000001</v>
      </c>
      <c r="H794">
        <v>15591216178.799999</v>
      </c>
      <c r="I794">
        <v>15660904637.02</v>
      </c>
      <c r="J794">
        <v>6.1702E-2</v>
      </c>
      <c r="K794">
        <v>1.0175999999999999E-2</v>
      </c>
      <c r="M794" t="s">
        <v>0</v>
      </c>
      <c r="N794">
        <v>6500</v>
      </c>
      <c r="O794">
        <v>20</v>
      </c>
      <c r="P794">
        <v>6607</v>
      </c>
      <c r="Q794">
        <v>0</v>
      </c>
      <c r="R794">
        <v>177970442881</v>
      </c>
      <c r="S794">
        <v>183510039.09</v>
      </c>
      <c r="T794">
        <v>174366540611.19</v>
      </c>
      <c r="U794">
        <v>176949673765.42001</v>
      </c>
      <c r="V794">
        <v>0.20774500000000001</v>
      </c>
      <c r="W794">
        <v>5.5016000000000002E-2</v>
      </c>
      <c r="Y794" t="s">
        <v>1</v>
      </c>
      <c r="Z794">
        <v>5750</v>
      </c>
      <c r="AA794">
        <v>20</v>
      </c>
      <c r="AB794">
        <v>5546</v>
      </c>
      <c r="AC794">
        <v>0</v>
      </c>
      <c r="AD794">
        <v>219265949483</v>
      </c>
      <c r="AE794">
        <v>258686091.71000001</v>
      </c>
      <c r="AF794">
        <v>214245401801</v>
      </c>
      <c r="AG794">
        <v>218256920755.10999</v>
      </c>
      <c r="AH794">
        <v>0.231626</v>
      </c>
      <c r="AI794">
        <v>4.0300999999999997E-2</v>
      </c>
    </row>
    <row r="795" spans="1:35" x14ac:dyDescent="0.35">
      <c r="A795" t="s">
        <v>1</v>
      </c>
      <c r="B795">
        <v>6250</v>
      </c>
      <c r="C795">
        <v>20</v>
      </c>
      <c r="D795">
        <v>10150</v>
      </c>
      <c r="E795">
        <v>0</v>
      </c>
      <c r="F795">
        <v>387345471408</v>
      </c>
      <c r="G795">
        <v>418735442.72000003</v>
      </c>
      <c r="H795">
        <v>371662035212.63</v>
      </c>
      <c r="I795">
        <v>385867825306.65002</v>
      </c>
      <c r="J795">
        <v>0.382745</v>
      </c>
      <c r="K795">
        <v>3.2315999999999998E-2</v>
      </c>
      <c r="M795" t="s">
        <v>0</v>
      </c>
      <c r="N795">
        <v>6500</v>
      </c>
      <c r="O795">
        <v>14</v>
      </c>
      <c r="P795">
        <v>10360</v>
      </c>
      <c r="Q795">
        <v>0</v>
      </c>
      <c r="R795">
        <v>291745858501</v>
      </c>
      <c r="S795">
        <v>289060008.97000003</v>
      </c>
      <c r="T795">
        <v>284539072654.53998</v>
      </c>
      <c r="U795">
        <v>290243179282.92999</v>
      </c>
      <c r="V795">
        <v>0.25021300000000002</v>
      </c>
      <c r="W795">
        <v>4.8792000000000002E-2</v>
      </c>
      <c r="Y795" t="s">
        <v>2</v>
      </c>
      <c r="Z795">
        <v>6250</v>
      </c>
      <c r="AA795">
        <v>20</v>
      </c>
      <c r="AB795">
        <v>985</v>
      </c>
      <c r="AC795">
        <v>0</v>
      </c>
      <c r="AD795">
        <v>20021547768</v>
      </c>
      <c r="AE795">
        <v>21605425.239999998</v>
      </c>
      <c r="AF795">
        <v>19956071453</v>
      </c>
      <c r="AG795">
        <v>19997481448.209999</v>
      </c>
      <c r="AH795">
        <v>2.598E-2</v>
      </c>
      <c r="AI795">
        <v>1.474E-3</v>
      </c>
    </row>
    <row r="796" spans="1:35" x14ac:dyDescent="0.35">
      <c r="A796" t="s">
        <v>0</v>
      </c>
      <c r="B796">
        <v>6500</v>
      </c>
      <c r="C796">
        <v>20</v>
      </c>
      <c r="D796">
        <v>10860</v>
      </c>
      <c r="E796">
        <v>0</v>
      </c>
      <c r="F796">
        <v>315195943917</v>
      </c>
      <c r="G796">
        <v>324555940.85000002</v>
      </c>
      <c r="H796">
        <v>307569233540.48999</v>
      </c>
      <c r="I796">
        <v>313349239977.15997</v>
      </c>
      <c r="J796">
        <v>0.24517900000000001</v>
      </c>
      <c r="K796">
        <v>5.6436E-2</v>
      </c>
      <c r="M796" t="s">
        <v>1</v>
      </c>
      <c r="N796">
        <v>6750</v>
      </c>
      <c r="O796">
        <v>14</v>
      </c>
      <c r="P796">
        <v>10118</v>
      </c>
      <c r="Q796">
        <v>0</v>
      </c>
      <c r="R796">
        <v>334617772896</v>
      </c>
      <c r="S796">
        <v>318461658.06</v>
      </c>
      <c r="T796">
        <v>305177525294.85999</v>
      </c>
      <c r="U796">
        <v>333115657464.66998</v>
      </c>
      <c r="V796">
        <v>0.66466599999999998</v>
      </c>
      <c r="W796">
        <v>4.1632000000000002E-2</v>
      </c>
      <c r="Y796" t="s">
        <v>1</v>
      </c>
      <c r="Z796">
        <v>6250</v>
      </c>
      <c r="AA796">
        <v>20</v>
      </c>
      <c r="AB796">
        <v>11755</v>
      </c>
      <c r="AC796">
        <v>0</v>
      </c>
      <c r="AD796">
        <v>439250843273</v>
      </c>
      <c r="AE796">
        <v>474721422.74000001</v>
      </c>
      <c r="AF796">
        <v>421823910394</v>
      </c>
      <c r="AG796">
        <v>437444592624.98999</v>
      </c>
      <c r="AH796">
        <v>0.37643100000000002</v>
      </c>
      <c r="AI796">
        <v>3.5776000000000002E-2</v>
      </c>
    </row>
    <row r="797" spans="1:35" x14ac:dyDescent="0.35">
      <c r="A797" t="s">
        <v>1</v>
      </c>
      <c r="B797">
        <v>6500</v>
      </c>
      <c r="C797">
        <v>24</v>
      </c>
      <c r="D797">
        <v>4056</v>
      </c>
      <c r="E797">
        <v>0</v>
      </c>
      <c r="F797">
        <v>130874658694</v>
      </c>
      <c r="G797">
        <v>137539374.50999999</v>
      </c>
      <c r="H797">
        <v>123821620491.14</v>
      </c>
      <c r="I797">
        <v>130231041713.88</v>
      </c>
      <c r="J797">
        <v>0.478713</v>
      </c>
      <c r="K797">
        <v>4.5428000000000003E-2</v>
      </c>
      <c r="M797" t="s">
        <v>1</v>
      </c>
      <c r="N797">
        <v>6500</v>
      </c>
      <c r="O797">
        <v>14</v>
      </c>
      <c r="P797">
        <v>4116</v>
      </c>
      <c r="Q797">
        <v>0</v>
      </c>
      <c r="R797">
        <v>143580530949</v>
      </c>
      <c r="S797">
        <v>142476530.62</v>
      </c>
      <c r="T797">
        <v>133041727900.06</v>
      </c>
      <c r="U797">
        <v>143094968828</v>
      </c>
      <c r="V797">
        <v>0.59422399999999997</v>
      </c>
      <c r="W797">
        <v>2.8299999999999999E-2</v>
      </c>
      <c r="Y797" t="s">
        <v>1</v>
      </c>
      <c r="Z797">
        <v>6500</v>
      </c>
      <c r="AA797">
        <v>20</v>
      </c>
      <c r="AB797">
        <v>2862</v>
      </c>
      <c r="AC797">
        <v>0</v>
      </c>
      <c r="AD797">
        <v>98105034495</v>
      </c>
      <c r="AE797">
        <v>101026270.89</v>
      </c>
      <c r="AF797">
        <v>93519925301</v>
      </c>
      <c r="AG797">
        <v>97796421454.460007</v>
      </c>
      <c r="AH797">
        <v>0.42959799999999998</v>
      </c>
      <c r="AI797">
        <v>2.5097999999999999E-2</v>
      </c>
    </row>
    <row r="798" spans="1:35" x14ac:dyDescent="0.35">
      <c r="A798" t="s">
        <v>2</v>
      </c>
      <c r="B798">
        <v>6500</v>
      </c>
      <c r="C798">
        <v>20</v>
      </c>
      <c r="D798">
        <v>802</v>
      </c>
      <c r="E798">
        <v>0</v>
      </c>
      <c r="F798">
        <v>15475794975</v>
      </c>
      <c r="G798">
        <v>15967217.300000001</v>
      </c>
      <c r="H798">
        <v>15364977676.93</v>
      </c>
      <c r="I798">
        <v>15449616597.17</v>
      </c>
      <c r="J798">
        <v>7.1118000000000001E-2</v>
      </c>
      <c r="K798">
        <v>7.8890000000000002E-3</v>
      </c>
      <c r="M798" t="s">
        <v>2</v>
      </c>
      <c r="N798">
        <v>6500</v>
      </c>
      <c r="O798">
        <v>14</v>
      </c>
      <c r="P798">
        <v>880</v>
      </c>
      <c r="Q798">
        <v>0</v>
      </c>
      <c r="R798">
        <v>16951852089</v>
      </c>
      <c r="S798">
        <v>16837304.859999999</v>
      </c>
      <c r="T798">
        <v>16839242596.01</v>
      </c>
      <c r="U798">
        <v>16918772928.15</v>
      </c>
      <c r="V798">
        <v>6.5727999999999995E-2</v>
      </c>
      <c r="W798">
        <v>1.1436999999999999E-2</v>
      </c>
      <c r="Y798" t="s">
        <v>1</v>
      </c>
      <c r="Z798">
        <v>7000</v>
      </c>
      <c r="AA798">
        <v>20</v>
      </c>
      <c r="AB798">
        <v>1205</v>
      </c>
      <c r="AC798">
        <v>0</v>
      </c>
      <c r="AD798">
        <v>34529567958</v>
      </c>
      <c r="AE798">
        <v>32708005.379999999</v>
      </c>
      <c r="AF798">
        <v>32840859330</v>
      </c>
      <c r="AG798">
        <v>34040601102.349998</v>
      </c>
      <c r="AH798">
        <v>0.44554199999999999</v>
      </c>
      <c r="AI798">
        <v>0.147532</v>
      </c>
    </row>
    <row r="799" spans="1:35" x14ac:dyDescent="0.35">
      <c r="A799" t="s">
        <v>0</v>
      </c>
      <c r="B799">
        <v>7250</v>
      </c>
      <c r="C799">
        <v>20</v>
      </c>
      <c r="D799">
        <v>13930</v>
      </c>
      <c r="E799">
        <v>0</v>
      </c>
      <c r="F799">
        <v>373523281563</v>
      </c>
      <c r="G799">
        <v>336681931.56</v>
      </c>
      <c r="H799">
        <v>362763375487.67999</v>
      </c>
      <c r="I799">
        <v>370260086195.48999</v>
      </c>
      <c r="J799">
        <v>0.28796100000000002</v>
      </c>
      <c r="K799">
        <v>9.0070999999999998E-2</v>
      </c>
      <c r="M799" t="s">
        <v>0</v>
      </c>
      <c r="N799">
        <v>7000</v>
      </c>
      <c r="O799">
        <v>14</v>
      </c>
      <c r="P799">
        <v>8716</v>
      </c>
      <c r="Q799">
        <v>0</v>
      </c>
      <c r="R799">
        <v>226420508797</v>
      </c>
      <c r="S799">
        <v>205133791.47</v>
      </c>
      <c r="T799">
        <v>219303676530.03</v>
      </c>
      <c r="U799">
        <v>224884804030.35001</v>
      </c>
      <c r="V799">
        <v>0.31065900000000002</v>
      </c>
      <c r="W799">
        <v>6.8282999999999996E-2</v>
      </c>
      <c r="Y799" t="s">
        <v>0</v>
      </c>
      <c r="Z799">
        <v>7500</v>
      </c>
      <c r="AA799">
        <v>20</v>
      </c>
      <c r="AB799">
        <v>1921</v>
      </c>
      <c r="AC799">
        <v>0</v>
      </c>
      <c r="AD799">
        <v>50273186913</v>
      </c>
      <c r="AE799">
        <v>43261922.329999998</v>
      </c>
      <c r="AF799">
        <v>49341267009</v>
      </c>
      <c r="AG799">
        <v>49797132714.790001</v>
      </c>
      <c r="AH799">
        <v>0.192665</v>
      </c>
      <c r="AI799">
        <v>9.8552000000000001E-2</v>
      </c>
    </row>
    <row r="800" spans="1:35" x14ac:dyDescent="0.35">
      <c r="A800" t="s">
        <v>2</v>
      </c>
      <c r="B800">
        <v>6000</v>
      </c>
      <c r="C800">
        <v>20</v>
      </c>
      <c r="D800">
        <v>266</v>
      </c>
      <c r="E800">
        <v>0</v>
      </c>
      <c r="F800">
        <v>5594275801</v>
      </c>
      <c r="G800">
        <v>6309680.4400000004</v>
      </c>
      <c r="H800">
        <v>5559887757.71</v>
      </c>
      <c r="I800">
        <v>5580924555.9899998</v>
      </c>
      <c r="J800">
        <v>5.8594E-2</v>
      </c>
      <c r="K800">
        <v>1.4999999999999999E-2</v>
      </c>
      <c r="M800" t="s">
        <v>0</v>
      </c>
      <c r="N800">
        <v>7750</v>
      </c>
      <c r="O800">
        <v>20</v>
      </c>
      <c r="P800">
        <v>2555</v>
      </c>
      <c r="Q800">
        <v>0</v>
      </c>
      <c r="R800">
        <v>60708258980</v>
      </c>
      <c r="S800">
        <v>49885218.25</v>
      </c>
      <c r="T800">
        <v>58856882742.080002</v>
      </c>
      <c r="U800">
        <v>60119686537.360001</v>
      </c>
      <c r="V800">
        <v>0.30335899999999999</v>
      </c>
      <c r="W800">
        <v>0.101435</v>
      </c>
      <c r="Y800" t="s">
        <v>0</v>
      </c>
      <c r="Z800">
        <v>7250</v>
      </c>
      <c r="AA800">
        <v>18</v>
      </c>
      <c r="AB800">
        <v>15436</v>
      </c>
      <c r="AC800">
        <v>0</v>
      </c>
      <c r="AD800">
        <v>418402203517</v>
      </c>
      <c r="AE800">
        <v>372001692.69999999</v>
      </c>
      <c r="AF800">
        <v>408512312742</v>
      </c>
      <c r="AG800">
        <v>416577015662.70001</v>
      </c>
      <c r="AH800">
        <v>0.241286</v>
      </c>
      <c r="AI800">
        <v>4.0890999999999997E-2</v>
      </c>
    </row>
    <row r="801" spans="1:35" x14ac:dyDescent="0.35">
      <c r="A801" t="s">
        <v>1</v>
      </c>
      <c r="B801">
        <v>6500</v>
      </c>
      <c r="C801">
        <v>20</v>
      </c>
      <c r="D801">
        <v>4179</v>
      </c>
      <c r="E801">
        <v>0</v>
      </c>
      <c r="F801">
        <v>149526969608</v>
      </c>
      <c r="G801">
        <v>154199896.47</v>
      </c>
      <c r="H801">
        <v>141312765788.38</v>
      </c>
      <c r="I801">
        <v>148973127838.10001</v>
      </c>
      <c r="J801">
        <v>0.48568899999999998</v>
      </c>
      <c r="K801">
        <v>3.1605000000000001E-2</v>
      </c>
      <c r="M801" t="s">
        <v>0</v>
      </c>
      <c r="N801">
        <v>5500</v>
      </c>
      <c r="O801">
        <v>20</v>
      </c>
      <c r="P801">
        <v>3545</v>
      </c>
      <c r="Q801">
        <v>0</v>
      </c>
      <c r="R801">
        <v>119499036133</v>
      </c>
      <c r="S801">
        <v>147212019.83000001</v>
      </c>
      <c r="T801">
        <v>118658684900.5</v>
      </c>
      <c r="U801">
        <v>119162688151.02</v>
      </c>
      <c r="V801">
        <v>6.7426E-2</v>
      </c>
      <c r="W801">
        <v>1.8828000000000001E-2</v>
      </c>
      <c r="Y801" t="s">
        <v>1</v>
      </c>
      <c r="Z801">
        <v>5750</v>
      </c>
      <c r="AA801">
        <v>18</v>
      </c>
      <c r="AB801">
        <v>3147</v>
      </c>
      <c r="AC801">
        <v>0</v>
      </c>
      <c r="AD801">
        <v>125618916916</v>
      </c>
      <c r="AE801">
        <v>146359086.34</v>
      </c>
      <c r="AF801">
        <v>122981046881</v>
      </c>
      <c r="AG801">
        <v>125061853679.35001</v>
      </c>
      <c r="AH801">
        <v>0.21368599999999999</v>
      </c>
      <c r="AI801">
        <v>3.8535E-2</v>
      </c>
    </row>
    <row r="802" spans="1:35" x14ac:dyDescent="0.35">
      <c r="A802" t="s">
        <v>0</v>
      </c>
      <c r="B802">
        <v>7250</v>
      </c>
      <c r="C802">
        <v>18</v>
      </c>
      <c r="D802">
        <v>13531</v>
      </c>
      <c r="E802">
        <v>0</v>
      </c>
      <c r="F802">
        <v>361233099258</v>
      </c>
      <c r="G802">
        <v>321081129.93000001</v>
      </c>
      <c r="H802">
        <v>350751879204.41998</v>
      </c>
      <c r="I802">
        <v>357913315711.64001</v>
      </c>
      <c r="J802">
        <v>0.28990199999999999</v>
      </c>
      <c r="K802">
        <v>9.5190999999999998E-2</v>
      </c>
      <c r="M802" t="s">
        <v>1</v>
      </c>
      <c r="N802">
        <v>5500</v>
      </c>
      <c r="O802">
        <v>20</v>
      </c>
      <c r="P802">
        <v>2921</v>
      </c>
      <c r="Q802">
        <v>0</v>
      </c>
      <c r="R802">
        <v>116467298433</v>
      </c>
      <c r="S802">
        <v>143322697.96000001</v>
      </c>
      <c r="T802">
        <v>114954794409.60001</v>
      </c>
      <c r="U802">
        <v>116118932600.82001</v>
      </c>
      <c r="V802">
        <v>0.132298</v>
      </c>
      <c r="W802">
        <v>2.0923000000000001E-2</v>
      </c>
      <c r="Y802" t="s">
        <v>0</v>
      </c>
      <c r="Z802">
        <v>5750</v>
      </c>
      <c r="AA802">
        <v>18</v>
      </c>
      <c r="AB802">
        <v>4482</v>
      </c>
      <c r="AC802">
        <v>0</v>
      </c>
      <c r="AD802">
        <v>150276696219</v>
      </c>
      <c r="AE802">
        <v>175181439.69</v>
      </c>
      <c r="AF802">
        <v>149534597338</v>
      </c>
      <c r="AG802">
        <v>149982239245.70999</v>
      </c>
      <c r="AH802">
        <v>4.4341999999999999E-2</v>
      </c>
      <c r="AI802">
        <v>9.4830000000000001E-3</v>
      </c>
    </row>
    <row r="803" spans="1:35" x14ac:dyDescent="0.35">
      <c r="A803" t="s">
        <v>0</v>
      </c>
      <c r="B803">
        <v>7500</v>
      </c>
      <c r="C803">
        <v>18</v>
      </c>
      <c r="D803">
        <v>2329</v>
      </c>
      <c r="E803">
        <v>0</v>
      </c>
      <c r="F803">
        <v>59745212373</v>
      </c>
      <c r="G803">
        <v>50767311.780000001</v>
      </c>
      <c r="H803">
        <v>58431939791.730003</v>
      </c>
      <c r="I803">
        <v>59330950158.199997</v>
      </c>
      <c r="J803">
        <v>0.22608700000000001</v>
      </c>
      <c r="K803">
        <v>7.0614999999999997E-2</v>
      </c>
      <c r="M803" t="s">
        <v>0</v>
      </c>
      <c r="N803">
        <v>5750</v>
      </c>
      <c r="O803">
        <v>20</v>
      </c>
      <c r="P803">
        <v>9609</v>
      </c>
      <c r="Q803">
        <v>0</v>
      </c>
      <c r="R803">
        <v>329328715692</v>
      </c>
      <c r="S803">
        <v>388424311.11000001</v>
      </c>
      <c r="T803">
        <v>326771259311.78998</v>
      </c>
      <c r="U803">
        <v>328392391574.20001</v>
      </c>
      <c r="V803">
        <v>7.6233999999999996E-2</v>
      </c>
      <c r="W803">
        <v>1.9782999999999999E-2</v>
      </c>
      <c r="Y803" t="s">
        <v>2</v>
      </c>
      <c r="Z803">
        <v>5750</v>
      </c>
      <c r="AA803">
        <v>18</v>
      </c>
      <c r="AB803">
        <v>138</v>
      </c>
      <c r="AC803">
        <v>0</v>
      </c>
      <c r="AD803">
        <v>2958553281</v>
      </c>
      <c r="AE803">
        <v>3449766.08</v>
      </c>
      <c r="AF803">
        <v>2954872912</v>
      </c>
      <c r="AG803">
        <v>2954872912</v>
      </c>
      <c r="AH803">
        <v>9.3499999999999996E-4</v>
      </c>
      <c r="AI803">
        <v>9.3499999999999996E-4</v>
      </c>
    </row>
    <row r="804" spans="1:35" x14ac:dyDescent="0.35">
      <c r="A804" t="s">
        <v>1</v>
      </c>
      <c r="B804">
        <v>5750</v>
      </c>
      <c r="C804">
        <v>18</v>
      </c>
      <c r="D804">
        <v>4557</v>
      </c>
      <c r="E804">
        <v>0</v>
      </c>
      <c r="F804">
        <v>185396500097</v>
      </c>
      <c r="G804">
        <v>215760199.19</v>
      </c>
      <c r="H804">
        <v>178873422061.53</v>
      </c>
      <c r="I804">
        <v>184729571733.56</v>
      </c>
      <c r="J804">
        <v>0.33989399999999997</v>
      </c>
      <c r="K804">
        <v>2.8815E-2</v>
      </c>
      <c r="M804" t="s">
        <v>1</v>
      </c>
      <c r="N804">
        <v>5750</v>
      </c>
      <c r="O804">
        <v>20</v>
      </c>
      <c r="P804">
        <v>7554</v>
      </c>
      <c r="Q804">
        <v>0</v>
      </c>
      <c r="R804">
        <v>297099135007</v>
      </c>
      <c r="S804">
        <v>350367407.66000003</v>
      </c>
      <c r="T804">
        <v>290770969069.46002</v>
      </c>
      <c r="U804">
        <v>296032394362.72998</v>
      </c>
      <c r="V804">
        <v>0.21644099999999999</v>
      </c>
      <c r="W804">
        <v>2.8554E-2</v>
      </c>
      <c r="Y804" t="s">
        <v>0</v>
      </c>
      <c r="Z804">
        <v>6000</v>
      </c>
      <c r="AA804">
        <v>18</v>
      </c>
      <c r="AB804">
        <v>8234</v>
      </c>
      <c r="AC804">
        <v>0</v>
      </c>
      <c r="AD804">
        <v>268683625315</v>
      </c>
      <c r="AE804">
        <v>299597743.23000002</v>
      </c>
      <c r="AF804">
        <v>266954323283</v>
      </c>
      <c r="AG804">
        <v>268058738944.20001</v>
      </c>
      <c r="AH804">
        <v>6.2017999999999997E-2</v>
      </c>
      <c r="AI804">
        <v>1.4432E-2</v>
      </c>
    </row>
    <row r="805" spans="1:35" x14ac:dyDescent="0.35">
      <c r="A805" t="s">
        <v>0</v>
      </c>
      <c r="B805">
        <v>5750</v>
      </c>
      <c r="C805">
        <v>18</v>
      </c>
      <c r="D805">
        <v>5361</v>
      </c>
      <c r="E805">
        <v>0</v>
      </c>
      <c r="F805">
        <v>184471891483</v>
      </c>
      <c r="G805">
        <v>215032745.78999999</v>
      </c>
      <c r="H805">
        <v>182916077796.48001</v>
      </c>
      <c r="I805">
        <v>183897753597.16</v>
      </c>
      <c r="J805">
        <v>8.3815000000000001E-2</v>
      </c>
      <c r="K805">
        <v>2.3111E-2</v>
      </c>
      <c r="M805" t="s">
        <v>2</v>
      </c>
      <c r="N805">
        <v>5750</v>
      </c>
      <c r="O805">
        <v>20</v>
      </c>
      <c r="P805">
        <v>226</v>
      </c>
      <c r="Q805">
        <v>0</v>
      </c>
      <c r="R805">
        <v>5231380566</v>
      </c>
      <c r="S805">
        <v>6174831.5</v>
      </c>
      <c r="T805">
        <v>5207186703.0200005</v>
      </c>
      <c r="U805">
        <v>5223049850.3299999</v>
      </c>
      <c r="V805">
        <v>4.0558999999999998E-2</v>
      </c>
      <c r="W805">
        <v>4.934E-3</v>
      </c>
      <c r="Y805" t="s">
        <v>1</v>
      </c>
      <c r="Z805">
        <v>6000</v>
      </c>
      <c r="AA805">
        <v>18</v>
      </c>
      <c r="AB805">
        <v>4790</v>
      </c>
      <c r="AC805">
        <v>0</v>
      </c>
      <c r="AD805">
        <v>187523032776</v>
      </c>
      <c r="AE805">
        <v>209057541.03</v>
      </c>
      <c r="AF805">
        <v>181610698874</v>
      </c>
      <c r="AG805">
        <v>186770591495.84</v>
      </c>
      <c r="AH805">
        <v>0.309701</v>
      </c>
      <c r="AI805">
        <v>3.4223000000000003E-2</v>
      </c>
    </row>
    <row r="806" spans="1:35" x14ac:dyDescent="0.35">
      <c r="A806" t="s">
        <v>0</v>
      </c>
      <c r="B806">
        <v>6000</v>
      </c>
      <c r="C806">
        <v>18</v>
      </c>
      <c r="D806">
        <v>8933</v>
      </c>
      <c r="E806">
        <v>0</v>
      </c>
      <c r="F806">
        <v>293890527288</v>
      </c>
      <c r="G806">
        <v>327576593.68000001</v>
      </c>
      <c r="H806">
        <v>290146787178.21997</v>
      </c>
      <c r="I806">
        <v>292883354872.85999</v>
      </c>
      <c r="J806">
        <v>0.13090599999999999</v>
      </c>
      <c r="K806">
        <v>2.7399E-2</v>
      </c>
      <c r="M806" t="s">
        <v>0</v>
      </c>
      <c r="N806">
        <v>6000</v>
      </c>
      <c r="O806">
        <v>20</v>
      </c>
      <c r="P806">
        <v>9656</v>
      </c>
      <c r="Q806">
        <v>0</v>
      </c>
      <c r="R806">
        <v>299073080983</v>
      </c>
      <c r="S806">
        <v>337007383.17000002</v>
      </c>
      <c r="T806">
        <v>295477733407.96997</v>
      </c>
      <c r="U806">
        <v>297823134288.46002</v>
      </c>
      <c r="V806">
        <v>0.123181</v>
      </c>
      <c r="W806">
        <v>3.6021999999999998E-2</v>
      </c>
      <c r="Y806" t="s">
        <v>2</v>
      </c>
      <c r="Z806">
        <v>6000</v>
      </c>
      <c r="AA806">
        <v>18</v>
      </c>
      <c r="AB806">
        <v>235</v>
      </c>
      <c r="AC806">
        <v>0</v>
      </c>
      <c r="AD806">
        <v>5188367386</v>
      </c>
      <c r="AE806">
        <v>5788345.6299999999</v>
      </c>
      <c r="AF806">
        <v>5182353936</v>
      </c>
      <c r="AG806">
        <v>5182353936</v>
      </c>
      <c r="AH806">
        <v>5.2099999999999998E-4</v>
      </c>
      <c r="AI806">
        <v>5.2099999999999998E-4</v>
      </c>
    </row>
    <row r="807" spans="1:35" x14ac:dyDescent="0.35">
      <c r="A807" t="s">
        <v>2</v>
      </c>
      <c r="B807">
        <v>6000</v>
      </c>
      <c r="C807">
        <v>18</v>
      </c>
      <c r="D807">
        <v>276</v>
      </c>
      <c r="E807">
        <v>0</v>
      </c>
      <c r="F807">
        <v>6099715125</v>
      </c>
      <c r="G807">
        <v>6798215.2199999997</v>
      </c>
      <c r="H807">
        <v>6067120698.5</v>
      </c>
      <c r="I807">
        <v>6088850892.3699999</v>
      </c>
      <c r="J807">
        <v>4.9584999999999997E-2</v>
      </c>
      <c r="K807">
        <v>7.9699999999999997E-3</v>
      </c>
      <c r="M807" t="s">
        <v>2</v>
      </c>
      <c r="N807">
        <v>6000</v>
      </c>
      <c r="O807">
        <v>20</v>
      </c>
      <c r="P807">
        <v>321</v>
      </c>
      <c r="Q807">
        <v>0</v>
      </c>
      <c r="R807">
        <v>6742354919</v>
      </c>
      <c r="S807">
        <v>7595960.7199999997</v>
      </c>
      <c r="T807">
        <v>6707171787.8900003</v>
      </c>
      <c r="U807">
        <v>6729664262.0799999</v>
      </c>
      <c r="V807">
        <v>4.8009000000000003E-2</v>
      </c>
      <c r="W807">
        <v>9.0299999999999998E-3</v>
      </c>
      <c r="Y807" t="s">
        <v>0</v>
      </c>
      <c r="Z807">
        <v>6250</v>
      </c>
      <c r="AA807">
        <v>18</v>
      </c>
      <c r="AB807">
        <v>15487</v>
      </c>
      <c r="AC807">
        <v>0</v>
      </c>
      <c r="AD807">
        <v>516327145395</v>
      </c>
      <c r="AE807">
        <v>550208940.63999999</v>
      </c>
      <c r="AF807">
        <v>507948199457</v>
      </c>
      <c r="AG807">
        <v>515514109941.21997</v>
      </c>
      <c r="AH807">
        <v>0.167516</v>
      </c>
      <c r="AI807">
        <v>6.0910000000000001E-3</v>
      </c>
    </row>
    <row r="808" spans="1:35" x14ac:dyDescent="0.35">
      <c r="A808" t="s">
        <v>1</v>
      </c>
      <c r="B808">
        <v>8000</v>
      </c>
      <c r="C808">
        <v>24</v>
      </c>
      <c r="D808">
        <v>175</v>
      </c>
      <c r="E808">
        <v>0</v>
      </c>
      <c r="F808">
        <v>3841192471</v>
      </c>
      <c r="G808">
        <v>3090030.8</v>
      </c>
      <c r="H808">
        <v>3629524577.5999999</v>
      </c>
      <c r="I808">
        <v>3763942317.7199998</v>
      </c>
      <c r="J808">
        <v>0.48827199999999998</v>
      </c>
      <c r="K808">
        <v>0.208594</v>
      </c>
      <c r="M808" t="s">
        <v>1</v>
      </c>
      <c r="N808">
        <v>6250</v>
      </c>
      <c r="O808">
        <v>20</v>
      </c>
      <c r="P808">
        <v>10970</v>
      </c>
      <c r="Q808">
        <v>0</v>
      </c>
      <c r="R808">
        <v>379906474688</v>
      </c>
      <c r="S808">
        <v>410168979.68000001</v>
      </c>
      <c r="T808">
        <v>362901974342.01001</v>
      </c>
      <c r="U808">
        <v>378534940036.48999</v>
      </c>
      <c r="V808">
        <v>0.41488900000000001</v>
      </c>
      <c r="W808">
        <v>2.9947000000000001E-2</v>
      </c>
      <c r="Y808" t="s">
        <v>2</v>
      </c>
      <c r="Z808">
        <v>6250</v>
      </c>
      <c r="AA808">
        <v>18</v>
      </c>
      <c r="AB808">
        <v>542</v>
      </c>
      <c r="AC808">
        <v>0</v>
      </c>
      <c r="AD808">
        <v>11578843694</v>
      </c>
      <c r="AE808">
        <v>12340738.57</v>
      </c>
      <c r="AF808">
        <v>11566180867</v>
      </c>
      <c r="AG808">
        <v>11566180867</v>
      </c>
      <c r="AH808">
        <v>3.3399999999999999E-4</v>
      </c>
      <c r="AI808">
        <v>3.3399999999999999E-4</v>
      </c>
    </row>
    <row r="809" spans="1:35" x14ac:dyDescent="0.35">
      <c r="A809" t="s">
        <v>2</v>
      </c>
      <c r="B809">
        <v>7000</v>
      </c>
      <c r="C809">
        <v>20</v>
      </c>
      <c r="D809">
        <v>557</v>
      </c>
      <c r="E809">
        <v>0</v>
      </c>
      <c r="F809">
        <v>9659448439</v>
      </c>
      <c r="G809">
        <v>9126052.7799999993</v>
      </c>
      <c r="H809">
        <v>9541187823.3799992</v>
      </c>
      <c r="I809">
        <v>9627720833.5699997</v>
      </c>
      <c r="J809">
        <v>0.12746299999999999</v>
      </c>
      <c r="K809">
        <v>2.7720000000000002E-2</v>
      </c>
      <c r="M809" t="s">
        <v>0</v>
      </c>
      <c r="N809">
        <v>5250</v>
      </c>
      <c r="O809">
        <v>20</v>
      </c>
      <c r="P809">
        <v>1905</v>
      </c>
      <c r="Q809">
        <v>0</v>
      </c>
      <c r="R809">
        <v>65912552867</v>
      </c>
      <c r="S809">
        <v>84813713.010000005</v>
      </c>
      <c r="T809">
        <v>65527147990.900002</v>
      </c>
      <c r="U809">
        <v>65745376135.550003</v>
      </c>
      <c r="V809">
        <v>5.3372999999999997E-2</v>
      </c>
      <c r="W809">
        <v>1.4892000000000001E-2</v>
      </c>
      <c r="Y809" t="s">
        <v>0</v>
      </c>
      <c r="Z809">
        <v>6500</v>
      </c>
      <c r="AA809">
        <v>18</v>
      </c>
      <c r="AB809">
        <v>11858</v>
      </c>
      <c r="AC809">
        <v>0</v>
      </c>
      <c r="AD809">
        <v>357388339405</v>
      </c>
      <c r="AE809">
        <v>363725981.27999997</v>
      </c>
      <c r="AF809">
        <v>349362141686</v>
      </c>
      <c r="AG809">
        <v>356323419825.67999</v>
      </c>
      <c r="AH809">
        <v>0.22900999999999999</v>
      </c>
      <c r="AI809">
        <v>2.3292E-2</v>
      </c>
    </row>
    <row r="810" spans="1:35" x14ac:dyDescent="0.35">
      <c r="A810" t="s">
        <v>1</v>
      </c>
      <c r="B810">
        <v>7500</v>
      </c>
      <c r="C810">
        <v>20</v>
      </c>
      <c r="D810">
        <v>300</v>
      </c>
      <c r="E810">
        <v>0</v>
      </c>
      <c r="F810">
        <v>7670581758</v>
      </c>
      <c r="G810">
        <v>6765245.1900000004</v>
      </c>
      <c r="H810">
        <v>7184688380.4899998</v>
      </c>
      <c r="I810">
        <v>7458524961.04</v>
      </c>
      <c r="J810">
        <v>0.53883099999999995</v>
      </c>
      <c r="K810">
        <v>0.27786100000000002</v>
      </c>
      <c r="M810" t="s">
        <v>1</v>
      </c>
      <c r="N810">
        <v>5250</v>
      </c>
      <c r="O810">
        <v>20</v>
      </c>
      <c r="P810">
        <v>1291</v>
      </c>
      <c r="Q810">
        <v>0</v>
      </c>
      <c r="R810">
        <v>51287932994</v>
      </c>
      <c r="S810">
        <v>65926587</v>
      </c>
      <c r="T810">
        <v>50672009778.629997</v>
      </c>
      <c r="U810">
        <v>51105898103.510002</v>
      </c>
      <c r="V810">
        <v>0.12135899999999999</v>
      </c>
      <c r="W810">
        <v>2.6831000000000001E-2</v>
      </c>
      <c r="Y810" t="s">
        <v>2</v>
      </c>
      <c r="Z810">
        <v>6500</v>
      </c>
      <c r="AA810">
        <v>18</v>
      </c>
      <c r="AB810">
        <v>750</v>
      </c>
      <c r="AC810">
        <v>0</v>
      </c>
      <c r="AD810">
        <v>14631922881</v>
      </c>
      <c r="AE810">
        <v>14887555.539999999</v>
      </c>
      <c r="AF810">
        <v>14516372668</v>
      </c>
      <c r="AG810">
        <v>14615643555.9</v>
      </c>
      <c r="AH810">
        <v>7.9503000000000004E-2</v>
      </c>
      <c r="AI810">
        <v>1.1410000000000001E-3</v>
      </c>
    </row>
    <row r="811" spans="1:35" x14ac:dyDescent="0.35">
      <c r="A811" t="s">
        <v>2</v>
      </c>
      <c r="B811">
        <v>7500</v>
      </c>
      <c r="C811">
        <v>20</v>
      </c>
      <c r="D811">
        <v>109</v>
      </c>
      <c r="E811">
        <v>0</v>
      </c>
      <c r="F811">
        <v>1571240410</v>
      </c>
      <c r="G811">
        <v>1348226.01</v>
      </c>
      <c r="H811">
        <v>1537639783.1400001</v>
      </c>
      <c r="I811">
        <v>1552520465.04</v>
      </c>
      <c r="J811">
        <v>0.220329</v>
      </c>
      <c r="K811">
        <v>0.12489500000000001</v>
      </c>
      <c r="M811" t="s">
        <v>2</v>
      </c>
      <c r="N811">
        <v>6500</v>
      </c>
      <c r="O811">
        <v>20</v>
      </c>
      <c r="P811">
        <v>449</v>
      </c>
      <c r="Q811">
        <v>0</v>
      </c>
      <c r="R811">
        <v>7836840360</v>
      </c>
      <c r="S811">
        <v>8067208.4900000002</v>
      </c>
      <c r="T811">
        <v>7774897672.3100004</v>
      </c>
      <c r="U811">
        <v>7813770532.9099998</v>
      </c>
      <c r="V811">
        <v>7.9447000000000004E-2</v>
      </c>
      <c r="W811">
        <v>2.2731999999999999E-2</v>
      </c>
      <c r="Y811" t="s">
        <v>1</v>
      </c>
      <c r="Z811">
        <v>8000</v>
      </c>
      <c r="AA811">
        <v>24</v>
      </c>
      <c r="AB811">
        <v>293</v>
      </c>
      <c r="AC811">
        <v>0</v>
      </c>
      <c r="AD811">
        <v>6720891947</v>
      </c>
      <c r="AE811">
        <v>5426430.9299999997</v>
      </c>
      <c r="AF811">
        <v>6478452049</v>
      </c>
      <c r="AG811">
        <v>6610706757.7700005</v>
      </c>
      <c r="AH811">
        <v>0.35002699999999998</v>
      </c>
      <c r="AI811">
        <v>0.17181399999999999</v>
      </c>
    </row>
    <row r="812" spans="1:35" x14ac:dyDescent="0.35">
      <c r="A812" t="s">
        <v>1</v>
      </c>
      <c r="B812">
        <v>6500</v>
      </c>
      <c r="C812">
        <v>16</v>
      </c>
      <c r="D812">
        <v>2195</v>
      </c>
      <c r="E812">
        <v>0</v>
      </c>
      <c r="F812">
        <v>70512735644</v>
      </c>
      <c r="G812">
        <v>71050597.810000002</v>
      </c>
      <c r="H812">
        <v>65574034117.239998</v>
      </c>
      <c r="I812">
        <v>70104544759.619995</v>
      </c>
      <c r="J812">
        <v>0.57614600000000005</v>
      </c>
      <c r="K812">
        <v>5.5890000000000002E-2</v>
      </c>
      <c r="M812" t="s">
        <v>0</v>
      </c>
      <c r="N812">
        <v>6000</v>
      </c>
      <c r="O812">
        <v>18</v>
      </c>
      <c r="P812">
        <v>10362</v>
      </c>
      <c r="Q812">
        <v>0</v>
      </c>
      <c r="R812">
        <v>317620027495</v>
      </c>
      <c r="S812">
        <v>353989359.80000001</v>
      </c>
      <c r="T812">
        <v>313881989266.40997</v>
      </c>
      <c r="U812">
        <v>316406285406.15002</v>
      </c>
      <c r="V812">
        <v>0.12062</v>
      </c>
      <c r="W812">
        <v>3.2002999999999997E-2</v>
      </c>
      <c r="Y812" t="s">
        <v>2</v>
      </c>
      <c r="Z812">
        <v>7000</v>
      </c>
      <c r="AA812">
        <v>20</v>
      </c>
      <c r="AB812">
        <v>368</v>
      </c>
      <c r="AC812">
        <v>0</v>
      </c>
      <c r="AD812">
        <v>6060646055</v>
      </c>
      <c r="AE812">
        <v>5721626.2599999998</v>
      </c>
      <c r="AF812">
        <v>5933994384</v>
      </c>
      <c r="AG812">
        <v>6029380344.1000004</v>
      </c>
      <c r="AH812">
        <v>0.214835</v>
      </c>
      <c r="AI812">
        <v>4.9421E-2</v>
      </c>
    </row>
    <row r="813" spans="1:35" x14ac:dyDescent="0.35">
      <c r="A813" t="s">
        <v>2</v>
      </c>
      <c r="B813">
        <v>6500</v>
      </c>
      <c r="C813">
        <v>16</v>
      </c>
      <c r="D813">
        <v>776</v>
      </c>
      <c r="E813">
        <v>0</v>
      </c>
      <c r="F813">
        <v>14352607364</v>
      </c>
      <c r="G813">
        <v>14453442.630000001</v>
      </c>
      <c r="H813">
        <v>14250911816.360001</v>
      </c>
      <c r="I813">
        <v>14322776039.610001</v>
      </c>
      <c r="J813">
        <v>7.0552000000000004E-2</v>
      </c>
      <c r="K813">
        <v>1.2782E-2</v>
      </c>
      <c r="M813" t="s">
        <v>0</v>
      </c>
      <c r="N813">
        <v>6250</v>
      </c>
      <c r="O813">
        <v>18</v>
      </c>
      <c r="P813">
        <v>21368</v>
      </c>
      <c r="Q813">
        <v>0</v>
      </c>
      <c r="R813">
        <v>692891281965</v>
      </c>
      <c r="S813">
        <v>738822610.46000004</v>
      </c>
      <c r="T813">
        <v>683146976760.77002</v>
      </c>
      <c r="U813">
        <v>690370822552.14001</v>
      </c>
      <c r="V813">
        <v>0.145284</v>
      </c>
      <c r="W813">
        <v>3.0422999999999999E-2</v>
      </c>
      <c r="Y813" t="s">
        <v>1</v>
      </c>
      <c r="Z813">
        <v>7500</v>
      </c>
      <c r="AA813">
        <v>20</v>
      </c>
      <c r="AB813">
        <v>364</v>
      </c>
      <c r="AC813">
        <v>0</v>
      </c>
      <c r="AD813">
        <v>9369845778</v>
      </c>
      <c r="AE813">
        <v>8274142.5</v>
      </c>
      <c r="AF813">
        <v>8814921265</v>
      </c>
      <c r="AG813">
        <v>9110691637.2199993</v>
      </c>
      <c r="AH813">
        <v>0.51390499999999995</v>
      </c>
      <c r="AI813">
        <v>0.27796599999999999</v>
      </c>
    </row>
    <row r="814" spans="1:35" x14ac:dyDescent="0.35">
      <c r="A814" t="s">
        <v>0</v>
      </c>
      <c r="B814">
        <v>7000</v>
      </c>
      <c r="C814">
        <v>16</v>
      </c>
      <c r="D814">
        <v>5645</v>
      </c>
      <c r="E814">
        <v>0</v>
      </c>
      <c r="F814">
        <v>144696290046</v>
      </c>
      <c r="G814">
        <v>133083257.23</v>
      </c>
      <c r="H814">
        <v>140628175042.09</v>
      </c>
      <c r="I814">
        <v>143541872174.89999</v>
      </c>
      <c r="J814">
        <v>0.28169499999999997</v>
      </c>
      <c r="K814">
        <v>8.1490000000000007E-2</v>
      </c>
      <c r="M814" t="s">
        <v>1</v>
      </c>
      <c r="N814">
        <v>5250</v>
      </c>
      <c r="O814">
        <v>18</v>
      </c>
      <c r="P814">
        <v>1209</v>
      </c>
      <c r="Q814">
        <v>0</v>
      </c>
      <c r="R814">
        <v>47795837040</v>
      </c>
      <c r="S814">
        <v>60744708.090000004</v>
      </c>
      <c r="T814">
        <v>47312064094.080002</v>
      </c>
      <c r="U814">
        <v>47641745388.900002</v>
      </c>
      <c r="V814">
        <v>0.101188</v>
      </c>
      <c r="W814">
        <v>2.3185999999999998E-2</v>
      </c>
      <c r="Y814" t="s">
        <v>2</v>
      </c>
      <c r="Z814">
        <v>7500</v>
      </c>
      <c r="AA814">
        <v>20</v>
      </c>
      <c r="AB814">
        <v>110</v>
      </c>
      <c r="AC814">
        <v>0</v>
      </c>
      <c r="AD814">
        <v>1435527134</v>
      </c>
      <c r="AE814">
        <v>1232518.3999999999</v>
      </c>
      <c r="AF814">
        <v>1418649108</v>
      </c>
      <c r="AG814">
        <v>1418649108</v>
      </c>
      <c r="AH814">
        <v>0.123224</v>
      </c>
      <c r="AI814">
        <v>0.123224</v>
      </c>
    </row>
    <row r="815" spans="1:35" x14ac:dyDescent="0.35">
      <c r="A815" t="s">
        <v>1</v>
      </c>
      <c r="B815">
        <v>7000</v>
      </c>
      <c r="C815">
        <v>16</v>
      </c>
      <c r="D815">
        <v>672</v>
      </c>
      <c r="E815">
        <v>0</v>
      </c>
      <c r="F815">
        <v>18968485319</v>
      </c>
      <c r="G815">
        <v>17470896.890000001</v>
      </c>
      <c r="H815">
        <v>17468471032.400002</v>
      </c>
      <c r="I815">
        <v>18665621135.200001</v>
      </c>
      <c r="J815">
        <v>0.62340300000000004</v>
      </c>
      <c r="K815">
        <v>0.16633200000000001</v>
      </c>
      <c r="M815" t="s">
        <v>0</v>
      </c>
      <c r="N815">
        <v>5750</v>
      </c>
      <c r="O815">
        <v>18</v>
      </c>
      <c r="P815">
        <v>7936</v>
      </c>
      <c r="Q815">
        <v>0</v>
      </c>
      <c r="R815">
        <v>268492549360</v>
      </c>
      <c r="S815">
        <v>313137020.18000001</v>
      </c>
      <c r="T815">
        <v>266412741835.04999</v>
      </c>
      <c r="U815">
        <v>267729690434.94</v>
      </c>
      <c r="V815">
        <v>7.6163999999999996E-2</v>
      </c>
      <c r="W815">
        <v>1.9916E-2</v>
      </c>
      <c r="Y815" t="s">
        <v>1</v>
      </c>
      <c r="Z815">
        <v>6500</v>
      </c>
      <c r="AA815">
        <v>18</v>
      </c>
      <c r="AB815">
        <v>5634</v>
      </c>
      <c r="AC815">
        <v>0</v>
      </c>
      <c r="AD815">
        <v>205432534374</v>
      </c>
      <c r="AE815">
        <v>209385315.77000001</v>
      </c>
      <c r="AF815">
        <v>195910056082</v>
      </c>
      <c r="AG815">
        <v>204774708906.28</v>
      </c>
      <c r="AH815">
        <v>0.42691800000000002</v>
      </c>
      <c r="AI815">
        <v>2.5883E-2</v>
      </c>
    </row>
    <row r="816" spans="1:35" x14ac:dyDescent="0.35">
      <c r="A816" t="s">
        <v>2</v>
      </c>
      <c r="B816">
        <v>7000</v>
      </c>
      <c r="C816">
        <v>16</v>
      </c>
      <c r="D816">
        <v>340</v>
      </c>
      <c r="E816">
        <v>0</v>
      </c>
      <c r="F816">
        <v>5311819285</v>
      </c>
      <c r="G816">
        <v>4891023.4800000004</v>
      </c>
      <c r="H816">
        <v>5250904281.9899998</v>
      </c>
      <c r="I816">
        <v>5289627475.2799997</v>
      </c>
      <c r="J816">
        <v>0.119475</v>
      </c>
      <c r="K816">
        <v>3.8392000000000003E-2</v>
      </c>
      <c r="M816" t="s">
        <v>1</v>
      </c>
      <c r="N816">
        <v>6000</v>
      </c>
      <c r="O816">
        <v>18</v>
      </c>
      <c r="P816">
        <v>5866</v>
      </c>
      <c r="Q816">
        <v>0</v>
      </c>
      <c r="R816">
        <v>222545892767</v>
      </c>
      <c r="S816">
        <v>248052794.88999999</v>
      </c>
      <c r="T816">
        <v>214951414566.14999</v>
      </c>
      <c r="U816">
        <v>221866263890.04999</v>
      </c>
      <c r="V816">
        <v>0.331565</v>
      </c>
      <c r="W816">
        <v>2.3025E-2</v>
      </c>
      <c r="Y816" t="s">
        <v>2</v>
      </c>
      <c r="Z816">
        <v>7000</v>
      </c>
      <c r="AA816">
        <v>16</v>
      </c>
      <c r="AB816">
        <v>521</v>
      </c>
      <c r="AC816">
        <v>0</v>
      </c>
      <c r="AD816">
        <v>8619496990</v>
      </c>
      <c r="AE816">
        <v>7927150.4199999999</v>
      </c>
      <c r="AF816">
        <v>8550517096</v>
      </c>
      <c r="AG816">
        <v>8611291646.4500008</v>
      </c>
      <c r="AH816">
        <v>8.1763000000000002E-2</v>
      </c>
      <c r="AI816">
        <v>3.8699999999999997E-4</v>
      </c>
    </row>
    <row r="817" spans="1:35" x14ac:dyDescent="0.35">
      <c r="A817" t="s">
        <v>0</v>
      </c>
      <c r="B817">
        <v>6500</v>
      </c>
      <c r="C817">
        <v>14</v>
      </c>
      <c r="D817">
        <v>7634</v>
      </c>
      <c r="E817">
        <v>0</v>
      </c>
      <c r="F817">
        <v>202205013283</v>
      </c>
      <c r="G817">
        <v>200860105.30000001</v>
      </c>
      <c r="H817">
        <v>196904499237.04001</v>
      </c>
      <c r="I817">
        <v>200880299702.42999</v>
      </c>
      <c r="J817">
        <v>0.26399899999999998</v>
      </c>
      <c r="K817">
        <v>6.4694000000000002E-2</v>
      </c>
      <c r="M817" t="s">
        <v>2</v>
      </c>
      <c r="N817">
        <v>6000</v>
      </c>
      <c r="O817">
        <v>18</v>
      </c>
      <c r="P817">
        <v>313</v>
      </c>
      <c r="Q817">
        <v>0</v>
      </c>
      <c r="R817">
        <v>6644040007</v>
      </c>
      <c r="S817">
        <v>7395877.04</v>
      </c>
      <c r="T817">
        <v>6608643263.04</v>
      </c>
      <c r="U817">
        <v>6630303913.3100004</v>
      </c>
      <c r="V817">
        <v>4.9417000000000003E-2</v>
      </c>
      <c r="W817">
        <v>1.1391E-2</v>
      </c>
      <c r="Y817" t="s">
        <v>1</v>
      </c>
      <c r="Z817">
        <v>7000</v>
      </c>
      <c r="AA817">
        <v>16</v>
      </c>
      <c r="AB817">
        <v>1179</v>
      </c>
      <c r="AC817">
        <v>0</v>
      </c>
      <c r="AD817">
        <v>33582380631</v>
      </c>
      <c r="AE817">
        <v>30939544.27</v>
      </c>
      <c r="AF817">
        <v>31969329801</v>
      </c>
      <c r="AG817">
        <v>33340891857.009998</v>
      </c>
      <c r="AH817">
        <v>0.43958999999999998</v>
      </c>
      <c r="AI817">
        <v>7.2694999999999996E-2</v>
      </c>
    </row>
    <row r="818" spans="1:35" x14ac:dyDescent="0.35">
      <c r="A818" t="s">
        <v>1</v>
      </c>
      <c r="B818">
        <v>6500</v>
      </c>
      <c r="C818">
        <v>14</v>
      </c>
      <c r="D818">
        <v>1431</v>
      </c>
      <c r="E818">
        <v>0</v>
      </c>
      <c r="F818">
        <v>44913470680</v>
      </c>
      <c r="G818">
        <v>44660830.060000002</v>
      </c>
      <c r="H818">
        <v>41619753778.970001</v>
      </c>
      <c r="I818">
        <v>44711930225.599998</v>
      </c>
      <c r="J818">
        <v>0.59387100000000004</v>
      </c>
      <c r="K818">
        <v>4.1119000000000003E-2</v>
      </c>
      <c r="M818" t="s">
        <v>2</v>
      </c>
      <c r="N818">
        <v>6500</v>
      </c>
      <c r="O818">
        <v>18</v>
      </c>
      <c r="P818">
        <v>779</v>
      </c>
      <c r="Q818">
        <v>0</v>
      </c>
      <c r="R818">
        <v>14905763786</v>
      </c>
      <c r="S818">
        <v>15202534.42</v>
      </c>
      <c r="T818">
        <v>14807684007.860001</v>
      </c>
      <c r="U818">
        <v>14879599407.24</v>
      </c>
      <c r="V818">
        <v>6.4717999999999998E-2</v>
      </c>
      <c r="W818">
        <v>8.7889999999999999E-3</v>
      </c>
      <c r="Y818" t="s">
        <v>0</v>
      </c>
      <c r="Z818">
        <v>6500</v>
      </c>
      <c r="AA818">
        <v>14</v>
      </c>
      <c r="AB818">
        <v>7650</v>
      </c>
      <c r="AC818">
        <v>0</v>
      </c>
      <c r="AD818">
        <v>196533576463</v>
      </c>
      <c r="AE818">
        <v>195406665.71000001</v>
      </c>
      <c r="AF818">
        <v>191815035871</v>
      </c>
      <c r="AG818">
        <v>194648925274.81</v>
      </c>
      <c r="AH818">
        <v>0.24376400000000001</v>
      </c>
      <c r="AI818">
        <v>9.8403000000000004E-2</v>
      </c>
    </row>
    <row r="819" spans="1:35" x14ac:dyDescent="0.35">
      <c r="A819" t="s">
        <v>2</v>
      </c>
      <c r="B819">
        <v>6500</v>
      </c>
      <c r="C819">
        <v>14</v>
      </c>
      <c r="D819">
        <v>661</v>
      </c>
      <c r="E819">
        <v>0</v>
      </c>
      <c r="F819">
        <v>11770953536</v>
      </c>
      <c r="G819">
        <v>11711881.02</v>
      </c>
      <c r="H819">
        <v>11688514128.67</v>
      </c>
      <c r="I819">
        <v>11744025537.73</v>
      </c>
      <c r="J819">
        <v>6.9767999999999997E-2</v>
      </c>
      <c r="K819">
        <v>1.5402000000000001E-2</v>
      </c>
      <c r="M819" t="s">
        <v>0</v>
      </c>
      <c r="N819">
        <v>7250</v>
      </c>
      <c r="O819">
        <v>18</v>
      </c>
      <c r="P819">
        <v>11463</v>
      </c>
      <c r="Q819">
        <v>0</v>
      </c>
      <c r="R819">
        <v>303314271651</v>
      </c>
      <c r="S819">
        <v>270022699.93000001</v>
      </c>
      <c r="T819">
        <v>294454852581.16998</v>
      </c>
      <c r="U819">
        <v>300860974217.79999</v>
      </c>
      <c r="V819">
        <v>0.29158600000000001</v>
      </c>
      <c r="W819">
        <v>8.3038000000000001E-2</v>
      </c>
      <c r="Y819" t="s">
        <v>2</v>
      </c>
      <c r="Z819">
        <v>6500</v>
      </c>
      <c r="AA819">
        <v>14</v>
      </c>
      <c r="AB819">
        <v>622</v>
      </c>
      <c r="AC819">
        <v>0</v>
      </c>
      <c r="AD819">
        <v>10615879413</v>
      </c>
      <c r="AE819">
        <v>10566550.869999999</v>
      </c>
      <c r="AF819">
        <v>10535285453</v>
      </c>
      <c r="AG819">
        <v>10581057552.01</v>
      </c>
      <c r="AH819">
        <v>7.6347999999999999E-2</v>
      </c>
      <c r="AI819">
        <v>2.7075999999999999E-2</v>
      </c>
    </row>
    <row r="820" spans="1:35" x14ac:dyDescent="0.35">
      <c r="A820" t="s">
        <v>0</v>
      </c>
      <c r="B820">
        <v>7750</v>
      </c>
      <c r="C820">
        <v>20</v>
      </c>
      <c r="D820">
        <v>3794</v>
      </c>
      <c r="E820">
        <v>0</v>
      </c>
      <c r="F820">
        <v>98479222939</v>
      </c>
      <c r="G820">
        <v>80812364.129999995</v>
      </c>
      <c r="H820">
        <v>95648314379.210007</v>
      </c>
      <c r="I820">
        <v>97492728050.639999</v>
      </c>
      <c r="J820">
        <v>0.28814099999999998</v>
      </c>
      <c r="K820">
        <v>0.104946</v>
      </c>
      <c r="M820" t="s">
        <v>1</v>
      </c>
      <c r="N820">
        <v>7250</v>
      </c>
      <c r="O820">
        <v>18</v>
      </c>
      <c r="P820">
        <v>2734</v>
      </c>
      <c r="Q820">
        <v>0</v>
      </c>
      <c r="R820">
        <v>74653319897</v>
      </c>
      <c r="S820">
        <v>66700810.390000001</v>
      </c>
      <c r="T820">
        <v>69379151649.020004</v>
      </c>
      <c r="U820">
        <v>73603765129.940002</v>
      </c>
      <c r="V820">
        <v>0.58008000000000004</v>
      </c>
      <c r="W820">
        <v>0.147034</v>
      </c>
      <c r="Y820" t="s">
        <v>1</v>
      </c>
      <c r="Z820">
        <v>6500</v>
      </c>
      <c r="AA820">
        <v>14</v>
      </c>
      <c r="AB820">
        <v>1349</v>
      </c>
      <c r="AC820">
        <v>0</v>
      </c>
      <c r="AD820">
        <v>39223898996</v>
      </c>
      <c r="AE820">
        <v>39144776.009999998</v>
      </c>
      <c r="AF820">
        <v>37419407027</v>
      </c>
      <c r="AG820">
        <v>38722143696.949997</v>
      </c>
      <c r="AH820">
        <v>0.42455700000000002</v>
      </c>
      <c r="AI820">
        <v>0.13270000000000001</v>
      </c>
    </row>
    <row r="821" spans="1:35" x14ac:dyDescent="0.35">
      <c r="A821" t="s">
        <v>2</v>
      </c>
      <c r="B821">
        <v>7250</v>
      </c>
      <c r="C821">
        <v>20</v>
      </c>
      <c r="D821">
        <v>936</v>
      </c>
      <c r="E821">
        <v>0</v>
      </c>
      <c r="F821">
        <v>14511620321</v>
      </c>
      <c r="G821">
        <v>13121937.67</v>
      </c>
      <c r="H821">
        <v>14266496407.219999</v>
      </c>
      <c r="I821">
        <v>14393208838.92</v>
      </c>
      <c r="J821">
        <v>0.175846</v>
      </c>
      <c r="K821">
        <v>8.3674999999999999E-2</v>
      </c>
      <c r="M821" t="s">
        <v>2</v>
      </c>
      <c r="N821">
        <v>5750</v>
      </c>
      <c r="O821">
        <v>18</v>
      </c>
      <c r="P821">
        <v>196</v>
      </c>
      <c r="Q821">
        <v>0</v>
      </c>
      <c r="R821">
        <v>4694218234</v>
      </c>
      <c r="S821">
        <v>5488943.0700000003</v>
      </c>
      <c r="T821">
        <v>4669282998.2200003</v>
      </c>
      <c r="U821">
        <v>4682103857.8500004</v>
      </c>
      <c r="V821">
        <v>4.8593999999999998E-2</v>
      </c>
      <c r="W821">
        <v>1.6806000000000001E-2</v>
      </c>
      <c r="Y821" t="s">
        <v>0</v>
      </c>
      <c r="Z821">
        <v>7000</v>
      </c>
      <c r="AA821">
        <v>14</v>
      </c>
      <c r="AB821">
        <v>3583</v>
      </c>
      <c r="AC821">
        <v>0</v>
      </c>
      <c r="AD821">
        <v>92519043464</v>
      </c>
      <c r="AE821">
        <v>83995575.569999993</v>
      </c>
      <c r="AF821">
        <v>90934811583</v>
      </c>
      <c r="AG821">
        <v>92023814297.669998</v>
      </c>
      <c r="AH821">
        <v>0.17813599999999999</v>
      </c>
      <c r="AI821">
        <v>5.2053000000000002E-2</v>
      </c>
    </row>
    <row r="822" spans="1:35" x14ac:dyDescent="0.35">
      <c r="A822" t="s">
        <v>0</v>
      </c>
      <c r="B822">
        <v>8000</v>
      </c>
      <c r="C822">
        <v>20</v>
      </c>
      <c r="D822">
        <v>393</v>
      </c>
      <c r="E822">
        <v>0</v>
      </c>
      <c r="F822">
        <v>10288500140</v>
      </c>
      <c r="G822">
        <v>8083622.9000000004</v>
      </c>
      <c r="H822">
        <v>10024159575.82</v>
      </c>
      <c r="I822">
        <v>10194930684.02</v>
      </c>
      <c r="J822">
        <v>0.261158</v>
      </c>
      <c r="K822">
        <v>9.5273999999999998E-2</v>
      </c>
      <c r="M822" t="s">
        <v>1</v>
      </c>
      <c r="N822">
        <v>5750</v>
      </c>
      <c r="O822">
        <v>18</v>
      </c>
      <c r="P822">
        <v>5815</v>
      </c>
      <c r="Q822">
        <v>0</v>
      </c>
      <c r="R822">
        <v>231305493488</v>
      </c>
      <c r="S822">
        <v>269650649.98000002</v>
      </c>
      <c r="T822">
        <v>226081060907.17999</v>
      </c>
      <c r="U822">
        <v>230502171355.73999</v>
      </c>
      <c r="V822">
        <v>0.228828</v>
      </c>
      <c r="W822">
        <v>2.7338000000000001E-2</v>
      </c>
      <c r="Y822" t="s">
        <v>2</v>
      </c>
      <c r="Z822">
        <v>7000</v>
      </c>
      <c r="AA822">
        <v>14</v>
      </c>
      <c r="AB822">
        <v>160</v>
      </c>
      <c r="AC822">
        <v>0</v>
      </c>
      <c r="AD822">
        <v>2330048810</v>
      </c>
      <c r="AE822">
        <v>2113828.91</v>
      </c>
      <c r="AF822">
        <v>2314204536</v>
      </c>
      <c r="AG822">
        <v>2328197143.8699999</v>
      </c>
      <c r="AH822">
        <v>6.8465999999999999E-2</v>
      </c>
      <c r="AI822">
        <v>-1.351E-3</v>
      </c>
    </row>
    <row r="823" spans="1:35" x14ac:dyDescent="0.35">
      <c r="A823" t="s">
        <v>1</v>
      </c>
      <c r="B823">
        <v>7250</v>
      </c>
      <c r="C823">
        <v>18</v>
      </c>
      <c r="D823">
        <v>3053</v>
      </c>
      <c r="E823">
        <v>0</v>
      </c>
      <c r="F823">
        <v>82910740355</v>
      </c>
      <c r="G823">
        <v>74042272.569999993</v>
      </c>
      <c r="H823">
        <v>77338328029.559998</v>
      </c>
      <c r="I823">
        <v>81917765581.190002</v>
      </c>
      <c r="J823">
        <v>0.56106999999999996</v>
      </c>
      <c r="K823">
        <v>0.12518499999999999</v>
      </c>
      <c r="M823" t="s">
        <v>2</v>
      </c>
      <c r="N823">
        <v>6250</v>
      </c>
      <c r="O823">
        <v>18</v>
      </c>
      <c r="P823">
        <v>993</v>
      </c>
      <c r="Q823">
        <v>0</v>
      </c>
      <c r="R823">
        <v>20213508176</v>
      </c>
      <c r="S823">
        <v>21542511.449999999</v>
      </c>
      <c r="T823">
        <v>20091804140.380001</v>
      </c>
      <c r="U823">
        <v>20180911721.599998</v>
      </c>
      <c r="V823">
        <v>5.7868000000000003E-2</v>
      </c>
      <c r="W823">
        <v>6.5430000000000002E-3</v>
      </c>
      <c r="Y823" t="s">
        <v>0</v>
      </c>
      <c r="Z823">
        <v>7750</v>
      </c>
      <c r="AA823">
        <v>20</v>
      </c>
      <c r="AB823">
        <v>3300</v>
      </c>
      <c r="AC823">
        <v>0</v>
      </c>
      <c r="AD823">
        <v>84573767893</v>
      </c>
      <c r="AE823">
        <v>69461674.629999995</v>
      </c>
      <c r="AF823">
        <v>82973075137</v>
      </c>
      <c r="AG823">
        <v>84009173798.729996</v>
      </c>
      <c r="AH823">
        <v>0.196882</v>
      </c>
      <c r="AI823">
        <v>6.8034999999999998E-2</v>
      </c>
    </row>
    <row r="824" spans="1:35" x14ac:dyDescent="0.35">
      <c r="A824" t="s">
        <v>0</v>
      </c>
      <c r="B824">
        <v>7750</v>
      </c>
      <c r="C824">
        <v>18</v>
      </c>
      <c r="D824">
        <v>3537</v>
      </c>
      <c r="E824">
        <v>0</v>
      </c>
      <c r="F824">
        <v>92310914803</v>
      </c>
      <c r="G824">
        <v>74764617.989999995</v>
      </c>
      <c r="H824">
        <v>89791473108.080002</v>
      </c>
      <c r="I824">
        <v>91317076518.470001</v>
      </c>
      <c r="J824">
        <v>0.27535999999999999</v>
      </c>
      <c r="K824">
        <v>0.113145</v>
      </c>
      <c r="M824" t="s">
        <v>1</v>
      </c>
      <c r="N824">
        <v>6250</v>
      </c>
      <c r="O824">
        <v>18</v>
      </c>
      <c r="P824">
        <v>12813</v>
      </c>
      <c r="Q824">
        <v>0</v>
      </c>
      <c r="R824">
        <v>485434395644</v>
      </c>
      <c r="S824">
        <v>518142673.94999999</v>
      </c>
      <c r="T824">
        <v>462058875786.09998</v>
      </c>
      <c r="U824">
        <v>483743721313.34998</v>
      </c>
      <c r="V824">
        <v>0.43941400000000003</v>
      </c>
      <c r="W824">
        <v>2.8603E-2</v>
      </c>
      <c r="Y824" t="s">
        <v>2</v>
      </c>
      <c r="Z824">
        <v>6750</v>
      </c>
      <c r="AA824">
        <v>18</v>
      </c>
      <c r="AB824">
        <v>1537</v>
      </c>
      <c r="AC824">
        <v>0</v>
      </c>
      <c r="AD824">
        <v>28978629753</v>
      </c>
      <c r="AE824">
        <v>28251558.170000002</v>
      </c>
      <c r="AF824">
        <v>28806758277</v>
      </c>
      <c r="AG824">
        <v>28897048415.23</v>
      </c>
      <c r="AH824">
        <v>5.7877999999999999E-2</v>
      </c>
      <c r="AI824">
        <v>2.1861999999999999E-2</v>
      </c>
    </row>
    <row r="825" spans="1:35" x14ac:dyDescent="0.35">
      <c r="A825" t="s">
        <v>1</v>
      </c>
      <c r="B825">
        <v>8000</v>
      </c>
      <c r="C825">
        <v>20</v>
      </c>
      <c r="D825">
        <v>144</v>
      </c>
      <c r="E825">
        <v>0</v>
      </c>
      <c r="F825">
        <v>3401084002</v>
      </c>
      <c r="G825">
        <v>2665834.91</v>
      </c>
      <c r="H825">
        <v>3143997230.3699999</v>
      </c>
      <c r="I825">
        <v>3350004584.2199998</v>
      </c>
      <c r="J825">
        <v>0.60663599999999995</v>
      </c>
      <c r="K825">
        <v>0.158058</v>
      </c>
      <c r="M825" t="s">
        <v>1</v>
      </c>
      <c r="N825">
        <v>6500</v>
      </c>
      <c r="O825">
        <v>18</v>
      </c>
      <c r="P825">
        <v>3223</v>
      </c>
      <c r="Q825">
        <v>0</v>
      </c>
      <c r="R825">
        <v>111871044958</v>
      </c>
      <c r="S825">
        <v>113732117.97</v>
      </c>
      <c r="T825">
        <v>105917493180.2</v>
      </c>
      <c r="U825">
        <v>111449331575.42999</v>
      </c>
      <c r="V825">
        <v>0.47447499999999998</v>
      </c>
      <c r="W825">
        <v>3.2539999999999999E-2</v>
      </c>
      <c r="Y825" t="s">
        <v>2</v>
      </c>
      <c r="Z825">
        <v>7250</v>
      </c>
      <c r="AA825">
        <v>18</v>
      </c>
      <c r="AB825">
        <v>963</v>
      </c>
      <c r="AC825">
        <v>0</v>
      </c>
      <c r="AD825">
        <v>15052465999</v>
      </c>
      <c r="AE825">
        <v>13413389.800000001</v>
      </c>
      <c r="AF825">
        <v>14764126948</v>
      </c>
      <c r="AG825">
        <v>14962040531.1</v>
      </c>
      <c r="AH825">
        <v>0.19844400000000001</v>
      </c>
      <c r="AI825">
        <v>5.9695999999999999E-2</v>
      </c>
    </row>
    <row r="826" spans="1:35" x14ac:dyDescent="0.35">
      <c r="A826" t="s">
        <v>1</v>
      </c>
      <c r="B826">
        <v>8000</v>
      </c>
      <c r="C826">
        <v>18</v>
      </c>
      <c r="D826">
        <v>184</v>
      </c>
      <c r="E826">
        <v>0</v>
      </c>
      <c r="F826">
        <v>4201031467</v>
      </c>
      <c r="G826">
        <v>3244953.24</v>
      </c>
      <c r="H826">
        <v>3910516929.2399998</v>
      </c>
      <c r="I826">
        <v>4162762924.98</v>
      </c>
      <c r="J826">
        <v>0.572573</v>
      </c>
      <c r="K826">
        <v>9.5580999999999999E-2</v>
      </c>
      <c r="M826" t="s">
        <v>1</v>
      </c>
      <c r="N826">
        <v>7000</v>
      </c>
      <c r="O826">
        <v>18</v>
      </c>
      <c r="P826">
        <v>1351</v>
      </c>
      <c r="Q826">
        <v>0</v>
      </c>
      <c r="R826">
        <v>39308441712</v>
      </c>
      <c r="S826">
        <v>36785586.979999997</v>
      </c>
      <c r="T826">
        <v>36627661341.550003</v>
      </c>
      <c r="U826">
        <v>38717927593.089996</v>
      </c>
      <c r="V826">
        <v>0.56637800000000005</v>
      </c>
      <c r="W826">
        <v>0.15654000000000001</v>
      </c>
      <c r="Y826" t="s">
        <v>0</v>
      </c>
      <c r="Z826">
        <v>7750</v>
      </c>
      <c r="AA826">
        <v>18</v>
      </c>
      <c r="AB826">
        <v>3991</v>
      </c>
      <c r="AC826">
        <v>0</v>
      </c>
      <c r="AD826">
        <v>105030011165</v>
      </c>
      <c r="AE826">
        <v>85025207.519999996</v>
      </c>
      <c r="AF826">
        <v>102848481649</v>
      </c>
      <c r="AG826">
        <v>104253416414.11</v>
      </c>
      <c r="AH826">
        <v>0.21490799999999999</v>
      </c>
      <c r="AI826">
        <v>7.6214000000000004E-2</v>
      </c>
    </row>
    <row r="827" spans="1:35" x14ac:dyDescent="0.35">
      <c r="A827" t="s">
        <v>0</v>
      </c>
      <c r="B827">
        <v>8000</v>
      </c>
      <c r="C827">
        <v>18</v>
      </c>
      <c r="D827">
        <v>378</v>
      </c>
      <c r="E827">
        <v>0</v>
      </c>
      <c r="F827">
        <v>9398088018</v>
      </c>
      <c r="G827">
        <v>7304281.7599999998</v>
      </c>
      <c r="H827">
        <v>9137340984.4099998</v>
      </c>
      <c r="I827">
        <v>9298880855.1499996</v>
      </c>
      <c r="J827">
        <v>0.27967500000000001</v>
      </c>
      <c r="K827">
        <v>0.111237</v>
      </c>
      <c r="M827" t="s">
        <v>0</v>
      </c>
      <c r="N827">
        <v>7500</v>
      </c>
      <c r="O827">
        <v>18</v>
      </c>
      <c r="P827">
        <v>1974</v>
      </c>
      <c r="Q827">
        <v>0</v>
      </c>
      <c r="R827">
        <v>51785023911</v>
      </c>
      <c r="S827">
        <v>43946156.240000002</v>
      </c>
      <c r="T827">
        <v>50268032194.089996</v>
      </c>
      <c r="U827">
        <v>51319132740.25</v>
      </c>
      <c r="V827">
        <v>0.29269499999999998</v>
      </c>
      <c r="W827">
        <v>9.3510999999999997E-2</v>
      </c>
      <c r="Y827" t="s">
        <v>0</v>
      </c>
      <c r="Z827">
        <v>8000</v>
      </c>
      <c r="AA827">
        <v>20</v>
      </c>
      <c r="AB827">
        <v>293</v>
      </c>
      <c r="AC827">
        <v>0</v>
      </c>
      <c r="AD827">
        <v>7432161084</v>
      </c>
      <c r="AE827">
        <v>5843478.6200000001</v>
      </c>
      <c r="AF827">
        <v>7242399735</v>
      </c>
      <c r="AG827">
        <v>7385339419.5299997</v>
      </c>
      <c r="AH827">
        <v>0.25969300000000001</v>
      </c>
      <c r="AI827">
        <v>6.4194000000000001E-2</v>
      </c>
    </row>
    <row r="828" spans="1:35" x14ac:dyDescent="0.35">
      <c r="A828" t="s">
        <v>0</v>
      </c>
      <c r="B828">
        <v>6250</v>
      </c>
      <c r="C828">
        <v>18</v>
      </c>
      <c r="D828">
        <v>18538</v>
      </c>
      <c r="E828">
        <v>0</v>
      </c>
      <c r="F828">
        <v>626586580294</v>
      </c>
      <c r="G828">
        <v>667475372.50999999</v>
      </c>
      <c r="H828">
        <v>614279782059.15002</v>
      </c>
      <c r="I828">
        <v>623734814372.45996</v>
      </c>
      <c r="J828">
        <v>0.201488</v>
      </c>
      <c r="K828">
        <v>4.1038999999999999E-2</v>
      </c>
      <c r="M828" t="s">
        <v>0</v>
      </c>
      <c r="N828">
        <v>7250</v>
      </c>
      <c r="O828">
        <v>16</v>
      </c>
      <c r="P828">
        <v>16252</v>
      </c>
      <c r="Q828">
        <v>0</v>
      </c>
      <c r="R828">
        <v>443516943327</v>
      </c>
      <c r="S828">
        <v>389036280.18000001</v>
      </c>
      <c r="T828">
        <v>429457204824.5</v>
      </c>
      <c r="U828">
        <v>439958776556.69</v>
      </c>
      <c r="V828">
        <v>0.313193</v>
      </c>
      <c r="W828">
        <v>8.2455000000000001E-2</v>
      </c>
      <c r="Y828" t="s">
        <v>0</v>
      </c>
      <c r="Z828">
        <v>8000</v>
      </c>
      <c r="AA828">
        <v>18</v>
      </c>
      <c r="AB828">
        <v>487</v>
      </c>
      <c r="AC828">
        <v>0</v>
      </c>
      <c r="AD828">
        <v>12447923238</v>
      </c>
      <c r="AE828">
        <v>9662761.8800000008</v>
      </c>
      <c r="AF828">
        <v>12255648797</v>
      </c>
      <c r="AG828">
        <v>12374650593.15</v>
      </c>
      <c r="AH828">
        <v>0.16250899999999999</v>
      </c>
      <c r="AI828">
        <v>5.9626999999999999E-2</v>
      </c>
    </row>
    <row r="829" spans="1:35" x14ac:dyDescent="0.35">
      <c r="A829" t="s">
        <v>2</v>
      </c>
      <c r="B829">
        <v>6250</v>
      </c>
      <c r="C829">
        <v>18</v>
      </c>
      <c r="D829">
        <v>570</v>
      </c>
      <c r="E829">
        <v>0</v>
      </c>
      <c r="F829">
        <v>11979919191</v>
      </c>
      <c r="G829">
        <v>12763170.49</v>
      </c>
      <c r="H829">
        <v>11909600614.66</v>
      </c>
      <c r="I829">
        <v>11958242104.35</v>
      </c>
      <c r="J829">
        <v>5.6153000000000002E-2</v>
      </c>
      <c r="K829">
        <v>8.8920000000000006E-3</v>
      </c>
      <c r="M829" t="s">
        <v>1</v>
      </c>
      <c r="N829">
        <v>5750</v>
      </c>
      <c r="O829">
        <v>16</v>
      </c>
      <c r="P829">
        <v>3329</v>
      </c>
      <c r="Q829">
        <v>0</v>
      </c>
      <c r="R829">
        <v>134263204782</v>
      </c>
      <c r="S829">
        <v>154595729.06</v>
      </c>
      <c r="T829">
        <v>130803448740.49001</v>
      </c>
      <c r="U829">
        <v>133829839755.86</v>
      </c>
      <c r="V829">
        <v>0.25851600000000002</v>
      </c>
      <c r="W829">
        <v>2.4632999999999999E-2</v>
      </c>
      <c r="Y829" t="s">
        <v>1</v>
      </c>
      <c r="Z829">
        <v>7250</v>
      </c>
      <c r="AA829">
        <v>18</v>
      </c>
      <c r="AB829">
        <v>3606</v>
      </c>
      <c r="AC829">
        <v>0</v>
      </c>
      <c r="AD829">
        <v>101713099904</v>
      </c>
      <c r="AE829">
        <v>90843360.25</v>
      </c>
      <c r="AF829">
        <v>94935386071</v>
      </c>
      <c r="AG829">
        <v>100105479924.28</v>
      </c>
      <c r="AH829">
        <v>0.55781999999999998</v>
      </c>
      <c r="AI829">
        <v>0.16497600000000001</v>
      </c>
    </row>
    <row r="830" spans="1:35" x14ac:dyDescent="0.35">
      <c r="A830" t="s">
        <v>2</v>
      </c>
      <c r="B830">
        <v>5750</v>
      </c>
      <c r="C830">
        <v>18</v>
      </c>
      <c r="D830">
        <v>160</v>
      </c>
      <c r="E830">
        <v>0</v>
      </c>
      <c r="F830">
        <v>3474070570</v>
      </c>
      <c r="G830">
        <v>4046752.97</v>
      </c>
      <c r="H830">
        <v>3454359916.6100001</v>
      </c>
      <c r="I830">
        <v>3463744011.8899999</v>
      </c>
      <c r="J830">
        <v>5.2783999999999998E-2</v>
      </c>
      <c r="K830">
        <v>2.1477E-2</v>
      </c>
      <c r="M830" t="s">
        <v>0</v>
      </c>
      <c r="N830">
        <v>5750</v>
      </c>
      <c r="O830">
        <v>16</v>
      </c>
      <c r="P830">
        <v>4519</v>
      </c>
      <c r="Q830">
        <v>0</v>
      </c>
      <c r="R830">
        <v>151914748671</v>
      </c>
      <c r="S830">
        <v>175031920.61000001</v>
      </c>
      <c r="T830">
        <v>150893655655.87</v>
      </c>
      <c r="U830">
        <v>151516754661.31</v>
      </c>
      <c r="V830">
        <v>6.4822000000000005E-2</v>
      </c>
      <c r="W830">
        <v>1.7471E-2</v>
      </c>
      <c r="Y830" t="s">
        <v>1</v>
      </c>
      <c r="Z830">
        <v>8000</v>
      </c>
      <c r="AA830">
        <v>18</v>
      </c>
      <c r="AB830">
        <v>186</v>
      </c>
      <c r="AC830">
        <v>0</v>
      </c>
      <c r="AD830">
        <v>4064129102</v>
      </c>
      <c r="AE830">
        <v>3133262.89</v>
      </c>
      <c r="AF830">
        <v>3857981900</v>
      </c>
      <c r="AG830">
        <v>4061021283.4200001</v>
      </c>
      <c r="AH830">
        <v>0.459316</v>
      </c>
      <c r="AI830">
        <v>-7.4999999999999993E-5</v>
      </c>
    </row>
    <row r="831" spans="1:35" x14ac:dyDescent="0.35">
      <c r="A831" t="s">
        <v>1</v>
      </c>
      <c r="B831">
        <v>6000</v>
      </c>
      <c r="C831">
        <v>18</v>
      </c>
      <c r="D831">
        <v>5955</v>
      </c>
      <c r="E831">
        <v>0</v>
      </c>
      <c r="F831">
        <v>233242871282</v>
      </c>
      <c r="G831">
        <v>259872436.81</v>
      </c>
      <c r="H831">
        <v>223748572319.63</v>
      </c>
      <c r="I831">
        <v>232470567843.10999</v>
      </c>
      <c r="J831">
        <v>0.384154</v>
      </c>
      <c r="K831">
        <v>2.6048000000000002E-2</v>
      </c>
      <c r="M831" t="s">
        <v>2</v>
      </c>
      <c r="N831">
        <v>5750</v>
      </c>
      <c r="O831">
        <v>16</v>
      </c>
      <c r="P831">
        <v>138</v>
      </c>
      <c r="Q831">
        <v>0</v>
      </c>
      <c r="R831">
        <v>2965810247</v>
      </c>
      <c r="S831">
        <v>3417624.58</v>
      </c>
      <c r="T831">
        <v>2950953862.5</v>
      </c>
      <c r="U831">
        <v>2958398935.1399999</v>
      </c>
      <c r="V831">
        <v>4.5312999999999999E-2</v>
      </c>
      <c r="W831">
        <v>1.6039999999999999E-2</v>
      </c>
      <c r="Y831" t="s">
        <v>1</v>
      </c>
      <c r="Z831">
        <v>5750</v>
      </c>
      <c r="AA831">
        <v>16</v>
      </c>
      <c r="AB831">
        <v>11691</v>
      </c>
      <c r="AC831">
        <v>0</v>
      </c>
      <c r="AD831">
        <v>479639674908</v>
      </c>
      <c r="AE831">
        <v>551796043.17999995</v>
      </c>
      <c r="AF831">
        <v>470700352157</v>
      </c>
      <c r="AG831">
        <v>477832544464.40997</v>
      </c>
      <c r="AH831">
        <v>0.19079399999999999</v>
      </c>
      <c r="AI831">
        <v>3.0959E-2</v>
      </c>
    </row>
    <row r="832" spans="1:35" x14ac:dyDescent="0.35">
      <c r="A832" t="s">
        <v>1</v>
      </c>
      <c r="B832">
        <v>6250</v>
      </c>
      <c r="C832">
        <v>18</v>
      </c>
      <c r="D832">
        <v>12819</v>
      </c>
      <c r="E832">
        <v>0</v>
      </c>
      <c r="F832">
        <v>501092398713</v>
      </c>
      <c r="G832">
        <v>534039357.43000001</v>
      </c>
      <c r="H832">
        <v>477599795278.53003</v>
      </c>
      <c r="I832">
        <v>499322535403.88</v>
      </c>
      <c r="J832">
        <v>0.43038700000000002</v>
      </c>
      <c r="K832">
        <v>2.9197000000000001E-2</v>
      </c>
      <c r="M832" t="s">
        <v>0</v>
      </c>
      <c r="N832">
        <v>6000</v>
      </c>
      <c r="O832">
        <v>16</v>
      </c>
      <c r="P832">
        <v>8340</v>
      </c>
      <c r="Q832">
        <v>0</v>
      </c>
      <c r="R832">
        <v>272671015481</v>
      </c>
      <c r="S832">
        <v>300396558.38</v>
      </c>
      <c r="T832">
        <v>269844700679.34</v>
      </c>
      <c r="U832">
        <v>271724306787.01999</v>
      </c>
      <c r="V832">
        <v>0.105671</v>
      </c>
      <c r="W832">
        <v>2.8076E-2</v>
      </c>
      <c r="Y832" t="s">
        <v>2</v>
      </c>
      <c r="Z832">
        <v>5750</v>
      </c>
      <c r="AA832">
        <v>16</v>
      </c>
      <c r="AB832">
        <v>263</v>
      </c>
      <c r="AC832">
        <v>0</v>
      </c>
      <c r="AD832">
        <v>5870743112</v>
      </c>
      <c r="AE832">
        <v>6758686.8399999999</v>
      </c>
      <c r="AF832">
        <v>5864055875</v>
      </c>
      <c r="AG832">
        <v>5864055875</v>
      </c>
      <c r="AH832">
        <v>-1.46E-4</v>
      </c>
      <c r="AI832">
        <v>-1.46E-4</v>
      </c>
    </row>
    <row r="833" spans="1:35" x14ac:dyDescent="0.35">
      <c r="A833" t="s">
        <v>1</v>
      </c>
      <c r="B833">
        <v>5250</v>
      </c>
      <c r="C833">
        <v>16</v>
      </c>
      <c r="D833">
        <v>8276</v>
      </c>
      <c r="E833">
        <v>0</v>
      </c>
      <c r="F833">
        <v>350651976994</v>
      </c>
      <c r="G833">
        <v>440460774.10000002</v>
      </c>
      <c r="H833">
        <v>345662610503.92999</v>
      </c>
      <c r="I833">
        <v>349483281722.38</v>
      </c>
      <c r="J833">
        <v>0.14503199999999999</v>
      </c>
      <c r="K833">
        <v>2.4639000000000001E-2</v>
      </c>
      <c r="M833" t="s">
        <v>1</v>
      </c>
      <c r="N833">
        <v>6000</v>
      </c>
      <c r="O833">
        <v>16</v>
      </c>
      <c r="P833">
        <v>5176</v>
      </c>
      <c r="Q833">
        <v>0</v>
      </c>
      <c r="R833">
        <v>206036959921</v>
      </c>
      <c r="S833">
        <v>226948732.25</v>
      </c>
      <c r="T833">
        <v>197200449525.64999</v>
      </c>
      <c r="U833">
        <v>205475401812.45999</v>
      </c>
      <c r="V833">
        <v>0.40083400000000002</v>
      </c>
      <c r="W833">
        <v>1.9314999999999999E-2</v>
      </c>
      <c r="Y833" t="s">
        <v>0</v>
      </c>
      <c r="Z833">
        <v>5750</v>
      </c>
      <c r="AA833">
        <v>16</v>
      </c>
      <c r="AB833">
        <v>9809</v>
      </c>
      <c r="AC833">
        <v>0</v>
      </c>
      <c r="AD833">
        <v>348144622202</v>
      </c>
      <c r="AE833">
        <v>400677223.23000002</v>
      </c>
      <c r="AF833">
        <v>346089372099</v>
      </c>
      <c r="AG833">
        <v>347599232896.52002</v>
      </c>
      <c r="AH833">
        <v>5.5563000000000001E-2</v>
      </c>
      <c r="AI833">
        <v>4.9769999999999997E-3</v>
      </c>
    </row>
    <row r="834" spans="1:35" x14ac:dyDescent="0.35">
      <c r="A834" t="s">
        <v>2</v>
      </c>
      <c r="B834">
        <v>5500</v>
      </c>
      <c r="C834">
        <v>16</v>
      </c>
      <c r="D834">
        <v>219</v>
      </c>
      <c r="E834">
        <v>0</v>
      </c>
      <c r="F834">
        <v>4889807486</v>
      </c>
      <c r="G834">
        <v>5871477.5599999996</v>
      </c>
      <c r="H834">
        <v>4869977271.8199997</v>
      </c>
      <c r="I834">
        <v>4881281189.04</v>
      </c>
      <c r="J834">
        <v>3.3723000000000003E-2</v>
      </c>
      <c r="K834">
        <v>6.496E-3</v>
      </c>
      <c r="M834" t="s">
        <v>2</v>
      </c>
      <c r="N834">
        <v>6000</v>
      </c>
      <c r="O834">
        <v>16</v>
      </c>
      <c r="P834">
        <v>236</v>
      </c>
      <c r="Q834">
        <v>0</v>
      </c>
      <c r="R834">
        <v>5217195485</v>
      </c>
      <c r="S834">
        <v>5750216.8799999999</v>
      </c>
      <c r="T834">
        <v>5192298179.9700003</v>
      </c>
      <c r="U834">
        <v>5207910427.1499996</v>
      </c>
      <c r="V834">
        <v>4.3161999999999999E-2</v>
      </c>
      <c r="W834">
        <v>8.0999999999999996E-3</v>
      </c>
      <c r="Y834" t="s">
        <v>2</v>
      </c>
      <c r="Z834">
        <v>6000</v>
      </c>
      <c r="AA834">
        <v>16</v>
      </c>
      <c r="AB834">
        <v>371</v>
      </c>
      <c r="AC834">
        <v>0</v>
      </c>
      <c r="AD834">
        <v>7925552771</v>
      </c>
      <c r="AE834">
        <v>8725923.6999999993</v>
      </c>
      <c r="AF834">
        <v>7916614550</v>
      </c>
      <c r="AG834">
        <v>7916614550</v>
      </c>
      <c r="AH834">
        <v>3.21E-4</v>
      </c>
      <c r="AI834">
        <v>3.21E-4</v>
      </c>
    </row>
    <row r="835" spans="1:35" x14ac:dyDescent="0.35">
      <c r="A835" t="s">
        <v>0</v>
      </c>
      <c r="B835">
        <v>5500</v>
      </c>
      <c r="C835">
        <v>16</v>
      </c>
      <c r="D835">
        <v>6722</v>
      </c>
      <c r="E835">
        <v>0</v>
      </c>
      <c r="F835">
        <v>233843582489</v>
      </c>
      <c r="G835">
        <v>281053789.66000003</v>
      </c>
      <c r="H835">
        <v>232249468385.14001</v>
      </c>
      <c r="I835">
        <v>233209887982.62</v>
      </c>
      <c r="J835">
        <v>6.5338999999999994E-2</v>
      </c>
      <c r="K835">
        <v>1.7947000000000001E-2</v>
      </c>
      <c r="M835" t="s">
        <v>0</v>
      </c>
      <c r="N835">
        <v>6250</v>
      </c>
      <c r="O835">
        <v>16</v>
      </c>
      <c r="P835">
        <v>15976</v>
      </c>
      <c r="Q835">
        <v>0</v>
      </c>
      <c r="R835">
        <v>535370973044</v>
      </c>
      <c r="S835">
        <v>563493187.28999996</v>
      </c>
      <c r="T835">
        <v>527625168110.22998</v>
      </c>
      <c r="U835">
        <v>533694186185.15002</v>
      </c>
      <c r="V835">
        <v>0.14962400000000001</v>
      </c>
      <c r="W835">
        <v>2.4670000000000001E-2</v>
      </c>
      <c r="Y835" t="s">
        <v>0</v>
      </c>
      <c r="Z835">
        <v>6000</v>
      </c>
      <c r="AA835">
        <v>16</v>
      </c>
      <c r="AB835">
        <v>9566</v>
      </c>
      <c r="AC835">
        <v>0</v>
      </c>
      <c r="AD835">
        <v>307975248656</v>
      </c>
      <c r="AE835">
        <v>339025342.27999997</v>
      </c>
      <c r="AF835">
        <v>305171151450</v>
      </c>
      <c r="AG835">
        <v>307193392041.21002</v>
      </c>
      <c r="AH835">
        <v>9.1932E-2</v>
      </c>
      <c r="AI835">
        <v>1.7118999999999999E-2</v>
      </c>
    </row>
    <row r="836" spans="1:35" x14ac:dyDescent="0.35">
      <c r="A836" t="s">
        <v>1</v>
      </c>
      <c r="B836">
        <v>5750</v>
      </c>
      <c r="C836">
        <v>16</v>
      </c>
      <c r="D836">
        <v>21993</v>
      </c>
      <c r="E836">
        <v>0</v>
      </c>
      <c r="F836">
        <v>887947720357</v>
      </c>
      <c r="G836">
        <v>1023807493.88</v>
      </c>
      <c r="H836">
        <v>856333762547.68005</v>
      </c>
      <c r="I836">
        <v>885018424913.06006</v>
      </c>
      <c r="J836">
        <v>0.34340900000000002</v>
      </c>
      <c r="K836">
        <v>2.545E-2</v>
      </c>
      <c r="M836" t="s">
        <v>2</v>
      </c>
      <c r="N836">
        <v>6250</v>
      </c>
      <c r="O836">
        <v>16</v>
      </c>
      <c r="P836">
        <v>546</v>
      </c>
      <c r="Q836">
        <v>0</v>
      </c>
      <c r="R836">
        <v>11690893815</v>
      </c>
      <c r="S836">
        <v>12305765.859999999</v>
      </c>
      <c r="T836">
        <v>11621480000.34</v>
      </c>
      <c r="U836">
        <v>11671088453.370001</v>
      </c>
      <c r="V836">
        <v>5.7068000000000001E-2</v>
      </c>
      <c r="W836">
        <v>7.6709999999999999E-3</v>
      </c>
      <c r="Y836" t="s">
        <v>0</v>
      </c>
      <c r="Z836">
        <v>6250</v>
      </c>
      <c r="AA836">
        <v>16</v>
      </c>
      <c r="AB836">
        <v>24585</v>
      </c>
      <c r="AC836">
        <v>0</v>
      </c>
      <c r="AD836">
        <v>827885465597</v>
      </c>
      <c r="AE836">
        <v>871307526.65999997</v>
      </c>
      <c r="AF836">
        <v>817646894641</v>
      </c>
      <c r="AG836">
        <v>826409124436.54004</v>
      </c>
      <c r="AH836">
        <v>0.127637</v>
      </c>
      <c r="AI836">
        <v>8.7349999999999997E-3</v>
      </c>
    </row>
    <row r="837" spans="1:35" x14ac:dyDescent="0.35">
      <c r="A837" t="s">
        <v>0</v>
      </c>
      <c r="B837">
        <v>5750</v>
      </c>
      <c r="C837">
        <v>16</v>
      </c>
      <c r="D837">
        <v>20584</v>
      </c>
      <c r="E837">
        <v>0</v>
      </c>
      <c r="F837">
        <v>733529418971</v>
      </c>
      <c r="G837">
        <v>844512282.47000003</v>
      </c>
      <c r="H837">
        <v>726583523000.57996</v>
      </c>
      <c r="I837">
        <v>731202005860.96997</v>
      </c>
      <c r="J837">
        <v>9.5371999999999998E-2</v>
      </c>
      <c r="K837">
        <v>2.3990999999999998E-2</v>
      </c>
      <c r="M837" t="s">
        <v>0</v>
      </c>
      <c r="N837">
        <v>6500</v>
      </c>
      <c r="O837">
        <v>16</v>
      </c>
      <c r="P837">
        <v>12445</v>
      </c>
      <c r="Q837">
        <v>0</v>
      </c>
      <c r="R837">
        <v>379231522919</v>
      </c>
      <c r="S837">
        <v>381032771.82999998</v>
      </c>
      <c r="T837">
        <v>370986524880.10999</v>
      </c>
      <c r="U837">
        <v>377747564446.90002</v>
      </c>
      <c r="V837">
        <v>0.222332</v>
      </c>
      <c r="W837">
        <v>3.4347000000000003E-2</v>
      </c>
      <c r="Y837" t="s">
        <v>1</v>
      </c>
      <c r="Z837">
        <v>6250</v>
      </c>
      <c r="AA837">
        <v>18</v>
      </c>
      <c r="AB837">
        <v>9929</v>
      </c>
      <c r="AC837">
        <v>0</v>
      </c>
      <c r="AD837">
        <v>391211942522</v>
      </c>
      <c r="AE837">
        <v>416739473.38</v>
      </c>
      <c r="AF837">
        <v>374875537212</v>
      </c>
      <c r="AG837">
        <v>389844400369.34998</v>
      </c>
      <c r="AH837">
        <v>0.39257799999999998</v>
      </c>
      <c r="AI837">
        <v>2.8778000000000001E-2</v>
      </c>
    </row>
    <row r="838" spans="1:35" x14ac:dyDescent="0.35">
      <c r="A838" t="s">
        <v>2</v>
      </c>
      <c r="B838">
        <v>5750</v>
      </c>
      <c r="C838">
        <v>16</v>
      </c>
      <c r="D838">
        <v>545</v>
      </c>
      <c r="E838">
        <v>0</v>
      </c>
      <c r="F838">
        <v>12186490304</v>
      </c>
      <c r="G838">
        <v>14058040.800000001</v>
      </c>
      <c r="H838">
        <v>12139287587.950001</v>
      </c>
      <c r="I838">
        <v>12165685159.549999</v>
      </c>
      <c r="J838">
        <v>3.2154000000000002E-2</v>
      </c>
      <c r="K838">
        <v>6.6239999999999997E-3</v>
      </c>
      <c r="M838" t="s">
        <v>2</v>
      </c>
      <c r="N838">
        <v>6500</v>
      </c>
      <c r="O838">
        <v>16</v>
      </c>
      <c r="P838">
        <v>755</v>
      </c>
      <c r="Q838">
        <v>0</v>
      </c>
      <c r="R838">
        <v>14762228476</v>
      </c>
      <c r="S838">
        <v>14829479.640000001</v>
      </c>
      <c r="T838">
        <v>14670184677.1</v>
      </c>
      <c r="U838">
        <v>14740982608.52</v>
      </c>
      <c r="V838">
        <v>6.0991999999999998E-2</v>
      </c>
      <c r="W838">
        <v>5.2030000000000002E-3</v>
      </c>
      <c r="Y838" t="s">
        <v>2</v>
      </c>
      <c r="Z838">
        <v>6250</v>
      </c>
      <c r="AA838">
        <v>16</v>
      </c>
      <c r="AB838">
        <v>823</v>
      </c>
      <c r="AC838">
        <v>0</v>
      </c>
      <c r="AD838">
        <v>17163324189</v>
      </c>
      <c r="AE838">
        <v>18060385.170000002</v>
      </c>
      <c r="AF838">
        <v>17144027734</v>
      </c>
      <c r="AG838">
        <v>17144027734</v>
      </c>
      <c r="AH838">
        <v>8.6399999999999997E-4</v>
      </c>
      <c r="AI838">
        <v>8.6399999999999997E-4</v>
      </c>
    </row>
    <row r="839" spans="1:35" x14ac:dyDescent="0.35">
      <c r="A839" t="s">
        <v>2</v>
      </c>
      <c r="B839">
        <v>6000</v>
      </c>
      <c r="C839">
        <v>16</v>
      </c>
      <c r="D839">
        <v>522</v>
      </c>
      <c r="E839">
        <v>0</v>
      </c>
      <c r="F839">
        <v>10589330466</v>
      </c>
      <c r="G839">
        <v>11655485.189999999</v>
      </c>
      <c r="H839">
        <v>10537304144.34</v>
      </c>
      <c r="I839">
        <v>10569228958.790001</v>
      </c>
      <c r="J839">
        <v>4.4802000000000002E-2</v>
      </c>
      <c r="K839">
        <v>9.5289999999999993E-3</v>
      </c>
      <c r="M839" t="s">
        <v>1</v>
      </c>
      <c r="N839">
        <v>7250</v>
      </c>
      <c r="O839">
        <v>20</v>
      </c>
      <c r="P839">
        <v>1346</v>
      </c>
      <c r="Q839">
        <v>0</v>
      </c>
      <c r="R839">
        <v>36340660815</v>
      </c>
      <c r="S839">
        <v>32923528.949999999</v>
      </c>
      <c r="T839">
        <v>33782266280.27</v>
      </c>
      <c r="U839">
        <v>35572720212.029999</v>
      </c>
      <c r="V839">
        <v>0.57866399999999996</v>
      </c>
      <c r="W839">
        <v>0.21745</v>
      </c>
      <c r="Y839" t="s">
        <v>0</v>
      </c>
      <c r="Z839">
        <v>7250</v>
      </c>
      <c r="AA839">
        <v>16</v>
      </c>
      <c r="AB839">
        <v>11647</v>
      </c>
      <c r="AC839">
        <v>0</v>
      </c>
      <c r="AD839">
        <v>305166188065</v>
      </c>
      <c r="AE839">
        <v>267647308.61000001</v>
      </c>
      <c r="AF839">
        <v>297085358728</v>
      </c>
      <c r="AG839">
        <v>303464719113.45001</v>
      </c>
      <c r="AH839">
        <v>0.267461</v>
      </c>
      <c r="AI839">
        <v>5.4947999999999997E-2</v>
      </c>
    </row>
    <row r="840" spans="1:35" x14ac:dyDescent="0.35">
      <c r="A840" t="s">
        <v>0</v>
      </c>
      <c r="B840">
        <v>6000</v>
      </c>
      <c r="C840">
        <v>16</v>
      </c>
      <c r="D840">
        <v>9142</v>
      </c>
      <c r="E840">
        <v>0</v>
      </c>
      <c r="F840">
        <v>280610533333</v>
      </c>
      <c r="G840">
        <v>308856800.13999999</v>
      </c>
      <c r="H840">
        <v>276516236657.96997</v>
      </c>
      <c r="I840">
        <v>279636882744.31</v>
      </c>
      <c r="J840">
        <v>0.150393</v>
      </c>
      <c r="K840">
        <v>2.8062E-2</v>
      </c>
      <c r="M840" t="s">
        <v>1</v>
      </c>
      <c r="N840">
        <v>6500</v>
      </c>
      <c r="O840">
        <v>20</v>
      </c>
      <c r="P840">
        <v>1836</v>
      </c>
      <c r="Q840">
        <v>0</v>
      </c>
      <c r="R840">
        <v>58087477575</v>
      </c>
      <c r="S840">
        <v>59907569.960000001</v>
      </c>
      <c r="T840">
        <v>55243899338.230003</v>
      </c>
      <c r="U840">
        <v>57777073648.029999</v>
      </c>
      <c r="V840">
        <v>0.44528499999999999</v>
      </c>
      <c r="W840">
        <v>5.0539000000000001E-2</v>
      </c>
      <c r="Y840" t="s">
        <v>0</v>
      </c>
      <c r="Z840">
        <v>7500</v>
      </c>
      <c r="AA840">
        <v>16</v>
      </c>
      <c r="AB840">
        <v>2028</v>
      </c>
      <c r="AC840">
        <v>0</v>
      </c>
      <c r="AD840">
        <v>52827731954</v>
      </c>
      <c r="AE840">
        <v>44280886.340000004</v>
      </c>
      <c r="AF840">
        <v>52057891821</v>
      </c>
      <c r="AG840">
        <v>52439340484.860001</v>
      </c>
      <c r="AH840">
        <v>0.152916</v>
      </c>
      <c r="AI840">
        <v>7.5425000000000006E-2</v>
      </c>
    </row>
    <row r="841" spans="1:35" x14ac:dyDescent="0.35">
      <c r="A841" t="s">
        <v>0</v>
      </c>
      <c r="B841">
        <v>7250</v>
      </c>
      <c r="C841">
        <v>16</v>
      </c>
      <c r="D841">
        <v>7132</v>
      </c>
      <c r="E841">
        <v>0</v>
      </c>
      <c r="F841">
        <v>182204532828</v>
      </c>
      <c r="G841">
        <v>159859679.65000001</v>
      </c>
      <c r="H841">
        <v>176784308900.56</v>
      </c>
      <c r="I841">
        <v>180563196906.44</v>
      </c>
      <c r="J841">
        <v>0.29640100000000003</v>
      </c>
      <c r="K841">
        <v>9.3323000000000003E-2</v>
      </c>
      <c r="M841" t="s">
        <v>2</v>
      </c>
      <c r="N841">
        <v>6250</v>
      </c>
      <c r="O841">
        <v>20</v>
      </c>
      <c r="P841">
        <v>779</v>
      </c>
      <c r="Q841">
        <v>0</v>
      </c>
      <c r="R841">
        <v>15660348342</v>
      </c>
      <c r="S841">
        <v>16922719.399999999</v>
      </c>
      <c r="T841">
        <v>15559436540.09</v>
      </c>
      <c r="U841">
        <v>15627686573.66</v>
      </c>
      <c r="V841">
        <v>6.2493E-2</v>
      </c>
      <c r="W841">
        <v>1.1993999999999999E-2</v>
      </c>
      <c r="Y841" t="s">
        <v>1</v>
      </c>
      <c r="Z841">
        <v>5250</v>
      </c>
      <c r="AA841">
        <v>16</v>
      </c>
      <c r="AB841">
        <v>2416</v>
      </c>
      <c r="AC841">
        <v>0</v>
      </c>
      <c r="AD841">
        <v>103453593785</v>
      </c>
      <c r="AE841">
        <v>129814633.79000001</v>
      </c>
      <c r="AF841">
        <v>102616105895</v>
      </c>
      <c r="AG841">
        <v>103164595676.27</v>
      </c>
      <c r="AH841">
        <v>7.9066999999999998E-2</v>
      </c>
      <c r="AI841">
        <v>1.8308999999999999E-2</v>
      </c>
    </row>
    <row r="842" spans="1:35" x14ac:dyDescent="0.35">
      <c r="A842" t="s">
        <v>0</v>
      </c>
      <c r="B842">
        <v>7500</v>
      </c>
      <c r="C842">
        <v>16</v>
      </c>
      <c r="D842">
        <v>1486</v>
      </c>
      <c r="E842">
        <v>0</v>
      </c>
      <c r="F842">
        <v>38250498006</v>
      </c>
      <c r="G842">
        <v>32084394.75</v>
      </c>
      <c r="H842">
        <v>37326764624.470001</v>
      </c>
      <c r="I842">
        <v>37959635218.110001</v>
      </c>
      <c r="J842">
        <v>0.24651100000000001</v>
      </c>
      <c r="K842">
        <v>7.8230999999999995E-2</v>
      </c>
      <c r="M842" t="s">
        <v>1</v>
      </c>
      <c r="N842">
        <v>8000</v>
      </c>
      <c r="O842">
        <v>24</v>
      </c>
      <c r="P842">
        <v>374</v>
      </c>
      <c r="Q842">
        <v>0</v>
      </c>
      <c r="R842">
        <v>8608239045</v>
      </c>
      <c r="S842">
        <v>6898909.4699999997</v>
      </c>
      <c r="T842">
        <v>8060626359.4399996</v>
      </c>
      <c r="U842">
        <v>8454849989.3100004</v>
      </c>
      <c r="V842">
        <v>0.54089500000000001</v>
      </c>
      <c r="W842">
        <v>0.18614</v>
      </c>
      <c r="Y842" t="s">
        <v>1</v>
      </c>
      <c r="Z842">
        <v>6000</v>
      </c>
      <c r="AA842">
        <v>16</v>
      </c>
      <c r="AB842">
        <v>7350</v>
      </c>
      <c r="AC842">
        <v>0</v>
      </c>
      <c r="AD842">
        <v>285804768944</v>
      </c>
      <c r="AE842">
        <v>314706354.62</v>
      </c>
      <c r="AF842">
        <v>275628413441</v>
      </c>
      <c r="AG842">
        <v>284769376733.5</v>
      </c>
      <c r="AH842">
        <v>0.34385300000000002</v>
      </c>
      <c r="AI842">
        <v>2.9843000000000001E-2</v>
      </c>
    </row>
    <row r="843" spans="1:35" x14ac:dyDescent="0.35">
      <c r="A843" t="s">
        <v>2</v>
      </c>
      <c r="B843">
        <v>6250</v>
      </c>
      <c r="C843">
        <v>16</v>
      </c>
      <c r="D843">
        <v>1164</v>
      </c>
      <c r="E843">
        <v>0</v>
      </c>
      <c r="F843">
        <v>23238346599</v>
      </c>
      <c r="G843">
        <v>24505663.420000002</v>
      </c>
      <c r="H843">
        <v>23108385417.290001</v>
      </c>
      <c r="I843">
        <v>23191761468.389999</v>
      </c>
      <c r="J843">
        <v>5.3116999999999998E-2</v>
      </c>
      <c r="K843">
        <v>1.1342E-2</v>
      </c>
      <c r="M843" t="s">
        <v>1</v>
      </c>
      <c r="N843">
        <v>7000</v>
      </c>
      <c r="O843">
        <v>20</v>
      </c>
      <c r="P843">
        <v>618</v>
      </c>
      <c r="Q843">
        <v>0</v>
      </c>
      <c r="R843">
        <v>15822642500</v>
      </c>
      <c r="S843">
        <v>14998721.18</v>
      </c>
      <c r="T843">
        <v>14895994038.9</v>
      </c>
      <c r="U843">
        <v>15598706082.450001</v>
      </c>
      <c r="V843">
        <v>0.50939699999999999</v>
      </c>
      <c r="W843">
        <v>0.14744299999999999</v>
      </c>
      <c r="Y843" t="s">
        <v>0</v>
      </c>
      <c r="Z843">
        <v>6750</v>
      </c>
      <c r="AA843">
        <v>14</v>
      </c>
      <c r="AB843">
        <v>14580</v>
      </c>
      <c r="AC843">
        <v>0</v>
      </c>
      <c r="AD843">
        <v>401964250351</v>
      </c>
      <c r="AE843">
        <v>382849841.25</v>
      </c>
      <c r="AF843">
        <v>392732204380</v>
      </c>
      <c r="AG843">
        <v>399967881784.34998</v>
      </c>
      <c r="AH843">
        <v>0.234426</v>
      </c>
      <c r="AI843">
        <v>4.7120000000000002E-2</v>
      </c>
    </row>
    <row r="844" spans="1:35" x14ac:dyDescent="0.35">
      <c r="A844" t="s">
        <v>2</v>
      </c>
      <c r="B844">
        <v>5000</v>
      </c>
      <c r="C844">
        <v>16</v>
      </c>
      <c r="D844">
        <v>121</v>
      </c>
      <c r="E844">
        <v>0</v>
      </c>
      <c r="F844">
        <v>3063396047</v>
      </c>
      <c r="G844">
        <v>4024618.2</v>
      </c>
      <c r="H844">
        <v>3054348696.27</v>
      </c>
      <c r="I844">
        <v>3059140429.71</v>
      </c>
      <c r="J844">
        <v>1.9498999999999999E-2</v>
      </c>
      <c r="K844">
        <v>9.0399999999999996E-4</v>
      </c>
      <c r="M844" t="s">
        <v>2</v>
      </c>
      <c r="N844">
        <v>7000</v>
      </c>
      <c r="O844">
        <v>18</v>
      </c>
      <c r="P844">
        <v>378</v>
      </c>
      <c r="Q844">
        <v>0</v>
      </c>
      <c r="R844">
        <v>6235671900</v>
      </c>
      <c r="S844">
        <v>5806918.6500000004</v>
      </c>
      <c r="T844">
        <v>6163848516.8000002</v>
      </c>
      <c r="U844">
        <v>6208348129.1199999</v>
      </c>
      <c r="V844">
        <v>0.11990000000000001</v>
      </c>
      <c r="W844">
        <v>4.0629999999999999E-2</v>
      </c>
      <c r="Y844" t="s">
        <v>0</v>
      </c>
      <c r="Z844">
        <v>7250</v>
      </c>
      <c r="AA844">
        <v>14</v>
      </c>
      <c r="AB844">
        <v>3986</v>
      </c>
      <c r="AC844">
        <v>0</v>
      </c>
      <c r="AD844">
        <v>101259576718</v>
      </c>
      <c r="AE844">
        <v>87582890.870000005</v>
      </c>
      <c r="AF844">
        <v>98999815902</v>
      </c>
      <c r="AG844">
        <v>100639593266.06</v>
      </c>
      <c r="AH844">
        <v>0.22911799999999999</v>
      </c>
      <c r="AI844">
        <v>6.13E-2</v>
      </c>
    </row>
    <row r="845" spans="1:35" x14ac:dyDescent="0.35">
      <c r="A845" t="s">
        <v>0</v>
      </c>
      <c r="B845">
        <v>5250</v>
      </c>
      <c r="C845">
        <v>16</v>
      </c>
      <c r="D845">
        <v>5468</v>
      </c>
      <c r="E845">
        <v>0</v>
      </c>
      <c r="F845">
        <v>198954553422</v>
      </c>
      <c r="G845">
        <v>250177404.41</v>
      </c>
      <c r="H845">
        <v>197587007145.35999</v>
      </c>
      <c r="I845">
        <v>198406580849.76001</v>
      </c>
      <c r="J845">
        <v>6.5351000000000006E-2</v>
      </c>
      <c r="K845">
        <v>1.7814E-2</v>
      </c>
      <c r="M845" t="s">
        <v>1</v>
      </c>
      <c r="N845">
        <v>7500</v>
      </c>
      <c r="O845">
        <v>18</v>
      </c>
      <c r="P845">
        <v>405</v>
      </c>
      <c r="Q845">
        <v>0</v>
      </c>
      <c r="R845">
        <v>10507010142</v>
      </c>
      <c r="S845">
        <v>9208792.1199999992</v>
      </c>
      <c r="T845">
        <v>9740088249.3700008</v>
      </c>
      <c r="U845">
        <v>10196130941.51</v>
      </c>
      <c r="V845">
        <v>0.59268600000000005</v>
      </c>
      <c r="W845">
        <v>0.29501500000000003</v>
      </c>
      <c r="Y845" t="s">
        <v>2</v>
      </c>
      <c r="Z845">
        <v>5000</v>
      </c>
      <c r="AA845">
        <v>16</v>
      </c>
      <c r="AB845">
        <v>81</v>
      </c>
      <c r="AC845">
        <v>0</v>
      </c>
      <c r="AD845">
        <v>2137834117</v>
      </c>
      <c r="AE845">
        <v>2807321.08</v>
      </c>
      <c r="AF845">
        <v>2135285701</v>
      </c>
      <c r="AG845">
        <v>2135285701</v>
      </c>
      <c r="AH845">
        <v>-1.454E-3</v>
      </c>
      <c r="AI845">
        <v>-1.454E-3</v>
      </c>
    </row>
    <row r="846" spans="1:35" x14ac:dyDescent="0.35">
      <c r="A846" t="s">
        <v>1</v>
      </c>
      <c r="B846">
        <v>5500</v>
      </c>
      <c r="C846">
        <v>16</v>
      </c>
      <c r="D846">
        <v>6945</v>
      </c>
      <c r="E846">
        <v>0</v>
      </c>
      <c r="F846">
        <v>284913931964</v>
      </c>
      <c r="G846">
        <v>342928611.17000002</v>
      </c>
      <c r="H846">
        <v>279914571633.44</v>
      </c>
      <c r="I846">
        <v>284060931082.21997</v>
      </c>
      <c r="J846">
        <v>0.17941699999999999</v>
      </c>
      <c r="K846">
        <v>2.1273E-2</v>
      </c>
      <c r="M846" t="s">
        <v>2</v>
      </c>
      <c r="N846">
        <v>7500</v>
      </c>
      <c r="O846">
        <v>18</v>
      </c>
      <c r="P846">
        <v>115</v>
      </c>
      <c r="Q846">
        <v>0</v>
      </c>
      <c r="R846">
        <v>1497274799</v>
      </c>
      <c r="S846">
        <v>1272848.49</v>
      </c>
      <c r="T846">
        <v>1464001973.22</v>
      </c>
      <c r="U846">
        <v>1476461480.5</v>
      </c>
      <c r="V846">
        <v>0.22836699999999999</v>
      </c>
      <c r="W846">
        <v>0.145842</v>
      </c>
      <c r="Y846" t="s">
        <v>0</v>
      </c>
      <c r="Z846">
        <v>5250</v>
      </c>
      <c r="AA846">
        <v>14</v>
      </c>
      <c r="AB846">
        <v>11322</v>
      </c>
      <c r="AC846">
        <v>0</v>
      </c>
      <c r="AD846">
        <v>408791886542</v>
      </c>
      <c r="AE846">
        <v>508308406.75</v>
      </c>
      <c r="AF846">
        <v>407172193320</v>
      </c>
      <c r="AG846">
        <v>408120984825.96002</v>
      </c>
      <c r="AH846">
        <v>3.2141000000000003E-2</v>
      </c>
      <c r="AI846">
        <v>4.7619999999999997E-3</v>
      </c>
    </row>
    <row r="847" spans="1:35" x14ac:dyDescent="0.35">
      <c r="A847" t="s">
        <v>1</v>
      </c>
      <c r="B847">
        <v>6000</v>
      </c>
      <c r="C847">
        <v>16</v>
      </c>
      <c r="D847">
        <v>6839</v>
      </c>
      <c r="E847">
        <v>0</v>
      </c>
      <c r="F847">
        <v>247856505029</v>
      </c>
      <c r="G847">
        <v>273096423.82999998</v>
      </c>
      <c r="H847">
        <v>236490008619.10001</v>
      </c>
      <c r="I847">
        <v>247037862035.20001</v>
      </c>
      <c r="J847">
        <v>0.42274899999999999</v>
      </c>
      <c r="K847">
        <v>2.6095E-2</v>
      </c>
      <c r="M847" t="s">
        <v>1</v>
      </c>
      <c r="N847">
        <v>6500</v>
      </c>
      <c r="O847">
        <v>16</v>
      </c>
      <c r="P847">
        <v>6342</v>
      </c>
      <c r="Q847">
        <v>0</v>
      </c>
      <c r="R847">
        <v>234778981953</v>
      </c>
      <c r="S847">
        <v>236266157.03999999</v>
      </c>
      <c r="T847">
        <v>219371954540.39001</v>
      </c>
      <c r="U847">
        <v>234045596595.01999</v>
      </c>
      <c r="V847">
        <v>0.55138600000000004</v>
      </c>
      <c r="W847">
        <v>2.5114999999999998E-2</v>
      </c>
      <c r="Y847" t="s">
        <v>0</v>
      </c>
      <c r="Z847">
        <v>5250</v>
      </c>
      <c r="AA847">
        <v>16</v>
      </c>
      <c r="AB847">
        <v>2377</v>
      </c>
      <c r="AC847">
        <v>0</v>
      </c>
      <c r="AD847">
        <v>86065710929</v>
      </c>
      <c r="AE847">
        <v>108210489.44</v>
      </c>
      <c r="AF847">
        <v>85588966737</v>
      </c>
      <c r="AG847">
        <v>85881610827.779999</v>
      </c>
      <c r="AH847">
        <v>5.0191E-2</v>
      </c>
      <c r="AI847">
        <v>1.0529999999999999E-2</v>
      </c>
    </row>
    <row r="848" spans="1:35" x14ac:dyDescent="0.35">
      <c r="A848" t="s">
        <v>0</v>
      </c>
      <c r="B848">
        <v>6250</v>
      </c>
      <c r="C848">
        <v>16</v>
      </c>
      <c r="D848">
        <v>26711</v>
      </c>
      <c r="E848">
        <v>0</v>
      </c>
      <c r="F848">
        <v>860697289671</v>
      </c>
      <c r="G848">
        <v>907230044.89999998</v>
      </c>
      <c r="H848">
        <v>841506890960.70996</v>
      </c>
      <c r="I848">
        <v>856020918491.19995</v>
      </c>
      <c r="J848">
        <v>0.22713700000000001</v>
      </c>
      <c r="K848">
        <v>5.1303000000000001E-2</v>
      </c>
      <c r="M848" t="s">
        <v>2</v>
      </c>
      <c r="N848">
        <v>7000</v>
      </c>
      <c r="O848">
        <v>14</v>
      </c>
      <c r="P848">
        <v>530</v>
      </c>
      <c r="Q848">
        <v>0</v>
      </c>
      <c r="R848">
        <v>8794676186</v>
      </c>
      <c r="S848">
        <v>7979936.29</v>
      </c>
      <c r="T848">
        <v>8703553245.3500004</v>
      </c>
      <c r="U848">
        <v>8768138011.7099991</v>
      </c>
      <c r="V848">
        <v>0.10772900000000001</v>
      </c>
      <c r="W848">
        <v>2.503E-2</v>
      </c>
      <c r="Y848" t="s">
        <v>0</v>
      </c>
      <c r="Z848">
        <v>5500</v>
      </c>
      <c r="AA848">
        <v>14</v>
      </c>
      <c r="AB848">
        <v>8749</v>
      </c>
      <c r="AC848">
        <v>0</v>
      </c>
      <c r="AD848">
        <v>294279926352</v>
      </c>
      <c r="AE848">
        <v>349659145.30000001</v>
      </c>
      <c r="AF848">
        <v>292762736478</v>
      </c>
      <c r="AG848">
        <v>293603696144.53998</v>
      </c>
      <c r="AH848">
        <v>4.6584E-2</v>
      </c>
      <c r="AI848">
        <v>1.3236E-2</v>
      </c>
    </row>
    <row r="849" spans="1:35" x14ac:dyDescent="0.35">
      <c r="A849" t="s">
        <v>1</v>
      </c>
      <c r="B849">
        <v>6250</v>
      </c>
      <c r="C849">
        <v>16</v>
      </c>
      <c r="D849">
        <v>14894</v>
      </c>
      <c r="E849">
        <v>0</v>
      </c>
      <c r="F849">
        <v>539317198541</v>
      </c>
      <c r="G849">
        <v>569219948.77999997</v>
      </c>
      <c r="H849">
        <v>510094968617.90997</v>
      </c>
      <c r="I849">
        <v>537004654960.46002</v>
      </c>
      <c r="J849">
        <v>0.48060999999999998</v>
      </c>
      <c r="K849">
        <v>3.8107000000000002E-2</v>
      </c>
      <c r="M849" t="s">
        <v>1</v>
      </c>
      <c r="N849">
        <v>7000</v>
      </c>
      <c r="O849">
        <v>14</v>
      </c>
      <c r="P849">
        <v>1353</v>
      </c>
      <c r="Q849">
        <v>0</v>
      </c>
      <c r="R849">
        <v>39229419550</v>
      </c>
      <c r="S849">
        <v>35677561.689999998</v>
      </c>
      <c r="T849">
        <v>35770171871.150002</v>
      </c>
      <c r="U849">
        <v>38828364599.830002</v>
      </c>
      <c r="V849">
        <v>0.66572399999999998</v>
      </c>
      <c r="W849">
        <v>0.106215</v>
      </c>
      <c r="Y849" t="s">
        <v>1</v>
      </c>
      <c r="Z849">
        <v>5500</v>
      </c>
      <c r="AA849">
        <v>14</v>
      </c>
      <c r="AB849">
        <v>10042</v>
      </c>
      <c r="AC849">
        <v>0</v>
      </c>
      <c r="AD849">
        <v>403260814875</v>
      </c>
      <c r="AE849">
        <v>480514460.01999998</v>
      </c>
      <c r="AF849">
        <v>400179912063</v>
      </c>
      <c r="AG849">
        <v>402053340864.73999</v>
      </c>
      <c r="AH849">
        <v>7.4694999999999998E-2</v>
      </c>
      <c r="AI849">
        <v>2.1419000000000001E-2</v>
      </c>
    </row>
    <row r="850" spans="1:35" x14ac:dyDescent="0.35">
      <c r="A850" t="s">
        <v>1</v>
      </c>
      <c r="B850">
        <v>6750</v>
      </c>
      <c r="C850">
        <v>16</v>
      </c>
      <c r="D850">
        <v>5562</v>
      </c>
      <c r="E850">
        <v>0</v>
      </c>
      <c r="F850">
        <v>169398264157</v>
      </c>
      <c r="G850">
        <v>163446819.11000001</v>
      </c>
      <c r="H850">
        <v>157672055628.45001</v>
      </c>
      <c r="I850">
        <v>168233430560.09</v>
      </c>
      <c r="J850">
        <v>0.57189599999999996</v>
      </c>
      <c r="K850">
        <v>6.8676000000000001E-2</v>
      </c>
      <c r="M850" t="s">
        <v>0</v>
      </c>
      <c r="N850">
        <v>6500</v>
      </c>
      <c r="O850">
        <v>12</v>
      </c>
      <c r="P850">
        <v>8032</v>
      </c>
      <c r="Q850">
        <v>0</v>
      </c>
      <c r="R850">
        <v>208269580108</v>
      </c>
      <c r="S850">
        <v>204571875.21000001</v>
      </c>
      <c r="T850">
        <v>203018309899.38</v>
      </c>
      <c r="U850">
        <v>206645847609.13</v>
      </c>
      <c r="V850">
        <v>0.254992</v>
      </c>
      <c r="W850">
        <v>7.8772999999999996E-2</v>
      </c>
      <c r="Y850" t="s">
        <v>2</v>
      </c>
      <c r="Z850">
        <v>5500</v>
      </c>
      <c r="AA850">
        <v>14</v>
      </c>
      <c r="AB850">
        <v>386</v>
      </c>
      <c r="AC850">
        <v>0</v>
      </c>
      <c r="AD850">
        <v>8456931956</v>
      </c>
      <c r="AE850">
        <v>10050073.25</v>
      </c>
      <c r="AF850">
        <v>8446939924</v>
      </c>
      <c r="AG850">
        <v>8446939924</v>
      </c>
      <c r="AH850">
        <v>-8.2000000000000001E-5</v>
      </c>
      <c r="AI850">
        <v>-8.2000000000000001E-5</v>
      </c>
    </row>
    <row r="851" spans="1:35" x14ac:dyDescent="0.35">
      <c r="A851" t="s">
        <v>1</v>
      </c>
      <c r="B851">
        <v>4750</v>
      </c>
      <c r="C851">
        <v>14</v>
      </c>
      <c r="D851">
        <v>2549</v>
      </c>
      <c r="E851">
        <v>0</v>
      </c>
      <c r="F851">
        <v>112774217208</v>
      </c>
      <c r="G851">
        <v>153098137.91</v>
      </c>
      <c r="H851">
        <v>111567222450.09</v>
      </c>
      <c r="I851">
        <v>112464190822.03</v>
      </c>
      <c r="J851">
        <v>0.106554</v>
      </c>
      <c r="K851">
        <v>1.6570999999999999E-2</v>
      </c>
      <c r="M851" t="s">
        <v>2</v>
      </c>
      <c r="N851">
        <v>6500</v>
      </c>
      <c r="O851">
        <v>12</v>
      </c>
      <c r="P851">
        <v>633</v>
      </c>
      <c r="Q851">
        <v>0</v>
      </c>
      <c r="R851">
        <v>10843239267</v>
      </c>
      <c r="S851">
        <v>10657161.539999999</v>
      </c>
      <c r="T851">
        <v>10776567781.379999</v>
      </c>
      <c r="U851">
        <v>10822100791.08</v>
      </c>
      <c r="V851">
        <v>6.0259E-2</v>
      </c>
      <c r="W851">
        <v>1.1538E-2</v>
      </c>
      <c r="Y851" t="s">
        <v>0</v>
      </c>
      <c r="Z851">
        <v>5750</v>
      </c>
      <c r="AA851">
        <v>14</v>
      </c>
      <c r="AB851">
        <v>32609</v>
      </c>
      <c r="AC851">
        <v>0</v>
      </c>
      <c r="AD851">
        <v>1135437869526</v>
      </c>
      <c r="AE851">
        <v>1293631952.8800001</v>
      </c>
      <c r="AF851">
        <v>1129050285374</v>
      </c>
      <c r="AG851">
        <v>1133106728088.24</v>
      </c>
      <c r="AH851">
        <v>5.2526999999999997E-2</v>
      </c>
      <c r="AI851">
        <v>1.091E-2</v>
      </c>
    </row>
    <row r="852" spans="1:35" x14ac:dyDescent="0.35">
      <c r="A852" t="s">
        <v>1</v>
      </c>
      <c r="B852">
        <v>4750</v>
      </c>
      <c r="C852">
        <v>16</v>
      </c>
      <c r="D852">
        <v>1066</v>
      </c>
      <c r="E852">
        <v>0</v>
      </c>
      <c r="F852">
        <v>41579706599</v>
      </c>
      <c r="G852">
        <v>56928085.289999999</v>
      </c>
      <c r="H852">
        <v>41234616594.440002</v>
      </c>
      <c r="I852">
        <v>41447962195.879997</v>
      </c>
      <c r="J852">
        <v>8.0065999999999998E-2</v>
      </c>
      <c r="K852">
        <v>2.138E-2</v>
      </c>
      <c r="M852" t="s">
        <v>1</v>
      </c>
      <c r="N852">
        <v>6500</v>
      </c>
      <c r="O852">
        <v>12</v>
      </c>
      <c r="P852">
        <v>1568</v>
      </c>
      <c r="Q852">
        <v>0</v>
      </c>
      <c r="R852">
        <v>46866172277</v>
      </c>
      <c r="S852">
        <v>46217103.020000003</v>
      </c>
      <c r="T852">
        <v>43506719893.720001</v>
      </c>
      <c r="U852">
        <v>46576421303.279999</v>
      </c>
      <c r="V852">
        <v>0.58514600000000005</v>
      </c>
      <c r="W852">
        <v>6.0604999999999999E-2</v>
      </c>
      <c r="Y852" t="s">
        <v>2</v>
      </c>
      <c r="Z852">
        <v>5750</v>
      </c>
      <c r="AA852">
        <v>14</v>
      </c>
      <c r="AB852">
        <v>1075</v>
      </c>
      <c r="AC852">
        <v>0</v>
      </c>
      <c r="AD852">
        <v>23460536058</v>
      </c>
      <c r="AE852">
        <v>26798163.440000001</v>
      </c>
      <c r="AF852">
        <v>23412538388</v>
      </c>
      <c r="AG852">
        <v>23433367438.080002</v>
      </c>
      <c r="AH852">
        <v>1.0789999999999999E-2</v>
      </c>
      <c r="AI852">
        <v>1.8900000000000001E-4</v>
      </c>
    </row>
    <row r="853" spans="1:35" x14ac:dyDescent="0.35">
      <c r="A853" t="s">
        <v>0</v>
      </c>
      <c r="B853">
        <v>4750</v>
      </c>
      <c r="C853">
        <v>16</v>
      </c>
      <c r="D853">
        <v>1667</v>
      </c>
      <c r="E853">
        <v>0</v>
      </c>
      <c r="F853">
        <v>57089764652</v>
      </c>
      <c r="G853">
        <v>78276328.590000004</v>
      </c>
      <c r="H853">
        <v>56897380068.559998</v>
      </c>
      <c r="I853">
        <v>56983494225.739998</v>
      </c>
      <c r="J853">
        <v>2.3723000000000001E-2</v>
      </c>
      <c r="K853">
        <v>5.868E-3</v>
      </c>
      <c r="M853" t="s">
        <v>0</v>
      </c>
      <c r="N853">
        <v>7000</v>
      </c>
      <c r="O853">
        <v>12</v>
      </c>
      <c r="P853">
        <v>3746</v>
      </c>
      <c r="Q853">
        <v>0</v>
      </c>
      <c r="R853">
        <v>97289274625</v>
      </c>
      <c r="S853">
        <v>87188775.730000004</v>
      </c>
      <c r="T853">
        <v>94243999217.309998</v>
      </c>
      <c r="U853">
        <v>96753147051.070007</v>
      </c>
      <c r="V853">
        <v>0.30962699999999999</v>
      </c>
      <c r="W853">
        <v>5.3990000000000003E-2</v>
      </c>
      <c r="Y853" t="s">
        <v>2</v>
      </c>
      <c r="Z853">
        <v>6000</v>
      </c>
      <c r="AA853">
        <v>14</v>
      </c>
      <c r="AB853">
        <v>706</v>
      </c>
      <c r="AC853">
        <v>0</v>
      </c>
      <c r="AD853">
        <v>13813316858</v>
      </c>
      <c r="AE853">
        <v>15022074.27</v>
      </c>
      <c r="AF853">
        <v>13769499987</v>
      </c>
      <c r="AG853">
        <v>13796884544.639999</v>
      </c>
      <c r="AH853">
        <v>2.4729999999999999E-2</v>
      </c>
      <c r="AI853">
        <v>1.224E-3</v>
      </c>
    </row>
    <row r="854" spans="1:35" x14ac:dyDescent="0.35">
      <c r="A854" t="s">
        <v>0</v>
      </c>
      <c r="B854">
        <v>5000</v>
      </c>
      <c r="C854">
        <v>16</v>
      </c>
      <c r="D854">
        <v>5694</v>
      </c>
      <c r="E854">
        <v>0</v>
      </c>
      <c r="F854">
        <v>197308476937</v>
      </c>
      <c r="G854">
        <v>259284902.66999999</v>
      </c>
      <c r="H854">
        <v>196542140806.29001</v>
      </c>
      <c r="I854">
        <v>196897618982.70999</v>
      </c>
      <c r="J854">
        <v>3.0405999999999999E-2</v>
      </c>
      <c r="K854">
        <v>9.1800000000000007E-3</v>
      </c>
      <c r="M854" t="s">
        <v>2</v>
      </c>
      <c r="N854">
        <v>7000</v>
      </c>
      <c r="O854">
        <v>12</v>
      </c>
      <c r="P854">
        <v>163</v>
      </c>
      <c r="Q854">
        <v>0</v>
      </c>
      <c r="R854">
        <v>2395517662</v>
      </c>
      <c r="S854">
        <v>2143820.14</v>
      </c>
      <c r="T854">
        <v>2370393207.6300001</v>
      </c>
      <c r="U854">
        <v>2388624828.1900001</v>
      </c>
      <c r="V854">
        <v>0.109234</v>
      </c>
      <c r="W854">
        <v>2.3532000000000001E-2</v>
      </c>
      <c r="Y854" t="s">
        <v>0</v>
      </c>
      <c r="Z854">
        <v>6000</v>
      </c>
      <c r="AA854">
        <v>14</v>
      </c>
      <c r="AB854">
        <v>9315</v>
      </c>
      <c r="AC854">
        <v>0</v>
      </c>
      <c r="AD854">
        <v>270158736277</v>
      </c>
      <c r="AE854">
        <v>294010915.05000001</v>
      </c>
      <c r="AF854">
        <v>268228577574</v>
      </c>
      <c r="AG854">
        <v>269419604926.41</v>
      </c>
      <c r="AH854">
        <v>7.0302000000000003E-2</v>
      </c>
      <c r="AI854">
        <v>1.9592999999999999E-2</v>
      </c>
    </row>
    <row r="855" spans="1:35" x14ac:dyDescent="0.35">
      <c r="A855" t="s">
        <v>0</v>
      </c>
      <c r="B855">
        <v>5000</v>
      </c>
      <c r="C855">
        <v>14</v>
      </c>
      <c r="D855">
        <v>6192</v>
      </c>
      <c r="E855">
        <v>0</v>
      </c>
      <c r="F855">
        <v>216136787953</v>
      </c>
      <c r="G855">
        <v>281350999.25999999</v>
      </c>
      <c r="H855">
        <v>215093242829.5</v>
      </c>
      <c r="I855">
        <v>215680624261.63</v>
      </c>
      <c r="J855">
        <v>4.1506000000000001E-2</v>
      </c>
      <c r="K855">
        <v>9.6629999999999997E-3</v>
      </c>
      <c r="M855" t="s">
        <v>2</v>
      </c>
      <c r="N855">
        <v>7250</v>
      </c>
      <c r="O855">
        <v>20</v>
      </c>
      <c r="P855">
        <v>447</v>
      </c>
      <c r="Q855">
        <v>0</v>
      </c>
      <c r="R855">
        <v>6704406813</v>
      </c>
      <c r="S855">
        <v>6053155.5</v>
      </c>
      <c r="T855">
        <v>6611036450.1700001</v>
      </c>
      <c r="U855">
        <v>6669572130</v>
      </c>
      <c r="V855">
        <v>0.145563</v>
      </c>
      <c r="W855">
        <v>5.0316E-2</v>
      </c>
      <c r="Y855" t="s">
        <v>1</v>
      </c>
      <c r="Z855">
        <v>6250</v>
      </c>
      <c r="AA855">
        <v>14</v>
      </c>
      <c r="AB855">
        <v>11101</v>
      </c>
      <c r="AC855">
        <v>0</v>
      </c>
      <c r="AD855">
        <v>380956323575</v>
      </c>
      <c r="AE855">
        <v>397364841</v>
      </c>
      <c r="AF855">
        <v>366808607182</v>
      </c>
      <c r="AG855">
        <v>378993959891.28003</v>
      </c>
      <c r="AH855">
        <v>0.35669800000000002</v>
      </c>
      <c r="AI855">
        <v>4.8197999999999998E-2</v>
      </c>
    </row>
    <row r="856" spans="1:35" x14ac:dyDescent="0.35">
      <c r="A856" t="s">
        <v>1</v>
      </c>
      <c r="B856">
        <v>5000</v>
      </c>
      <c r="C856">
        <v>16</v>
      </c>
      <c r="D856">
        <v>3490</v>
      </c>
      <c r="E856">
        <v>0</v>
      </c>
      <c r="F856">
        <v>136016016694</v>
      </c>
      <c r="G856">
        <v>178646737.22</v>
      </c>
      <c r="H856">
        <v>134717999308.75999</v>
      </c>
      <c r="I856">
        <v>135545817082.03999</v>
      </c>
      <c r="J856">
        <v>9.4407000000000005E-2</v>
      </c>
      <c r="K856">
        <v>2.5420999999999999E-2</v>
      </c>
      <c r="M856" t="s">
        <v>0</v>
      </c>
      <c r="N856">
        <v>7750</v>
      </c>
      <c r="O856">
        <v>18</v>
      </c>
      <c r="P856">
        <v>3479</v>
      </c>
      <c r="Q856">
        <v>0</v>
      </c>
      <c r="R856">
        <v>89799681882</v>
      </c>
      <c r="S856">
        <v>72703363.989999995</v>
      </c>
      <c r="T856">
        <v>86897386624.880005</v>
      </c>
      <c r="U856">
        <v>88886189637.800003</v>
      </c>
      <c r="V856">
        <v>0.31900899999999999</v>
      </c>
      <c r="W856">
        <v>0.10674599999999999</v>
      </c>
      <c r="Y856" t="s">
        <v>0</v>
      </c>
      <c r="Z856">
        <v>6250</v>
      </c>
      <c r="AA856">
        <v>14</v>
      </c>
      <c r="AB856">
        <v>25917</v>
      </c>
      <c r="AC856">
        <v>0</v>
      </c>
      <c r="AD856">
        <v>791746143693</v>
      </c>
      <c r="AE856">
        <v>825041259.54999995</v>
      </c>
      <c r="AF856">
        <v>783268426177</v>
      </c>
      <c r="AG856">
        <v>789906007289.98999</v>
      </c>
      <c r="AH856">
        <v>0.110015</v>
      </c>
      <c r="AI856">
        <v>1.5277000000000001E-2</v>
      </c>
    </row>
    <row r="857" spans="1:35" x14ac:dyDescent="0.35">
      <c r="A857" t="s">
        <v>1</v>
      </c>
      <c r="B857">
        <v>5000</v>
      </c>
      <c r="C857">
        <v>14</v>
      </c>
      <c r="D857">
        <v>8928</v>
      </c>
      <c r="E857">
        <v>0</v>
      </c>
      <c r="F857">
        <v>346932475776</v>
      </c>
      <c r="G857">
        <v>451465269.76999998</v>
      </c>
      <c r="H857">
        <v>343015844396.09003</v>
      </c>
      <c r="I857">
        <v>345871931329.51001</v>
      </c>
      <c r="J857">
        <v>0.113486</v>
      </c>
      <c r="K857">
        <v>2.0865000000000002E-2</v>
      </c>
      <c r="M857" t="s">
        <v>2</v>
      </c>
      <c r="N857">
        <v>6750</v>
      </c>
      <c r="O857">
        <v>16</v>
      </c>
      <c r="P857">
        <v>1548</v>
      </c>
      <c r="Q857">
        <v>0</v>
      </c>
      <c r="R857">
        <v>29283738538</v>
      </c>
      <c r="S857">
        <v>28179158.629999999</v>
      </c>
      <c r="T857">
        <v>29034256950.32</v>
      </c>
      <c r="U857">
        <v>29219860565.57</v>
      </c>
      <c r="V857">
        <v>8.7010000000000004E-2</v>
      </c>
      <c r="W857">
        <v>1.4531000000000001E-2</v>
      </c>
      <c r="Y857" t="s">
        <v>1</v>
      </c>
      <c r="Z857">
        <v>6250</v>
      </c>
      <c r="AA857">
        <v>16</v>
      </c>
      <c r="AB857">
        <v>16832</v>
      </c>
      <c r="AC857">
        <v>0</v>
      </c>
      <c r="AD857">
        <v>643173128272</v>
      </c>
      <c r="AE857">
        <v>677826855.16999996</v>
      </c>
      <c r="AF857">
        <v>617679198223</v>
      </c>
      <c r="AG857">
        <v>640601014931.33997</v>
      </c>
      <c r="AH857">
        <v>0.37635600000000002</v>
      </c>
      <c r="AI857">
        <v>3.4776000000000001E-2</v>
      </c>
    </row>
    <row r="858" spans="1:35" x14ac:dyDescent="0.35">
      <c r="A858" t="s">
        <v>0</v>
      </c>
      <c r="B858">
        <v>5250</v>
      </c>
      <c r="C858">
        <v>14</v>
      </c>
      <c r="D858">
        <v>10343</v>
      </c>
      <c r="E858">
        <v>0</v>
      </c>
      <c r="F858">
        <v>366937273564</v>
      </c>
      <c r="G858">
        <v>457047038.06999999</v>
      </c>
      <c r="H858">
        <v>364094330575.91998</v>
      </c>
      <c r="I858">
        <v>365981970878.29999</v>
      </c>
      <c r="J858">
        <v>7.5296000000000002E-2</v>
      </c>
      <c r="K858">
        <v>1.6173E-2</v>
      </c>
      <c r="M858" t="s">
        <v>2</v>
      </c>
      <c r="N858">
        <v>7250</v>
      </c>
      <c r="O858">
        <v>16</v>
      </c>
      <c r="P858">
        <v>989</v>
      </c>
      <c r="Q858">
        <v>0</v>
      </c>
      <c r="R858">
        <v>15498103786</v>
      </c>
      <c r="S858">
        <v>13629411.810000001</v>
      </c>
      <c r="T858">
        <v>15268547367.879999</v>
      </c>
      <c r="U858">
        <v>15406607689.84</v>
      </c>
      <c r="V858">
        <v>0.15495500000000001</v>
      </c>
      <c r="W858">
        <v>5.8652999999999997E-2</v>
      </c>
      <c r="Y858" t="s">
        <v>1</v>
      </c>
      <c r="Z858">
        <v>4750</v>
      </c>
      <c r="AA858">
        <v>14</v>
      </c>
      <c r="AB858">
        <v>2673</v>
      </c>
      <c r="AC858">
        <v>0</v>
      </c>
      <c r="AD858">
        <v>117193535108</v>
      </c>
      <c r="AE858">
        <v>158604408.90000001</v>
      </c>
      <c r="AF858">
        <v>116373351088</v>
      </c>
      <c r="AG858">
        <v>116705528291.50999</v>
      </c>
      <c r="AH858">
        <v>6.5678E-2</v>
      </c>
      <c r="AI858">
        <v>3.3212999999999999E-2</v>
      </c>
    </row>
    <row r="859" spans="1:35" x14ac:dyDescent="0.35">
      <c r="A859" t="s">
        <v>2</v>
      </c>
      <c r="B859">
        <v>5250</v>
      </c>
      <c r="C859">
        <v>16</v>
      </c>
      <c r="D859">
        <v>162</v>
      </c>
      <c r="E859">
        <v>0</v>
      </c>
      <c r="F859">
        <v>3916111847</v>
      </c>
      <c r="G859">
        <v>4917759.88</v>
      </c>
      <c r="H859">
        <v>3900351565.4899998</v>
      </c>
      <c r="I859">
        <v>3908409236.75</v>
      </c>
      <c r="J859">
        <v>3.2723000000000002E-2</v>
      </c>
      <c r="K859">
        <v>8.5000000000000006E-3</v>
      </c>
      <c r="M859" t="s">
        <v>0</v>
      </c>
      <c r="N859">
        <v>7750</v>
      </c>
      <c r="O859">
        <v>16</v>
      </c>
      <c r="P859">
        <v>4196</v>
      </c>
      <c r="Q859">
        <v>0</v>
      </c>
      <c r="R859">
        <v>111358897678</v>
      </c>
      <c r="S859">
        <v>88870418.549999997</v>
      </c>
      <c r="T859">
        <v>107478743893.89</v>
      </c>
      <c r="U859">
        <v>110386394421.21001</v>
      </c>
      <c r="V859">
        <v>0.34009800000000001</v>
      </c>
      <c r="W859">
        <v>9.1172000000000003E-2</v>
      </c>
      <c r="Y859" t="s">
        <v>0</v>
      </c>
      <c r="Z859">
        <v>4750</v>
      </c>
      <c r="AA859">
        <v>14</v>
      </c>
      <c r="AB859">
        <v>2383</v>
      </c>
      <c r="AC859">
        <v>0</v>
      </c>
      <c r="AD859">
        <v>84477537320</v>
      </c>
      <c r="AE859">
        <v>114610485.95999999</v>
      </c>
      <c r="AF859">
        <v>84151563380</v>
      </c>
      <c r="AG859">
        <v>84356636735.589996</v>
      </c>
      <c r="AH859">
        <v>2.9614000000000001E-2</v>
      </c>
      <c r="AI859">
        <v>8.9300000000000002E-4</v>
      </c>
    </row>
    <row r="860" spans="1:35" x14ac:dyDescent="0.35">
      <c r="A860" t="s">
        <v>2</v>
      </c>
      <c r="B860">
        <v>5250</v>
      </c>
      <c r="C860">
        <v>14</v>
      </c>
      <c r="D860">
        <v>284</v>
      </c>
      <c r="E860">
        <v>0</v>
      </c>
      <c r="F860">
        <v>6712521208</v>
      </c>
      <c r="G860">
        <v>8362955.1699999999</v>
      </c>
      <c r="H860">
        <v>6680152564.0200005</v>
      </c>
      <c r="I860">
        <v>6694510289.6700001</v>
      </c>
      <c r="J860">
        <v>4.2081E-2</v>
      </c>
      <c r="K860">
        <v>1.7111999999999999E-2</v>
      </c>
      <c r="M860" t="s">
        <v>0</v>
      </c>
      <c r="N860">
        <v>8000</v>
      </c>
      <c r="O860">
        <v>18</v>
      </c>
      <c r="P860">
        <v>300</v>
      </c>
      <c r="Q860">
        <v>0</v>
      </c>
      <c r="R860">
        <v>7613591550</v>
      </c>
      <c r="S860">
        <v>5898872.7699999996</v>
      </c>
      <c r="T860">
        <v>7417739233.0600004</v>
      </c>
      <c r="U860">
        <v>7559447372.2399998</v>
      </c>
      <c r="V860">
        <v>0.26154100000000002</v>
      </c>
      <c r="W860">
        <v>7.3445999999999997E-2</v>
      </c>
      <c r="Y860" t="s">
        <v>0</v>
      </c>
      <c r="Z860">
        <v>5000</v>
      </c>
      <c r="AA860">
        <v>14</v>
      </c>
      <c r="AB860">
        <v>7052</v>
      </c>
      <c r="AC860">
        <v>0</v>
      </c>
      <c r="AD860">
        <v>246063470031</v>
      </c>
      <c r="AE860">
        <v>320088502.74000001</v>
      </c>
      <c r="AF860">
        <v>245169586397</v>
      </c>
      <c r="AG860">
        <v>245654110034.19</v>
      </c>
      <c r="AH860">
        <v>2.7626999999999999E-2</v>
      </c>
      <c r="AI860">
        <v>4.3449999999999999E-3</v>
      </c>
    </row>
    <row r="861" spans="1:35" x14ac:dyDescent="0.35">
      <c r="A861" t="s">
        <v>0</v>
      </c>
      <c r="B861">
        <v>5500</v>
      </c>
      <c r="C861">
        <v>14</v>
      </c>
      <c r="D861">
        <v>7297</v>
      </c>
      <c r="E861">
        <v>0</v>
      </c>
      <c r="F861">
        <v>239357581414</v>
      </c>
      <c r="G861">
        <v>284758100.43000001</v>
      </c>
      <c r="H861">
        <v>237452111542.98001</v>
      </c>
      <c r="I861">
        <v>238706832508.26001</v>
      </c>
      <c r="J861">
        <v>7.8294000000000002E-2</v>
      </c>
      <c r="K861">
        <v>1.8194999999999999E-2</v>
      </c>
      <c r="M861" t="s">
        <v>0</v>
      </c>
      <c r="N861">
        <v>8000</v>
      </c>
      <c r="O861">
        <v>16</v>
      </c>
      <c r="P861">
        <v>502</v>
      </c>
      <c r="Q861">
        <v>0</v>
      </c>
      <c r="R861">
        <v>12894945525</v>
      </c>
      <c r="S861">
        <v>9868597.25</v>
      </c>
      <c r="T861">
        <v>12487457997.700001</v>
      </c>
      <c r="U861">
        <v>12804043135</v>
      </c>
      <c r="V861">
        <v>0.31329299999999999</v>
      </c>
      <c r="W861">
        <v>7.2857000000000005E-2</v>
      </c>
      <c r="Y861" t="s">
        <v>1</v>
      </c>
      <c r="Z861">
        <v>5000</v>
      </c>
      <c r="AA861">
        <v>14</v>
      </c>
      <c r="AB861">
        <v>8441</v>
      </c>
      <c r="AC861">
        <v>0</v>
      </c>
      <c r="AD861">
        <v>331427844335</v>
      </c>
      <c r="AE861">
        <v>430407820.67000002</v>
      </c>
      <c r="AF861">
        <v>329084244702</v>
      </c>
      <c r="AG861">
        <v>330749177052.15002</v>
      </c>
      <c r="AH861">
        <v>6.7113000000000006E-2</v>
      </c>
      <c r="AI861">
        <v>8.9519999999999999E-3</v>
      </c>
    </row>
    <row r="862" spans="1:35" x14ac:dyDescent="0.35">
      <c r="A862" t="s">
        <v>0</v>
      </c>
      <c r="B862">
        <v>5750</v>
      </c>
      <c r="C862">
        <v>14</v>
      </c>
      <c r="D862">
        <v>29308</v>
      </c>
      <c r="E862">
        <v>0</v>
      </c>
      <c r="F862">
        <v>995083323387</v>
      </c>
      <c r="G862">
        <v>1134946356.47</v>
      </c>
      <c r="H862">
        <v>985608084305.55005</v>
      </c>
      <c r="I862">
        <v>992092768249.32996</v>
      </c>
      <c r="J862">
        <v>9.6069000000000002E-2</v>
      </c>
      <c r="K862">
        <v>2.2148999999999999E-2</v>
      </c>
      <c r="M862" t="s">
        <v>1</v>
      </c>
      <c r="N862">
        <v>7250</v>
      </c>
      <c r="O862">
        <v>16</v>
      </c>
      <c r="P862">
        <v>4184</v>
      </c>
      <c r="Q862">
        <v>0</v>
      </c>
      <c r="R862">
        <v>120245660105</v>
      </c>
      <c r="S862">
        <v>105984142.90000001</v>
      </c>
      <c r="T862">
        <v>109597433745.72</v>
      </c>
      <c r="U862">
        <v>118852163587.03</v>
      </c>
      <c r="V862">
        <v>0.66748700000000005</v>
      </c>
      <c r="W862">
        <v>0.121185</v>
      </c>
      <c r="Y862" t="s">
        <v>1</v>
      </c>
      <c r="Z862">
        <v>5250</v>
      </c>
      <c r="AA862">
        <v>14</v>
      </c>
      <c r="AB862">
        <v>17315</v>
      </c>
      <c r="AC862">
        <v>0</v>
      </c>
      <c r="AD862">
        <v>726215237059</v>
      </c>
      <c r="AE862">
        <v>903107636.11000001</v>
      </c>
      <c r="AF862">
        <v>720236645945</v>
      </c>
      <c r="AG862">
        <v>723727151218.91003</v>
      </c>
      <c r="AH862">
        <v>8.0717999999999998E-2</v>
      </c>
      <c r="AI862">
        <v>2.5878000000000002E-2</v>
      </c>
    </row>
    <row r="863" spans="1:35" x14ac:dyDescent="0.35">
      <c r="A863" t="s">
        <v>2</v>
      </c>
      <c r="B863">
        <v>5750</v>
      </c>
      <c r="C863">
        <v>14</v>
      </c>
      <c r="D863">
        <v>1038</v>
      </c>
      <c r="E863">
        <v>0</v>
      </c>
      <c r="F863">
        <v>22363301997</v>
      </c>
      <c r="G863">
        <v>25578642.690000001</v>
      </c>
      <c r="H863">
        <v>22276891198.880001</v>
      </c>
      <c r="I863">
        <v>22324253078.48</v>
      </c>
      <c r="J863">
        <v>3.2157999999999999E-2</v>
      </c>
      <c r="K863">
        <v>7.2040000000000003E-3</v>
      </c>
      <c r="M863" t="s">
        <v>1</v>
      </c>
      <c r="N863">
        <v>8000</v>
      </c>
      <c r="O863">
        <v>16</v>
      </c>
      <c r="P863">
        <v>218</v>
      </c>
      <c r="Q863">
        <v>0</v>
      </c>
      <c r="R863">
        <v>4828380022</v>
      </c>
      <c r="S863">
        <v>3692971.99</v>
      </c>
      <c r="T863">
        <v>4378905367.9300003</v>
      </c>
      <c r="U863">
        <v>4788949219.29</v>
      </c>
      <c r="V863">
        <v>0.68727499999999997</v>
      </c>
      <c r="W863">
        <v>8.5291000000000006E-2</v>
      </c>
      <c r="Y863" t="s">
        <v>2</v>
      </c>
      <c r="Z863">
        <v>5250</v>
      </c>
      <c r="AA863">
        <v>14</v>
      </c>
      <c r="AB863">
        <v>325</v>
      </c>
      <c r="AC863">
        <v>0</v>
      </c>
      <c r="AD863">
        <v>7770345789</v>
      </c>
      <c r="AE863">
        <v>9668519.9399999995</v>
      </c>
      <c r="AF863">
        <v>7711631152</v>
      </c>
      <c r="AG863">
        <v>7760488201.2200003</v>
      </c>
      <c r="AH863">
        <v>7.3168999999999998E-2</v>
      </c>
      <c r="AI863">
        <v>2.92E-4</v>
      </c>
    </row>
    <row r="864" spans="1:35" x14ac:dyDescent="0.35">
      <c r="A864" t="s">
        <v>0</v>
      </c>
      <c r="B864">
        <v>6000</v>
      </c>
      <c r="C864">
        <v>14</v>
      </c>
      <c r="D864">
        <v>10382</v>
      </c>
      <c r="E864">
        <v>0</v>
      </c>
      <c r="F864">
        <v>302227060210</v>
      </c>
      <c r="G864">
        <v>329178091.72000003</v>
      </c>
      <c r="H864">
        <v>297601973055.98999</v>
      </c>
      <c r="I864">
        <v>301250989760.90002</v>
      </c>
      <c r="J864">
        <v>0.15784699999999999</v>
      </c>
      <c r="K864">
        <v>2.5385000000000001E-2</v>
      </c>
      <c r="M864" t="s">
        <v>1</v>
      </c>
      <c r="N864">
        <v>5750</v>
      </c>
      <c r="O864">
        <v>14</v>
      </c>
      <c r="P864">
        <v>12239</v>
      </c>
      <c r="Q864">
        <v>0</v>
      </c>
      <c r="R864">
        <v>506164944560</v>
      </c>
      <c r="S864">
        <v>575495822.60000002</v>
      </c>
      <c r="T864">
        <v>490249549303.66998</v>
      </c>
      <c r="U864">
        <v>504750286675.27002</v>
      </c>
      <c r="V864">
        <v>0.30878100000000003</v>
      </c>
      <c r="W864">
        <v>1.9713999999999999E-2</v>
      </c>
      <c r="Y864" t="s">
        <v>1</v>
      </c>
      <c r="Z864">
        <v>5750</v>
      </c>
      <c r="AA864">
        <v>14</v>
      </c>
      <c r="AB864">
        <v>27484</v>
      </c>
      <c r="AC864">
        <v>0</v>
      </c>
      <c r="AD864">
        <v>1086325213464</v>
      </c>
      <c r="AE864">
        <v>1239848358.71</v>
      </c>
      <c r="AF864">
        <v>1067192518279</v>
      </c>
      <c r="AG864">
        <v>1082441989608.28</v>
      </c>
      <c r="AH864">
        <v>0.18069399999999999</v>
      </c>
      <c r="AI864">
        <v>2.8812000000000001E-2</v>
      </c>
    </row>
    <row r="865" spans="1:35" x14ac:dyDescent="0.35">
      <c r="A865" t="s">
        <v>0</v>
      </c>
      <c r="B865">
        <v>6250</v>
      </c>
      <c r="C865">
        <v>14</v>
      </c>
      <c r="D865">
        <v>26775</v>
      </c>
      <c r="E865">
        <v>0</v>
      </c>
      <c r="F865">
        <v>831577140315</v>
      </c>
      <c r="G865">
        <v>865806791.48000002</v>
      </c>
      <c r="H865">
        <v>812674533890.87</v>
      </c>
      <c r="I865">
        <v>826845901216.37</v>
      </c>
      <c r="J865">
        <v>0.23136799999999999</v>
      </c>
      <c r="K865">
        <v>5.4376000000000001E-2</v>
      </c>
      <c r="M865" t="s">
        <v>2</v>
      </c>
      <c r="N865">
        <v>5750</v>
      </c>
      <c r="O865">
        <v>14</v>
      </c>
      <c r="P865">
        <v>265</v>
      </c>
      <c r="Q865">
        <v>0</v>
      </c>
      <c r="R865">
        <v>5921523364</v>
      </c>
      <c r="S865">
        <v>6737025.3399999999</v>
      </c>
      <c r="T865">
        <v>5896090745.0100002</v>
      </c>
      <c r="U865">
        <v>5908940124.2799997</v>
      </c>
      <c r="V865">
        <v>3.7235999999999998E-2</v>
      </c>
      <c r="W865">
        <v>1.1783E-2</v>
      </c>
      <c r="Y865" t="s">
        <v>1</v>
      </c>
      <c r="Z865">
        <v>6000</v>
      </c>
      <c r="AA865">
        <v>14</v>
      </c>
      <c r="AB865">
        <v>5417</v>
      </c>
      <c r="AC865">
        <v>0</v>
      </c>
      <c r="AD865">
        <v>182909330580</v>
      </c>
      <c r="AE865">
        <v>199120334.44</v>
      </c>
      <c r="AF865">
        <v>178277420948</v>
      </c>
      <c r="AG865">
        <v>182084583084.67999</v>
      </c>
      <c r="AH865">
        <v>0.25502200000000003</v>
      </c>
      <c r="AI865">
        <v>4.0281999999999998E-2</v>
      </c>
    </row>
    <row r="866" spans="1:35" x14ac:dyDescent="0.35">
      <c r="A866" t="s">
        <v>0</v>
      </c>
      <c r="B866">
        <v>7000</v>
      </c>
      <c r="C866">
        <v>14</v>
      </c>
      <c r="D866">
        <v>3703</v>
      </c>
      <c r="E866">
        <v>0</v>
      </c>
      <c r="F866">
        <v>98183180748</v>
      </c>
      <c r="G866">
        <v>88911288.230000004</v>
      </c>
      <c r="H866">
        <v>95308501868.309998</v>
      </c>
      <c r="I866">
        <v>97497148978.490005</v>
      </c>
      <c r="J866">
        <v>0.29206399999999999</v>
      </c>
      <c r="K866">
        <v>7.0587999999999998E-2</v>
      </c>
      <c r="M866" t="s">
        <v>0</v>
      </c>
      <c r="N866">
        <v>5750</v>
      </c>
      <c r="O866">
        <v>14</v>
      </c>
      <c r="P866">
        <v>9941</v>
      </c>
      <c r="Q866">
        <v>0</v>
      </c>
      <c r="R866">
        <v>353072203576</v>
      </c>
      <c r="S866">
        <v>401624533.49000001</v>
      </c>
      <c r="T866">
        <v>350252922311.53003</v>
      </c>
      <c r="U866">
        <v>352198101124.37</v>
      </c>
      <c r="V866">
        <v>7.9144999999999993E-2</v>
      </c>
      <c r="W866">
        <v>1.5941E-2</v>
      </c>
      <c r="Y866" t="s">
        <v>0</v>
      </c>
      <c r="Z866">
        <v>6500</v>
      </c>
      <c r="AA866">
        <v>12</v>
      </c>
      <c r="AB866">
        <v>9481</v>
      </c>
      <c r="AC866">
        <v>0</v>
      </c>
      <c r="AD866">
        <v>260290723109</v>
      </c>
      <c r="AE866">
        <v>254981266.61000001</v>
      </c>
      <c r="AF866">
        <v>254583975556</v>
      </c>
      <c r="AG866">
        <v>259096150540.37</v>
      </c>
      <c r="AH866">
        <v>0.22431499999999999</v>
      </c>
      <c r="AI866">
        <v>4.2467999999999999E-2</v>
      </c>
    </row>
    <row r="867" spans="1:35" x14ac:dyDescent="0.35">
      <c r="A867" t="s">
        <v>0</v>
      </c>
      <c r="B867">
        <v>7250</v>
      </c>
      <c r="C867">
        <v>14</v>
      </c>
      <c r="D867">
        <v>3919</v>
      </c>
      <c r="E867">
        <v>0</v>
      </c>
      <c r="F867">
        <v>102550918054</v>
      </c>
      <c r="G867">
        <v>88660418.629999995</v>
      </c>
      <c r="H867">
        <v>99300625700.960007</v>
      </c>
      <c r="I867">
        <v>101661791569.67</v>
      </c>
      <c r="J867">
        <v>0.31324800000000003</v>
      </c>
      <c r="K867">
        <v>8.9747999999999994E-2</v>
      </c>
      <c r="M867" t="s">
        <v>2</v>
      </c>
      <c r="N867">
        <v>6000</v>
      </c>
      <c r="O867">
        <v>14</v>
      </c>
      <c r="P867">
        <v>373</v>
      </c>
      <c r="Q867">
        <v>0</v>
      </c>
      <c r="R867">
        <v>7973400097</v>
      </c>
      <c r="S867">
        <v>8674434.9700000007</v>
      </c>
      <c r="T867">
        <v>7938707652.8599997</v>
      </c>
      <c r="U867">
        <v>7960762073.9899998</v>
      </c>
      <c r="V867">
        <v>3.8462000000000003E-2</v>
      </c>
      <c r="W867">
        <v>5.9490000000000003E-3</v>
      </c>
      <c r="Y867" t="s">
        <v>0</v>
      </c>
      <c r="Z867">
        <v>6750</v>
      </c>
      <c r="AA867">
        <v>12</v>
      </c>
      <c r="AB867">
        <v>20301</v>
      </c>
      <c r="AC867">
        <v>0</v>
      </c>
      <c r="AD867">
        <v>574482093312</v>
      </c>
      <c r="AE867">
        <v>539455926.78999996</v>
      </c>
      <c r="AF867">
        <v>559333443274</v>
      </c>
      <c r="AG867">
        <v>571773170023.32996</v>
      </c>
      <c r="AH867">
        <v>0.26590000000000003</v>
      </c>
      <c r="AI867">
        <v>4.4387000000000003E-2</v>
      </c>
    </row>
    <row r="868" spans="1:35" x14ac:dyDescent="0.35">
      <c r="A868" t="s">
        <v>0</v>
      </c>
      <c r="B868">
        <v>6750</v>
      </c>
      <c r="C868">
        <v>14</v>
      </c>
      <c r="D868">
        <v>15150</v>
      </c>
      <c r="E868">
        <v>0</v>
      </c>
      <c r="F868">
        <v>417407169899</v>
      </c>
      <c r="G868">
        <v>397227530.36000001</v>
      </c>
      <c r="H868">
        <v>404142013557.56</v>
      </c>
      <c r="I868">
        <v>414046948811.29999</v>
      </c>
      <c r="J868">
        <v>0.31323400000000001</v>
      </c>
      <c r="K868">
        <v>8.1934999999999994E-2</v>
      </c>
      <c r="M868" t="s">
        <v>0</v>
      </c>
      <c r="N868">
        <v>6000</v>
      </c>
      <c r="O868">
        <v>14</v>
      </c>
      <c r="P868">
        <v>9714</v>
      </c>
      <c r="Q868">
        <v>0</v>
      </c>
      <c r="R868">
        <v>313329791902</v>
      </c>
      <c r="S868">
        <v>340787437.55000001</v>
      </c>
      <c r="T868">
        <v>309549187481.95001</v>
      </c>
      <c r="U868">
        <v>312298300772.78998</v>
      </c>
      <c r="V868">
        <v>0.124069</v>
      </c>
      <c r="W868">
        <v>2.6134000000000001E-2</v>
      </c>
      <c r="Y868" t="s">
        <v>0</v>
      </c>
      <c r="Z868">
        <v>7000</v>
      </c>
      <c r="AA868">
        <v>12</v>
      </c>
      <c r="AB868">
        <v>5096</v>
      </c>
      <c r="AC868">
        <v>0</v>
      </c>
      <c r="AD868">
        <v>135143955401</v>
      </c>
      <c r="AE868">
        <v>120732417.95</v>
      </c>
      <c r="AF868">
        <v>132582306515</v>
      </c>
      <c r="AG868">
        <v>134542220623.85001</v>
      </c>
      <c r="AH868">
        <v>0.19645399999999999</v>
      </c>
      <c r="AI868">
        <v>4.1883999999999998E-2</v>
      </c>
    </row>
    <row r="869" spans="1:35" x14ac:dyDescent="0.35">
      <c r="A869" t="s">
        <v>2</v>
      </c>
      <c r="B869">
        <v>5000</v>
      </c>
      <c r="C869">
        <v>14</v>
      </c>
      <c r="D869">
        <v>157</v>
      </c>
      <c r="E869">
        <v>0</v>
      </c>
      <c r="F869">
        <v>3794141511</v>
      </c>
      <c r="G869">
        <v>4932047.59</v>
      </c>
      <c r="H869">
        <v>3778868541.0999999</v>
      </c>
      <c r="I869">
        <v>3784789863.2199998</v>
      </c>
      <c r="J869">
        <v>3.2219999999999999E-2</v>
      </c>
      <c r="K869">
        <v>1.3889E-2</v>
      </c>
      <c r="M869" t="s">
        <v>0</v>
      </c>
      <c r="N869">
        <v>6250</v>
      </c>
      <c r="O869">
        <v>14</v>
      </c>
      <c r="P869">
        <v>25319</v>
      </c>
      <c r="Q869">
        <v>0</v>
      </c>
      <c r="R869">
        <v>857354019525</v>
      </c>
      <c r="S869">
        <v>891225665.15999997</v>
      </c>
      <c r="T869">
        <v>842828863173.43005</v>
      </c>
      <c r="U869">
        <v>854387883641.90002</v>
      </c>
      <c r="V869">
        <v>0.17499200000000001</v>
      </c>
      <c r="W869">
        <v>2.8657999999999999E-2</v>
      </c>
      <c r="Y869" t="s">
        <v>1</v>
      </c>
      <c r="Z869">
        <v>5000</v>
      </c>
      <c r="AA869">
        <v>12</v>
      </c>
      <c r="AB869">
        <v>4303</v>
      </c>
      <c r="AC869">
        <v>0</v>
      </c>
      <c r="AD869">
        <v>165746000786</v>
      </c>
      <c r="AE869">
        <v>213258411.37</v>
      </c>
      <c r="AF869">
        <v>165190834209</v>
      </c>
      <c r="AG869">
        <v>165393161545.84</v>
      </c>
      <c r="AH869">
        <v>2.4475E-2</v>
      </c>
      <c r="AI869">
        <v>1.0059E-2</v>
      </c>
    </row>
    <row r="870" spans="1:35" x14ac:dyDescent="0.35">
      <c r="A870" t="s">
        <v>1</v>
      </c>
      <c r="B870">
        <v>5250</v>
      </c>
      <c r="C870">
        <v>14</v>
      </c>
      <c r="D870">
        <v>15316</v>
      </c>
      <c r="E870">
        <v>0</v>
      </c>
      <c r="F870">
        <v>628863255010</v>
      </c>
      <c r="G870">
        <v>783595750.76999998</v>
      </c>
      <c r="H870">
        <v>620387244636.54004</v>
      </c>
      <c r="I870">
        <v>626882889973.69995</v>
      </c>
      <c r="J870">
        <v>0.13730300000000001</v>
      </c>
      <c r="K870">
        <v>2.2599000000000001E-2</v>
      </c>
      <c r="M870" t="s">
        <v>1</v>
      </c>
      <c r="N870">
        <v>6250</v>
      </c>
      <c r="O870">
        <v>16</v>
      </c>
      <c r="P870">
        <v>10957</v>
      </c>
      <c r="Q870">
        <v>0</v>
      </c>
      <c r="R870">
        <v>437448412865</v>
      </c>
      <c r="S870">
        <v>460254661.67000002</v>
      </c>
      <c r="T870">
        <v>409809517074.41998</v>
      </c>
      <c r="U870">
        <v>436155439475.92999</v>
      </c>
      <c r="V870">
        <v>0.53686</v>
      </c>
      <c r="W870">
        <v>2.2605E-2</v>
      </c>
      <c r="Y870" t="s">
        <v>2</v>
      </c>
      <c r="Z870">
        <v>5000</v>
      </c>
      <c r="AA870">
        <v>14</v>
      </c>
      <c r="AB870">
        <v>171</v>
      </c>
      <c r="AC870">
        <v>0</v>
      </c>
      <c r="AD870">
        <v>4167452187</v>
      </c>
      <c r="AE870">
        <v>5420223.1100000003</v>
      </c>
      <c r="AF870">
        <v>4162161942</v>
      </c>
      <c r="AG870">
        <v>4162161942</v>
      </c>
      <c r="AH870">
        <v>-3.7399999999999998E-4</v>
      </c>
      <c r="AI870">
        <v>-3.7399999999999998E-4</v>
      </c>
    </row>
    <row r="871" spans="1:35" x14ac:dyDescent="0.35">
      <c r="A871" t="s">
        <v>2</v>
      </c>
      <c r="B871">
        <v>5500</v>
      </c>
      <c r="C871">
        <v>14</v>
      </c>
      <c r="D871">
        <v>375</v>
      </c>
      <c r="E871">
        <v>0</v>
      </c>
      <c r="F871">
        <v>8109861308</v>
      </c>
      <c r="G871">
        <v>9659150.6300000008</v>
      </c>
      <c r="H871">
        <v>8077640111.3199997</v>
      </c>
      <c r="I871">
        <v>8094807039.1300001</v>
      </c>
      <c r="J871">
        <v>3.2877999999999998E-2</v>
      </c>
      <c r="K871">
        <v>7.9539999999999993E-3</v>
      </c>
      <c r="M871" t="s">
        <v>1</v>
      </c>
      <c r="N871">
        <v>6250</v>
      </c>
      <c r="O871">
        <v>14</v>
      </c>
      <c r="P871">
        <v>18527</v>
      </c>
      <c r="Q871">
        <v>0</v>
      </c>
      <c r="R871">
        <v>720372811933</v>
      </c>
      <c r="S871">
        <v>749811600.69000006</v>
      </c>
      <c r="T871">
        <v>670013060473.28003</v>
      </c>
      <c r="U871">
        <v>718179435838.68005</v>
      </c>
      <c r="V871">
        <v>0.57524299999999995</v>
      </c>
      <c r="W871">
        <v>2.3784E-2</v>
      </c>
      <c r="Y871" t="s">
        <v>2</v>
      </c>
      <c r="Z871">
        <v>5250</v>
      </c>
      <c r="AA871">
        <v>12</v>
      </c>
      <c r="AB871">
        <v>128</v>
      </c>
      <c r="AC871">
        <v>0</v>
      </c>
      <c r="AD871">
        <v>2957176813</v>
      </c>
      <c r="AE871">
        <v>3637522.48</v>
      </c>
      <c r="AF871">
        <v>2940740550</v>
      </c>
      <c r="AG871">
        <v>2940740550</v>
      </c>
      <c r="AH871">
        <v>5.0717999999999999E-2</v>
      </c>
      <c r="AI871">
        <v>5.0717999999999999E-2</v>
      </c>
    </row>
    <row r="872" spans="1:35" x14ac:dyDescent="0.35">
      <c r="A872" t="s">
        <v>2</v>
      </c>
      <c r="B872">
        <v>6750</v>
      </c>
      <c r="C872">
        <v>18</v>
      </c>
      <c r="D872">
        <v>1437</v>
      </c>
      <c r="E872">
        <v>0</v>
      </c>
      <c r="F872">
        <v>27103264567</v>
      </c>
      <c r="G872">
        <v>26461139.199999999</v>
      </c>
      <c r="H872">
        <v>26878503530.759998</v>
      </c>
      <c r="I872">
        <v>27038019916.299999</v>
      </c>
      <c r="J872">
        <v>8.4348999999999993E-2</v>
      </c>
      <c r="K872">
        <v>1.7037E-2</v>
      </c>
      <c r="M872" t="s">
        <v>2</v>
      </c>
      <c r="N872">
        <v>6250</v>
      </c>
      <c r="O872">
        <v>14</v>
      </c>
      <c r="P872">
        <v>827</v>
      </c>
      <c r="Q872">
        <v>0</v>
      </c>
      <c r="R872">
        <v>17298660360</v>
      </c>
      <c r="S872">
        <v>17978383.16</v>
      </c>
      <c r="T872">
        <v>17199323283.450001</v>
      </c>
      <c r="U872">
        <v>17268602201.720001</v>
      </c>
      <c r="V872">
        <v>5.5001000000000001E-2</v>
      </c>
      <c r="W872">
        <v>8.3479999999999995E-3</v>
      </c>
      <c r="Y872" t="s">
        <v>0</v>
      </c>
      <c r="Z872">
        <v>5250</v>
      </c>
      <c r="AA872">
        <v>12</v>
      </c>
      <c r="AB872">
        <v>4522</v>
      </c>
      <c r="AC872">
        <v>0</v>
      </c>
      <c r="AD872">
        <v>154838267804</v>
      </c>
      <c r="AE872">
        <v>190655012.44999999</v>
      </c>
      <c r="AF872">
        <v>154088962184</v>
      </c>
      <c r="AG872">
        <v>154567752596.31</v>
      </c>
      <c r="AH872">
        <v>4.2446999999999999E-2</v>
      </c>
      <c r="AI872">
        <v>6.1720000000000004E-3</v>
      </c>
    </row>
    <row r="873" spans="1:35" x14ac:dyDescent="0.35">
      <c r="A873" t="s">
        <v>1</v>
      </c>
      <c r="B873">
        <v>6000</v>
      </c>
      <c r="C873">
        <v>14</v>
      </c>
      <c r="D873">
        <v>5080</v>
      </c>
      <c r="E873">
        <v>0</v>
      </c>
      <c r="F873">
        <v>179929184496</v>
      </c>
      <c r="G873">
        <v>195884153.40000001</v>
      </c>
      <c r="H873">
        <v>171741590510.10001</v>
      </c>
      <c r="I873">
        <v>179331535782.54999</v>
      </c>
      <c r="J873">
        <v>0.42026799999999997</v>
      </c>
      <c r="K873">
        <v>2.6467999999999998E-2</v>
      </c>
      <c r="M873" t="s">
        <v>0</v>
      </c>
      <c r="N873">
        <v>7250</v>
      </c>
      <c r="O873">
        <v>14</v>
      </c>
      <c r="P873">
        <v>12344</v>
      </c>
      <c r="Q873">
        <v>0</v>
      </c>
      <c r="R873">
        <v>326042335656</v>
      </c>
      <c r="S873">
        <v>282124536.19999999</v>
      </c>
      <c r="T873">
        <v>315107265882.21002</v>
      </c>
      <c r="U873">
        <v>323397753718.46002</v>
      </c>
      <c r="V873">
        <v>0.32876100000000003</v>
      </c>
      <c r="W873">
        <v>8.3568000000000003E-2</v>
      </c>
      <c r="Y873" t="s">
        <v>1</v>
      </c>
      <c r="Z873">
        <v>5250</v>
      </c>
      <c r="AA873">
        <v>12</v>
      </c>
      <c r="AB873">
        <v>5761</v>
      </c>
      <c r="AC873">
        <v>0</v>
      </c>
      <c r="AD873">
        <v>225877638091</v>
      </c>
      <c r="AE873">
        <v>278248781.75</v>
      </c>
      <c r="AF873">
        <v>224462661428</v>
      </c>
      <c r="AG873">
        <v>225182224404.62</v>
      </c>
      <c r="AH873">
        <v>5.8746E-2</v>
      </c>
      <c r="AI873">
        <v>2.1939E-2</v>
      </c>
    </row>
    <row r="874" spans="1:35" x14ac:dyDescent="0.35">
      <c r="A874" t="s">
        <v>2</v>
      </c>
      <c r="B874">
        <v>6000</v>
      </c>
      <c r="C874">
        <v>14</v>
      </c>
      <c r="D874">
        <v>823</v>
      </c>
      <c r="E874">
        <v>0</v>
      </c>
      <c r="F874">
        <v>16497970094</v>
      </c>
      <c r="G874">
        <v>17949034.93</v>
      </c>
      <c r="H874">
        <v>16418680000.049999</v>
      </c>
      <c r="I874">
        <v>16466857848.110001</v>
      </c>
      <c r="J874">
        <v>4.3715999999999998E-2</v>
      </c>
      <c r="K874">
        <v>9.5329999999999998E-3</v>
      </c>
      <c r="M874" t="s">
        <v>0</v>
      </c>
      <c r="N874">
        <v>7500</v>
      </c>
      <c r="O874">
        <v>14</v>
      </c>
      <c r="P874">
        <v>2092</v>
      </c>
      <c r="Q874">
        <v>0</v>
      </c>
      <c r="R874">
        <v>54795719788</v>
      </c>
      <c r="S874">
        <v>45294431</v>
      </c>
      <c r="T874">
        <v>53175095041.540001</v>
      </c>
      <c r="U874">
        <v>54434642604.209999</v>
      </c>
      <c r="V874">
        <v>0.295344</v>
      </c>
      <c r="W874">
        <v>6.7004999999999995E-2</v>
      </c>
      <c r="Y874" t="s">
        <v>0</v>
      </c>
      <c r="Z874">
        <v>5500</v>
      </c>
      <c r="AA874">
        <v>12</v>
      </c>
      <c r="AB874">
        <v>4896</v>
      </c>
      <c r="AC874">
        <v>0</v>
      </c>
      <c r="AD874">
        <v>161437434842</v>
      </c>
      <c r="AE874">
        <v>189956075.00999999</v>
      </c>
      <c r="AF874">
        <v>160447547182</v>
      </c>
      <c r="AG874">
        <v>161141266015.89001</v>
      </c>
      <c r="AH874">
        <v>5.7867000000000002E-2</v>
      </c>
      <c r="AI874">
        <v>7.8670000000000007E-3</v>
      </c>
    </row>
    <row r="875" spans="1:35" x14ac:dyDescent="0.35">
      <c r="A875" t="s">
        <v>0</v>
      </c>
      <c r="B875">
        <v>6000</v>
      </c>
      <c r="C875">
        <v>12</v>
      </c>
      <c r="D875">
        <v>9930</v>
      </c>
      <c r="E875">
        <v>0</v>
      </c>
      <c r="F875">
        <v>313447925617</v>
      </c>
      <c r="G875">
        <v>337253494.60000002</v>
      </c>
      <c r="H875">
        <v>309100311654.91998</v>
      </c>
      <c r="I875">
        <v>312608119607.83002</v>
      </c>
      <c r="J875">
        <v>0.143176</v>
      </c>
      <c r="K875">
        <v>1.9071000000000001E-2</v>
      </c>
      <c r="M875" t="s">
        <v>1</v>
      </c>
      <c r="N875">
        <v>5250</v>
      </c>
      <c r="O875">
        <v>14</v>
      </c>
      <c r="P875">
        <v>2463</v>
      </c>
      <c r="Q875">
        <v>0</v>
      </c>
      <c r="R875">
        <v>105706974425</v>
      </c>
      <c r="S875">
        <v>131167944.34999999</v>
      </c>
      <c r="T875">
        <v>104311541932.46001</v>
      </c>
      <c r="U875">
        <v>105357423798.36</v>
      </c>
      <c r="V875">
        <v>0.13444700000000001</v>
      </c>
      <c r="W875">
        <v>2.4511000000000002E-2</v>
      </c>
      <c r="Y875" t="s">
        <v>2</v>
      </c>
      <c r="Z875">
        <v>6750</v>
      </c>
      <c r="AA875">
        <v>16</v>
      </c>
      <c r="AB875">
        <v>1284</v>
      </c>
      <c r="AC875">
        <v>0</v>
      </c>
      <c r="AD875">
        <v>23833323835</v>
      </c>
      <c r="AE875">
        <v>23008835.559999999</v>
      </c>
      <c r="AF875">
        <v>23626482919</v>
      </c>
      <c r="AG875">
        <v>23765349807.869999</v>
      </c>
      <c r="AH875">
        <v>8.8731000000000004E-2</v>
      </c>
      <c r="AI875">
        <v>2.2405999999999999E-2</v>
      </c>
    </row>
    <row r="876" spans="1:35" x14ac:dyDescent="0.35">
      <c r="A876" t="s">
        <v>1</v>
      </c>
      <c r="B876">
        <v>6750</v>
      </c>
      <c r="C876">
        <v>14</v>
      </c>
      <c r="D876">
        <v>3887</v>
      </c>
      <c r="E876">
        <v>0</v>
      </c>
      <c r="F876">
        <v>118417886529</v>
      </c>
      <c r="G876">
        <v>112856742.41</v>
      </c>
      <c r="H876">
        <v>108882536773.82001</v>
      </c>
      <c r="I876">
        <v>117416486019.67999</v>
      </c>
      <c r="J876">
        <v>0.63026499999999996</v>
      </c>
      <c r="K876">
        <v>8.6416999999999994E-2</v>
      </c>
      <c r="M876" t="s">
        <v>1</v>
      </c>
      <c r="N876">
        <v>6000</v>
      </c>
      <c r="O876">
        <v>14</v>
      </c>
      <c r="P876">
        <v>7939</v>
      </c>
      <c r="Q876">
        <v>0</v>
      </c>
      <c r="R876">
        <v>314205214636</v>
      </c>
      <c r="S876">
        <v>341781314.00999999</v>
      </c>
      <c r="T876">
        <v>298382935553.89001</v>
      </c>
      <c r="U876">
        <v>313332635868.5</v>
      </c>
      <c r="V876">
        <v>0.454627</v>
      </c>
      <c r="W876">
        <v>2.0084999999999999E-2</v>
      </c>
      <c r="Y876" t="s">
        <v>0</v>
      </c>
      <c r="Z876">
        <v>6000</v>
      </c>
      <c r="AA876">
        <v>12</v>
      </c>
      <c r="AB876">
        <v>11120</v>
      </c>
      <c r="AC876">
        <v>0</v>
      </c>
      <c r="AD876">
        <v>341060206202</v>
      </c>
      <c r="AE876">
        <v>366824788.99000001</v>
      </c>
      <c r="AF876">
        <v>338092186003</v>
      </c>
      <c r="AG876">
        <v>340422926788.16998</v>
      </c>
      <c r="AH876">
        <v>8.7777999999999995E-2</v>
      </c>
      <c r="AI876">
        <v>9.4739999999999998E-3</v>
      </c>
    </row>
    <row r="877" spans="1:35" x14ac:dyDescent="0.35">
      <c r="A877" t="s">
        <v>0</v>
      </c>
      <c r="B877">
        <v>6750</v>
      </c>
      <c r="C877">
        <v>12</v>
      </c>
      <c r="D877">
        <v>20859</v>
      </c>
      <c r="E877">
        <v>0</v>
      </c>
      <c r="F877">
        <v>594753319684</v>
      </c>
      <c r="G877">
        <v>558631143.95000005</v>
      </c>
      <c r="H877">
        <v>576132834690.63</v>
      </c>
      <c r="I877">
        <v>590956181686.93005</v>
      </c>
      <c r="J877">
        <v>0.30931500000000001</v>
      </c>
      <c r="K877">
        <v>6.3420000000000004E-2</v>
      </c>
      <c r="M877" t="s">
        <v>0</v>
      </c>
      <c r="N877">
        <v>6750</v>
      </c>
      <c r="O877">
        <v>12</v>
      </c>
      <c r="P877">
        <v>15353</v>
      </c>
      <c r="Q877">
        <v>0</v>
      </c>
      <c r="R877">
        <v>427145555085</v>
      </c>
      <c r="S877">
        <v>401713783.08999997</v>
      </c>
      <c r="T877">
        <v>414694616215.71002</v>
      </c>
      <c r="U877">
        <v>425163655555.41998</v>
      </c>
      <c r="V877">
        <v>0.29062500000000002</v>
      </c>
      <c r="W877">
        <v>4.3500999999999998E-2</v>
      </c>
      <c r="Y877" t="s">
        <v>1</v>
      </c>
      <c r="Z877">
        <v>6000</v>
      </c>
      <c r="AA877">
        <v>12</v>
      </c>
      <c r="AB877">
        <v>6275</v>
      </c>
      <c r="AC877">
        <v>0</v>
      </c>
      <c r="AD877">
        <v>239079993640</v>
      </c>
      <c r="AE877">
        <v>257178435.65000001</v>
      </c>
      <c r="AF877">
        <v>232920596745</v>
      </c>
      <c r="AG877">
        <v>238323594275.35001</v>
      </c>
      <c r="AH877">
        <v>0.259156</v>
      </c>
      <c r="AI877">
        <v>2.4771000000000001E-2</v>
      </c>
    </row>
    <row r="878" spans="1:35" x14ac:dyDescent="0.35">
      <c r="A878" t="s">
        <v>1</v>
      </c>
      <c r="B878">
        <v>7000</v>
      </c>
      <c r="C878">
        <v>14</v>
      </c>
      <c r="D878">
        <v>558</v>
      </c>
      <c r="E878">
        <v>0</v>
      </c>
      <c r="F878">
        <v>15996217190</v>
      </c>
      <c r="G878">
        <v>14535035.65</v>
      </c>
      <c r="H878">
        <v>14500652464.82</v>
      </c>
      <c r="I878">
        <v>15706124286.84</v>
      </c>
      <c r="J878">
        <v>0.68835199999999996</v>
      </c>
      <c r="K878">
        <v>0.18821399999999999</v>
      </c>
      <c r="M878" t="s">
        <v>0</v>
      </c>
      <c r="N878">
        <v>7250</v>
      </c>
      <c r="O878">
        <v>12</v>
      </c>
      <c r="P878">
        <v>4184</v>
      </c>
      <c r="Q878">
        <v>0</v>
      </c>
      <c r="R878">
        <v>106844401586</v>
      </c>
      <c r="S878">
        <v>91193608.079999998</v>
      </c>
      <c r="T878">
        <v>103322358689.59</v>
      </c>
      <c r="U878">
        <v>106092202918.07001</v>
      </c>
      <c r="V878">
        <v>0.32406000000000001</v>
      </c>
      <c r="W878">
        <v>7.1764999999999995E-2</v>
      </c>
      <c r="Y878" t="s">
        <v>2</v>
      </c>
      <c r="Z878">
        <v>6000</v>
      </c>
      <c r="AA878">
        <v>12</v>
      </c>
      <c r="AB878">
        <v>677</v>
      </c>
      <c r="AC878">
        <v>0</v>
      </c>
      <c r="AD878">
        <v>14063232196</v>
      </c>
      <c r="AE878">
        <v>15130387.17</v>
      </c>
      <c r="AF878">
        <v>13998921555</v>
      </c>
      <c r="AG878">
        <v>14047791019.190001</v>
      </c>
      <c r="AH878">
        <v>4.1167000000000002E-2</v>
      </c>
      <c r="AI878">
        <v>2.6499999999999999E-4</v>
      </c>
    </row>
    <row r="879" spans="1:35" x14ac:dyDescent="0.35">
      <c r="A879" t="s">
        <v>1</v>
      </c>
      <c r="B879">
        <v>7000</v>
      </c>
      <c r="C879">
        <v>12</v>
      </c>
      <c r="D879">
        <v>880</v>
      </c>
      <c r="E879">
        <v>0</v>
      </c>
      <c r="F879">
        <v>24044540914</v>
      </c>
      <c r="G879">
        <v>21590970.960000001</v>
      </c>
      <c r="H879">
        <v>21821466191.259998</v>
      </c>
      <c r="I879">
        <v>23807325291.599998</v>
      </c>
      <c r="J879">
        <v>0.68408999999999998</v>
      </c>
      <c r="K879">
        <v>0.10246</v>
      </c>
      <c r="M879" t="s">
        <v>2</v>
      </c>
      <c r="N879">
        <v>5000</v>
      </c>
      <c r="O879">
        <v>14</v>
      </c>
      <c r="P879">
        <v>82</v>
      </c>
      <c r="Q879">
        <v>0</v>
      </c>
      <c r="R879">
        <v>2155139132</v>
      </c>
      <c r="S879">
        <v>2802371.5</v>
      </c>
      <c r="T879">
        <v>2148895935.29</v>
      </c>
      <c r="U879">
        <v>2151156349.9899998</v>
      </c>
      <c r="V879">
        <v>1.8991000000000001E-2</v>
      </c>
      <c r="W879">
        <v>6.5529999999999998E-3</v>
      </c>
      <c r="Y879" t="s">
        <v>1</v>
      </c>
      <c r="Z879">
        <v>6750</v>
      </c>
      <c r="AA879">
        <v>12</v>
      </c>
      <c r="AB879">
        <v>6288</v>
      </c>
      <c r="AC879">
        <v>0</v>
      </c>
      <c r="AD879">
        <v>200678925747</v>
      </c>
      <c r="AE879">
        <v>188564022.03999999</v>
      </c>
      <c r="AF879">
        <v>187551098025</v>
      </c>
      <c r="AG879">
        <v>199693965268.57999</v>
      </c>
      <c r="AH879">
        <v>0.55058099999999999</v>
      </c>
      <c r="AI879">
        <v>4.6595999999999999E-2</v>
      </c>
    </row>
    <row r="880" spans="1:35" x14ac:dyDescent="0.35">
      <c r="A880" t="s">
        <v>2</v>
      </c>
      <c r="B880">
        <v>4500</v>
      </c>
      <c r="C880">
        <v>16</v>
      </c>
      <c r="D880">
        <v>67</v>
      </c>
      <c r="E880">
        <v>0</v>
      </c>
      <c r="F880">
        <v>1668253248</v>
      </c>
      <c r="G880">
        <v>2386306.91</v>
      </c>
      <c r="H880">
        <v>1662941378.77</v>
      </c>
      <c r="I880">
        <v>1665015774.22</v>
      </c>
      <c r="J880">
        <v>2.0841999999999999E-2</v>
      </c>
      <c r="K880">
        <v>6.1050000000000002E-3</v>
      </c>
      <c r="M880" t="s">
        <v>0</v>
      </c>
      <c r="N880">
        <v>5250</v>
      </c>
      <c r="O880">
        <v>12</v>
      </c>
      <c r="P880">
        <v>11429</v>
      </c>
      <c r="Q880">
        <v>0</v>
      </c>
      <c r="R880">
        <v>413274692191</v>
      </c>
      <c r="S880">
        <v>508248003.30000001</v>
      </c>
      <c r="T880">
        <v>410554974092.70001</v>
      </c>
      <c r="U880">
        <v>412468995026.06</v>
      </c>
      <c r="V880">
        <v>6.2357000000000003E-2</v>
      </c>
      <c r="W880">
        <v>8.6029999999999995E-3</v>
      </c>
      <c r="Y880" t="s">
        <v>1</v>
      </c>
      <c r="Z880">
        <v>7000</v>
      </c>
      <c r="AA880">
        <v>12</v>
      </c>
      <c r="AB880">
        <v>878</v>
      </c>
      <c r="AC880">
        <v>0</v>
      </c>
      <c r="AD880">
        <v>23537178418</v>
      </c>
      <c r="AE880">
        <v>21052397.350000001</v>
      </c>
      <c r="AF880">
        <v>21724363064</v>
      </c>
      <c r="AG880">
        <v>23102310045.900002</v>
      </c>
      <c r="AH880">
        <v>0.613313</v>
      </c>
      <c r="AI880">
        <v>0.19172500000000001</v>
      </c>
    </row>
    <row r="881" spans="1:35" x14ac:dyDescent="0.35">
      <c r="A881" t="s">
        <v>0</v>
      </c>
      <c r="B881">
        <v>4500</v>
      </c>
      <c r="C881">
        <v>16</v>
      </c>
      <c r="D881">
        <v>1752</v>
      </c>
      <c r="E881">
        <v>0</v>
      </c>
      <c r="F881">
        <v>57307197865</v>
      </c>
      <c r="G881">
        <v>81895615.430000007</v>
      </c>
      <c r="H881">
        <v>57152949772.120003</v>
      </c>
      <c r="I881">
        <v>57204617201.040001</v>
      </c>
      <c r="J881">
        <v>1.5046E-2</v>
      </c>
      <c r="K881">
        <v>4.3229999999999996E-3</v>
      </c>
      <c r="M881" t="s">
        <v>0</v>
      </c>
      <c r="N881">
        <v>5250</v>
      </c>
      <c r="O881">
        <v>14</v>
      </c>
      <c r="P881">
        <v>2391</v>
      </c>
      <c r="Q881">
        <v>0</v>
      </c>
      <c r="R881">
        <v>86800252011</v>
      </c>
      <c r="S881">
        <v>107919123.98</v>
      </c>
      <c r="T881">
        <v>86349493394.020004</v>
      </c>
      <c r="U881">
        <v>86621489974.309998</v>
      </c>
      <c r="V881">
        <v>4.6380999999999999E-2</v>
      </c>
      <c r="W881">
        <v>9.75E-3</v>
      </c>
      <c r="Y881" t="s">
        <v>0</v>
      </c>
      <c r="Z881">
        <v>7250</v>
      </c>
      <c r="AA881">
        <v>12</v>
      </c>
      <c r="AB881">
        <v>5492</v>
      </c>
      <c r="AC881">
        <v>0</v>
      </c>
      <c r="AD881">
        <v>145935364724</v>
      </c>
      <c r="AE881">
        <v>124560608.19</v>
      </c>
      <c r="AF881">
        <v>140946194422</v>
      </c>
      <c r="AG881">
        <v>145103077263.92999</v>
      </c>
      <c r="AH881">
        <v>0.33424100000000001</v>
      </c>
      <c r="AI881">
        <v>5.6668000000000003E-2</v>
      </c>
    </row>
    <row r="882" spans="1:35" x14ac:dyDescent="0.35">
      <c r="A882" t="s">
        <v>0</v>
      </c>
      <c r="B882">
        <v>5500</v>
      </c>
      <c r="C882">
        <v>12</v>
      </c>
      <c r="D882">
        <v>3564</v>
      </c>
      <c r="E882">
        <v>0</v>
      </c>
      <c r="F882">
        <v>118061261231</v>
      </c>
      <c r="G882">
        <v>139106606.24000001</v>
      </c>
      <c r="H882">
        <v>117262828299.37</v>
      </c>
      <c r="I882">
        <v>117775220850.02</v>
      </c>
      <c r="J882">
        <v>6.4994999999999997E-2</v>
      </c>
      <c r="K882">
        <v>1.4833000000000001E-2</v>
      </c>
      <c r="M882" t="s">
        <v>0</v>
      </c>
      <c r="N882">
        <v>5500</v>
      </c>
      <c r="O882">
        <v>12</v>
      </c>
      <c r="P882">
        <v>8841</v>
      </c>
      <c r="Q882">
        <v>0</v>
      </c>
      <c r="R882">
        <v>297767334860</v>
      </c>
      <c r="S882">
        <v>349840921.10000002</v>
      </c>
      <c r="T882">
        <v>295702032919.48999</v>
      </c>
      <c r="U882">
        <v>297118787275.90002</v>
      </c>
      <c r="V882">
        <v>6.6984000000000002E-2</v>
      </c>
      <c r="W882">
        <v>1.1972E-2</v>
      </c>
      <c r="Y882" t="s">
        <v>0</v>
      </c>
      <c r="Z882">
        <v>5000</v>
      </c>
      <c r="AA882">
        <v>16</v>
      </c>
      <c r="AB882">
        <v>4580</v>
      </c>
      <c r="AC882">
        <v>0</v>
      </c>
      <c r="AD882">
        <v>155321737960</v>
      </c>
      <c r="AE882">
        <v>203951457.65000001</v>
      </c>
      <c r="AF882">
        <v>154938665891</v>
      </c>
      <c r="AG882">
        <v>155088231492.73001</v>
      </c>
      <c r="AH882">
        <v>1.3750999999999999E-2</v>
      </c>
      <c r="AI882">
        <v>2.281E-3</v>
      </c>
    </row>
    <row r="883" spans="1:35" x14ac:dyDescent="0.35">
      <c r="A883" t="s">
        <v>2</v>
      </c>
      <c r="B883">
        <v>5500</v>
      </c>
      <c r="C883">
        <v>12</v>
      </c>
      <c r="D883">
        <v>144</v>
      </c>
      <c r="E883">
        <v>0</v>
      </c>
      <c r="F883">
        <v>3253332486</v>
      </c>
      <c r="G883">
        <v>3821319.18</v>
      </c>
      <c r="H883">
        <v>3239830476.6300001</v>
      </c>
      <c r="I883">
        <v>3245952253.4400001</v>
      </c>
      <c r="J883">
        <v>3.5129000000000001E-2</v>
      </c>
      <c r="K883">
        <v>1.3048000000000001E-2</v>
      </c>
      <c r="M883" t="s">
        <v>1</v>
      </c>
      <c r="N883">
        <v>5500</v>
      </c>
      <c r="O883">
        <v>12</v>
      </c>
      <c r="P883">
        <v>10212</v>
      </c>
      <c r="Q883">
        <v>0</v>
      </c>
      <c r="R883">
        <v>410885933097</v>
      </c>
      <c r="S883">
        <v>484031200.77999997</v>
      </c>
      <c r="T883">
        <v>405867945236.27002</v>
      </c>
      <c r="U883">
        <v>409825376911.63</v>
      </c>
      <c r="V883">
        <v>0.124667</v>
      </c>
      <c r="W883">
        <v>1.6708000000000001E-2</v>
      </c>
      <c r="Y883" t="s">
        <v>1</v>
      </c>
      <c r="Z883">
        <v>5000</v>
      </c>
      <c r="AA883">
        <v>16</v>
      </c>
      <c r="AB883">
        <v>1842</v>
      </c>
      <c r="AC883">
        <v>0</v>
      </c>
      <c r="AD883">
        <v>68992666614</v>
      </c>
      <c r="AE883">
        <v>90656046.099999994</v>
      </c>
      <c r="AF883">
        <v>68729766878</v>
      </c>
      <c r="AG883">
        <v>68811498719.679993</v>
      </c>
      <c r="AH883">
        <v>2.9551000000000001E-2</v>
      </c>
      <c r="AI883">
        <v>1.5630000000000002E-2</v>
      </c>
    </row>
    <row r="884" spans="1:35" x14ac:dyDescent="0.35">
      <c r="A884" t="s">
        <v>1</v>
      </c>
      <c r="B884">
        <v>4500</v>
      </c>
      <c r="C884">
        <v>12</v>
      </c>
      <c r="D884">
        <v>819</v>
      </c>
      <c r="E884">
        <v>0</v>
      </c>
      <c r="F884">
        <v>27886598605</v>
      </c>
      <c r="G884">
        <v>39090314.840000004</v>
      </c>
      <c r="H884">
        <v>27774416613.099998</v>
      </c>
      <c r="I884">
        <v>27816329701.049999</v>
      </c>
      <c r="J884">
        <v>3.1002999999999999E-2</v>
      </c>
      <c r="K884">
        <v>1.3334E-2</v>
      </c>
      <c r="M884" t="s">
        <v>2</v>
      </c>
      <c r="N884">
        <v>5500</v>
      </c>
      <c r="O884">
        <v>12</v>
      </c>
      <c r="P884">
        <v>388</v>
      </c>
      <c r="Q884">
        <v>0</v>
      </c>
      <c r="R884">
        <v>8514350160</v>
      </c>
      <c r="S884">
        <v>10002681.41</v>
      </c>
      <c r="T884">
        <v>8484993977.3100004</v>
      </c>
      <c r="U884">
        <v>8502100364.3800001</v>
      </c>
      <c r="V884">
        <v>2.6938E-2</v>
      </c>
      <c r="W884">
        <v>3.1619999999999999E-3</v>
      </c>
      <c r="Y884" t="s">
        <v>2</v>
      </c>
      <c r="Z884">
        <v>4500</v>
      </c>
      <c r="AA884">
        <v>14</v>
      </c>
      <c r="AB884">
        <v>63</v>
      </c>
      <c r="AC884">
        <v>0</v>
      </c>
      <c r="AD884">
        <v>1606621185</v>
      </c>
      <c r="AE884">
        <v>2279257.2999999998</v>
      </c>
      <c r="AF884">
        <v>1604802494</v>
      </c>
      <c r="AG884">
        <v>1604802494</v>
      </c>
      <c r="AH884">
        <v>-3.4450000000000001E-3</v>
      </c>
      <c r="AI884">
        <v>-3.4450000000000001E-3</v>
      </c>
    </row>
    <row r="885" spans="1:35" x14ac:dyDescent="0.35">
      <c r="A885" t="s">
        <v>2</v>
      </c>
      <c r="B885">
        <v>4500</v>
      </c>
      <c r="C885">
        <v>12</v>
      </c>
      <c r="D885">
        <v>84</v>
      </c>
      <c r="E885">
        <v>0</v>
      </c>
      <c r="F885">
        <v>2230914959</v>
      </c>
      <c r="G885">
        <v>3122895.98</v>
      </c>
      <c r="H885">
        <v>2225630295.77</v>
      </c>
      <c r="I885">
        <v>2226736038.1199999</v>
      </c>
      <c r="J885">
        <v>1.1566E-2</v>
      </c>
      <c r="K885">
        <v>5.666E-3</v>
      </c>
      <c r="M885" t="s">
        <v>0</v>
      </c>
      <c r="N885">
        <v>5750</v>
      </c>
      <c r="O885">
        <v>12</v>
      </c>
      <c r="P885">
        <v>32957</v>
      </c>
      <c r="Q885">
        <v>0</v>
      </c>
      <c r="R885">
        <v>1149296195974</v>
      </c>
      <c r="S885">
        <v>1294233009.75</v>
      </c>
      <c r="T885">
        <v>1139876172314.0701</v>
      </c>
      <c r="U885">
        <v>1146573633660.1399</v>
      </c>
      <c r="V885">
        <v>8.1619999999999998E-2</v>
      </c>
      <c r="W885">
        <v>1.4812000000000001E-2</v>
      </c>
      <c r="Y885" t="s">
        <v>0</v>
      </c>
      <c r="Z885">
        <v>4500</v>
      </c>
      <c r="AA885">
        <v>14</v>
      </c>
      <c r="AB885">
        <v>1793</v>
      </c>
      <c r="AC885">
        <v>0</v>
      </c>
      <c r="AD885">
        <v>60284046720</v>
      </c>
      <c r="AE885">
        <v>85389975.030000001</v>
      </c>
      <c r="AF885">
        <v>60194287011</v>
      </c>
      <c r="AG885">
        <v>60194287011</v>
      </c>
      <c r="AH885">
        <v>8.6899999999999998E-4</v>
      </c>
      <c r="AI885">
        <v>8.6899999999999998E-4</v>
      </c>
    </row>
    <row r="886" spans="1:35" x14ac:dyDescent="0.35">
      <c r="A886" t="s">
        <v>0</v>
      </c>
      <c r="B886">
        <v>4500</v>
      </c>
      <c r="C886">
        <v>12</v>
      </c>
      <c r="D886">
        <v>1981</v>
      </c>
      <c r="E886">
        <v>0</v>
      </c>
      <c r="F886">
        <v>64187798650</v>
      </c>
      <c r="G886">
        <v>89947370.290000007</v>
      </c>
      <c r="H886">
        <v>64042435339.830002</v>
      </c>
      <c r="I886">
        <v>64075080949.190002</v>
      </c>
      <c r="J886">
        <v>1.0311000000000001E-2</v>
      </c>
      <c r="K886">
        <v>4.2490000000000002E-3</v>
      </c>
      <c r="M886" t="s">
        <v>2</v>
      </c>
      <c r="N886">
        <v>5750</v>
      </c>
      <c r="O886">
        <v>12</v>
      </c>
      <c r="P886">
        <v>1081</v>
      </c>
      <c r="Q886">
        <v>0</v>
      </c>
      <c r="R886">
        <v>23636611856</v>
      </c>
      <c r="S886">
        <v>26685130.98</v>
      </c>
      <c r="T886">
        <v>23553895532.560001</v>
      </c>
      <c r="U886">
        <v>23602813773.810001</v>
      </c>
      <c r="V886">
        <v>2.8077999999999999E-2</v>
      </c>
      <c r="W886">
        <v>3.6050000000000001E-3</v>
      </c>
      <c r="Y886" t="s">
        <v>2</v>
      </c>
      <c r="Z886">
        <v>5500</v>
      </c>
      <c r="AA886">
        <v>12</v>
      </c>
      <c r="AB886">
        <v>222</v>
      </c>
      <c r="AC886">
        <v>0</v>
      </c>
      <c r="AD886">
        <v>4806010521</v>
      </c>
      <c r="AE886">
        <v>5648256.9500000002</v>
      </c>
      <c r="AF886">
        <v>4781271451</v>
      </c>
      <c r="AG886">
        <v>4800615270.75</v>
      </c>
      <c r="AH886">
        <v>4.6640000000000001E-2</v>
      </c>
      <c r="AI886">
        <v>-6.3199999999999997E-4</v>
      </c>
    </row>
    <row r="887" spans="1:35" x14ac:dyDescent="0.35">
      <c r="A887" t="s">
        <v>0</v>
      </c>
      <c r="B887">
        <v>5000</v>
      </c>
      <c r="C887">
        <v>6</v>
      </c>
      <c r="D887">
        <v>2731</v>
      </c>
      <c r="E887">
        <v>0</v>
      </c>
      <c r="F887">
        <v>98373944587</v>
      </c>
      <c r="G887">
        <v>122860804.33</v>
      </c>
      <c r="H887">
        <v>98166415479.339996</v>
      </c>
      <c r="I887">
        <v>98227268207.240005</v>
      </c>
      <c r="J887">
        <v>1.0279E-2</v>
      </c>
      <c r="K887">
        <v>2.9009999999999999E-3</v>
      </c>
      <c r="M887" t="s">
        <v>2</v>
      </c>
      <c r="N887">
        <v>6000</v>
      </c>
      <c r="O887">
        <v>12</v>
      </c>
      <c r="P887">
        <v>710</v>
      </c>
      <c r="Q887">
        <v>0</v>
      </c>
      <c r="R887">
        <v>13906211647</v>
      </c>
      <c r="S887">
        <v>14941615.380000001</v>
      </c>
      <c r="T887">
        <v>13848509689.440001</v>
      </c>
      <c r="U887">
        <v>13883807183.190001</v>
      </c>
      <c r="V887">
        <v>3.6281000000000001E-2</v>
      </c>
      <c r="W887">
        <v>6.4209999999999996E-3</v>
      </c>
      <c r="Y887" t="s">
        <v>1</v>
      </c>
      <c r="Z887">
        <v>4500</v>
      </c>
      <c r="AA887">
        <v>10</v>
      </c>
      <c r="AB887">
        <v>322</v>
      </c>
      <c r="AC887">
        <v>0</v>
      </c>
      <c r="AD887">
        <v>10771794865</v>
      </c>
      <c r="AE887">
        <v>14980834.279999999</v>
      </c>
      <c r="AF887">
        <v>10741419117</v>
      </c>
      <c r="AG887">
        <v>10741419117</v>
      </c>
      <c r="AH887">
        <v>1.7016E-2</v>
      </c>
      <c r="AI887">
        <v>1.7016E-2</v>
      </c>
    </row>
    <row r="888" spans="1:35" x14ac:dyDescent="0.35">
      <c r="A888" t="s">
        <v>2</v>
      </c>
      <c r="B888">
        <v>5000</v>
      </c>
      <c r="C888">
        <v>6</v>
      </c>
      <c r="D888">
        <v>52</v>
      </c>
      <c r="E888">
        <v>0</v>
      </c>
      <c r="F888">
        <v>1472246439</v>
      </c>
      <c r="G888">
        <v>1835817.86</v>
      </c>
      <c r="H888">
        <v>1469879132.3099999</v>
      </c>
      <c r="I888">
        <v>1470340263.1300001</v>
      </c>
      <c r="J888">
        <v>4.3229999999999996E-3</v>
      </c>
      <c r="K888">
        <v>5.7300000000000005E-4</v>
      </c>
      <c r="M888" t="s">
        <v>0</v>
      </c>
      <c r="N888">
        <v>6000</v>
      </c>
      <c r="O888">
        <v>12</v>
      </c>
      <c r="P888">
        <v>9492</v>
      </c>
      <c r="Q888">
        <v>0</v>
      </c>
      <c r="R888">
        <v>275543135806</v>
      </c>
      <c r="S888">
        <v>296329744.58999997</v>
      </c>
      <c r="T888">
        <v>272042943577.23001</v>
      </c>
      <c r="U888">
        <v>274748407715.35001</v>
      </c>
      <c r="V888">
        <v>0.130943</v>
      </c>
      <c r="W888">
        <v>2.1491E-2</v>
      </c>
      <c r="Y888" t="s">
        <v>2</v>
      </c>
      <c r="Z888">
        <v>4500</v>
      </c>
      <c r="AA888">
        <v>10</v>
      </c>
      <c r="AB888">
        <v>36</v>
      </c>
      <c r="AC888">
        <v>0</v>
      </c>
      <c r="AD888">
        <v>999706387</v>
      </c>
      <c r="AE888">
        <v>1389555.18</v>
      </c>
      <c r="AF888">
        <v>998378141</v>
      </c>
      <c r="AG888">
        <v>998378141</v>
      </c>
      <c r="AH888">
        <v>-7.36E-4</v>
      </c>
      <c r="AI888">
        <v>-7.36E-4</v>
      </c>
    </row>
    <row r="889" spans="1:35" x14ac:dyDescent="0.35">
      <c r="A889" t="s">
        <v>1</v>
      </c>
      <c r="B889">
        <v>5000</v>
      </c>
      <c r="C889">
        <v>6</v>
      </c>
      <c r="D889">
        <v>1153</v>
      </c>
      <c r="E889">
        <v>0</v>
      </c>
      <c r="F889">
        <v>45109644115</v>
      </c>
      <c r="G889">
        <v>56296140.170000002</v>
      </c>
      <c r="H889">
        <v>44972333111.949997</v>
      </c>
      <c r="I889">
        <v>45028765854.800003</v>
      </c>
      <c r="J889">
        <v>2.1340000000000001E-2</v>
      </c>
      <c r="K889">
        <v>6.5199999999999998E-3</v>
      </c>
      <c r="M889" t="s">
        <v>1</v>
      </c>
      <c r="N889">
        <v>6250</v>
      </c>
      <c r="O889">
        <v>12</v>
      </c>
      <c r="P889">
        <v>12154</v>
      </c>
      <c r="Q889">
        <v>0</v>
      </c>
      <c r="R889">
        <v>423945072049</v>
      </c>
      <c r="S889">
        <v>436799632.33999997</v>
      </c>
      <c r="T889">
        <v>396504677130.48999</v>
      </c>
      <c r="U889">
        <v>422268648777.23999</v>
      </c>
      <c r="V889">
        <v>0.54605599999999999</v>
      </c>
      <c r="W889">
        <v>3.4528999999999997E-2</v>
      </c>
      <c r="Y889" t="s">
        <v>0</v>
      </c>
      <c r="Z889">
        <v>4500</v>
      </c>
      <c r="AA889">
        <v>12</v>
      </c>
      <c r="AB889">
        <v>2219</v>
      </c>
      <c r="AC889">
        <v>0</v>
      </c>
      <c r="AD889">
        <v>74474596415</v>
      </c>
      <c r="AE889">
        <v>104364308.81999999</v>
      </c>
      <c r="AF889">
        <v>74287897680</v>
      </c>
      <c r="AG889">
        <v>74363794464.619995</v>
      </c>
      <c r="AH889">
        <v>1.3186E-2</v>
      </c>
      <c r="AI889">
        <v>1.0369999999999999E-3</v>
      </c>
    </row>
    <row r="890" spans="1:35" x14ac:dyDescent="0.35">
      <c r="A890" t="s">
        <v>1</v>
      </c>
      <c r="B890">
        <v>5500</v>
      </c>
      <c r="C890">
        <v>6</v>
      </c>
      <c r="D890">
        <v>828</v>
      </c>
      <c r="E890">
        <v>0</v>
      </c>
      <c r="F890">
        <v>32965150435</v>
      </c>
      <c r="G890">
        <v>37555904.25</v>
      </c>
      <c r="H890">
        <v>32832335504.09</v>
      </c>
      <c r="I890">
        <v>32917826474.91</v>
      </c>
      <c r="J890">
        <v>3.4130000000000001E-2</v>
      </c>
      <c r="K890">
        <v>3.5500000000000002E-3</v>
      </c>
      <c r="M890" t="s">
        <v>0</v>
      </c>
      <c r="N890">
        <v>6250</v>
      </c>
      <c r="O890">
        <v>12</v>
      </c>
      <c r="P890">
        <v>26579</v>
      </c>
      <c r="Q890">
        <v>0</v>
      </c>
      <c r="R890">
        <v>815351389598</v>
      </c>
      <c r="S890">
        <v>839259746.54999995</v>
      </c>
      <c r="T890">
        <v>801286595944.96997</v>
      </c>
      <c r="U890">
        <v>811404968079.95996</v>
      </c>
      <c r="V890">
        <v>0.17818800000000001</v>
      </c>
      <c r="W890">
        <v>4.4783000000000003E-2</v>
      </c>
      <c r="Y890" t="s">
        <v>2</v>
      </c>
      <c r="Z890">
        <v>4500</v>
      </c>
      <c r="AA890">
        <v>12</v>
      </c>
      <c r="AB890">
        <v>73</v>
      </c>
      <c r="AC890">
        <v>0</v>
      </c>
      <c r="AD890">
        <v>1844284163</v>
      </c>
      <c r="AE890">
        <v>2581977.16</v>
      </c>
      <c r="AF890">
        <v>1841699234</v>
      </c>
      <c r="AG890">
        <v>1841699234</v>
      </c>
      <c r="AH890">
        <v>1.9000000000000001E-5</v>
      </c>
      <c r="AI890">
        <v>1.9000000000000001E-5</v>
      </c>
    </row>
    <row r="891" spans="1:35" x14ac:dyDescent="0.35">
      <c r="A891" t="s">
        <v>0</v>
      </c>
      <c r="B891">
        <v>5500</v>
      </c>
      <c r="C891">
        <v>6</v>
      </c>
      <c r="D891">
        <v>1301</v>
      </c>
      <c r="E891">
        <v>0</v>
      </c>
      <c r="F891">
        <v>45569029506</v>
      </c>
      <c r="G891">
        <v>52010710.299999997</v>
      </c>
      <c r="H891">
        <v>45397428548.779999</v>
      </c>
      <c r="I891">
        <v>45494122117.389999</v>
      </c>
      <c r="J891">
        <v>3.1042E-2</v>
      </c>
      <c r="K891">
        <v>6.0130000000000001E-3</v>
      </c>
      <c r="M891" t="s">
        <v>1</v>
      </c>
      <c r="N891">
        <v>4750</v>
      </c>
      <c r="O891">
        <v>12</v>
      </c>
      <c r="P891">
        <v>2704</v>
      </c>
      <c r="Q891">
        <v>0</v>
      </c>
      <c r="R891">
        <v>118819290894</v>
      </c>
      <c r="S891">
        <v>159124699.47999999</v>
      </c>
      <c r="T891">
        <v>117620181328.74001</v>
      </c>
      <c r="U891">
        <v>118534418082.91</v>
      </c>
      <c r="V891">
        <v>0.10012</v>
      </c>
      <c r="W891">
        <v>1.2626E-2</v>
      </c>
      <c r="Y891" t="s">
        <v>0</v>
      </c>
      <c r="Z891">
        <v>4500</v>
      </c>
      <c r="AA891">
        <v>10</v>
      </c>
      <c r="AB891">
        <v>798</v>
      </c>
      <c r="AC891">
        <v>0</v>
      </c>
      <c r="AD891">
        <v>24989359256</v>
      </c>
      <c r="AE891">
        <v>34724318.530000001</v>
      </c>
      <c r="AF891">
        <v>24951629360</v>
      </c>
      <c r="AG891">
        <v>24951629360</v>
      </c>
      <c r="AH891">
        <v>1.4419999999999999E-3</v>
      </c>
      <c r="AI891">
        <v>1.4419999999999999E-3</v>
      </c>
    </row>
    <row r="892" spans="1:35" x14ac:dyDescent="0.35">
      <c r="A892" t="s">
        <v>2</v>
      </c>
      <c r="B892">
        <v>5500</v>
      </c>
      <c r="C892">
        <v>7</v>
      </c>
      <c r="D892">
        <v>50</v>
      </c>
      <c r="E892">
        <v>0</v>
      </c>
      <c r="F892">
        <v>1132317038</v>
      </c>
      <c r="G892">
        <v>1298867.57</v>
      </c>
      <c r="H892">
        <v>1130169532.6700001</v>
      </c>
      <c r="I892">
        <v>1131015972.2</v>
      </c>
      <c r="J892">
        <v>8.9569999999999997E-3</v>
      </c>
      <c r="K892">
        <v>2.3E-5</v>
      </c>
      <c r="M892" t="s">
        <v>0</v>
      </c>
      <c r="N892">
        <v>4750</v>
      </c>
      <c r="O892">
        <v>12</v>
      </c>
      <c r="P892">
        <v>2394</v>
      </c>
      <c r="Q892">
        <v>0</v>
      </c>
      <c r="R892">
        <v>85126003697</v>
      </c>
      <c r="S892">
        <v>114285484.17</v>
      </c>
      <c r="T892">
        <v>84785979996.830002</v>
      </c>
      <c r="U892">
        <v>84982529295.820007</v>
      </c>
      <c r="V892">
        <v>3.1362000000000001E-2</v>
      </c>
      <c r="W892">
        <v>4.1070000000000004E-3</v>
      </c>
      <c r="Y892" t="s">
        <v>0</v>
      </c>
      <c r="Z892">
        <v>5000</v>
      </c>
      <c r="AA892">
        <v>5</v>
      </c>
      <c r="AB892">
        <v>16407</v>
      </c>
      <c r="AC892">
        <v>0</v>
      </c>
      <c r="AD892">
        <v>586770600000</v>
      </c>
      <c r="AE892">
        <v>718410964.29999995</v>
      </c>
      <c r="AF892">
        <v>586242144587</v>
      </c>
      <c r="AG892">
        <v>586273506648.56995</v>
      </c>
      <c r="AH892">
        <v>-3.8920000000000001E-3</v>
      </c>
      <c r="AI892">
        <v>-4.5360000000000001E-3</v>
      </c>
    </row>
    <row r="893" spans="1:35" x14ac:dyDescent="0.35">
      <c r="A893" t="s">
        <v>0</v>
      </c>
      <c r="B893">
        <v>6000</v>
      </c>
      <c r="C893">
        <v>9</v>
      </c>
      <c r="D893">
        <v>6827</v>
      </c>
      <c r="E893">
        <v>0</v>
      </c>
      <c r="F893">
        <v>225361673716</v>
      </c>
      <c r="G893">
        <v>238852458.86000001</v>
      </c>
      <c r="H893">
        <v>222810170640.35999</v>
      </c>
      <c r="I893">
        <v>224890205718.97</v>
      </c>
      <c r="J893">
        <v>0.116425</v>
      </c>
      <c r="K893">
        <v>1.2316000000000001E-2</v>
      </c>
      <c r="M893" t="s">
        <v>0</v>
      </c>
      <c r="N893">
        <v>5000</v>
      </c>
      <c r="O893">
        <v>12</v>
      </c>
      <c r="P893">
        <v>7081</v>
      </c>
      <c r="Q893">
        <v>0</v>
      </c>
      <c r="R893">
        <v>247645679131</v>
      </c>
      <c r="S893">
        <v>318684035.26999998</v>
      </c>
      <c r="T893">
        <v>246574772621.85001</v>
      </c>
      <c r="U893">
        <v>247207273959.44</v>
      </c>
      <c r="V893">
        <v>3.5846999999999997E-2</v>
      </c>
      <c r="W893">
        <v>5.7860000000000003E-3</v>
      </c>
      <c r="Y893" t="s">
        <v>2</v>
      </c>
      <c r="Z893">
        <v>5000</v>
      </c>
      <c r="AA893">
        <v>5</v>
      </c>
      <c r="AB893">
        <v>341</v>
      </c>
      <c r="AC893">
        <v>0</v>
      </c>
      <c r="AD893">
        <v>9725400000</v>
      </c>
      <c r="AE893">
        <v>11912586.109999999</v>
      </c>
      <c r="AF893">
        <v>9720146439</v>
      </c>
      <c r="AG893">
        <v>9720146439</v>
      </c>
      <c r="AH893">
        <v>-8.2470000000000009E-3</v>
      </c>
      <c r="AI893">
        <v>-8.2470000000000009E-3</v>
      </c>
    </row>
    <row r="894" spans="1:35" x14ac:dyDescent="0.35">
      <c r="A894" t="s">
        <v>0</v>
      </c>
      <c r="B894">
        <v>6000</v>
      </c>
      <c r="C894">
        <v>7</v>
      </c>
      <c r="D894">
        <v>7282</v>
      </c>
      <c r="E894">
        <v>0</v>
      </c>
      <c r="F894">
        <v>237609244702</v>
      </c>
      <c r="G894">
        <v>248671298.44</v>
      </c>
      <c r="H894">
        <v>234507521518.88</v>
      </c>
      <c r="I894">
        <v>237153361146.94</v>
      </c>
      <c r="J894">
        <v>0.13494300000000001</v>
      </c>
      <c r="K894">
        <v>1.0415000000000001E-2</v>
      </c>
      <c r="M894" t="s">
        <v>1</v>
      </c>
      <c r="N894">
        <v>5000</v>
      </c>
      <c r="O894">
        <v>12</v>
      </c>
      <c r="P894">
        <v>8557</v>
      </c>
      <c r="Q894">
        <v>0</v>
      </c>
      <c r="R894">
        <v>336590018572</v>
      </c>
      <c r="S894">
        <v>432423933.62</v>
      </c>
      <c r="T894">
        <v>333248899619.73999</v>
      </c>
      <c r="U894">
        <v>335805152002.03998</v>
      </c>
      <c r="V894">
        <v>9.8909999999999998E-2</v>
      </c>
      <c r="W894">
        <v>1.2493000000000001E-2</v>
      </c>
      <c r="Y894" t="s">
        <v>1</v>
      </c>
      <c r="Z894">
        <v>5000</v>
      </c>
      <c r="AA894">
        <v>5</v>
      </c>
      <c r="AB894">
        <v>9572</v>
      </c>
      <c r="AC894">
        <v>0</v>
      </c>
      <c r="AD894">
        <v>397747700000</v>
      </c>
      <c r="AE894">
        <v>485083224.41000003</v>
      </c>
      <c r="AF894">
        <v>397357544115</v>
      </c>
      <c r="AG894">
        <v>397486385384.12</v>
      </c>
      <c r="AH894">
        <v>-2.8679999999999999E-3</v>
      </c>
      <c r="AI894">
        <v>-6.7720000000000002E-3</v>
      </c>
    </row>
    <row r="895" spans="1:35" x14ac:dyDescent="0.35">
      <c r="A895" t="s">
        <v>0</v>
      </c>
      <c r="B895">
        <v>6000</v>
      </c>
      <c r="C895">
        <v>6</v>
      </c>
      <c r="D895">
        <v>5760</v>
      </c>
      <c r="E895">
        <v>0</v>
      </c>
      <c r="F895">
        <v>185939804780</v>
      </c>
      <c r="G895">
        <v>193690475.91999999</v>
      </c>
      <c r="H895">
        <v>184167761126.23999</v>
      </c>
      <c r="I895">
        <v>185630931511.70999</v>
      </c>
      <c r="J895">
        <v>9.7239000000000006E-2</v>
      </c>
      <c r="K895">
        <v>7.4079999999999997E-3</v>
      </c>
      <c r="M895" t="s">
        <v>1</v>
      </c>
      <c r="N895">
        <v>5250</v>
      </c>
      <c r="O895">
        <v>12</v>
      </c>
      <c r="P895">
        <v>17612</v>
      </c>
      <c r="Q895">
        <v>0</v>
      </c>
      <c r="R895">
        <v>740377641858</v>
      </c>
      <c r="S895">
        <v>910498614.67999995</v>
      </c>
      <c r="T895">
        <v>731266923522.19995</v>
      </c>
      <c r="U895">
        <v>738392498179.85999</v>
      </c>
      <c r="V895">
        <v>0.12510399999999999</v>
      </c>
      <c r="W895">
        <v>1.7278999999999999E-2</v>
      </c>
      <c r="Y895" t="s">
        <v>1</v>
      </c>
      <c r="Z895">
        <v>5500</v>
      </c>
      <c r="AA895">
        <v>5</v>
      </c>
      <c r="AB895">
        <v>34199</v>
      </c>
      <c r="AC895">
        <v>0</v>
      </c>
      <c r="AD895">
        <v>1497643000000</v>
      </c>
      <c r="AE895">
        <v>1664644920.1199999</v>
      </c>
      <c r="AF895">
        <v>1496483350435</v>
      </c>
      <c r="AG895">
        <v>1497178376486.26</v>
      </c>
      <c r="AH895">
        <v>-4.0540000000000003E-3</v>
      </c>
      <c r="AI895">
        <v>-9.6579999999999999E-3</v>
      </c>
    </row>
    <row r="896" spans="1:35" x14ac:dyDescent="0.35">
      <c r="A896" t="s">
        <v>1</v>
      </c>
      <c r="B896">
        <v>6000</v>
      </c>
      <c r="C896">
        <v>6</v>
      </c>
      <c r="D896">
        <v>4927</v>
      </c>
      <c r="E896">
        <v>0</v>
      </c>
      <c r="F896">
        <v>208710091072</v>
      </c>
      <c r="G896">
        <v>217090269.11000001</v>
      </c>
      <c r="H896">
        <v>206736921027.95999</v>
      </c>
      <c r="I896">
        <v>208390062980.81</v>
      </c>
      <c r="J896">
        <v>9.6423999999999996E-2</v>
      </c>
      <c r="K896">
        <v>5.9020000000000001E-3</v>
      </c>
      <c r="M896" t="s">
        <v>2</v>
      </c>
      <c r="N896">
        <v>5250</v>
      </c>
      <c r="O896">
        <v>12</v>
      </c>
      <c r="P896">
        <v>325</v>
      </c>
      <c r="Q896">
        <v>0</v>
      </c>
      <c r="R896">
        <v>7789939907</v>
      </c>
      <c r="S896">
        <v>9585565.5099999998</v>
      </c>
      <c r="T896">
        <v>7763288927.79</v>
      </c>
      <c r="U896">
        <v>7777503895</v>
      </c>
      <c r="V896">
        <v>2.5974000000000001E-2</v>
      </c>
      <c r="W896">
        <v>4.3819999999999996E-3</v>
      </c>
      <c r="Y896" t="s">
        <v>0</v>
      </c>
      <c r="Z896">
        <v>5500</v>
      </c>
      <c r="AA896">
        <v>5</v>
      </c>
      <c r="AB896">
        <v>21308</v>
      </c>
      <c r="AC896">
        <v>0</v>
      </c>
      <c r="AD896">
        <v>753123400000</v>
      </c>
      <c r="AE896">
        <v>837937686.00999999</v>
      </c>
      <c r="AF896">
        <v>752543129506</v>
      </c>
      <c r="AG896">
        <v>752841889601.10999</v>
      </c>
      <c r="AH896">
        <v>-4.1130000000000003E-3</v>
      </c>
      <c r="AI896">
        <v>-8.9020000000000002E-3</v>
      </c>
    </row>
    <row r="897" spans="1:35" x14ac:dyDescent="0.35">
      <c r="A897" t="s">
        <v>2</v>
      </c>
      <c r="B897">
        <v>5500</v>
      </c>
      <c r="C897">
        <v>5</v>
      </c>
      <c r="D897">
        <v>460</v>
      </c>
      <c r="E897">
        <v>0</v>
      </c>
      <c r="F897">
        <v>11424300000</v>
      </c>
      <c r="G897">
        <v>12733639.390000001</v>
      </c>
      <c r="H897">
        <v>11408626059.01</v>
      </c>
      <c r="I897">
        <v>11411436455.26</v>
      </c>
      <c r="J897">
        <v>3.0839999999999999E-3</v>
      </c>
      <c r="K897">
        <v>1.36E-4</v>
      </c>
      <c r="M897" t="s">
        <v>1</v>
      </c>
      <c r="N897">
        <v>5750</v>
      </c>
      <c r="O897">
        <v>12</v>
      </c>
      <c r="P897">
        <v>28547</v>
      </c>
      <c r="Q897">
        <v>0</v>
      </c>
      <c r="R897">
        <v>1135985147907</v>
      </c>
      <c r="S897">
        <v>1281387803.8199999</v>
      </c>
      <c r="T897">
        <v>1107887840293.29</v>
      </c>
      <c r="U897">
        <v>1133162088572.6899</v>
      </c>
      <c r="V897">
        <v>0.24923899999999999</v>
      </c>
      <c r="W897">
        <v>1.6164000000000001E-2</v>
      </c>
      <c r="Y897" t="s">
        <v>2</v>
      </c>
      <c r="Z897">
        <v>5500</v>
      </c>
      <c r="AA897">
        <v>6</v>
      </c>
      <c r="AB897">
        <v>50</v>
      </c>
      <c r="AC897">
        <v>0</v>
      </c>
      <c r="AD897">
        <v>1136178684</v>
      </c>
      <c r="AE897">
        <v>1295912.83</v>
      </c>
      <c r="AF897">
        <v>1132317038</v>
      </c>
      <c r="AG897">
        <v>1132317038</v>
      </c>
      <c r="AH897">
        <v>2.6765000000000001E-2</v>
      </c>
      <c r="AI897">
        <v>2.6765000000000001E-2</v>
      </c>
    </row>
    <row r="898" spans="1:35" x14ac:dyDescent="0.35">
      <c r="A898" t="s">
        <v>0</v>
      </c>
      <c r="B898">
        <v>5500</v>
      </c>
      <c r="C898">
        <v>5</v>
      </c>
      <c r="D898">
        <v>19997</v>
      </c>
      <c r="E898">
        <v>0</v>
      </c>
      <c r="F898">
        <v>706987400000</v>
      </c>
      <c r="G898">
        <v>788911548.15999997</v>
      </c>
      <c r="H898">
        <v>705585020742.80005</v>
      </c>
      <c r="I898">
        <v>706148368774.94995</v>
      </c>
      <c r="J898">
        <v>1.0363000000000001E-2</v>
      </c>
      <c r="K898">
        <v>8.4999999999999995E-4</v>
      </c>
      <c r="M898" t="s">
        <v>1</v>
      </c>
      <c r="N898">
        <v>6000</v>
      </c>
      <c r="O898">
        <v>12</v>
      </c>
      <c r="P898">
        <v>5743</v>
      </c>
      <c r="Q898">
        <v>0</v>
      </c>
      <c r="R898">
        <v>196196316588</v>
      </c>
      <c r="S898">
        <v>211031773.56999999</v>
      </c>
      <c r="T898">
        <v>187108228566.13</v>
      </c>
      <c r="U898">
        <v>195566130931.60999</v>
      </c>
      <c r="V898">
        <v>0.42628100000000002</v>
      </c>
      <c r="W898">
        <v>2.5337999999999999E-2</v>
      </c>
      <c r="Y898" t="s">
        <v>0</v>
      </c>
      <c r="Z898">
        <v>6000</v>
      </c>
      <c r="AA898">
        <v>8</v>
      </c>
      <c r="AB898">
        <v>6874</v>
      </c>
      <c r="AC898">
        <v>0</v>
      </c>
      <c r="AD898">
        <v>227111996724</v>
      </c>
      <c r="AE898">
        <v>239261585.00999999</v>
      </c>
      <c r="AF898">
        <v>225291378699</v>
      </c>
      <c r="AG898">
        <v>226777615200.07001</v>
      </c>
      <c r="AH898">
        <v>8.0427999999999999E-2</v>
      </c>
      <c r="AI898">
        <v>5.0140000000000002E-3</v>
      </c>
    </row>
    <row r="899" spans="1:35" x14ac:dyDescent="0.35">
      <c r="A899" t="s">
        <v>1</v>
      </c>
      <c r="B899">
        <v>5500</v>
      </c>
      <c r="C899">
        <v>5</v>
      </c>
      <c r="D899">
        <v>33360</v>
      </c>
      <c r="E899">
        <v>0</v>
      </c>
      <c r="F899">
        <v>1463856200000</v>
      </c>
      <c r="G899">
        <v>1633276073.97</v>
      </c>
      <c r="H899">
        <v>1460116697345.45</v>
      </c>
      <c r="I899">
        <v>1461930537513.1499</v>
      </c>
      <c r="J899">
        <v>1.7129999999999999E-2</v>
      </c>
      <c r="K899">
        <v>2.3939999999999999E-3</v>
      </c>
      <c r="M899" t="s">
        <v>0</v>
      </c>
      <c r="N899">
        <v>6500</v>
      </c>
      <c r="O899">
        <v>10</v>
      </c>
      <c r="P899">
        <v>4535</v>
      </c>
      <c r="Q899">
        <v>0</v>
      </c>
      <c r="R899">
        <v>125093493509</v>
      </c>
      <c r="S899">
        <v>121512229.40000001</v>
      </c>
      <c r="T899">
        <v>122118022894.89999</v>
      </c>
      <c r="U899">
        <v>124480055766</v>
      </c>
      <c r="V899">
        <v>0.24190500000000001</v>
      </c>
      <c r="W899">
        <v>4.6182000000000001E-2</v>
      </c>
      <c r="Y899" t="s">
        <v>0</v>
      </c>
      <c r="Z899">
        <v>6000</v>
      </c>
      <c r="AA899">
        <v>6</v>
      </c>
      <c r="AB899">
        <v>7307</v>
      </c>
      <c r="AC899">
        <v>0</v>
      </c>
      <c r="AD899">
        <v>238993929906</v>
      </c>
      <c r="AE899">
        <v>248624363.02000001</v>
      </c>
      <c r="AF899">
        <v>237628444702</v>
      </c>
      <c r="AG899">
        <v>238445058759.42999</v>
      </c>
      <c r="AH899">
        <v>5.4658999999999999E-2</v>
      </c>
      <c r="AI899">
        <v>1.4971999999999999E-2</v>
      </c>
    </row>
    <row r="900" spans="1:35" x14ac:dyDescent="0.35">
      <c r="A900" t="s">
        <v>0</v>
      </c>
      <c r="B900">
        <v>6000</v>
      </c>
      <c r="C900">
        <v>5</v>
      </c>
      <c r="D900">
        <v>55623</v>
      </c>
      <c r="E900">
        <v>0</v>
      </c>
      <c r="F900">
        <v>1754407400000</v>
      </c>
      <c r="G900">
        <v>1789972141.1099999</v>
      </c>
      <c r="H900">
        <v>1750012431897.52</v>
      </c>
      <c r="I900">
        <v>1752396931594.6799</v>
      </c>
      <c r="J900">
        <v>1.7673000000000001E-2</v>
      </c>
      <c r="K900">
        <v>1.5070000000000001E-3</v>
      </c>
      <c r="M900" t="s">
        <v>0</v>
      </c>
      <c r="N900">
        <v>6750</v>
      </c>
      <c r="O900">
        <v>10</v>
      </c>
      <c r="P900">
        <v>9627</v>
      </c>
      <c r="Q900">
        <v>0</v>
      </c>
      <c r="R900">
        <v>273299391656</v>
      </c>
      <c r="S900">
        <v>254446682.65000001</v>
      </c>
      <c r="T900">
        <v>265256931244.35001</v>
      </c>
      <c r="U900">
        <v>271671257682.70001</v>
      </c>
      <c r="V900">
        <v>0.29314000000000001</v>
      </c>
      <c r="W900">
        <v>5.8675999999999999E-2</v>
      </c>
      <c r="Y900" t="s">
        <v>0</v>
      </c>
      <c r="Z900">
        <v>6000</v>
      </c>
      <c r="AA900">
        <v>5</v>
      </c>
      <c r="AB900">
        <v>61441</v>
      </c>
      <c r="AC900">
        <v>0</v>
      </c>
      <c r="AD900">
        <v>1943051500000</v>
      </c>
      <c r="AE900">
        <v>1976741038.04</v>
      </c>
      <c r="AF900">
        <v>1940280204780</v>
      </c>
      <c r="AG900">
        <v>1941873074253.9099</v>
      </c>
      <c r="AH900">
        <v>4.8960000000000002E-3</v>
      </c>
      <c r="AI900">
        <v>-4.9410000000000001E-3</v>
      </c>
    </row>
    <row r="901" spans="1:35" x14ac:dyDescent="0.35">
      <c r="A901" t="s">
        <v>1</v>
      </c>
      <c r="B901">
        <v>6000</v>
      </c>
      <c r="C901">
        <v>5</v>
      </c>
      <c r="D901">
        <v>36676</v>
      </c>
      <c r="E901">
        <v>0</v>
      </c>
      <c r="F901">
        <v>1469640800000</v>
      </c>
      <c r="G901">
        <v>1502130053.04</v>
      </c>
      <c r="H901">
        <v>1465460589424.01</v>
      </c>
      <c r="I901">
        <v>1467860494857.55</v>
      </c>
      <c r="J901">
        <v>2.1649000000000002E-2</v>
      </c>
      <c r="K901">
        <v>2.2690000000000002E-3</v>
      </c>
      <c r="M901" t="s">
        <v>0</v>
      </c>
      <c r="N901">
        <v>7000</v>
      </c>
      <c r="O901">
        <v>10</v>
      </c>
      <c r="P901">
        <v>2407</v>
      </c>
      <c r="Q901">
        <v>0</v>
      </c>
      <c r="R901">
        <v>64702569563</v>
      </c>
      <c r="S901">
        <v>57248711.039999999</v>
      </c>
      <c r="T901">
        <v>62944548579.599998</v>
      </c>
      <c r="U901">
        <v>64455975093.160004</v>
      </c>
      <c r="V901">
        <v>0.27359800000000001</v>
      </c>
      <c r="W901">
        <v>3.4556999999999997E-2</v>
      </c>
      <c r="Y901" t="s">
        <v>1</v>
      </c>
      <c r="Z901">
        <v>6000</v>
      </c>
      <c r="AA901">
        <v>5</v>
      </c>
      <c r="AB901">
        <v>41631</v>
      </c>
      <c r="AC901">
        <v>0</v>
      </c>
      <c r="AD901">
        <v>1681268700000</v>
      </c>
      <c r="AE901">
        <v>1713114007.6500001</v>
      </c>
      <c r="AF901">
        <v>1677605891072</v>
      </c>
      <c r="AG901">
        <v>1679121843601.5901</v>
      </c>
      <c r="AH901">
        <v>1.3827000000000001E-2</v>
      </c>
      <c r="AI901">
        <v>3.091E-3</v>
      </c>
    </row>
    <row r="902" spans="1:35" x14ac:dyDescent="0.35">
      <c r="A902" t="s">
        <v>2</v>
      </c>
      <c r="B902">
        <v>7000</v>
      </c>
      <c r="C902">
        <v>14</v>
      </c>
      <c r="D902">
        <v>295</v>
      </c>
      <c r="E902">
        <v>0</v>
      </c>
      <c r="F902">
        <v>4404555509</v>
      </c>
      <c r="G902">
        <v>3987712.86</v>
      </c>
      <c r="H902">
        <v>4329447580.7399998</v>
      </c>
      <c r="I902">
        <v>4359432722.79</v>
      </c>
      <c r="J902">
        <v>0.177449</v>
      </c>
      <c r="K902">
        <v>0.106489</v>
      </c>
      <c r="M902" t="s">
        <v>1</v>
      </c>
      <c r="N902">
        <v>5000</v>
      </c>
      <c r="O902">
        <v>10</v>
      </c>
      <c r="P902">
        <v>2917</v>
      </c>
      <c r="Q902">
        <v>0</v>
      </c>
      <c r="R902">
        <v>111851110041</v>
      </c>
      <c r="S902">
        <v>142607695.28</v>
      </c>
      <c r="T902">
        <v>110908881832.8</v>
      </c>
      <c r="U902">
        <v>111588640930.49001</v>
      </c>
      <c r="V902">
        <v>8.2493999999999998E-2</v>
      </c>
      <c r="W902">
        <v>1.2784E-2</v>
      </c>
      <c r="Y902" t="s">
        <v>2</v>
      </c>
      <c r="Z902">
        <v>5500</v>
      </c>
      <c r="AA902">
        <v>5</v>
      </c>
      <c r="AB902">
        <v>498</v>
      </c>
      <c r="AC902">
        <v>0</v>
      </c>
      <c r="AD902">
        <v>12394800000</v>
      </c>
      <c r="AE902">
        <v>13793717.550000001</v>
      </c>
      <c r="AF902">
        <v>12392588874</v>
      </c>
      <c r="AG902">
        <v>12392588874</v>
      </c>
      <c r="AH902">
        <v>-1.1271E-2</v>
      </c>
      <c r="AI902">
        <v>-1.1271E-2</v>
      </c>
    </row>
    <row r="903" spans="1:35" x14ac:dyDescent="0.35">
      <c r="A903" t="s">
        <v>1</v>
      </c>
      <c r="B903">
        <v>6000</v>
      </c>
      <c r="C903">
        <v>12</v>
      </c>
      <c r="D903">
        <v>5957</v>
      </c>
      <c r="E903">
        <v>0</v>
      </c>
      <c r="F903">
        <v>231169900614</v>
      </c>
      <c r="G903">
        <v>248598024.09</v>
      </c>
      <c r="H903">
        <v>220818380388.17001</v>
      </c>
      <c r="I903">
        <v>230495727512.60001</v>
      </c>
      <c r="J903">
        <v>0.41505999999999998</v>
      </c>
      <c r="K903">
        <v>2.1869E-2</v>
      </c>
      <c r="M903" t="s">
        <v>2</v>
      </c>
      <c r="N903">
        <v>5000</v>
      </c>
      <c r="O903">
        <v>12</v>
      </c>
      <c r="P903">
        <v>171</v>
      </c>
      <c r="Q903">
        <v>0</v>
      </c>
      <c r="R903">
        <v>4178792362</v>
      </c>
      <c r="S903">
        <v>5376370.3700000001</v>
      </c>
      <c r="T903">
        <v>4166621317.6999998</v>
      </c>
      <c r="U903">
        <v>4172518742.75</v>
      </c>
      <c r="V903">
        <v>1.9338000000000001E-2</v>
      </c>
      <c r="W903">
        <v>2.5739999999999999E-3</v>
      </c>
      <c r="Y903" t="s">
        <v>0</v>
      </c>
      <c r="Z903">
        <v>7750</v>
      </c>
      <c r="AA903">
        <v>16</v>
      </c>
      <c r="AB903">
        <v>3118</v>
      </c>
      <c r="AC903">
        <v>0</v>
      </c>
      <c r="AD903">
        <v>80232601649</v>
      </c>
      <c r="AE903">
        <v>64022231.380000003</v>
      </c>
      <c r="AF903">
        <v>78701972337</v>
      </c>
      <c r="AG903">
        <v>79648588476.139999</v>
      </c>
      <c r="AH903">
        <v>0.19858999999999999</v>
      </c>
      <c r="AI903">
        <v>7.5059000000000001E-2</v>
      </c>
    </row>
    <row r="904" spans="1:35" x14ac:dyDescent="0.35">
      <c r="A904" t="s">
        <v>2</v>
      </c>
      <c r="B904">
        <v>6000</v>
      </c>
      <c r="C904">
        <v>12</v>
      </c>
      <c r="D904">
        <v>448</v>
      </c>
      <c r="E904">
        <v>0</v>
      </c>
      <c r="F904">
        <v>9543661307</v>
      </c>
      <c r="G904">
        <v>10258781.189999999</v>
      </c>
      <c r="H904">
        <v>9503249622.5699997</v>
      </c>
      <c r="I904">
        <v>9528402616.1700001</v>
      </c>
      <c r="J904">
        <v>3.7262000000000003E-2</v>
      </c>
      <c r="K904">
        <v>6.2690000000000003E-3</v>
      </c>
      <c r="M904" t="s">
        <v>2</v>
      </c>
      <c r="N904">
        <v>5250</v>
      </c>
      <c r="O904">
        <v>10</v>
      </c>
      <c r="P904">
        <v>87</v>
      </c>
      <c r="Q904">
        <v>0</v>
      </c>
      <c r="R904">
        <v>2062815720</v>
      </c>
      <c r="S904">
        <v>2513720.09</v>
      </c>
      <c r="T904">
        <v>2055976177.3699999</v>
      </c>
      <c r="U904">
        <v>2058804893.74</v>
      </c>
      <c r="V904">
        <v>2.4875999999999999E-2</v>
      </c>
      <c r="W904">
        <v>8.6739999999999994E-3</v>
      </c>
      <c r="Y904" t="s">
        <v>1</v>
      </c>
      <c r="Z904">
        <v>7000</v>
      </c>
      <c r="AA904">
        <v>14</v>
      </c>
      <c r="AB904">
        <v>458</v>
      </c>
      <c r="AC904">
        <v>0</v>
      </c>
      <c r="AD904">
        <v>13417431739</v>
      </c>
      <c r="AE904">
        <v>12225465.35</v>
      </c>
      <c r="AF904">
        <v>12749595419</v>
      </c>
      <c r="AG904">
        <v>13164615902.209999</v>
      </c>
      <c r="AH904">
        <v>0.45182499999999998</v>
      </c>
      <c r="AI904">
        <v>0.19517200000000001</v>
      </c>
    </row>
    <row r="905" spans="1:35" x14ac:dyDescent="0.35">
      <c r="A905" t="s">
        <v>0</v>
      </c>
      <c r="B905">
        <v>6500</v>
      </c>
      <c r="C905">
        <v>12</v>
      </c>
      <c r="D905">
        <v>10057</v>
      </c>
      <c r="E905">
        <v>0</v>
      </c>
      <c r="F905">
        <v>282892560300</v>
      </c>
      <c r="G905">
        <v>277164224.04000002</v>
      </c>
      <c r="H905">
        <v>275564548093.09998</v>
      </c>
      <c r="I905">
        <v>281651233331.37</v>
      </c>
      <c r="J905">
        <v>0.26131199999999999</v>
      </c>
      <c r="K905">
        <v>4.0141000000000003E-2</v>
      </c>
      <c r="M905" t="s">
        <v>0</v>
      </c>
      <c r="N905">
        <v>5250</v>
      </c>
      <c r="O905">
        <v>10</v>
      </c>
      <c r="P905">
        <v>3020</v>
      </c>
      <c r="Q905">
        <v>0</v>
      </c>
      <c r="R905">
        <v>103134384133</v>
      </c>
      <c r="S905">
        <v>125803584.44</v>
      </c>
      <c r="T905">
        <v>102518288162.83</v>
      </c>
      <c r="U905">
        <v>102956117665.38</v>
      </c>
      <c r="V905">
        <v>5.5579000000000003E-2</v>
      </c>
      <c r="W905">
        <v>6.0870000000000004E-3</v>
      </c>
      <c r="Y905" t="s">
        <v>2</v>
      </c>
      <c r="Z905">
        <v>6500</v>
      </c>
      <c r="AA905">
        <v>12</v>
      </c>
      <c r="AB905">
        <v>794</v>
      </c>
      <c r="AC905">
        <v>0</v>
      </c>
      <c r="AD905">
        <v>15224330615</v>
      </c>
      <c r="AE905">
        <v>14948069.49</v>
      </c>
      <c r="AF905">
        <v>15137333497</v>
      </c>
      <c r="AG905">
        <v>15209270731.66</v>
      </c>
      <c r="AH905">
        <v>5.5335000000000002E-2</v>
      </c>
      <c r="AI905">
        <v>8.7999999999999998E-5</v>
      </c>
    </row>
    <row r="906" spans="1:35" x14ac:dyDescent="0.35">
      <c r="A906" t="s">
        <v>1</v>
      </c>
      <c r="B906">
        <v>6500</v>
      </c>
      <c r="C906">
        <v>12</v>
      </c>
      <c r="D906">
        <v>3178</v>
      </c>
      <c r="E906">
        <v>0</v>
      </c>
      <c r="F906">
        <v>109035157506</v>
      </c>
      <c r="G906">
        <v>107058604.18000001</v>
      </c>
      <c r="H906">
        <v>100704306017.58</v>
      </c>
      <c r="I906">
        <v>108691293914.49001</v>
      </c>
      <c r="J906">
        <v>0.60977499999999996</v>
      </c>
      <c r="K906">
        <v>2.5753000000000002E-2</v>
      </c>
      <c r="M906" t="s">
        <v>1</v>
      </c>
      <c r="N906">
        <v>5250</v>
      </c>
      <c r="O906">
        <v>10</v>
      </c>
      <c r="P906">
        <v>4501</v>
      </c>
      <c r="Q906">
        <v>0</v>
      </c>
      <c r="R906">
        <v>177059394843</v>
      </c>
      <c r="S906">
        <v>215982743.49000001</v>
      </c>
      <c r="T906">
        <v>175188652199.28</v>
      </c>
      <c r="U906">
        <v>176635761947.75</v>
      </c>
      <c r="V906">
        <v>0.106561</v>
      </c>
      <c r="W906">
        <v>1.3983000000000001E-2</v>
      </c>
      <c r="Y906" t="s">
        <v>1</v>
      </c>
      <c r="Z906">
        <v>6500</v>
      </c>
      <c r="AA906">
        <v>12</v>
      </c>
      <c r="AB906">
        <v>2469</v>
      </c>
      <c r="AC906">
        <v>0</v>
      </c>
      <c r="AD906">
        <v>83111027458</v>
      </c>
      <c r="AE906">
        <v>81571835.819999993</v>
      </c>
      <c r="AF906">
        <v>78378995351</v>
      </c>
      <c r="AG906">
        <v>82738521545.789993</v>
      </c>
      <c r="AH906">
        <v>0.498913</v>
      </c>
      <c r="AI906">
        <v>4.1207000000000001E-2</v>
      </c>
    </row>
    <row r="907" spans="1:35" x14ac:dyDescent="0.35">
      <c r="A907" t="s">
        <v>2</v>
      </c>
      <c r="B907">
        <v>6500</v>
      </c>
      <c r="C907">
        <v>12</v>
      </c>
      <c r="D907">
        <v>832</v>
      </c>
      <c r="E907">
        <v>0</v>
      </c>
      <c r="F907">
        <v>16188017823</v>
      </c>
      <c r="G907">
        <v>15887461.26</v>
      </c>
      <c r="H907">
        <v>16093690874.27</v>
      </c>
      <c r="I907">
        <v>16164637275.209999</v>
      </c>
      <c r="J907">
        <v>5.6620999999999998E-2</v>
      </c>
      <c r="K907">
        <v>5.5399999999999998E-3</v>
      </c>
      <c r="M907" t="s">
        <v>0</v>
      </c>
      <c r="N907">
        <v>5500</v>
      </c>
      <c r="O907">
        <v>10</v>
      </c>
      <c r="P907">
        <v>2697</v>
      </c>
      <c r="Q907">
        <v>0</v>
      </c>
      <c r="R907">
        <v>88307036629</v>
      </c>
      <c r="S907">
        <v>102969321.41</v>
      </c>
      <c r="T907">
        <v>87749030094.979996</v>
      </c>
      <c r="U907">
        <v>88118758847.220001</v>
      </c>
      <c r="V907">
        <v>6.0111999999999999E-2</v>
      </c>
      <c r="W907">
        <v>1.1531E-2</v>
      </c>
      <c r="Y907" t="s">
        <v>2</v>
      </c>
      <c r="Z907">
        <v>7000</v>
      </c>
      <c r="AA907">
        <v>12</v>
      </c>
      <c r="AB907">
        <v>471</v>
      </c>
      <c r="AC907">
        <v>0</v>
      </c>
      <c r="AD907">
        <v>7359644843</v>
      </c>
      <c r="AE907">
        <v>6601098.8499999996</v>
      </c>
      <c r="AF907">
        <v>7328650953</v>
      </c>
      <c r="AG907">
        <v>7328650953</v>
      </c>
      <c r="AH907">
        <v>3.9056E-2</v>
      </c>
      <c r="AI907">
        <v>3.9056E-2</v>
      </c>
    </row>
    <row r="908" spans="1:35" x14ac:dyDescent="0.35">
      <c r="A908" t="s">
        <v>0</v>
      </c>
      <c r="B908">
        <v>7000</v>
      </c>
      <c r="C908">
        <v>12</v>
      </c>
      <c r="D908">
        <v>5569</v>
      </c>
      <c r="E908">
        <v>0</v>
      </c>
      <c r="F908">
        <v>145760954064</v>
      </c>
      <c r="G908">
        <v>130351669.86</v>
      </c>
      <c r="H908">
        <v>141412126717.37</v>
      </c>
      <c r="I908">
        <v>144716253275.01001</v>
      </c>
      <c r="J908">
        <v>0.29701300000000003</v>
      </c>
      <c r="K908">
        <v>7.2732000000000005E-2</v>
      </c>
      <c r="M908" t="s">
        <v>1</v>
      </c>
      <c r="N908">
        <v>7750</v>
      </c>
      <c r="O908">
        <v>16</v>
      </c>
      <c r="P908">
        <v>430</v>
      </c>
      <c r="Q908">
        <v>0</v>
      </c>
      <c r="R908">
        <v>10737784252</v>
      </c>
      <c r="S908">
        <v>8776079.1600000001</v>
      </c>
      <c r="T908">
        <v>9773568595.1000004</v>
      </c>
      <c r="U908">
        <v>10506160320.370001</v>
      </c>
      <c r="V908">
        <v>0.67315700000000001</v>
      </c>
      <c r="W908">
        <v>0.222494</v>
      </c>
      <c r="Y908" t="s">
        <v>0</v>
      </c>
      <c r="Z908">
        <v>6000</v>
      </c>
      <c r="AA908">
        <v>10</v>
      </c>
      <c r="AB908">
        <v>4376</v>
      </c>
      <c r="AC908">
        <v>0</v>
      </c>
      <c r="AD908">
        <v>138182417895</v>
      </c>
      <c r="AE908">
        <v>147294778.61000001</v>
      </c>
      <c r="AF908">
        <v>136940065615</v>
      </c>
      <c r="AG908">
        <v>137932639739</v>
      </c>
      <c r="AH908">
        <v>9.1059000000000001E-2</v>
      </c>
      <c r="AI908">
        <v>8.8640000000000004E-3</v>
      </c>
    </row>
    <row r="909" spans="1:35" x14ac:dyDescent="0.35">
      <c r="A909" t="s">
        <v>0</v>
      </c>
      <c r="B909">
        <v>6000</v>
      </c>
      <c r="C909">
        <v>10</v>
      </c>
      <c r="D909">
        <v>4082</v>
      </c>
      <c r="E909">
        <v>0</v>
      </c>
      <c r="F909">
        <v>133655625786</v>
      </c>
      <c r="G909">
        <v>142597673.55000001</v>
      </c>
      <c r="H909">
        <v>132158429728.94</v>
      </c>
      <c r="I909">
        <v>133339486332.81</v>
      </c>
      <c r="J909">
        <v>0.115064</v>
      </c>
      <c r="K909">
        <v>1.5469999999999999E-2</v>
      </c>
      <c r="M909" t="s">
        <v>2</v>
      </c>
      <c r="N909">
        <v>6750</v>
      </c>
      <c r="O909">
        <v>14</v>
      </c>
      <c r="P909">
        <v>1296</v>
      </c>
      <c r="Q909">
        <v>0</v>
      </c>
      <c r="R909">
        <v>24103458655</v>
      </c>
      <c r="S909">
        <v>22971168.739999998</v>
      </c>
      <c r="T909">
        <v>23913779053.32</v>
      </c>
      <c r="U909">
        <v>24058248844.880001</v>
      </c>
      <c r="V909">
        <v>7.9910999999999996E-2</v>
      </c>
      <c r="W909">
        <v>1.1016E-2</v>
      </c>
      <c r="Y909" t="s">
        <v>2</v>
      </c>
      <c r="Z909">
        <v>6000</v>
      </c>
      <c r="AA909">
        <v>10</v>
      </c>
      <c r="AB909">
        <v>204</v>
      </c>
      <c r="AC909">
        <v>0</v>
      </c>
      <c r="AD909">
        <v>4461384517</v>
      </c>
      <c r="AE909">
        <v>4751800.34</v>
      </c>
      <c r="AF909">
        <v>4456629629</v>
      </c>
      <c r="AG909">
        <v>4456629629</v>
      </c>
      <c r="AH909">
        <v>7.9999999999999996E-6</v>
      </c>
      <c r="AI909">
        <v>7.9999999999999996E-6</v>
      </c>
    </row>
    <row r="910" spans="1:35" x14ac:dyDescent="0.35">
      <c r="A910" t="s">
        <v>1</v>
      </c>
      <c r="B910">
        <v>6000</v>
      </c>
      <c r="C910">
        <v>10</v>
      </c>
      <c r="D910">
        <v>2534</v>
      </c>
      <c r="E910">
        <v>0</v>
      </c>
      <c r="F910">
        <v>100140415055</v>
      </c>
      <c r="G910">
        <v>106725477.11</v>
      </c>
      <c r="H910">
        <v>95481484567.830002</v>
      </c>
      <c r="I910">
        <v>99886910299.350006</v>
      </c>
      <c r="J910">
        <v>0.427811</v>
      </c>
      <c r="K910">
        <v>1.7448000000000002E-2</v>
      </c>
      <c r="M910" t="s">
        <v>0</v>
      </c>
      <c r="N910">
        <v>6000</v>
      </c>
      <c r="O910">
        <v>10</v>
      </c>
      <c r="P910">
        <v>5605</v>
      </c>
      <c r="Q910">
        <v>0</v>
      </c>
      <c r="R910">
        <v>167082219320</v>
      </c>
      <c r="S910">
        <v>178196122.00999999</v>
      </c>
      <c r="T910">
        <v>165430362974.04001</v>
      </c>
      <c r="U910">
        <v>166654327042.60999</v>
      </c>
      <c r="V910">
        <v>0.100853</v>
      </c>
      <c r="W910">
        <v>1.7787000000000001E-2</v>
      </c>
      <c r="Y910" t="s">
        <v>1</v>
      </c>
      <c r="Z910">
        <v>6000</v>
      </c>
      <c r="AA910">
        <v>10</v>
      </c>
      <c r="AB910">
        <v>2752</v>
      </c>
      <c r="AC910">
        <v>0</v>
      </c>
      <c r="AD910">
        <v>107003853162</v>
      </c>
      <c r="AE910">
        <v>113964912.01000001</v>
      </c>
      <c r="AF910">
        <v>104156155623</v>
      </c>
      <c r="AG910">
        <v>106657078019.89999</v>
      </c>
      <c r="AH910">
        <v>0.26696399999999998</v>
      </c>
      <c r="AI910">
        <v>2.5798000000000001E-2</v>
      </c>
    </row>
    <row r="911" spans="1:35" x14ac:dyDescent="0.35">
      <c r="A911" t="s">
        <v>2</v>
      </c>
      <c r="B911">
        <v>6000</v>
      </c>
      <c r="C911">
        <v>10</v>
      </c>
      <c r="D911">
        <v>172</v>
      </c>
      <c r="E911">
        <v>0</v>
      </c>
      <c r="F911">
        <v>4045458713</v>
      </c>
      <c r="G911">
        <v>4315905.58</v>
      </c>
      <c r="H911">
        <v>4031456448.4400001</v>
      </c>
      <c r="I911">
        <v>4038898207.5100002</v>
      </c>
      <c r="J911">
        <v>2.8357E-2</v>
      </c>
      <c r="K911">
        <v>6.6379999999999998E-3</v>
      </c>
      <c r="M911" t="s">
        <v>1</v>
      </c>
      <c r="N911">
        <v>6000</v>
      </c>
      <c r="O911">
        <v>10</v>
      </c>
      <c r="P911">
        <v>3138</v>
      </c>
      <c r="Q911">
        <v>0</v>
      </c>
      <c r="R911">
        <v>117208010756</v>
      </c>
      <c r="S911">
        <v>125048079.63</v>
      </c>
      <c r="T911">
        <v>112267832953.49001</v>
      </c>
      <c r="U911">
        <v>116940726064.64</v>
      </c>
      <c r="V911">
        <v>0.39552500000000002</v>
      </c>
      <c r="W911">
        <v>1.4466E-2</v>
      </c>
      <c r="Y911" t="s">
        <v>0</v>
      </c>
      <c r="Z911">
        <v>6500</v>
      </c>
      <c r="AA911">
        <v>10</v>
      </c>
      <c r="AB911">
        <v>5067</v>
      </c>
      <c r="AC911">
        <v>0</v>
      </c>
      <c r="AD911">
        <v>146593589562</v>
      </c>
      <c r="AE911">
        <v>142356602.19</v>
      </c>
      <c r="AF911">
        <v>143621860166</v>
      </c>
      <c r="AG911">
        <v>146171721202.72</v>
      </c>
      <c r="AH911">
        <v>0.208538</v>
      </c>
      <c r="AI911">
        <v>2.2641999999999999E-2</v>
      </c>
    </row>
    <row r="912" spans="1:35" x14ac:dyDescent="0.35">
      <c r="A912" t="s">
        <v>1</v>
      </c>
      <c r="B912">
        <v>6500</v>
      </c>
      <c r="C912">
        <v>10</v>
      </c>
      <c r="D912">
        <v>2681</v>
      </c>
      <c r="E912">
        <v>0</v>
      </c>
      <c r="F912">
        <v>96078764226</v>
      </c>
      <c r="G912">
        <v>93383038.840000004</v>
      </c>
      <c r="H912">
        <v>88907592610.639999</v>
      </c>
      <c r="I912">
        <v>95771103795.789993</v>
      </c>
      <c r="J912">
        <v>0.60078399999999998</v>
      </c>
      <c r="K912">
        <v>2.6436999999999999E-2</v>
      </c>
      <c r="M912" t="s">
        <v>2</v>
      </c>
      <c r="N912">
        <v>6000</v>
      </c>
      <c r="O912">
        <v>10</v>
      </c>
      <c r="P912">
        <v>433</v>
      </c>
      <c r="Q912">
        <v>0</v>
      </c>
      <c r="R912">
        <v>8976112680</v>
      </c>
      <c r="S912">
        <v>9564319</v>
      </c>
      <c r="T912">
        <v>8950618409.3299999</v>
      </c>
      <c r="U912">
        <v>8963566507.0300007</v>
      </c>
      <c r="V912">
        <v>2.1090000000000001E-2</v>
      </c>
      <c r="W912">
        <v>3.9789999999999999E-3</v>
      </c>
      <c r="Y912" t="s">
        <v>2</v>
      </c>
      <c r="Z912">
        <v>6500</v>
      </c>
      <c r="AA912">
        <v>10</v>
      </c>
      <c r="AB912">
        <v>417</v>
      </c>
      <c r="AC912">
        <v>0</v>
      </c>
      <c r="AD912">
        <v>8206759926</v>
      </c>
      <c r="AE912">
        <v>7978182.2300000004</v>
      </c>
      <c r="AF912">
        <v>8158702744</v>
      </c>
      <c r="AG912">
        <v>8198362054.7399998</v>
      </c>
      <c r="AH912">
        <v>5.7055000000000002E-2</v>
      </c>
      <c r="AI912">
        <v>6.1399999999999996E-4</v>
      </c>
    </row>
    <row r="913" spans="1:35" x14ac:dyDescent="0.35">
      <c r="A913" t="s">
        <v>0</v>
      </c>
      <c r="B913">
        <v>6500</v>
      </c>
      <c r="C913">
        <v>10</v>
      </c>
      <c r="D913">
        <v>7012</v>
      </c>
      <c r="E913">
        <v>0</v>
      </c>
      <c r="F913">
        <v>212880867669</v>
      </c>
      <c r="G913">
        <v>206670177.81</v>
      </c>
      <c r="H913">
        <v>207606084831.53</v>
      </c>
      <c r="I913">
        <v>212114882890.17999</v>
      </c>
      <c r="J913">
        <v>0.25109500000000001</v>
      </c>
      <c r="K913">
        <v>3.1077E-2</v>
      </c>
      <c r="M913" t="s">
        <v>0</v>
      </c>
      <c r="N913">
        <v>6000</v>
      </c>
      <c r="O913">
        <v>9</v>
      </c>
      <c r="P913">
        <v>5739</v>
      </c>
      <c r="Q913">
        <v>0</v>
      </c>
      <c r="R913">
        <v>181893795291</v>
      </c>
      <c r="S913">
        <v>192736542.53</v>
      </c>
      <c r="T913">
        <v>180185768883.48999</v>
      </c>
      <c r="U913">
        <v>181459464867.54999</v>
      </c>
      <c r="V913">
        <v>9.5512E-2</v>
      </c>
      <c r="W913">
        <v>1.5823E-2</v>
      </c>
      <c r="Y913" t="s">
        <v>0</v>
      </c>
      <c r="Z913">
        <v>6000</v>
      </c>
      <c r="AA913">
        <v>9</v>
      </c>
      <c r="AB913">
        <v>4105</v>
      </c>
      <c r="AC913">
        <v>0</v>
      </c>
      <c r="AD913">
        <v>134598810808</v>
      </c>
      <c r="AE913">
        <v>142743528.74000001</v>
      </c>
      <c r="AF913">
        <v>133655625786</v>
      </c>
      <c r="AG913">
        <v>134406826848.19</v>
      </c>
      <c r="AH913">
        <v>6.9073999999999997E-2</v>
      </c>
      <c r="AI913">
        <v>4.3810000000000003E-3</v>
      </c>
    </row>
    <row r="914" spans="1:35" x14ac:dyDescent="0.35">
      <c r="A914" t="s">
        <v>2</v>
      </c>
      <c r="B914">
        <v>6500</v>
      </c>
      <c r="C914">
        <v>10</v>
      </c>
      <c r="D914">
        <v>481</v>
      </c>
      <c r="E914">
        <v>0</v>
      </c>
      <c r="F914">
        <v>10192668616</v>
      </c>
      <c r="G914">
        <v>9919298.4199999999</v>
      </c>
      <c r="H914">
        <v>10149220842.290001</v>
      </c>
      <c r="I914">
        <v>10174628678.129999</v>
      </c>
      <c r="J914">
        <v>3.8767000000000003E-2</v>
      </c>
      <c r="K914">
        <v>9.5189999999999997E-3</v>
      </c>
      <c r="M914" t="s">
        <v>1</v>
      </c>
      <c r="N914">
        <v>6750</v>
      </c>
      <c r="O914">
        <v>10</v>
      </c>
      <c r="P914">
        <v>3216</v>
      </c>
      <c r="Q914">
        <v>0</v>
      </c>
      <c r="R914">
        <v>104041309155</v>
      </c>
      <c r="S914">
        <v>96982304.069999993</v>
      </c>
      <c r="T914">
        <v>94120121565.080002</v>
      </c>
      <c r="U914">
        <v>103521189347.19</v>
      </c>
      <c r="V914">
        <v>0.69584999999999997</v>
      </c>
      <c r="W914">
        <v>4.7726999999999999E-2</v>
      </c>
      <c r="Y914" t="s">
        <v>1</v>
      </c>
      <c r="Z914">
        <v>6000</v>
      </c>
      <c r="AA914">
        <v>9</v>
      </c>
      <c r="AB914">
        <v>2612</v>
      </c>
      <c r="AC914">
        <v>0</v>
      </c>
      <c r="AD914">
        <v>103920509751</v>
      </c>
      <c r="AE914">
        <v>110086204.53</v>
      </c>
      <c r="AF914">
        <v>100140415055</v>
      </c>
      <c r="AG914">
        <v>103522963349.89999</v>
      </c>
      <c r="AH914">
        <v>0.35043400000000002</v>
      </c>
      <c r="AI914">
        <v>3.2693E-2</v>
      </c>
    </row>
    <row r="915" spans="1:35" x14ac:dyDescent="0.35">
      <c r="A915" t="s">
        <v>1</v>
      </c>
      <c r="B915">
        <v>6000</v>
      </c>
      <c r="C915">
        <v>9</v>
      </c>
      <c r="D915">
        <v>5158</v>
      </c>
      <c r="E915">
        <v>0</v>
      </c>
      <c r="F915">
        <v>210767878983</v>
      </c>
      <c r="G915">
        <v>223188497.34999999</v>
      </c>
      <c r="H915">
        <v>201231515423.57999</v>
      </c>
      <c r="I915">
        <v>210309309880.75</v>
      </c>
      <c r="J915">
        <v>0.418599</v>
      </c>
      <c r="K915">
        <v>1.3318999999999999E-2</v>
      </c>
      <c r="M915" t="s">
        <v>0</v>
      </c>
      <c r="N915">
        <v>6750</v>
      </c>
      <c r="O915">
        <v>9</v>
      </c>
      <c r="P915">
        <v>11803</v>
      </c>
      <c r="Q915">
        <v>0</v>
      </c>
      <c r="R915">
        <v>339836139567</v>
      </c>
      <c r="S915">
        <v>314095908.95999998</v>
      </c>
      <c r="T915">
        <v>330275651286.62</v>
      </c>
      <c r="U915">
        <v>338207264851.47998</v>
      </c>
      <c r="V915">
        <v>0.28181299999999998</v>
      </c>
      <c r="W915">
        <v>4.5450999999999998E-2</v>
      </c>
      <c r="Y915" t="s">
        <v>2</v>
      </c>
      <c r="Z915">
        <v>6000</v>
      </c>
      <c r="AA915">
        <v>9</v>
      </c>
      <c r="AB915">
        <v>174</v>
      </c>
      <c r="AC915">
        <v>0</v>
      </c>
      <c r="AD915">
        <v>4082443718</v>
      </c>
      <c r="AE915">
        <v>4329004.75</v>
      </c>
      <c r="AF915">
        <v>4045458713</v>
      </c>
      <c r="AG915">
        <v>4066954278.3499999</v>
      </c>
      <c r="AH915">
        <v>9.1877E-2</v>
      </c>
      <c r="AI915">
        <v>3.2315999999999998E-2</v>
      </c>
    </row>
    <row r="916" spans="1:35" x14ac:dyDescent="0.35">
      <c r="A916" t="s">
        <v>2</v>
      </c>
      <c r="B916">
        <v>6000</v>
      </c>
      <c r="C916">
        <v>9</v>
      </c>
      <c r="D916">
        <v>262</v>
      </c>
      <c r="E916">
        <v>0</v>
      </c>
      <c r="F916">
        <v>5699554454</v>
      </c>
      <c r="G916">
        <v>6043443.4800000004</v>
      </c>
      <c r="H916">
        <v>5680759593.5</v>
      </c>
      <c r="I916">
        <v>5689638904.6899996</v>
      </c>
      <c r="J916">
        <v>2.6519000000000001E-2</v>
      </c>
      <c r="K916">
        <v>8.1220000000000007E-3</v>
      </c>
      <c r="M916" t="s">
        <v>1</v>
      </c>
      <c r="N916">
        <v>7000</v>
      </c>
      <c r="O916">
        <v>10</v>
      </c>
      <c r="P916">
        <v>450</v>
      </c>
      <c r="Q916">
        <v>0</v>
      </c>
      <c r="R916">
        <v>12744150365</v>
      </c>
      <c r="S916">
        <v>11280568.560000001</v>
      </c>
      <c r="T916">
        <v>11454080099.33</v>
      </c>
      <c r="U916">
        <v>12613745410.5</v>
      </c>
      <c r="V916">
        <v>0.71886000000000005</v>
      </c>
      <c r="W916">
        <v>0.10657800000000001</v>
      </c>
      <c r="Y916" t="s">
        <v>1</v>
      </c>
      <c r="Z916">
        <v>6500</v>
      </c>
      <c r="AA916">
        <v>9</v>
      </c>
      <c r="AB916">
        <v>2819</v>
      </c>
      <c r="AC916">
        <v>0</v>
      </c>
      <c r="AD916">
        <v>101861130847</v>
      </c>
      <c r="AE916">
        <v>98379815.849999994</v>
      </c>
      <c r="AF916">
        <v>96078764226</v>
      </c>
      <c r="AG916">
        <v>101511389404.06</v>
      </c>
      <c r="AH916">
        <v>0.49793399999999999</v>
      </c>
      <c r="AI916">
        <v>2.9214E-2</v>
      </c>
    </row>
    <row r="917" spans="1:35" x14ac:dyDescent="0.35">
      <c r="A917" t="s">
        <v>0</v>
      </c>
      <c r="B917">
        <v>6000</v>
      </c>
      <c r="C917">
        <v>8</v>
      </c>
      <c r="D917">
        <v>8947</v>
      </c>
      <c r="E917">
        <v>0</v>
      </c>
      <c r="F917">
        <v>289022383249</v>
      </c>
      <c r="G917">
        <v>304271921.98000002</v>
      </c>
      <c r="H917">
        <v>285587255242.34998</v>
      </c>
      <c r="I917">
        <v>288447018077.06</v>
      </c>
      <c r="J917">
        <v>0.122519</v>
      </c>
      <c r="K917">
        <v>1.1198E-2</v>
      </c>
      <c r="M917" t="s">
        <v>1</v>
      </c>
      <c r="N917">
        <v>7000</v>
      </c>
      <c r="O917">
        <v>9</v>
      </c>
      <c r="P917">
        <v>601</v>
      </c>
      <c r="Q917">
        <v>0</v>
      </c>
      <c r="R917">
        <v>16257048134</v>
      </c>
      <c r="S917">
        <v>14315836.869999999</v>
      </c>
      <c r="T917">
        <v>14421211049.9</v>
      </c>
      <c r="U917">
        <v>16120377997.940001</v>
      </c>
      <c r="V917">
        <v>0.75973500000000005</v>
      </c>
      <c r="W917">
        <v>8.6667999999999995E-2</v>
      </c>
      <c r="Y917" t="s">
        <v>0</v>
      </c>
      <c r="Z917">
        <v>6500</v>
      </c>
      <c r="AA917">
        <v>9</v>
      </c>
      <c r="AB917">
        <v>7130</v>
      </c>
      <c r="AC917">
        <v>0</v>
      </c>
      <c r="AD917">
        <v>217223447484</v>
      </c>
      <c r="AE917">
        <v>209550132.97999999</v>
      </c>
      <c r="AF917">
        <v>212860867669</v>
      </c>
      <c r="AG917">
        <v>216684055657.60001</v>
      </c>
      <c r="AH917">
        <v>0.20677300000000001</v>
      </c>
      <c r="AI917">
        <v>1.8069999999999999E-2</v>
      </c>
    </row>
    <row r="918" spans="1:35" x14ac:dyDescent="0.35">
      <c r="A918" t="s">
        <v>2</v>
      </c>
      <c r="B918">
        <v>6000</v>
      </c>
      <c r="C918">
        <v>8</v>
      </c>
      <c r="D918">
        <v>439</v>
      </c>
      <c r="E918">
        <v>0</v>
      </c>
      <c r="F918">
        <v>9405850341</v>
      </c>
      <c r="G918">
        <v>9911110.4600000009</v>
      </c>
      <c r="H918">
        <v>9379174311.3799992</v>
      </c>
      <c r="I918">
        <v>9393638454.1499996</v>
      </c>
      <c r="J918">
        <v>2.1180000000000001E-2</v>
      </c>
      <c r="K918">
        <v>2.931E-3</v>
      </c>
      <c r="M918" t="s">
        <v>0</v>
      </c>
      <c r="N918">
        <v>7250</v>
      </c>
      <c r="O918">
        <v>10</v>
      </c>
      <c r="P918">
        <v>2518</v>
      </c>
      <c r="Q918">
        <v>0</v>
      </c>
      <c r="R918">
        <v>68154573869</v>
      </c>
      <c r="S918">
        <v>57644839.07</v>
      </c>
      <c r="T918">
        <v>66033951676.669998</v>
      </c>
      <c r="U918">
        <v>67766029920.980003</v>
      </c>
      <c r="V918">
        <v>0.30846400000000002</v>
      </c>
      <c r="W918">
        <v>5.6730999999999997E-2</v>
      </c>
      <c r="Y918" t="s">
        <v>2</v>
      </c>
      <c r="Z918">
        <v>6500</v>
      </c>
      <c r="AA918">
        <v>9</v>
      </c>
      <c r="AB918">
        <v>482</v>
      </c>
      <c r="AC918">
        <v>0</v>
      </c>
      <c r="AD918">
        <v>10223599069</v>
      </c>
      <c r="AE918">
        <v>9886467.3100000005</v>
      </c>
      <c r="AF918">
        <v>10192668616</v>
      </c>
      <c r="AG918">
        <v>10212964216.33</v>
      </c>
      <c r="AH918">
        <v>2.4423E-2</v>
      </c>
      <c r="AI918">
        <v>8.7799999999999998E-4</v>
      </c>
    </row>
    <row r="919" spans="1:35" x14ac:dyDescent="0.35">
      <c r="A919" t="s">
        <v>0</v>
      </c>
      <c r="B919">
        <v>6500</v>
      </c>
      <c r="C919">
        <v>9</v>
      </c>
      <c r="D919">
        <v>8750</v>
      </c>
      <c r="E919">
        <v>0</v>
      </c>
      <c r="F919">
        <v>262668583219</v>
      </c>
      <c r="G919">
        <v>253486748.15000001</v>
      </c>
      <c r="H919">
        <v>256360753305.41</v>
      </c>
      <c r="I919">
        <v>261787220749.70999</v>
      </c>
      <c r="J919">
        <v>0.244088</v>
      </c>
      <c r="K919">
        <v>2.8309999999999998E-2</v>
      </c>
      <c r="M919" t="s">
        <v>0</v>
      </c>
      <c r="N919">
        <v>5000</v>
      </c>
      <c r="O919">
        <v>14</v>
      </c>
      <c r="P919">
        <v>4586</v>
      </c>
      <c r="Q919">
        <v>0</v>
      </c>
      <c r="R919">
        <v>155969467296</v>
      </c>
      <c r="S919">
        <v>202586019.78</v>
      </c>
      <c r="T919">
        <v>155497893465.64001</v>
      </c>
      <c r="U919">
        <v>155700688055.32001</v>
      </c>
      <c r="V919">
        <v>2.0500000000000001E-2</v>
      </c>
      <c r="W919">
        <v>5.0809999999999996E-3</v>
      </c>
      <c r="Y919" t="s">
        <v>1</v>
      </c>
      <c r="Z919">
        <v>6000</v>
      </c>
      <c r="AA919">
        <v>8</v>
      </c>
      <c r="AB919">
        <v>5320</v>
      </c>
      <c r="AC919">
        <v>0</v>
      </c>
      <c r="AD919">
        <v>218289294484</v>
      </c>
      <c r="AE919">
        <v>229779365.34999999</v>
      </c>
      <c r="AF919">
        <v>210812278983</v>
      </c>
      <c r="AG919">
        <v>217806567142.17001</v>
      </c>
      <c r="AH919">
        <v>0.33313300000000001</v>
      </c>
      <c r="AI919">
        <v>1.3816999999999999E-2</v>
      </c>
    </row>
    <row r="920" spans="1:35" x14ac:dyDescent="0.35">
      <c r="A920" t="s">
        <v>0</v>
      </c>
      <c r="B920">
        <v>6500</v>
      </c>
      <c r="C920">
        <v>8</v>
      </c>
      <c r="D920">
        <v>10294</v>
      </c>
      <c r="E920">
        <v>0</v>
      </c>
      <c r="F920">
        <v>306114707351</v>
      </c>
      <c r="G920">
        <v>294003769.02999997</v>
      </c>
      <c r="H920">
        <v>298172759095.38</v>
      </c>
      <c r="I920">
        <v>305195110031.91998</v>
      </c>
      <c r="J920">
        <v>0.26185599999999998</v>
      </c>
      <c r="K920">
        <v>2.4250000000000001E-2</v>
      </c>
      <c r="M920" t="s">
        <v>1</v>
      </c>
      <c r="N920">
        <v>5000</v>
      </c>
      <c r="O920">
        <v>14</v>
      </c>
      <c r="P920">
        <v>1857</v>
      </c>
      <c r="Q920">
        <v>0</v>
      </c>
      <c r="R920">
        <v>70056360518</v>
      </c>
      <c r="S920">
        <v>91051319.450000003</v>
      </c>
      <c r="T920">
        <v>69603734016.639999</v>
      </c>
      <c r="U920">
        <v>69870812766.029999</v>
      </c>
      <c r="V920">
        <v>6.0206000000000003E-2</v>
      </c>
      <c r="W920">
        <v>1.6067000000000001E-2</v>
      </c>
      <c r="Y920" t="s">
        <v>2</v>
      </c>
      <c r="Z920">
        <v>6000</v>
      </c>
      <c r="AA920">
        <v>8</v>
      </c>
      <c r="AB920">
        <v>262</v>
      </c>
      <c r="AC920">
        <v>0</v>
      </c>
      <c r="AD920">
        <v>5705988145</v>
      </c>
      <c r="AE920">
        <v>6014057.8700000001</v>
      </c>
      <c r="AF920">
        <v>5699554454</v>
      </c>
      <c r="AG920">
        <v>5699554454</v>
      </c>
      <c r="AH920">
        <v>8.8199999999999997E-4</v>
      </c>
      <c r="AI920">
        <v>8.8199999999999997E-4</v>
      </c>
    </row>
    <row r="921" spans="1:35" x14ac:dyDescent="0.35">
      <c r="A921" t="s">
        <v>2</v>
      </c>
      <c r="B921">
        <v>6500</v>
      </c>
      <c r="C921">
        <v>8</v>
      </c>
      <c r="D921">
        <v>650</v>
      </c>
      <c r="E921">
        <v>0</v>
      </c>
      <c r="F921">
        <v>12837046839</v>
      </c>
      <c r="G921">
        <v>12355784.92</v>
      </c>
      <c r="H921">
        <v>12783405213.68</v>
      </c>
      <c r="I921">
        <v>12813472552.700001</v>
      </c>
      <c r="J921">
        <v>3.7918E-2</v>
      </c>
      <c r="K921">
        <v>1.0437E-2</v>
      </c>
      <c r="M921" t="s">
        <v>2</v>
      </c>
      <c r="N921">
        <v>4500</v>
      </c>
      <c r="O921">
        <v>12</v>
      </c>
      <c r="P921">
        <v>62</v>
      </c>
      <c r="Q921">
        <v>0</v>
      </c>
      <c r="R921">
        <v>1570738099</v>
      </c>
      <c r="S921">
        <v>2205778.0699999998</v>
      </c>
      <c r="T921">
        <v>1566880407.99</v>
      </c>
      <c r="U921">
        <v>1568325956.98</v>
      </c>
      <c r="V921">
        <v>1.2547000000000001E-2</v>
      </c>
      <c r="W921">
        <v>1.575E-3</v>
      </c>
      <c r="Y921" t="s">
        <v>0</v>
      </c>
      <c r="Z921">
        <v>6000</v>
      </c>
      <c r="AA921">
        <v>7</v>
      </c>
      <c r="AB921">
        <v>9002</v>
      </c>
      <c r="AC921">
        <v>0</v>
      </c>
      <c r="AD921">
        <v>291204418110</v>
      </c>
      <c r="AE921">
        <v>304737533.54000002</v>
      </c>
      <c r="AF921">
        <v>289022383249</v>
      </c>
      <c r="AG921">
        <v>290794277031.57001</v>
      </c>
      <c r="AH921">
        <v>7.4675000000000005E-2</v>
      </c>
      <c r="AI921">
        <v>4.3350000000000003E-3</v>
      </c>
    </row>
    <row r="922" spans="1:35" x14ac:dyDescent="0.35">
      <c r="A922" t="s">
        <v>2</v>
      </c>
      <c r="B922">
        <v>6500</v>
      </c>
      <c r="C922">
        <v>9</v>
      </c>
      <c r="D922">
        <v>628</v>
      </c>
      <c r="E922">
        <v>0</v>
      </c>
      <c r="F922">
        <v>12580698508</v>
      </c>
      <c r="G922">
        <v>12179919.68</v>
      </c>
      <c r="H922">
        <v>12529064629.299999</v>
      </c>
      <c r="I922">
        <v>12558180500.610001</v>
      </c>
      <c r="J922">
        <v>3.6990000000000002E-2</v>
      </c>
      <c r="K922">
        <v>9.8160000000000001E-3</v>
      </c>
      <c r="M922" t="s">
        <v>0</v>
      </c>
      <c r="N922">
        <v>4500</v>
      </c>
      <c r="O922">
        <v>12</v>
      </c>
      <c r="P922">
        <v>1794</v>
      </c>
      <c r="Q922">
        <v>0</v>
      </c>
      <c r="R922">
        <v>60508869095</v>
      </c>
      <c r="S922">
        <v>84832800.329999998</v>
      </c>
      <c r="T922">
        <v>60361893604.809998</v>
      </c>
      <c r="U922">
        <v>60416206779.610001</v>
      </c>
      <c r="V922">
        <v>1.2255E-2</v>
      </c>
      <c r="W922">
        <v>1.552E-3</v>
      </c>
      <c r="Y922" t="s">
        <v>2</v>
      </c>
      <c r="Z922">
        <v>6000</v>
      </c>
      <c r="AA922">
        <v>7</v>
      </c>
      <c r="AB922">
        <v>439</v>
      </c>
      <c r="AC922">
        <v>0</v>
      </c>
      <c r="AD922">
        <v>9418351274</v>
      </c>
      <c r="AE922">
        <v>9864938.6899999995</v>
      </c>
      <c r="AF922">
        <v>9405850341</v>
      </c>
      <c r="AG922">
        <v>9405850341</v>
      </c>
      <c r="AH922">
        <v>3.3530000000000001E-3</v>
      </c>
      <c r="AI922">
        <v>3.3530000000000001E-3</v>
      </c>
    </row>
    <row r="923" spans="1:35" x14ac:dyDescent="0.35">
      <c r="A923" t="s">
        <v>2</v>
      </c>
      <c r="B923">
        <v>6000</v>
      </c>
      <c r="C923">
        <v>7</v>
      </c>
      <c r="D923">
        <v>369</v>
      </c>
      <c r="E923">
        <v>0</v>
      </c>
      <c r="F923">
        <v>8293041065</v>
      </c>
      <c r="G923">
        <v>8676711.9100000001</v>
      </c>
      <c r="H923">
        <v>8269448099.1599998</v>
      </c>
      <c r="I923">
        <v>8281711515.9099998</v>
      </c>
      <c r="J923">
        <v>2.1371999999999999E-2</v>
      </c>
      <c r="K923">
        <v>3.8319999999999999E-3</v>
      </c>
      <c r="M923" t="s">
        <v>0</v>
      </c>
      <c r="N923">
        <v>5500</v>
      </c>
      <c r="O923">
        <v>9</v>
      </c>
      <c r="P923">
        <v>2244</v>
      </c>
      <c r="Q923">
        <v>0</v>
      </c>
      <c r="R923">
        <v>74774133763</v>
      </c>
      <c r="S923">
        <v>86764775.700000003</v>
      </c>
      <c r="T923">
        <v>74394619976.520004</v>
      </c>
      <c r="U923">
        <v>74628194132.759995</v>
      </c>
      <c r="V923">
        <v>4.5983000000000003E-2</v>
      </c>
      <c r="W923">
        <v>9.4549999999999999E-3</v>
      </c>
      <c r="Y923" t="s">
        <v>0</v>
      </c>
      <c r="Z923">
        <v>6500</v>
      </c>
      <c r="AA923">
        <v>8</v>
      </c>
      <c r="AB923">
        <v>8938</v>
      </c>
      <c r="AC923">
        <v>0</v>
      </c>
      <c r="AD923">
        <v>269670683733</v>
      </c>
      <c r="AE923">
        <v>258612609.90000001</v>
      </c>
      <c r="AF923">
        <v>262712283219</v>
      </c>
      <c r="AG923">
        <v>268835261601.04001</v>
      </c>
      <c r="AH923">
        <v>0.26058599999999998</v>
      </c>
      <c r="AI923">
        <v>2.5367000000000001E-2</v>
      </c>
    </row>
    <row r="924" spans="1:35" x14ac:dyDescent="0.35">
      <c r="A924" t="s">
        <v>1</v>
      </c>
      <c r="B924">
        <v>6000</v>
      </c>
      <c r="C924">
        <v>8</v>
      </c>
      <c r="D924">
        <v>7557</v>
      </c>
      <c r="E924">
        <v>0</v>
      </c>
      <c r="F924">
        <v>311492943179</v>
      </c>
      <c r="G924">
        <v>328089037.79000002</v>
      </c>
      <c r="H924">
        <v>294405770488.06</v>
      </c>
      <c r="I924">
        <v>310912916490.72998</v>
      </c>
      <c r="J924">
        <v>0.48503000000000002</v>
      </c>
      <c r="K924">
        <v>9.6629999999999997E-3</v>
      </c>
      <c r="M924" t="s">
        <v>2</v>
      </c>
      <c r="N924">
        <v>5500</v>
      </c>
      <c r="O924">
        <v>9</v>
      </c>
      <c r="P924">
        <v>93</v>
      </c>
      <c r="Q924">
        <v>0</v>
      </c>
      <c r="R924">
        <v>2097176892</v>
      </c>
      <c r="S924">
        <v>2426253.7000000002</v>
      </c>
      <c r="T924">
        <v>2090903023.9200001</v>
      </c>
      <c r="U924">
        <v>2093640024.24</v>
      </c>
      <c r="V924">
        <v>2.1794999999999998E-2</v>
      </c>
      <c r="W924">
        <v>6.3359999999999996E-3</v>
      </c>
      <c r="Y924" t="s">
        <v>0</v>
      </c>
      <c r="Z924">
        <v>6500</v>
      </c>
      <c r="AA924">
        <v>7</v>
      </c>
      <c r="AB924">
        <v>10552</v>
      </c>
      <c r="AC924">
        <v>0</v>
      </c>
      <c r="AD924">
        <v>315683210551</v>
      </c>
      <c r="AE924">
        <v>301318578.82999998</v>
      </c>
      <c r="AF924">
        <v>306178207351</v>
      </c>
      <c r="AG924">
        <v>314404240709.94</v>
      </c>
      <c r="AH924">
        <v>0.29886800000000002</v>
      </c>
      <c r="AI924">
        <v>3.6537E-2</v>
      </c>
    </row>
    <row r="925" spans="1:35" x14ac:dyDescent="0.35">
      <c r="A925" t="s">
        <v>1</v>
      </c>
      <c r="B925">
        <v>6000</v>
      </c>
      <c r="C925">
        <v>7</v>
      </c>
      <c r="D925">
        <v>6661</v>
      </c>
      <c r="E925">
        <v>0</v>
      </c>
      <c r="F925">
        <v>272957406063</v>
      </c>
      <c r="G925">
        <v>285718590.56</v>
      </c>
      <c r="H925">
        <v>241430846258.35001</v>
      </c>
      <c r="I925">
        <v>272517632160.20001</v>
      </c>
      <c r="J925">
        <v>0.76743799999999995</v>
      </c>
      <c r="K925">
        <v>6.7520000000000002E-3</v>
      </c>
      <c r="M925" t="s">
        <v>1</v>
      </c>
      <c r="N925">
        <v>4500</v>
      </c>
      <c r="O925">
        <v>8</v>
      </c>
      <c r="P925">
        <v>322</v>
      </c>
      <c r="Q925">
        <v>0</v>
      </c>
      <c r="R925">
        <v>10810809616</v>
      </c>
      <c r="S925">
        <v>14882281.32</v>
      </c>
      <c r="T925">
        <v>10780434542.17</v>
      </c>
      <c r="U925">
        <v>10793595639.02</v>
      </c>
      <c r="V925">
        <v>1.7062000000000001E-2</v>
      </c>
      <c r="W925">
        <v>2.5850000000000001E-3</v>
      </c>
      <c r="Y925" t="s">
        <v>2</v>
      </c>
      <c r="Z925">
        <v>6500</v>
      </c>
      <c r="AA925">
        <v>7</v>
      </c>
      <c r="AB925">
        <v>653</v>
      </c>
      <c r="AC925">
        <v>0</v>
      </c>
      <c r="AD925">
        <v>12911304547</v>
      </c>
      <c r="AE925">
        <v>12349098.119999999</v>
      </c>
      <c r="AF925">
        <v>12837046839</v>
      </c>
      <c r="AG925">
        <v>12878976262.440001</v>
      </c>
      <c r="AH925">
        <v>5.6045999999999999E-2</v>
      </c>
      <c r="AI925">
        <v>1.8412000000000001E-2</v>
      </c>
    </row>
    <row r="926" spans="1:35" x14ac:dyDescent="0.35">
      <c r="A926" t="s">
        <v>2</v>
      </c>
      <c r="B926">
        <v>6000</v>
      </c>
      <c r="C926">
        <v>6</v>
      </c>
      <c r="D926">
        <v>266</v>
      </c>
      <c r="E926">
        <v>0</v>
      </c>
      <c r="F926">
        <v>6040509852</v>
      </c>
      <c r="G926">
        <v>6287153.4299999997</v>
      </c>
      <c r="H926">
        <v>6029052809.8400002</v>
      </c>
      <c r="I926">
        <v>6033071563.9399996</v>
      </c>
      <c r="J926">
        <v>1.0222E-2</v>
      </c>
      <c r="K926">
        <v>2.284E-3</v>
      </c>
      <c r="M926" t="s">
        <v>2</v>
      </c>
      <c r="N926">
        <v>4500</v>
      </c>
      <c r="O926">
        <v>8</v>
      </c>
      <c r="P926">
        <v>36</v>
      </c>
      <c r="Q926">
        <v>0</v>
      </c>
      <c r="R926">
        <v>1002680902</v>
      </c>
      <c r="S926">
        <v>1379526.38</v>
      </c>
      <c r="T926">
        <v>1000919853.35</v>
      </c>
      <c r="U926">
        <v>1001187124.79</v>
      </c>
      <c r="V926">
        <v>4.5560000000000002E-3</v>
      </c>
      <c r="W926">
        <v>1.366E-3</v>
      </c>
      <c r="Y926" t="s">
        <v>2</v>
      </c>
      <c r="Z926">
        <v>6500</v>
      </c>
      <c r="AA926">
        <v>8</v>
      </c>
      <c r="AB926">
        <v>630</v>
      </c>
      <c r="AC926">
        <v>0</v>
      </c>
      <c r="AD926">
        <v>12641372311</v>
      </c>
      <c r="AE926">
        <v>12161556.050000001</v>
      </c>
      <c r="AF926">
        <v>12580698508</v>
      </c>
      <c r="AG926">
        <v>12601193805.26</v>
      </c>
      <c r="AH926">
        <v>4.5090999999999999E-2</v>
      </c>
      <c r="AI926">
        <v>2.6273999999999999E-2</v>
      </c>
    </row>
    <row r="927" spans="1:35" x14ac:dyDescent="0.35">
      <c r="A927" t="s">
        <v>0</v>
      </c>
      <c r="B927">
        <v>6500</v>
      </c>
      <c r="C927">
        <v>7</v>
      </c>
      <c r="D927">
        <v>11958</v>
      </c>
      <c r="E927">
        <v>0</v>
      </c>
      <c r="F927">
        <v>366959298912</v>
      </c>
      <c r="G927">
        <v>350122025.17000002</v>
      </c>
      <c r="H927">
        <v>355547159957.5</v>
      </c>
      <c r="I927">
        <v>366041256075.26001</v>
      </c>
      <c r="J927">
        <v>0.30740200000000001</v>
      </c>
      <c r="K927">
        <v>1.8414E-2</v>
      </c>
      <c r="M927" t="s">
        <v>0</v>
      </c>
      <c r="N927">
        <v>4500</v>
      </c>
      <c r="O927">
        <v>9</v>
      </c>
      <c r="P927">
        <v>1183</v>
      </c>
      <c r="Q927">
        <v>0</v>
      </c>
      <c r="R927">
        <v>39414873322</v>
      </c>
      <c r="S927">
        <v>54504898.829999998</v>
      </c>
      <c r="T927">
        <v>39339655162.019997</v>
      </c>
      <c r="U927">
        <v>39357562894.050003</v>
      </c>
      <c r="V927">
        <v>6.2880000000000002E-3</v>
      </c>
      <c r="W927">
        <v>8.5400000000000005E-4</v>
      </c>
      <c r="Y927" t="s">
        <v>2</v>
      </c>
      <c r="Z927">
        <v>6000</v>
      </c>
      <c r="AA927">
        <v>6</v>
      </c>
      <c r="AB927">
        <v>369</v>
      </c>
      <c r="AC927">
        <v>0</v>
      </c>
      <c r="AD927">
        <v>8312112486</v>
      </c>
      <c r="AE927">
        <v>8644684.9800000004</v>
      </c>
      <c r="AF927">
        <v>8293041065</v>
      </c>
      <c r="AG927">
        <v>8293041065</v>
      </c>
      <c r="AH927">
        <v>1.4949E-2</v>
      </c>
      <c r="AI927">
        <v>1.4949E-2</v>
      </c>
    </row>
    <row r="928" spans="1:35" x14ac:dyDescent="0.35">
      <c r="A928" t="s">
        <v>0</v>
      </c>
      <c r="B928">
        <v>6500</v>
      </c>
      <c r="C928">
        <v>6</v>
      </c>
      <c r="D928">
        <v>12858</v>
      </c>
      <c r="E928">
        <v>0</v>
      </c>
      <c r="F928">
        <v>402299322652</v>
      </c>
      <c r="G928">
        <v>381216050.56</v>
      </c>
      <c r="H928">
        <v>392618891899.35999</v>
      </c>
      <c r="I928">
        <v>401484091141.28998</v>
      </c>
      <c r="J928">
        <v>0.244698</v>
      </c>
      <c r="K928">
        <v>1.2869999999999999E-2</v>
      </c>
      <c r="M928" t="s">
        <v>2</v>
      </c>
      <c r="N928">
        <v>4500</v>
      </c>
      <c r="O928">
        <v>9</v>
      </c>
      <c r="P928">
        <v>48</v>
      </c>
      <c r="Q928">
        <v>0</v>
      </c>
      <c r="R928">
        <v>1237610971</v>
      </c>
      <c r="S928">
        <v>1708705.87</v>
      </c>
      <c r="T928">
        <v>1234947094.4100001</v>
      </c>
      <c r="U928">
        <v>1235834368.0599999</v>
      </c>
      <c r="V928">
        <v>9.2219999999999993E-3</v>
      </c>
      <c r="W928">
        <v>6.5799999999999995E-4</v>
      </c>
      <c r="Y928" t="s">
        <v>1</v>
      </c>
      <c r="Z928">
        <v>6000</v>
      </c>
      <c r="AA928">
        <v>7</v>
      </c>
      <c r="AB928">
        <v>8075</v>
      </c>
      <c r="AC928">
        <v>0</v>
      </c>
      <c r="AD928">
        <v>336631104773</v>
      </c>
      <c r="AE928">
        <v>352485787.23000002</v>
      </c>
      <c r="AF928">
        <v>311448543179</v>
      </c>
      <c r="AG928">
        <v>335624042698.01001</v>
      </c>
      <c r="AH928">
        <v>0.60126900000000005</v>
      </c>
      <c r="AI928">
        <v>2.3085999999999999E-2</v>
      </c>
    </row>
    <row r="929" spans="1:35" x14ac:dyDescent="0.35">
      <c r="A929" t="s">
        <v>1</v>
      </c>
      <c r="B929">
        <v>6500</v>
      </c>
      <c r="C929">
        <v>6</v>
      </c>
      <c r="D929">
        <v>6435</v>
      </c>
      <c r="E929">
        <v>0</v>
      </c>
      <c r="F929">
        <v>251712123750</v>
      </c>
      <c r="G929">
        <v>238173663.25</v>
      </c>
      <c r="H929">
        <v>245494069116.57001</v>
      </c>
      <c r="I929">
        <v>251382594918.44</v>
      </c>
      <c r="J929">
        <v>0.25063000000000002</v>
      </c>
      <c r="K929">
        <v>4.3470000000000002E-3</v>
      </c>
      <c r="M929" t="s">
        <v>0</v>
      </c>
      <c r="N929">
        <v>4500</v>
      </c>
      <c r="O929">
        <v>8</v>
      </c>
      <c r="P929">
        <v>799</v>
      </c>
      <c r="Q929">
        <v>0</v>
      </c>
      <c r="R929">
        <v>25105282182</v>
      </c>
      <c r="S929">
        <v>34530563.759999998</v>
      </c>
      <c r="T929">
        <v>25060796256.02</v>
      </c>
      <c r="U929">
        <v>25069639816.259998</v>
      </c>
      <c r="V929">
        <v>4.7479999999999996E-3</v>
      </c>
      <c r="W929">
        <v>5.31E-4</v>
      </c>
      <c r="Y929" t="s">
        <v>1</v>
      </c>
      <c r="Z929">
        <v>6000</v>
      </c>
      <c r="AA929">
        <v>6</v>
      </c>
      <c r="AB929">
        <v>6728</v>
      </c>
      <c r="AC929">
        <v>0</v>
      </c>
      <c r="AD929">
        <v>276779201982</v>
      </c>
      <c r="AE929">
        <v>287979354.37</v>
      </c>
      <c r="AF929">
        <v>273007500654</v>
      </c>
      <c r="AG929">
        <v>275859763401.01001</v>
      </c>
      <c r="AH929">
        <v>0.14101</v>
      </c>
      <c r="AI929">
        <v>2.7036999999999999E-2</v>
      </c>
    </row>
    <row r="930" spans="1:35" x14ac:dyDescent="0.35">
      <c r="A930" t="s">
        <v>2</v>
      </c>
      <c r="B930">
        <v>6500</v>
      </c>
      <c r="C930">
        <v>7</v>
      </c>
      <c r="D930">
        <v>674</v>
      </c>
      <c r="E930">
        <v>0</v>
      </c>
      <c r="F930">
        <v>13599632928</v>
      </c>
      <c r="G930">
        <v>13004030.6</v>
      </c>
      <c r="H930">
        <v>13545711280.549999</v>
      </c>
      <c r="I930">
        <v>13577094727.389999</v>
      </c>
      <c r="J930">
        <v>3.5513000000000003E-2</v>
      </c>
      <c r="K930">
        <v>8.3800000000000003E-3</v>
      </c>
      <c r="M930" t="s">
        <v>0</v>
      </c>
      <c r="N930">
        <v>5000</v>
      </c>
      <c r="O930">
        <v>5</v>
      </c>
      <c r="P930">
        <v>13507</v>
      </c>
      <c r="Q930">
        <v>0</v>
      </c>
      <c r="R930">
        <v>483824400000</v>
      </c>
      <c r="S930">
        <v>593968591.08000004</v>
      </c>
      <c r="T930">
        <v>483038457963.96002</v>
      </c>
      <c r="U930">
        <v>483203648293.81</v>
      </c>
      <c r="V930">
        <v>4.751E-3</v>
      </c>
      <c r="W930">
        <v>6.6399999999999999E-4</v>
      </c>
      <c r="Y930" t="s">
        <v>2</v>
      </c>
      <c r="Z930">
        <v>6000</v>
      </c>
      <c r="AA930">
        <v>5</v>
      </c>
      <c r="AB930">
        <v>2373</v>
      </c>
      <c r="AC930">
        <v>0</v>
      </c>
      <c r="AD930">
        <v>52861500000</v>
      </c>
      <c r="AE930">
        <v>53805552.329999998</v>
      </c>
      <c r="AF930">
        <v>52839209852</v>
      </c>
      <c r="AG930">
        <v>52839209852</v>
      </c>
      <c r="AH930">
        <v>-7.1780000000000004E-3</v>
      </c>
      <c r="AI930">
        <v>-7.1780000000000004E-3</v>
      </c>
    </row>
    <row r="931" spans="1:35" x14ac:dyDescent="0.35">
      <c r="A931" t="s">
        <v>2</v>
      </c>
      <c r="B931">
        <v>6000</v>
      </c>
      <c r="C931">
        <v>5</v>
      </c>
      <c r="D931">
        <v>2106</v>
      </c>
      <c r="E931">
        <v>0</v>
      </c>
      <c r="F931">
        <v>46777700000</v>
      </c>
      <c r="G931">
        <v>47715512.07</v>
      </c>
      <c r="H931">
        <v>46713096839.589996</v>
      </c>
      <c r="I931">
        <v>46727129634.720001</v>
      </c>
      <c r="J931">
        <v>4.3239999999999997E-3</v>
      </c>
      <c r="K931">
        <v>7.3200000000000001E-4</v>
      </c>
      <c r="M931" t="s">
        <v>2</v>
      </c>
      <c r="N931">
        <v>5000</v>
      </c>
      <c r="O931">
        <v>5</v>
      </c>
      <c r="P931">
        <v>331</v>
      </c>
      <c r="Q931">
        <v>0</v>
      </c>
      <c r="R931">
        <v>9271300000</v>
      </c>
      <c r="S931">
        <v>11365414.460000001</v>
      </c>
      <c r="T931">
        <v>9256253566.2199993</v>
      </c>
      <c r="U931">
        <v>9258557265.0599995</v>
      </c>
      <c r="V931">
        <v>4.7540000000000004E-3</v>
      </c>
      <c r="W931">
        <v>1.781E-3</v>
      </c>
      <c r="Y931" t="s">
        <v>0</v>
      </c>
      <c r="Z931">
        <v>6500</v>
      </c>
      <c r="AA931">
        <v>6</v>
      </c>
      <c r="AB931">
        <v>12113</v>
      </c>
      <c r="AC931">
        <v>0</v>
      </c>
      <c r="AD931">
        <v>373292852769</v>
      </c>
      <c r="AE931">
        <v>353916678.92000002</v>
      </c>
      <c r="AF931">
        <v>366938898912</v>
      </c>
      <c r="AG931">
        <v>372126113420.62</v>
      </c>
      <c r="AH931">
        <v>0.17671000000000001</v>
      </c>
      <c r="AI931">
        <v>2.5819000000000002E-2</v>
      </c>
    </row>
    <row r="932" spans="1:35" x14ac:dyDescent="0.35">
      <c r="A932" t="s">
        <v>0</v>
      </c>
      <c r="B932">
        <v>6500</v>
      </c>
      <c r="C932">
        <v>5</v>
      </c>
      <c r="D932">
        <v>47786</v>
      </c>
      <c r="E932">
        <v>0</v>
      </c>
      <c r="F932">
        <v>1401221400000</v>
      </c>
      <c r="G932">
        <v>1306940368.9100001</v>
      </c>
      <c r="H932">
        <v>1396318482755.53</v>
      </c>
      <c r="I932">
        <v>1399430295589.8899</v>
      </c>
      <c r="J932">
        <v>3.0365E-2</v>
      </c>
      <c r="K932">
        <v>4.1380000000000002E-3</v>
      </c>
      <c r="M932" t="s">
        <v>1</v>
      </c>
      <c r="N932">
        <v>5000</v>
      </c>
      <c r="O932">
        <v>5</v>
      </c>
      <c r="P932">
        <v>5783</v>
      </c>
      <c r="Q932">
        <v>0</v>
      </c>
      <c r="R932">
        <v>229138900000</v>
      </c>
      <c r="S932">
        <v>280829321.26999998</v>
      </c>
      <c r="T932">
        <v>228605412051.60999</v>
      </c>
      <c r="U932">
        <v>228846505823.22</v>
      </c>
      <c r="V932">
        <v>1.3152E-2</v>
      </c>
      <c r="W932">
        <v>6.0499999999999996E-4</v>
      </c>
      <c r="Y932" t="s">
        <v>0</v>
      </c>
      <c r="Z932">
        <v>6500</v>
      </c>
      <c r="AA932">
        <v>5</v>
      </c>
      <c r="AB932">
        <v>60717</v>
      </c>
      <c r="AC932">
        <v>0</v>
      </c>
      <c r="AD932">
        <v>1806998700000</v>
      </c>
      <c r="AE932">
        <v>1681700707.8299999</v>
      </c>
      <c r="AF932">
        <v>1803454356857</v>
      </c>
      <c r="AG932">
        <v>1805129378941.23</v>
      </c>
      <c r="AH932">
        <v>1.23E-2</v>
      </c>
      <c r="AI932">
        <v>1.245E-3</v>
      </c>
    </row>
    <row r="933" spans="1:35" x14ac:dyDescent="0.35">
      <c r="A933" t="s">
        <v>2</v>
      </c>
      <c r="B933">
        <v>6500</v>
      </c>
      <c r="C933">
        <v>5</v>
      </c>
      <c r="D933">
        <v>2699</v>
      </c>
      <c r="E933">
        <v>0</v>
      </c>
      <c r="F933">
        <v>53562500000</v>
      </c>
      <c r="G933">
        <v>50134169.549999997</v>
      </c>
      <c r="H933">
        <v>53487985327.900002</v>
      </c>
      <c r="I933">
        <v>53504213499.440002</v>
      </c>
      <c r="J933">
        <v>5.4479999999999997E-3</v>
      </c>
      <c r="K933">
        <v>1.825E-3</v>
      </c>
      <c r="M933" t="s">
        <v>1</v>
      </c>
      <c r="N933">
        <v>5500</v>
      </c>
      <c r="O933">
        <v>5</v>
      </c>
      <c r="P933">
        <v>10808</v>
      </c>
      <c r="Q933">
        <v>0</v>
      </c>
      <c r="R933">
        <v>472924200000</v>
      </c>
      <c r="S933">
        <v>528326180.55000001</v>
      </c>
      <c r="T933">
        <v>471719393371.91998</v>
      </c>
      <c r="U933">
        <v>472355412949.67999</v>
      </c>
      <c r="V933">
        <v>1.7031000000000001E-2</v>
      </c>
      <c r="W933">
        <v>1.026E-3</v>
      </c>
      <c r="Y933" t="s">
        <v>1</v>
      </c>
      <c r="Z933">
        <v>6500</v>
      </c>
      <c r="AA933">
        <v>5</v>
      </c>
      <c r="AB933">
        <v>25550</v>
      </c>
      <c r="AC933">
        <v>0</v>
      </c>
      <c r="AD933">
        <v>941352700000</v>
      </c>
      <c r="AE933">
        <v>876613261.63</v>
      </c>
      <c r="AF933">
        <v>937621623750</v>
      </c>
      <c r="AG933">
        <v>939244801420.35999</v>
      </c>
      <c r="AH933">
        <v>3.5786999999999999E-2</v>
      </c>
      <c r="AI933">
        <v>1.5584000000000001E-2</v>
      </c>
    </row>
    <row r="934" spans="1:35" x14ac:dyDescent="0.35">
      <c r="A934" t="s">
        <v>1</v>
      </c>
      <c r="B934">
        <v>6250</v>
      </c>
      <c r="C934">
        <v>14</v>
      </c>
      <c r="D934">
        <v>10580</v>
      </c>
      <c r="E934">
        <v>0</v>
      </c>
      <c r="F934">
        <v>369625203003</v>
      </c>
      <c r="G934">
        <v>384864677.82999998</v>
      </c>
      <c r="H934">
        <v>349600175368.97998</v>
      </c>
      <c r="I934">
        <v>367970429282.64001</v>
      </c>
      <c r="J934">
        <v>0.48065600000000003</v>
      </c>
      <c r="K934">
        <v>4.0458000000000001E-2</v>
      </c>
      <c r="M934" t="s">
        <v>0</v>
      </c>
      <c r="N934">
        <v>5500</v>
      </c>
      <c r="O934">
        <v>5</v>
      </c>
      <c r="P934">
        <v>11216</v>
      </c>
      <c r="Q934">
        <v>0</v>
      </c>
      <c r="R934">
        <v>391650400000</v>
      </c>
      <c r="S934">
        <v>439186347.19</v>
      </c>
      <c r="T934">
        <v>390860023347.07001</v>
      </c>
      <c r="U934">
        <v>391166515632.91998</v>
      </c>
      <c r="V934">
        <v>1.0707E-2</v>
      </c>
      <c r="W934">
        <v>1.369E-3</v>
      </c>
      <c r="Y934" t="s">
        <v>2</v>
      </c>
      <c r="Z934">
        <v>6500</v>
      </c>
      <c r="AA934">
        <v>6</v>
      </c>
      <c r="AB934">
        <v>674</v>
      </c>
      <c r="AC934">
        <v>0</v>
      </c>
      <c r="AD934">
        <v>13622520527</v>
      </c>
      <c r="AE934">
        <v>12944099.1</v>
      </c>
      <c r="AF934">
        <v>13599632928</v>
      </c>
      <c r="AG934">
        <v>13599632928</v>
      </c>
      <c r="AH934">
        <v>8.7240000000000009E-3</v>
      </c>
      <c r="AI934">
        <v>8.7240000000000009E-3</v>
      </c>
    </row>
    <row r="935" spans="1:35" x14ac:dyDescent="0.35">
      <c r="A935" t="s">
        <v>1</v>
      </c>
      <c r="B935">
        <v>5750</v>
      </c>
      <c r="C935">
        <v>14</v>
      </c>
      <c r="D935">
        <v>21384</v>
      </c>
      <c r="E935">
        <v>0</v>
      </c>
      <c r="F935">
        <v>831793640064</v>
      </c>
      <c r="G935">
        <v>949678535.77999997</v>
      </c>
      <c r="H935">
        <v>803103442482.81995</v>
      </c>
      <c r="I935">
        <v>829317854109.78003</v>
      </c>
      <c r="J935">
        <v>0.33437499999999998</v>
      </c>
      <c r="K935">
        <v>2.1795999999999999E-2</v>
      </c>
      <c r="M935" t="s">
        <v>2</v>
      </c>
      <c r="N935">
        <v>5500</v>
      </c>
      <c r="O935">
        <v>5</v>
      </c>
      <c r="P935">
        <v>344</v>
      </c>
      <c r="Q935">
        <v>0</v>
      </c>
      <c r="R935">
        <v>8471700000</v>
      </c>
      <c r="S935">
        <v>9482206.9100000001</v>
      </c>
      <c r="T935">
        <v>8459239578.6099997</v>
      </c>
      <c r="U935">
        <v>8462037193.3199997</v>
      </c>
      <c r="V935">
        <v>4.2100000000000002E-3</v>
      </c>
      <c r="W935">
        <v>2.5599999999999999E-4</v>
      </c>
      <c r="Y935" t="s">
        <v>2</v>
      </c>
      <c r="Z935">
        <v>6500</v>
      </c>
      <c r="AA935">
        <v>5</v>
      </c>
      <c r="AB935">
        <v>3450</v>
      </c>
      <c r="AC935">
        <v>0</v>
      </c>
      <c r="AD935">
        <v>69156600000</v>
      </c>
      <c r="AE935">
        <v>64598121.960000001</v>
      </c>
      <c r="AF935">
        <v>69060732464</v>
      </c>
      <c r="AG935">
        <v>69088406668.009995</v>
      </c>
      <c r="AH935">
        <v>5.4120000000000001E-3</v>
      </c>
      <c r="AI935">
        <v>6.2399999999999999E-4</v>
      </c>
    </row>
    <row r="936" spans="1:35" x14ac:dyDescent="0.35">
      <c r="A936" t="s">
        <v>2</v>
      </c>
      <c r="B936">
        <v>6750</v>
      </c>
      <c r="C936">
        <v>14</v>
      </c>
      <c r="D936">
        <v>694</v>
      </c>
      <c r="E936">
        <v>0</v>
      </c>
      <c r="F936">
        <v>11706852258</v>
      </c>
      <c r="G936">
        <v>11137923.91</v>
      </c>
      <c r="H936">
        <v>11618806211.15</v>
      </c>
      <c r="I936">
        <v>11677459840.549999</v>
      </c>
      <c r="J936">
        <v>7.6047000000000003E-2</v>
      </c>
      <c r="K936">
        <v>1.8551999999999999E-2</v>
      </c>
      <c r="M936" t="s">
        <v>0</v>
      </c>
      <c r="N936">
        <v>6000</v>
      </c>
      <c r="O936">
        <v>6</v>
      </c>
      <c r="P936">
        <v>6964</v>
      </c>
      <c r="Q936">
        <v>0</v>
      </c>
      <c r="R936">
        <v>230701106074</v>
      </c>
      <c r="S936">
        <v>240257591.06999999</v>
      </c>
      <c r="T936">
        <v>229201051100.22</v>
      </c>
      <c r="U936">
        <v>230363809026.87</v>
      </c>
      <c r="V936">
        <v>6.3596E-2</v>
      </c>
      <c r="W936">
        <v>5.0359999999999997E-3</v>
      </c>
      <c r="Y936" t="s">
        <v>2</v>
      </c>
      <c r="Z936">
        <v>6250</v>
      </c>
      <c r="AA936">
        <v>14</v>
      </c>
      <c r="AB936">
        <v>1391</v>
      </c>
      <c r="AC936">
        <v>0</v>
      </c>
      <c r="AD936">
        <v>26236007104</v>
      </c>
      <c r="AE936">
        <v>27349701.489999998</v>
      </c>
      <c r="AF936">
        <v>26181115728</v>
      </c>
      <c r="AG936">
        <v>26194934534.759998</v>
      </c>
      <c r="AH936">
        <v>1.2525E-2</v>
      </c>
      <c r="AI936">
        <v>6.2589999999999998E-3</v>
      </c>
    </row>
    <row r="937" spans="1:35" x14ac:dyDescent="0.35">
      <c r="A937" t="s">
        <v>1</v>
      </c>
      <c r="B937">
        <v>5500</v>
      </c>
      <c r="C937">
        <v>14</v>
      </c>
      <c r="D937">
        <v>7916</v>
      </c>
      <c r="E937">
        <v>0</v>
      </c>
      <c r="F937">
        <v>314520333105</v>
      </c>
      <c r="G937">
        <v>375367612.49000001</v>
      </c>
      <c r="H937">
        <v>309329518595.59003</v>
      </c>
      <c r="I937">
        <v>313603610102.54999</v>
      </c>
      <c r="J937">
        <v>0.169017</v>
      </c>
      <c r="K937">
        <v>2.0459999999999999E-2</v>
      </c>
      <c r="M937" t="s">
        <v>0</v>
      </c>
      <c r="N937">
        <v>6000</v>
      </c>
      <c r="O937">
        <v>5</v>
      </c>
      <c r="P937">
        <v>44981</v>
      </c>
      <c r="Q937">
        <v>0</v>
      </c>
      <c r="R937">
        <v>1471531600000</v>
      </c>
      <c r="S937">
        <v>1500684593.6700001</v>
      </c>
      <c r="T937">
        <v>1468067481868.3301</v>
      </c>
      <c r="U937">
        <v>1469832281867.4299</v>
      </c>
      <c r="V937">
        <v>1.5893999999999998E-2</v>
      </c>
      <c r="W937">
        <v>1.619E-3</v>
      </c>
      <c r="Y937" t="s">
        <v>2</v>
      </c>
      <c r="Z937">
        <v>6750</v>
      </c>
      <c r="AA937">
        <v>14</v>
      </c>
      <c r="AB937">
        <v>697</v>
      </c>
      <c r="AC937">
        <v>0</v>
      </c>
      <c r="AD937">
        <v>11242505743</v>
      </c>
      <c r="AE937">
        <v>10714145.390000001</v>
      </c>
      <c r="AF937">
        <v>11173066959</v>
      </c>
      <c r="AG937">
        <v>11231683038.91</v>
      </c>
      <c r="AH937">
        <v>6.0912000000000001E-2</v>
      </c>
      <c r="AI937">
        <v>1.16E-4</v>
      </c>
    </row>
    <row r="938" spans="1:35" x14ac:dyDescent="0.35">
      <c r="A938" t="s">
        <v>0</v>
      </c>
      <c r="B938">
        <v>5000</v>
      </c>
      <c r="C938">
        <v>12</v>
      </c>
      <c r="D938">
        <v>4403</v>
      </c>
      <c r="E938">
        <v>0</v>
      </c>
      <c r="F938">
        <v>157196414369</v>
      </c>
      <c r="G938">
        <v>202521864.02000001</v>
      </c>
      <c r="H938">
        <v>156755938587.48001</v>
      </c>
      <c r="I938">
        <v>156916924568.70999</v>
      </c>
      <c r="J938">
        <v>1.8013999999999999E-2</v>
      </c>
      <c r="K938">
        <v>5.8599999999999998E-3</v>
      </c>
      <c r="M938" t="s">
        <v>1</v>
      </c>
      <c r="N938">
        <v>6000</v>
      </c>
      <c r="O938">
        <v>5</v>
      </c>
      <c r="P938">
        <v>39584</v>
      </c>
      <c r="Q938">
        <v>0</v>
      </c>
      <c r="R938">
        <v>1662315700000</v>
      </c>
      <c r="S938">
        <v>1695153704.3399999</v>
      </c>
      <c r="T938">
        <v>1657182401828.04</v>
      </c>
      <c r="U938">
        <v>1660401014279.6499</v>
      </c>
      <c r="V938">
        <v>2.4538999999999998E-2</v>
      </c>
      <c r="W938">
        <v>1.5839999999999999E-3</v>
      </c>
      <c r="Y938" t="s">
        <v>1</v>
      </c>
      <c r="Z938">
        <v>6750</v>
      </c>
      <c r="AA938">
        <v>14</v>
      </c>
      <c r="AB938">
        <v>3413</v>
      </c>
      <c r="AC938">
        <v>0</v>
      </c>
      <c r="AD938">
        <v>99327879353</v>
      </c>
      <c r="AE938">
        <v>94701033.819999993</v>
      </c>
      <c r="AF938">
        <v>93853559540</v>
      </c>
      <c r="AG938">
        <v>97955856260.490005</v>
      </c>
      <c r="AH938">
        <v>0.48736200000000002</v>
      </c>
      <c r="AI938">
        <v>0.14385600000000001</v>
      </c>
    </row>
    <row r="939" spans="1:35" x14ac:dyDescent="0.35">
      <c r="A939" t="s">
        <v>1</v>
      </c>
      <c r="B939">
        <v>5500</v>
      </c>
      <c r="C939">
        <v>12</v>
      </c>
      <c r="D939">
        <v>2493</v>
      </c>
      <c r="E939">
        <v>0</v>
      </c>
      <c r="F939">
        <v>100430603519</v>
      </c>
      <c r="G939">
        <v>118406042.27</v>
      </c>
      <c r="H939">
        <v>98835172879.820007</v>
      </c>
      <c r="I939">
        <v>100181777430.92999</v>
      </c>
      <c r="J939">
        <v>0.162885</v>
      </c>
      <c r="K939">
        <v>1.5472E-2</v>
      </c>
      <c r="M939" t="s">
        <v>0</v>
      </c>
      <c r="N939">
        <v>7750</v>
      </c>
      <c r="O939">
        <v>14</v>
      </c>
      <c r="P939">
        <v>3280</v>
      </c>
      <c r="Q939">
        <v>0</v>
      </c>
      <c r="R939">
        <v>84593894931</v>
      </c>
      <c r="S939">
        <v>66546510.640000001</v>
      </c>
      <c r="T939">
        <v>81897562939.669998</v>
      </c>
      <c r="U939">
        <v>84005872990.509995</v>
      </c>
      <c r="V939">
        <v>0.31543199999999999</v>
      </c>
      <c r="W939">
        <v>7.1515999999999996E-2</v>
      </c>
      <c r="Y939" t="s">
        <v>2</v>
      </c>
      <c r="Z939">
        <v>5750</v>
      </c>
      <c r="AA939">
        <v>12</v>
      </c>
      <c r="AB939">
        <v>548</v>
      </c>
      <c r="AC939">
        <v>0</v>
      </c>
      <c r="AD939">
        <v>11894441310</v>
      </c>
      <c r="AE939">
        <v>13400531.84</v>
      </c>
      <c r="AF939">
        <v>11788960331</v>
      </c>
      <c r="AG939">
        <v>11880527360.67</v>
      </c>
      <c r="AH939">
        <v>8.9042999999999997E-2</v>
      </c>
      <c r="AI939">
        <v>5.1800000000000001E-4</v>
      </c>
    </row>
    <row r="940" spans="1:35" x14ac:dyDescent="0.35">
      <c r="A940" t="s">
        <v>0</v>
      </c>
      <c r="B940">
        <v>5750</v>
      </c>
      <c r="C940">
        <v>12</v>
      </c>
      <c r="D940">
        <v>11288</v>
      </c>
      <c r="E940">
        <v>0</v>
      </c>
      <c r="F940">
        <v>379308321518</v>
      </c>
      <c r="G940">
        <v>427146145.06</v>
      </c>
      <c r="H940">
        <v>375923335883.91998</v>
      </c>
      <c r="I940">
        <v>378295984774.73999</v>
      </c>
      <c r="J940">
        <v>8.9664999999999995E-2</v>
      </c>
      <c r="K940">
        <v>1.8356999999999998E-2</v>
      </c>
      <c r="M940" t="s">
        <v>1</v>
      </c>
      <c r="N940">
        <v>7000</v>
      </c>
      <c r="O940">
        <v>12</v>
      </c>
      <c r="P940">
        <v>543</v>
      </c>
      <c r="Q940">
        <v>0</v>
      </c>
      <c r="R940">
        <v>15869489503</v>
      </c>
      <c r="S940">
        <v>14270330.609999999</v>
      </c>
      <c r="T940">
        <v>14339524647.469999</v>
      </c>
      <c r="U940">
        <v>15543715710.879999</v>
      </c>
      <c r="V940">
        <v>0.70019100000000001</v>
      </c>
      <c r="W940">
        <v>0.21171200000000001</v>
      </c>
      <c r="Y940" t="s">
        <v>1</v>
      </c>
      <c r="Z940">
        <v>5750</v>
      </c>
      <c r="AA940">
        <v>12</v>
      </c>
      <c r="AB940">
        <v>13159</v>
      </c>
      <c r="AC940">
        <v>0</v>
      </c>
      <c r="AD940">
        <v>520355336523</v>
      </c>
      <c r="AE940">
        <v>585960350.08000004</v>
      </c>
      <c r="AF940">
        <v>508893316275</v>
      </c>
      <c r="AG940">
        <v>518826172627.06</v>
      </c>
      <c r="AH940">
        <v>0.22389899999999999</v>
      </c>
      <c r="AI940">
        <v>2.1536E-2</v>
      </c>
    </row>
    <row r="941" spans="1:35" x14ac:dyDescent="0.35">
      <c r="A941" t="s">
        <v>1</v>
      </c>
      <c r="B941">
        <v>5750</v>
      </c>
      <c r="C941">
        <v>12</v>
      </c>
      <c r="D941">
        <v>8847</v>
      </c>
      <c r="E941">
        <v>0</v>
      </c>
      <c r="F941">
        <v>354168954642</v>
      </c>
      <c r="G941">
        <v>398273343.35000002</v>
      </c>
      <c r="H941">
        <v>341118883068.65997</v>
      </c>
      <c r="I941">
        <v>353095117547.88</v>
      </c>
      <c r="J941">
        <v>0.35371399999999997</v>
      </c>
      <c r="K941">
        <v>2.2651000000000001E-2</v>
      </c>
      <c r="M941" t="s">
        <v>2</v>
      </c>
      <c r="N941">
        <v>6500</v>
      </c>
      <c r="O941">
        <v>10</v>
      </c>
      <c r="P941">
        <v>377</v>
      </c>
      <c r="Q941">
        <v>0</v>
      </c>
      <c r="R941">
        <v>7197668875</v>
      </c>
      <c r="S941">
        <v>7007140.1100000003</v>
      </c>
      <c r="T941">
        <v>7167069554.3500004</v>
      </c>
      <c r="U941">
        <v>7187129320.1000004</v>
      </c>
      <c r="V941">
        <v>3.8632E-2</v>
      </c>
      <c r="W941">
        <v>5.8729999999999997E-3</v>
      </c>
      <c r="Y941" t="s">
        <v>0</v>
      </c>
      <c r="Z941">
        <v>6250</v>
      </c>
      <c r="AA941">
        <v>12</v>
      </c>
      <c r="AB941">
        <v>28936</v>
      </c>
      <c r="AC941">
        <v>0</v>
      </c>
      <c r="AD941">
        <v>945645298214</v>
      </c>
      <c r="AE941">
        <v>971403257.25999999</v>
      </c>
      <c r="AF941">
        <v>930149581933</v>
      </c>
      <c r="AG941">
        <v>943700345452.85999</v>
      </c>
      <c r="AH941">
        <v>0.16950999999999999</v>
      </c>
      <c r="AI941">
        <v>1.2284E-2</v>
      </c>
    </row>
    <row r="942" spans="1:35" x14ac:dyDescent="0.35">
      <c r="A942" t="s">
        <v>2</v>
      </c>
      <c r="B942">
        <v>5750</v>
      </c>
      <c r="C942">
        <v>12</v>
      </c>
      <c r="D942">
        <v>360</v>
      </c>
      <c r="E942">
        <v>0</v>
      </c>
      <c r="F942">
        <v>7932294859</v>
      </c>
      <c r="G942">
        <v>8924887.9700000007</v>
      </c>
      <c r="H942">
        <v>7902113921.1899996</v>
      </c>
      <c r="I942">
        <v>7918577046.96</v>
      </c>
      <c r="J942">
        <v>3.1685999999999999E-2</v>
      </c>
      <c r="K942">
        <v>7.2269999999999999E-3</v>
      </c>
      <c r="M942" t="s">
        <v>1</v>
      </c>
      <c r="N942">
        <v>6000</v>
      </c>
      <c r="O942">
        <v>9</v>
      </c>
      <c r="P942">
        <v>3561</v>
      </c>
      <c r="Q942">
        <v>0</v>
      </c>
      <c r="R942">
        <v>140848689119</v>
      </c>
      <c r="S942">
        <v>149217099.80000001</v>
      </c>
      <c r="T942">
        <v>134420994595.17</v>
      </c>
      <c r="U942">
        <v>140553245782.07001</v>
      </c>
      <c r="V942">
        <v>0.421433</v>
      </c>
      <c r="W942">
        <v>1.2387E-2</v>
      </c>
      <c r="Y942" t="s">
        <v>1</v>
      </c>
      <c r="Z942">
        <v>5500</v>
      </c>
      <c r="AA942">
        <v>12</v>
      </c>
      <c r="AB942">
        <v>4195</v>
      </c>
      <c r="AC942">
        <v>0</v>
      </c>
      <c r="AD942">
        <v>168133691250</v>
      </c>
      <c r="AE942">
        <v>198342743.38</v>
      </c>
      <c r="AF942">
        <v>166317419645</v>
      </c>
      <c r="AG942">
        <v>167617426893.92999</v>
      </c>
      <c r="AH942">
        <v>0.109555</v>
      </c>
      <c r="AI942">
        <v>2.2456E-2</v>
      </c>
    </row>
    <row r="943" spans="1:35" x14ac:dyDescent="0.35">
      <c r="A943" t="s">
        <v>0</v>
      </c>
      <c r="B943">
        <v>6250</v>
      </c>
      <c r="C943">
        <v>12</v>
      </c>
      <c r="D943">
        <v>25213</v>
      </c>
      <c r="E943">
        <v>0</v>
      </c>
      <c r="F943">
        <v>829951504163</v>
      </c>
      <c r="G943">
        <v>853154265.21000004</v>
      </c>
      <c r="H943">
        <v>812470320078.88</v>
      </c>
      <c r="I943">
        <v>826506908844.97998</v>
      </c>
      <c r="J943">
        <v>0.21561900000000001</v>
      </c>
      <c r="K943">
        <v>3.6831999999999997E-2</v>
      </c>
      <c r="M943" t="s">
        <v>2</v>
      </c>
      <c r="N943">
        <v>6000</v>
      </c>
      <c r="O943">
        <v>9</v>
      </c>
      <c r="P943">
        <v>246</v>
      </c>
      <c r="Q943">
        <v>0</v>
      </c>
      <c r="R943">
        <v>5161468378</v>
      </c>
      <c r="S943">
        <v>5463617.8200000003</v>
      </c>
      <c r="T943">
        <v>5148717391.9200001</v>
      </c>
      <c r="U943">
        <v>5155382002.5100002</v>
      </c>
      <c r="V943">
        <v>1.6812000000000001E-2</v>
      </c>
      <c r="W943">
        <v>1.4469999999999999E-3</v>
      </c>
      <c r="Y943" t="s">
        <v>0</v>
      </c>
      <c r="Z943">
        <v>5750</v>
      </c>
      <c r="AA943">
        <v>12</v>
      </c>
      <c r="AB943">
        <v>17859</v>
      </c>
      <c r="AC943">
        <v>0</v>
      </c>
      <c r="AD943">
        <v>601665010556</v>
      </c>
      <c r="AE943">
        <v>677350328.35000002</v>
      </c>
      <c r="AF943">
        <v>598121560165</v>
      </c>
      <c r="AG943">
        <v>600451370627.28003</v>
      </c>
      <c r="AH943">
        <v>5.5689000000000002E-2</v>
      </c>
      <c r="AI943">
        <v>1.0644000000000001E-2</v>
      </c>
    </row>
    <row r="944" spans="1:35" x14ac:dyDescent="0.35">
      <c r="A944" t="s">
        <v>1</v>
      </c>
      <c r="B944">
        <v>6250</v>
      </c>
      <c r="C944">
        <v>12</v>
      </c>
      <c r="D944">
        <v>13046</v>
      </c>
      <c r="E944">
        <v>0</v>
      </c>
      <c r="F944">
        <v>494814718243</v>
      </c>
      <c r="G944">
        <v>509260208.25999999</v>
      </c>
      <c r="H944">
        <v>467560018074.10999</v>
      </c>
      <c r="I944">
        <v>493084543231.42999</v>
      </c>
      <c r="J944">
        <v>0.48665399999999998</v>
      </c>
      <c r="K944">
        <v>2.921E-2</v>
      </c>
      <c r="M944" t="s">
        <v>0</v>
      </c>
      <c r="N944">
        <v>6500</v>
      </c>
      <c r="O944">
        <v>9</v>
      </c>
      <c r="P944">
        <v>5392</v>
      </c>
      <c r="Q944">
        <v>0</v>
      </c>
      <c r="R944">
        <v>149556847588</v>
      </c>
      <c r="S944">
        <v>144223547.03999999</v>
      </c>
      <c r="T944">
        <v>146192946692.76001</v>
      </c>
      <c r="U944">
        <v>149125329177.81</v>
      </c>
      <c r="V944">
        <v>0.22984099999999999</v>
      </c>
      <c r="W944">
        <v>2.281E-2</v>
      </c>
      <c r="Y944" t="s">
        <v>0</v>
      </c>
      <c r="Z944">
        <v>5000</v>
      </c>
      <c r="AA944">
        <v>12</v>
      </c>
      <c r="AB944">
        <v>5206</v>
      </c>
      <c r="AC944">
        <v>0</v>
      </c>
      <c r="AD944">
        <v>184790221232</v>
      </c>
      <c r="AE944">
        <v>237757254.08000001</v>
      </c>
      <c r="AF944">
        <v>184293157870</v>
      </c>
      <c r="AG944">
        <v>184415097746.95001</v>
      </c>
      <c r="AH944">
        <v>1.6709999999999999E-2</v>
      </c>
      <c r="AI944">
        <v>8.8839999999999995E-3</v>
      </c>
    </row>
    <row r="945" spans="1:35" x14ac:dyDescent="0.35">
      <c r="A945" t="s">
        <v>0</v>
      </c>
      <c r="B945">
        <v>7250</v>
      </c>
      <c r="C945">
        <v>12</v>
      </c>
      <c r="D945">
        <v>5689</v>
      </c>
      <c r="E945">
        <v>0</v>
      </c>
      <c r="F945">
        <v>150141215934</v>
      </c>
      <c r="G945">
        <v>128325646.45</v>
      </c>
      <c r="H945">
        <v>145370063495.32999</v>
      </c>
      <c r="I945">
        <v>149100032947.94</v>
      </c>
      <c r="J945">
        <v>0.31403999999999999</v>
      </c>
      <c r="K945">
        <v>7.0569000000000007E-2</v>
      </c>
      <c r="M945" t="s">
        <v>1</v>
      </c>
      <c r="N945">
        <v>6500</v>
      </c>
      <c r="O945">
        <v>9</v>
      </c>
      <c r="P945">
        <v>1718</v>
      </c>
      <c r="Q945">
        <v>0</v>
      </c>
      <c r="R945">
        <v>59591558740</v>
      </c>
      <c r="S945">
        <v>57587508.609999999</v>
      </c>
      <c r="T945">
        <v>54403722649.309998</v>
      </c>
      <c r="U945">
        <v>59418662545.080002</v>
      </c>
      <c r="V945">
        <v>0.66049999999999998</v>
      </c>
      <c r="W945">
        <v>2.2974000000000001E-2</v>
      </c>
      <c r="Y945" t="s">
        <v>1</v>
      </c>
      <c r="Z945">
        <v>6250</v>
      </c>
      <c r="AA945">
        <v>12</v>
      </c>
      <c r="AB945">
        <v>13878</v>
      </c>
      <c r="AC945">
        <v>0</v>
      </c>
      <c r="AD945">
        <v>520967616749</v>
      </c>
      <c r="AE945">
        <v>535609267.69</v>
      </c>
      <c r="AF945">
        <v>499403729662</v>
      </c>
      <c r="AG945">
        <v>519155302435.09003</v>
      </c>
      <c r="AH945">
        <v>0.390071</v>
      </c>
      <c r="AI945">
        <v>2.9014999999999999E-2</v>
      </c>
    </row>
    <row r="946" spans="1:35" x14ac:dyDescent="0.35">
      <c r="A946" t="s">
        <v>2</v>
      </c>
      <c r="B946">
        <v>5250</v>
      </c>
      <c r="C946">
        <v>12</v>
      </c>
      <c r="D946">
        <v>58</v>
      </c>
      <c r="E946">
        <v>0</v>
      </c>
      <c r="F946">
        <v>1283868477</v>
      </c>
      <c r="G946">
        <v>1580921.12</v>
      </c>
      <c r="H946">
        <v>1279957799.1700001</v>
      </c>
      <c r="I946">
        <v>1281820063.25</v>
      </c>
      <c r="J946">
        <v>2.1559999999999999E-2</v>
      </c>
      <c r="K946">
        <v>4.3610000000000003E-3</v>
      </c>
      <c r="M946" t="s">
        <v>2</v>
      </c>
      <c r="N946">
        <v>6500</v>
      </c>
      <c r="O946">
        <v>9</v>
      </c>
      <c r="P946">
        <v>420</v>
      </c>
      <c r="Q946">
        <v>0</v>
      </c>
      <c r="R946">
        <v>8099035227</v>
      </c>
      <c r="S946">
        <v>7823627.8799999999</v>
      </c>
      <c r="T946">
        <v>8068246613.8900003</v>
      </c>
      <c r="U946">
        <v>8088586816.21</v>
      </c>
      <c r="V946">
        <v>3.3501000000000003E-2</v>
      </c>
      <c r="W946">
        <v>3.882E-3</v>
      </c>
      <c r="Y946" t="s">
        <v>0</v>
      </c>
      <c r="Z946">
        <v>6750</v>
      </c>
      <c r="AA946">
        <v>10</v>
      </c>
      <c r="AB946">
        <v>10104</v>
      </c>
      <c r="AC946">
        <v>0</v>
      </c>
      <c r="AD946">
        <v>290800671627</v>
      </c>
      <c r="AE946">
        <v>270472861.01999998</v>
      </c>
      <c r="AF946">
        <v>282766251662</v>
      </c>
      <c r="AG946">
        <v>289874001714.64001</v>
      </c>
      <c r="AH946">
        <v>0.27728199999999997</v>
      </c>
      <c r="AI946">
        <v>2.6745000000000001E-2</v>
      </c>
    </row>
    <row r="947" spans="1:35" x14ac:dyDescent="0.35">
      <c r="A947" t="s">
        <v>1</v>
      </c>
      <c r="B947">
        <v>6750</v>
      </c>
      <c r="C947">
        <v>12</v>
      </c>
      <c r="D947">
        <v>6555</v>
      </c>
      <c r="E947">
        <v>0</v>
      </c>
      <c r="F947">
        <v>209487023568</v>
      </c>
      <c r="G947">
        <v>196837242.80000001</v>
      </c>
      <c r="H947">
        <v>192213390665.17001</v>
      </c>
      <c r="I947">
        <v>208391048599.17001</v>
      </c>
      <c r="J947">
        <v>0.639544</v>
      </c>
      <c r="K947">
        <v>5.0305999999999997E-2</v>
      </c>
      <c r="M947" t="s">
        <v>2</v>
      </c>
      <c r="N947">
        <v>7000</v>
      </c>
      <c r="O947">
        <v>10</v>
      </c>
      <c r="P947">
        <v>242</v>
      </c>
      <c r="Q947">
        <v>0</v>
      </c>
      <c r="R947">
        <v>3704086775</v>
      </c>
      <c r="S947">
        <v>3283703.39</v>
      </c>
      <c r="T947">
        <v>3667744904.6700001</v>
      </c>
      <c r="U947">
        <v>3686122377.5599999</v>
      </c>
      <c r="V947">
        <v>0.101994</v>
      </c>
      <c r="W947">
        <v>4.6537000000000002E-2</v>
      </c>
      <c r="Y947" t="s">
        <v>0</v>
      </c>
      <c r="Z947">
        <v>7000</v>
      </c>
      <c r="AA947">
        <v>10</v>
      </c>
      <c r="AB947">
        <v>2888</v>
      </c>
      <c r="AC947">
        <v>0</v>
      </c>
      <c r="AD947">
        <v>75261545958</v>
      </c>
      <c r="AE947">
        <v>66696725.100000001</v>
      </c>
      <c r="AF947">
        <v>73842041766</v>
      </c>
      <c r="AG947">
        <v>74611029562.339996</v>
      </c>
      <c r="AH947">
        <v>0.1956</v>
      </c>
      <c r="AI947">
        <v>8.9216000000000004E-2</v>
      </c>
    </row>
    <row r="948" spans="1:35" x14ac:dyDescent="0.35">
      <c r="A948" t="s">
        <v>2</v>
      </c>
      <c r="B948">
        <v>6250</v>
      </c>
      <c r="C948">
        <v>14</v>
      </c>
      <c r="D948">
        <v>1420</v>
      </c>
      <c r="E948">
        <v>0</v>
      </c>
      <c r="F948">
        <v>27395512009</v>
      </c>
      <c r="G948">
        <v>28532105.84</v>
      </c>
      <c r="H948">
        <v>27245558965.599998</v>
      </c>
      <c r="I948">
        <v>27335916449.73</v>
      </c>
      <c r="J948">
        <v>5.1908000000000003E-2</v>
      </c>
      <c r="K948">
        <v>1.3521999999999999E-2</v>
      </c>
      <c r="M948" t="s">
        <v>0</v>
      </c>
      <c r="N948">
        <v>7000</v>
      </c>
      <c r="O948">
        <v>9</v>
      </c>
      <c r="P948">
        <v>2911</v>
      </c>
      <c r="Q948">
        <v>0</v>
      </c>
      <c r="R948">
        <v>77037151242</v>
      </c>
      <c r="S948">
        <v>67721335.769999996</v>
      </c>
      <c r="T948">
        <v>74832274573.309998</v>
      </c>
      <c r="U948">
        <v>76619863365.770004</v>
      </c>
      <c r="V948">
        <v>0.28652499999999997</v>
      </c>
      <c r="W948">
        <v>5.3113E-2</v>
      </c>
      <c r="Y948" t="s">
        <v>1</v>
      </c>
      <c r="Z948">
        <v>5500</v>
      </c>
      <c r="AA948">
        <v>10</v>
      </c>
      <c r="AB948">
        <v>940</v>
      </c>
      <c r="AC948">
        <v>0</v>
      </c>
      <c r="AD948">
        <v>37314382350</v>
      </c>
      <c r="AE948">
        <v>43551590.899999999</v>
      </c>
      <c r="AF948">
        <v>37192606147</v>
      </c>
      <c r="AG948">
        <v>37256944564.370003</v>
      </c>
      <c r="AH948">
        <v>2.4868000000000001E-2</v>
      </c>
      <c r="AI948">
        <v>4.457E-3</v>
      </c>
    </row>
    <row r="949" spans="1:35" x14ac:dyDescent="0.35">
      <c r="A949" t="s">
        <v>0</v>
      </c>
      <c r="B949">
        <v>7500</v>
      </c>
      <c r="C949">
        <v>14</v>
      </c>
      <c r="D949">
        <v>819</v>
      </c>
      <c r="E949">
        <v>0</v>
      </c>
      <c r="F949">
        <v>20593783055</v>
      </c>
      <c r="G949">
        <v>17035491.18</v>
      </c>
      <c r="H949">
        <v>20110621540.48</v>
      </c>
      <c r="I949">
        <v>20427184315.400002</v>
      </c>
      <c r="J949">
        <v>0.24022499999999999</v>
      </c>
      <c r="K949">
        <v>8.3751999999999993E-2</v>
      </c>
      <c r="M949" t="s">
        <v>0</v>
      </c>
      <c r="N949">
        <v>6000</v>
      </c>
      <c r="O949">
        <v>8</v>
      </c>
      <c r="P949">
        <v>4445</v>
      </c>
      <c r="Q949">
        <v>0</v>
      </c>
      <c r="R949">
        <v>140487457621</v>
      </c>
      <c r="S949">
        <v>147994839.62</v>
      </c>
      <c r="T949">
        <v>139198276968.32001</v>
      </c>
      <c r="U949">
        <v>140189490665.64001</v>
      </c>
      <c r="V949">
        <v>9.3237E-2</v>
      </c>
      <c r="W949">
        <v>1.2735E-2</v>
      </c>
      <c r="Y949" t="s">
        <v>2</v>
      </c>
      <c r="Z949">
        <v>5750</v>
      </c>
      <c r="AA949">
        <v>10</v>
      </c>
      <c r="AB949">
        <v>149</v>
      </c>
      <c r="AC949">
        <v>0</v>
      </c>
      <c r="AD949">
        <v>3300379811</v>
      </c>
      <c r="AE949">
        <v>3677680.74</v>
      </c>
      <c r="AF949">
        <v>3296523420</v>
      </c>
      <c r="AG949">
        <v>3296523420</v>
      </c>
      <c r="AH949">
        <v>6.4999999999999997E-4</v>
      </c>
      <c r="AI949">
        <v>6.4999999999999997E-4</v>
      </c>
    </row>
    <row r="950" spans="1:35" x14ac:dyDescent="0.35">
      <c r="A950" t="s">
        <v>2</v>
      </c>
      <c r="B950">
        <v>6750</v>
      </c>
      <c r="C950">
        <v>12</v>
      </c>
      <c r="D950">
        <v>1127</v>
      </c>
      <c r="E950">
        <v>0</v>
      </c>
      <c r="F950">
        <v>19753109605</v>
      </c>
      <c r="G950">
        <v>18578584.739999998</v>
      </c>
      <c r="H950">
        <v>19604954610.049999</v>
      </c>
      <c r="I950">
        <v>19705006030.040001</v>
      </c>
      <c r="J950">
        <v>7.5939000000000006E-2</v>
      </c>
      <c r="K950">
        <v>1.779E-2</v>
      </c>
      <c r="M950" t="s">
        <v>2</v>
      </c>
      <c r="N950">
        <v>6000</v>
      </c>
      <c r="O950">
        <v>8</v>
      </c>
      <c r="P950">
        <v>205</v>
      </c>
      <c r="Q950">
        <v>0</v>
      </c>
      <c r="R950">
        <v>4482218608</v>
      </c>
      <c r="S950">
        <v>4716871.97</v>
      </c>
      <c r="T950">
        <v>4471646084.9399996</v>
      </c>
      <c r="U950">
        <v>4477106513.5200005</v>
      </c>
      <c r="V950">
        <v>1.5565000000000001E-2</v>
      </c>
      <c r="W950">
        <v>1.0579999999999999E-3</v>
      </c>
      <c r="Y950" t="s">
        <v>0</v>
      </c>
      <c r="Z950">
        <v>5750</v>
      </c>
      <c r="AA950">
        <v>10</v>
      </c>
      <c r="AB950">
        <v>4220</v>
      </c>
      <c r="AC950">
        <v>0</v>
      </c>
      <c r="AD950">
        <v>140347828813</v>
      </c>
      <c r="AE950">
        <v>156618215.56999999</v>
      </c>
      <c r="AF950">
        <v>139530720744</v>
      </c>
      <c r="AG950">
        <v>140041026775.85001</v>
      </c>
      <c r="AH950">
        <v>5.5034E-2</v>
      </c>
      <c r="AI950">
        <v>1.2766E-2</v>
      </c>
    </row>
    <row r="951" spans="1:35" x14ac:dyDescent="0.35">
      <c r="A951" t="s">
        <v>0</v>
      </c>
      <c r="B951">
        <v>7500</v>
      </c>
      <c r="C951">
        <v>12</v>
      </c>
      <c r="D951">
        <v>1417</v>
      </c>
      <c r="E951">
        <v>0</v>
      </c>
      <c r="F951">
        <v>36438860247</v>
      </c>
      <c r="G951">
        <v>29649507.870000001</v>
      </c>
      <c r="H951">
        <v>35407462553.769997</v>
      </c>
      <c r="I951">
        <v>36187417453.419998</v>
      </c>
      <c r="J951">
        <v>0.28431400000000001</v>
      </c>
      <c r="K951">
        <v>7.0643999999999998E-2</v>
      </c>
      <c r="M951" t="s">
        <v>1</v>
      </c>
      <c r="N951">
        <v>6000</v>
      </c>
      <c r="O951">
        <v>8</v>
      </c>
      <c r="P951">
        <v>2963</v>
      </c>
      <c r="Q951">
        <v>0</v>
      </c>
      <c r="R951">
        <v>117037175924</v>
      </c>
      <c r="S951">
        <v>123177451.20999999</v>
      </c>
      <c r="T951">
        <v>110887424656.53999</v>
      </c>
      <c r="U951">
        <v>116792476638.81</v>
      </c>
      <c r="V951">
        <v>0.46974199999999999</v>
      </c>
      <c r="W951">
        <v>1.2389000000000001E-2</v>
      </c>
      <c r="Y951" t="s">
        <v>0</v>
      </c>
      <c r="Z951">
        <v>6250</v>
      </c>
      <c r="AA951">
        <v>10</v>
      </c>
      <c r="AB951">
        <v>10806</v>
      </c>
      <c r="AC951">
        <v>0</v>
      </c>
      <c r="AD951">
        <v>350817427230</v>
      </c>
      <c r="AE951">
        <v>357155104.74000001</v>
      </c>
      <c r="AF951">
        <v>344523916036</v>
      </c>
      <c r="AG951">
        <v>350315289148.03998</v>
      </c>
      <c r="AH951">
        <v>0.18518599999999999</v>
      </c>
      <c r="AI951">
        <v>4.9480000000000001E-3</v>
      </c>
    </row>
    <row r="952" spans="1:35" x14ac:dyDescent="0.35">
      <c r="A952" t="s">
        <v>0</v>
      </c>
      <c r="B952">
        <v>7750</v>
      </c>
      <c r="C952">
        <v>14</v>
      </c>
      <c r="D952">
        <v>1221</v>
      </c>
      <c r="E952">
        <v>0</v>
      </c>
      <c r="F952">
        <v>32656619493</v>
      </c>
      <c r="G952">
        <v>25591945.899999999</v>
      </c>
      <c r="H952">
        <v>31839151403.240002</v>
      </c>
      <c r="I952">
        <v>32426511931.860001</v>
      </c>
      <c r="J952">
        <v>0.25514700000000001</v>
      </c>
      <c r="K952">
        <v>7.2616E-2</v>
      </c>
      <c r="M952" t="s">
        <v>0</v>
      </c>
      <c r="N952">
        <v>6500</v>
      </c>
      <c r="O952">
        <v>8</v>
      </c>
      <c r="P952">
        <v>5301</v>
      </c>
      <c r="Q952">
        <v>0</v>
      </c>
      <c r="R952">
        <v>154878666547</v>
      </c>
      <c r="S952">
        <v>148510268.72999999</v>
      </c>
      <c r="T952">
        <v>151021883052.17999</v>
      </c>
      <c r="U952">
        <v>154404834615.29999</v>
      </c>
      <c r="V952">
        <v>0.25234400000000001</v>
      </c>
      <c r="W952">
        <v>2.4917000000000002E-2</v>
      </c>
      <c r="Y952" t="s">
        <v>1</v>
      </c>
      <c r="Z952">
        <v>6750</v>
      </c>
      <c r="AA952">
        <v>10</v>
      </c>
      <c r="AB952">
        <v>3399</v>
      </c>
      <c r="AC952">
        <v>0</v>
      </c>
      <c r="AD952">
        <v>109799804136</v>
      </c>
      <c r="AE952">
        <v>102210681.01000001</v>
      </c>
      <c r="AF952">
        <v>102805812805</v>
      </c>
      <c r="AG952">
        <v>109214969861.53999</v>
      </c>
      <c r="AH952">
        <v>0.54061999999999999</v>
      </c>
      <c r="AI952">
        <v>5.1489E-2</v>
      </c>
    </row>
    <row r="953" spans="1:35" x14ac:dyDescent="0.35">
      <c r="A953" t="s">
        <v>0</v>
      </c>
      <c r="B953">
        <v>7750</v>
      </c>
      <c r="C953">
        <v>12</v>
      </c>
      <c r="D953">
        <v>1742</v>
      </c>
      <c r="E953">
        <v>0</v>
      </c>
      <c r="F953">
        <v>46637218486</v>
      </c>
      <c r="G953">
        <v>36093646.189999998</v>
      </c>
      <c r="H953">
        <v>45459922265.75</v>
      </c>
      <c r="I953">
        <v>46267374461.050003</v>
      </c>
      <c r="J953">
        <v>0.25717099999999998</v>
      </c>
      <c r="K953">
        <v>8.2574999999999996E-2</v>
      </c>
      <c r="M953" t="s">
        <v>2</v>
      </c>
      <c r="N953">
        <v>6500</v>
      </c>
      <c r="O953">
        <v>8</v>
      </c>
      <c r="P953">
        <v>418</v>
      </c>
      <c r="Q953">
        <v>0</v>
      </c>
      <c r="R953">
        <v>8232503041</v>
      </c>
      <c r="S953">
        <v>7902745.8399999999</v>
      </c>
      <c r="T953">
        <v>8204600282.1700001</v>
      </c>
      <c r="U953">
        <v>8222022937.6499996</v>
      </c>
      <c r="V953">
        <v>2.8766E-2</v>
      </c>
      <c r="W953">
        <v>3.7499999999999999E-3</v>
      </c>
      <c r="Y953" t="s">
        <v>2</v>
      </c>
      <c r="Z953">
        <v>6250</v>
      </c>
      <c r="AA953">
        <v>12</v>
      </c>
      <c r="AB953">
        <v>1307</v>
      </c>
      <c r="AC953">
        <v>0</v>
      </c>
      <c r="AD953">
        <v>26679286218</v>
      </c>
      <c r="AE953">
        <v>27449744.09</v>
      </c>
      <c r="AF953">
        <v>26563413489</v>
      </c>
      <c r="AG953">
        <v>26649052699.040001</v>
      </c>
      <c r="AH953">
        <v>3.9053999999999998E-2</v>
      </c>
      <c r="AI953">
        <v>1.2509999999999999E-3</v>
      </c>
    </row>
    <row r="954" spans="1:35" x14ac:dyDescent="0.35">
      <c r="A954" t="s">
        <v>1</v>
      </c>
      <c r="B954">
        <v>7250</v>
      </c>
      <c r="C954">
        <v>12</v>
      </c>
      <c r="D954">
        <v>1287</v>
      </c>
      <c r="E954">
        <v>0</v>
      </c>
      <c r="F954">
        <v>34862872450</v>
      </c>
      <c r="G954">
        <v>29853553.73</v>
      </c>
      <c r="H954">
        <v>31507182406.73</v>
      </c>
      <c r="I954">
        <v>34404847972.620003</v>
      </c>
      <c r="J954">
        <v>0.699743</v>
      </c>
      <c r="K954">
        <v>0.13782</v>
      </c>
      <c r="M954" t="s">
        <v>0</v>
      </c>
      <c r="N954">
        <v>6000</v>
      </c>
      <c r="O954">
        <v>7</v>
      </c>
      <c r="P954">
        <v>4170</v>
      </c>
      <c r="Q954">
        <v>0</v>
      </c>
      <c r="R954">
        <v>136987826920</v>
      </c>
      <c r="S954">
        <v>143603729.03999999</v>
      </c>
      <c r="T954">
        <v>135729367725.02</v>
      </c>
      <c r="U954">
        <v>136744163796.10001</v>
      </c>
      <c r="V954">
        <v>9.3405000000000002E-2</v>
      </c>
      <c r="W954">
        <v>8.7299999999999999E-3</v>
      </c>
      <c r="Y954" t="s">
        <v>0</v>
      </c>
      <c r="Z954">
        <v>7500</v>
      </c>
      <c r="AA954">
        <v>12</v>
      </c>
      <c r="AB954">
        <v>1159</v>
      </c>
      <c r="AC954">
        <v>0</v>
      </c>
      <c r="AD954">
        <v>30591457677</v>
      </c>
      <c r="AE954">
        <v>24898269.84</v>
      </c>
      <c r="AF954">
        <v>29515538317</v>
      </c>
      <c r="AG954">
        <v>30136320204.25</v>
      </c>
      <c r="AH954">
        <v>0.342644</v>
      </c>
      <c r="AI954">
        <v>0.156307</v>
      </c>
    </row>
    <row r="955" spans="1:35" x14ac:dyDescent="0.35">
      <c r="A955" t="s">
        <v>0</v>
      </c>
      <c r="B955">
        <v>7000</v>
      </c>
      <c r="C955">
        <v>10</v>
      </c>
      <c r="D955">
        <v>3821</v>
      </c>
      <c r="E955">
        <v>0</v>
      </c>
      <c r="F955">
        <v>101408376071</v>
      </c>
      <c r="G955">
        <v>89789013.560000002</v>
      </c>
      <c r="H955">
        <v>98400699316.820007</v>
      </c>
      <c r="I955">
        <v>100438082561.33</v>
      </c>
      <c r="J955">
        <v>0.29555700000000001</v>
      </c>
      <c r="K955">
        <v>9.9359000000000003E-2</v>
      </c>
      <c r="M955" t="s">
        <v>1</v>
      </c>
      <c r="N955">
        <v>6000</v>
      </c>
      <c r="O955">
        <v>7</v>
      </c>
      <c r="P955">
        <v>2996</v>
      </c>
      <c r="Q955">
        <v>0</v>
      </c>
      <c r="R955">
        <v>122290362642</v>
      </c>
      <c r="S955">
        <v>128006355.67</v>
      </c>
      <c r="T955">
        <v>109624794466.63</v>
      </c>
      <c r="U955">
        <v>122079674538.71001</v>
      </c>
      <c r="V955">
        <v>0.72692599999999996</v>
      </c>
      <c r="W955">
        <v>8.0829999999999999E-3</v>
      </c>
      <c r="Y955" t="s">
        <v>2</v>
      </c>
      <c r="Z955">
        <v>6750</v>
      </c>
      <c r="AA955">
        <v>12</v>
      </c>
      <c r="AB955">
        <v>1025</v>
      </c>
      <c r="AC955">
        <v>0</v>
      </c>
      <c r="AD955">
        <v>17952339982</v>
      </c>
      <c r="AE955">
        <v>16865706.140000001</v>
      </c>
      <c r="AF955">
        <v>17773879772</v>
      </c>
      <c r="AG955">
        <v>17879258017.459999</v>
      </c>
      <c r="AH955">
        <v>0.102825</v>
      </c>
      <c r="AI955">
        <v>3.6936999999999998E-2</v>
      </c>
    </row>
    <row r="956" spans="1:35" x14ac:dyDescent="0.35">
      <c r="A956" t="s">
        <v>0</v>
      </c>
      <c r="B956">
        <v>7250</v>
      </c>
      <c r="C956">
        <v>10</v>
      </c>
      <c r="D956">
        <v>3424</v>
      </c>
      <c r="E956">
        <v>0</v>
      </c>
      <c r="F956">
        <v>91269706242</v>
      </c>
      <c r="G956">
        <v>77237354.530000001</v>
      </c>
      <c r="H956">
        <v>88742431696.479996</v>
      </c>
      <c r="I956">
        <v>90808000029.940002</v>
      </c>
      <c r="J956">
        <v>0.27857700000000002</v>
      </c>
      <c r="K956">
        <v>4.9395000000000001E-2</v>
      </c>
      <c r="M956" t="s">
        <v>2</v>
      </c>
      <c r="N956">
        <v>6000</v>
      </c>
      <c r="O956">
        <v>7</v>
      </c>
      <c r="P956">
        <v>174</v>
      </c>
      <c r="Q956">
        <v>0</v>
      </c>
      <c r="R956">
        <v>4091477921</v>
      </c>
      <c r="S956">
        <v>4286848.46</v>
      </c>
      <c r="T956">
        <v>4080705296.9699998</v>
      </c>
      <c r="U956">
        <v>4086493145.3699999</v>
      </c>
      <c r="V956">
        <v>1.8856999999999999E-2</v>
      </c>
      <c r="W956">
        <v>2.0449999999999999E-3</v>
      </c>
      <c r="Y956" t="s">
        <v>0</v>
      </c>
      <c r="Z956">
        <v>7750</v>
      </c>
      <c r="AA956">
        <v>12</v>
      </c>
      <c r="AB956">
        <v>1648</v>
      </c>
      <c r="AC956">
        <v>0</v>
      </c>
      <c r="AD956">
        <v>43602634894</v>
      </c>
      <c r="AE956">
        <v>33696796.119999997</v>
      </c>
      <c r="AF956">
        <v>42557045127</v>
      </c>
      <c r="AG956">
        <v>43365613460.650002</v>
      </c>
      <c r="AH956">
        <v>0.24555099999999999</v>
      </c>
      <c r="AI956">
        <v>5.4544000000000002E-2</v>
      </c>
    </row>
    <row r="957" spans="1:35" x14ac:dyDescent="0.35">
      <c r="A957" t="s">
        <v>0</v>
      </c>
      <c r="B957">
        <v>6750</v>
      </c>
      <c r="C957">
        <v>10</v>
      </c>
      <c r="D957">
        <v>11801</v>
      </c>
      <c r="E957">
        <v>0</v>
      </c>
      <c r="F957">
        <v>351013501056</v>
      </c>
      <c r="G957">
        <v>326715688.10000002</v>
      </c>
      <c r="H957">
        <v>340354627683.28003</v>
      </c>
      <c r="I957">
        <v>349058394480.35999</v>
      </c>
      <c r="J957">
        <v>0.30129400000000001</v>
      </c>
      <c r="K957">
        <v>5.4271E-2</v>
      </c>
      <c r="M957" t="s">
        <v>1</v>
      </c>
      <c r="N957">
        <v>6500</v>
      </c>
      <c r="O957">
        <v>7</v>
      </c>
      <c r="P957">
        <v>3779</v>
      </c>
      <c r="Q957">
        <v>0</v>
      </c>
      <c r="R957">
        <v>143195354689</v>
      </c>
      <c r="S957">
        <v>136560081.09</v>
      </c>
      <c r="T957">
        <v>111022651504.56</v>
      </c>
      <c r="U957">
        <v>142918364337.79999</v>
      </c>
      <c r="V957">
        <v>0.95211500000000004</v>
      </c>
      <c r="W957">
        <v>1.1705E-2</v>
      </c>
      <c r="Y957" t="s">
        <v>2</v>
      </c>
      <c r="Z957">
        <v>6750</v>
      </c>
      <c r="AA957">
        <v>10</v>
      </c>
      <c r="AB957">
        <v>506</v>
      </c>
      <c r="AC957">
        <v>0</v>
      </c>
      <c r="AD957">
        <v>9036543144</v>
      </c>
      <c r="AE957">
        <v>8411139.25</v>
      </c>
      <c r="AF957">
        <v>8967475782</v>
      </c>
      <c r="AG957">
        <v>9004119343.1200008</v>
      </c>
      <c r="AH957">
        <v>7.7640000000000001E-2</v>
      </c>
      <c r="AI957">
        <v>3.1425000000000002E-2</v>
      </c>
    </row>
    <row r="958" spans="1:35" x14ac:dyDescent="0.35">
      <c r="A958" t="s">
        <v>1</v>
      </c>
      <c r="B958">
        <v>7250</v>
      </c>
      <c r="C958">
        <v>10</v>
      </c>
      <c r="D958">
        <v>860</v>
      </c>
      <c r="E958">
        <v>0</v>
      </c>
      <c r="F958">
        <v>23592569995</v>
      </c>
      <c r="G958">
        <v>20007675.100000001</v>
      </c>
      <c r="H958">
        <v>21300211336.32</v>
      </c>
      <c r="I958">
        <v>23405881444.790001</v>
      </c>
      <c r="J958">
        <v>0.70338199999999995</v>
      </c>
      <c r="K958">
        <v>8.1561999999999996E-2</v>
      </c>
      <c r="M958" t="s">
        <v>0</v>
      </c>
      <c r="N958">
        <v>6500</v>
      </c>
      <c r="O958">
        <v>7</v>
      </c>
      <c r="P958">
        <v>7540</v>
      </c>
      <c r="Q958">
        <v>0</v>
      </c>
      <c r="R958">
        <v>231898687168</v>
      </c>
      <c r="S958">
        <v>220913991.78999999</v>
      </c>
      <c r="T958">
        <v>225171624120.47</v>
      </c>
      <c r="U958">
        <v>231309541117.25</v>
      </c>
      <c r="V958">
        <v>0.28928599999999999</v>
      </c>
      <c r="W958">
        <v>1.8889E-2</v>
      </c>
      <c r="Y958" t="s">
        <v>0</v>
      </c>
      <c r="Z958">
        <v>7250</v>
      </c>
      <c r="AA958">
        <v>10</v>
      </c>
      <c r="AB958">
        <v>2750</v>
      </c>
      <c r="AC958">
        <v>0</v>
      </c>
      <c r="AD958">
        <v>72936339019</v>
      </c>
      <c r="AE958">
        <v>61722679.119999997</v>
      </c>
      <c r="AF958">
        <v>70709155946</v>
      </c>
      <c r="AG958">
        <v>72450914959.440002</v>
      </c>
      <c r="AH958">
        <v>0.30348999999999998</v>
      </c>
      <c r="AI958">
        <v>6.7526000000000003E-2</v>
      </c>
    </row>
    <row r="959" spans="1:35" x14ac:dyDescent="0.35">
      <c r="A959" t="s">
        <v>0</v>
      </c>
      <c r="B959">
        <v>7500</v>
      </c>
      <c r="C959">
        <v>10</v>
      </c>
      <c r="D959">
        <v>925</v>
      </c>
      <c r="E959">
        <v>0</v>
      </c>
      <c r="F959">
        <v>23260529842</v>
      </c>
      <c r="G959">
        <v>18752463.329999998</v>
      </c>
      <c r="H959">
        <v>22619680114.200001</v>
      </c>
      <c r="I959">
        <v>23124767481.07</v>
      </c>
      <c r="J959">
        <v>0.277694</v>
      </c>
      <c r="K959">
        <v>5.8722000000000003E-2</v>
      </c>
      <c r="M959" t="s">
        <v>2</v>
      </c>
      <c r="N959">
        <v>6500</v>
      </c>
      <c r="O959">
        <v>7</v>
      </c>
      <c r="P959">
        <v>485</v>
      </c>
      <c r="Q959">
        <v>0</v>
      </c>
      <c r="R959">
        <v>10329141706</v>
      </c>
      <c r="S959">
        <v>9862564.3800000008</v>
      </c>
      <c r="T959">
        <v>10298910490.43</v>
      </c>
      <c r="U959">
        <v>10318081875.639999</v>
      </c>
      <c r="V959">
        <v>2.3408999999999999E-2</v>
      </c>
      <c r="W959">
        <v>1.39E-3</v>
      </c>
      <c r="Y959" t="s">
        <v>1</v>
      </c>
      <c r="Z959">
        <v>7250</v>
      </c>
      <c r="AA959">
        <v>10</v>
      </c>
      <c r="AB959">
        <v>673</v>
      </c>
      <c r="AC959">
        <v>0</v>
      </c>
      <c r="AD959">
        <v>18742663887</v>
      </c>
      <c r="AE959">
        <v>15877688.800000001</v>
      </c>
      <c r="AF959">
        <v>17063765795</v>
      </c>
      <c r="AG959">
        <v>18353766013.810001</v>
      </c>
      <c r="AH959">
        <v>0.67207899999999998</v>
      </c>
      <c r="AI959">
        <v>0.21434300000000001</v>
      </c>
    </row>
    <row r="960" spans="1:35" x14ac:dyDescent="0.35">
      <c r="A960" t="s">
        <v>1</v>
      </c>
      <c r="B960">
        <v>6500</v>
      </c>
      <c r="C960">
        <v>9</v>
      </c>
      <c r="D960">
        <v>2638</v>
      </c>
      <c r="E960">
        <v>0</v>
      </c>
      <c r="F960">
        <v>92536663916</v>
      </c>
      <c r="G960">
        <v>89187195.689999998</v>
      </c>
      <c r="H960">
        <v>84142997292.619995</v>
      </c>
      <c r="I960">
        <v>92268900716.509995</v>
      </c>
      <c r="J960">
        <v>0.67642800000000003</v>
      </c>
      <c r="K960">
        <v>2.2912999999999999E-2</v>
      </c>
      <c r="M960" t="s">
        <v>1</v>
      </c>
      <c r="N960">
        <v>6000</v>
      </c>
      <c r="O960">
        <v>6</v>
      </c>
      <c r="P960">
        <v>5801</v>
      </c>
      <c r="Q960">
        <v>0</v>
      </c>
      <c r="R960">
        <v>242929994051</v>
      </c>
      <c r="S960">
        <v>252719358.59999999</v>
      </c>
      <c r="T960">
        <v>240614034670.73001</v>
      </c>
      <c r="U960">
        <v>242586343811.48001</v>
      </c>
      <c r="V960">
        <v>9.7289E-2</v>
      </c>
      <c r="W960">
        <v>4.4819999999999999E-3</v>
      </c>
      <c r="Y960" t="s">
        <v>0</v>
      </c>
      <c r="Z960">
        <v>7000</v>
      </c>
      <c r="AA960">
        <v>9</v>
      </c>
      <c r="AB960">
        <v>3890</v>
      </c>
      <c r="AC960">
        <v>0</v>
      </c>
      <c r="AD960">
        <v>103507610342</v>
      </c>
      <c r="AE960">
        <v>91051941.579999998</v>
      </c>
      <c r="AF960">
        <v>101318976071</v>
      </c>
      <c r="AG960">
        <v>102813115088.86</v>
      </c>
      <c r="AH960">
        <v>0.21782599999999999</v>
      </c>
      <c r="AI960">
        <v>6.7759E-2</v>
      </c>
    </row>
    <row r="961" spans="1:35" x14ac:dyDescent="0.35">
      <c r="A961" t="s">
        <v>0</v>
      </c>
      <c r="B961">
        <v>6750</v>
      </c>
      <c r="C961">
        <v>9</v>
      </c>
      <c r="D961">
        <v>13581</v>
      </c>
      <c r="E961">
        <v>0</v>
      </c>
      <c r="F961">
        <v>394313323945</v>
      </c>
      <c r="G961">
        <v>365203295.05000001</v>
      </c>
      <c r="H961">
        <v>382290920996.26001</v>
      </c>
      <c r="I961">
        <v>391713347493.64001</v>
      </c>
      <c r="J961">
        <v>0.3024</v>
      </c>
      <c r="K961">
        <v>6.5930000000000002E-2</v>
      </c>
      <c r="M961" t="s">
        <v>2</v>
      </c>
      <c r="N961">
        <v>6000</v>
      </c>
      <c r="O961">
        <v>6</v>
      </c>
      <c r="P961">
        <v>263</v>
      </c>
      <c r="Q961">
        <v>0</v>
      </c>
      <c r="R961">
        <v>5748269966</v>
      </c>
      <c r="S961">
        <v>5986272.1500000004</v>
      </c>
      <c r="T961">
        <v>5737973820.9099998</v>
      </c>
      <c r="U961">
        <v>5741766965.4200001</v>
      </c>
      <c r="V961">
        <v>8.9599999999999992E-3</v>
      </c>
      <c r="W961">
        <v>1.078E-3</v>
      </c>
      <c r="Y961" t="s">
        <v>0</v>
      </c>
      <c r="Z961">
        <v>7250</v>
      </c>
      <c r="AA961">
        <v>9</v>
      </c>
      <c r="AB961">
        <v>3508</v>
      </c>
      <c r="AC961">
        <v>0</v>
      </c>
      <c r="AD961">
        <v>94002075980</v>
      </c>
      <c r="AE961">
        <v>79008604.510000005</v>
      </c>
      <c r="AF961">
        <v>91288206242</v>
      </c>
      <c r="AG961">
        <v>93434261797.270004</v>
      </c>
      <c r="AH961">
        <v>0.28905599999999998</v>
      </c>
      <c r="AI961">
        <v>6.0644999999999998E-2</v>
      </c>
    </row>
    <row r="962" spans="1:35" x14ac:dyDescent="0.35">
      <c r="A962" t="s">
        <v>0</v>
      </c>
      <c r="B962">
        <v>7250</v>
      </c>
      <c r="C962">
        <v>9</v>
      </c>
      <c r="D962">
        <v>3393</v>
      </c>
      <c r="E962">
        <v>0</v>
      </c>
      <c r="F962">
        <v>88504803181</v>
      </c>
      <c r="G962">
        <v>74370816.5</v>
      </c>
      <c r="H962">
        <v>86031710911.479996</v>
      </c>
      <c r="I962">
        <v>88091755565.179993</v>
      </c>
      <c r="J962">
        <v>0.28087600000000001</v>
      </c>
      <c r="K962">
        <v>4.4965999999999999E-2</v>
      </c>
      <c r="M962" t="s">
        <v>2</v>
      </c>
      <c r="N962">
        <v>6000</v>
      </c>
      <c r="O962">
        <v>5</v>
      </c>
      <c r="P962">
        <v>2144</v>
      </c>
      <c r="Q962">
        <v>0</v>
      </c>
      <c r="R962">
        <v>48863800000</v>
      </c>
      <c r="S962">
        <v>49806553.710000001</v>
      </c>
      <c r="T962">
        <v>48796622376.040001</v>
      </c>
      <c r="U962">
        <v>48812929272.980003</v>
      </c>
      <c r="V962">
        <v>4.2579999999999996E-3</v>
      </c>
      <c r="W962">
        <v>2.61E-4</v>
      </c>
      <c r="Y962" t="s">
        <v>0</v>
      </c>
      <c r="Z962">
        <v>7500</v>
      </c>
      <c r="AA962">
        <v>10</v>
      </c>
      <c r="AB962">
        <v>760</v>
      </c>
      <c r="AC962">
        <v>0</v>
      </c>
      <c r="AD962">
        <v>19435729036</v>
      </c>
      <c r="AE962">
        <v>15653785.32</v>
      </c>
      <c r="AF962">
        <v>18823434026</v>
      </c>
      <c r="AG962">
        <v>19239925153.290001</v>
      </c>
      <c r="AH962">
        <v>0.31212699999999999</v>
      </c>
      <c r="AI962">
        <v>0.105729</v>
      </c>
    </row>
    <row r="963" spans="1:35" x14ac:dyDescent="0.35">
      <c r="A963" t="s">
        <v>1</v>
      </c>
      <c r="B963">
        <v>5500</v>
      </c>
      <c r="C963">
        <v>10</v>
      </c>
      <c r="D963">
        <v>537</v>
      </c>
      <c r="E963">
        <v>0</v>
      </c>
      <c r="F963">
        <v>21016725442</v>
      </c>
      <c r="G963">
        <v>24532591.73</v>
      </c>
      <c r="H963">
        <v>20784811962.209999</v>
      </c>
      <c r="I963">
        <v>20973836036.200001</v>
      </c>
      <c r="J963">
        <v>0.11219</v>
      </c>
      <c r="K963">
        <v>1.0430999999999999E-2</v>
      </c>
      <c r="M963" t="s">
        <v>0</v>
      </c>
      <c r="N963">
        <v>6500</v>
      </c>
      <c r="O963">
        <v>6</v>
      </c>
      <c r="P963">
        <v>9350</v>
      </c>
      <c r="Q963">
        <v>0</v>
      </c>
      <c r="R963">
        <v>284491284871</v>
      </c>
      <c r="S963">
        <v>269481351.86000001</v>
      </c>
      <c r="T963">
        <v>277981528805.39001</v>
      </c>
      <c r="U963">
        <v>283916620192.32001</v>
      </c>
      <c r="V963">
        <v>0.23367399999999999</v>
      </c>
      <c r="W963">
        <v>1.2796999999999999E-2</v>
      </c>
      <c r="Y963" t="s">
        <v>1</v>
      </c>
      <c r="Z963">
        <v>6500</v>
      </c>
      <c r="AA963">
        <v>10</v>
      </c>
      <c r="AB963">
        <v>1831</v>
      </c>
      <c r="AC963">
        <v>0</v>
      </c>
      <c r="AD963">
        <v>64713225426</v>
      </c>
      <c r="AE963">
        <v>62956730.310000002</v>
      </c>
      <c r="AF963">
        <v>61400118641</v>
      </c>
      <c r="AG963">
        <v>64526598184.620003</v>
      </c>
      <c r="AH963">
        <v>0.46116600000000002</v>
      </c>
      <c r="AI963">
        <v>2.2693000000000001E-2</v>
      </c>
    </row>
    <row r="964" spans="1:35" x14ac:dyDescent="0.35">
      <c r="A964" t="s">
        <v>1</v>
      </c>
      <c r="B964">
        <v>5750</v>
      </c>
      <c r="C964">
        <v>10</v>
      </c>
      <c r="D964">
        <v>1846</v>
      </c>
      <c r="E964">
        <v>0</v>
      </c>
      <c r="F964">
        <v>74415689828</v>
      </c>
      <c r="G964">
        <v>83108901.739999995</v>
      </c>
      <c r="H964">
        <v>71600284935.210007</v>
      </c>
      <c r="I964">
        <v>74176132732.009995</v>
      </c>
      <c r="J964">
        <v>0.36166500000000001</v>
      </c>
      <c r="K964">
        <v>2.4938999999999999E-2</v>
      </c>
      <c r="M964" t="s">
        <v>0</v>
      </c>
      <c r="N964">
        <v>6500</v>
      </c>
      <c r="O964">
        <v>5</v>
      </c>
      <c r="P964">
        <v>65157</v>
      </c>
      <c r="Q964">
        <v>0</v>
      </c>
      <c r="R964">
        <v>1996113500000</v>
      </c>
      <c r="S964">
        <v>1854183374.4100001</v>
      </c>
      <c r="T964">
        <v>1990219271732.3201</v>
      </c>
      <c r="U964">
        <v>1993713016442.28</v>
      </c>
      <c r="V964">
        <v>2.4018999999999999E-2</v>
      </c>
      <c r="W964">
        <v>3.2789999999999998E-3</v>
      </c>
      <c r="Y964" t="s">
        <v>0</v>
      </c>
      <c r="Z964">
        <v>6750</v>
      </c>
      <c r="AA964">
        <v>9</v>
      </c>
      <c r="AB964">
        <v>12089</v>
      </c>
      <c r="AC964">
        <v>0</v>
      </c>
      <c r="AD964">
        <v>361362409757</v>
      </c>
      <c r="AE964">
        <v>334174327.73000002</v>
      </c>
      <c r="AF964">
        <v>351019001056</v>
      </c>
      <c r="AG964">
        <v>360247993134.17999</v>
      </c>
      <c r="AH964">
        <v>0.28614400000000001</v>
      </c>
      <c r="AI964">
        <v>2.5604999999999999E-2</v>
      </c>
    </row>
    <row r="965" spans="1:35" x14ac:dyDescent="0.35">
      <c r="A965" t="s">
        <v>2</v>
      </c>
      <c r="B965">
        <v>6250</v>
      </c>
      <c r="C965">
        <v>10</v>
      </c>
      <c r="D965">
        <v>463</v>
      </c>
      <c r="E965">
        <v>0</v>
      </c>
      <c r="F965">
        <v>9740045924</v>
      </c>
      <c r="G965">
        <v>9910572.8100000005</v>
      </c>
      <c r="H965">
        <v>9703696504.5599995</v>
      </c>
      <c r="I965">
        <v>9720826133.0400009</v>
      </c>
      <c r="J965">
        <v>3.2091000000000001E-2</v>
      </c>
      <c r="K965">
        <v>1.1409000000000001E-2</v>
      </c>
      <c r="M965" t="s">
        <v>2</v>
      </c>
      <c r="N965">
        <v>6500</v>
      </c>
      <c r="O965">
        <v>5</v>
      </c>
      <c r="P965">
        <v>4161</v>
      </c>
      <c r="Q965">
        <v>0</v>
      </c>
      <c r="R965">
        <v>84467500000</v>
      </c>
      <c r="S965">
        <v>78579402.519999996</v>
      </c>
      <c r="T965">
        <v>84358846040.169998</v>
      </c>
      <c r="U965">
        <v>84386293706.660004</v>
      </c>
      <c r="V965">
        <v>4.2640000000000004E-3</v>
      </c>
      <c r="W965">
        <v>3.7300000000000001E-4</v>
      </c>
      <c r="Y965" t="s">
        <v>1</v>
      </c>
      <c r="Z965">
        <v>7250</v>
      </c>
      <c r="AA965">
        <v>9</v>
      </c>
      <c r="AB965">
        <v>1002</v>
      </c>
      <c r="AC965">
        <v>0</v>
      </c>
      <c r="AD965">
        <v>27799910053</v>
      </c>
      <c r="AE965">
        <v>23409041.27</v>
      </c>
      <c r="AF965">
        <v>23592569995</v>
      </c>
      <c r="AG965">
        <v>27609143862.43</v>
      </c>
      <c r="AH965">
        <v>0.85876200000000003</v>
      </c>
      <c r="AI965">
        <v>6.9896E-2</v>
      </c>
    </row>
    <row r="966" spans="1:35" x14ac:dyDescent="0.35">
      <c r="A966" t="s">
        <v>0</v>
      </c>
      <c r="B966">
        <v>6250</v>
      </c>
      <c r="C966">
        <v>10</v>
      </c>
      <c r="D966">
        <v>9045</v>
      </c>
      <c r="E966">
        <v>0</v>
      </c>
      <c r="F966">
        <v>301918613198</v>
      </c>
      <c r="G966">
        <v>307517831.30000001</v>
      </c>
      <c r="H966">
        <v>295851292288.08002</v>
      </c>
      <c r="I966">
        <v>300807487555.90002</v>
      </c>
      <c r="J966">
        <v>0.206372</v>
      </c>
      <c r="K966">
        <v>3.1476999999999998E-2</v>
      </c>
      <c r="M966" t="s">
        <v>2</v>
      </c>
      <c r="N966">
        <v>6500</v>
      </c>
      <c r="O966">
        <v>6</v>
      </c>
      <c r="P966">
        <v>632</v>
      </c>
      <c r="Q966">
        <v>0</v>
      </c>
      <c r="R966">
        <v>12720238911</v>
      </c>
      <c r="S966">
        <v>12083654.220000001</v>
      </c>
      <c r="T966">
        <v>12688990878.559999</v>
      </c>
      <c r="U966">
        <v>12706949293.440001</v>
      </c>
      <c r="V966">
        <v>1.7930000000000001E-2</v>
      </c>
      <c r="W966">
        <v>1.137E-3</v>
      </c>
      <c r="Y966" t="s">
        <v>0</v>
      </c>
      <c r="Z966">
        <v>7500</v>
      </c>
      <c r="AA966">
        <v>9</v>
      </c>
      <c r="AB966">
        <v>965</v>
      </c>
      <c r="AC966">
        <v>0</v>
      </c>
      <c r="AD966">
        <v>24479868792</v>
      </c>
      <c r="AE966">
        <v>19593516.510000002</v>
      </c>
      <c r="AF966">
        <v>23260529842</v>
      </c>
      <c r="AG966">
        <v>24251852374.57</v>
      </c>
      <c r="AH966">
        <v>0.45284000000000002</v>
      </c>
      <c r="AI966">
        <v>9.7517999999999994E-2</v>
      </c>
    </row>
    <row r="967" spans="1:35" x14ac:dyDescent="0.35">
      <c r="A967" t="s">
        <v>1</v>
      </c>
      <c r="B967">
        <v>6250</v>
      </c>
      <c r="C967">
        <v>10</v>
      </c>
      <c r="D967">
        <v>5416</v>
      </c>
      <c r="E967">
        <v>0</v>
      </c>
      <c r="F967">
        <v>212137983433</v>
      </c>
      <c r="G967">
        <v>216133581.19</v>
      </c>
      <c r="H967">
        <v>200220062978.42999</v>
      </c>
      <c r="I967">
        <v>211461239387.17999</v>
      </c>
      <c r="J967">
        <v>0.493834</v>
      </c>
      <c r="K967">
        <v>2.5746000000000002E-2</v>
      </c>
      <c r="M967" t="s">
        <v>1</v>
      </c>
      <c r="N967">
        <v>6500</v>
      </c>
      <c r="O967">
        <v>5</v>
      </c>
      <c r="P967">
        <v>29518</v>
      </c>
      <c r="Q967">
        <v>0</v>
      </c>
      <c r="R967">
        <v>1101161600000</v>
      </c>
      <c r="S967">
        <v>1019404368.6900001</v>
      </c>
      <c r="T967">
        <v>1097606692101.51</v>
      </c>
      <c r="U967">
        <v>1100028444389.97</v>
      </c>
      <c r="V967">
        <v>2.7283999999999999E-2</v>
      </c>
      <c r="W967">
        <v>1.2390000000000001E-3</v>
      </c>
      <c r="Y967" t="s">
        <v>1</v>
      </c>
      <c r="Z967">
        <v>6500</v>
      </c>
      <c r="AA967">
        <v>8</v>
      </c>
      <c r="AB967">
        <v>2837</v>
      </c>
      <c r="AC967">
        <v>0</v>
      </c>
      <c r="AD967">
        <v>100273298871</v>
      </c>
      <c r="AE967">
        <v>96024031.260000005</v>
      </c>
      <c r="AF967">
        <v>92536663916</v>
      </c>
      <c r="AG967">
        <v>99954381851.509995</v>
      </c>
      <c r="AH967">
        <v>0.61368</v>
      </c>
      <c r="AI967">
        <v>2.6350999999999999E-2</v>
      </c>
    </row>
    <row r="968" spans="1:35" x14ac:dyDescent="0.35">
      <c r="A968" t="s">
        <v>1</v>
      </c>
      <c r="B968">
        <v>7000</v>
      </c>
      <c r="C968">
        <v>10</v>
      </c>
      <c r="D968">
        <v>690</v>
      </c>
      <c r="E968">
        <v>0</v>
      </c>
      <c r="F968">
        <v>19722740946</v>
      </c>
      <c r="G968">
        <v>17488158.710000001</v>
      </c>
      <c r="H968">
        <v>17856410565.360001</v>
      </c>
      <c r="I968">
        <v>19595219842.639999</v>
      </c>
      <c r="J968">
        <v>0.69308099999999995</v>
      </c>
      <c r="K968">
        <v>6.4931000000000003E-2</v>
      </c>
      <c r="M968" t="s">
        <v>2</v>
      </c>
      <c r="N968">
        <v>6250</v>
      </c>
      <c r="O968">
        <v>12</v>
      </c>
      <c r="P968">
        <v>1406</v>
      </c>
      <c r="Q968">
        <v>0</v>
      </c>
      <c r="R968">
        <v>26564740617</v>
      </c>
      <c r="S968">
        <v>27354095.219999999</v>
      </c>
      <c r="T968">
        <v>26419983578.619999</v>
      </c>
      <c r="U968">
        <v>26520475519.939999</v>
      </c>
      <c r="V968">
        <v>5.1763999999999998E-2</v>
      </c>
      <c r="W968">
        <v>7.6119999999999998E-3</v>
      </c>
      <c r="Y968" t="s">
        <v>0</v>
      </c>
      <c r="Z968">
        <v>6750</v>
      </c>
      <c r="AA968">
        <v>8</v>
      </c>
      <c r="AB968">
        <v>13942</v>
      </c>
      <c r="AC968">
        <v>0</v>
      </c>
      <c r="AD968">
        <v>406779972321</v>
      </c>
      <c r="AE968">
        <v>374320929.23000002</v>
      </c>
      <c r="AF968">
        <v>394410223945</v>
      </c>
      <c r="AG968">
        <v>405532083031.40997</v>
      </c>
      <c r="AH968">
        <v>0.30175600000000002</v>
      </c>
      <c r="AI968">
        <v>2.5468000000000001E-2</v>
      </c>
    </row>
    <row r="969" spans="1:35" x14ac:dyDescent="0.35">
      <c r="A969" t="s">
        <v>2</v>
      </c>
      <c r="B969">
        <v>6250</v>
      </c>
      <c r="C969">
        <v>12</v>
      </c>
      <c r="D969">
        <v>1136</v>
      </c>
      <c r="E969">
        <v>0</v>
      </c>
      <c r="F969">
        <v>23396488969</v>
      </c>
      <c r="G969">
        <v>24085704.510000002</v>
      </c>
      <c r="H969">
        <v>23278569714.139999</v>
      </c>
      <c r="I969">
        <v>23358824699.439999</v>
      </c>
      <c r="J969">
        <v>4.7079000000000003E-2</v>
      </c>
      <c r="K969">
        <v>6.9420000000000003E-3</v>
      </c>
      <c r="M969" t="s">
        <v>2</v>
      </c>
      <c r="N969">
        <v>6750</v>
      </c>
      <c r="O969">
        <v>12</v>
      </c>
      <c r="P969">
        <v>703</v>
      </c>
      <c r="Q969">
        <v>0</v>
      </c>
      <c r="R969">
        <v>11378260677</v>
      </c>
      <c r="S969">
        <v>10704088.66</v>
      </c>
      <c r="T969">
        <v>11295654262.690001</v>
      </c>
      <c r="U969">
        <v>11356759909.66</v>
      </c>
      <c r="V969">
        <v>7.3249999999999996E-2</v>
      </c>
      <c r="W969">
        <v>1.1327E-2</v>
      </c>
      <c r="Y969" t="s">
        <v>0</v>
      </c>
      <c r="Z969">
        <v>7250</v>
      </c>
      <c r="AA969">
        <v>8</v>
      </c>
      <c r="AB969">
        <v>3508</v>
      </c>
      <c r="AC969">
        <v>0</v>
      </c>
      <c r="AD969">
        <v>92421171334</v>
      </c>
      <c r="AE969">
        <v>77125290.549999997</v>
      </c>
      <c r="AF969">
        <v>88462003181</v>
      </c>
      <c r="AG969">
        <v>91597921548.619995</v>
      </c>
      <c r="AH969">
        <v>0.40246199999999999</v>
      </c>
      <c r="AI969">
        <v>9.2688999999999994E-2</v>
      </c>
    </row>
    <row r="970" spans="1:35" x14ac:dyDescent="0.35">
      <c r="A970" t="s">
        <v>2</v>
      </c>
      <c r="B970">
        <v>7500</v>
      </c>
      <c r="C970">
        <v>12</v>
      </c>
      <c r="D970">
        <v>24</v>
      </c>
      <c r="E970">
        <v>0</v>
      </c>
      <c r="F970">
        <v>371216512</v>
      </c>
      <c r="G970">
        <v>303045.36</v>
      </c>
      <c r="H970">
        <v>366550498</v>
      </c>
      <c r="I970">
        <v>369877212.56</v>
      </c>
      <c r="J970">
        <v>0.132269</v>
      </c>
      <c r="K970">
        <v>3.2988999999999997E-2</v>
      </c>
      <c r="M970" t="s">
        <v>1</v>
      </c>
      <c r="N970">
        <v>6750</v>
      </c>
      <c r="O970">
        <v>12</v>
      </c>
      <c r="P970">
        <v>3957</v>
      </c>
      <c r="Q970">
        <v>0</v>
      </c>
      <c r="R970">
        <v>117412367306</v>
      </c>
      <c r="S970">
        <v>110493515.94</v>
      </c>
      <c r="T970">
        <v>106077254415.85001</v>
      </c>
      <c r="U970">
        <v>116472927849.47</v>
      </c>
      <c r="V970">
        <v>0.70054799999999995</v>
      </c>
      <c r="W970">
        <v>8.1507999999999997E-2</v>
      </c>
      <c r="Y970" t="s">
        <v>1</v>
      </c>
      <c r="Z970">
        <v>6250</v>
      </c>
      <c r="AA970">
        <v>10</v>
      </c>
      <c r="AB970">
        <v>5873</v>
      </c>
      <c r="AC970">
        <v>0</v>
      </c>
      <c r="AD970">
        <v>221088448447</v>
      </c>
      <c r="AE970">
        <v>225305703.97999999</v>
      </c>
      <c r="AF970">
        <v>211205693783</v>
      </c>
      <c r="AG970">
        <v>220361942507.67999</v>
      </c>
      <c r="AH970">
        <v>0.41489799999999999</v>
      </c>
      <c r="AI970">
        <v>2.6866999999999999E-2</v>
      </c>
    </row>
    <row r="971" spans="1:35" x14ac:dyDescent="0.35">
      <c r="A971" t="s">
        <v>0</v>
      </c>
      <c r="B971">
        <v>7000</v>
      </c>
      <c r="C971">
        <v>9</v>
      </c>
      <c r="D971">
        <v>3397</v>
      </c>
      <c r="E971">
        <v>0</v>
      </c>
      <c r="F971">
        <v>89224750731</v>
      </c>
      <c r="G971">
        <v>78648951.150000006</v>
      </c>
      <c r="H971">
        <v>86816156993.210007</v>
      </c>
      <c r="I971">
        <v>88701838409.399994</v>
      </c>
      <c r="J971">
        <v>0.27205000000000001</v>
      </c>
      <c r="K971">
        <v>5.8139999999999997E-2</v>
      </c>
      <c r="M971" t="s">
        <v>2</v>
      </c>
      <c r="N971">
        <v>5750</v>
      </c>
      <c r="O971">
        <v>10</v>
      </c>
      <c r="P971">
        <v>340</v>
      </c>
      <c r="Q971">
        <v>0</v>
      </c>
      <c r="R971">
        <v>7335319030</v>
      </c>
      <c r="S971">
        <v>8191353.4800000004</v>
      </c>
      <c r="T971">
        <v>7315677352.3400002</v>
      </c>
      <c r="U971">
        <v>7325003698.8199997</v>
      </c>
      <c r="V971">
        <v>1.8572000000000002E-2</v>
      </c>
      <c r="W971">
        <v>3.4689999999999999E-3</v>
      </c>
      <c r="Y971" t="s">
        <v>1</v>
      </c>
      <c r="Z971">
        <v>5500</v>
      </c>
      <c r="AA971">
        <v>9</v>
      </c>
      <c r="AB971">
        <v>539</v>
      </c>
      <c r="AC971">
        <v>0</v>
      </c>
      <c r="AD971">
        <v>21164313382</v>
      </c>
      <c r="AE971">
        <v>24563832.190000001</v>
      </c>
      <c r="AF971">
        <v>21016725442</v>
      </c>
      <c r="AG971">
        <v>21108666472.84</v>
      </c>
      <c r="AH971">
        <v>6.7566000000000001E-2</v>
      </c>
      <c r="AI971">
        <v>1.7482000000000001E-2</v>
      </c>
    </row>
    <row r="972" spans="1:35" x14ac:dyDescent="0.35">
      <c r="A972" t="s">
        <v>1</v>
      </c>
      <c r="B972">
        <v>6500</v>
      </c>
      <c r="C972">
        <v>8</v>
      </c>
      <c r="D972">
        <v>2841</v>
      </c>
      <c r="E972">
        <v>0</v>
      </c>
      <c r="F972">
        <v>95939194100</v>
      </c>
      <c r="G972">
        <v>91858825.459999993</v>
      </c>
      <c r="H972">
        <v>83755309182.979996</v>
      </c>
      <c r="I972">
        <v>95702013177.350006</v>
      </c>
      <c r="J972">
        <v>0.80143299999999995</v>
      </c>
      <c r="K972">
        <v>1.8026E-2</v>
      </c>
      <c r="M972" t="s">
        <v>1</v>
      </c>
      <c r="N972">
        <v>5750</v>
      </c>
      <c r="O972">
        <v>10</v>
      </c>
      <c r="P972">
        <v>8350</v>
      </c>
      <c r="Q972">
        <v>0</v>
      </c>
      <c r="R972">
        <v>329959395912</v>
      </c>
      <c r="S972">
        <v>368320768.51999998</v>
      </c>
      <c r="T972">
        <v>321977873011.33002</v>
      </c>
      <c r="U972">
        <v>329234821069.22998</v>
      </c>
      <c r="V972">
        <v>0.244308</v>
      </c>
      <c r="W972">
        <v>1.2880000000000001E-2</v>
      </c>
      <c r="Y972" t="s">
        <v>1</v>
      </c>
      <c r="Z972">
        <v>5750</v>
      </c>
      <c r="AA972">
        <v>10</v>
      </c>
      <c r="AB972">
        <v>3841</v>
      </c>
      <c r="AC972">
        <v>0</v>
      </c>
      <c r="AD972">
        <v>154483479073</v>
      </c>
      <c r="AE972">
        <v>172044616.78999999</v>
      </c>
      <c r="AF972">
        <v>150208625767</v>
      </c>
      <c r="AG972">
        <v>154080197311.13</v>
      </c>
      <c r="AH972">
        <v>0.27603100000000003</v>
      </c>
      <c r="AI972">
        <v>1.7815000000000001E-2</v>
      </c>
    </row>
    <row r="973" spans="1:35" x14ac:dyDescent="0.35">
      <c r="A973" t="s">
        <v>0</v>
      </c>
      <c r="B973">
        <v>6750</v>
      </c>
      <c r="C973">
        <v>8</v>
      </c>
      <c r="D973">
        <v>13014</v>
      </c>
      <c r="E973">
        <v>0</v>
      </c>
      <c r="F973">
        <v>384022823502</v>
      </c>
      <c r="G973">
        <v>353903647.69999999</v>
      </c>
      <c r="H973">
        <v>370990185807.90997</v>
      </c>
      <c r="I973">
        <v>381477599219.17999</v>
      </c>
      <c r="J973">
        <v>0.33160400000000001</v>
      </c>
      <c r="K973">
        <v>6.6365999999999994E-2</v>
      </c>
      <c r="M973" t="s">
        <v>0</v>
      </c>
      <c r="N973">
        <v>6250</v>
      </c>
      <c r="O973">
        <v>10</v>
      </c>
      <c r="P973">
        <v>14550</v>
      </c>
      <c r="Q973">
        <v>0</v>
      </c>
      <c r="R973">
        <v>467147242261</v>
      </c>
      <c r="S973">
        <v>475575601.50999999</v>
      </c>
      <c r="T973">
        <v>460848364639.27002</v>
      </c>
      <c r="U973">
        <v>465472467137.15002</v>
      </c>
      <c r="V973">
        <v>0.13974700000000001</v>
      </c>
      <c r="W973">
        <v>3.0374000000000002E-2</v>
      </c>
      <c r="Y973" t="s">
        <v>1</v>
      </c>
      <c r="Z973">
        <v>5750</v>
      </c>
      <c r="AA973">
        <v>9</v>
      </c>
      <c r="AB973">
        <v>1886</v>
      </c>
      <c r="AC973">
        <v>0</v>
      </c>
      <c r="AD973">
        <v>76256048211</v>
      </c>
      <c r="AE973">
        <v>84663850.349999994</v>
      </c>
      <c r="AF973">
        <v>74415689828</v>
      </c>
      <c r="AG973">
        <v>75863554188.550003</v>
      </c>
      <c r="AH973">
        <v>0.24384900000000001</v>
      </c>
      <c r="AI973">
        <v>4.7379999999999999E-2</v>
      </c>
    </row>
    <row r="974" spans="1:35" x14ac:dyDescent="0.35">
      <c r="A974" t="s">
        <v>0</v>
      </c>
      <c r="B974">
        <v>7000</v>
      </c>
      <c r="C974">
        <v>8</v>
      </c>
      <c r="D974">
        <v>3991</v>
      </c>
      <c r="E974">
        <v>0</v>
      </c>
      <c r="F974">
        <v>108186833753</v>
      </c>
      <c r="G974">
        <v>94816439.25</v>
      </c>
      <c r="H974">
        <v>104634905370.7</v>
      </c>
      <c r="I974">
        <v>107538357972.61</v>
      </c>
      <c r="J974">
        <v>0.32275399999999999</v>
      </c>
      <c r="K974">
        <v>5.9712000000000001E-2</v>
      </c>
      <c r="M974" t="s">
        <v>1</v>
      </c>
      <c r="N974">
        <v>5500</v>
      </c>
      <c r="O974">
        <v>10</v>
      </c>
      <c r="P974">
        <v>2670</v>
      </c>
      <c r="Q974">
        <v>0</v>
      </c>
      <c r="R974">
        <v>105803448766</v>
      </c>
      <c r="S974">
        <v>123693425.31</v>
      </c>
      <c r="T974">
        <v>104674175106.58</v>
      </c>
      <c r="U974">
        <v>105594437170.35001</v>
      </c>
      <c r="V974">
        <v>0.108274</v>
      </c>
      <c r="W974">
        <v>9.6340000000000002E-3</v>
      </c>
      <c r="Y974" t="s">
        <v>2</v>
      </c>
      <c r="Z974">
        <v>6250</v>
      </c>
      <c r="AA974">
        <v>9</v>
      </c>
      <c r="AB974">
        <v>463</v>
      </c>
      <c r="AC974">
        <v>0</v>
      </c>
      <c r="AD974">
        <v>9751939480</v>
      </c>
      <c r="AE974">
        <v>9861653.9600000009</v>
      </c>
      <c r="AF974">
        <v>9740045924</v>
      </c>
      <c r="AG974">
        <v>9740045924</v>
      </c>
      <c r="AH974">
        <v>2.4970000000000001E-3</v>
      </c>
      <c r="AI974">
        <v>2.4970000000000001E-3</v>
      </c>
    </row>
    <row r="975" spans="1:35" x14ac:dyDescent="0.35">
      <c r="A975" t="s">
        <v>1</v>
      </c>
      <c r="B975">
        <v>7000</v>
      </c>
      <c r="C975">
        <v>8</v>
      </c>
      <c r="D975">
        <v>686</v>
      </c>
      <c r="E975">
        <v>0</v>
      </c>
      <c r="F975">
        <v>20867114729</v>
      </c>
      <c r="G975">
        <v>18279677.719999999</v>
      </c>
      <c r="H975">
        <v>17117729687.59</v>
      </c>
      <c r="I975">
        <v>20711684770.669998</v>
      </c>
      <c r="J975">
        <v>0.90594799999999998</v>
      </c>
      <c r="K975">
        <v>7.6080999999999996E-2</v>
      </c>
      <c r="M975" t="s">
        <v>0</v>
      </c>
      <c r="N975">
        <v>5750</v>
      </c>
      <c r="O975">
        <v>10</v>
      </c>
      <c r="P975">
        <v>10861</v>
      </c>
      <c r="Q975">
        <v>0</v>
      </c>
      <c r="R975">
        <v>365187276872</v>
      </c>
      <c r="S975">
        <v>407416989.75999999</v>
      </c>
      <c r="T975">
        <v>362686621115.40002</v>
      </c>
      <c r="U975">
        <v>364432489526.12</v>
      </c>
      <c r="V975">
        <v>6.6656000000000007E-2</v>
      </c>
      <c r="W975">
        <v>1.1355000000000001E-2</v>
      </c>
      <c r="Y975" t="s">
        <v>0</v>
      </c>
      <c r="Z975">
        <v>6250</v>
      </c>
      <c r="AA975">
        <v>9</v>
      </c>
      <c r="AB975">
        <v>9157</v>
      </c>
      <c r="AC975">
        <v>0</v>
      </c>
      <c r="AD975">
        <v>306707786784</v>
      </c>
      <c r="AE975">
        <v>310457095.80000001</v>
      </c>
      <c r="AF975">
        <v>301851013198</v>
      </c>
      <c r="AG975">
        <v>306076223690.34998</v>
      </c>
      <c r="AH975">
        <v>0.16406699999999999</v>
      </c>
      <c r="AI975">
        <v>1.2491E-2</v>
      </c>
    </row>
    <row r="976" spans="1:35" x14ac:dyDescent="0.35">
      <c r="A976" t="s">
        <v>0</v>
      </c>
      <c r="B976">
        <v>7000</v>
      </c>
      <c r="C976">
        <v>7</v>
      </c>
      <c r="D976">
        <v>6813</v>
      </c>
      <c r="E976">
        <v>0</v>
      </c>
      <c r="F976">
        <v>192383026433</v>
      </c>
      <c r="G976">
        <v>167614342.59999999</v>
      </c>
      <c r="H976">
        <v>184246923993.60001</v>
      </c>
      <c r="I976">
        <v>191336366495.59</v>
      </c>
      <c r="J976">
        <v>0.39807700000000001</v>
      </c>
      <c r="K976">
        <v>5.3474000000000001E-2</v>
      </c>
      <c r="M976" t="s">
        <v>2</v>
      </c>
      <c r="N976">
        <v>5500</v>
      </c>
      <c r="O976">
        <v>10</v>
      </c>
      <c r="P976">
        <v>130</v>
      </c>
      <c r="Q976">
        <v>0</v>
      </c>
      <c r="R976">
        <v>2739711534</v>
      </c>
      <c r="S976">
        <v>3194084.21</v>
      </c>
      <c r="T976">
        <v>2732659331.8800001</v>
      </c>
      <c r="U976">
        <v>2736204502.9400001</v>
      </c>
      <c r="V976">
        <v>1.6768000000000002E-2</v>
      </c>
      <c r="W976">
        <v>1.3699999999999999E-3</v>
      </c>
      <c r="Y976" t="s">
        <v>1</v>
      </c>
      <c r="Z976">
        <v>6250</v>
      </c>
      <c r="AA976">
        <v>9</v>
      </c>
      <c r="AB976">
        <v>5678</v>
      </c>
      <c r="AC976">
        <v>0</v>
      </c>
      <c r="AD976">
        <v>223892718713</v>
      </c>
      <c r="AE976">
        <v>226694512.86000001</v>
      </c>
      <c r="AF976">
        <v>212137983433</v>
      </c>
      <c r="AG976">
        <v>223284342233.95001</v>
      </c>
      <c r="AH976">
        <v>0.469717</v>
      </c>
      <c r="AI976">
        <v>2.0265999999999999E-2</v>
      </c>
    </row>
    <row r="977" spans="1:35" x14ac:dyDescent="0.35">
      <c r="A977" t="s">
        <v>2</v>
      </c>
      <c r="B977">
        <v>5750</v>
      </c>
      <c r="C977">
        <v>5</v>
      </c>
      <c r="D977">
        <v>1627</v>
      </c>
      <c r="E977">
        <v>0</v>
      </c>
      <c r="F977">
        <v>36721500000</v>
      </c>
      <c r="G977">
        <v>39053367.909999996</v>
      </c>
      <c r="H977">
        <v>36669839062.370003</v>
      </c>
      <c r="I977">
        <v>36679161741.790001</v>
      </c>
      <c r="J977">
        <v>4.1120000000000002E-3</v>
      </c>
      <c r="K977">
        <v>1.073E-3</v>
      </c>
      <c r="M977" t="s">
        <v>0</v>
      </c>
      <c r="N977">
        <v>5000</v>
      </c>
      <c r="O977">
        <v>9</v>
      </c>
      <c r="P977">
        <v>2807</v>
      </c>
      <c r="Q977">
        <v>0</v>
      </c>
      <c r="R977">
        <v>100464696660</v>
      </c>
      <c r="S977">
        <v>127577246.68000001</v>
      </c>
      <c r="T977">
        <v>100229842996.69</v>
      </c>
      <c r="U977">
        <v>100312860403.13</v>
      </c>
      <c r="V977">
        <v>1.2739E-2</v>
      </c>
      <c r="W977">
        <v>2.8939999999999999E-3</v>
      </c>
      <c r="Y977" t="s">
        <v>1</v>
      </c>
      <c r="Z977">
        <v>7000</v>
      </c>
      <c r="AA977">
        <v>9</v>
      </c>
      <c r="AB977">
        <v>775</v>
      </c>
      <c r="AC977">
        <v>0</v>
      </c>
      <c r="AD977">
        <v>22423998272</v>
      </c>
      <c r="AE977">
        <v>19740723.890000001</v>
      </c>
      <c r="AF977">
        <v>19743940946</v>
      </c>
      <c r="AG977">
        <v>22223063331.259998</v>
      </c>
      <c r="AH977">
        <v>0.78028600000000004</v>
      </c>
      <c r="AI977">
        <v>9.2769000000000004E-2</v>
      </c>
    </row>
    <row r="978" spans="1:35" x14ac:dyDescent="0.35">
      <c r="A978" t="s">
        <v>0</v>
      </c>
      <c r="B978">
        <v>5750</v>
      </c>
      <c r="C978">
        <v>5</v>
      </c>
      <c r="D978">
        <v>54256</v>
      </c>
      <c r="E978">
        <v>0</v>
      </c>
      <c r="F978">
        <v>1916123100000</v>
      </c>
      <c r="G978">
        <v>2049597743.5899999</v>
      </c>
      <c r="H978">
        <v>1912091133555.3</v>
      </c>
      <c r="I978">
        <v>1913899536150.5701</v>
      </c>
      <c r="J978">
        <v>1.2344000000000001E-2</v>
      </c>
      <c r="K978">
        <v>1.0889999999999999E-3</v>
      </c>
      <c r="M978" t="s">
        <v>1</v>
      </c>
      <c r="N978">
        <v>5500</v>
      </c>
      <c r="O978">
        <v>9</v>
      </c>
      <c r="P978">
        <v>1590</v>
      </c>
      <c r="Q978">
        <v>0</v>
      </c>
      <c r="R978">
        <v>65105993536</v>
      </c>
      <c r="S978">
        <v>75649953.109999999</v>
      </c>
      <c r="T978">
        <v>64454903416.260002</v>
      </c>
      <c r="U978">
        <v>64996108881.75</v>
      </c>
      <c r="V978">
        <v>0.10105500000000001</v>
      </c>
      <c r="W978">
        <v>6.2919999999999998E-3</v>
      </c>
      <c r="Y978" t="s">
        <v>2</v>
      </c>
      <c r="Z978">
        <v>7500</v>
      </c>
      <c r="AA978">
        <v>10</v>
      </c>
      <c r="AB978">
        <v>12</v>
      </c>
      <c r="AC978">
        <v>0</v>
      </c>
      <c r="AD978">
        <v>180968615</v>
      </c>
      <c r="AE978">
        <v>145949.81</v>
      </c>
      <c r="AF978">
        <v>180843500</v>
      </c>
      <c r="AG978">
        <v>180843500</v>
      </c>
      <c r="AH978">
        <v>-1.382E-3</v>
      </c>
      <c r="AI978">
        <v>-1.382E-3</v>
      </c>
    </row>
    <row r="979" spans="1:35" x14ac:dyDescent="0.35">
      <c r="A979" t="s">
        <v>1</v>
      </c>
      <c r="B979">
        <v>5750</v>
      </c>
      <c r="C979">
        <v>5</v>
      </c>
      <c r="D979">
        <v>70271</v>
      </c>
      <c r="E979">
        <v>0</v>
      </c>
      <c r="F979">
        <v>2920823700000</v>
      </c>
      <c r="G979">
        <v>3125727711.6900001</v>
      </c>
      <c r="H979">
        <v>2913271217542.6099</v>
      </c>
      <c r="I979">
        <v>2916777626853.3701</v>
      </c>
      <c r="J979">
        <v>1.8036E-2</v>
      </c>
      <c r="K979">
        <v>3.7750000000000001E-3</v>
      </c>
      <c r="M979" t="s">
        <v>0</v>
      </c>
      <c r="N979">
        <v>5750</v>
      </c>
      <c r="O979">
        <v>9</v>
      </c>
      <c r="P979">
        <v>7195</v>
      </c>
      <c r="Q979">
        <v>0</v>
      </c>
      <c r="R979">
        <v>243904249570</v>
      </c>
      <c r="S979">
        <v>270465866.32999998</v>
      </c>
      <c r="T979">
        <v>242353030787.14999</v>
      </c>
      <c r="U979">
        <v>243386851075.39001</v>
      </c>
      <c r="V979">
        <v>6.1224000000000001E-2</v>
      </c>
      <c r="W979">
        <v>1.2082000000000001E-2</v>
      </c>
      <c r="Y979" t="s">
        <v>0</v>
      </c>
      <c r="Z979">
        <v>7750</v>
      </c>
      <c r="AA979">
        <v>10</v>
      </c>
      <c r="AB979">
        <v>831</v>
      </c>
      <c r="AC979">
        <v>0</v>
      </c>
      <c r="AD979">
        <v>22563639217</v>
      </c>
      <c r="AE979">
        <v>17276972.969999999</v>
      </c>
      <c r="AF979">
        <v>21918629987</v>
      </c>
      <c r="AG979">
        <v>22260283478.009998</v>
      </c>
      <c r="AH979">
        <v>0.287217</v>
      </c>
      <c r="AI979">
        <v>0.14197100000000001</v>
      </c>
    </row>
    <row r="980" spans="1:35" x14ac:dyDescent="0.35">
      <c r="A980" t="s">
        <v>0</v>
      </c>
      <c r="B980">
        <v>8000</v>
      </c>
      <c r="C980">
        <v>6</v>
      </c>
      <c r="D980">
        <v>183</v>
      </c>
      <c r="E980">
        <v>0</v>
      </c>
      <c r="F980">
        <v>5335901477</v>
      </c>
      <c r="G980">
        <v>3820535.45</v>
      </c>
      <c r="H980">
        <v>5176268110.7200003</v>
      </c>
      <c r="I980">
        <v>5317612611.2200003</v>
      </c>
      <c r="J980">
        <v>0.29926700000000001</v>
      </c>
      <c r="K980">
        <v>3.2057000000000002E-2</v>
      </c>
      <c r="M980" t="s">
        <v>1</v>
      </c>
      <c r="N980">
        <v>5750</v>
      </c>
      <c r="O980">
        <v>9</v>
      </c>
      <c r="P980">
        <v>5520</v>
      </c>
      <c r="Q980">
        <v>0</v>
      </c>
      <c r="R980">
        <v>223848832892</v>
      </c>
      <c r="S980">
        <v>248074257.99000001</v>
      </c>
      <c r="T980">
        <v>217645051024.04999</v>
      </c>
      <c r="U980">
        <v>223339384387.95999</v>
      </c>
      <c r="V980">
        <v>0.27645700000000001</v>
      </c>
      <c r="W980">
        <v>1.3922E-2</v>
      </c>
      <c r="Y980" t="s">
        <v>0</v>
      </c>
      <c r="Z980">
        <v>7000</v>
      </c>
      <c r="AA980">
        <v>8</v>
      </c>
      <c r="AB980">
        <v>3468</v>
      </c>
      <c r="AC980">
        <v>0</v>
      </c>
      <c r="AD980">
        <v>91571769198</v>
      </c>
      <c r="AE980">
        <v>80187053.140000001</v>
      </c>
      <c r="AF980">
        <v>89221550731</v>
      </c>
      <c r="AG980">
        <v>91279224798.770004</v>
      </c>
      <c r="AH980">
        <v>0.26008900000000001</v>
      </c>
      <c r="AI980">
        <v>2.7476E-2</v>
      </c>
    </row>
    <row r="981" spans="1:35" x14ac:dyDescent="0.35">
      <c r="A981" t="s">
        <v>0</v>
      </c>
      <c r="B981">
        <v>8000</v>
      </c>
      <c r="C981">
        <v>5</v>
      </c>
      <c r="D981">
        <v>463</v>
      </c>
      <c r="E981">
        <v>0</v>
      </c>
      <c r="F981">
        <v>15072900000</v>
      </c>
      <c r="G981">
        <v>10599386.6</v>
      </c>
      <c r="H981">
        <v>15042985098.629999</v>
      </c>
      <c r="I981">
        <v>15060069617.43</v>
      </c>
      <c r="J981">
        <v>1.5270000000000001E-2</v>
      </c>
      <c r="K981">
        <v>1.7750000000000001E-3</v>
      </c>
      <c r="M981" t="s">
        <v>2</v>
      </c>
      <c r="N981">
        <v>5750</v>
      </c>
      <c r="O981">
        <v>9</v>
      </c>
      <c r="P981">
        <v>212</v>
      </c>
      <c r="Q981">
        <v>0</v>
      </c>
      <c r="R981">
        <v>4689957732</v>
      </c>
      <c r="S981">
        <v>5198421.0599999996</v>
      </c>
      <c r="T981">
        <v>4679024978.9300003</v>
      </c>
      <c r="U981">
        <v>4684101849.3800001</v>
      </c>
      <c r="V981">
        <v>1.4574E-2</v>
      </c>
      <c r="W981">
        <v>1.681E-3</v>
      </c>
      <c r="Y981" t="s">
        <v>1</v>
      </c>
      <c r="Z981">
        <v>6500</v>
      </c>
      <c r="AA981">
        <v>7</v>
      </c>
      <c r="AB981">
        <v>3465</v>
      </c>
      <c r="AC981">
        <v>0</v>
      </c>
      <c r="AD981">
        <v>121616888132</v>
      </c>
      <c r="AE981">
        <v>115714913.25</v>
      </c>
      <c r="AF981">
        <v>95939194100</v>
      </c>
      <c r="AG981">
        <v>121142891383.22</v>
      </c>
      <c r="AH981">
        <v>0.94107399999999997</v>
      </c>
      <c r="AI981">
        <v>3.4785000000000003E-2</v>
      </c>
    </row>
    <row r="982" spans="1:35" x14ac:dyDescent="0.35">
      <c r="A982" t="s">
        <v>0</v>
      </c>
      <c r="B982">
        <v>7500</v>
      </c>
      <c r="C982">
        <v>5</v>
      </c>
      <c r="D982">
        <v>2528</v>
      </c>
      <c r="E982">
        <v>0</v>
      </c>
      <c r="F982">
        <v>73961000000</v>
      </c>
      <c r="G982">
        <v>56916315.600000001</v>
      </c>
      <c r="H982">
        <v>73624814398.619995</v>
      </c>
      <c r="I982">
        <v>73885030222.300003</v>
      </c>
      <c r="J982">
        <v>4.4381999999999998E-2</v>
      </c>
      <c r="K982">
        <v>3.0869999999999999E-3</v>
      </c>
      <c r="M982" t="s">
        <v>0</v>
      </c>
      <c r="N982">
        <v>6250</v>
      </c>
      <c r="O982">
        <v>9</v>
      </c>
      <c r="P982">
        <v>15328</v>
      </c>
      <c r="Q982">
        <v>0</v>
      </c>
      <c r="R982">
        <v>515496396562</v>
      </c>
      <c r="S982">
        <v>521471750.13999999</v>
      </c>
      <c r="T982">
        <v>508885900031.34003</v>
      </c>
      <c r="U982">
        <v>514017282798.12</v>
      </c>
      <c r="V982">
        <v>0.13288800000000001</v>
      </c>
      <c r="W982">
        <v>2.2065999999999999E-2</v>
      </c>
      <c r="Y982" t="s">
        <v>0</v>
      </c>
      <c r="Z982">
        <v>6750</v>
      </c>
      <c r="AA982">
        <v>7</v>
      </c>
      <c r="AB982">
        <v>13420</v>
      </c>
      <c r="AC982">
        <v>0</v>
      </c>
      <c r="AD982">
        <v>397774776655</v>
      </c>
      <c r="AE982">
        <v>364222362.04000002</v>
      </c>
      <c r="AF982">
        <v>384054423502</v>
      </c>
      <c r="AG982">
        <v>396295485545.31</v>
      </c>
      <c r="AH982">
        <v>0.33624700000000002</v>
      </c>
      <c r="AI982">
        <v>3.3125000000000002E-2</v>
      </c>
    </row>
    <row r="983" spans="1:35" x14ac:dyDescent="0.35">
      <c r="A983" t="s">
        <v>0</v>
      </c>
      <c r="B983">
        <v>7250</v>
      </c>
      <c r="C983">
        <v>5</v>
      </c>
      <c r="D983">
        <v>16676</v>
      </c>
      <c r="E983">
        <v>0</v>
      </c>
      <c r="F983">
        <v>445202400000</v>
      </c>
      <c r="G983">
        <v>360099565.93000001</v>
      </c>
      <c r="H983">
        <v>442983043176.77002</v>
      </c>
      <c r="I983">
        <v>444565207323.28003</v>
      </c>
      <c r="J983">
        <v>4.8979000000000002E-2</v>
      </c>
      <c r="K983">
        <v>7.443E-3</v>
      </c>
      <c r="M983" t="s">
        <v>1</v>
      </c>
      <c r="N983">
        <v>6250</v>
      </c>
      <c r="O983">
        <v>9</v>
      </c>
      <c r="P983">
        <v>8516</v>
      </c>
      <c r="Q983">
        <v>0</v>
      </c>
      <c r="R983">
        <v>331738754684</v>
      </c>
      <c r="S983">
        <v>336083118.33999997</v>
      </c>
      <c r="T983">
        <v>306387420355.29999</v>
      </c>
      <c r="U983">
        <v>330930915264.06</v>
      </c>
      <c r="V983">
        <v>0.60968999999999995</v>
      </c>
      <c r="W983">
        <v>1.6931999999999999E-2</v>
      </c>
      <c r="Y983" t="s">
        <v>0</v>
      </c>
      <c r="Z983">
        <v>7000</v>
      </c>
      <c r="AA983">
        <v>7</v>
      </c>
      <c r="AB983">
        <v>4133</v>
      </c>
      <c r="AC983">
        <v>0</v>
      </c>
      <c r="AD983">
        <v>112820483718</v>
      </c>
      <c r="AE983">
        <v>98207935.75</v>
      </c>
      <c r="AF983">
        <v>108270933753</v>
      </c>
      <c r="AG983">
        <v>112250667129.50999</v>
      </c>
      <c r="AH983">
        <v>0.383104</v>
      </c>
      <c r="AI983">
        <v>4.9024999999999999E-2</v>
      </c>
    </row>
    <row r="984" spans="1:35" x14ac:dyDescent="0.35">
      <c r="A984" t="s">
        <v>0</v>
      </c>
      <c r="B984">
        <v>7250</v>
      </c>
      <c r="C984">
        <v>6</v>
      </c>
      <c r="D984">
        <v>5249</v>
      </c>
      <c r="E984">
        <v>0</v>
      </c>
      <c r="F984">
        <v>144899092964</v>
      </c>
      <c r="G984">
        <v>119245839.93000001</v>
      </c>
      <c r="H984">
        <v>138604377137.91</v>
      </c>
      <c r="I984">
        <v>144525679865.35001</v>
      </c>
      <c r="J984">
        <v>0.407051</v>
      </c>
      <c r="K984">
        <v>2.0847000000000001E-2</v>
      </c>
      <c r="M984" t="s">
        <v>0</v>
      </c>
      <c r="N984">
        <v>7250</v>
      </c>
      <c r="O984">
        <v>9</v>
      </c>
      <c r="P984">
        <v>3296</v>
      </c>
      <c r="Q984">
        <v>0</v>
      </c>
      <c r="R984">
        <v>88075459517</v>
      </c>
      <c r="S984">
        <v>73972880.159999996</v>
      </c>
      <c r="T984">
        <v>85295340021.809998</v>
      </c>
      <c r="U984">
        <v>87604620048.970001</v>
      </c>
      <c r="V984">
        <v>0.31235800000000002</v>
      </c>
      <c r="W984">
        <v>5.2752E-2</v>
      </c>
      <c r="Y984" t="s">
        <v>1</v>
      </c>
      <c r="Z984">
        <v>7000</v>
      </c>
      <c r="AA984">
        <v>7</v>
      </c>
      <c r="AB984">
        <v>1020</v>
      </c>
      <c r="AC984">
        <v>0</v>
      </c>
      <c r="AD984">
        <v>32858244664</v>
      </c>
      <c r="AE984">
        <v>28623793.129999999</v>
      </c>
      <c r="AF984">
        <v>20867114729</v>
      </c>
      <c r="AG984">
        <v>32633186901.91</v>
      </c>
      <c r="AH984">
        <v>0.99562499999999998</v>
      </c>
      <c r="AI984">
        <v>6.9426000000000002E-2</v>
      </c>
    </row>
    <row r="985" spans="1:35" x14ac:dyDescent="0.35">
      <c r="A985" t="s">
        <v>0</v>
      </c>
      <c r="B985">
        <v>7000</v>
      </c>
      <c r="C985">
        <v>5</v>
      </c>
      <c r="D985">
        <v>20789</v>
      </c>
      <c r="E985">
        <v>0</v>
      </c>
      <c r="F985">
        <v>578573400000</v>
      </c>
      <c r="G985">
        <v>491767317.92000002</v>
      </c>
      <c r="H985">
        <v>576009042960.87</v>
      </c>
      <c r="I985">
        <v>577757279152.57996</v>
      </c>
      <c r="J985">
        <v>4.215E-2</v>
      </c>
      <c r="K985">
        <v>6.7070000000000003E-3</v>
      </c>
      <c r="M985" t="s">
        <v>2</v>
      </c>
      <c r="N985">
        <v>5250</v>
      </c>
      <c r="O985">
        <v>9</v>
      </c>
      <c r="P985">
        <v>43</v>
      </c>
      <c r="Q985">
        <v>0</v>
      </c>
      <c r="R985">
        <v>935121844</v>
      </c>
      <c r="S985">
        <v>1133594.97</v>
      </c>
      <c r="T985">
        <v>932370186.55999994</v>
      </c>
      <c r="U985">
        <v>933577980.09000003</v>
      </c>
      <c r="V985">
        <v>2.0566999999999998E-2</v>
      </c>
      <c r="W985">
        <v>5.2519999999999997E-3</v>
      </c>
      <c r="Y985" t="s">
        <v>0</v>
      </c>
      <c r="Z985">
        <v>7000</v>
      </c>
      <c r="AA985">
        <v>6</v>
      </c>
      <c r="AB985">
        <v>6990</v>
      </c>
      <c r="AC985">
        <v>0</v>
      </c>
      <c r="AD985">
        <v>198964173667</v>
      </c>
      <c r="AE985">
        <v>172195286.93000001</v>
      </c>
      <c r="AF985">
        <v>192547126433</v>
      </c>
      <c r="AG985">
        <v>198211432686</v>
      </c>
      <c r="AH985">
        <v>0.31796799999999997</v>
      </c>
      <c r="AI985">
        <v>3.4458000000000003E-2</v>
      </c>
    </row>
    <row r="986" spans="1:35" x14ac:dyDescent="0.35">
      <c r="A986" t="s">
        <v>0</v>
      </c>
      <c r="B986">
        <v>6250</v>
      </c>
      <c r="C986">
        <v>5</v>
      </c>
      <c r="D986">
        <v>80822</v>
      </c>
      <c r="E986">
        <v>0</v>
      </c>
      <c r="F986">
        <v>2599631200000</v>
      </c>
      <c r="G986">
        <v>2548389466.29</v>
      </c>
      <c r="H986">
        <v>2592573935053.98</v>
      </c>
      <c r="I986">
        <v>2596610020243.3398</v>
      </c>
      <c r="J986">
        <v>2.0615999999999999E-2</v>
      </c>
      <c r="K986">
        <v>2.1800000000000001E-3</v>
      </c>
      <c r="M986" t="s">
        <v>0</v>
      </c>
      <c r="N986">
        <v>6750</v>
      </c>
      <c r="O986">
        <v>8</v>
      </c>
      <c r="P986">
        <v>10670</v>
      </c>
      <c r="Q986">
        <v>0</v>
      </c>
      <c r="R986">
        <v>309838022732</v>
      </c>
      <c r="S986">
        <v>284517444.49000001</v>
      </c>
      <c r="T986">
        <v>299600336519.25</v>
      </c>
      <c r="U986">
        <v>308516556574.95001</v>
      </c>
      <c r="V986">
        <v>0.32416899999999998</v>
      </c>
      <c r="W986">
        <v>3.943E-2</v>
      </c>
      <c r="Y986" t="s">
        <v>2</v>
      </c>
      <c r="Z986">
        <v>5750</v>
      </c>
      <c r="AA986">
        <v>5</v>
      </c>
      <c r="AB986">
        <v>1761</v>
      </c>
      <c r="AC986">
        <v>0</v>
      </c>
      <c r="AD986">
        <v>39787900000</v>
      </c>
      <c r="AE986">
        <v>42254197.759999998</v>
      </c>
      <c r="AF986">
        <v>39765987815</v>
      </c>
      <c r="AG986">
        <v>39777075882.690002</v>
      </c>
      <c r="AH986">
        <v>-6.1520000000000004E-3</v>
      </c>
      <c r="AI986">
        <v>-9.5209999999999999E-3</v>
      </c>
    </row>
    <row r="987" spans="1:35" x14ac:dyDescent="0.35">
      <c r="A987" t="s">
        <v>0</v>
      </c>
      <c r="B987">
        <v>6250</v>
      </c>
      <c r="C987">
        <v>6</v>
      </c>
      <c r="D987">
        <v>12733</v>
      </c>
      <c r="E987">
        <v>0</v>
      </c>
      <c r="F987">
        <v>428596530720</v>
      </c>
      <c r="G987">
        <v>426438284.81999999</v>
      </c>
      <c r="H987">
        <v>421304905904.38</v>
      </c>
      <c r="I987">
        <v>427795146455.54999</v>
      </c>
      <c r="J987">
        <v>0.176153</v>
      </c>
      <c r="K987">
        <v>1.0448000000000001E-2</v>
      </c>
      <c r="M987" t="s">
        <v>0</v>
      </c>
      <c r="N987">
        <v>7000</v>
      </c>
      <c r="O987">
        <v>8</v>
      </c>
      <c r="P987">
        <v>3076</v>
      </c>
      <c r="Q987">
        <v>0</v>
      </c>
      <c r="R987">
        <v>80823196875</v>
      </c>
      <c r="S987">
        <v>70695416.400000006</v>
      </c>
      <c r="T987">
        <v>78149838131.970001</v>
      </c>
      <c r="U987">
        <v>80208984032.009995</v>
      </c>
      <c r="V987">
        <v>0.324824</v>
      </c>
      <c r="W987">
        <v>7.7778E-2</v>
      </c>
      <c r="Y987" t="s">
        <v>0</v>
      </c>
      <c r="Z987">
        <v>5750</v>
      </c>
      <c r="AA987">
        <v>5</v>
      </c>
      <c r="AB987">
        <v>57160</v>
      </c>
      <c r="AC987">
        <v>0</v>
      </c>
      <c r="AD987">
        <v>2012699300000</v>
      </c>
      <c r="AE987">
        <v>2146100963.6800001</v>
      </c>
      <c r="AF987">
        <v>2011110422637</v>
      </c>
      <c r="AG987">
        <v>2012178671316.71</v>
      </c>
      <c r="AH987">
        <v>-3.3270000000000001E-3</v>
      </c>
      <c r="AI987">
        <v>-9.7339999999999996E-3</v>
      </c>
    </row>
    <row r="988" spans="1:35" x14ac:dyDescent="0.35">
      <c r="A988" t="s">
        <v>0</v>
      </c>
      <c r="B988">
        <v>7000</v>
      </c>
      <c r="C988">
        <v>6</v>
      </c>
      <c r="D988">
        <v>7443</v>
      </c>
      <c r="E988">
        <v>0</v>
      </c>
      <c r="F988">
        <v>208144201437</v>
      </c>
      <c r="G988">
        <v>180263781.97999999</v>
      </c>
      <c r="H988">
        <v>200937778226.38</v>
      </c>
      <c r="I988">
        <v>207407952715.94</v>
      </c>
      <c r="J988">
        <v>0.33772200000000002</v>
      </c>
      <c r="K988">
        <v>3.1586999999999997E-2</v>
      </c>
      <c r="M988" t="s">
        <v>1</v>
      </c>
      <c r="N988">
        <v>5500</v>
      </c>
      <c r="O988">
        <v>8</v>
      </c>
      <c r="P988">
        <v>946</v>
      </c>
      <c r="Q988">
        <v>0</v>
      </c>
      <c r="R988">
        <v>37779383592</v>
      </c>
      <c r="S988">
        <v>43595119.380000003</v>
      </c>
      <c r="T988">
        <v>37383841409.089996</v>
      </c>
      <c r="U988">
        <v>37713417342.470001</v>
      </c>
      <c r="V988">
        <v>0.106237</v>
      </c>
      <c r="W988">
        <v>7.0829999999999999E-3</v>
      </c>
      <c r="Y988" t="s">
        <v>1</v>
      </c>
      <c r="Z988">
        <v>5750</v>
      </c>
      <c r="AA988">
        <v>5</v>
      </c>
      <c r="AB988">
        <v>72573</v>
      </c>
      <c r="AC988">
        <v>0</v>
      </c>
      <c r="AD988">
        <v>3018922100000</v>
      </c>
      <c r="AE988">
        <v>3218728165.6500001</v>
      </c>
      <c r="AF988">
        <v>3016185742872</v>
      </c>
      <c r="AG988">
        <v>3017550683748.9102</v>
      </c>
      <c r="AH988">
        <v>-1.9189999999999999E-3</v>
      </c>
      <c r="AI988">
        <v>-7.3680000000000004E-3</v>
      </c>
    </row>
    <row r="989" spans="1:35" x14ac:dyDescent="0.35">
      <c r="A989" t="s">
        <v>1</v>
      </c>
      <c r="B989">
        <v>7000</v>
      </c>
      <c r="C989">
        <v>5</v>
      </c>
      <c r="D989">
        <v>6180</v>
      </c>
      <c r="E989">
        <v>0</v>
      </c>
      <c r="F989">
        <v>192756100000</v>
      </c>
      <c r="G989">
        <v>163639206.78999999</v>
      </c>
      <c r="H989">
        <v>191933242851.12</v>
      </c>
      <c r="I989">
        <v>192430809268.95999</v>
      </c>
      <c r="J989">
        <v>4.0275999999999999E-2</v>
      </c>
      <c r="K989">
        <v>1.0017E-2</v>
      </c>
      <c r="M989" t="s">
        <v>2</v>
      </c>
      <c r="N989">
        <v>5750</v>
      </c>
      <c r="O989">
        <v>8</v>
      </c>
      <c r="P989">
        <v>149</v>
      </c>
      <c r="Q989">
        <v>0</v>
      </c>
      <c r="R989">
        <v>3307968169</v>
      </c>
      <c r="S989">
        <v>3643226.3</v>
      </c>
      <c r="T989">
        <v>3300193440.52</v>
      </c>
      <c r="U989">
        <v>3303805523.7199998</v>
      </c>
      <c r="V989">
        <v>1.4885000000000001E-2</v>
      </c>
      <c r="W989">
        <v>1.8829999999999999E-3</v>
      </c>
      <c r="Y989" t="s">
        <v>0</v>
      </c>
      <c r="Z989">
        <v>8000</v>
      </c>
      <c r="AA989">
        <v>5</v>
      </c>
      <c r="AB989">
        <v>646</v>
      </c>
      <c r="AC989">
        <v>0</v>
      </c>
      <c r="AD989">
        <v>20416400000</v>
      </c>
      <c r="AE989">
        <v>14326584.390000001</v>
      </c>
      <c r="AF989">
        <v>20408801477</v>
      </c>
      <c r="AG989">
        <v>20408801477</v>
      </c>
      <c r="AH989">
        <v>-3.9620000000000002E-3</v>
      </c>
      <c r="AI989">
        <v>-3.9620000000000002E-3</v>
      </c>
    </row>
    <row r="990" spans="1:35" x14ac:dyDescent="0.35">
      <c r="A990" t="s">
        <v>0</v>
      </c>
      <c r="B990">
        <v>6750</v>
      </c>
      <c r="C990">
        <v>6</v>
      </c>
      <c r="D990">
        <v>16410</v>
      </c>
      <c r="E990">
        <v>0</v>
      </c>
      <c r="F990">
        <v>506913047751</v>
      </c>
      <c r="G990">
        <v>460654106.05000001</v>
      </c>
      <c r="H990">
        <v>490205536382.98999</v>
      </c>
      <c r="I990">
        <v>505243970338.41998</v>
      </c>
      <c r="J990">
        <v>0.32355600000000001</v>
      </c>
      <c r="K990">
        <v>2.8235E-2</v>
      </c>
      <c r="M990" t="s">
        <v>0</v>
      </c>
      <c r="N990">
        <v>5750</v>
      </c>
      <c r="O990">
        <v>8</v>
      </c>
      <c r="P990">
        <v>4263</v>
      </c>
      <c r="Q990">
        <v>0</v>
      </c>
      <c r="R990">
        <v>141940435677</v>
      </c>
      <c r="S990">
        <v>156586504.58000001</v>
      </c>
      <c r="T990">
        <v>141105118250.12</v>
      </c>
      <c r="U990">
        <v>141681387953.97</v>
      </c>
      <c r="V990">
        <v>5.5896000000000001E-2</v>
      </c>
      <c r="W990">
        <v>8.6280000000000003E-3</v>
      </c>
      <c r="Y990" t="s">
        <v>0</v>
      </c>
      <c r="Z990">
        <v>7500</v>
      </c>
      <c r="AA990">
        <v>5</v>
      </c>
      <c r="AB990">
        <v>3697</v>
      </c>
      <c r="AC990">
        <v>0</v>
      </c>
      <c r="AD990">
        <v>107334400000</v>
      </c>
      <c r="AE990">
        <v>82500020.75</v>
      </c>
      <c r="AF990">
        <v>107037587055</v>
      </c>
      <c r="AG990">
        <v>107202359564.82001</v>
      </c>
      <c r="AH990">
        <v>2.3699000000000001E-2</v>
      </c>
      <c r="AI990">
        <v>5.5250000000000004E-3</v>
      </c>
    </row>
    <row r="991" spans="1:35" x14ac:dyDescent="0.35">
      <c r="A991" t="s">
        <v>0</v>
      </c>
      <c r="B991">
        <v>6750</v>
      </c>
      <c r="C991">
        <v>5</v>
      </c>
      <c r="D991">
        <v>57208</v>
      </c>
      <c r="E991">
        <v>0</v>
      </c>
      <c r="F991">
        <v>1647066100000</v>
      </c>
      <c r="G991">
        <v>1472655698.99</v>
      </c>
      <c r="H991">
        <v>1639880200401.8899</v>
      </c>
      <c r="I991">
        <v>1644082536909.79</v>
      </c>
      <c r="J991">
        <v>4.0840000000000001E-2</v>
      </c>
      <c r="K991">
        <v>1.0952999999999999E-2</v>
      </c>
      <c r="M991" t="s">
        <v>0</v>
      </c>
      <c r="N991">
        <v>6250</v>
      </c>
      <c r="O991">
        <v>8</v>
      </c>
      <c r="P991">
        <v>11262</v>
      </c>
      <c r="Q991">
        <v>0</v>
      </c>
      <c r="R991">
        <v>367996967090</v>
      </c>
      <c r="S991">
        <v>370135654.31</v>
      </c>
      <c r="T991">
        <v>362916221479.84003</v>
      </c>
      <c r="U991">
        <v>367074714068.29999</v>
      </c>
      <c r="V991">
        <v>0.14324200000000001</v>
      </c>
      <c r="W991">
        <v>1.7856E-2</v>
      </c>
      <c r="Y991" t="s">
        <v>0</v>
      </c>
      <c r="Z991">
        <v>7250</v>
      </c>
      <c r="AA991">
        <v>5</v>
      </c>
      <c r="AB991">
        <v>21986</v>
      </c>
      <c r="AC991">
        <v>0</v>
      </c>
      <c r="AD991">
        <v>592096200000</v>
      </c>
      <c r="AE991">
        <v>477987056.26999998</v>
      </c>
      <c r="AF991">
        <v>590047092964</v>
      </c>
      <c r="AG991">
        <v>591284379160.12</v>
      </c>
      <c r="AH991">
        <v>3.1380999999999999E-2</v>
      </c>
      <c r="AI991">
        <v>6.7450000000000001E-3</v>
      </c>
    </row>
    <row r="992" spans="1:35" x14ac:dyDescent="0.35">
      <c r="A992" t="s">
        <v>0</v>
      </c>
      <c r="B992">
        <v>6250</v>
      </c>
      <c r="C992">
        <v>9</v>
      </c>
      <c r="D992">
        <v>13300</v>
      </c>
      <c r="E992">
        <v>0</v>
      </c>
      <c r="F992">
        <v>445977051214</v>
      </c>
      <c r="G992">
        <v>452350534.87</v>
      </c>
      <c r="H992">
        <v>437063407701.17999</v>
      </c>
      <c r="I992">
        <v>444609564063.57001</v>
      </c>
      <c r="J992">
        <v>0.20535300000000001</v>
      </c>
      <c r="K992">
        <v>2.4348000000000002E-2</v>
      </c>
      <c r="M992" t="s">
        <v>1</v>
      </c>
      <c r="N992">
        <v>6750</v>
      </c>
      <c r="O992">
        <v>8</v>
      </c>
      <c r="P992">
        <v>4218</v>
      </c>
      <c r="Q992">
        <v>0</v>
      </c>
      <c r="R992">
        <v>140505967516</v>
      </c>
      <c r="S992">
        <v>129130391.66</v>
      </c>
      <c r="T992">
        <v>119965616866</v>
      </c>
      <c r="U992">
        <v>140054207782.95999</v>
      </c>
      <c r="V992">
        <v>0.84796199999999999</v>
      </c>
      <c r="W992">
        <v>2.7209000000000001E-2</v>
      </c>
      <c r="Y992" t="s">
        <v>0</v>
      </c>
      <c r="Z992">
        <v>7000</v>
      </c>
      <c r="AA992">
        <v>5</v>
      </c>
      <c r="AB992">
        <v>28300</v>
      </c>
      <c r="AC992">
        <v>0</v>
      </c>
      <c r="AD992">
        <v>789034500000</v>
      </c>
      <c r="AE992">
        <v>669896781.57000005</v>
      </c>
      <c r="AF992">
        <v>786418801437</v>
      </c>
      <c r="AG992">
        <v>787987660502.97998</v>
      </c>
      <c r="AH992">
        <v>2.9194999999999999E-2</v>
      </c>
      <c r="AI992">
        <v>5.718E-3</v>
      </c>
    </row>
    <row r="993" spans="1:35" x14ac:dyDescent="0.35">
      <c r="A993" t="s">
        <v>2</v>
      </c>
      <c r="B993">
        <v>6250</v>
      </c>
      <c r="C993">
        <v>5</v>
      </c>
      <c r="D993">
        <v>3902</v>
      </c>
      <c r="E993">
        <v>0</v>
      </c>
      <c r="F993">
        <v>82631800000</v>
      </c>
      <c r="G993">
        <v>80599095.030000001</v>
      </c>
      <c r="H993">
        <v>82518969917.759995</v>
      </c>
      <c r="I993">
        <v>82543860286.059998</v>
      </c>
      <c r="J993">
        <v>4.6709999999999998E-3</v>
      </c>
      <c r="K993">
        <v>1.0660000000000001E-3</v>
      </c>
      <c r="M993" t="s">
        <v>2</v>
      </c>
      <c r="N993">
        <v>6250</v>
      </c>
      <c r="O993">
        <v>10</v>
      </c>
      <c r="P993">
        <v>698</v>
      </c>
      <c r="Q993">
        <v>0</v>
      </c>
      <c r="R993">
        <v>14111990807</v>
      </c>
      <c r="S993">
        <v>14375746.619999999</v>
      </c>
      <c r="T993">
        <v>14062732293.530001</v>
      </c>
      <c r="U993">
        <v>14091375555.120001</v>
      </c>
      <c r="V993">
        <v>2.9262E-2</v>
      </c>
      <c r="W993">
        <v>5.293E-3</v>
      </c>
      <c r="Y993" t="s">
        <v>0</v>
      </c>
      <c r="Z993">
        <v>6250</v>
      </c>
      <c r="AA993">
        <v>5</v>
      </c>
      <c r="AB993">
        <v>93663</v>
      </c>
      <c r="AC993">
        <v>0</v>
      </c>
      <c r="AD993">
        <v>3033187400000</v>
      </c>
      <c r="AE993">
        <v>2964339913.04</v>
      </c>
      <c r="AF993">
        <v>3028151930720</v>
      </c>
      <c r="AG993">
        <v>3031163155321.3799</v>
      </c>
      <c r="AH993">
        <v>8.1630000000000001E-3</v>
      </c>
      <c r="AI993">
        <v>-3.7260000000000001E-3</v>
      </c>
    </row>
    <row r="994" spans="1:35" x14ac:dyDescent="0.35">
      <c r="A994" t="s">
        <v>1</v>
      </c>
      <c r="B994">
        <v>6250</v>
      </c>
      <c r="C994">
        <v>5</v>
      </c>
      <c r="D994">
        <v>51734</v>
      </c>
      <c r="E994">
        <v>0</v>
      </c>
      <c r="F994">
        <v>1997826500000</v>
      </c>
      <c r="G994">
        <v>1959634557.6300001</v>
      </c>
      <c r="H994">
        <v>1992167865185.24</v>
      </c>
      <c r="I994">
        <v>1995468059401.79</v>
      </c>
      <c r="J994">
        <v>2.1992999999999999E-2</v>
      </c>
      <c r="K994">
        <v>2.3930000000000002E-3</v>
      </c>
      <c r="M994" t="s">
        <v>0</v>
      </c>
      <c r="N994">
        <v>7500</v>
      </c>
      <c r="O994">
        <v>10</v>
      </c>
      <c r="P994">
        <v>469</v>
      </c>
      <c r="Q994">
        <v>0</v>
      </c>
      <c r="R994">
        <v>12576945323</v>
      </c>
      <c r="S994">
        <v>10155707.6</v>
      </c>
      <c r="T994">
        <v>12269447730.709999</v>
      </c>
      <c r="U994">
        <v>12488811066.51</v>
      </c>
      <c r="V994">
        <v>0.24956999999999999</v>
      </c>
      <c r="W994">
        <v>7.1915999999999994E-2</v>
      </c>
      <c r="Y994" t="s">
        <v>1</v>
      </c>
      <c r="Z994">
        <v>7000</v>
      </c>
      <c r="AA994">
        <v>5</v>
      </c>
      <c r="AB994">
        <v>8409</v>
      </c>
      <c r="AC994">
        <v>0</v>
      </c>
      <c r="AD994">
        <v>263761800000</v>
      </c>
      <c r="AE994">
        <v>223576851.75</v>
      </c>
      <c r="AF994">
        <v>262596515162</v>
      </c>
      <c r="AG994">
        <v>263130759400.31</v>
      </c>
      <c r="AH994">
        <v>4.2012000000000001E-2</v>
      </c>
      <c r="AI994">
        <v>1.8381000000000002E-2</v>
      </c>
    </row>
    <row r="995" spans="1:35" x14ac:dyDescent="0.35">
      <c r="A995" t="s">
        <v>0</v>
      </c>
      <c r="B995">
        <v>6250</v>
      </c>
      <c r="C995">
        <v>7</v>
      </c>
      <c r="D995">
        <v>14781</v>
      </c>
      <c r="E995">
        <v>0</v>
      </c>
      <c r="F995">
        <v>491648795712</v>
      </c>
      <c r="G995">
        <v>492504863.42000002</v>
      </c>
      <c r="H995">
        <v>478687603757.78003</v>
      </c>
      <c r="I995">
        <v>490511655756.96997</v>
      </c>
      <c r="J995">
        <v>0.26527400000000001</v>
      </c>
      <c r="K995">
        <v>1.5620999999999999E-2</v>
      </c>
      <c r="M995" t="s">
        <v>2</v>
      </c>
      <c r="N995">
        <v>6750</v>
      </c>
      <c r="O995">
        <v>9</v>
      </c>
      <c r="P995">
        <v>628</v>
      </c>
      <c r="Q995">
        <v>0</v>
      </c>
      <c r="R995">
        <v>10901575764</v>
      </c>
      <c r="S995">
        <v>10090772.91</v>
      </c>
      <c r="T995">
        <v>10843076058.58</v>
      </c>
      <c r="U995">
        <v>10880814094.950001</v>
      </c>
      <c r="V995">
        <v>5.2004000000000002E-2</v>
      </c>
      <c r="W995">
        <v>1.1683000000000001E-2</v>
      </c>
      <c r="Y995" t="s">
        <v>0</v>
      </c>
      <c r="Z995">
        <v>6750</v>
      </c>
      <c r="AA995">
        <v>5</v>
      </c>
      <c r="AB995">
        <v>73766</v>
      </c>
      <c r="AC995">
        <v>0</v>
      </c>
      <c r="AD995">
        <v>2159962200000</v>
      </c>
      <c r="AE995">
        <v>1927385900.77</v>
      </c>
      <c r="AF995">
        <v>2153773547751</v>
      </c>
      <c r="AG995">
        <v>2156819485654.1699</v>
      </c>
      <c r="AH995">
        <v>2.3418999999999999E-2</v>
      </c>
      <c r="AI995">
        <v>6.731E-3</v>
      </c>
    </row>
    <row r="996" spans="1:35" x14ac:dyDescent="0.35">
      <c r="A996" t="s">
        <v>2</v>
      </c>
      <c r="B996">
        <v>6250</v>
      </c>
      <c r="C996">
        <v>6</v>
      </c>
      <c r="D996">
        <v>718</v>
      </c>
      <c r="E996">
        <v>0</v>
      </c>
      <c r="F996">
        <v>15677034964</v>
      </c>
      <c r="G996">
        <v>15550458.75</v>
      </c>
      <c r="H996">
        <v>15644487767.92</v>
      </c>
      <c r="I996">
        <v>15657920124.75</v>
      </c>
      <c r="J996">
        <v>1.2933E-2</v>
      </c>
      <c r="K996">
        <v>2.725E-3</v>
      </c>
      <c r="M996" t="s">
        <v>0</v>
      </c>
      <c r="N996">
        <v>7500</v>
      </c>
      <c r="O996">
        <v>9</v>
      </c>
      <c r="P996">
        <v>731</v>
      </c>
      <c r="Q996">
        <v>0</v>
      </c>
      <c r="R996">
        <v>19393244575</v>
      </c>
      <c r="S996">
        <v>15499146.289999999</v>
      </c>
      <c r="T996">
        <v>18839742311.040001</v>
      </c>
      <c r="U996">
        <v>19274366153.57</v>
      </c>
      <c r="V996">
        <v>0.286524</v>
      </c>
      <c r="W996">
        <v>6.2126000000000001E-2</v>
      </c>
      <c r="Y996" t="s">
        <v>0</v>
      </c>
      <c r="Z996">
        <v>6250</v>
      </c>
      <c r="AA996">
        <v>8</v>
      </c>
      <c r="AB996">
        <v>13542</v>
      </c>
      <c r="AC996">
        <v>0</v>
      </c>
      <c r="AD996">
        <v>456143165882</v>
      </c>
      <c r="AE996">
        <v>459834518.17000002</v>
      </c>
      <c r="AF996">
        <v>446008551214</v>
      </c>
      <c r="AG996">
        <v>455445240513</v>
      </c>
      <c r="AH996">
        <v>0.226831</v>
      </c>
      <c r="AI996">
        <v>6.2459999999999998E-3</v>
      </c>
    </row>
    <row r="997" spans="1:35" x14ac:dyDescent="0.35">
      <c r="A997" t="s">
        <v>0</v>
      </c>
      <c r="B997">
        <v>5750</v>
      </c>
      <c r="C997">
        <v>6</v>
      </c>
      <c r="D997">
        <v>2873</v>
      </c>
      <c r="E997">
        <v>0</v>
      </c>
      <c r="F997">
        <v>95216222637</v>
      </c>
      <c r="G997">
        <v>104056099.26000001</v>
      </c>
      <c r="H997">
        <v>94688146989.050003</v>
      </c>
      <c r="I997">
        <v>95060778155.169998</v>
      </c>
      <c r="J997">
        <v>5.2149000000000001E-2</v>
      </c>
      <c r="K997">
        <v>6.4570000000000001E-3</v>
      </c>
      <c r="M997" t="s">
        <v>0</v>
      </c>
      <c r="N997">
        <v>7750</v>
      </c>
      <c r="O997">
        <v>10</v>
      </c>
      <c r="P997">
        <v>720</v>
      </c>
      <c r="Q997">
        <v>0</v>
      </c>
      <c r="R997">
        <v>19142510710</v>
      </c>
      <c r="S997">
        <v>14642645.550000001</v>
      </c>
      <c r="T997">
        <v>18655313066.880001</v>
      </c>
      <c r="U997">
        <v>19030809962.75</v>
      </c>
      <c r="V997">
        <v>0.25914599999999999</v>
      </c>
      <c r="W997">
        <v>5.9174999999999998E-2</v>
      </c>
      <c r="Y997" t="s">
        <v>2</v>
      </c>
      <c r="Z997">
        <v>6250</v>
      </c>
      <c r="AA997">
        <v>5</v>
      </c>
      <c r="AB997">
        <v>4624</v>
      </c>
      <c r="AC997">
        <v>0</v>
      </c>
      <c r="AD997">
        <v>98429400000</v>
      </c>
      <c r="AE997">
        <v>95782929.370000005</v>
      </c>
      <c r="AF997">
        <v>98341034964</v>
      </c>
      <c r="AG997">
        <v>98358318140.080002</v>
      </c>
      <c r="AH997">
        <v>-9.0499999999999999E-4</v>
      </c>
      <c r="AI997">
        <v>-3.016E-3</v>
      </c>
    </row>
    <row r="998" spans="1:35" x14ac:dyDescent="0.35">
      <c r="A998" t="s">
        <v>1</v>
      </c>
      <c r="B998">
        <v>5750</v>
      </c>
      <c r="C998">
        <v>6</v>
      </c>
      <c r="D998">
        <v>2271</v>
      </c>
      <c r="E998">
        <v>0</v>
      </c>
      <c r="F998">
        <v>95853642872</v>
      </c>
      <c r="G998">
        <v>104495971.98</v>
      </c>
      <c r="H998">
        <v>95283222790.669998</v>
      </c>
      <c r="I998">
        <v>95704929712.279999</v>
      </c>
      <c r="J998">
        <v>5.6794999999999998E-2</v>
      </c>
      <c r="K998">
        <v>5.522E-3</v>
      </c>
      <c r="M998" t="s">
        <v>0</v>
      </c>
      <c r="N998">
        <v>7750</v>
      </c>
      <c r="O998">
        <v>9</v>
      </c>
      <c r="P998">
        <v>997</v>
      </c>
      <c r="Q998">
        <v>0</v>
      </c>
      <c r="R998">
        <v>26474229198</v>
      </c>
      <c r="S998">
        <v>20119480.710000001</v>
      </c>
      <c r="T998">
        <v>25885697353.18</v>
      </c>
      <c r="U998">
        <v>26342353403.799999</v>
      </c>
      <c r="V998">
        <v>0.229296</v>
      </c>
      <c r="W998">
        <v>4.9495999999999998E-2</v>
      </c>
      <c r="Y998" t="s">
        <v>1</v>
      </c>
      <c r="Z998">
        <v>6250</v>
      </c>
      <c r="AA998">
        <v>5</v>
      </c>
      <c r="AB998">
        <v>62790</v>
      </c>
      <c r="AC998">
        <v>0</v>
      </c>
      <c r="AD998">
        <v>2462042500000</v>
      </c>
      <c r="AE998">
        <v>2408235676.6300001</v>
      </c>
      <c r="AF998">
        <v>2455863759246</v>
      </c>
      <c r="AG998">
        <v>2458490895280.7598</v>
      </c>
      <c r="AH998">
        <v>1.8223E-2</v>
      </c>
      <c r="AI998">
        <v>5.5589999999999997E-3</v>
      </c>
    </row>
    <row r="999" spans="1:35" x14ac:dyDescent="0.35">
      <c r="A999" t="s">
        <v>2</v>
      </c>
      <c r="B999">
        <v>5750</v>
      </c>
      <c r="C999">
        <v>6</v>
      </c>
      <c r="D999">
        <v>132</v>
      </c>
      <c r="E999">
        <v>0</v>
      </c>
      <c r="F999">
        <v>3002887815</v>
      </c>
      <c r="G999">
        <v>3266765.33</v>
      </c>
      <c r="H999">
        <v>2997336496.7800002</v>
      </c>
      <c r="I999">
        <v>2999083991.3800001</v>
      </c>
      <c r="J999">
        <v>9.0910000000000001E-3</v>
      </c>
      <c r="K999">
        <v>2.1440000000000001E-3</v>
      </c>
      <c r="M999" t="s">
        <v>1</v>
      </c>
      <c r="N999">
        <v>6750</v>
      </c>
      <c r="O999">
        <v>9</v>
      </c>
      <c r="P999">
        <v>4182</v>
      </c>
      <c r="Q999">
        <v>0</v>
      </c>
      <c r="R999">
        <v>137436055318</v>
      </c>
      <c r="S999">
        <v>126989788.91</v>
      </c>
      <c r="T999">
        <v>121880712230.58</v>
      </c>
      <c r="U999">
        <v>136913709920.75</v>
      </c>
      <c r="V999">
        <v>0.76042600000000005</v>
      </c>
      <c r="W999">
        <v>3.3979000000000002E-2</v>
      </c>
      <c r="Y999" t="s">
        <v>0</v>
      </c>
      <c r="Z999">
        <v>6250</v>
      </c>
      <c r="AA999">
        <v>6</v>
      </c>
      <c r="AB999">
        <v>14935</v>
      </c>
      <c r="AC999">
        <v>0</v>
      </c>
      <c r="AD999">
        <v>499208694083</v>
      </c>
      <c r="AE999">
        <v>497025109.22000003</v>
      </c>
      <c r="AF999">
        <v>491683095712</v>
      </c>
      <c r="AG999">
        <v>497847093873.02002</v>
      </c>
      <c r="AH999">
        <v>0.15646499999999999</v>
      </c>
      <c r="AI999">
        <v>2.0586E-2</v>
      </c>
    </row>
    <row r="1000" spans="1:35" x14ac:dyDescent="0.35">
      <c r="A1000" t="s">
        <v>0</v>
      </c>
      <c r="B1000">
        <v>8000</v>
      </c>
      <c r="C1000">
        <v>7</v>
      </c>
      <c r="D1000">
        <v>155</v>
      </c>
      <c r="E1000">
        <v>0</v>
      </c>
      <c r="F1000">
        <v>4481544209</v>
      </c>
      <c r="G1000">
        <v>3234162.52</v>
      </c>
      <c r="H1000">
        <v>4268610355.8099999</v>
      </c>
      <c r="I1000">
        <v>4459721565.7200003</v>
      </c>
      <c r="J1000">
        <v>0.43733100000000003</v>
      </c>
      <c r="K1000">
        <v>4.8653000000000002E-2</v>
      </c>
      <c r="M1000" t="s">
        <v>2</v>
      </c>
      <c r="N1000">
        <v>6750</v>
      </c>
      <c r="O1000">
        <v>8</v>
      </c>
      <c r="P1000">
        <v>510</v>
      </c>
      <c r="Q1000">
        <v>0</v>
      </c>
      <c r="R1000">
        <v>9175967113</v>
      </c>
      <c r="S1000">
        <v>8435524.4100000001</v>
      </c>
      <c r="T1000">
        <v>9130184748.1599998</v>
      </c>
      <c r="U1000">
        <v>9161991515.5200005</v>
      </c>
      <c r="V1000">
        <v>4.7761999999999999E-2</v>
      </c>
      <c r="W1000">
        <v>7.221E-3</v>
      </c>
      <c r="Y1000" t="s">
        <v>0</v>
      </c>
      <c r="Z1000">
        <v>8000</v>
      </c>
      <c r="AA1000">
        <v>6</v>
      </c>
      <c r="AB1000">
        <v>156</v>
      </c>
      <c r="AC1000">
        <v>0</v>
      </c>
      <c r="AD1000">
        <v>4507969655</v>
      </c>
      <c r="AE1000">
        <v>3229704.78</v>
      </c>
      <c r="AF1000">
        <v>4481544209</v>
      </c>
      <c r="AG1000">
        <v>4500499216.1599998</v>
      </c>
      <c r="AH1000">
        <v>6.0027999999999998E-2</v>
      </c>
      <c r="AI1000">
        <v>1.123E-2</v>
      </c>
    </row>
    <row r="1001" spans="1:35" x14ac:dyDescent="0.35">
      <c r="A1001" t="s">
        <v>0</v>
      </c>
      <c r="B1001">
        <v>7750</v>
      </c>
      <c r="C1001">
        <v>6</v>
      </c>
      <c r="D1001">
        <v>1360</v>
      </c>
      <c r="E1001">
        <v>0</v>
      </c>
      <c r="F1001">
        <v>36170968385</v>
      </c>
      <c r="G1001">
        <v>26948156.02</v>
      </c>
      <c r="H1001">
        <v>35038650947.550003</v>
      </c>
      <c r="I1001">
        <v>36029887715.230003</v>
      </c>
      <c r="J1001">
        <v>0.310946</v>
      </c>
      <c r="K1001">
        <v>3.7213999999999997E-2</v>
      </c>
      <c r="M1001" t="s">
        <v>0</v>
      </c>
      <c r="N1001">
        <v>7250</v>
      </c>
      <c r="O1001">
        <v>8</v>
      </c>
      <c r="P1001">
        <v>2938</v>
      </c>
      <c r="Q1001">
        <v>0</v>
      </c>
      <c r="R1001">
        <v>78761155239</v>
      </c>
      <c r="S1001">
        <v>65748909.640000001</v>
      </c>
      <c r="T1001">
        <v>75822159503.660004</v>
      </c>
      <c r="U1001">
        <v>78212414747.309998</v>
      </c>
      <c r="V1001">
        <v>0.35978500000000002</v>
      </c>
      <c r="W1001">
        <v>7.1155999999999997E-2</v>
      </c>
      <c r="Y1001" t="s">
        <v>0</v>
      </c>
      <c r="Z1001">
        <v>7750</v>
      </c>
      <c r="AA1001">
        <v>5</v>
      </c>
      <c r="AB1001">
        <v>5265</v>
      </c>
      <c r="AC1001">
        <v>0</v>
      </c>
      <c r="AD1001">
        <v>143744000000</v>
      </c>
      <c r="AE1001">
        <v>104759219.16</v>
      </c>
      <c r="AF1001">
        <v>143314568385</v>
      </c>
      <c r="AG1001">
        <v>143684894854.14001</v>
      </c>
      <c r="AH1001">
        <v>2.6769999999999999E-2</v>
      </c>
      <c r="AI1001">
        <v>-3.8180000000000002E-3</v>
      </c>
    </row>
    <row r="1002" spans="1:35" x14ac:dyDescent="0.35">
      <c r="A1002" t="s">
        <v>0</v>
      </c>
      <c r="B1002">
        <v>7750</v>
      </c>
      <c r="C1002">
        <v>5</v>
      </c>
      <c r="D1002">
        <v>3894</v>
      </c>
      <c r="E1002">
        <v>0</v>
      </c>
      <c r="F1002">
        <v>107143600000</v>
      </c>
      <c r="G1002">
        <v>78186855.280000001</v>
      </c>
      <c r="H1002">
        <v>106816405699.37</v>
      </c>
      <c r="I1002">
        <v>107019680744.32001</v>
      </c>
      <c r="J1002">
        <v>2.7535E-2</v>
      </c>
      <c r="K1002">
        <v>5.11E-3</v>
      </c>
      <c r="M1002" t="s">
        <v>1</v>
      </c>
      <c r="N1002">
        <v>7250</v>
      </c>
      <c r="O1002">
        <v>8</v>
      </c>
      <c r="P1002">
        <v>951</v>
      </c>
      <c r="Q1002">
        <v>0</v>
      </c>
      <c r="R1002">
        <v>27831540782</v>
      </c>
      <c r="S1002">
        <v>23256693.43</v>
      </c>
      <c r="T1002">
        <v>23402837963.82</v>
      </c>
      <c r="U1002">
        <v>27635338586.290001</v>
      </c>
      <c r="V1002">
        <v>0.87353999999999998</v>
      </c>
      <c r="W1002">
        <v>7.2071999999999997E-2</v>
      </c>
      <c r="Y1002" t="s">
        <v>2</v>
      </c>
      <c r="Z1002">
        <v>5750</v>
      </c>
      <c r="AA1002">
        <v>6</v>
      </c>
      <c r="AB1002">
        <v>184</v>
      </c>
      <c r="AC1002">
        <v>0</v>
      </c>
      <c r="AD1002">
        <v>3903879734</v>
      </c>
      <c r="AE1002">
        <v>4247846.97</v>
      </c>
      <c r="AF1002">
        <v>3893588119</v>
      </c>
      <c r="AG1002">
        <v>3893588119</v>
      </c>
      <c r="AH1002">
        <v>1.8419999999999999E-2</v>
      </c>
      <c r="AI1002">
        <v>1.8419999999999999E-2</v>
      </c>
    </row>
    <row r="1003" spans="1:35" x14ac:dyDescent="0.35">
      <c r="A1003" t="s">
        <v>0</v>
      </c>
      <c r="B1003">
        <v>7500</v>
      </c>
      <c r="C1003">
        <v>6</v>
      </c>
      <c r="D1003">
        <v>1160</v>
      </c>
      <c r="E1003">
        <v>0</v>
      </c>
      <c r="F1003">
        <v>33076587055</v>
      </c>
      <c r="G1003">
        <v>25900623.199999999</v>
      </c>
      <c r="H1003">
        <v>31723537463.43</v>
      </c>
      <c r="I1003">
        <v>32991970302.59</v>
      </c>
      <c r="J1003">
        <v>0.38823600000000003</v>
      </c>
      <c r="K1003">
        <v>2.1094999999999999E-2</v>
      </c>
      <c r="M1003" t="s">
        <v>0</v>
      </c>
      <c r="N1003">
        <v>7000</v>
      </c>
      <c r="O1003">
        <v>7</v>
      </c>
      <c r="P1003">
        <v>4236</v>
      </c>
      <c r="Q1003">
        <v>0</v>
      </c>
      <c r="R1003">
        <v>113432093152</v>
      </c>
      <c r="S1003">
        <v>98484652.359999999</v>
      </c>
      <c r="T1003">
        <v>108975592088.06</v>
      </c>
      <c r="U1003">
        <v>112619746579.17999</v>
      </c>
      <c r="V1003">
        <v>0.37507600000000002</v>
      </c>
      <c r="W1003">
        <v>7.2959999999999997E-2</v>
      </c>
      <c r="Y1003" t="s">
        <v>0</v>
      </c>
      <c r="Z1003">
        <v>7250</v>
      </c>
      <c r="AA1003">
        <v>6</v>
      </c>
      <c r="AB1003">
        <v>4814</v>
      </c>
      <c r="AC1003">
        <v>0</v>
      </c>
      <c r="AD1003">
        <v>134388259923</v>
      </c>
      <c r="AE1003">
        <v>110629927.43000001</v>
      </c>
      <c r="AF1003">
        <v>128433145948</v>
      </c>
      <c r="AG1003">
        <v>133688927961.2</v>
      </c>
      <c r="AH1003">
        <v>0.41348800000000002</v>
      </c>
      <c r="AI1003">
        <v>5.1318999999999997E-2</v>
      </c>
    </row>
    <row r="1004" spans="1:35" x14ac:dyDescent="0.35">
      <c r="A1004" t="s">
        <v>2</v>
      </c>
      <c r="B1004">
        <v>5750</v>
      </c>
      <c r="C1004">
        <v>7</v>
      </c>
      <c r="D1004">
        <v>185</v>
      </c>
      <c r="E1004">
        <v>0</v>
      </c>
      <c r="F1004">
        <v>3906888119</v>
      </c>
      <c r="G1004">
        <v>4275944.59</v>
      </c>
      <c r="H1004">
        <v>3896255460.2399998</v>
      </c>
      <c r="I1004">
        <v>3901613897.6999998</v>
      </c>
      <c r="J1004">
        <v>1.9351E-2</v>
      </c>
      <c r="K1004">
        <v>3.0620000000000001E-3</v>
      </c>
      <c r="M1004" t="s">
        <v>0</v>
      </c>
      <c r="N1004">
        <v>7250</v>
      </c>
      <c r="O1004">
        <v>7</v>
      </c>
      <c r="P1004">
        <v>3816</v>
      </c>
      <c r="Q1004">
        <v>0</v>
      </c>
      <c r="R1004">
        <v>104156955115</v>
      </c>
      <c r="S1004">
        <v>86455040.939999998</v>
      </c>
      <c r="T1004">
        <v>99362321755.270004</v>
      </c>
      <c r="U1004">
        <v>103756896583.21001</v>
      </c>
      <c r="V1004">
        <v>0.42597099999999999</v>
      </c>
      <c r="W1004">
        <v>3.5538E-2</v>
      </c>
      <c r="Y1004" t="s">
        <v>1</v>
      </c>
      <c r="Z1004">
        <v>7250</v>
      </c>
      <c r="AA1004">
        <v>6</v>
      </c>
      <c r="AB1004">
        <v>1675</v>
      </c>
      <c r="AC1004">
        <v>0</v>
      </c>
      <c r="AD1004">
        <v>54085273828</v>
      </c>
      <c r="AE1004">
        <v>44710405.009999998</v>
      </c>
      <c r="AF1004">
        <v>50756917216</v>
      </c>
      <c r="AG1004">
        <v>53628685786.690002</v>
      </c>
      <c r="AH1004">
        <v>0.52839000000000003</v>
      </c>
      <c r="AI1004">
        <v>8.7651999999999994E-2</v>
      </c>
    </row>
    <row r="1005" spans="1:35" x14ac:dyDescent="0.35">
      <c r="A1005" t="s">
        <v>0</v>
      </c>
      <c r="B1005">
        <v>7250</v>
      </c>
      <c r="C1005">
        <v>7</v>
      </c>
      <c r="D1005">
        <v>4643</v>
      </c>
      <c r="E1005">
        <v>0</v>
      </c>
      <c r="F1005">
        <v>128461607061</v>
      </c>
      <c r="G1005">
        <v>106477164.65000001</v>
      </c>
      <c r="H1005">
        <v>121465335047.42999</v>
      </c>
      <c r="I1005">
        <v>127945798501.55</v>
      </c>
      <c r="J1005">
        <v>0.48392299999999999</v>
      </c>
      <c r="K1005">
        <v>3.7574000000000003E-2</v>
      </c>
      <c r="M1005" t="s">
        <v>0</v>
      </c>
      <c r="N1005">
        <v>7500</v>
      </c>
      <c r="O1005">
        <v>8</v>
      </c>
      <c r="P1005">
        <v>813</v>
      </c>
      <c r="Q1005">
        <v>0</v>
      </c>
      <c r="R1005">
        <v>20860931843</v>
      </c>
      <c r="S1005">
        <v>16572835.9</v>
      </c>
      <c r="T1005">
        <v>20104714557.790001</v>
      </c>
      <c r="U1005">
        <v>20749773853.209999</v>
      </c>
      <c r="V1005">
        <v>0.35156799999999999</v>
      </c>
      <c r="W1005">
        <v>5.3072000000000001E-2</v>
      </c>
      <c r="Y1005" t="s">
        <v>0</v>
      </c>
      <c r="Z1005">
        <v>6750</v>
      </c>
      <c r="AA1005">
        <v>6</v>
      </c>
      <c r="AB1005">
        <v>15348</v>
      </c>
      <c r="AC1005">
        <v>0</v>
      </c>
      <c r="AD1005">
        <v>467540371434</v>
      </c>
      <c r="AE1005">
        <v>424876170.31999999</v>
      </c>
      <c r="AF1005">
        <v>454762140889</v>
      </c>
      <c r="AG1005">
        <v>465624039550.35999</v>
      </c>
      <c r="AH1005">
        <v>0.27481499999999998</v>
      </c>
      <c r="AI1005">
        <v>3.7615999999999997E-2</v>
      </c>
    </row>
    <row r="1006" spans="1:35" x14ac:dyDescent="0.35">
      <c r="A1006" t="s">
        <v>1</v>
      </c>
      <c r="B1006">
        <v>7250</v>
      </c>
      <c r="C1006">
        <v>7</v>
      </c>
      <c r="D1006">
        <v>1587</v>
      </c>
      <c r="E1006">
        <v>0</v>
      </c>
      <c r="F1006">
        <v>50784417216</v>
      </c>
      <c r="G1006">
        <v>42238946.670000002</v>
      </c>
      <c r="H1006">
        <v>31245324691.549999</v>
      </c>
      <c r="I1006">
        <v>50470019857.610001</v>
      </c>
      <c r="J1006">
        <v>0.99700999999999995</v>
      </c>
      <c r="K1006">
        <v>6.2447000000000003E-2</v>
      </c>
      <c r="M1006" t="s">
        <v>1</v>
      </c>
      <c r="N1006">
        <v>6500</v>
      </c>
      <c r="O1006">
        <v>8</v>
      </c>
      <c r="P1006">
        <v>2127</v>
      </c>
      <c r="Q1006">
        <v>0</v>
      </c>
      <c r="R1006">
        <v>75921148402</v>
      </c>
      <c r="S1006">
        <v>72908300.310000002</v>
      </c>
      <c r="T1006">
        <v>67304111533.449997</v>
      </c>
      <c r="U1006">
        <v>75750056538.649994</v>
      </c>
      <c r="V1006">
        <v>0.76133499999999998</v>
      </c>
      <c r="W1006">
        <v>1.5409000000000001E-2</v>
      </c>
      <c r="Y1006" t="s">
        <v>1</v>
      </c>
      <c r="Z1006">
        <v>6750</v>
      </c>
      <c r="AA1006">
        <v>5</v>
      </c>
      <c r="AB1006">
        <v>33736</v>
      </c>
      <c r="AC1006">
        <v>0</v>
      </c>
      <c r="AD1006">
        <v>1190554700000</v>
      </c>
      <c r="AE1006">
        <v>1065756093</v>
      </c>
      <c r="AF1006">
        <v>1184600854527</v>
      </c>
      <c r="AG1006">
        <v>1187087204429.9299</v>
      </c>
      <c r="AH1006">
        <v>4.8170999999999999E-2</v>
      </c>
      <c r="AI1006">
        <v>2.3941E-2</v>
      </c>
    </row>
    <row r="1007" spans="1:35" x14ac:dyDescent="0.35">
      <c r="A1007" t="s">
        <v>0</v>
      </c>
      <c r="B1007">
        <v>6750</v>
      </c>
      <c r="C1007">
        <v>7</v>
      </c>
      <c r="D1007">
        <v>15017</v>
      </c>
      <c r="E1007">
        <v>0</v>
      </c>
      <c r="F1007">
        <v>454845940889</v>
      </c>
      <c r="G1007">
        <v>416018618.76999998</v>
      </c>
      <c r="H1007">
        <v>436062661649.26001</v>
      </c>
      <c r="I1007">
        <v>452641475432.63</v>
      </c>
      <c r="J1007">
        <v>0.390204</v>
      </c>
      <c r="K1007">
        <v>4.6177000000000003E-2</v>
      </c>
      <c r="M1007" t="s">
        <v>0</v>
      </c>
      <c r="N1007">
        <v>6750</v>
      </c>
      <c r="O1007">
        <v>7</v>
      </c>
      <c r="P1007">
        <v>12932</v>
      </c>
      <c r="Q1007">
        <v>0</v>
      </c>
      <c r="R1007">
        <v>390652626790</v>
      </c>
      <c r="S1007">
        <v>356730685.19999999</v>
      </c>
      <c r="T1007">
        <v>375790223585.29999</v>
      </c>
      <c r="U1007">
        <v>389496378923.07001</v>
      </c>
      <c r="V1007">
        <v>0.36495899999999998</v>
      </c>
      <c r="W1007">
        <v>2.4285000000000001E-2</v>
      </c>
      <c r="Y1007" t="s">
        <v>2</v>
      </c>
      <c r="Z1007">
        <v>6250</v>
      </c>
      <c r="AA1007">
        <v>6</v>
      </c>
      <c r="AB1007">
        <v>814</v>
      </c>
      <c r="AC1007">
        <v>0</v>
      </c>
      <c r="AD1007">
        <v>17148230507</v>
      </c>
      <c r="AE1007">
        <v>17054345.190000001</v>
      </c>
      <c r="AF1007">
        <v>17111644639</v>
      </c>
      <c r="AG1007">
        <v>17111644639</v>
      </c>
      <c r="AH1007">
        <v>1.3582E-2</v>
      </c>
      <c r="AI1007">
        <v>1.3582E-2</v>
      </c>
    </row>
    <row r="1008" spans="1:35" x14ac:dyDescent="0.35">
      <c r="A1008" t="s">
        <v>1</v>
      </c>
      <c r="B1008">
        <v>6750</v>
      </c>
      <c r="C1008">
        <v>6</v>
      </c>
      <c r="D1008">
        <v>8676</v>
      </c>
      <c r="E1008">
        <v>0</v>
      </c>
      <c r="F1008">
        <v>323392154527</v>
      </c>
      <c r="G1008">
        <v>294331722.35000002</v>
      </c>
      <c r="H1008">
        <v>314551326829.53998</v>
      </c>
      <c r="I1008">
        <v>322769674033.65002</v>
      </c>
      <c r="J1008">
        <v>0.27486500000000003</v>
      </c>
      <c r="K1008">
        <v>1.2109E-2</v>
      </c>
      <c r="M1008" t="s">
        <v>1</v>
      </c>
      <c r="N1008">
        <v>7250</v>
      </c>
      <c r="O1008">
        <v>7</v>
      </c>
      <c r="P1008">
        <v>1766</v>
      </c>
      <c r="Q1008">
        <v>0</v>
      </c>
      <c r="R1008">
        <v>53078994940</v>
      </c>
      <c r="S1008">
        <v>44117468</v>
      </c>
      <c r="T1008">
        <v>32576790349.630001</v>
      </c>
      <c r="U1008">
        <v>52910061412.639999</v>
      </c>
      <c r="V1008">
        <v>0.99709700000000001</v>
      </c>
      <c r="W1008">
        <v>2.7855999999999999E-2</v>
      </c>
      <c r="Y1008" t="s">
        <v>1</v>
      </c>
      <c r="Z1008">
        <v>6250</v>
      </c>
      <c r="AA1008">
        <v>6</v>
      </c>
      <c r="AB1008">
        <v>12002</v>
      </c>
      <c r="AC1008">
        <v>0</v>
      </c>
      <c r="AD1008">
        <v>487629753662</v>
      </c>
      <c r="AE1008">
        <v>485549765.60000002</v>
      </c>
      <c r="AF1008">
        <v>476069973626</v>
      </c>
      <c r="AG1008">
        <v>485664498839.31</v>
      </c>
      <c r="AH1008">
        <v>0.24093400000000001</v>
      </c>
      <c r="AI1008">
        <v>3.5811999999999997E-2</v>
      </c>
    </row>
    <row r="1009" spans="1:35" x14ac:dyDescent="0.35">
      <c r="A1009" t="s">
        <v>2</v>
      </c>
      <c r="B1009">
        <v>6250</v>
      </c>
      <c r="C1009">
        <v>7</v>
      </c>
      <c r="D1009">
        <v>814</v>
      </c>
      <c r="E1009">
        <v>0</v>
      </c>
      <c r="F1009">
        <v>17111644639</v>
      </c>
      <c r="G1009">
        <v>17122876.030000001</v>
      </c>
      <c r="H1009">
        <v>17059567614.719999</v>
      </c>
      <c r="I1009">
        <v>17092832715.280001</v>
      </c>
      <c r="J1009">
        <v>2.4239E-2</v>
      </c>
      <c r="K1009">
        <v>1.1839999999999999E-3</v>
      </c>
      <c r="M1009" t="s">
        <v>0</v>
      </c>
      <c r="N1009">
        <v>7500</v>
      </c>
      <c r="O1009">
        <v>7</v>
      </c>
      <c r="P1009">
        <v>1100</v>
      </c>
      <c r="Q1009">
        <v>0</v>
      </c>
      <c r="R1009">
        <v>28426020316</v>
      </c>
      <c r="S1009">
        <v>22445147.039999999</v>
      </c>
      <c r="T1009">
        <v>26479959702.490002</v>
      </c>
      <c r="U1009">
        <v>28332183543.330002</v>
      </c>
      <c r="V1009">
        <v>0.56864899999999996</v>
      </c>
      <c r="W1009">
        <v>2.9725000000000001E-2</v>
      </c>
      <c r="Y1009" t="s">
        <v>0</v>
      </c>
      <c r="Z1009">
        <v>5750</v>
      </c>
      <c r="AA1009">
        <v>6</v>
      </c>
      <c r="AB1009">
        <v>4578</v>
      </c>
      <c r="AC1009">
        <v>0</v>
      </c>
      <c r="AD1009">
        <v>156541608629</v>
      </c>
      <c r="AE1009">
        <v>170836007.16</v>
      </c>
      <c r="AF1009">
        <v>155624943756</v>
      </c>
      <c r="AG1009">
        <v>156089989876.73001</v>
      </c>
      <c r="AH1009">
        <v>5.5697999999999998E-2</v>
      </c>
      <c r="AI1009">
        <v>2.1312999999999999E-2</v>
      </c>
    </row>
    <row r="1010" spans="1:35" x14ac:dyDescent="0.35">
      <c r="A1010" t="s">
        <v>1</v>
      </c>
      <c r="B1010">
        <v>6250</v>
      </c>
      <c r="C1010">
        <v>7</v>
      </c>
      <c r="D1010">
        <v>11786</v>
      </c>
      <c r="E1010">
        <v>0</v>
      </c>
      <c r="F1010">
        <v>476085273626</v>
      </c>
      <c r="G1010">
        <v>476896418.06</v>
      </c>
      <c r="H1010">
        <v>400210527800.28998</v>
      </c>
      <c r="I1010">
        <v>475238313239.60999</v>
      </c>
      <c r="J1010">
        <v>0.87368599999999996</v>
      </c>
      <c r="K1010">
        <v>9.2879999999999994E-3</v>
      </c>
      <c r="M1010" t="s">
        <v>1</v>
      </c>
      <c r="N1010">
        <v>6500</v>
      </c>
      <c r="O1010">
        <v>6</v>
      </c>
      <c r="P1010">
        <v>3505</v>
      </c>
      <c r="Q1010">
        <v>0</v>
      </c>
      <c r="R1010">
        <v>128635349511</v>
      </c>
      <c r="S1010">
        <v>121684536.05</v>
      </c>
      <c r="T1010">
        <v>126221999891.59</v>
      </c>
      <c r="U1010">
        <v>128445671565.74001</v>
      </c>
      <c r="V1010">
        <v>0.19403100000000001</v>
      </c>
      <c r="W1010">
        <v>6.3239999999999998E-3</v>
      </c>
      <c r="Y1010" t="s">
        <v>0</v>
      </c>
      <c r="Z1010">
        <v>5750</v>
      </c>
      <c r="AA1010">
        <v>7</v>
      </c>
      <c r="AB1010">
        <v>6408</v>
      </c>
      <c r="AC1010">
        <v>0</v>
      </c>
      <c r="AD1010">
        <v>222471966182</v>
      </c>
      <c r="AE1010">
        <v>244419850.03</v>
      </c>
      <c r="AF1010">
        <v>221244577006</v>
      </c>
      <c r="AG1010">
        <v>222159187695.38</v>
      </c>
      <c r="AH1010">
        <v>5.1750999999999998E-2</v>
      </c>
      <c r="AI1010">
        <v>3.6809999999999998E-3</v>
      </c>
    </row>
    <row r="1011" spans="1:35" x14ac:dyDescent="0.35">
      <c r="A1011" t="s">
        <v>0</v>
      </c>
      <c r="B1011">
        <v>5750</v>
      </c>
      <c r="C1011">
        <v>7</v>
      </c>
      <c r="D1011">
        <v>4560</v>
      </c>
      <c r="E1011">
        <v>0</v>
      </c>
      <c r="F1011">
        <v>155624943756</v>
      </c>
      <c r="G1011">
        <v>170830013.36000001</v>
      </c>
      <c r="H1011">
        <v>154370060346.25</v>
      </c>
      <c r="I1011">
        <v>155378263994.04001</v>
      </c>
      <c r="J1011">
        <v>8.0460000000000004E-2</v>
      </c>
      <c r="K1011">
        <v>5.8329999999999996E-3</v>
      </c>
      <c r="M1011" t="s">
        <v>0</v>
      </c>
      <c r="N1011">
        <v>6750</v>
      </c>
      <c r="O1011">
        <v>6</v>
      </c>
      <c r="P1011">
        <v>14841</v>
      </c>
      <c r="Q1011">
        <v>0</v>
      </c>
      <c r="R1011">
        <v>439046728874</v>
      </c>
      <c r="S1011">
        <v>398933615.73000002</v>
      </c>
      <c r="T1011">
        <v>425406430716.51001</v>
      </c>
      <c r="U1011">
        <v>437375284305.98999</v>
      </c>
      <c r="V1011">
        <v>0.30752400000000002</v>
      </c>
      <c r="W1011">
        <v>3.4230999999999998E-2</v>
      </c>
      <c r="Y1011" t="s">
        <v>1</v>
      </c>
      <c r="Z1011">
        <v>5750</v>
      </c>
      <c r="AA1011">
        <v>6</v>
      </c>
      <c r="AB1011">
        <v>5718</v>
      </c>
      <c r="AC1011">
        <v>0</v>
      </c>
      <c r="AD1011">
        <v>244006751980</v>
      </c>
      <c r="AE1011">
        <v>266256177.43000001</v>
      </c>
      <c r="AF1011">
        <v>241545129903</v>
      </c>
      <c r="AG1011">
        <v>243236701179.69</v>
      </c>
      <c r="AH1011">
        <v>0.10278</v>
      </c>
      <c r="AI1011">
        <v>2.4497000000000001E-2</v>
      </c>
    </row>
    <row r="1012" spans="1:35" x14ac:dyDescent="0.35">
      <c r="A1012" t="s">
        <v>0</v>
      </c>
      <c r="B1012">
        <v>5750</v>
      </c>
      <c r="C1012">
        <v>8</v>
      </c>
      <c r="D1012">
        <v>6379</v>
      </c>
      <c r="E1012">
        <v>0</v>
      </c>
      <c r="F1012">
        <v>221244577006</v>
      </c>
      <c r="G1012">
        <v>244495918.38</v>
      </c>
      <c r="H1012">
        <v>219812987363.07001</v>
      </c>
      <c r="I1012">
        <v>220849443986.69</v>
      </c>
      <c r="J1012">
        <v>6.2520000000000006E-2</v>
      </c>
      <c r="K1012">
        <v>8.1399999999999997E-3</v>
      </c>
      <c r="M1012" t="s">
        <v>0</v>
      </c>
      <c r="N1012">
        <v>7250</v>
      </c>
      <c r="O1012">
        <v>6</v>
      </c>
      <c r="P1012">
        <v>3780</v>
      </c>
      <c r="Q1012">
        <v>0</v>
      </c>
      <c r="R1012">
        <v>101056283226</v>
      </c>
      <c r="S1012">
        <v>83244357.189999998</v>
      </c>
      <c r="T1012">
        <v>97218551553.970001</v>
      </c>
      <c r="U1012">
        <v>100714862192.09</v>
      </c>
      <c r="V1012">
        <v>0.365122</v>
      </c>
      <c r="W1012">
        <v>3.023E-2</v>
      </c>
      <c r="Y1012" t="s">
        <v>0</v>
      </c>
      <c r="Z1012">
        <v>5500</v>
      </c>
      <c r="AA1012">
        <v>6</v>
      </c>
      <c r="AB1012">
        <v>2071</v>
      </c>
      <c r="AC1012">
        <v>0</v>
      </c>
      <c r="AD1012">
        <v>70671832802</v>
      </c>
      <c r="AE1012">
        <v>80699344.450000003</v>
      </c>
      <c r="AF1012">
        <v>70434715511</v>
      </c>
      <c r="AG1012">
        <v>70487849177.080002</v>
      </c>
      <c r="AH1012">
        <v>2.6238999999999998E-2</v>
      </c>
      <c r="AI1012">
        <v>1.7396999999999999E-2</v>
      </c>
    </row>
    <row r="1013" spans="1:35" x14ac:dyDescent="0.35">
      <c r="A1013" t="s">
        <v>1</v>
      </c>
      <c r="B1013">
        <v>5750</v>
      </c>
      <c r="C1013">
        <v>7</v>
      </c>
      <c r="D1013">
        <v>5683</v>
      </c>
      <c r="E1013">
        <v>0</v>
      </c>
      <c r="F1013">
        <v>241485329903</v>
      </c>
      <c r="G1013">
        <v>265051995.28999999</v>
      </c>
      <c r="H1013">
        <v>220301538563.54999</v>
      </c>
      <c r="I1013">
        <v>240995101909</v>
      </c>
      <c r="J1013">
        <v>0.66287799999999997</v>
      </c>
      <c r="K1013">
        <v>1.1132E-2</v>
      </c>
      <c r="M1013" t="s">
        <v>1</v>
      </c>
      <c r="N1013">
        <v>6250</v>
      </c>
      <c r="O1013">
        <v>8</v>
      </c>
      <c r="P1013">
        <v>6624</v>
      </c>
      <c r="Q1013">
        <v>0</v>
      </c>
      <c r="R1013">
        <v>254490364952</v>
      </c>
      <c r="S1013">
        <v>256182425.91999999</v>
      </c>
      <c r="T1013">
        <v>230916307144.89001</v>
      </c>
      <c r="U1013">
        <v>253923581996.45999</v>
      </c>
      <c r="V1013">
        <v>0.68437000000000003</v>
      </c>
      <c r="W1013">
        <v>1.4548E-2</v>
      </c>
      <c r="Y1013" t="s">
        <v>1</v>
      </c>
      <c r="Z1013">
        <v>5500</v>
      </c>
      <c r="AA1013">
        <v>6</v>
      </c>
      <c r="AB1013">
        <v>1467</v>
      </c>
      <c r="AC1013">
        <v>0</v>
      </c>
      <c r="AD1013">
        <v>63077026263</v>
      </c>
      <c r="AE1013">
        <v>71947278.5</v>
      </c>
      <c r="AF1013">
        <v>62755643369</v>
      </c>
      <c r="AG1013">
        <v>62835870450.57</v>
      </c>
      <c r="AH1013">
        <v>4.6434999999999997E-2</v>
      </c>
      <c r="AI1013">
        <v>3.1719999999999998E-2</v>
      </c>
    </row>
    <row r="1014" spans="1:35" x14ac:dyDescent="0.35">
      <c r="A1014" t="s">
        <v>0</v>
      </c>
      <c r="B1014">
        <v>5500</v>
      </c>
      <c r="C1014">
        <v>7</v>
      </c>
      <c r="D1014">
        <v>2070</v>
      </c>
      <c r="E1014">
        <v>0</v>
      </c>
      <c r="F1014">
        <v>70444215511</v>
      </c>
      <c r="G1014">
        <v>80896589.829999998</v>
      </c>
      <c r="H1014">
        <v>70121761488.770004</v>
      </c>
      <c r="I1014">
        <v>70328307037.910004</v>
      </c>
      <c r="J1014">
        <v>4.0381E-2</v>
      </c>
      <c r="K1014">
        <v>5.9480000000000002E-3</v>
      </c>
      <c r="M1014" t="s">
        <v>1</v>
      </c>
      <c r="N1014">
        <v>5500</v>
      </c>
      <c r="O1014">
        <v>7</v>
      </c>
      <c r="P1014">
        <v>550</v>
      </c>
      <c r="Q1014">
        <v>0</v>
      </c>
      <c r="R1014">
        <v>21667808132</v>
      </c>
      <c r="S1014">
        <v>24864789.91</v>
      </c>
      <c r="T1014">
        <v>21434190785.580002</v>
      </c>
      <c r="U1014">
        <v>21632350305.16</v>
      </c>
      <c r="V1014">
        <v>0.109677</v>
      </c>
      <c r="W1014">
        <v>5.8510000000000003E-3</v>
      </c>
      <c r="Y1014" t="s">
        <v>0</v>
      </c>
      <c r="Z1014">
        <v>7750</v>
      </c>
      <c r="AA1014">
        <v>6</v>
      </c>
      <c r="AB1014">
        <v>1077</v>
      </c>
      <c r="AC1014">
        <v>0</v>
      </c>
      <c r="AD1014">
        <v>28850449106</v>
      </c>
      <c r="AE1014">
        <v>21482138.670000002</v>
      </c>
      <c r="AF1014">
        <v>27651317510</v>
      </c>
      <c r="AG1014">
        <v>28680490105.709999</v>
      </c>
      <c r="AH1014">
        <v>0.39353399999999999</v>
      </c>
      <c r="AI1014">
        <v>6.0039000000000002E-2</v>
      </c>
    </row>
    <row r="1015" spans="1:35" x14ac:dyDescent="0.35">
      <c r="A1015" t="s">
        <v>1</v>
      </c>
      <c r="B1015">
        <v>5500</v>
      </c>
      <c r="C1015">
        <v>7</v>
      </c>
      <c r="D1015">
        <v>1461</v>
      </c>
      <c r="E1015">
        <v>0</v>
      </c>
      <c r="F1015">
        <v>62713443369</v>
      </c>
      <c r="G1015">
        <v>71939939.299999997</v>
      </c>
      <c r="H1015">
        <v>61486769348.57</v>
      </c>
      <c r="I1015">
        <v>62584409063.309998</v>
      </c>
      <c r="J1015">
        <v>0.19989599999999999</v>
      </c>
      <c r="K1015">
        <v>1.0869999999999999E-2</v>
      </c>
      <c r="M1015" t="s">
        <v>1</v>
      </c>
      <c r="N1015">
        <v>5750</v>
      </c>
      <c r="O1015">
        <v>8</v>
      </c>
      <c r="P1015">
        <v>4059</v>
      </c>
      <c r="Q1015">
        <v>0</v>
      </c>
      <c r="R1015">
        <v>164957412968</v>
      </c>
      <c r="S1015">
        <v>181582623.69999999</v>
      </c>
      <c r="T1015">
        <v>159836173405.17999</v>
      </c>
      <c r="U1015">
        <v>164632512037.76001</v>
      </c>
      <c r="V1015">
        <v>0.30568600000000001</v>
      </c>
      <c r="W1015">
        <v>1.0376E-2</v>
      </c>
      <c r="Y1015" t="s">
        <v>0</v>
      </c>
      <c r="Z1015">
        <v>7500</v>
      </c>
      <c r="AA1015">
        <v>6</v>
      </c>
      <c r="AB1015">
        <v>953</v>
      </c>
      <c r="AC1015">
        <v>0</v>
      </c>
      <c r="AD1015">
        <v>26515913148</v>
      </c>
      <c r="AE1015">
        <v>20758719.010000002</v>
      </c>
      <c r="AF1015">
        <v>25442108654</v>
      </c>
      <c r="AG1015">
        <v>26441302783.310001</v>
      </c>
      <c r="AH1015">
        <v>0.38509399999999999</v>
      </c>
      <c r="AI1015">
        <v>2.4101000000000001E-2</v>
      </c>
    </row>
    <row r="1016" spans="1:35" x14ac:dyDescent="0.35">
      <c r="A1016" t="s">
        <v>0</v>
      </c>
      <c r="B1016">
        <v>7750</v>
      </c>
      <c r="C1016">
        <v>7</v>
      </c>
      <c r="D1016">
        <v>1044</v>
      </c>
      <c r="E1016">
        <v>0</v>
      </c>
      <c r="F1016">
        <v>27651317510</v>
      </c>
      <c r="G1016">
        <v>20740624.969999999</v>
      </c>
      <c r="H1016">
        <v>26404764904.529999</v>
      </c>
      <c r="I1016">
        <v>27507563295.619999</v>
      </c>
      <c r="J1016">
        <v>0.41965000000000002</v>
      </c>
      <c r="K1016">
        <v>5.2097999999999998E-2</v>
      </c>
      <c r="M1016" t="s">
        <v>1</v>
      </c>
      <c r="N1016">
        <v>5750</v>
      </c>
      <c r="O1016">
        <v>7</v>
      </c>
      <c r="P1016">
        <v>2041</v>
      </c>
      <c r="Q1016">
        <v>0</v>
      </c>
      <c r="R1016">
        <v>83955620771</v>
      </c>
      <c r="S1016">
        <v>92119211.950000003</v>
      </c>
      <c r="T1016">
        <v>79228650215.419998</v>
      </c>
      <c r="U1016">
        <v>83781919261.25</v>
      </c>
      <c r="V1016">
        <v>0.49412200000000001</v>
      </c>
      <c r="W1016">
        <v>1.1599E-2</v>
      </c>
      <c r="Y1016" t="s">
        <v>0</v>
      </c>
      <c r="Z1016">
        <v>7750</v>
      </c>
      <c r="AA1016">
        <v>7</v>
      </c>
      <c r="AB1016">
        <v>787</v>
      </c>
      <c r="AC1016">
        <v>0</v>
      </c>
      <c r="AD1016">
        <v>21226946700</v>
      </c>
      <c r="AE1016">
        <v>15878948.039999999</v>
      </c>
      <c r="AF1016">
        <v>20168355552</v>
      </c>
      <c r="AG1016">
        <v>20932516992.950001</v>
      </c>
      <c r="AH1016">
        <v>0.45361699999999999</v>
      </c>
      <c r="AI1016">
        <v>0.146588</v>
      </c>
    </row>
    <row r="1017" spans="1:35" x14ac:dyDescent="0.35">
      <c r="A1017" t="s">
        <v>0</v>
      </c>
      <c r="B1017">
        <v>7500</v>
      </c>
      <c r="C1017">
        <v>7</v>
      </c>
      <c r="D1017">
        <v>926</v>
      </c>
      <c r="E1017">
        <v>0</v>
      </c>
      <c r="F1017">
        <v>25442108654</v>
      </c>
      <c r="G1017">
        <v>20058417.780000001</v>
      </c>
      <c r="H1017">
        <v>24100814994.490002</v>
      </c>
      <c r="I1017">
        <v>25317241188.360001</v>
      </c>
      <c r="J1017">
        <v>0.47267399999999998</v>
      </c>
      <c r="K1017">
        <v>4.8328999999999997E-2</v>
      </c>
      <c r="M1017" t="s">
        <v>2</v>
      </c>
      <c r="N1017">
        <v>6250</v>
      </c>
      <c r="O1017">
        <v>7</v>
      </c>
      <c r="P1017">
        <v>463</v>
      </c>
      <c r="Q1017">
        <v>0</v>
      </c>
      <c r="R1017">
        <v>9783321891</v>
      </c>
      <c r="S1017">
        <v>9770528.2300000004</v>
      </c>
      <c r="T1017">
        <v>9752868908.0699997</v>
      </c>
      <c r="U1017">
        <v>9772184046.7700005</v>
      </c>
      <c r="V1017">
        <v>2.5076000000000001E-2</v>
      </c>
      <c r="W1017">
        <v>1.676E-3</v>
      </c>
      <c r="Y1017" t="s">
        <v>0</v>
      </c>
      <c r="Z1017">
        <v>7500</v>
      </c>
      <c r="AA1017">
        <v>7</v>
      </c>
      <c r="AB1017">
        <v>852</v>
      </c>
      <c r="AC1017">
        <v>0</v>
      </c>
      <c r="AD1017">
        <v>20779645325</v>
      </c>
      <c r="AE1017">
        <v>16360444.310000001</v>
      </c>
      <c r="AF1017">
        <v>19595049717</v>
      </c>
      <c r="AG1017">
        <v>20747803051.549999</v>
      </c>
      <c r="AH1017">
        <v>0.50060000000000004</v>
      </c>
      <c r="AI1017">
        <v>8.9040000000000005E-3</v>
      </c>
    </row>
    <row r="1018" spans="1:35" x14ac:dyDescent="0.35">
      <c r="A1018" t="s">
        <v>0</v>
      </c>
      <c r="B1018">
        <v>7750</v>
      </c>
      <c r="C1018">
        <v>8</v>
      </c>
      <c r="D1018">
        <v>750</v>
      </c>
      <c r="E1018">
        <v>0</v>
      </c>
      <c r="F1018">
        <v>20238555552</v>
      </c>
      <c r="G1018">
        <v>15248671.470000001</v>
      </c>
      <c r="H1018">
        <v>19619011328.540001</v>
      </c>
      <c r="I1018">
        <v>20075364144.669998</v>
      </c>
      <c r="J1018">
        <v>0.30494300000000002</v>
      </c>
      <c r="K1018">
        <v>8.4277000000000005E-2</v>
      </c>
      <c r="M1018" t="s">
        <v>0</v>
      </c>
      <c r="N1018">
        <v>6250</v>
      </c>
      <c r="O1018">
        <v>7</v>
      </c>
      <c r="P1018">
        <v>9540</v>
      </c>
      <c r="Q1018">
        <v>0</v>
      </c>
      <c r="R1018">
        <v>322030715485</v>
      </c>
      <c r="S1018">
        <v>322020582.20999998</v>
      </c>
      <c r="T1018">
        <v>317195831941.96002</v>
      </c>
      <c r="U1018">
        <v>321266505462.72998</v>
      </c>
      <c r="V1018">
        <v>0.15579100000000001</v>
      </c>
      <c r="W1018">
        <v>1.6354E-2</v>
      </c>
      <c r="Y1018" t="s">
        <v>0</v>
      </c>
      <c r="Z1018">
        <v>7250</v>
      </c>
      <c r="AA1018">
        <v>7</v>
      </c>
      <c r="AB1018">
        <v>3375</v>
      </c>
      <c r="AC1018">
        <v>0</v>
      </c>
      <c r="AD1018">
        <v>89766824768</v>
      </c>
      <c r="AE1018">
        <v>74406869.219999999</v>
      </c>
      <c r="AF1018">
        <v>85108851925</v>
      </c>
      <c r="AG1018">
        <v>89083073472.669998</v>
      </c>
      <c r="AH1018">
        <v>0.46683599999999997</v>
      </c>
      <c r="AI1018">
        <v>7.8483999999999998E-2</v>
      </c>
    </row>
    <row r="1019" spans="1:35" x14ac:dyDescent="0.35">
      <c r="A1019" t="s">
        <v>0</v>
      </c>
      <c r="B1019">
        <v>7500</v>
      </c>
      <c r="C1019">
        <v>8</v>
      </c>
      <c r="D1019">
        <v>807</v>
      </c>
      <c r="E1019">
        <v>0</v>
      </c>
      <c r="F1019">
        <v>19595049717</v>
      </c>
      <c r="G1019">
        <v>15536271.59</v>
      </c>
      <c r="H1019">
        <v>18940191098.549999</v>
      </c>
      <c r="I1019">
        <v>19490198267.599998</v>
      </c>
      <c r="J1019">
        <v>0.328372</v>
      </c>
      <c r="K1019">
        <v>5.3345999999999998E-2</v>
      </c>
      <c r="M1019" t="s">
        <v>1</v>
      </c>
      <c r="N1019">
        <v>6250</v>
      </c>
      <c r="O1019">
        <v>7</v>
      </c>
      <c r="P1019">
        <v>7295</v>
      </c>
      <c r="Q1019">
        <v>0</v>
      </c>
      <c r="R1019">
        <v>298248917444</v>
      </c>
      <c r="S1019">
        <v>298405822.44</v>
      </c>
      <c r="T1019">
        <v>247201197242.89999</v>
      </c>
      <c r="U1019">
        <v>297665954851.48999</v>
      </c>
      <c r="V1019">
        <v>0.89335299999999995</v>
      </c>
      <c r="W1019">
        <v>1.1389E-2</v>
      </c>
      <c r="Y1019" t="s">
        <v>1</v>
      </c>
      <c r="Z1019">
        <v>6750</v>
      </c>
      <c r="AA1019">
        <v>7</v>
      </c>
      <c r="AB1019">
        <v>5780</v>
      </c>
      <c r="AC1019">
        <v>0</v>
      </c>
      <c r="AD1019">
        <v>198978260932</v>
      </c>
      <c r="AE1019">
        <v>182476974.05000001</v>
      </c>
      <c r="AF1019">
        <v>148471791447</v>
      </c>
      <c r="AG1019">
        <v>198305050909.17001</v>
      </c>
      <c r="AH1019">
        <v>0.96976799999999996</v>
      </c>
      <c r="AI1019">
        <v>2.9197000000000001E-2</v>
      </c>
    </row>
    <row r="1020" spans="1:35" x14ac:dyDescent="0.35">
      <c r="A1020" t="s">
        <v>0</v>
      </c>
      <c r="B1020">
        <v>7250</v>
      </c>
      <c r="C1020">
        <v>8</v>
      </c>
      <c r="D1020">
        <v>3232</v>
      </c>
      <c r="E1020">
        <v>0</v>
      </c>
      <c r="F1020">
        <v>85085851925</v>
      </c>
      <c r="G1020">
        <v>71012999.450000003</v>
      </c>
      <c r="H1020">
        <v>81824402220.610001</v>
      </c>
      <c r="I1020">
        <v>84643740420.059998</v>
      </c>
      <c r="J1020">
        <v>0.36784</v>
      </c>
      <c r="K1020">
        <v>5.11E-2</v>
      </c>
      <c r="M1020" t="s">
        <v>1</v>
      </c>
      <c r="N1020">
        <v>7000</v>
      </c>
      <c r="O1020">
        <v>7</v>
      </c>
      <c r="P1020">
        <v>1261</v>
      </c>
      <c r="Q1020">
        <v>0</v>
      </c>
      <c r="R1020">
        <v>38870962204</v>
      </c>
      <c r="S1020">
        <v>33802896.039999999</v>
      </c>
      <c r="T1020">
        <v>24989143116.82</v>
      </c>
      <c r="U1020">
        <v>38745685651.019997</v>
      </c>
      <c r="V1020">
        <v>0.99493500000000001</v>
      </c>
      <c r="W1020">
        <v>2.7876999999999999E-2</v>
      </c>
      <c r="Y1020" t="s">
        <v>0</v>
      </c>
      <c r="Z1020">
        <v>6250</v>
      </c>
      <c r="AA1020">
        <v>7</v>
      </c>
      <c r="AB1020">
        <v>16796</v>
      </c>
      <c r="AC1020">
        <v>0</v>
      </c>
      <c r="AD1020">
        <v>560393906728</v>
      </c>
      <c r="AE1020">
        <v>561938059.04999995</v>
      </c>
      <c r="AF1020">
        <v>544002168053</v>
      </c>
      <c r="AG1020">
        <v>559409971459.97998</v>
      </c>
      <c r="AH1020">
        <v>0.290966</v>
      </c>
      <c r="AI1020">
        <v>8.9990000000000001E-3</v>
      </c>
    </row>
    <row r="1021" spans="1:35" x14ac:dyDescent="0.35">
      <c r="A1021" t="s">
        <v>1</v>
      </c>
      <c r="B1021">
        <v>6750</v>
      </c>
      <c r="C1021">
        <v>8</v>
      </c>
      <c r="D1021">
        <v>4520</v>
      </c>
      <c r="E1021">
        <v>0</v>
      </c>
      <c r="F1021">
        <v>148529791447</v>
      </c>
      <c r="G1021">
        <v>136960297.43000001</v>
      </c>
      <c r="H1021">
        <v>127456793345.83</v>
      </c>
      <c r="I1021">
        <v>147789983962.10001</v>
      </c>
      <c r="J1021">
        <v>0.83849300000000004</v>
      </c>
      <c r="K1021">
        <v>4.7632000000000001E-2</v>
      </c>
      <c r="M1021" t="s">
        <v>2</v>
      </c>
      <c r="N1021">
        <v>6250</v>
      </c>
      <c r="O1021">
        <v>9</v>
      </c>
      <c r="P1021">
        <v>618</v>
      </c>
      <c r="Q1021">
        <v>0</v>
      </c>
      <c r="R1021">
        <v>12913781618</v>
      </c>
      <c r="S1021">
        <v>13098342.41</v>
      </c>
      <c r="T1021">
        <v>12856936619</v>
      </c>
      <c r="U1021">
        <v>12898575649.85</v>
      </c>
      <c r="V1021">
        <v>3.9902E-2</v>
      </c>
      <c r="W1021">
        <v>1.957E-3</v>
      </c>
      <c r="Y1021" t="s">
        <v>2</v>
      </c>
      <c r="Z1021">
        <v>5750</v>
      </c>
      <c r="AA1021">
        <v>7</v>
      </c>
      <c r="AB1021">
        <v>238</v>
      </c>
      <c r="AC1021">
        <v>0</v>
      </c>
      <c r="AD1021">
        <v>5497369382</v>
      </c>
      <c r="AE1021">
        <v>6017633.29</v>
      </c>
      <c r="AF1021">
        <v>5490292673</v>
      </c>
      <c r="AG1021">
        <v>5490292673</v>
      </c>
      <c r="AH1021">
        <v>2.3089999999999999E-3</v>
      </c>
      <c r="AI1021">
        <v>2.3089999999999999E-3</v>
      </c>
    </row>
    <row r="1022" spans="1:35" x14ac:dyDescent="0.35">
      <c r="A1022" t="s">
        <v>0</v>
      </c>
      <c r="B1022">
        <v>6250</v>
      </c>
      <c r="C1022">
        <v>8</v>
      </c>
      <c r="D1022">
        <v>16406</v>
      </c>
      <c r="E1022">
        <v>0</v>
      </c>
      <c r="F1022">
        <v>544004468053</v>
      </c>
      <c r="G1022">
        <v>548810623.15999997</v>
      </c>
      <c r="H1022">
        <v>531630211492.28998</v>
      </c>
      <c r="I1022">
        <v>542429838878</v>
      </c>
      <c r="J1022">
        <v>0.231819</v>
      </c>
      <c r="K1022">
        <v>2.2395000000000002E-2</v>
      </c>
      <c r="M1022" t="s">
        <v>2</v>
      </c>
      <c r="N1022">
        <v>7500</v>
      </c>
      <c r="O1022">
        <v>8</v>
      </c>
      <c r="P1022">
        <v>12</v>
      </c>
      <c r="Q1022">
        <v>0</v>
      </c>
      <c r="R1022">
        <v>181284644</v>
      </c>
      <c r="S1022">
        <v>144179.84</v>
      </c>
      <c r="T1022">
        <v>179676324.68000001</v>
      </c>
      <c r="U1022">
        <v>180873750.37</v>
      </c>
      <c r="V1022">
        <v>9.2726000000000003E-2</v>
      </c>
      <c r="W1022">
        <v>1.7513000000000001E-2</v>
      </c>
      <c r="Y1022" t="s">
        <v>1</v>
      </c>
      <c r="Z1022">
        <v>5500</v>
      </c>
      <c r="AA1022">
        <v>7</v>
      </c>
      <c r="AB1022">
        <v>2360</v>
      </c>
      <c r="AC1022">
        <v>0</v>
      </c>
      <c r="AD1022">
        <v>104746472487</v>
      </c>
      <c r="AE1022">
        <v>120166333.16</v>
      </c>
      <c r="AF1022">
        <v>103662579830</v>
      </c>
      <c r="AG1022">
        <v>104588293159.63</v>
      </c>
      <c r="AH1022">
        <v>0.104988</v>
      </c>
      <c r="AI1022">
        <v>4.346E-3</v>
      </c>
    </row>
    <row r="1023" spans="1:35" x14ac:dyDescent="0.35">
      <c r="A1023" t="s">
        <v>2</v>
      </c>
      <c r="B1023">
        <v>5750</v>
      </c>
      <c r="C1023">
        <v>8</v>
      </c>
      <c r="D1023">
        <v>237</v>
      </c>
      <c r="E1023">
        <v>0</v>
      </c>
      <c r="F1023">
        <v>5476992673</v>
      </c>
      <c r="G1023">
        <v>6030578.5</v>
      </c>
      <c r="H1023">
        <v>5463878931.6700001</v>
      </c>
      <c r="I1023">
        <v>5469293471.6599998</v>
      </c>
      <c r="J1023">
        <v>1.5409000000000001E-2</v>
      </c>
      <c r="K1023">
        <v>3.65E-3</v>
      </c>
      <c r="M1023" t="s">
        <v>0</v>
      </c>
      <c r="N1023">
        <v>7750</v>
      </c>
      <c r="O1023">
        <v>8</v>
      </c>
      <c r="P1023">
        <v>876</v>
      </c>
      <c r="Q1023">
        <v>0</v>
      </c>
      <c r="R1023">
        <v>23945291928</v>
      </c>
      <c r="S1023">
        <v>18074927.699999999</v>
      </c>
      <c r="T1023">
        <v>23229264348.18</v>
      </c>
      <c r="U1023">
        <v>23787586081.18</v>
      </c>
      <c r="V1023">
        <v>0.29880699999999999</v>
      </c>
      <c r="W1023">
        <v>6.7774000000000001E-2</v>
      </c>
      <c r="Y1023" t="s">
        <v>0</v>
      </c>
      <c r="Z1023">
        <v>5500</v>
      </c>
      <c r="AA1023">
        <v>7</v>
      </c>
      <c r="AB1023">
        <v>2794</v>
      </c>
      <c r="AC1023">
        <v>0</v>
      </c>
      <c r="AD1023">
        <v>94359733847</v>
      </c>
      <c r="AE1023">
        <v>108427571.64</v>
      </c>
      <c r="AF1023">
        <v>93888665511</v>
      </c>
      <c r="AG1023">
        <v>94205198463.300003</v>
      </c>
      <c r="AH1023">
        <v>4.5156000000000002E-2</v>
      </c>
      <c r="AI1023">
        <v>5.8479999999999999E-3</v>
      </c>
    </row>
    <row r="1024" spans="1:35" x14ac:dyDescent="0.35">
      <c r="A1024" t="s">
        <v>1</v>
      </c>
      <c r="B1024">
        <v>5500</v>
      </c>
      <c r="C1024">
        <v>8</v>
      </c>
      <c r="D1024">
        <v>2333</v>
      </c>
      <c r="E1024">
        <v>0</v>
      </c>
      <c r="F1024">
        <v>103662579830</v>
      </c>
      <c r="G1024">
        <v>119606053.23</v>
      </c>
      <c r="H1024">
        <v>101948546386.17</v>
      </c>
      <c r="I1024">
        <v>103467082935.50999</v>
      </c>
      <c r="J1024">
        <v>0.16973099999999999</v>
      </c>
      <c r="K1024">
        <v>8.7500000000000008E-3</v>
      </c>
      <c r="M1024" t="s">
        <v>0</v>
      </c>
      <c r="N1024">
        <v>7000</v>
      </c>
      <c r="O1024">
        <v>6</v>
      </c>
      <c r="P1024">
        <v>3717</v>
      </c>
      <c r="Q1024">
        <v>0</v>
      </c>
      <c r="R1024">
        <v>99494071752</v>
      </c>
      <c r="S1024">
        <v>85994384.010000005</v>
      </c>
      <c r="T1024">
        <v>96148957833.619995</v>
      </c>
      <c r="U1024">
        <v>99141166519.889999</v>
      </c>
      <c r="V1024">
        <v>0.32945600000000003</v>
      </c>
      <c r="W1024">
        <v>3.1720999999999999E-2</v>
      </c>
      <c r="Y1024" t="s">
        <v>1</v>
      </c>
      <c r="Z1024">
        <v>5250</v>
      </c>
      <c r="AA1024">
        <v>6</v>
      </c>
      <c r="AB1024">
        <v>701</v>
      </c>
      <c r="AC1024">
        <v>0</v>
      </c>
      <c r="AD1024">
        <v>28963185930</v>
      </c>
      <c r="AE1024">
        <v>34529727.25</v>
      </c>
      <c r="AF1024">
        <v>28841959155</v>
      </c>
      <c r="AG1024">
        <v>28867516293.209999</v>
      </c>
      <c r="AH1024">
        <v>3.5334999999999998E-2</v>
      </c>
      <c r="AI1024">
        <v>2.5038999999999999E-2</v>
      </c>
    </row>
    <row r="1025" spans="1:35" x14ac:dyDescent="0.35">
      <c r="A1025" t="s">
        <v>0</v>
      </c>
      <c r="B1025">
        <v>5500</v>
      </c>
      <c r="C1025">
        <v>8</v>
      </c>
      <c r="D1025">
        <v>2782</v>
      </c>
      <c r="E1025">
        <v>0</v>
      </c>
      <c r="F1025">
        <v>93879165511</v>
      </c>
      <c r="G1025">
        <v>108490875.53</v>
      </c>
      <c r="H1025">
        <v>93435663916.320007</v>
      </c>
      <c r="I1025">
        <v>93682760560.600006</v>
      </c>
      <c r="J1025">
        <v>4.1992000000000002E-2</v>
      </c>
      <c r="K1025">
        <v>1.1180000000000001E-2</v>
      </c>
      <c r="M1025" t="s">
        <v>0</v>
      </c>
      <c r="N1025">
        <v>6750</v>
      </c>
      <c r="O1025">
        <v>5</v>
      </c>
      <c r="P1025">
        <v>80380</v>
      </c>
      <c r="Q1025">
        <v>0</v>
      </c>
      <c r="R1025">
        <v>2417886700000</v>
      </c>
      <c r="S1025">
        <v>2154557856.7600002</v>
      </c>
      <c r="T1025">
        <v>2409272263480.9102</v>
      </c>
      <c r="U1025">
        <v>2414382856906.77</v>
      </c>
      <c r="V1025">
        <v>3.1593999999999997E-2</v>
      </c>
      <c r="W1025">
        <v>6.6759999999999996E-3</v>
      </c>
      <c r="Y1025" t="s">
        <v>1</v>
      </c>
      <c r="Z1025">
        <v>6750</v>
      </c>
      <c r="AA1025">
        <v>8</v>
      </c>
      <c r="AB1025">
        <v>5379</v>
      </c>
      <c r="AC1025">
        <v>0</v>
      </c>
      <c r="AD1025">
        <v>180960366060</v>
      </c>
      <c r="AE1025">
        <v>166822064.25999999</v>
      </c>
      <c r="AF1025">
        <v>159460337793</v>
      </c>
      <c r="AG1025">
        <v>180051014982.35001</v>
      </c>
      <c r="AH1025">
        <v>0.77803699999999998</v>
      </c>
      <c r="AI1025">
        <v>4.8142999999999998E-2</v>
      </c>
    </row>
    <row r="1026" spans="1:35" x14ac:dyDescent="0.35">
      <c r="A1026" t="s">
        <v>1</v>
      </c>
      <c r="B1026">
        <v>5250</v>
      </c>
      <c r="C1026">
        <v>7</v>
      </c>
      <c r="D1026">
        <v>700</v>
      </c>
      <c r="E1026">
        <v>0</v>
      </c>
      <c r="F1026">
        <v>28841959155</v>
      </c>
      <c r="G1026">
        <v>34575822.590000004</v>
      </c>
      <c r="H1026">
        <v>28541122569.66</v>
      </c>
      <c r="I1026">
        <v>28773936578</v>
      </c>
      <c r="J1026">
        <v>0.105325</v>
      </c>
      <c r="K1026">
        <v>1.3827000000000001E-2</v>
      </c>
      <c r="M1026" t="s">
        <v>0</v>
      </c>
      <c r="N1026">
        <v>7000</v>
      </c>
      <c r="O1026">
        <v>5</v>
      </c>
      <c r="P1026">
        <v>32135</v>
      </c>
      <c r="Q1026">
        <v>0</v>
      </c>
      <c r="R1026">
        <v>903229700000</v>
      </c>
      <c r="S1026">
        <v>765286075.86000001</v>
      </c>
      <c r="T1026">
        <v>900008785442.96997</v>
      </c>
      <c r="U1026">
        <v>901974182224.90002</v>
      </c>
      <c r="V1026">
        <v>3.2141000000000003E-2</v>
      </c>
      <c r="W1026">
        <v>6.4939999999999998E-3</v>
      </c>
      <c r="Y1026" t="s">
        <v>1</v>
      </c>
      <c r="Z1026">
        <v>5750</v>
      </c>
      <c r="AA1026">
        <v>7</v>
      </c>
      <c r="AB1026">
        <v>9630</v>
      </c>
      <c r="AC1026">
        <v>0</v>
      </c>
      <c r="AD1026">
        <v>413902686501</v>
      </c>
      <c r="AE1026">
        <v>455173175.69999999</v>
      </c>
      <c r="AF1026">
        <v>391133674492</v>
      </c>
      <c r="AG1026">
        <v>413079657183.69</v>
      </c>
      <c r="AH1026">
        <v>0.485738</v>
      </c>
      <c r="AI1026">
        <v>1.0612999999999999E-2</v>
      </c>
    </row>
    <row r="1027" spans="1:35" x14ac:dyDescent="0.35">
      <c r="A1027" t="s">
        <v>1</v>
      </c>
      <c r="B1027">
        <v>6750</v>
      </c>
      <c r="C1027">
        <v>9</v>
      </c>
      <c r="D1027">
        <v>4805</v>
      </c>
      <c r="E1027">
        <v>0</v>
      </c>
      <c r="F1027">
        <v>159435837793</v>
      </c>
      <c r="G1027">
        <v>147942704.78</v>
      </c>
      <c r="H1027">
        <v>144119793687.17001</v>
      </c>
      <c r="I1027">
        <v>158695980025.85001</v>
      </c>
      <c r="J1027">
        <v>0.69869999999999999</v>
      </c>
      <c r="K1027">
        <v>4.3652000000000003E-2</v>
      </c>
      <c r="M1027" t="s">
        <v>1</v>
      </c>
      <c r="N1027">
        <v>7000</v>
      </c>
      <c r="O1027">
        <v>5</v>
      </c>
      <c r="P1027">
        <v>9363</v>
      </c>
      <c r="Q1027">
        <v>0</v>
      </c>
      <c r="R1027">
        <v>301228400000</v>
      </c>
      <c r="S1027">
        <v>254781573.88999999</v>
      </c>
      <c r="T1027">
        <v>300221670220.87</v>
      </c>
      <c r="U1027">
        <v>300905779968</v>
      </c>
      <c r="V1027">
        <v>2.9547E-2</v>
      </c>
      <c r="W1027">
        <v>2.699E-3</v>
      </c>
      <c r="Y1027" t="s">
        <v>1</v>
      </c>
      <c r="Z1027">
        <v>5750</v>
      </c>
      <c r="AA1027">
        <v>8</v>
      </c>
      <c r="AB1027">
        <v>5449</v>
      </c>
      <c r="AC1027">
        <v>0</v>
      </c>
      <c r="AD1027">
        <v>234041272568</v>
      </c>
      <c r="AE1027">
        <v>259174771.81999999</v>
      </c>
      <c r="AF1027">
        <v>227196193304</v>
      </c>
      <c r="AG1027">
        <v>233156506321.67999</v>
      </c>
      <c r="AH1027">
        <v>0.290022</v>
      </c>
      <c r="AI1027">
        <v>3.1608999999999998E-2</v>
      </c>
    </row>
    <row r="1028" spans="1:35" x14ac:dyDescent="0.35">
      <c r="A1028" t="s">
        <v>1</v>
      </c>
      <c r="B1028">
        <v>5750</v>
      </c>
      <c r="C1028">
        <v>8</v>
      </c>
      <c r="D1028">
        <v>9182</v>
      </c>
      <c r="E1028">
        <v>0</v>
      </c>
      <c r="F1028">
        <v>391118474492</v>
      </c>
      <c r="G1028">
        <v>432689860.88999999</v>
      </c>
      <c r="H1028">
        <v>372951469201.45001</v>
      </c>
      <c r="I1028">
        <v>390213452474.71997</v>
      </c>
      <c r="J1028">
        <v>0.426979</v>
      </c>
      <c r="K1028">
        <v>1.4396000000000001E-2</v>
      </c>
      <c r="M1028" t="s">
        <v>2</v>
      </c>
      <c r="N1028">
        <v>5750</v>
      </c>
      <c r="O1028">
        <v>5</v>
      </c>
      <c r="P1028">
        <v>1091</v>
      </c>
      <c r="Q1028">
        <v>0</v>
      </c>
      <c r="R1028">
        <v>24334200000</v>
      </c>
      <c r="S1028">
        <v>25964173.960000001</v>
      </c>
      <c r="T1028">
        <v>24298171065.93</v>
      </c>
      <c r="U1028">
        <v>24307354057.52</v>
      </c>
      <c r="V1028">
        <v>4.9519999999999998E-3</v>
      </c>
      <c r="W1028">
        <v>4.35E-4</v>
      </c>
      <c r="Y1028" t="s">
        <v>2</v>
      </c>
      <c r="Z1028">
        <v>7000</v>
      </c>
      <c r="AA1028">
        <v>8</v>
      </c>
      <c r="AB1028">
        <v>229</v>
      </c>
      <c r="AC1028">
        <v>0</v>
      </c>
      <c r="AD1028">
        <v>3848149877</v>
      </c>
      <c r="AE1028">
        <v>3380413.84</v>
      </c>
      <c r="AF1028">
        <v>3844974812</v>
      </c>
      <c r="AG1028">
        <v>3844974812</v>
      </c>
      <c r="AH1028">
        <v>-6.4099999999999997E-4</v>
      </c>
      <c r="AI1028">
        <v>-6.4099999999999997E-4</v>
      </c>
    </row>
    <row r="1029" spans="1:35" x14ac:dyDescent="0.35">
      <c r="A1029" t="s">
        <v>1</v>
      </c>
      <c r="B1029">
        <v>5750</v>
      </c>
      <c r="C1029">
        <v>9</v>
      </c>
      <c r="D1029">
        <v>5318</v>
      </c>
      <c r="E1029">
        <v>0</v>
      </c>
      <c r="F1029">
        <v>227196193304</v>
      </c>
      <c r="G1029">
        <v>253089726.36000001</v>
      </c>
      <c r="H1029">
        <v>217870018634.19</v>
      </c>
      <c r="I1029">
        <v>226526815722.69</v>
      </c>
      <c r="J1029">
        <v>0.38679200000000002</v>
      </c>
      <c r="K1029">
        <v>2.1767000000000002E-2</v>
      </c>
      <c r="M1029" t="s">
        <v>0</v>
      </c>
      <c r="N1029">
        <v>5750</v>
      </c>
      <c r="O1029">
        <v>5</v>
      </c>
      <c r="P1029">
        <v>25250</v>
      </c>
      <c r="Q1029">
        <v>0</v>
      </c>
      <c r="R1029">
        <v>870713300000</v>
      </c>
      <c r="S1029">
        <v>934231045.75999999</v>
      </c>
      <c r="T1029">
        <v>868590333090.81006</v>
      </c>
      <c r="U1029">
        <v>869691322040.53003</v>
      </c>
      <c r="V1029">
        <v>1.626E-2</v>
      </c>
      <c r="W1029">
        <v>1.209E-3</v>
      </c>
      <c r="Y1029" t="s">
        <v>2</v>
      </c>
      <c r="Z1029">
        <v>6750</v>
      </c>
      <c r="AA1029">
        <v>8</v>
      </c>
      <c r="AB1029">
        <v>698</v>
      </c>
      <c r="AC1029">
        <v>0</v>
      </c>
      <c r="AD1029">
        <v>13031932552</v>
      </c>
      <c r="AE1029">
        <v>11984310.43</v>
      </c>
      <c r="AF1029">
        <v>12995780009</v>
      </c>
      <c r="AG1029">
        <v>13019329176.65</v>
      </c>
      <c r="AH1029">
        <v>2.2029E-2</v>
      </c>
      <c r="AI1029">
        <v>5.6999999999999998E-4</v>
      </c>
    </row>
    <row r="1030" spans="1:35" x14ac:dyDescent="0.35">
      <c r="A1030" t="s">
        <v>2</v>
      </c>
      <c r="B1030">
        <v>7000</v>
      </c>
      <c r="C1030">
        <v>9</v>
      </c>
      <c r="D1030">
        <v>228</v>
      </c>
      <c r="E1030">
        <v>0</v>
      </c>
      <c r="F1030">
        <v>3825074812</v>
      </c>
      <c r="G1030">
        <v>3382358.93</v>
      </c>
      <c r="H1030">
        <v>3801877848.23</v>
      </c>
      <c r="I1030">
        <v>3818228760.5100002</v>
      </c>
      <c r="J1030">
        <v>6.0421000000000002E-2</v>
      </c>
      <c r="K1030">
        <v>1.0812E-2</v>
      </c>
      <c r="M1030" t="s">
        <v>1</v>
      </c>
      <c r="N1030">
        <v>5750</v>
      </c>
      <c r="O1030">
        <v>5</v>
      </c>
      <c r="P1030">
        <v>33248</v>
      </c>
      <c r="Q1030">
        <v>0</v>
      </c>
      <c r="R1030">
        <v>1435109800000</v>
      </c>
      <c r="S1030">
        <v>1539737387.97</v>
      </c>
      <c r="T1030">
        <v>1431114968059.8201</v>
      </c>
      <c r="U1030">
        <v>1433257232331.9399</v>
      </c>
      <c r="V1030">
        <v>2.0337000000000001E-2</v>
      </c>
      <c r="W1030">
        <v>2.6129999999999999E-3</v>
      </c>
      <c r="Y1030" t="s">
        <v>1</v>
      </c>
      <c r="Z1030">
        <v>6250</v>
      </c>
      <c r="AA1030">
        <v>8</v>
      </c>
      <c r="AB1030">
        <v>9641</v>
      </c>
      <c r="AC1030">
        <v>0</v>
      </c>
      <c r="AD1030">
        <v>371873257199</v>
      </c>
      <c r="AE1030">
        <v>374982860.88</v>
      </c>
      <c r="AF1030">
        <v>348846617150</v>
      </c>
      <c r="AG1030">
        <v>371036322303.28003</v>
      </c>
      <c r="AH1030">
        <v>0.52959299999999998</v>
      </c>
      <c r="AI1030">
        <v>1.4805E-2</v>
      </c>
    </row>
    <row r="1031" spans="1:35" x14ac:dyDescent="0.35">
      <c r="A1031" t="s">
        <v>2</v>
      </c>
      <c r="B1031">
        <v>6750</v>
      </c>
      <c r="C1031">
        <v>9</v>
      </c>
      <c r="D1031">
        <v>697</v>
      </c>
      <c r="E1031">
        <v>0</v>
      </c>
      <c r="F1031">
        <v>12995780009</v>
      </c>
      <c r="G1031">
        <v>12028941.810000001</v>
      </c>
      <c r="H1031">
        <v>12940601124.48</v>
      </c>
      <c r="I1031">
        <v>12972854715.07</v>
      </c>
      <c r="J1031">
        <v>3.9123999999999999E-2</v>
      </c>
      <c r="K1031">
        <v>1.0015E-2</v>
      </c>
      <c r="M1031" t="s">
        <v>0</v>
      </c>
      <c r="N1031">
        <v>8000</v>
      </c>
      <c r="O1031">
        <v>5</v>
      </c>
      <c r="P1031">
        <v>748</v>
      </c>
      <c r="Q1031">
        <v>0</v>
      </c>
      <c r="R1031">
        <v>23249600000</v>
      </c>
      <c r="S1031">
        <v>16249108.34</v>
      </c>
      <c r="T1031">
        <v>23203723599.759998</v>
      </c>
      <c r="U1031">
        <v>23223470100.189999</v>
      </c>
      <c r="V1031">
        <v>1.5185000000000001E-2</v>
      </c>
      <c r="W1031">
        <v>5.0879999999999996E-3</v>
      </c>
      <c r="Y1031" t="s">
        <v>0</v>
      </c>
      <c r="Z1031">
        <v>5750</v>
      </c>
      <c r="AA1031">
        <v>8</v>
      </c>
      <c r="AB1031">
        <v>4736</v>
      </c>
      <c r="AC1031">
        <v>0</v>
      </c>
      <c r="AD1031">
        <v>163277952336</v>
      </c>
      <c r="AE1031">
        <v>180429871.44</v>
      </c>
      <c r="AF1031">
        <v>162144358877</v>
      </c>
      <c r="AG1031">
        <v>162945685513.26999</v>
      </c>
      <c r="AH1031">
        <v>6.7846000000000004E-2</v>
      </c>
      <c r="AI1031">
        <v>1.1102000000000001E-2</v>
      </c>
    </row>
    <row r="1032" spans="1:35" x14ac:dyDescent="0.35">
      <c r="A1032" t="s">
        <v>1</v>
      </c>
      <c r="B1032">
        <v>6250</v>
      </c>
      <c r="C1032">
        <v>9</v>
      </c>
      <c r="D1032">
        <v>9115</v>
      </c>
      <c r="E1032">
        <v>0</v>
      </c>
      <c r="F1032">
        <v>348846617150</v>
      </c>
      <c r="G1032">
        <v>353907909.72000003</v>
      </c>
      <c r="H1032">
        <v>326713390979.06</v>
      </c>
      <c r="I1032">
        <v>347998845652.38</v>
      </c>
      <c r="J1032">
        <v>0.53864900000000004</v>
      </c>
      <c r="K1032">
        <v>1.6857E-2</v>
      </c>
      <c r="M1032" t="s">
        <v>0</v>
      </c>
      <c r="N1032">
        <v>7500</v>
      </c>
      <c r="O1032">
        <v>5</v>
      </c>
      <c r="P1032">
        <v>4885</v>
      </c>
      <c r="Q1032">
        <v>0</v>
      </c>
      <c r="R1032">
        <v>135373600000</v>
      </c>
      <c r="S1032">
        <v>103781697.09</v>
      </c>
      <c r="T1032">
        <v>134856614807.12</v>
      </c>
      <c r="U1032">
        <v>135192337028.64999</v>
      </c>
      <c r="V1032">
        <v>3.6019000000000002E-2</v>
      </c>
      <c r="W1032">
        <v>6.8469999999999998E-3</v>
      </c>
      <c r="Y1032" t="s">
        <v>0</v>
      </c>
      <c r="Z1032">
        <v>5750</v>
      </c>
      <c r="AA1032">
        <v>9</v>
      </c>
      <c r="AB1032">
        <v>2582</v>
      </c>
      <c r="AC1032">
        <v>0</v>
      </c>
      <c r="AD1032">
        <v>85252914259</v>
      </c>
      <c r="AE1032">
        <v>94706716</v>
      </c>
      <c r="AF1032">
        <v>84845712539</v>
      </c>
      <c r="AG1032">
        <v>85132649613.970001</v>
      </c>
      <c r="AH1032">
        <v>4.3110000000000002E-2</v>
      </c>
      <c r="AI1032">
        <v>3.5920000000000001E-3</v>
      </c>
    </row>
    <row r="1033" spans="1:35" x14ac:dyDescent="0.35">
      <c r="A1033" t="s">
        <v>0</v>
      </c>
      <c r="B1033">
        <v>5750</v>
      </c>
      <c r="C1033">
        <v>9</v>
      </c>
      <c r="D1033">
        <v>4709</v>
      </c>
      <c r="E1033">
        <v>0</v>
      </c>
      <c r="F1033">
        <v>162144358877</v>
      </c>
      <c r="G1033">
        <v>180227775.84999999</v>
      </c>
      <c r="H1033">
        <v>161106347471.91</v>
      </c>
      <c r="I1033">
        <v>161802981665.13</v>
      </c>
      <c r="J1033">
        <v>6.1668000000000001E-2</v>
      </c>
      <c r="K1033">
        <v>1.1861E-2</v>
      </c>
      <c r="M1033" t="s">
        <v>0</v>
      </c>
      <c r="N1033">
        <v>7250</v>
      </c>
      <c r="O1033">
        <v>5</v>
      </c>
      <c r="P1033">
        <v>24571</v>
      </c>
      <c r="Q1033">
        <v>0</v>
      </c>
      <c r="R1033">
        <v>672450300000</v>
      </c>
      <c r="S1033">
        <v>541736560.24000001</v>
      </c>
      <c r="T1033">
        <v>669752261590.42004</v>
      </c>
      <c r="U1033">
        <v>671569163253.39001</v>
      </c>
      <c r="V1033">
        <v>3.7808000000000001E-2</v>
      </c>
      <c r="W1033">
        <v>6.0400000000000002E-3</v>
      </c>
      <c r="Y1033" t="s">
        <v>0</v>
      </c>
      <c r="Z1033">
        <v>5500</v>
      </c>
      <c r="AA1033">
        <v>8</v>
      </c>
      <c r="AB1033">
        <v>2776</v>
      </c>
      <c r="AC1033">
        <v>0</v>
      </c>
      <c r="AD1033">
        <v>90808518986</v>
      </c>
      <c r="AE1033">
        <v>104896289.34</v>
      </c>
      <c r="AF1033">
        <v>90599826921</v>
      </c>
      <c r="AG1033">
        <v>90690955505.130005</v>
      </c>
      <c r="AH1033">
        <v>1.363E-2</v>
      </c>
      <c r="AI1033">
        <v>1.673E-3</v>
      </c>
    </row>
    <row r="1034" spans="1:35" x14ac:dyDescent="0.35">
      <c r="A1034" t="s">
        <v>0</v>
      </c>
      <c r="B1034">
        <v>5750</v>
      </c>
      <c r="C1034">
        <v>10</v>
      </c>
      <c r="D1034">
        <v>2570</v>
      </c>
      <c r="E1034">
        <v>0</v>
      </c>
      <c r="F1034">
        <v>84845712539</v>
      </c>
      <c r="G1034">
        <v>94800663.189999998</v>
      </c>
      <c r="H1034">
        <v>84228150215.580002</v>
      </c>
      <c r="I1034">
        <v>84627977226.289993</v>
      </c>
      <c r="J1034">
        <v>7.1481000000000003E-2</v>
      </c>
      <c r="K1034">
        <v>1.7249E-2</v>
      </c>
      <c r="M1034" t="s">
        <v>0</v>
      </c>
      <c r="N1034">
        <v>6250</v>
      </c>
      <c r="O1034">
        <v>5</v>
      </c>
      <c r="P1034">
        <v>81314</v>
      </c>
      <c r="Q1034">
        <v>0</v>
      </c>
      <c r="R1034">
        <v>2722225700000</v>
      </c>
      <c r="S1034">
        <v>2660568362.5900002</v>
      </c>
      <c r="T1034">
        <v>2715172990784.7202</v>
      </c>
      <c r="U1034">
        <v>2719051954333.3999</v>
      </c>
      <c r="V1034">
        <v>1.9189999999999999E-2</v>
      </c>
      <c r="W1034">
        <v>2.2599999999999999E-3</v>
      </c>
      <c r="Y1034" t="s">
        <v>2</v>
      </c>
      <c r="Z1034">
        <v>6750</v>
      </c>
      <c r="AA1034">
        <v>9</v>
      </c>
      <c r="AB1034">
        <v>604</v>
      </c>
      <c r="AC1034">
        <v>0</v>
      </c>
      <c r="AD1034">
        <v>11491827875</v>
      </c>
      <c r="AE1034">
        <v>10622028.48</v>
      </c>
      <c r="AF1034">
        <v>11427171112</v>
      </c>
      <c r="AG1034">
        <v>11480736833.200001</v>
      </c>
      <c r="AH1034">
        <v>5.4988000000000002E-2</v>
      </c>
      <c r="AI1034">
        <v>4.8999999999999998E-4</v>
      </c>
    </row>
    <row r="1035" spans="1:35" x14ac:dyDescent="0.35">
      <c r="A1035" t="s">
        <v>0</v>
      </c>
      <c r="B1035">
        <v>5500</v>
      </c>
      <c r="C1035">
        <v>9</v>
      </c>
      <c r="D1035">
        <v>2773</v>
      </c>
      <c r="E1035">
        <v>0</v>
      </c>
      <c r="F1035">
        <v>90599826921</v>
      </c>
      <c r="G1035">
        <v>105252970.34</v>
      </c>
      <c r="H1035">
        <v>90239054081.449997</v>
      </c>
      <c r="I1035">
        <v>90443464986.360001</v>
      </c>
      <c r="J1035">
        <v>3.3323999999999999E-2</v>
      </c>
      <c r="K1035">
        <v>6.7479999999999997E-3</v>
      </c>
      <c r="M1035" t="s">
        <v>0</v>
      </c>
      <c r="N1035">
        <v>6250</v>
      </c>
      <c r="O1035">
        <v>6</v>
      </c>
      <c r="P1035">
        <v>14059</v>
      </c>
      <c r="Q1035">
        <v>0</v>
      </c>
      <c r="R1035">
        <v>478401051859</v>
      </c>
      <c r="S1035">
        <v>476520334.35000002</v>
      </c>
      <c r="T1035">
        <v>472939340118.82001</v>
      </c>
      <c r="U1035">
        <v>477371010579.26001</v>
      </c>
      <c r="V1035">
        <v>0.11812300000000001</v>
      </c>
      <c r="W1035">
        <v>1.3795999999999999E-2</v>
      </c>
      <c r="Y1035" t="s">
        <v>0</v>
      </c>
      <c r="Z1035">
        <v>7750</v>
      </c>
      <c r="AA1035">
        <v>9</v>
      </c>
      <c r="AB1035">
        <v>866</v>
      </c>
      <c r="AC1035">
        <v>0</v>
      </c>
      <c r="AD1035">
        <v>23021894420</v>
      </c>
      <c r="AE1035">
        <v>17523125.07</v>
      </c>
      <c r="AF1035">
        <v>22601079006</v>
      </c>
      <c r="AG1035">
        <v>22845750820.73</v>
      </c>
      <c r="AH1035">
        <v>0.19109699999999999</v>
      </c>
      <c r="AI1035">
        <v>7.9617999999999994E-2</v>
      </c>
    </row>
    <row r="1036" spans="1:35" x14ac:dyDescent="0.35">
      <c r="A1036" t="s">
        <v>2</v>
      </c>
      <c r="B1036">
        <v>6750</v>
      </c>
      <c r="C1036">
        <v>10</v>
      </c>
      <c r="D1036">
        <v>602</v>
      </c>
      <c r="E1036">
        <v>0</v>
      </c>
      <c r="F1036">
        <v>11427171112</v>
      </c>
      <c r="G1036">
        <v>10630373.1</v>
      </c>
      <c r="H1036">
        <v>11377455192.780001</v>
      </c>
      <c r="I1036">
        <v>11406303581.440001</v>
      </c>
      <c r="J1036">
        <v>4.0280999999999997E-2</v>
      </c>
      <c r="K1036">
        <v>1.0697999999999999E-2</v>
      </c>
      <c r="M1036" t="s">
        <v>2</v>
      </c>
      <c r="N1036">
        <v>6250</v>
      </c>
      <c r="O1036">
        <v>5</v>
      </c>
      <c r="P1036">
        <v>4860</v>
      </c>
      <c r="Q1036">
        <v>0</v>
      </c>
      <c r="R1036">
        <v>105495000000</v>
      </c>
      <c r="S1036">
        <v>102553312.69</v>
      </c>
      <c r="T1036">
        <v>105338747580.82001</v>
      </c>
      <c r="U1036">
        <v>105379866662.17</v>
      </c>
      <c r="V1036">
        <v>6.0910000000000001E-3</v>
      </c>
      <c r="W1036">
        <v>1.4300000000000001E-3</v>
      </c>
      <c r="Y1036" t="s">
        <v>0</v>
      </c>
      <c r="Z1036">
        <v>7500</v>
      </c>
      <c r="AA1036">
        <v>8</v>
      </c>
      <c r="AB1036">
        <v>1143</v>
      </c>
      <c r="AC1036">
        <v>0</v>
      </c>
      <c r="AD1036">
        <v>28277725113</v>
      </c>
      <c r="AE1036">
        <v>22462090.300000001</v>
      </c>
      <c r="AF1036">
        <v>27107892513</v>
      </c>
      <c r="AG1036">
        <v>28136130134.880001</v>
      </c>
      <c r="AH1036">
        <v>0.39167999999999997</v>
      </c>
      <c r="AI1036">
        <v>4.9399999999999999E-2</v>
      </c>
    </row>
    <row r="1037" spans="1:35" x14ac:dyDescent="0.35">
      <c r="A1037" t="s">
        <v>0</v>
      </c>
      <c r="B1037">
        <v>7750</v>
      </c>
      <c r="C1037">
        <v>10</v>
      </c>
      <c r="D1037">
        <v>849</v>
      </c>
      <c r="E1037">
        <v>0</v>
      </c>
      <c r="F1037">
        <v>22601079006</v>
      </c>
      <c r="G1037">
        <v>17327014.460000001</v>
      </c>
      <c r="H1037">
        <v>22032585791.450001</v>
      </c>
      <c r="I1037">
        <v>22388610397.009998</v>
      </c>
      <c r="J1037">
        <v>0.25641199999999997</v>
      </c>
      <c r="K1037">
        <v>9.8829E-2</v>
      </c>
      <c r="M1037" t="s">
        <v>1</v>
      </c>
      <c r="N1037">
        <v>6250</v>
      </c>
      <c r="O1037">
        <v>5</v>
      </c>
      <c r="P1037">
        <v>65271</v>
      </c>
      <c r="Q1037">
        <v>0</v>
      </c>
      <c r="R1037">
        <v>2649498300000</v>
      </c>
      <c r="S1037">
        <v>2588220767.5700002</v>
      </c>
      <c r="T1037">
        <v>2641126727456.0098</v>
      </c>
      <c r="U1037">
        <v>2646566061214.0801</v>
      </c>
      <c r="V1037">
        <v>2.5881999999999999E-2</v>
      </c>
      <c r="W1037">
        <v>1.557E-3</v>
      </c>
      <c r="Y1037" t="s">
        <v>0</v>
      </c>
      <c r="Z1037">
        <v>7750</v>
      </c>
      <c r="AA1037">
        <v>8</v>
      </c>
      <c r="AB1037">
        <v>821</v>
      </c>
      <c r="AC1037">
        <v>0</v>
      </c>
      <c r="AD1037">
        <v>21556832313</v>
      </c>
      <c r="AE1037">
        <v>16249141.99</v>
      </c>
      <c r="AF1037">
        <v>20557549184</v>
      </c>
      <c r="AG1037">
        <v>21278877211.52</v>
      </c>
      <c r="AH1037">
        <v>0.428844</v>
      </c>
      <c r="AI1037">
        <v>0.13633899999999999</v>
      </c>
    </row>
    <row r="1038" spans="1:35" x14ac:dyDescent="0.35">
      <c r="A1038" t="s">
        <v>0</v>
      </c>
      <c r="B1038">
        <v>7500</v>
      </c>
      <c r="C1038">
        <v>9</v>
      </c>
      <c r="D1038">
        <v>1107</v>
      </c>
      <c r="E1038">
        <v>0</v>
      </c>
      <c r="F1038">
        <v>27107892513</v>
      </c>
      <c r="G1038">
        <v>21684942.890000001</v>
      </c>
      <c r="H1038">
        <v>26417566298.740002</v>
      </c>
      <c r="I1038">
        <v>26954101935.029999</v>
      </c>
      <c r="J1038">
        <v>0.25896200000000003</v>
      </c>
      <c r="K1038">
        <v>5.6938000000000002E-2</v>
      </c>
      <c r="M1038" t="s">
        <v>0</v>
      </c>
      <c r="N1038">
        <v>7750</v>
      </c>
      <c r="O1038">
        <v>5</v>
      </c>
      <c r="P1038">
        <v>5765</v>
      </c>
      <c r="Q1038">
        <v>0</v>
      </c>
      <c r="R1038">
        <v>156078300000</v>
      </c>
      <c r="S1038">
        <v>113507703.8</v>
      </c>
      <c r="T1038">
        <v>155663413733.16</v>
      </c>
      <c r="U1038">
        <v>155860814862.54001</v>
      </c>
      <c r="V1038">
        <v>2.2926999999999999E-2</v>
      </c>
      <c r="W1038">
        <v>7.9649999999999999E-3</v>
      </c>
      <c r="Y1038" t="s">
        <v>2</v>
      </c>
      <c r="Z1038">
        <v>6250</v>
      </c>
      <c r="AA1038">
        <v>8</v>
      </c>
      <c r="AB1038">
        <v>648</v>
      </c>
      <c r="AC1038">
        <v>0</v>
      </c>
      <c r="AD1038">
        <v>13719111465</v>
      </c>
      <c r="AE1038">
        <v>13830308.27</v>
      </c>
      <c r="AF1038">
        <v>13649127037</v>
      </c>
      <c r="AG1038">
        <v>13704163540.450001</v>
      </c>
      <c r="AH1038">
        <v>4.8027E-2</v>
      </c>
      <c r="AI1038">
        <v>9.77E-4</v>
      </c>
    </row>
    <row r="1039" spans="1:35" x14ac:dyDescent="0.35">
      <c r="A1039" t="s">
        <v>0</v>
      </c>
      <c r="B1039">
        <v>7750</v>
      </c>
      <c r="C1039">
        <v>9</v>
      </c>
      <c r="D1039">
        <v>785</v>
      </c>
      <c r="E1039">
        <v>0</v>
      </c>
      <c r="F1039">
        <v>20487349184</v>
      </c>
      <c r="G1039">
        <v>15550588.73</v>
      </c>
      <c r="H1039">
        <v>20021376071.919998</v>
      </c>
      <c r="I1039">
        <v>20357887296.77</v>
      </c>
      <c r="J1039">
        <v>0.234149</v>
      </c>
      <c r="K1039">
        <v>6.4717999999999998E-2</v>
      </c>
      <c r="M1039" t="s">
        <v>1</v>
      </c>
      <c r="N1039">
        <v>7250</v>
      </c>
      <c r="O1039">
        <v>5</v>
      </c>
      <c r="P1039">
        <v>8866</v>
      </c>
      <c r="Q1039">
        <v>0</v>
      </c>
      <c r="R1039">
        <v>280426100000</v>
      </c>
      <c r="S1039">
        <v>227333789.75999999</v>
      </c>
      <c r="T1039">
        <v>279372386811.47998</v>
      </c>
      <c r="U1039">
        <v>279977759152.51001</v>
      </c>
      <c r="V1039">
        <v>3.4795E-2</v>
      </c>
      <c r="W1039">
        <v>9.4160000000000008E-3</v>
      </c>
      <c r="Y1039" t="s">
        <v>2</v>
      </c>
      <c r="Z1039">
        <v>6750</v>
      </c>
      <c r="AA1039">
        <v>7</v>
      </c>
      <c r="AB1039">
        <v>638</v>
      </c>
      <c r="AC1039">
        <v>0</v>
      </c>
      <c r="AD1039">
        <v>11564824110</v>
      </c>
      <c r="AE1039">
        <v>10584987.73</v>
      </c>
      <c r="AF1039">
        <v>11552821077</v>
      </c>
      <c r="AG1039">
        <v>11552821077</v>
      </c>
      <c r="AH1039">
        <v>1.47E-3</v>
      </c>
      <c r="AI1039">
        <v>1.47E-3</v>
      </c>
    </row>
    <row r="1040" spans="1:35" x14ac:dyDescent="0.35">
      <c r="A1040" t="s">
        <v>2</v>
      </c>
      <c r="B1040">
        <v>6250</v>
      </c>
      <c r="C1040">
        <v>9</v>
      </c>
      <c r="D1040">
        <v>646</v>
      </c>
      <c r="E1040">
        <v>0</v>
      </c>
      <c r="F1040">
        <v>13649127037</v>
      </c>
      <c r="G1040">
        <v>13845310.75</v>
      </c>
      <c r="H1040">
        <v>13604279298.860001</v>
      </c>
      <c r="I1040">
        <v>13628359109.32</v>
      </c>
      <c r="J1040">
        <v>2.6918999999999998E-2</v>
      </c>
      <c r="K1040">
        <v>6.0689999999999997E-3</v>
      </c>
      <c r="M1040" t="s">
        <v>1</v>
      </c>
      <c r="N1040">
        <v>6750</v>
      </c>
      <c r="O1040">
        <v>5</v>
      </c>
      <c r="P1040">
        <v>39146</v>
      </c>
      <c r="Q1040">
        <v>0</v>
      </c>
      <c r="R1040">
        <v>1412478100000</v>
      </c>
      <c r="S1040">
        <v>1259925932.1800001</v>
      </c>
      <c r="T1040">
        <v>1407944951920.1599</v>
      </c>
      <c r="U1040">
        <v>1410886965029</v>
      </c>
      <c r="V1040">
        <v>2.7456999999999999E-2</v>
      </c>
      <c r="W1040">
        <v>2.81E-3</v>
      </c>
      <c r="Y1040" t="s">
        <v>1</v>
      </c>
      <c r="Z1040">
        <v>6750</v>
      </c>
      <c r="AA1040">
        <v>9</v>
      </c>
      <c r="AB1040">
        <v>4908</v>
      </c>
      <c r="AC1040">
        <v>0</v>
      </c>
      <c r="AD1040">
        <v>167330898858</v>
      </c>
      <c r="AE1040">
        <v>155124453.88</v>
      </c>
      <c r="AF1040">
        <v>152397047312</v>
      </c>
      <c r="AG1040">
        <v>166625693925.23001</v>
      </c>
      <c r="AH1040">
        <v>0.67030900000000004</v>
      </c>
      <c r="AI1040">
        <v>3.8743E-2</v>
      </c>
    </row>
    <row r="1041" spans="1:35" x14ac:dyDescent="0.35">
      <c r="A1041" t="s">
        <v>2</v>
      </c>
      <c r="B1041">
        <v>6750</v>
      </c>
      <c r="C1041">
        <v>8</v>
      </c>
      <c r="D1041">
        <v>638</v>
      </c>
      <c r="E1041">
        <v>0</v>
      </c>
      <c r="F1041">
        <v>11552821077</v>
      </c>
      <c r="G1041">
        <v>10642498.25</v>
      </c>
      <c r="H1041">
        <v>11507285079.51</v>
      </c>
      <c r="I1041">
        <v>11534908144.450001</v>
      </c>
      <c r="J1041">
        <v>3.5647999999999999E-2</v>
      </c>
      <c r="K1041">
        <v>7.5259999999999997E-3</v>
      </c>
      <c r="M1041" t="s">
        <v>1</v>
      </c>
      <c r="N1041">
        <v>5250</v>
      </c>
      <c r="O1041">
        <v>5</v>
      </c>
      <c r="P1041">
        <v>4575</v>
      </c>
      <c r="Q1041">
        <v>0</v>
      </c>
      <c r="R1041">
        <v>197599300000</v>
      </c>
      <c r="S1041">
        <v>230709602.81</v>
      </c>
      <c r="T1041">
        <v>197148405516.39999</v>
      </c>
      <c r="U1041">
        <v>197341499556.26999</v>
      </c>
      <c r="V1041">
        <v>1.329E-2</v>
      </c>
      <c r="W1041">
        <v>1.6440000000000001E-3</v>
      </c>
      <c r="Y1041" t="s">
        <v>1</v>
      </c>
      <c r="Z1041">
        <v>6500</v>
      </c>
      <c r="AA1041">
        <v>6</v>
      </c>
      <c r="AB1041">
        <v>4622</v>
      </c>
      <c r="AC1041">
        <v>0</v>
      </c>
      <c r="AD1041">
        <v>172083819022</v>
      </c>
      <c r="AE1041">
        <v>162757550.34999999</v>
      </c>
      <c r="AF1041">
        <v>165426810000</v>
      </c>
      <c r="AG1041">
        <v>171432776093.64999</v>
      </c>
      <c r="AH1041">
        <v>0.36974699999999999</v>
      </c>
      <c r="AI1041">
        <v>3.3522999999999997E-2</v>
      </c>
    </row>
    <row r="1042" spans="1:35" x14ac:dyDescent="0.35">
      <c r="A1042" t="s">
        <v>1</v>
      </c>
      <c r="B1042">
        <v>6750</v>
      </c>
      <c r="C1042">
        <v>10</v>
      </c>
      <c r="D1042">
        <v>4498</v>
      </c>
      <c r="E1042">
        <v>0</v>
      </c>
      <c r="F1042">
        <v>152363547312</v>
      </c>
      <c r="G1042">
        <v>142178178.81</v>
      </c>
      <c r="H1042">
        <v>140107368285.20999</v>
      </c>
      <c r="I1042">
        <v>151742128223.03</v>
      </c>
      <c r="J1042">
        <v>0.62996300000000005</v>
      </c>
      <c r="K1042">
        <v>3.7097999999999999E-2</v>
      </c>
      <c r="M1042" t="s">
        <v>1</v>
      </c>
      <c r="N1042">
        <v>6750</v>
      </c>
      <c r="O1042">
        <v>6</v>
      </c>
      <c r="P1042">
        <v>7074</v>
      </c>
      <c r="Q1042">
        <v>0</v>
      </c>
      <c r="R1042">
        <v>250253752241</v>
      </c>
      <c r="S1042">
        <v>228049067.15000001</v>
      </c>
      <c r="T1042">
        <v>244166675393.92001</v>
      </c>
      <c r="U1042">
        <v>249540914447.23001</v>
      </c>
      <c r="V1042">
        <v>0.247451</v>
      </c>
      <c r="W1042">
        <v>2.3E-2</v>
      </c>
      <c r="Y1042" t="s">
        <v>1</v>
      </c>
      <c r="Z1042">
        <v>6750</v>
      </c>
      <c r="AA1042">
        <v>6</v>
      </c>
      <c r="AB1042">
        <v>7305</v>
      </c>
      <c r="AC1042">
        <v>0</v>
      </c>
      <c r="AD1042">
        <v>265425803756</v>
      </c>
      <c r="AE1042">
        <v>241563010</v>
      </c>
      <c r="AF1042">
        <v>253421705563</v>
      </c>
      <c r="AG1042">
        <v>264377137108.54001</v>
      </c>
      <c r="AH1042">
        <v>0.419539</v>
      </c>
      <c r="AI1042">
        <v>3.5885E-2</v>
      </c>
    </row>
    <row r="1043" spans="1:35" x14ac:dyDescent="0.35">
      <c r="A1043" t="s">
        <v>1</v>
      </c>
      <c r="B1043">
        <v>6500</v>
      </c>
      <c r="C1043">
        <v>7</v>
      </c>
      <c r="D1043">
        <v>4469</v>
      </c>
      <c r="E1043">
        <v>0</v>
      </c>
      <c r="F1043">
        <v>165385010000</v>
      </c>
      <c r="G1043">
        <v>157392478.47999999</v>
      </c>
      <c r="H1043">
        <v>124585869145.67</v>
      </c>
      <c r="I1043">
        <v>165108239421.12</v>
      </c>
      <c r="J1043">
        <v>0.96609599999999995</v>
      </c>
      <c r="K1043">
        <v>8.6280000000000003E-3</v>
      </c>
      <c r="M1043" t="s">
        <v>1</v>
      </c>
      <c r="N1043">
        <v>5750</v>
      </c>
      <c r="O1043">
        <v>6</v>
      </c>
      <c r="P1043">
        <v>5759</v>
      </c>
      <c r="Q1043">
        <v>0</v>
      </c>
      <c r="R1043">
        <v>249619022771</v>
      </c>
      <c r="S1043">
        <v>273198314.06</v>
      </c>
      <c r="T1043">
        <v>247943606518.89001</v>
      </c>
      <c r="U1043">
        <v>249158921501.78</v>
      </c>
      <c r="V1043">
        <v>6.5365000000000006E-2</v>
      </c>
      <c r="W1043">
        <v>8.9479999999999994E-3</v>
      </c>
      <c r="Y1043" t="s">
        <v>2</v>
      </c>
      <c r="Z1043">
        <v>6750</v>
      </c>
      <c r="AA1043">
        <v>6</v>
      </c>
      <c r="AB1043">
        <v>693</v>
      </c>
      <c r="AC1043">
        <v>0</v>
      </c>
      <c r="AD1043">
        <v>12905795875</v>
      </c>
      <c r="AE1043">
        <v>11705895.01</v>
      </c>
      <c r="AF1043">
        <v>12858917465</v>
      </c>
      <c r="AG1043">
        <v>12883978363.360001</v>
      </c>
      <c r="AH1043">
        <v>3.2217999999999997E-2</v>
      </c>
      <c r="AI1043">
        <v>9.3620000000000005E-3</v>
      </c>
    </row>
    <row r="1044" spans="1:35" x14ac:dyDescent="0.35">
      <c r="A1044" t="s">
        <v>1</v>
      </c>
      <c r="B1044">
        <v>6750</v>
      </c>
      <c r="C1044">
        <v>7</v>
      </c>
      <c r="D1044">
        <v>7053</v>
      </c>
      <c r="E1044">
        <v>0</v>
      </c>
      <c r="F1044">
        <v>253457620711</v>
      </c>
      <c r="G1044">
        <v>232105533.11000001</v>
      </c>
      <c r="H1044">
        <v>182162913411.57001</v>
      </c>
      <c r="I1044">
        <v>252813103332.09</v>
      </c>
      <c r="J1044">
        <v>0.98071200000000003</v>
      </c>
      <c r="K1044">
        <v>1.9352000000000001E-2</v>
      </c>
      <c r="M1044" t="s">
        <v>2</v>
      </c>
      <c r="N1044">
        <v>7000</v>
      </c>
      <c r="O1044">
        <v>6</v>
      </c>
      <c r="P1044">
        <v>231</v>
      </c>
      <c r="Q1044">
        <v>0</v>
      </c>
      <c r="R1044">
        <v>3917272213</v>
      </c>
      <c r="S1044">
        <v>3395750.56</v>
      </c>
      <c r="T1044">
        <v>3901893710.9299998</v>
      </c>
      <c r="U1044">
        <v>3912339429.27</v>
      </c>
      <c r="V1044">
        <v>3.6096000000000003E-2</v>
      </c>
      <c r="W1044">
        <v>4.6979999999999999E-3</v>
      </c>
      <c r="Y1044" t="s">
        <v>2</v>
      </c>
      <c r="Z1044">
        <v>6750</v>
      </c>
      <c r="AA1044">
        <v>5</v>
      </c>
      <c r="AB1044">
        <v>3136</v>
      </c>
      <c r="AC1044">
        <v>0</v>
      </c>
      <c r="AD1044">
        <v>57182100000</v>
      </c>
      <c r="AE1044">
        <v>50996492.640000001</v>
      </c>
      <c r="AF1044">
        <v>57143437880</v>
      </c>
      <c r="AG1044">
        <v>57143437880</v>
      </c>
      <c r="AH1044">
        <v>-2.5920000000000001E-3</v>
      </c>
      <c r="AI1044">
        <v>-2.5920000000000001E-3</v>
      </c>
    </row>
    <row r="1045" spans="1:35" x14ac:dyDescent="0.35">
      <c r="A1045" t="s">
        <v>2</v>
      </c>
      <c r="B1045">
        <v>6750</v>
      </c>
      <c r="C1045">
        <v>7</v>
      </c>
      <c r="D1045">
        <v>691</v>
      </c>
      <c r="E1045">
        <v>0</v>
      </c>
      <c r="F1045">
        <v>12846017465</v>
      </c>
      <c r="G1045">
        <v>11726797.9</v>
      </c>
      <c r="H1045">
        <v>12798027328.879999</v>
      </c>
      <c r="I1045">
        <v>12830572296.35</v>
      </c>
      <c r="J1045">
        <v>3.3354000000000002E-2</v>
      </c>
      <c r="K1045">
        <v>3.4680000000000002E-3</v>
      </c>
      <c r="M1045" t="s">
        <v>2</v>
      </c>
      <c r="N1045">
        <v>6750</v>
      </c>
      <c r="O1045">
        <v>6</v>
      </c>
      <c r="P1045">
        <v>700</v>
      </c>
      <c r="Q1045">
        <v>0</v>
      </c>
      <c r="R1045">
        <v>13092666319</v>
      </c>
      <c r="S1045">
        <v>11885427.65</v>
      </c>
      <c r="T1045">
        <v>13055078139.43</v>
      </c>
      <c r="U1045">
        <v>13079173068.9</v>
      </c>
      <c r="V1045">
        <v>2.3304999999999999E-2</v>
      </c>
      <c r="W1045">
        <v>1.4729999999999999E-3</v>
      </c>
      <c r="Y1045" t="s">
        <v>1</v>
      </c>
      <c r="Z1045">
        <v>6250</v>
      </c>
      <c r="AA1045">
        <v>7</v>
      </c>
      <c r="AB1045">
        <v>12377</v>
      </c>
      <c r="AC1045">
        <v>0</v>
      </c>
      <c r="AD1045">
        <v>485283846141</v>
      </c>
      <c r="AE1045">
        <v>486885222.64999998</v>
      </c>
      <c r="AF1045">
        <v>415813229336</v>
      </c>
      <c r="AG1045">
        <v>484016975414.32001</v>
      </c>
      <c r="AH1045">
        <v>0.84117200000000003</v>
      </c>
      <c r="AI1045">
        <v>1.9118E-2</v>
      </c>
    </row>
    <row r="1046" spans="1:35" x14ac:dyDescent="0.35">
      <c r="A1046" t="s">
        <v>2</v>
      </c>
      <c r="B1046">
        <v>6750</v>
      </c>
      <c r="C1046">
        <v>6</v>
      </c>
      <c r="D1046">
        <v>686</v>
      </c>
      <c r="E1046">
        <v>0</v>
      </c>
      <c r="F1046">
        <v>12877037880</v>
      </c>
      <c r="G1046">
        <v>11673722.789999999</v>
      </c>
      <c r="H1046">
        <v>12843592016.59</v>
      </c>
      <c r="I1046">
        <v>12861036612.35</v>
      </c>
      <c r="J1046">
        <v>2.0101999999999998E-2</v>
      </c>
      <c r="K1046">
        <v>4.0249999999999999E-3</v>
      </c>
      <c r="M1046" t="s">
        <v>1</v>
      </c>
      <c r="N1046">
        <v>6250</v>
      </c>
      <c r="O1046">
        <v>6</v>
      </c>
      <c r="P1046">
        <v>11340</v>
      </c>
      <c r="Q1046">
        <v>0</v>
      </c>
      <c r="R1046">
        <v>450934560180</v>
      </c>
      <c r="S1046">
        <v>449313913.61000001</v>
      </c>
      <c r="T1046">
        <v>445280888185.38</v>
      </c>
      <c r="U1046">
        <v>450239757262.01001</v>
      </c>
      <c r="V1046">
        <v>0.13003400000000001</v>
      </c>
      <c r="W1046">
        <v>6.5129999999999997E-3</v>
      </c>
      <c r="Y1046" t="s">
        <v>2</v>
      </c>
      <c r="Z1046">
        <v>7000</v>
      </c>
      <c r="AA1046">
        <v>5</v>
      </c>
      <c r="AB1046">
        <v>1174</v>
      </c>
      <c r="AC1046">
        <v>0</v>
      </c>
      <c r="AD1046">
        <v>19404500000</v>
      </c>
      <c r="AE1046">
        <v>16531058.57</v>
      </c>
      <c r="AF1046">
        <v>19394787073</v>
      </c>
      <c r="AG1046">
        <v>19394787073</v>
      </c>
      <c r="AH1046">
        <v>-4.2249999999999996E-3</v>
      </c>
      <c r="AI1046">
        <v>-4.2249999999999996E-3</v>
      </c>
    </row>
    <row r="1047" spans="1:35" x14ac:dyDescent="0.35">
      <c r="A1047" t="s">
        <v>1</v>
      </c>
      <c r="B1047">
        <v>6250</v>
      </c>
      <c r="C1047">
        <v>8</v>
      </c>
      <c r="D1047">
        <v>10838</v>
      </c>
      <c r="E1047">
        <v>0</v>
      </c>
      <c r="F1047">
        <v>415797929336</v>
      </c>
      <c r="G1047">
        <v>419688206.94</v>
      </c>
      <c r="H1047">
        <v>383624808595.62</v>
      </c>
      <c r="I1047">
        <v>414913083703.96002</v>
      </c>
      <c r="J1047">
        <v>0.61453000000000002</v>
      </c>
      <c r="K1047">
        <v>1.3342E-2</v>
      </c>
      <c r="M1047" t="s">
        <v>0</v>
      </c>
      <c r="N1047">
        <v>5750</v>
      </c>
      <c r="O1047">
        <v>6</v>
      </c>
      <c r="P1047">
        <v>4775</v>
      </c>
      <c r="Q1047">
        <v>0</v>
      </c>
      <c r="R1047">
        <v>165191055521</v>
      </c>
      <c r="S1047">
        <v>180491254.06</v>
      </c>
      <c r="T1047">
        <v>164384675555.39001</v>
      </c>
      <c r="U1047">
        <v>164935666853.85001</v>
      </c>
      <c r="V1047">
        <v>4.4531000000000001E-2</v>
      </c>
      <c r="W1047">
        <v>5.4270000000000004E-3</v>
      </c>
      <c r="Y1047" t="s">
        <v>1</v>
      </c>
      <c r="Z1047">
        <v>7000</v>
      </c>
      <c r="AA1047">
        <v>6</v>
      </c>
      <c r="AB1047">
        <v>1976</v>
      </c>
      <c r="AC1047">
        <v>0</v>
      </c>
      <c r="AD1047">
        <v>63247897776</v>
      </c>
      <c r="AE1047">
        <v>54666511.039999999</v>
      </c>
      <c r="AF1047">
        <v>60271230866</v>
      </c>
      <c r="AG1047">
        <v>62862644908.480003</v>
      </c>
      <c r="AH1047">
        <v>0.433118</v>
      </c>
      <c r="AI1047">
        <v>6.0949999999999997E-2</v>
      </c>
    </row>
    <row r="1048" spans="1:35" x14ac:dyDescent="0.35">
      <c r="A1048" t="s">
        <v>2</v>
      </c>
      <c r="B1048">
        <v>7000</v>
      </c>
      <c r="C1048">
        <v>6</v>
      </c>
      <c r="D1048">
        <v>275</v>
      </c>
      <c r="E1048">
        <v>0</v>
      </c>
      <c r="F1048">
        <v>4547587073</v>
      </c>
      <c r="G1048">
        <v>3938750.73</v>
      </c>
      <c r="H1048">
        <v>4529065236.1300001</v>
      </c>
      <c r="I1048">
        <v>4539683468.3000002</v>
      </c>
      <c r="J1048">
        <v>3.7810000000000003E-2</v>
      </c>
      <c r="K1048">
        <v>1.0411999999999999E-2</v>
      </c>
      <c r="M1048" t="s">
        <v>0</v>
      </c>
      <c r="N1048">
        <v>5750</v>
      </c>
      <c r="O1048">
        <v>7</v>
      </c>
      <c r="P1048">
        <v>2612</v>
      </c>
      <c r="Q1048">
        <v>0</v>
      </c>
      <c r="R1048">
        <v>86459690707</v>
      </c>
      <c r="S1048">
        <v>94954929.299999997</v>
      </c>
      <c r="T1048">
        <v>85989968424.740005</v>
      </c>
      <c r="U1048">
        <v>86313140390.419998</v>
      </c>
      <c r="V1048">
        <v>5.0792999999999998E-2</v>
      </c>
      <c r="W1048">
        <v>7.1380000000000002E-3</v>
      </c>
      <c r="Y1048" t="s">
        <v>1</v>
      </c>
      <c r="Z1048">
        <v>7250</v>
      </c>
      <c r="AA1048">
        <v>5</v>
      </c>
      <c r="AB1048">
        <v>7750</v>
      </c>
      <c r="AC1048">
        <v>0</v>
      </c>
      <c r="AD1048">
        <v>248444100000</v>
      </c>
      <c r="AE1048">
        <v>201998756.15000001</v>
      </c>
      <c r="AF1048">
        <v>247204264697</v>
      </c>
      <c r="AG1048">
        <v>247803875368.60999</v>
      </c>
      <c r="AH1048">
        <v>4.8992000000000001E-2</v>
      </c>
      <c r="AI1048">
        <v>2.0962000000000001E-2</v>
      </c>
    </row>
    <row r="1049" spans="1:35" x14ac:dyDescent="0.35">
      <c r="A1049" t="s">
        <v>1</v>
      </c>
      <c r="B1049">
        <v>6500</v>
      </c>
      <c r="C1049">
        <v>5</v>
      </c>
      <c r="D1049">
        <v>19088</v>
      </c>
      <c r="E1049">
        <v>0</v>
      </c>
      <c r="F1049">
        <v>686718300000</v>
      </c>
      <c r="G1049">
        <v>640968314.78999996</v>
      </c>
      <c r="H1049">
        <v>684508649907.56995</v>
      </c>
      <c r="I1049">
        <v>685904589320.81995</v>
      </c>
      <c r="J1049">
        <v>2.707E-2</v>
      </c>
      <c r="K1049">
        <v>3.0140000000000002E-3</v>
      </c>
      <c r="M1049" t="s">
        <v>0</v>
      </c>
      <c r="N1049">
        <v>5500</v>
      </c>
      <c r="O1049">
        <v>6</v>
      </c>
      <c r="P1049">
        <v>2788</v>
      </c>
      <c r="Q1049">
        <v>0</v>
      </c>
      <c r="R1049">
        <v>91543941652</v>
      </c>
      <c r="S1049">
        <v>104586158.06</v>
      </c>
      <c r="T1049">
        <v>91223480494.429993</v>
      </c>
      <c r="U1049">
        <v>91401649201.919998</v>
      </c>
      <c r="V1049">
        <v>2.7934E-2</v>
      </c>
      <c r="W1049">
        <v>4.9319999999999998E-3</v>
      </c>
      <c r="Y1049" t="s">
        <v>2</v>
      </c>
      <c r="Z1049">
        <v>7500</v>
      </c>
      <c r="AA1049">
        <v>5</v>
      </c>
      <c r="AB1049">
        <v>114</v>
      </c>
      <c r="AC1049">
        <v>0</v>
      </c>
      <c r="AD1049">
        <v>1820400000</v>
      </c>
      <c r="AE1049">
        <v>1432015.49</v>
      </c>
      <c r="AF1049">
        <v>1819730048</v>
      </c>
      <c r="AG1049">
        <v>1819730048</v>
      </c>
      <c r="AH1049">
        <v>-5.0350000000000004E-3</v>
      </c>
      <c r="AI1049">
        <v>-5.0350000000000004E-3</v>
      </c>
    </row>
    <row r="1050" spans="1:35" x14ac:dyDescent="0.35">
      <c r="A1050" t="s">
        <v>1</v>
      </c>
      <c r="B1050">
        <v>7000</v>
      </c>
      <c r="C1050">
        <v>7</v>
      </c>
      <c r="D1050">
        <v>1901</v>
      </c>
      <c r="E1050">
        <v>0</v>
      </c>
      <c r="F1050">
        <v>60242430866</v>
      </c>
      <c r="G1050">
        <v>52394090.549999997</v>
      </c>
      <c r="H1050">
        <v>37145792075.459999</v>
      </c>
      <c r="I1050">
        <v>60056146906.239998</v>
      </c>
      <c r="J1050">
        <v>0.99692800000000004</v>
      </c>
      <c r="K1050">
        <v>2.6346999999999999E-2</v>
      </c>
      <c r="M1050" t="s">
        <v>1</v>
      </c>
      <c r="N1050">
        <v>6250</v>
      </c>
      <c r="O1050">
        <v>10</v>
      </c>
      <c r="P1050">
        <v>6860</v>
      </c>
      <c r="Q1050">
        <v>0</v>
      </c>
      <c r="R1050">
        <v>254245927728</v>
      </c>
      <c r="S1050">
        <v>258992884.72</v>
      </c>
      <c r="T1050">
        <v>237570181260.35001</v>
      </c>
      <c r="U1050">
        <v>253589770881.59</v>
      </c>
      <c r="V1050">
        <v>0.55111699999999997</v>
      </c>
      <c r="W1050">
        <v>1.8585000000000001E-2</v>
      </c>
      <c r="Y1050" t="s">
        <v>2</v>
      </c>
      <c r="Z1050">
        <v>6250</v>
      </c>
      <c r="AA1050">
        <v>7</v>
      </c>
      <c r="AB1050">
        <v>831</v>
      </c>
      <c r="AC1050">
        <v>0</v>
      </c>
      <c r="AD1050">
        <v>17980480445</v>
      </c>
      <c r="AE1050">
        <v>18008621.789999999</v>
      </c>
      <c r="AF1050">
        <v>17958053325</v>
      </c>
      <c r="AG1050">
        <v>17958053325</v>
      </c>
      <c r="AH1050">
        <v>2.9450000000000001E-3</v>
      </c>
      <c r="AI1050">
        <v>2.9450000000000001E-3</v>
      </c>
    </row>
    <row r="1051" spans="1:35" x14ac:dyDescent="0.35">
      <c r="A1051" t="s">
        <v>1</v>
      </c>
      <c r="B1051">
        <v>7000</v>
      </c>
      <c r="C1051">
        <v>6</v>
      </c>
      <c r="D1051">
        <v>2206</v>
      </c>
      <c r="E1051">
        <v>0</v>
      </c>
      <c r="F1051">
        <v>69891115162</v>
      </c>
      <c r="G1051">
        <v>60354119.060000002</v>
      </c>
      <c r="H1051">
        <v>67528638642.620003</v>
      </c>
      <c r="I1051">
        <v>69715036046.860001</v>
      </c>
      <c r="J1051">
        <v>0.33096599999999998</v>
      </c>
      <c r="K1051">
        <v>1.9689999999999999E-2</v>
      </c>
      <c r="M1051" t="s">
        <v>2</v>
      </c>
      <c r="N1051">
        <v>6750</v>
      </c>
      <c r="O1051">
        <v>7</v>
      </c>
      <c r="P1051">
        <v>607</v>
      </c>
      <c r="Q1051">
        <v>0</v>
      </c>
      <c r="R1051">
        <v>11572037261</v>
      </c>
      <c r="S1051">
        <v>10557982.109999999</v>
      </c>
      <c r="T1051">
        <v>11525766186.43</v>
      </c>
      <c r="U1051">
        <v>11559539374.299999</v>
      </c>
      <c r="V1051">
        <v>3.6412E-2</v>
      </c>
      <c r="W1051">
        <v>2.0100000000000001E-3</v>
      </c>
      <c r="Y1051" t="s">
        <v>1</v>
      </c>
      <c r="Z1051">
        <v>5250</v>
      </c>
      <c r="AA1051">
        <v>5</v>
      </c>
      <c r="AB1051">
        <v>21559</v>
      </c>
      <c r="AC1051">
        <v>0</v>
      </c>
      <c r="AD1051">
        <v>983729100000</v>
      </c>
      <c r="AE1051">
        <v>1140881985.1199999</v>
      </c>
      <c r="AF1051">
        <v>983236737712</v>
      </c>
      <c r="AG1051">
        <v>983412729400.83997</v>
      </c>
      <c r="AH1051">
        <v>-7.9399999999999991E-3</v>
      </c>
      <c r="AI1051">
        <v>-1.0104E-2</v>
      </c>
    </row>
    <row r="1052" spans="1:35" x14ac:dyDescent="0.35">
      <c r="A1052" t="s">
        <v>1</v>
      </c>
      <c r="B1052">
        <v>7250</v>
      </c>
      <c r="C1052">
        <v>6</v>
      </c>
      <c r="D1052">
        <v>1924</v>
      </c>
      <c r="E1052">
        <v>0</v>
      </c>
      <c r="F1052">
        <v>60942564697</v>
      </c>
      <c r="G1052">
        <v>50503522.009999998</v>
      </c>
      <c r="H1052">
        <v>58904448440.300003</v>
      </c>
      <c r="I1052">
        <v>60689598375.900002</v>
      </c>
      <c r="J1052">
        <v>0.32827000000000001</v>
      </c>
      <c r="K1052">
        <v>3.9146E-2</v>
      </c>
      <c r="M1052" t="s">
        <v>0</v>
      </c>
      <c r="N1052">
        <v>7750</v>
      </c>
      <c r="O1052">
        <v>7</v>
      </c>
      <c r="P1052">
        <v>939</v>
      </c>
      <c r="Q1052">
        <v>0</v>
      </c>
      <c r="R1052">
        <v>25169584884</v>
      </c>
      <c r="S1052">
        <v>18891082.73</v>
      </c>
      <c r="T1052">
        <v>23923678118</v>
      </c>
      <c r="U1052">
        <v>25063674562.779999</v>
      </c>
      <c r="V1052">
        <v>0.45104499999999997</v>
      </c>
      <c r="W1052">
        <v>4.0708000000000001E-2</v>
      </c>
      <c r="Y1052" t="s">
        <v>1</v>
      </c>
      <c r="Z1052">
        <v>8250</v>
      </c>
      <c r="AA1052">
        <v>360</v>
      </c>
      <c r="AB1052">
        <v>35</v>
      </c>
      <c r="AC1052">
        <v>0</v>
      </c>
      <c r="AD1052">
        <v>21598911</v>
      </c>
      <c r="AE1052">
        <v>1271809.96</v>
      </c>
      <c r="AF1052">
        <v>19625478</v>
      </c>
      <c r="AG1052">
        <v>19860551.32</v>
      </c>
      <c r="AH1052">
        <v>0.327183</v>
      </c>
      <c r="AI1052">
        <v>0.23052600000000001</v>
      </c>
    </row>
    <row r="1053" spans="1:35" x14ac:dyDescent="0.35">
      <c r="A1053" t="s">
        <v>2</v>
      </c>
      <c r="B1053">
        <v>6750</v>
      </c>
      <c r="C1053">
        <v>5</v>
      </c>
      <c r="D1053">
        <v>2451</v>
      </c>
      <c r="E1053">
        <v>0</v>
      </c>
      <c r="F1053">
        <v>44279300000</v>
      </c>
      <c r="G1053">
        <v>39599062.130000003</v>
      </c>
      <c r="H1053">
        <v>44218953781.559998</v>
      </c>
      <c r="I1053">
        <v>44230616617.720001</v>
      </c>
      <c r="J1053">
        <v>5.6080000000000001E-3</v>
      </c>
      <c r="K1053">
        <v>2.4589999999999998E-3</v>
      </c>
      <c r="M1053" t="s">
        <v>0</v>
      </c>
      <c r="N1053">
        <v>7500</v>
      </c>
      <c r="O1053">
        <v>6</v>
      </c>
      <c r="P1053">
        <v>1304</v>
      </c>
      <c r="Q1053">
        <v>0</v>
      </c>
      <c r="R1053">
        <v>33346033683</v>
      </c>
      <c r="S1053">
        <v>26152386.899999999</v>
      </c>
      <c r="T1053">
        <v>31645737577.389999</v>
      </c>
      <c r="U1053">
        <v>33232716305.099998</v>
      </c>
      <c r="V1053">
        <v>0.46103899999999998</v>
      </c>
      <c r="W1053">
        <v>3.092E-2</v>
      </c>
      <c r="Y1053" t="s">
        <v>2</v>
      </c>
      <c r="Z1053">
        <v>20000</v>
      </c>
      <c r="AA1053">
        <v>360</v>
      </c>
      <c r="AB1053">
        <v>1</v>
      </c>
      <c r="AC1053">
        <v>0</v>
      </c>
      <c r="AD1053">
        <v>493922</v>
      </c>
      <c r="AE1053">
        <v>25685.919999999998</v>
      </c>
      <c r="AF1053">
        <v>456183</v>
      </c>
      <c r="AG1053">
        <v>456183</v>
      </c>
      <c r="AH1053">
        <v>0.25655899999999998</v>
      </c>
      <c r="AI1053">
        <v>0.25655899999999998</v>
      </c>
    </row>
    <row r="1054" spans="1:35" x14ac:dyDescent="0.35">
      <c r="A1054" t="s">
        <v>2</v>
      </c>
      <c r="B1054">
        <v>7500</v>
      </c>
      <c r="C1054">
        <v>6</v>
      </c>
      <c r="D1054">
        <v>47</v>
      </c>
      <c r="E1054">
        <v>0</v>
      </c>
      <c r="F1054">
        <v>719030048</v>
      </c>
      <c r="G1054">
        <v>569981.57999999996</v>
      </c>
      <c r="H1054">
        <v>714403002.36000001</v>
      </c>
      <c r="I1054">
        <v>716185012.25999999</v>
      </c>
      <c r="J1054">
        <v>6.5646999999999997E-2</v>
      </c>
      <c r="K1054">
        <v>3.7315000000000001E-2</v>
      </c>
      <c r="M1054" t="s">
        <v>0</v>
      </c>
      <c r="N1054">
        <v>7750</v>
      </c>
      <c r="O1054">
        <v>6</v>
      </c>
      <c r="P1054">
        <v>902</v>
      </c>
      <c r="Q1054">
        <v>0</v>
      </c>
      <c r="R1054">
        <v>24396733229</v>
      </c>
      <c r="S1054">
        <v>18130732.84</v>
      </c>
      <c r="T1054">
        <v>23431369054.650002</v>
      </c>
      <c r="U1054">
        <v>24319337138.959999</v>
      </c>
      <c r="V1054">
        <v>0.37824000000000002</v>
      </c>
      <c r="W1054">
        <v>2.8764000000000001E-2</v>
      </c>
      <c r="Y1054" t="s">
        <v>1</v>
      </c>
      <c r="Z1054">
        <v>20000</v>
      </c>
      <c r="AA1054">
        <v>320</v>
      </c>
      <c r="AB1054">
        <v>3</v>
      </c>
      <c r="AC1054">
        <v>0</v>
      </c>
      <c r="AD1054">
        <v>4937201</v>
      </c>
      <c r="AE1054">
        <v>69916.789999999994</v>
      </c>
      <c r="AF1054">
        <v>4858681</v>
      </c>
      <c r="AG1054">
        <v>4858681</v>
      </c>
      <c r="AH1054">
        <v>2.0711E-2</v>
      </c>
      <c r="AI1054">
        <v>2.0711E-2</v>
      </c>
    </row>
    <row r="1055" spans="1:35" x14ac:dyDescent="0.35">
      <c r="A1055" t="s">
        <v>2</v>
      </c>
      <c r="B1055">
        <v>6250</v>
      </c>
      <c r="C1055">
        <v>8</v>
      </c>
      <c r="D1055">
        <v>831</v>
      </c>
      <c r="E1055">
        <v>0</v>
      </c>
      <c r="F1055">
        <v>17958053325</v>
      </c>
      <c r="G1055">
        <v>18097101.370000001</v>
      </c>
      <c r="H1055">
        <v>17905587616.139999</v>
      </c>
      <c r="I1055">
        <v>17934646692.790001</v>
      </c>
      <c r="J1055">
        <v>2.2726E-2</v>
      </c>
      <c r="K1055">
        <v>3.542E-3</v>
      </c>
      <c r="M1055" t="s">
        <v>2</v>
      </c>
      <c r="N1055">
        <v>6250</v>
      </c>
      <c r="O1055">
        <v>6</v>
      </c>
      <c r="P1055">
        <v>648</v>
      </c>
      <c r="Q1055">
        <v>0</v>
      </c>
      <c r="R1055">
        <v>13763367326</v>
      </c>
      <c r="S1055">
        <v>13705452.279999999</v>
      </c>
      <c r="T1055">
        <v>13734516546.43</v>
      </c>
      <c r="U1055">
        <v>13747714482.74</v>
      </c>
      <c r="V1055">
        <v>1.3125E-2</v>
      </c>
      <c r="W1055">
        <v>1.6969999999999999E-3</v>
      </c>
      <c r="Y1055" t="s">
        <v>3</v>
      </c>
      <c r="Z1055">
        <v>9000</v>
      </c>
      <c r="AA1055">
        <v>320</v>
      </c>
      <c r="AB1055">
        <v>1</v>
      </c>
      <c r="AC1055">
        <v>0</v>
      </c>
      <c r="AD1055">
        <v>872846</v>
      </c>
      <c r="AE1055">
        <v>13511.46</v>
      </c>
      <c r="AF1055">
        <v>821544</v>
      </c>
      <c r="AG1055">
        <v>821544</v>
      </c>
      <c r="AH1055">
        <v>0.41206100000000001</v>
      </c>
      <c r="AI1055">
        <v>0.41206100000000001</v>
      </c>
    </row>
    <row r="1056" spans="1:35" x14ac:dyDescent="0.35">
      <c r="A1056" t="s">
        <v>2</v>
      </c>
      <c r="B1056">
        <v>7500</v>
      </c>
      <c r="C1056">
        <v>5</v>
      </c>
      <c r="D1056">
        <v>67</v>
      </c>
      <c r="E1056">
        <v>0</v>
      </c>
      <c r="F1056">
        <v>1100700000</v>
      </c>
      <c r="G1056">
        <v>871114.76</v>
      </c>
      <c r="H1056">
        <v>1097996841.1800001</v>
      </c>
      <c r="I1056">
        <v>1099032889.0999999</v>
      </c>
      <c r="J1056">
        <v>1.9791E-2</v>
      </c>
      <c r="K1056">
        <v>8.6440000000000006E-3</v>
      </c>
      <c r="M1056" t="s">
        <v>2</v>
      </c>
      <c r="N1056">
        <v>6750</v>
      </c>
      <c r="O1056">
        <v>5</v>
      </c>
      <c r="P1056">
        <v>3878</v>
      </c>
      <c r="Q1056">
        <v>0</v>
      </c>
      <c r="R1056">
        <v>71798200000</v>
      </c>
      <c r="S1056">
        <v>63794886.640000001</v>
      </c>
      <c r="T1056">
        <v>71704219631.380005</v>
      </c>
      <c r="U1056">
        <v>71731163442.729996</v>
      </c>
      <c r="V1056">
        <v>5.0330000000000001E-3</v>
      </c>
      <c r="W1056">
        <v>5.4199999999999995E-4</v>
      </c>
      <c r="Y1056" t="s">
        <v>3</v>
      </c>
      <c r="Z1056">
        <v>7250</v>
      </c>
      <c r="AA1056">
        <v>320</v>
      </c>
      <c r="AB1056">
        <v>1</v>
      </c>
      <c r="AC1056">
        <v>0</v>
      </c>
      <c r="AD1056">
        <v>4047595</v>
      </c>
      <c r="AE1056">
        <v>42297.51</v>
      </c>
      <c r="AF1056">
        <v>3998462</v>
      </c>
      <c r="AG1056">
        <v>3998462</v>
      </c>
      <c r="AH1056">
        <v>2.0077999999999999E-2</v>
      </c>
      <c r="AI1056">
        <v>2.0077999999999999E-2</v>
      </c>
    </row>
    <row r="1057" spans="1:35" x14ac:dyDescent="0.35">
      <c r="A1057" t="s">
        <v>1</v>
      </c>
      <c r="B1057">
        <v>6750</v>
      </c>
      <c r="C1057">
        <v>5</v>
      </c>
      <c r="D1057">
        <v>24991</v>
      </c>
      <c r="E1057">
        <v>0</v>
      </c>
      <c r="F1057">
        <v>861193000000</v>
      </c>
      <c r="G1057">
        <v>772441988.63</v>
      </c>
      <c r="H1057">
        <v>858232435719.48999</v>
      </c>
      <c r="I1057">
        <v>859992825064.06995</v>
      </c>
      <c r="J1057">
        <v>3.0067E-2</v>
      </c>
      <c r="K1057">
        <v>5.9439999999999996E-3</v>
      </c>
      <c r="M1057" t="s">
        <v>1</v>
      </c>
      <c r="N1057">
        <v>6750</v>
      </c>
      <c r="O1057">
        <v>7</v>
      </c>
      <c r="P1057">
        <v>7061</v>
      </c>
      <c r="Q1057">
        <v>0</v>
      </c>
      <c r="R1057">
        <v>255963171351</v>
      </c>
      <c r="S1057">
        <v>234287704.38999999</v>
      </c>
      <c r="T1057">
        <v>185169840697.45001</v>
      </c>
      <c r="U1057">
        <v>255460203723.60001</v>
      </c>
      <c r="V1057">
        <v>0.97914100000000004</v>
      </c>
      <c r="W1057">
        <v>1.2524E-2</v>
      </c>
      <c r="Y1057" t="s">
        <v>3</v>
      </c>
      <c r="Z1057">
        <v>6250</v>
      </c>
      <c r="AA1057">
        <v>320</v>
      </c>
      <c r="AB1057">
        <v>28</v>
      </c>
      <c r="AC1057">
        <v>0</v>
      </c>
      <c r="AD1057">
        <v>115657935</v>
      </c>
      <c r="AE1057">
        <v>801940.64</v>
      </c>
      <c r="AF1057">
        <v>114656060</v>
      </c>
      <c r="AG1057">
        <v>114656060</v>
      </c>
      <c r="AH1057">
        <v>2.0548E-2</v>
      </c>
      <c r="AI1057">
        <v>2.0548E-2</v>
      </c>
    </row>
    <row r="1058" spans="1:35" x14ac:dyDescent="0.35">
      <c r="A1058" t="s">
        <v>1</v>
      </c>
      <c r="B1058">
        <v>5250</v>
      </c>
      <c r="C1058">
        <v>5</v>
      </c>
      <c r="D1058">
        <v>21153</v>
      </c>
      <c r="E1058">
        <v>0</v>
      </c>
      <c r="F1058">
        <v>967249300000</v>
      </c>
      <c r="G1058">
        <v>1125739310.5</v>
      </c>
      <c r="H1058">
        <v>965187049144.71997</v>
      </c>
      <c r="I1058">
        <v>966041825250.46997</v>
      </c>
      <c r="J1058">
        <v>1.1557E-2</v>
      </c>
      <c r="K1058">
        <v>1.0139999999999999E-3</v>
      </c>
      <c r="M1058" t="s">
        <v>2</v>
      </c>
      <c r="N1058">
        <v>7000</v>
      </c>
      <c r="O1058">
        <v>5</v>
      </c>
      <c r="P1058">
        <v>1465</v>
      </c>
      <c r="Q1058">
        <v>0</v>
      </c>
      <c r="R1058">
        <v>24709500000</v>
      </c>
      <c r="S1058">
        <v>20937002.129999999</v>
      </c>
      <c r="T1058">
        <v>24677866761.669998</v>
      </c>
      <c r="U1058">
        <v>24687312000.77</v>
      </c>
      <c r="V1058">
        <v>5.182E-3</v>
      </c>
      <c r="W1058">
        <v>6.0700000000000001E-4</v>
      </c>
      <c r="Y1058" t="s">
        <v>3</v>
      </c>
      <c r="Z1058">
        <v>5750</v>
      </c>
      <c r="AA1058">
        <v>320</v>
      </c>
      <c r="AB1058">
        <v>14</v>
      </c>
      <c r="AC1058">
        <v>0</v>
      </c>
      <c r="AD1058">
        <v>60379736</v>
      </c>
      <c r="AE1058">
        <v>415810.58</v>
      </c>
      <c r="AF1058">
        <v>59693296</v>
      </c>
      <c r="AG1058">
        <v>59693296</v>
      </c>
      <c r="AH1058">
        <v>5.2478999999999998E-2</v>
      </c>
      <c r="AI1058">
        <v>5.2478999999999998E-2</v>
      </c>
    </row>
    <row r="1059" spans="1:35" x14ac:dyDescent="0.35">
      <c r="A1059" t="s">
        <v>1</v>
      </c>
      <c r="B1059">
        <v>8250</v>
      </c>
      <c r="C1059">
        <v>360</v>
      </c>
      <c r="D1059">
        <v>34</v>
      </c>
      <c r="E1059">
        <v>0</v>
      </c>
      <c r="F1059">
        <v>19625478</v>
      </c>
      <c r="G1059">
        <v>1216918.1599999999</v>
      </c>
      <c r="H1059">
        <v>18149687.920000002</v>
      </c>
      <c r="I1059">
        <v>18394451.41</v>
      </c>
      <c r="J1059">
        <v>0.14729400000000001</v>
      </c>
      <c r="K1059">
        <v>8.5929999999999999E-3</v>
      </c>
      <c r="M1059" t="s">
        <v>2</v>
      </c>
      <c r="N1059">
        <v>7500</v>
      </c>
      <c r="O1059">
        <v>5</v>
      </c>
      <c r="P1059">
        <v>321</v>
      </c>
      <c r="Q1059">
        <v>0</v>
      </c>
      <c r="R1059">
        <v>4761700000</v>
      </c>
      <c r="S1059">
        <v>3690214.02</v>
      </c>
      <c r="T1059">
        <v>4741620499.8900003</v>
      </c>
      <c r="U1059">
        <v>4749900258.9499998</v>
      </c>
      <c r="V1059">
        <v>4.0529999999999997E-2</v>
      </c>
      <c r="W1059">
        <v>2.0247000000000001E-2</v>
      </c>
      <c r="Y1059" t="s">
        <v>1</v>
      </c>
      <c r="Z1059">
        <v>4000</v>
      </c>
      <c r="AA1059">
        <v>320</v>
      </c>
      <c r="AB1059">
        <v>46</v>
      </c>
      <c r="AC1059">
        <v>0</v>
      </c>
      <c r="AD1059">
        <v>201726616</v>
      </c>
      <c r="AE1059">
        <v>1790283.37</v>
      </c>
      <c r="AF1059">
        <v>198543195</v>
      </c>
      <c r="AG1059">
        <v>198543195</v>
      </c>
      <c r="AH1059">
        <v>7.9796000000000006E-2</v>
      </c>
      <c r="AI1059">
        <v>7.9796000000000006E-2</v>
      </c>
    </row>
    <row r="1060" spans="1:35" x14ac:dyDescent="0.35">
      <c r="A1060" t="s">
        <v>2</v>
      </c>
      <c r="B1060">
        <v>20000</v>
      </c>
      <c r="C1060">
        <v>360</v>
      </c>
      <c r="D1060">
        <v>1</v>
      </c>
      <c r="E1060">
        <v>0</v>
      </c>
      <c r="F1060">
        <v>456183</v>
      </c>
      <c r="G1060">
        <v>25217.62</v>
      </c>
      <c r="H1060">
        <v>428498.72</v>
      </c>
      <c r="I1060">
        <v>430965.38</v>
      </c>
      <c r="J1060">
        <v>6.2991000000000005E-2</v>
      </c>
      <c r="K1060">
        <v>0</v>
      </c>
      <c r="M1060" t="s">
        <v>1</v>
      </c>
      <c r="N1060">
        <v>8250</v>
      </c>
      <c r="O1060">
        <v>360</v>
      </c>
      <c r="P1060">
        <v>40</v>
      </c>
      <c r="Q1060">
        <v>0</v>
      </c>
      <c r="R1060">
        <v>27743103</v>
      </c>
      <c r="S1060">
        <v>1451617.14</v>
      </c>
      <c r="T1060">
        <v>25927531.059999999</v>
      </c>
      <c r="U1060">
        <v>26291485.859999999</v>
      </c>
      <c r="V1060">
        <v>0.14654900000000001</v>
      </c>
      <c r="W1060">
        <v>0</v>
      </c>
      <c r="Y1060" t="s">
        <v>1</v>
      </c>
      <c r="Z1060">
        <v>4250</v>
      </c>
      <c r="AA1060">
        <v>320</v>
      </c>
      <c r="AB1060">
        <v>46</v>
      </c>
      <c r="AC1060">
        <v>0</v>
      </c>
      <c r="AD1060">
        <v>223633691</v>
      </c>
      <c r="AE1060">
        <v>1848021.84</v>
      </c>
      <c r="AF1060">
        <v>208231076</v>
      </c>
      <c r="AG1060">
        <v>219528372.47</v>
      </c>
      <c r="AH1060">
        <v>0.52777700000000005</v>
      </c>
      <c r="AI1060">
        <v>0.114622</v>
      </c>
    </row>
    <row r="1061" spans="1:35" x14ac:dyDescent="0.35">
      <c r="A1061" t="s">
        <v>1</v>
      </c>
      <c r="B1061">
        <v>20000</v>
      </c>
      <c r="C1061">
        <v>320</v>
      </c>
      <c r="D1061">
        <v>3</v>
      </c>
      <c r="E1061">
        <v>0</v>
      </c>
      <c r="F1061">
        <v>4858681</v>
      </c>
      <c r="G1061">
        <v>70342.080000000002</v>
      </c>
      <c r="H1061">
        <v>4721002.5</v>
      </c>
      <c r="I1061">
        <v>4772373.1500000004</v>
      </c>
      <c r="J1061">
        <v>0.154199</v>
      </c>
      <c r="K1061">
        <v>3.8726999999999998E-2</v>
      </c>
      <c r="M1061" t="s">
        <v>2</v>
      </c>
      <c r="N1061">
        <v>20000</v>
      </c>
      <c r="O1061">
        <v>360</v>
      </c>
      <c r="P1061">
        <v>1</v>
      </c>
      <c r="Q1061">
        <v>0</v>
      </c>
      <c r="R1061">
        <v>568536</v>
      </c>
      <c r="S1061">
        <v>26401.05</v>
      </c>
      <c r="T1061">
        <v>538971.53</v>
      </c>
      <c r="U1061">
        <v>542134.94999999995</v>
      </c>
      <c r="V1061">
        <v>6.4764000000000002E-2</v>
      </c>
      <c r="W1061">
        <v>0</v>
      </c>
      <c r="Y1061" t="s">
        <v>3</v>
      </c>
      <c r="Z1061">
        <v>6750</v>
      </c>
      <c r="AA1061">
        <v>320</v>
      </c>
      <c r="AB1061">
        <v>4</v>
      </c>
      <c r="AC1061">
        <v>0</v>
      </c>
      <c r="AD1061">
        <v>15257478</v>
      </c>
      <c r="AE1061">
        <v>99910.86</v>
      </c>
      <c r="AF1061">
        <v>15123645</v>
      </c>
      <c r="AG1061">
        <v>15123645</v>
      </c>
      <c r="AH1061">
        <v>2.6356000000000001E-2</v>
      </c>
      <c r="AI1061">
        <v>2.6356000000000001E-2</v>
      </c>
    </row>
    <row r="1062" spans="1:35" x14ac:dyDescent="0.35">
      <c r="A1062" t="s">
        <v>3</v>
      </c>
      <c r="B1062">
        <v>9000</v>
      </c>
      <c r="C1062">
        <v>320</v>
      </c>
      <c r="D1062">
        <v>1</v>
      </c>
      <c r="E1062">
        <v>0</v>
      </c>
      <c r="F1062">
        <v>821544</v>
      </c>
      <c r="G1062">
        <v>13012.81</v>
      </c>
      <c r="H1062">
        <v>805344.82</v>
      </c>
      <c r="I1062">
        <v>808531.19</v>
      </c>
      <c r="J1062">
        <v>4.5561999999999998E-2</v>
      </c>
      <c r="K1062">
        <v>0</v>
      </c>
      <c r="M1062" t="s">
        <v>1</v>
      </c>
      <c r="N1062">
        <v>20000</v>
      </c>
      <c r="O1062">
        <v>320</v>
      </c>
      <c r="P1062">
        <v>3</v>
      </c>
      <c r="Q1062">
        <v>0</v>
      </c>
      <c r="R1062">
        <v>5060542</v>
      </c>
      <c r="S1062">
        <v>68659.009999999995</v>
      </c>
      <c r="T1062">
        <v>4922780.0199999996</v>
      </c>
      <c r="U1062">
        <v>4991882.99</v>
      </c>
      <c r="V1062">
        <v>0.15210000000000001</v>
      </c>
      <c r="W1062">
        <v>0</v>
      </c>
      <c r="Y1062" t="s">
        <v>0</v>
      </c>
      <c r="Z1062">
        <v>7250</v>
      </c>
      <c r="AA1062">
        <v>240</v>
      </c>
      <c r="AB1062">
        <v>900</v>
      </c>
      <c r="AC1062">
        <v>0</v>
      </c>
      <c r="AD1062">
        <v>4407029296</v>
      </c>
      <c r="AE1062">
        <v>20974053.370000001</v>
      </c>
      <c r="AF1062">
        <v>4343967040</v>
      </c>
      <c r="AG1062">
        <v>4352816093.2200003</v>
      </c>
      <c r="AH1062">
        <v>0.10877100000000001</v>
      </c>
      <c r="AI1062">
        <v>8.6846000000000007E-2</v>
      </c>
    </row>
    <row r="1063" spans="1:35" x14ac:dyDescent="0.35">
      <c r="A1063" t="s">
        <v>3</v>
      </c>
      <c r="B1063">
        <v>7250</v>
      </c>
      <c r="C1063">
        <v>320</v>
      </c>
      <c r="D1063">
        <v>1</v>
      </c>
      <c r="E1063">
        <v>0</v>
      </c>
      <c r="F1063">
        <v>3998462</v>
      </c>
      <c r="G1063">
        <v>42476.04</v>
      </c>
      <c r="H1063">
        <v>3940395.66</v>
      </c>
      <c r="I1063">
        <v>3940487.74</v>
      </c>
      <c r="J1063">
        <v>4.5797999999999998E-2</v>
      </c>
      <c r="K1063">
        <v>4.5533999999999998E-2</v>
      </c>
      <c r="M1063" t="s">
        <v>3</v>
      </c>
      <c r="N1063">
        <v>9000</v>
      </c>
      <c r="O1063">
        <v>320</v>
      </c>
      <c r="P1063">
        <v>1</v>
      </c>
      <c r="Q1063">
        <v>0</v>
      </c>
      <c r="R1063">
        <v>1023037</v>
      </c>
      <c r="S1063">
        <v>15141.1</v>
      </c>
      <c r="T1063">
        <v>1004053.12</v>
      </c>
      <c r="U1063">
        <v>1007895.9</v>
      </c>
      <c r="V1063">
        <v>4.4155E-2</v>
      </c>
      <c r="W1063">
        <v>0</v>
      </c>
      <c r="Y1063" t="s">
        <v>1</v>
      </c>
      <c r="Z1063">
        <v>7250</v>
      </c>
      <c r="AA1063">
        <v>240</v>
      </c>
      <c r="AB1063">
        <v>34</v>
      </c>
      <c r="AC1063">
        <v>0</v>
      </c>
      <c r="AD1063">
        <v>168641355</v>
      </c>
      <c r="AE1063">
        <v>815053.56</v>
      </c>
      <c r="AF1063">
        <v>167463613</v>
      </c>
      <c r="AG1063">
        <v>167463613</v>
      </c>
      <c r="AH1063">
        <v>2.5505E-2</v>
      </c>
      <c r="AI1063">
        <v>2.5505E-2</v>
      </c>
    </row>
    <row r="1064" spans="1:35" x14ac:dyDescent="0.35">
      <c r="A1064" t="s">
        <v>3</v>
      </c>
      <c r="B1064">
        <v>6250</v>
      </c>
      <c r="C1064">
        <v>320</v>
      </c>
      <c r="D1064">
        <v>30</v>
      </c>
      <c r="E1064">
        <v>0</v>
      </c>
      <c r="F1064">
        <v>123183315</v>
      </c>
      <c r="G1064">
        <v>856922.84</v>
      </c>
      <c r="H1064">
        <v>122151617.22</v>
      </c>
      <c r="I1064">
        <v>122214596.31</v>
      </c>
      <c r="J1064">
        <v>1.6893999999999999E-2</v>
      </c>
      <c r="K1064">
        <v>1.0836E-2</v>
      </c>
      <c r="M1064" t="s">
        <v>3</v>
      </c>
      <c r="N1064">
        <v>7250</v>
      </c>
      <c r="O1064">
        <v>320</v>
      </c>
      <c r="P1064">
        <v>1</v>
      </c>
      <c r="Q1064">
        <v>0</v>
      </c>
      <c r="R1064">
        <v>4144993</v>
      </c>
      <c r="S1064">
        <v>41936.76</v>
      </c>
      <c r="T1064">
        <v>4087412.63</v>
      </c>
      <c r="U1064">
        <v>4087722.17</v>
      </c>
      <c r="V1064">
        <v>4.4360999999999998E-2</v>
      </c>
      <c r="W1064">
        <v>4.3500999999999998E-2</v>
      </c>
      <c r="Y1064" t="s">
        <v>3</v>
      </c>
      <c r="Z1064">
        <v>6750</v>
      </c>
      <c r="AA1064">
        <v>240</v>
      </c>
      <c r="AB1064">
        <v>22</v>
      </c>
      <c r="AC1064">
        <v>0</v>
      </c>
      <c r="AD1064">
        <v>115260133</v>
      </c>
      <c r="AE1064">
        <v>561271.16</v>
      </c>
      <c r="AF1064">
        <v>114535496</v>
      </c>
      <c r="AG1064">
        <v>114535496</v>
      </c>
      <c r="AH1064">
        <v>1.6875999999999999E-2</v>
      </c>
      <c r="AI1064">
        <v>1.6875999999999999E-2</v>
      </c>
    </row>
    <row r="1065" spans="1:35" x14ac:dyDescent="0.35">
      <c r="A1065" t="s">
        <v>3</v>
      </c>
      <c r="B1065">
        <v>5750</v>
      </c>
      <c r="C1065">
        <v>320</v>
      </c>
      <c r="D1065">
        <v>14</v>
      </c>
      <c r="E1065">
        <v>0</v>
      </c>
      <c r="F1065">
        <v>59693296</v>
      </c>
      <c r="G1065">
        <v>415238.63</v>
      </c>
      <c r="H1065">
        <v>59178887.509999998</v>
      </c>
      <c r="I1065">
        <v>59207630.079999998</v>
      </c>
      <c r="J1065">
        <v>1.9755000000000002E-2</v>
      </c>
      <c r="K1065">
        <v>1.4066E-2</v>
      </c>
      <c r="M1065" t="s">
        <v>3</v>
      </c>
      <c r="N1065">
        <v>6250</v>
      </c>
      <c r="O1065">
        <v>320</v>
      </c>
      <c r="P1065">
        <v>21</v>
      </c>
      <c r="Q1065">
        <v>0</v>
      </c>
      <c r="R1065">
        <v>96547640</v>
      </c>
      <c r="S1065">
        <v>669833.78</v>
      </c>
      <c r="T1065">
        <v>95731919.379999995</v>
      </c>
      <c r="U1065">
        <v>95764233.25</v>
      </c>
      <c r="V1065">
        <v>1.7982000000000001E-2</v>
      </c>
      <c r="W1065">
        <v>1.4024999999999999E-2</v>
      </c>
      <c r="Y1065" t="s">
        <v>2</v>
      </c>
      <c r="Z1065">
        <v>7250</v>
      </c>
      <c r="AA1065">
        <v>240</v>
      </c>
      <c r="AB1065">
        <v>186</v>
      </c>
      <c r="AC1065">
        <v>0</v>
      </c>
      <c r="AD1065">
        <v>732995715</v>
      </c>
      <c r="AE1065">
        <v>3546514.31</v>
      </c>
      <c r="AF1065">
        <v>722331010</v>
      </c>
      <c r="AG1065">
        <v>725557344.59000003</v>
      </c>
      <c r="AH1065">
        <v>0.11050599999999999</v>
      </c>
      <c r="AI1065">
        <v>6.1885999999999997E-2</v>
      </c>
    </row>
    <row r="1066" spans="1:35" x14ac:dyDescent="0.35">
      <c r="A1066" t="s">
        <v>1</v>
      </c>
      <c r="B1066">
        <v>4250</v>
      </c>
      <c r="C1066">
        <v>320</v>
      </c>
      <c r="D1066">
        <v>47</v>
      </c>
      <c r="E1066">
        <v>0</v>
      </c>
      <c r="F1066">
        <v>227317235</v>
      </c>
      <c r="G1066">
        <v>1885593.78</v>
      </c>
      <c r="H1066">
        <v>223253625.66</v>
      </c>
      <c r="I1066">
        <v>224134153.75999999</v>
      </c>
      <c r="J1066">
        <v>0.109107</v>
      </c>
      <c r="K1066">
        <v>6.6383999999999999E-2</v>
      </c>
      <c r="M1066" t="s">
        <v>3</v>
      </c>
      <c r="N1066">
        <v>5750</v>
      </c>
      <c r="O1066">
        <v>320</v>
      </c>
      <c r="P1066">
        <v>11</v>
      </c>
      <c r="Q1066">
        <v>0</v>
      </c>
      <c r="R1066">
        <v>43781034</v>
      </c>
      <c r="S1066">
        <v>303509.65999999997</v>
      </c>
      <c r="T1066">
        <v>43414158.060000002</v>
      </c>
      <c r="U1066">
        <v>43439292.890000001</v>
      </c>
      <c r="V1066">
        <v>1.7231E-2</v>
      </c>
      <c r="W1066">
        <v>1.0429000000000001E-2</v>
      </c>
      <c r="Y1066" t="s">
        <v>0</v>
      </c>
      <c r="Z1066">
        <v>7750</v>
      </c>
      <c r="AA1066">
        <v>240</v>
      </c>
      <c r="AB1066">
        <v>57</v>
      </c>
      <c r="AC1066">
        <v>0</v>
      </c>
      <c r="AD1066">
        <v>224593553</v>
      </c>
      <c r="AE1066">
        <v>1034457.79</v>
      </c>
      <c r="AF1066">
        <v>219869796</v>
      </c>
      <c r="AG1066">
        <v>219869796</v>
      </c>
      <c r="AH1066">
        <v>0.18024999999999999</v>
      </c>
      <c r="AI1066">
        <v>0.18024999999999999</v>
      </c>
    </row>
    <row r="1067" spans="1:35" x14ac:dyDescent="0.35">
      <c r="A1067" t="s">
        <v>3</v>
      </c>
      <c r="B1067">
        <v>6750</v>
      </c>
      <c r="C1067">
        <v>320</v>
      </c>
      <c r="D1067">
        <v>4</v>
      </c>
      <c r="E1067">
        <v>0</v>
      </c>
      <c r="F1067">
        <v>15123645</v>
      </c>
      <c r="G1067">
        <v>100209.95</v>
      </c>
      <c r="H1067">
        <v>14992906.970000001</v>
      </c>
      <c r="I1067">
        <v>15011393.85</v>
      </c>
      <c r="J1067">
        <v>2.3956000000000002E-2</v>
      </c>
      <c r="K1067">
        <v>9.5119999999999996E-3</v>
      </c>
      <c r="M1067" t="s">
        <v>1</v>
      </c>
      <c r="N1067">
        <v>4000</v>
      </c>
      <c r="O1067">
        <v>320</v>
      </c>
      <c r="P1067">
        <v>46</v>
      </c>
      <c r="Q1067">
        <v>0</v>
      </c>
      <c r="R1067">
        <v>207023832</v>
      </c>
      <c r="S1067">
        <v>1794025.13</v>
      </c>
      <c r="T1067">
        <v>202388796.91</v>
      </c>
      <c r="U1067">
        <v>203455394.34999999</v>
      </c>
      <c r="V1067">
        <v>0.15279899999999999</v>
      </c>
      <c r="W1067">
        <v>9.8140000000000005E-2</v>
      </c>
      <c r="Y1067" t="s">
        <v>1</v>
      </c>
      <c r="Z1067">
        <v>7750</v>
      </c>
      <c r="AA1067">
        <v>240</v>
      </c>
      <c r="AB1067">
        <v>1</v>
      </c>
      <c r="AC1067">
        <v>0</v>
      </c>
      <c r="AD1067">
        <v>8092526</v>
      </c>
      <c r="AE1067">
        <v>41149.599999999999</v>
      </c>
      <c r="AF1067">
        <v>8050028</v>
      </c>
      <c r="AG1067">
        <v>8050028</v>
      </c>
      <c r="AH1067">
        <v>1.9980000000000002E-3</v>
      </c>
      <c r="AI1067">
        <v>1.9980000000000002E-3</v>
      </c>
    </row>
    <row r="1068" spans="1:35" x14ac:dyDescent="0.35">
      <c r="A1068" t="s">
        <v>0</v>
      </c>
      <c r="B1068">
        <v>7250</v>
      </c>
      <c r="C1068">
        <v>240</v>
      </c>
      <c r="D1068">
        <v>978</v>
      </c>
      <c r="E1068">
        <v>0</v>
      </c>
      <c r="F1068">
        <v>4752944064</v>
      </c>
      <c r="G1068">
        <v>22713952.460000001</v>
      </c>
      <c r="H1068">
        <v>4700305466.8299999</v>
      </c>
      <c r="I1068">
        <v>4720559432.6199999</v>
      </c>
      <c r="J1068">
        <v>7.2989999999999999E-2</v>
      </c>
      <c r="K1068">
        <v>2.4145E-2</v>
      </c>
      <c r="M1068" t="s">
        <v>1</v>
      </c>
      <c r="N1068">
        <v>4250</v>
      </c>
      <c r="O1068">
        <v>320</v>
      </c>
      <c r="P1068">
        <v>41</v>
      </c>
      <c r="Q1068">
        <v>0</v>
      </c>
      <c r="R1068">
        <v>202635177</v>
      </c>
      <c r="S1068">
        <v>1683981.96</v>
      </c>
      <c r="T1068">
        <v>198656798.74000001</v>
      </c>
      <c r="U1068">
        <v>199715574.47</v>
      </c>
      <c r="V1068">
        <v>0.127723</v>
      </c>
      <c r="W1068">
        <v>7.0767999999999998E-2</v>
      </c>
      <c r="Y1068" t="s">
        <v>3</v>
      </c>
      <c r="Z1068">
        <v>7250</v>
      </c>
      <c r="AA1068">
        <v>240</v>
      </c>
      <c r="AB1068">
        <v>2</v>
      </c>
      <c r="AC1068">
        <v>0</v>
      </c>
      <c r="AD1068">
        <v>8823206</v>
      </c>
      <c r="AE1068">
        <v>40392.06</v>
      </c>
      <c r="AF1068">
        <v>8775831</v>
      </c>
      <c r="AG1068">
        <v>8775831</v>
      </c>
      <c r="AH1068">
        <v>9.4560000000000009E-3</v>
      </c>
      <c r="AI1068">
        <v>9.4560000000000009E-3</v>
      </c>
    </row>
    <row r="1069" spans="1:35" x14ac:dyDescent="0.35">
      <c r="A1069" t="s">
        <v>1</v>
      </c>
      <c r="B1069">
        <v>7250</v>
      </c>
      <c r="C1069">
        <v>240</v>
      </c>
      <c r="D1069">
        <v>33</v>
      </c>
      <c r="E1069">
        <v>0</v>
      </c>
      <c r="F1069">
        <v>164235061</v>
      </c>
      <c r="G1069">
        <v>799372.35</v>
      </c>
      <c r="H1069">
        <v>161748238.63999999</v>
      </c>
      <c r="I1069">
        <v>163435478.28</v>
      </c>
      <c r="J1069">
        <v>0.116561</v>
      </c>
      <c r="K1069">
        <v>1.5E-5</v>
      </c>
      <c r="M1069" t="s">
        <v>3</v>
      </c>
      <c r="N1069">
        <v>6750</v>
      </c>
      <c r="O1069">
        <v>320</v>
      </c>
      <c r="P1069">
        <v>3</v>
      </c>
      <c r="Q1069">
        <v>0</v>
      </c>
      <c r="R1069">
        <v>10134989</v>
      </c>
      <c r="S1069">
        <v>67908.44</v>
      </c>
      <c r="T1069">
        <v>10040667.77</v>
      </c>
      <c r="U1069">
        <v>10054821.84</v>
      </c>
      <c r="V1069">
        <v>3.0828999999999999E-2</v>
      </c>
      <c r="W1069">
        <v>1.4418E-2</v>
      </c>
      <c r="Y1069" t="s">
        <v>3</v>
      </c>
      <c r="Z1069">
        <v>7500</v>
      </c>
      <c r="AA1069">
        <v>240</v>
      </c>
      <c r="AB1069">
        <v>2</v>
      </c>
      <c r="AC1069">
        <v>0</v>
      </c>
      <c r="AD1069">
        <v>13890692</v>
      </c>
      <c r="AE1069">
        <v>62203.91</v>
      </c>
      <c r="AF1069">
        <v>13670223</v>
      </c>
      <c r="AG1069">
        <v>13670223</v>
      </c>
      <c r="AH1069">
        <v>0.128473</v>
      </c>
      <c r="AI1069">
        <v>0.128473</v>
      </c>
    </row>
    <row r="1070" spans="1:35" x14ac:dyDescent="0.35">
      <c r="A1070" t="s">
        <v>3</v>
      </c>
      <c r="B1070">
        <v>6750</v>
      </c>
      <c r="C1070">
        <v>240</v>
      </c>
      <c r="D1070">
        <v>23</v>
      </c>
      <c r="E1070">
        <v>0</v>
      </c>
      <c r="F1070">
        <v>116276699</v>
      </c>
      <c r="G1070">
        <v>571498.02</v>
      </c>
      <c r="H1070">
        <v>115461332.27</v>
      </c>
      <c r="I1070">
        <v>115705119.45</v>
      </c>
      <c r="J1070">
        <v>2.4878999999999998E-2</v>
      </c>
      <c r="K1070">
        <v>7.9999999999999996E-6</v>
      </c>
      <c r="M1070" t="s">
        <v>3</v>
      </c>
      <c r="N1070">
        <v>6750</v>
      </c>
      <c r="O1070">
        <v>240</v>
      </c>
      <c r="P1070">
        <v>21</v>
      </c>
      <c r="Q1070">
        <v>0</v>
      </c>
      <c r="R1070">
        <v>108652357</v>
      </c>
      <c r="S1070">
        <v>527079.49</v>
      </c>
      <c r="T1070">
        <v>108042046.81999999</v>
      </c>
      <c r="U1070">
        <v>108125243.23</v>
      </c>
      <c r="V1070">
        <v>9.1540000000000007E-3</v>
      </c>
      <c r="W1070">
        <v>3.9999999999999998E-6</v>
      </c>
      <c r="Y1070" t="s">
        <v>0</v>
      </c>
      <c r="Z1070">
        <v>8250</v>
      </c>
      <c r="AA1070">
        <v>240</v>
      </c>
      <c r="AB1070">
        <v>3</v>
      </c>
      <c r="AC1070">
        <v>0</v>
      </c>
      <c r="AD1070">
        <v>10100167</v>
      </c>
      <c r="AE1070">
        <v>42513.89</v>
      </c>
      <c r="AF1070">
        <v>10050919</v>
      </c>
      <c r="AG1070">
        <v>10050919</v>
      </c>
      <c r="AH1070">
        <v>7.9719999999999999E-3</v>
      </c>
      <c r="AI1070">
        <v>7.9719999999999999E-3</v>
      </c>
    </row>
    <row r="1071" spans="1:35" x14ac:dyDescent="0.35">
      <c r="A1071" t="s">
        <v>2</v>
      </c>
      <c r="B1071">
        <v>7250</v>
      </c>
      <c r="C1071">
        <v>240</v>
      </c>
      <c r="D1071">
        <v>190</v>
      </c>
      <c r="E1071">
        <v>0</v>
      </c>
      <c r="F1071">
        <v>745073204</v>
      </c>
      <c r="G1071">
        <v>3633867.84</v>
      </c>
      <c r="H1071">
        <v>736131505.46000004</v>
      </c>
      <c r="I1071">
        <v>740793513.29999995</v>
      </c>
      <c r="J1071">
        <v>8.2215999999999997E-2</v>
      </c>
      <c r="K1071">
        <v>1.0352E-2</v>
      </c>
      <c r="M1071" t="s">
        <v>0</v>
      </c>
      <c r="N1071">
        <v>7250</v>
      </c>
      <c r="O1071">
        <v>240</v>
      </c>
      <c r="P1071">
        <v>699</v>
      </c>
      <c r="Q1071">
        <v>0</v>
      </c>
      <c r="R1071">
        <v>3340933603</v>
      </c>
      <c r="S1071">
        <v>15908214.17</v>
      </c>
      <c r="T1071">
        <v>3304666754.3499999</v>
      </c>
      <c r="U1071">
        <v>3321245956.2399998</v>
      </c>
      <c r="V1071">
        <v>7.0722999999999994E-2</v>
      </c>
      <c r="W1071">
        <v>1.3491E-2</v>
      </c>
      <c r="Y1071" t="s">
        <v>0</v>
      </c>
      <c r="Z1071">
        <v>7750</v>
      </c>
      <c r="AA1071">
        <v>216</v>
      </c>
      <c r="AB1071">
        <v>36</v>
      </c>
      <c r="AC1071">
        <v>0</v>
      </c>
      <c r="AD1071">
        <v>159905784</v>
      </c>
      <c r="AE1071">
        <v>626682.04</v>
      </c>
      <c r="AF1071">
        <v>153618655</v>
      </c>
      <c r="AG1071">
        <v>153618655</v>
      </c>
      <c r="AH1071">
        <v>0.351105</v>
      </c>
      <c r="AI1071">
        <v>0.351105</v>
      </c>
    </row>
    <row r="1072" spans="1:35" x14ac:dyDescent="0.35">
      <c r="A1072" t="s">
        <v>0</v>
      </c>
      <c r="B1072">
        <v>7750</v>
      </c>
      <c r="C1072">
        <v>240</v>
      </c>
      <c r="D1072">
        <v>57</v>
      </c>
      <c r="E1072">
        <v>0</v>
      </c>
      <c r="F1072">
        <v>225584515</v>
      </c>
      <c r="G1072">
        <v>1049329.4099999999</v>
      </c>
      <c r="H1072">
        <v>222398118.02000001</v>
      </c>
      <c r="I1072">
        <v>223773708.69999999</v>
      </c>
      <c r="J1072">
        <v>0.107941</v>
      </c>
      <c r="K1072">
        <v>3.9763E-2</v>
      </c>
      <c r="M1072" t="s">
        <v>1</v>
      </c>
      <c r="N1072">
        <v>7250</v>
      </c>
      <c r="O1072">
        <v>240</v>
      </c>
      <c r="P1072">
        <v>32</v>
      </c>
      <c r="Q1072">
        <v>0</v>
      </c>
      <c r="R1072">
        <v>163535062</v>
      </c>
      <c r="S1072">
        <v>780632.28</v>
      </c>
      <c r="T1072">
        <v>159157215.50999999</v>
      </c>
      <c r="U1072">
        <v>160573890.09</v>
      </c>
      <c r="V1072">
        <v>0.23425499999999999</v>
      </c>
      <c r="W1072">
        <v>0.14877699999999999</v>
      </c>
      <c r="Y1072" t="s">
        <v>3</v>
      </c>
      <c r="Z1072">
        <v>6250</v>
      </c>
      <c r="AA1072">
        <v>216</v>
      </c>
      <c r="AB1072">
        <v>16</v>
      </c>
      <c r="AC1072">
        <v>0</v>
      </c>
      <c r="AD1072">
        <v>131631334</v>
      </c>
      <c r="AE1072">
        <v>577941.05000000005</v>
      </c>
      <c r="AF1072">
        <v>131115215</v>
      </c>
      <c r="AG1072">
        <v>131115215</v>
      </c>
      <c r="AH1072">
        <v>-5.6509999999999998E-3</v>
      </c>
      <c r="AI1072">
        <v>-5.6509999999999998E-3</v>
      </c>
    </row>
    <row r="1073" spans="1:35" x14ac:dyDescent="0.35">
      <c r="A1073" t="s">
        <v>1</v>
      </c>
      <c r="B1073">
        <v>7750</v>
      </c>
      <c r="C1073">
        <v>240</v>
      </c>
      <c r="D1073">
        <v>1</v>
      </c>
      <c r="E1073">
        <v>0</v>
      </c>
      <c r="F1073">
        <v>8050028</v>
      </c>
      <c r="G1073">
        <v>41404.14</v>
      </c>
      <c r="H1073">
        <v>7918421.0999999996</v>
      </c>
      <c r="I1073">
        <v>8008617.6299999999</v>
      </c>
      <c r="J1073">
        <v>0.12647800000000001</v>
      </c>
      <c r="K1073">
        <v>9.0000000000000002E-6</v>
      </c>
      <c r="M1073" t="s">
        <v>2</v>
      </c>
      <c r="N1073">
        <v>7250</v>
      </c>
      <c r="O1073">
        <v>240</v>
      </c>
      <c r="P1073">
        <v>167</v>
      </c>
      <c r="Q1073">
        <v>0</v>
      </c>
      <c r="R1073">
        <v>655145909</v>
      </c>
      <c r="S1073">
        <v>3140184.17</v>
      </c>
      <c r="T1073">
        <v>648289680.41999996</v>
      </c>
      <c r="U1073">
        <v>651780804.88999999</v>
      </c>
      <c r="V1073">
        <v>6.5980999999999998E-2</v>
      </c>
      <c r="W1073">
        <v>4.1120000000000002E-3</v>
      </c>
      <c r="Y1073" t="s">
        <v>0</v>
      </c>
      <c r="Z1073">
        <v>8250</v>
      </c>
      <c r="AA1073">
        <v>216</v>
      </c>
      <c r="AB1073">
        <v>8</v>
      </c>
      <c r="AC1073">
        <v>0</v>
      </c>
      <c r="AD1073">
        <v>33578030</v>
      </c>
      <c r="AE1073">
        <v>130605.09</v>
      </c>
      <c r="AF1073">
        <v>33403525</v>
      </c>
      <c r="AG1073">
        <v>33403525</v>
      </c>
      <c r="AH1073">
        <v>1.5576E-2</v>
      </c>
      <c r="AI1073">
        <v>1.5576E-2</v>
      </c>
    </row>
    <row r="1074" spans="1:35" x14ac:dyDescent="0.35">
      <c r="A1074" t="s">
        <v>3</v>
      </c>
      <c r="B1074">
        <v>7250</v>
      </c>
      <c r="C1074">
        <v>240</v>
      </c>
      <c r="D1074">
        <v>2</v>
      </c>
      <c r="E1074">
        <v>0</v>
      </c>
      <c r="F1074">
        <v>8775831</v>
      </c>
      <c r="G1074">
        <v>40601.49</v>
      </c>
      <c r="H1074">
        <v>8722522.5700000003</v>
      </c>
      <c r="I1074">
        <v>8735228.1600000001</v>
      </c>
      <c r="J1074">
        <v>1.7238E-2</v>
      </c>
      <c r="K1074">
        <v>1.9999999999999999E-6</v>
      </c>
      <c r="M1074" t="s">
        <v>0</v>
      </c>
      <c r="N1074">
        <v>7750</v>
      </c>
      <c r="O1074">
        <v>240</v>
      </c>
      <c r="P1074">
        <v>44</v>
      </c>
      <c r="Q1074">
        <v>0</v>
      </c>
      <c r="R1074">
        <v>173356524</v>
      </c>
      <c r="S1074">
        <v>797478.33</v>
      </c>
      <c r="T1074">
        <v>171733361.91</v>
      </c>
      <c r="U1074">
        <v>172548133.63</v>
      </c>
      <c r="V1074">
        <v>5.5681000000000001E-2</v>
      </c>
      <c r="W1074">
        <v>7.5500000000000003E-4</v>
      </c>
      <c r="Y1074" t="s">
        <v>3</v>
      </c>
      <c r="Z1074">
        <v>7250</v>
      </c>
      <c r="AA1074">
        <v>216</v>
      </c>
      <c r="AB1074">
        <v>1</v>
      </c>
      <c r="AC1074">
        <v>0</v>
      </c>
      <c r="AD1074">
        <v>2955222</v>
      </c>
      <c r="AE1074">
        <v>12907.98</v>
      </c>
      <c r="AF1074">
        <v>2955222</v>
      </c>
      <c r="AG1074">
        <v>2955222</v>
      </c>
      <c r="AH1074">
        <v>-5.3691999999999997E-2</v>
      </c>
      <c r="AI1074">
        <v>-5.3691999999999997E-2</v>
      </c>
    </row>
    <row r="1075" spans="1:35" x14ac:dyDescent="0.35">
      <c r="A1075" t="s">
        <v>3</v>
      </c>
      <c r="B1075">
        <v>7500</v>
      </c>
      <c r="C1075">
        <v>240</v>
      </c>
      <c r="D1075">
        <v>2</v>
      </c>
      <c r="E1075">
        <v>0</v>
      </c>
      <c r="F1075">
        <v>13670223</v>
      </c>
      <c r="G1075">
        <v>61869.91</v>
      </c>
      <c r="H1075">
        <v>13452780.35</v>
      </c>
      <c r="I1075">
        <v>13608353.01</v>
      </c>
      <c r="J1075">
        <v>0.128333</v>
      </c>
      <c r="K1075">
        <v>0</v>
      </c>
      <c r="M1075" t="s">
        <v>1</v>
      </c>
      <c r="N1075">
        <v>7750</v>
      </c>
      <c r="O1075">
        <v>240</v>
      </c>
      <c r="P1075">
        <v>1</v>
      </c>
      <c r="Q1075">
        <v>0</v>
      </c>
      <c r="R1075">
        <v>8176718</v>
      </c>
      <c r="S1075">
        <v>40644.870000000003</v>
      </c>
      <c r="T1075">
        <v>7996606.6100000003</v>
      </c>
      <c r="U1075">
        <v>8136062.7599999998</v>
      </c>
      <c r="V1075">
        <v>0.186528</v>
      </c>
      <c r="W1075">
        <v>1.5E-5</v>
      </c>
      <c r="Y1075" t="s">
        <v>1</v>
      </c>
      <c r="Z1075">
        <v>4750</v>
      </c>
      <c r="AA1075">
        <v>216</v>
      </c>
      <c r="AB1075">
        <v>692</v>
      </c>
      <c r="AC1075">
        <v>0</v>
      </c>
      <c r="AD1075">
        <v>6958237831</v>
      </c>
      <c r="AE1075">
        <v>30535175.100000001</v>
      </c>
      <c r="AF1075">
        <v>6897820435</v>
      </c>
      <c r="AG1075">
        <v>6902898018.8999996</v>
      </c>
      <c r="AH1075">
        <v>5.0333999999999997E-2</v>
      </c>
      <c r="AI1075">
        <v>4.1949E-2</v>
      </c>
    </row>
    <row r="1076" spans="1:35" x14ac:dyDescent="0.35">
      <c r="A1076" t="s">
        <v>0</v>
      </c>
      <c r="B1076">
        <v>8250</v>
      </c>
      <c r="C1076">
        <v>240</v>
      </c>
      <c r="D1076">
        <v>4</v>
      </c>
      <c r="E1076">
        <v>0</v>
      </c>
      <c r="F1076">
        <v>15461178</v>
      </c>
      <c r="G1076">
        <v>65131.82</v>
      </c>
      <c r="H1076">
        <v>15374651.039999999</v>
      </c>
      <c r="I1076">
        <v>15396012.550000001</v>
      </c>
      <c r="J1076">
        <v>1.6480000000000002E-2</v>
      </c>
      <c r="K1076">
        <v>2.5999999999999998E-5</v>
      </c>
      <c r="M1076" t="s">
        <v>3</v>
      </c>
      <c r="N1076">
        <v>7250</v>
      </c>
      <c r="O1076">
        <v>240</v>
      </c>
      <c r="P1076">
        <v>2</v>
      </c>
      <c r="Q1076">
        <v>0</v>
      </c>
      <c r="R1076">
        <v>8917666</v>
      </c>
      <c r="S1076">
        <v>39977.370000000003</v>
      </c>
      <c r="T1076">
        <v>8868202.8499999996</v>
      </c>
      <c r="U1076">
        <v>8877686.7899999991</v>
      </c>
      <c r="V1076">
        <v>1.269E-2</v>
      </c>
      <c r="W1076">
        <v>1.9999999999999999E-6</v>
      </c>
      <c r="Y1076" t="s">
        <v>3</v>
      </c>
      <c r="Z1076">
        <v>5750</v>
      </c>
      <c r="AA1076">
        <v>216</v>
      </c>
      <c r="AB1076">
        <v>21</v>
      </c>
      <c r="AC1076">
        <v>0</v>
      </c>
      <c r="AD1076">
        <v>170052391</v>
      </c>
      <c r="AE1076">
        <v>703118.04</v>
      </c>
      <c r="AF1076">
        <v>169198410</v>
      </c>
      <c r="AG1076">
        <v>169198410</v>
      </c>
      <c r="AH1076">
        <v>1.0593999999999999E-2</v>
      </c>
      <c r="AI1076">
        <v>1.0593999999999999E-2</v>
      </c>
    </row>
    <row r="1077" spans="1:35" x14ac:dyDescent="0.35">
      <c r="A1077" t="s">
        <v>3</v>
      </c>
      <c r="B1077">
        <v>6250</v>
      </c>
      <c r="C1077">
        <v>216</v>
      </c>
      <c r="D1077">
        <v>16</v>
      </c>
      <c r="E1077">
        <v>0</v>
      </c>
      <c r="F1077">
        <v>131115215</v>
      </c>
      <c r="G1077">
        <v>581231.79</v>
      </c>
      <c r="H1077">
        <v>129756186.90000001</v>
      </c>
      <c r="I1077">
        <v>129951689.36</v>
      </c>
      <c r="J1077">
        <v>6.8908999999999998E-2</v>
      </c>
      <c r="K1077">
        <v>5.2010000000000001E-2</v>
      </c>
      <c r="M1077" t="s">
        <v>3</v>
      </c>
      <c r="N1077">
        <v>7500</v>
      </c>
      <c r="O1077">
        <v>240</v>
      </c>
      <c r="P1077">
        <v>2</v>
      </c>
      <c r="Q1077">
        <v>0</v>
      </c>
      <c r="R1077">
        <v>14307106</v>
      </c>
      <c r="S1077">
        <v>62731.64</v>
      </c>
      <c r="T1077">
        <v>14161719.58</v>
      </c>
      <c r="U1077">
        <v>14244374.220000001</v>
      </c>
      <c r="V1077">
        <v>6.7165000000000002E-2</v>
      </c>
      <c r="W1077">
        <v>0</v>
      </c>
      <c r="Y1077" t="s">
        <v>2</v>
      </c>
      <c r="Z1077">
        <v>4750</v>
      </c>
      <c r="AA1077">
        <v>216</v>
      </c>
      <c r="AB1077">
        <v>231</v>
      </c>
      <c r="AC1077">
        <v>0</v>
      </c>
      <c r="AD1077">
        <v>1824334528</v>
      </c>
      <c r="AE1077">
        <v>7989046.2999999998</v>
      </c>
      <c r="AF1077">
        <v>1811340128</v>
      </c>
      <c r="AG1077">
        <v>1814204361.3900001</v>
      </c>
      <c r="AH1077">
        <v>3.2432000000000002E-2</v>
      </c>
      <c r="AI1077">
        <v>1.3993E-2</v>
      </c>
    </row>
    <row r="1078" spans="1:35" x14ac:dyDescent="0.35">
      <c r="A1078" t="s">
        <v>0</v>
      </c>
      <c r="B1078">
        <v>7750</v>
      </c>
      <c r="C1078">
        <v>216</v>
      </c>
      <c r="D1078">
        <v>34</v>
      </c>
      <c r="E1078">
        <v>0</v>
      </c>
      <c r="F1078">
        <v>147903936</v>
      </c>
      <c r="G1078">
        <v>582165.73</v>
      </c>
      <c r="H1078">
        <v>146821149.25</v>
      </c>
      <c r="I1078">
        <v>147301272.09</v>
      </c>
      <c r="J1078">
        <v>3.9870000000000003E-2</v>
      </c>
      <c r="K1078">
        <v>1.6620000000000001E-3</v>
      </c>
      <c r="M1078" t="s">
        <v>0</v>
      </c>
      <c r="N1078">
        <v>7750</v>
      </c>
      <c r="O1078">
        <v>216</v>
      </c>
      <c r="P1078">
        <v>50</v>
      </c>
      <c r="Q1078">
        <v>0</v>
      </c>
      <c r="R1078">
        <v>217174985</v>
      </c>
      <c r="S1078">
        <v>855549.26</v>
      </c>
      <c r="T1078">
        <v>212772224.88999999</v>
      </c>
      <c r="U1078">
        <v>213814559.31</v>
      </c>
      <c r="V1078">
        <v>0.17931800000000001</v>
      </c>
      <c r="W1078">
        <v>0.12995599999999999</v>
      </c>
      <c r="Y1078" t="s">
        <v>0</v>
      </c>
      <c r="Z1078">
        <v>8500</v>
      </c>
      <c r="AA1078">
        <v>216</v>
      </c>
      <c r="AB1078">
        <v>1</v>
      </c>
      <c r="AC1078">
        <v>0</v>
      </c>
      <c r="AD1078">
        <v>4009046</v>
      </c>
      <c r="AE1078">
        <v>14739.87</v>
      </c>
      <c r="AF1078">
        <v>3973936</v>
      </c>
      <c r="AG1078">
        <v>3973936</v>
      </c>
      <c r="AH1078">
        <v>5.9297000000000002E-2</v>
      </c>
      <c r="AI1078">
        <v>5.9297000000000002E-2</v>
      </c>
    </row>
    <row r="1079" spans="1:35" x14ac:dyDescent="0.35">
      <c r="A1079" t="s">
        <v>0</v>
      </c>
      <c r="B1079">
        <v>8250</v>
      </c>
      <c r="C1079">
        <v>216</v>
      </c>
      <c r="D1079">
        <v>7</v>
      </c>
      <c r="E1079">
        <v>0</v>
      </c>
      <c r="F1079">
        <v>27993266</v>
      </c>
      <c r="G1079">
        <v>108972.29</v>
      </c>
      <c r="H1079">
        <v>27817636.73</v>
      </c>
      <c r="I1079">
        <v>27884224.59</v>
      </c>
      <c r="J1079">
        <v>2.8202999999999999E-2</v>
      </c>
      <c r="K1079">
        <v>3.0000000000000001E-5</v>
      </c>
      <c r="M1079" t="s">
        <v>0</v>
      </c>
      <c r="N1079">
        <v>8250</v>
      </c>
      <c r="O1079">
        <v>216</v>
      </c>
      <c r="P1079">
        <v>11</v>
      </c>
      <c r="Q1079">
        <v>0</v>
      </c>
      <c r="R1079">
        <v>44680463</v>
      </c>
      <c r="S1079">
        <v>172905.73</v>
      </c>
      <c r="T1079">
        <v>44225432.039999999</v>
      </c>
      <c r="U1079">
        <v>44397439.560000002</v>
      </c>
      <c r="V1079">
        <v>7.3194999999999996E-2</v>
      </c>
      <c r="W1079">
        <v>2.9177000000000002E-2</v>
      </c>
      <c r="Y1079" t="s">
        <v>1</v>
      </c>
      <c r="Z1079">
        <v>4500</v>
      </c>
      <c r="AA1079">
        <v>240</v>
      </c>
      <c r="AB1079">
        <v>28</v>
      </c>
      <c r="AC1079">
        <v>0</v>
      </c>
      <c r="AD1079">
        <v>171928162</v>
      </c>
      <c r="AE1079">
        <v>1033557.71</v>
      </c>
      <c r="AF1079">
        <v>170347140</v>
      </c>
      <c r="AG1079">
        <v>170347140</v>
      </c>
      <c r="AH1079">
        <v>3.7548999999999999E-2</v>
      </c>
      <c r="AI1079">
        <v>3.7548999999999999E-2</v>
      </c>
    </row>
    <row r="1080" spans="1:35" x14ac:dyDescent="0.35">
      <c r="A1080" t="s">
        <v>3</v>
      </c>
      <c r="B1080">
        <v>7250</v>
      </c>
      <c r="C1080">
        <v>216</v>
      </c>
      <c r="D1080">
        <v>1</v>
      </c>
      <c r="E1080">
        <v>0</v>
      </c>
      <c r="F1080">
        <v>2955222</v>
      </c>
      <c r="G1080">
        <v>13041.59</v>
      </c>
      <c r="H1080">
        <v>2939650.74</v>
      </c>
      <c r="I1080">
        <v>2942180.24</v>
      </c>
      <c r="J1080">
        <v>1.0224E-2</v>
      </c>
      <c r="K1080">
        <v>9.9999999999999995E-7</v>
      </c>
      <c r="M1080" t="s">
        <v>3</v>
      </c>
      <c r="N1080">
        <v>7250</v>
      </c>
      <c r="O1080">
        <v>216</v>
      </c>
      <c r="P1080">
        <v>1</v>
      </c>
      <c r="Q1080">
        <v>0</v>
      </c>
      <c r="R1080">
        <v>2981474</v>
      </c>
      <c r="S1080">
        <v>12758.89</v>
      </c>
      <c r="T1080">
        <v>2967797.75</v>
      </c>
      <c r="U1080">
        <v>2968714.93</v>
      </c>
      <c r="V1080">
        <v>3.686E-3</v>
      </c>
      <c r="W1080">
        <v>9.9999999999999995E-7</v>
      </c>
      <c r="Y1080" t="s">
        <v>1</v>
      </c>
      <c r="Z1080">
        <v>4750</v>
      </c>
      <c r="AA1080">
        <v>240</v>
      </c>
      <c r="AB1080">
        <v>27</v>
      </c>
      <c r="AC1080">
        <v>0</v>
      </c>
      <c r="AD1080">
        <v>149843151</v>
      </c>
      <c r="AE1080">
        <v>899445.74</v>
      </c>
      <c r="AF1080">
        <v>148725950</v>
      </c>
      <c r="AG1080">
        <v>148725950</v>
      </c>
      <c r="AH1080">
        <v>1.7299999999999999E-2</v>
      </c>
      <c r="AI1080">
        <v>1.7299999999999999E-2</v>
      </c>
    </row>
    <row r="1081" spans="1:35" x14ac:dyDescent="0.35">
      <c r="A1081" t="s">
        <v>1</v>
      </c>
      <c r="B1081">
        <v>4750</v>
      </c>
      <c r="C1081">
        <v>216</v>
      </c>
      <c r="D1081">
        <v>773</v>
      </c>
      <c r="E1081">
        <v>0</v>
      </c>
      <c r="F1081">
        <v>7778271814</v>
      </c>
      <c r="G1081">
        <v>34255109.390000001</v>
      </c>
      <c r="H1081">
        <v>7718568669.5500002</v>
      </c>
      <c r="I1081">
        <v>7741122590.2600002</v>
      </c>
      <c r="J1081">
        <v>3.8560999999999998E-2</v>
      </c>
      <c r="K1081">
        <v>4.4559999999999999E-3</v>
      </c>
      <c r="M1081" t="s">
        <v>1</v>
      </c>
      <c r="N1081">
        <v>4750</v>
      </c>
      <c r="O1081">
        <v>216</v>
      </c>
      <c r="P1081">
        <v>577</v>
      </c>
      <c r="Q1081">
        <v>0</v>
      </c>
      <c r="R1081">
        <v>5826359727</v>
      </c>
      <c r="S1081">
        <v>25318850.530000001</v>
      </c>
      <c r="T1081">
        <v>5787614085.8800001</v>
      </c>
      <c r="U1081">
        <v>5798604254.2200003</v>
      </c>
      <c r="V1081">
        <v>2.7306E-2</v>
      </c>
      <c r="W1081">
        <v>5.0070000000000002E-3</v>
      </c>
      <c r="Y1081" t="s">
        <v>1</v>
      </c>
      <c r="Z1081">
        <v>4250</v>
      </c>
      <c r="AA1081">
        <v>216</v>
      </c>
      <c r="AB1081">
        <v>53</v>
      </c>
      <c r="AC1081">
        <v>0</v>
      </c>
      <c r="AD1081">
        <v>588743021</v>
      </c>
      <c r="AE1081">
        <v>2723529.85</v>
      </c>
      <c r="AF1081">
        <v>584905500</v>
      </c>
      <c r="AG1081">
        <v>584905500</v>
      </c>
      <c r="AH1081">
        <v>2.2471000000000001E-2</v>
      </c>
      <c r="AI1081">
        <v>2.2471000000000001E-2</v>
      </c>
    </row>
    <row r="1082" spans="1:35" x14ac:dyDescent="0.35">
      <c r="A1082" t="s">
        <v>3</v>
      </c>
      <c r="B1082">
        <v>5750</v>
      </c>
      <c r="C1082">
        <v>216</v>
      </c>
      <c r="D1082">
        <v>22</v>
      </c>
      <c r="E1082">
        <v>0</v>
      </c>
      <c r="F1082">
        <v>175444821</v>
      </c>
      <c r="G1082">
        <v>730279.06</v>
      </c>
      <c r="H1082">
        <v>174169330.06</v>
      </c>
      <c r="I1082">
        <v>174586748.81</v>
      </c>
      <c r="J1082">
        <v>3.6659999999999998E-2</v>
      </c>
      <c r="K1082">
        <v>8.7060000000000002E-3</v>
      </c>
      <c r="M1082" t="s">
        <v>3</v>
      </c>
      <c r="N1082">
        <v>5750</v>
      </c>
      <c r="O1082">
        <v>216</v>
      </c>
      <c r="P1082">
        <v>13</v>
      </c>
      <c r="Q1082">
        <v>0</v>
      </c>
      <c r="R1082">
        <v>113720694</v>
      </c>
      <c r="S1082">
        <v>472322.2</v>
      </c>
      <c r="T1082">
        <v>112892809.88</v>
      </c>
      <c r="U1082">
        <v>113243969.09</v>
      </c>
      <c r="V1082">
        <v>3.6880999999999997E-2</v>
      </c>
      <c r="W1082">
        <v>4.64E-4</v>
      </c>
      <c r="Y1082" t="s">
        <v>3</v>
      </c>
      <c r="Z1082">
        <v>5250</v>
      </c>
      <c r="AA1082">
        <v>216</v>
      </c>
      <c r="AB1082">
        <v>32</v>
      </c>
      <c r="AC1082">
        <v>0</v>
      </c>
      <c r="AD1082">
        <v>306227343</v>
      </c>
      <c r="AE1082">
        <v>1278255.6200000001</v>
      </c>
      <c r="AF1082">
        <v>304606442</v>
      </c>
      <c r="AG1082">
        <v>304606442</v>
      </c>
      <c r="AH1082">
        <v>1.3344999999999999E-2</v>
      </c>
      <c r="AI1082">
        <v>1.3344999999999999E-2</v>
      </c>
    </row>
    <row r="1083" spans="1:35" x14ac:dyDescent="0.35">
      <c r="A1083" t="s">
        <v>1</v>
      </c>
      <c r="B1083">
        <v>4500</v>
      </c>
      <c r="C1083">
        <v>240</v>
      </c>
      <c r="D1083">
        <v>29</v>
      </c>
      <c r="E1083">
        <v>0</v>
      </c>
      <c r="F1083">
        <v>175806051</v>
      </c>
      <c r="G1083">
        <v>1074883.79</v>
      </c>
      <c r="H1083">
        <v>174015713.11000001</v>
      </c>
      <c r="I1083">
        <v>174617757.75</v>
      </c>
      <c r="J1083">
        <v>4.7756E-2</v>
      </c>
      <c r="K1083">
        <v>7.7140000000000004E-3</v>
      </c>
      <c r="M1083" t="s">
        <v>0</v>
      </c>
      <c r="N1083">
        <v>4250</v>
      </c>
      <c r="O1083">
        <v>216</v>
      </c>
      <c r="P1083">
        <v>281</v>
      </c>
      <c r="Q1083">
        <v>0</v>
      </c>
      <c r="R1083">
        <v>2722043134</v>
      </c>
      <c r="S1083">
        <v>12283399.16</v>
      </c>
      <c r="T1083">
        <v>2698623940.2600002</v>
      </c>
      <c r="U1083">
        <v>2709534856.6999998</v>
      </c>
      <c r="V1083">
        <v>4.8002000000000003E-2</v>
      </c>
      <c r="W1083">
        <v>9.9099999999999991E-4</v>
      </c>
      <c r="Y1083" t="s">
        <v>3</v>
      </c>
      <c r="Z1083">
        <v>4750</v>
      </c>
      <c r="AA1083">
        <v>216</v>
      </c>
      <c r="AB1083">
        <v>9</v>
      </c>
      <c r="AC1083">
        <v>0</v>
      </c>
      <c r="AD1083">
        <v>82086862</v>
      </c>
      <c r="AE1083">
        <v>357378.55</v>
      </c>
      <c r="AF1083">
        <v>81467544</v>
      </c>
      <c r="AG1083">
        <v>81467544</v>
      </c>
      <c r="AH1083">
        <v>3.7627000000000001E-2</v>
      </c>
      <c r="AI1083">
        <v>3.7627000000000001E-2</v>
      </c>
    </row>
    <row r="1084" spans="1:35" x14ac:dyDescent="0.35">
      <c r="A1084" t="s">
        <v>2</v>
      </c>
      <c r="B1084">
        <v>4750</v>
      </c>
      <c r="C1084">
        <v>216</v>
      </c>
      <c r="D1084">
        <v>264</v>
      </c>
      <c r="E1084">
        <v>0</v>
      </c>
      <c r="F1084">
        <v>2053528734</v>
      </c>
      <c r="G1084">
        <v>9024372.6799999997</v>
      </c>
      <c r="H1084">
        <v>2034148958.0799999</v>
      </c>
      <c r="I1084">
        <v>2044044280.3800001</v>
      </c>
      <c r="J1084">
        <v>5.8861999999999998E-2</v>
      </c>
      <c r="K1084">
        <v>2.6849999999999999E-3</v>
      </c>
      <c r="M1084" t="s">
        <v>2</v>
      </c>
      <c r="N1084">
        <v>4750</v>
      </c>
      <c r="O1084">
        <v>216</v>
      </c>
      <c r="P1084">
        <v>191</v>
      </c>
      <c r="Q1084">
        <v>0</v>
      </c>
      <c r="R1084">
        <v>1482336862</v>
      </c>
      <c r="S1084">
        <v>6434052.1500000004</v>
      </c>
      <c r="T1084">
        <v>1471889345.3499999</v>
      </c>
      <c r="U1084">
        <v>1475600263.74</v>
      </c>
      <c r="V1084">
        <v>3.2010999999999998E-2</v>
      </c>
      <c r="W1084">
        <v>2.4459999999999998E-3</v>
      </c>
      <c r="Y1084" t="s">
        <v>1</v>
      </c>
      <c r="Z1084">
        <v>4250</v>
      </c>
      <c r="AA1084">
        <v>240</v>
      </c>
      <c r="AB1084">
        <v>19</v>
      </c>
      <c r="AC1084">
        <v>0</v>
      </c>
      <c r="AD1084">
        <v>102721912</v>
      </c>
      <c r="AE1084">
        <v>732689.78</v>
      </c>
      <c r="AF1084">
        <v>101664697</v>
      </c>
      <c r="AG1084">
        <v>101664697</v>
      </c>
      <c r="AH1084">
        <v>3.7259E-2</v>
      </c>
      <c r="AI1084">
        <v>3.7259E-2</v>
      </c>
    </row>
    <row r="1085" spans="1:35" x14ac:dyDescent="0.35">
      <c r="A1085" t="s">
        <v>0</v>
      </c>
      <c r="B1085">
        <v>8500</v>
      </c>
      <c r="C1085">
        <v>216</v>
      </c>
      <c r="D1085">
        <v>1</v>
      </c>
      <c r="E1085">
        <v>0</v>
      </c>
      <c r="F1085">
        <v>3973936</v>
      </c>
      <c r="G1085">
        <v>14767.04</v>
      </c>
      <c r="H1085">
        <v>3946321.3</v>
      </c>
      <c r="I1085">
        <v>3959168</v>
      </c>
      <c r="J1085">
        <v>3.8113000000000001E-2</v>
      </c>
      <c r="K1085">
        <v>3.0000000000000001E-6</v>
      </c>
      <c r="M1085" t="s">
        <v>0</v>
      </c>
      <c r="N1085">
        <v>8500</v>
      </c>
      <c r="O1085">
        <v>216</v>
      </c>
      <c r="P1085">
        <v>1</v>
      </c>
      <c r="Q1085">
        <v>0</v>
      </c>
      <c r="R1085">
        <v>4043672</v>
      </c>
      <c r="S1085">
        <v>14555.88</v>
      </c>
      <c r="T1085">
        <v>4016731.43</v>
      </c>
      <c r="U1085">
        <v>4029115.31</v>
      </c>
      <c r="V1085">
        <v>3.6139999999999999E-2</v>
      </c>
      <c r="W1085">
        <v>1.9999999999999999E-6</v>
      </c>
      <c r="Y1085" t="s">
        <v>2</v>
      </c>
      <c r="Z1085">
        <v>4250</v>
      </c>
      <c r="AA1085">
        <v>216</v>
      </c>
      <c r="AB1085">
        <v>11</v>
      </c>
      <c r="AC1085">
        <v>0</v>
      </c>
      <c r="AD1085">
        <v>111237473</v>
      </c>
      <c r="AE1085">
        <v>506655.67</v>
      </c>
      <c r="AF1085">
        <v>110707203</v>
      </c>
      <c r="AG1085">
        <v>110707203</v>
      </c>
      <c r="AH1085">
        <v>2.5439999999999998E-3</v>
      </c>
      <c r="AI1085">
        <v>2.5439999999999998E-3</v>
      </c>
    </row>
    <row r="1086" spans="1:35" x14ac:dyDescent="0.35">
      <c r="A1086" t="s">
        <v>1</v>
      </c>
      <c r="B1086">
        <v>4750</v>
      </c>
      <c r="C1086">
        <v>240</v>
      </c>
      <c r="D1086">
        <v>27</v>
      </c>
      <c r="E1086">
        <v>0</v>
      </c>
      <c r="F1086">
        <v>148725950</v>
      </c>
      <c r="G1086">
        <v>901692.1</v>
      </c>
      <c r="H1086">
        <v>147390455.50999999</v>
      </c>
      <c r="I1086">
        <v>147823730.28999999</v>
      </c>
      <c r="J1086">
        <v>3.4445000000000003E-2</v>
      </c>
      <c r="K1086">
        <v>4.3000000000000002E-5</v>
      </c>
      <c r="M1086" t="s">
        <v>1</v>
      </c>
      <c r="N1086">
        <v>4500</v>
      </c>
      <c r="O1086">
        <v>240</v>
      </c>
      <c r="P1086">
        <v>23</v>
      </c>
      <c r="Q1086">
        <v>0</v>
      </c>
      <c r="R1086">
        <v>131504504</v>
      </c>
      <c r="S1086">
        <v>794412.19</v>
      </c>
      <c r="T1086">
        <v>130327390.45999999</v>
      </c>
      <c r="U1086">
        <v>130695935.26000001</v>
      </c>
      <c r="V1086">
        <v>3.4368999999999997E-2</v>
      </c>
      <c r="W1086">
        <v>1.291E-3</v>
      </c>
      <c r="Y1086" t="s">
        <v>3</v>
      </c>
      <c r="Z1086">
        <v>5250</v>
      </c>
      <c r="AA1086">
        <v>192</v>
      </c>
      <c r="AB1086">
        <v>159</v>
      </c>
      <c r="AC1086">
        <v>0</v>
      </c>
      <c r="AD1086">
        <v>1419100375</v>
      </c>
      <c r="AE1086">
        <v>5382950.6900000004</v>
      </c>
      <c r="AF1086">
        <v>1398169654</v>
      </c>
      <c r="AG1086">
        <v>1410744075.23</v>
      </c>
      <c r="AH1086">
        <v>0.123833</v>
      </c>
      <c r="AI1086">
        <v>2.4854999999999999E-2</v>
      </c>
    </row>
    <row r="1087" spans="1:35" x14ac:dyDescent="0.35">
      <c r="A1087" t="s">
        <v>1</v>
      </c>
      <c r="B1087">
        <v>4250</v>
      </c>
      <c r="C1087">
        <v>216</v>
      </c>
      <c r="D1087">
        <v>62</v>
      </c>
      <c r="E1087">
        <v>0</v>
      </c>
      <c r="F1087">
        <v>701408425</v>
      </c>
      <c r="G1087">
        <v>3241363.23</v>
      </c>
      <c r="H1087">
        <v>696553587.37</v>
      </c>
      <c r="I1087">
        <v>698166263.38999999</v>
      </c>
      <c r="J1087">
        <v>2.7257E-2</v>
      </c>
      <c r="K1087">
        <v>1.4E-5</v>
      </c>
      <c r="M1087" t="s">
        <v>1</v>
      </c>
      <c r="N1087">
        <v>4250</v>
      </c>
      <c r="O1087">
        <v>216</v>
      </c>
      <c r="P1087">
        <v>51</v>
      </c>
      <c r="Q1087">
        <v>0</v>
      </c>
      <c r="R1087">
        <v>584983731</v>
      </c>
      <c r="S1087">
        <v>2665069.9300000002</v>
      </c>
      <c r="T1087">
        <v>581217836.38999999</v>
      </c>
      <c r="U1087">
        <v>582318532.96000004</v>
      </c>
      <c r="V1087">
        <v>2.2349000000000001E-2</v>
      </c>
      <c r="W1087">
        <v>3.0000000000000001E-6</v>
      </c>
      <c r="Y1087" t="s">
        <v>1</v>
      </c>
      <c r="Z1087">
        <v>5750</v>
      </c>
      <c r="AA1087">
        <v>192</v>
      </c>
      <c r="AB1087">
        <v>79</v>
      </c>
      <c r="AC1087">
        <v>0</v>
      </c>
      <c r="AD1087">
        <v>521281909</v>
      </c>
      <c r="AE1087">
        <v>1977926.5</v>
      </c>
      <c r="AF1087">
        <v>518805135</v>
      </c>
      <c r="AG1087">
        <v>518805135</v>
      </c>
      <c r="AH1087">
        <v>1.1423000000000001E-2</v>
      </c>
      <c r="AI1087">
        <v>1.1423000000000001E-2</v>
      </c>
    </row>
    <row r="1088" spans="1:35" x14ac:dyDescent="0.35">
      <c r="A1088" t="s">
        <v>3</v>
      </c>
      <c r="B1088">
        <v>5250</v>
      </c>
      <c r="C1088">
        <v>216</v>
      </c>
      <c r="D1088">
        <v>39</v>
      </c>
      <c r="E1088">
        <v>0</v>
      </c>
      <c r="F1088">
        <v>363588272</v>
      </c>
      <c r="G1088">
        <v>1523030.36</v>
      </c>
      <c r="H1088">
        <v>361007746.11000001</v>
      </c>
      <c r="I1088">
        <v>362064151.26999998</v>
      </c>
      <c r="J1088">
        <v>3.4348999999999998E-2</v>
      </c>
      <c r="K1088">
        <v>3.6000000000000001E-5</v>
      </c>
      <c r="M1088" t="s">
        <v>3</v>
      </c>
      <c r="N1088">
        <v>5250</v>
      </c>
      <c r="O1088">
        <v>216</v>
      </c>
      <c r="P1088">
        <v>15</v>
      </c>
      <c r="Q1088">
        <v>0</v>
      </c>
      <c r="R1088">
        <v>135650645</v>
      </c>
      <c r="S1088">
        <v>570781.55000000005</v>
      </c>
      <c r="T1088">
        <v>134831799.41</v>
      </c>
      <c r="U1088">
        <v>135079851.21000001</v>
      </c>
      <c r="V1088">
        <v>2.1725000000000001E-2</v>
      </c>
      <c r="W1088">
        <v>9.9999999999999995E-7</v>
      </c>
      <c r="Y1088" t="s">
        <v>3</v>
      </c>
      <c r="Z1088">
        <v>5750</v>
      </c>
      <c r="AA1088">
        <v>192</v>
      </c>
      <c r="AB1088">
        <v>20</v>
      </c>
      <c r="AC1088">
        <v>0</v>
      </c>
      <c r="AD1088">
        <v>118167762</v>
      </c>
      <c r="AE1088">
        <v>441520.51</v>
      </c>
      <c r="AF1088">
        <v>117671715</v>
      </c>
      <c r="AG1088">
        <v>117671715</v>
      </c>
      <c r="AH1088">
        <v>5.5230000000000001E-3</v>
      </c>
      <c r="AI1088">
        <v>5.5230000000000001E-3</v>
      </c>
    </row>
    <row r="1089" spans="1:35" x14ac:dyDescent="0.35">
      <c r="A1089" t="s">
        <v>3</v>
      </c>
      <c r="B1089">
        <v>4750</v>
      </c>
      <c r="C1089">
        <v>216</v>
      </c>
      <c r="D1089">
        <v>9</v>
      </c>
      <c r="E1089">
        <v>0</v>
      </c>
      <c r="F1089">
        <v>81467544</v>
      </c>
      <c r="G1089">
        <v>357622.6</v>
      </c>
      <c r="H1089">
        <v>80492974.150000006</v>
      </c>
      <c r="I1089">
        <v>81109911.370000005</v>
      </c>
      <c r="J1089">
        <v>8.7183999999999998E-2</v>
      </c>
      <c r="K1089">
        <v>9.9999999999999995E-7</v>
      </c>
      <c r="M1089" t="s">
        <v>3</v>
      </c>
      <c r="N1089">
        <v>4750</v>
      </c>
      <c r="O1089">
        <v>216</v>
      </c>
      <c r="P1089">
        <v>8</v>
      </c>
      <c r="Q1089">
        <v>0</v>
      </c>
      <c r="R1089">
        <v>71269683</v>
      </c>
      <c r="S1089">
        <v>306551.2</v>
      </c>
      <c r="T1089">
        <v>70722406.390000001</v>
      </c>
      <c r="U1089">
        <v>70963125.900000006</v>
      </c>
      <c r="V1089">
        <v>3.9787000000000003E-2</v>
      </c>
      <c r="W1089">
        <v>9.9999999999999995E-7</v>
      </c>
      <c r="Y1089" t="s">
        <v>0</v>
      </c>
      <c r="Z1089">
        <v>6750</v>
      </c>
      <c r="AA1089">
        <v>192</v>
      </c>
      <c r="AB1089">
        <v>29</v>
      </c>
      <c r="AC1089">
        <v>0</v>
      </c>
      <c r="AD1089">
        <v>163925491</v>
      </c>
      <c r="AE1089">
        <v>558040.65</v>
      </c>
      <c r="AF1089">
        <v>163276948</v>
      </c>
      <c r="AG1089">
        <v>163276948</v>
      </c>
      <c r="AH1089">
        <v>6.6049999999999998E-3</v>
      </c>
      <c r="AI1089">
        <v>6.6049999999999998E-3</v>
      </c>
    </row>
    <row r="1090" spans="1:35" x14ac:dyDescent="0.35">
      <c r="A1090" t="s">
        <v>1</v>
      </c>
      <c r="B1090">
        <v>4250</v>
      </c>
      <c r="C1090">
        <v>240</v>
      </c>
      <c r="D1090">
        <v>16</v>
      </c>
      <c r="E1090">
        <v>0</v>
      </c>
      <c r="F1090">
        <v>82578538</v>
      </c>
      <c r="G1090">
        <v>602448.86</v>
      </c>
      <c r="H1090">
        <v>81800686.599999994</v>
      </c>
      <c r="I1090">
        <v>81975991.579999998</v>
      </c>
      <c r="J1090">
        <v>2.5193E-2</v>
      </c>
      <c r="K1090">
        <v>1.4E-5</v>
      </c>
      <c r="M1090" t="s">
        <v>1</v>
      </c>
      <c r="N1090">
        <v>4250</v>
      </c>
      <c r="O1090">
        <v>240</v>
      </c>
      <c r="P1090">
        <v>27</v>
      </c>
      <c r="Q1090">
        <v>0</v>
      </c>
      <c r="R1090">
        <v>148242814</v>
      </c>
      <c r="S1090">
        <v>1042725.04</v>
      </c>
      <c r="T1090">
        <v>146673488.91</v>
      </c>
      <c r="U1090">
        <v>147195641.50999999</v>
      </c>
      <c r="V1090">
        <v>4.1804000000000001E-2</v>
      </c>
      <c r="W1090">
        <v>3.6000000000000002E-4</v>
      </c>
      <c r="Y1090" t="s">
        <v>0</v>
      </c>
      <c r="Z1090">
        <v>7250</v>
      </c>
      <c r="AA1090">
        <v>192</v>
      </c>
      <c r="AB1090">
        <v>18</v>
      </c>
      <c r="AC1090">
        <v>0</v>
      </c>
      <c r="AD1090">
        <v>126742694</v>
      </c>
      <c r="AE1090">
        <v>388274.62</v>
      </c>
      <c r="AF1090">
        <v>126275581</v>
      </c>
      <c r="AG1090">
        <v>126275581</v>
      </c>
      <c r="AH1090">
        <v>7.4390000000000003E-3</v>
      </c>
      <c r="AI1090">
        <v>7.4390000000000003E-3</v>
      </c>
    </row>
    <row r="1091" spans="1:35" x14ac:dyDescent="0.35">
      <c r="A1091" t="s">
        <v>2</v>
      </c>
      <c r="B1091">
        <v>4250</v>
      </c>
      <c r="C1091">
        <v>216</v>
      </c>
      <c r="D1091">
        <v>12</v>
      </c>
      <c r="E1091">
        <v>0</v>
      </c>
      <c r="F1091">
        <v>123807078</v>
      </c>
      <c r="G1091">
        <v>565994.38</v>
      </c>
      <c r="H1091">
        <v>122944005.61</v>
      </c>
      <c r="I1091">
        <v>123240993.48999999</v>
      </c>
      <c r="J1091">
        <v>2.8417000000000001E-2</v>
      </c>
      <c r="K1091">
        <v>9.0000000000000002E-6</v>
      </c>
      <c r="M1091" t="s">
        <v>2</v>
      </c>
      <c r="N1091">
        <v>4250</v>
      </c>
      <c r="O1091">
        <v>216</v>
      </c>
      <c r="P1091">
        <v>12</v>
      </c>
      <c r="Q1091">
        <v>0</v>
      </c>
      <c r="R1091">
        <v>118468374</v>
      </c>
      <c r="S1091">
        <v>531139.88</v>
      </c>
      <c r="T1091">
        <v>117590295.18000001</v>
      </c>
      <c r="U1091">
        <v>117937218.48999999</v>
      </c>
      <c r="V1091">
        <v>3.4582000000000002E-2</v>
      </c>
      <c r="W1091">
        <v>1.9999999999999999E-6</v>
      </c>
      <c r="Y1091" t="s">
        <v>1</v>
      </c>
      <c r="Z1091">
        <v>6250</v>
      </c>
      <c r="AA1091">
        <v>192</v>
      </c>
      <c r="AB1091">
        <v>1</v>
      </c>
      <c r="AC1091">
        <v>0</v>
      </c>
      <c r="AD1091">
        <v>4364182</v>
      </c>
      <c r="AE1091">
        <v>16329.46</v>
      </c>
      <c r="AF1091">
        <v>4349302</v>
      </c>
      <c r="AG1091">
        <v>4349302</v>
      </c>
      <c r="AH1091">
        <v>-3.993E-3</v>
      </c>
      <c r="AI1091">
        <v>-3.993E-3</v>
      </c>
    </row>
    <row r="1092" spans="1:35" x14ac:dyDescent="0.35">
      <c r="A1092" t="s">
        <v>3</v>
      </c>
      <c r="B1092">
        <v>5250</v>
      </c>
      <c r="C1092">
        <v>192</v>
      </c>
      <c r="D1092">
        <v>151</v>
      </c>
      <c r="E1092">
        <v>0</v>
      </c>
      <c r="F1092">
        <v>1339187824</v>
      </c>
      <c r="G1092">
        <v>5105981.21</v>
      </c>
      <c r="H1092">
        <v>1329985339.1600001</v>
      </c>
      <c r="I1092">
        <v>1333348056.46</v>
      </c>
      <c r="J1092">
        <v>3.6096000000000003E-2</v>
      </c>
      <c r="K1092">
        <v>6.5550000000000001E-3</v>
      </c>
      <c r="M1092" t="s">
        <v>3</v>
      </c>
      <c r="N1092">
        <v>5250</v>
      </c>
      <c r="O1092">
        <v>192</v>
      </c>
      <c r="P1092">
        <v>176</v>
      </c>
      <c r="Q1092">
        <v>0</v>
      </c>
      <c r="R1092">
        <v>1611261697</v>
      </c>
      <c r="S1092">
        <v>6068679.21</v>
      </c>
      <c r="T1092">
        <v>1601086991.76</v>
      </c>
      <c r="U1092">
        <v>1604431347.02</v>
      </c>
      <c r="V1092">
        <v>3.0155000000000001E-2</v>
      </c>
      <c r="W1092">
        <v>5.6579999999999998E-3</v>
      </c>
      <c r="Y1092" t="s">
        <v>3</v>
      </c>
      <c r="Z1092">
        <v>6000</v>
      </c>
      <c r="AA1092">
        <v>192</v>
      </c>
      <c r="AB1092">
        <v>7</v>
      </c>
      <c r="AC1092">
        <v>0</v>
      </c>
      <c r="AD1092">
        <v>35671886</v>
      </c>
      <c r="AE1092">
        <v>128371.92</v>
      </c>
      <c r="AF1092">
        <v>35459302</v>
      </c>
      <c r="AG1092">
        <v>35459302</v>
      </c>
      <c r="AH1092">
        <v>2.7963999999999999E-2</v>
      </c>
      <c r="AI1092">
        <v>2.7963999999999999E-2</v>
      </c>
    </row>
    <row r="1093" spans="1:35" x14ac:dyDescent="0.35">
      <c r="A1093" t="s">
        <v>3</v>
      </c>
      <c r="B1093">
        <v>5750</v>
      </c>
      <c r="C1093">
        <v>192</v>
      </c>
      <c r="D1093">
        <v>19</v>
      </c>
      <c r="E1093">
        <v>0</v>
      </c>
      <c r="F1093">
        <v>111425304</v>
      </c>
      <c r="G1093">
        <v>418919.69</v>
      </c>
      <c r="H1093">
        <v>110700287.19</v>
      </c>
      <c r="I1093">
        <v>110997877.06999999</v>
      </c>
      <c r="J1093">
        <v>3.2472000000000001E-2</v>
      </c>
      <c r="K1093">
        <v>9.1600000000000004E-4</v>
      </c>
      <c r="M1093" t="s">
        <v>3</v>
      </c>
      <c r="N1093">
        <v>5750</v>
      </c>
      <c r="O1093">
        <v>192</v>
      </c>
      <c r="P1093">
        <v>29</v>
      </c>
      <c r="Q1093">
        <v>0</v>
      </c>
      <c r="R1093">
        <v>179945428</v>
      </c>
      <c r="S1093">
        <v>672933.04</v>
      </c>
      <c r="T1093">
        <v>178622278.81999999</v>
      </c>
      <c r="U1093">
        <v>179272023.55000001</v>
      </c>
      <c r="V1093">
        <v>4.2508999999999998E-2</v>
      </c>
      <c r="W1093">
        <v>3.1000000000000001E-5</v>
      </c>
      <c r="Y1093" t="s">
        <v>3</v>
      </c>
      <c r="Z1093">
        <v>4250</v>
      </c>
      <c r="AA1093">
        <v>192</v>
      </c>
      <c r="AB1093">
        <v>132</v>
      </c>
      <c r="AC1093">
        <v>0</v>
      </c>
      <c r="AD1093">
        <v>1507094573</v>
      </c>
      <c r="AE1093">
        <v>5754697.7400000002</v>
      </c>
      <c r="AF1093">
        <v>1499761835</v>
      </c>
      <c r="AG1093">
        <v>1499761835</v>
      </c>
      <c r="AH1093">
        <v>1.2493000000000001E-2</v>
      </c>
      <c r="AI1093">
        <v>1.2493000000000001E-2</v>
      </c>
    </row>
    <row r="1094" spans="1:35" x14ac:dyDescent="0.35">
      <c r="A1094" t="s">
        <v>1</v>
      </c>
      <c r="B1094">
        <v>5750</v>
      </c>
      <c r="C1094">
        <v>192</v>
      </c>
      <c r="D1094">
        <v>61</v>
      </c>
      <c r="E1094">
        <v>0</v>
      </c>
      <c r="F1094">
        <v>390498535</v>
      </c>
      <c r="G1094">
        <v>1480531.27</v>
      </c>
      <c r="H1094">
        <v>386998412.63</v>
      </c>
      <c r="I1094">
        <v>388746381.54000002</v>
      </c>
      <c r="J1094">
        <v>6.0326999999999999E-2</v>
      </c>
      <c r="K1094">
        <v>8.3149999999999995E-3</v>
      </c>
      <c r="M1094" t="s">
        <v>0</v>
      </c>
      <c r="N1094">
        <v>6750</v>
      </c>
      <c r="O1094">
        <v>192</v>
      </c>
      <c r="P1094">
        <v>49</v>
      </c>
      <c r="Q1094">
        <v>0</v>
      </c>
      <c r="R1094">
        <v>266054663</v>
      </c>
      <c r="S1094">
        <v>929830.64</v>
      </c>
      <c r="T1094">
        <v>263413661.15000001</v>
      </c>
      <c r="U1094">
        <v>264982121.55000001</v>
      </c>
      <c r="V1094">
        <v>7.4507000000000004E-2</v>
      </c>
      <c r="W1094">
        <v>6.4180000000000001E-3</v>
      </c>
      <c r="Y1094" t="s">
        <v>3</v>
      </c>
      <c r="Z1094">
        <v>3750</v>
      </c>
      <c r="AA1094">
        <v>192</v>
      </c>
      <c r="AB1094">
        <v>28</v>
      </c>
      <c r="AC1094">
        <v>0</v>
      </c>
      <c r="AD1094">
        <v>374869140</v>
      </c>
      <c r="AE1094">
        <v>1440092.44</v>
      </c>
      <c r="AF1094">
        <v>372862794</v>
      </c>
      <c r="AG1094">
        <v>372862794</v>
      </c>
      <c r="AH1094">
        <v>1.7977E-2</v>
      </c>
      <c r="AI1094">
        <v>1.7977E-2</v>
      </c>
    </row>
    <row r="1095" spans="1:35" x14ac:dyDescent="0.35">
      <c r="A1095" t="s">
        <v>0</v>
      </c>
      <c r="B1095">
        <v>6750</v>
      </c>
      <c r="C1095">
        <v>192</v>
      </c>
      <c r="D1095">
        <v>24</v>
      </c>
      <c r="E1095">
        <v>0</v>
      </c>
      <c r="F1095">
        <v>130152493</v>
      </c>
      <c r="G1095">
        <v>440278.3</v>
      </c>
      <c r="H1095">
        <v>127264907.38</v>
      </c>
      <c r="I1095">
        <v>127736708.5</v>
      </c>
      <c r="J1095">
        <v>0.203708</v>
      </c>
      <c r="K1095">
        <v>0.16767899999999999</v>
      </c>
      <c r="M1095" t="s">
        <v>2</v>
      </c>
      <c r="N1095">
        <v>6250</v>
      </c>
      <c r="O1095">
        <v>192</v>
      </c>
      <c r="P1095">
        <v>4</v>
      </c>
      <c r="Q1095">
        <v>0</v>
      </c>
      <c r="R1095">
        <v>13586515</v>
      </c>
      <c r="S1095">
        <v>50697.279999999999</v>
      </c>
      <c r="T1095">
        <v>13482800.960000001</v>
      </c>
      <c r="U1095">
        <v>13535810</v>
      </c>
      <c r="V1095">
        <v>4.5834E-2</v>
      </c>
      <c r="W1095">
        <v>6.9999999999999999E-6</v>
      </c>
      <c r="Y1095" t="s">
        <v>1</v>
      </c>
      <c r="Z1095">
        <v>3250</v>
      </c>
      <c r="AA1095">
        <v>192</v>
      </c>
      <c r="AB1095">
        <v>7</v>
      </c>
      <c r="AC1095">
        <v>0</v>
      </c>
      <c r="AD1095">
        <v>75938180</v>
      </c>
      <c r="AE1095">
        <v>306640.62</v>
      </c>
      <c r="AF1095">
        <v>75636984</v>
      </c>
      <c r="AG1095">
        <v>75636984</v>
      </c>
      <c r="AH1095">
        <v>-8.61E-4</v>
      </c>
      <c r="AI1095">
        <v>-8.61E-4</v>
      </c>
    </row>
    <row r="1096" spans="1:35" x14ac:dyDescent="0.35">
      <c r="A1096" t="s">
        <v>0</v>
      </c>
      <c r="B1096">
        <v>7250</v>
      </c>
      <c r="C1096">
        <v>192</v>
      </c>
      <c r="D1096">
        <v>18</v>
      </c>
      <c r="E1096">
        <v>0</v>
      </c>
      <c r="F1096">
        <v>126275581</v>
      </c>
      <c r="G1096">
        <v>390378.98</v>
      </c>
      <c r="H1096">
        <v>125093689.56</v>
      </c>
      <c r="I1096">
        <v>125648142.56999999</v>
      </c>
      <c r="J1096">
        <v>7.2678000000000006E-2</v>
      </c>
      <c r="K1096">
        <v>2.2297000000000001E-2</v>
      </c>
      <c r="M1096" t="s">
        <v>0</v>
      </c>
      <c r="N1096">
        <v>7250</v>
      </c>
      <c r="O1096">
        <v>192</v>
      </c>
      <c r="P1096">
        <v>21</v>
      </c>
      <c r="Q1096">
        <v>0</v>
      </c>
      <c r="R1096">
        <v>143043244</v>
      </c>
      <c r="S1096">
        <v>437223.15</v>
      </c>
      <c r="T1096">
        <v>141020994.36000001</v>
      </c>
      <c r="U1096">
        <v>142493305.03</v>
      </c>
      <c r="V1096">
        <v>0.12515699999999999</v>
      </c>
      <c r="W1096">
        <v>9.4149999999999998E-3</v>
      </c>
      <c r="Y1096" t="s">
        <v>3</v>
      </c>
      <c r="Z1096">
        <v>4750</v>
      </c>
      <c r="AA1096">
        <v>168</v>
      </c>
      <c r="AB1096">
        <v>50</v>
      </c>
      <c r="AC1096">
        <v>0</v>
      </c>
      <c r="AD1096">
        <v>480055096</v>
      </c>
      <c r="AE1096">
        <v>1473067.01</v>
      </c>
      <c r="AF1096">
        <v>464891547</v>
      </c>
      <c r="AG1096">
        <v>478206842.94</v>
      </c>
      <c r="AH1096">
        <v>0.29333399999999998</v>
      </c>
      <c r="AI1096">
        <v>9.3380000000000008E-3</v>
      </c>
    </row>
    <row r="1097" spans="1:35" x14ac:dyDescent="0.35">
      <c r="A1097" t="s">
        <v>1</v>
      </c>
      <c r="B1097">
        <v>6250</v>
      </c>
      <c r="C1097">
        <v>192</v>
      </c>
      <c r="D1097">
        <v>1</v>
      </c>
      <c r="E1097">
        <v>0</v>
      </c>
      <c r="F1097">
        <v>4349302</v>
      </c>
      <c r="G1097">
        <v>16418.28</v>
      </c>
      <c r="H1097">
        <v>3927104.18</v>
      </c>
      <c r="I1097">
        <v>3972450.33</v>
      </c>
      <c r="J1097">
        <v>0.69127099999999997</v>
      </c>
      <c r="K1097">
        <v>0.64587099999999997</v>
      </c>
      <c r="M1097" t="s">
        <v>1</v>
      </c>
      <c r="N1097">
        <v>7000</v>
      </c>
      <c r="O1097">
        <v>192</v>
      </c>
      <c r="P1097">
        <v>1</v>
      </c>
      <c r="Q1097">
        <v>0</v>
      </c>
      <c r="R1097">
        <v>14271108</v>
      </c>
      <c r="S1097">
        <v>50750.400000000001</v>
      </c>
      <c r="T1097">
        <v>14074300.84</v>
      </c>
      <c r="U1097">
        <v>14220357.6</v>
      </c>
      <c r="V1097">
        <v>0.116131</v>
      </c>
      <c r="W1097">
        <v>0</v>
      </c>
      <c r="Y1097" t="s">
        <v>0</v>
      </c>
      <c r="Z1097">
        <v>6500</v>
      </c>
      <c r="AA1097">
        <v>168</v>
      </c>
      <c r="AB1097">
        <v>130</v>
      </c>
      <c r="AC1097">
        <v>0</v>
      </c>
      <c r="AD1097">
        <v>963803496</v>
      </c>
      <c r="AE1097">
        <v>2625758.0299999998</v>
      </c>
      <c r="AF1097">
        <v>953404727</v>
      </c>
      <c r="AG1097">
        <v>960813227.75999999</v>
      </c>
      <c r="AH1097">
        <v>9.2600000000000002E-2</v>
      </c>
      <c r="AI1097">
        <v>4.529E-3</v>
      </c>
    </row>
    <row r="1098" spans="1:35" x14ac:dyDescent="0.35">
      <c r="A1098" t="s">
        <v>3</v>
      </c>
      <c r="B1098">
        <v>6000</v>
      </c>
      <c r="C1098">
        <v>192</v>
      </c>
      <c r="D1098">
        <v>7</v>
      </c>
      <c r="E1098">
        <v>0</v>
      </c>
      <c r="F1098">
        <v>35459302</v>
      </c>
      <c r="G1098">
        <v>128709.44</v>
      </c>
      <c r="H1098">
        <v>35190890.770000003</v>
      </c>
      <c r="I1098">
        <v>35330583.450000003</v>
      </c>
      <c r="J1098">
        <v>4.6266000000000002E-2</v>
      </c>
      <c r="K1098">
        <v>3.0000000000000001E-6</v>
      </c>
      <c r="M1098" t="s">
        <v>1</v>
      </c>
      <c r="N1098">
        <v>3750</v>
      </c>
      <c r="O1098">
        <v>192</v>
      </c>
      <c r="P1098">
        <v>135</v>
      </c>
      <c r="Q1098">
        <v>0</v>
      </c>
      <c r="R1098">
        <v>1670618486</v>
      </c>
      <c r="S1098">
        <v>6737958.6399999997</v>
      </c>
      <c r="T1098">
        <v>1658073484.3699999</v>
      </c>
      <c r="U1098">
        <v>1663675690.9200001</v>
      </c>
      <c r="V1098">
        <v>4.0924000000000002E-2</v>
      </c>
      <c r="W1098">
        <v>1.47E-3</v>
      </c>
      <c r="Y1098" t="s">
        <v>2</v>
      </c>
      <c r="Z1098">
        <v>3500</v>
      </c>
      <c r="AA1098">
        <v>216</v>
      </c>
      <c r="AB1098">
        <v>1</v>
      </c>
      <c r="AC1098">
        <v>0</v>
      </c>
      <c r="AD1098">
        <v>13208925</v>
      </c>
      <c r="AE1098">
        <v>68069.399999999994</v>
      </c>
      <c r="AF1098">
        <v>13140305</v>
      </c>
      <c r="AG1098">
        <v>13140305</v>
      </c>
      <c r="AH1098">
        <v>5.0000000000000001E-4</v>
      </c>
      <c r="AI1098">
        <v>5.0000000000000001E-4</v>
      </c>
    </row>
    <row r="1099" spans="1:35" x14ac:dyDescent="0.35">
      <c r="A1099" t="s">
        <v>3</v>
      </c>
      <c r="B1099">
        <v>3750</v>
      </c>
      <c r="C1099">
        <v>192</v>
      </c>
      <c r="D1099">
        <v>41</v>
      </c>
      <c r="E1099">
        <v>0</v>
      </c>
      <c r="F1099">
        <v>561053337</v>
      </c>
      <c r="G1099">
        <v>2164221.48</v>
      </c>
      <c r="H1099">
        <v>557686833.23000002</v>
      </c>
      <c r="I1099">
        <v>558889080.08000004</v>
      </c>
      <c r="J1099">
        <v>2.5413999999999999E-2</v>
      </c>
      <c r="K1099">
        <v>9.9999999999999995E-7</v>
      </c>
      <c r="M1099" t="s">
        <v>3</v>
      </c>
      <c r="N1099">
        <v>4250</v>
      </c>
      <c r="O1099">
        <v>192</v>
      </c>
      <c r="P1099">
        <v>76</v>
      </c>
      <c r="Q1099">
        <v>0</v>
      </c>
      <c r="R1099">
        <v>930681365</v>
      </c>
      <c r="S1099">
        <v>3581132.84</v>
      </c>
      <c r="T1099">
        <v>925678893.55999994</v>
      </c>
      <c r="U1099">
        <v>927097590.82000005</v>
      </c>
      <c r="V1099">
        <v>1.8173000000000002E-2</v>
      </c>
      <c r="W1099">
        <v>3.4E-5</v>
      </c>
      <c r="Y1099" t="s">
        <v>0</v>
      </c>
      <c r="Z1099">
        <v>5750</v>
      </c>
      <c r="AA1099">
        <v>168</v>
      </c>
      <c r="AB1099">
        <v>91</v>
      </c>
      <c r="AC1099">
        <v>0</v>
      </c>
      <c r="AD1099">
        <v>525710525</v>
      </c>
      <c r="AE1099">
        <v>1548148.13</v>
      </c>
      <c r="AF1099">
        <v>521960263</v>
      </c>
      <c r="AG1099">
        <v>521960263</v>
      </c>
      <c r="AH1099">
        <v>4.9124000000000001E-2</v>
      </c>
      <c r="AI1099">
        <v>4.9124000000000001E-2</v>
      </c>
    </row>
    <row r="1100" spans="1:35" x14ac:dyDescent="0.35">
      <c r="A1100" t="s">
        <v>0</v>
      </c>
      <c r="B1100">
        <v>5250</v>
      </c>
      <c r="C1100">
        <v>168</v>
      </c>
      <c r="D1100">
        <v>1370</v>
      </c>
      <c r="E1100">
        <v>0</v>
      </c>
      <c r="F1100">
        <v>10449845363</v>
      </c>
      <c r="G1100">
        <v>30361159.52</v>
      </c>
      <c r="H1100">
        <v>10364231917.23</v>
      </c>
      <c r="I1100">
        <v>10413898844.58</v>
      </c>
      <c r="J1100">
        <v>6.1636000000000003E-2</v>
      </c>
      <c r="K1100">
        <v>6.3949999999999996E-3</v>
      </c>
      <c r="M1100" t="s">
        <v>3</v>
      </c>
      <c r="N1100">
        <v>3750</v>
      </c>
      <c r="O1100">
        <v>192</v>
      </c>
      <c r="P1100">
        <v>1</v>
      </c>
      <c r="Q1100">
        <v>0</v>
      </c>
      <c r="R1100">
        <v>18822994</v>
      </c>
      <c r="S1100">
        <v>72196.75</v>
      </c>
      <c r="T1100">
        <v>18745667.039999999</v>
      </c>
      <c r="U1100">
        <v>18750797.25</v>
      </c>
      <c r="V1100">
        <v>3.2659999999999998E-3</v>
      </c>
      <c r="W1100">
        <v>0</v>
      </c>
      <c r="Y1100" t="s">
        <v>1</v>
      </c>
      <c r="Z1100">
        <v>5250</v>
      </c>
      <c r="AA1100">
        <v>168</v>
      </c>
      <c r="AB1100">
        <v>96</v>
      </c>
      <c r="AC1100">
        <v>0</v>
      </c>
      <c r="AD1100">
        <v>732210283</v>
      </c>
      <c r="AE1100">
        <v>2102659.19</v>
      </c>
      <c r="AF1100">
        <v>722851215</v>
      </c>
      <c r="AG1100">
        <v>729485318.63999999</v>
      </c>
      <c r="AH1100">
        <v>0.112651</v>
      </c>
      <c r="AI1100">
        <v>1.0151E-2</v>
      </c>
    </row>
    <row r="1101" spans="1:35" x14ac:dyDescent="0.35">
      <c r="A1101" t="s">
        <v>0</v>
      </c>
      <c r="B1101">
        <v>6500</v>
      </c>
      <c r="C1101">
        <v>168</v>
      </c>
      <c r="D1101">
        <v>126</v>
      </c>
      <c r="E1101">
        <v>0</v>
      </c>
      <c r="F1101">
        <v>929426214</v>
      </c>
      <c r="G1101">
        <v>2535990</v>
      </c>
      <c r="H1101">
        <v>921066793.69000006</v>
      </c>
      <c r="I1101">
        <v>926740498.82000005</v>
      </c>
      <c r="J1101">
        <v>7.2650000000000006E-2</v>
      </c>
      <c r="K1101">
        <v>1.931E-3</v>
      </c>
      <c r="M1101" t="s">
        <v>1</v>
      </c>
      <c r="N1101">
        <v>5250</v>
      </c>
      <c r="O1101">
        <v>168</v>
      </c>
      <c r="P1101">
        <v>46</v>
      </c>
      <c r="Q1101">
        <v>0</v>
      </c>
      <c r="R1101">
        <v>387829199</v>
      </c>
      <c r="S1101">
        <v>1118841.21</v>
      </c>
      <c r="T1101">
        <v>383200449.37</v>
      </c>
      <c r="U1101">
        <v>386635957.87</v>
      </c>
      <c r="V1101">
        <v>0.103356</v>
      </c>
      <c r="W1101">
        <v>2.3E-3</v>
      </c>
      <c r="Y1101" t="s">
        <v>3</v>
      </c>
      <c r="Z1101">
        <v>6750</v>
      </c>
      <c r="AA1101">
        <v>18</v>
      </c>
      <c r="AB1101">
        <v>108</v>
      </c>
      <c r="AC1101">
        <v>0</v>
      </c>
      <c r="AD1101">
        <v>3046418417</v>
      </c>
      <c r="AE1101">
        <v>2957936.23</v>
      </c>
      <c r="AF1101">
        <v>3007560621</v>
      </c>
      <c r="AG1101">
        <v>3043286785.5799999</v>
      </c>
      <c r="AH1101">
        <v>0.13259699999999999</v>
      </c>
      <c r="AI1101">
        <v>6.8400000000000004E-4</v>
      </c>
    </row>
    <row r="1102" spans="1:35" x14ac:dyDescent="0.35">
      <c r="A1102" t="s">
        <v>2</v>
      </c>
      <c r="B1102">
        <v>3500</v>
      </c>
      <c r="C1102">
        <v>216</v>
      </c>
      <c r="D1102">
        <v>1</v>
      </c>
      <c r="E1102">
        <v>0</v>
      </c>
      <c r="F1102">
        <v>13140305</v>
      </c>
      <c r="G1102">
        <v>68265.070000000007</v>
      </c>
      <c r="H1102">
        <v>13018445.119999999</v>
      </c>
      <c r="I1102">
        <v>13072039.859999999</v>
      </c>
      <c r="J1102">
        <v>4.7861000000000001E-2</v>
      </c>
      <c r="K1102">
        <v>0</v>
      </c>
      <c r="M1102" t="s">
        <v>2</v>
      </c>
      <c r="N1102">
        <v>5250</v>
      </c>
      <c r="O1102">
        <v>168</v>
      </c>
      <c r="P1102">
        <v>3</v>
      </c>
      <c r="Q1102">
        <v>0</v>
      </c>
      <c r="R1102">
        <v>23360293</v>
      </c>
      <c r="S1102">
        <v>73033.36</v>
      </c>
      <c r="T1102">
        <v>23164272.079999998</v>
      </c>
      <c r="U1102">
        <v>23287248.280000001</v>
      </c>
      <c r="V1102">
        <v>6.1379999999999997E-2</v>
      </c>
      <c r="W1102">
        <v>6.0000000000000002E-6</v>
      </c>
      <c r="Y1102" t="s">
        <v>2</v>
      </c>
      <c r="Z1102">
        <v>8000</v>
      </c>
      <c r="AA1102">
        <v>240</v>
      </c>
      <c r="AB1102">
        <v>1</v>
      </c>
      <c r="AC1102">
        <v>0</v>
      </c>
      <c r="AD1102">
        <v>2428869</v>
      </c>
      <c r="AE1102">
        <v>12522.48</v>
      </c>
      <c r="AF1102">
        <v>2413096</v>
      </c>
      <c r="AG1102">
        <v>2413096</v>
      </c>
      <c r="AH1102">
        <v>1.5942000000000001E-2</v>
      </c>
      <c r="AI1102">
        <v>1.5942000000000001E-2</v>
      </c>
    </row>
    <row r="1103" spans="1:35" x14ac:dyDescent="0.35">
      <c r="A1103" t="s">
        <v>0</v>
      </c>
      <c r="B1103">
        <v>5750</v>
      </c>
      <c r="C1103">
        <v>168</v>
      </c>
      <c r="D1103">
        <v>83</v>
      </c>
      <c r="E1103">
        <v>0</v>
      </c>
      <c r="F1103">
        <v>501906624</v>
      </c>
      <c r="G1103">
        <v>1454758.5</v>
      </c>
      <c r="H1103">
        <v>496768521.48000002</v>
      </c>
      <c r="I1103">
        <v>499598495.51999998</v>
      </c>
      <c r="J1103">
        <v>8.4595000000000004E-2</v>
      </c>
      <c r="K1103">
        <v>2.0212999999999998E-2</v>
      </c>
      <c r="M1103" t="s">
        <v>3</v>
      </c>
      <c r="N1103">
        <v>5250</v>
      </c>
      <c r="O1103">
        <v>168</v>
      </c>
      <c r="P1103">
        <v>3</v>
      </c>
      <c r="Q1103">
        <v>0</v>
      </c>
      <c r="R1103">
        <v>27869530</v>
      </c>
      <c r="S1103">
        <v>85126.93</v>
      </c>
      <c r="T1103">
        <v>27662203.370000001</v>
      </c>
      <c r="U1103">
        <v>27784402.760000002</v>
      </c>
      <c r="V1103">
        <v>5.1366000000000002E-2</v>
      </c>
      <c r="W1103">
        <v>0</v>
      </c>
      <c r="Y1103" t="s">
        <v>1</v>
      </c>
      <c r="Z1103">
        <v>4750</v>
      </c>
      <c r="AA1103">
        <v>144</v>
      </c>
      <c r="AB1103">
        <v>2312</v>
      </c>
      <c r="AC1103">
        <v>0</v>
      </c>
      <c r="AD1103">
        <v>22846176534</v>
      </c>
      <c r="AE1103">
        <v>63955274.409999996</v>
      </c>
      <c r="AF1103">
        <v>22664675254</v>
      </c>
      <c r="AG1103">
        <v>22739155237.43</v>
      </c>
      <c r="AH1103">
        <v>6.0024000000000001E-2</v>
      </c>
      <c r="AI1103">
        <v>2.2387000000000001E-2</v>
      </c>
    </row>
    <row r="1104" spans="1:35" x14ac:dyDescent="0.35">
      <c r="A1104" t="s">
        <v>1</v>
      </c>
      <c r="B1104">
        <v>5250</v>
      </c>
      <c r="C1104">
        <v>168</v>
      </c>
      <c r="D1104">
        <v>113</v>
      </c>
      <c r="E1104">
        <v>0</v>
      </c>
      <c r="F1104">
        <v>881515953</v>
      </c>
      <c r="G1104">
        <v>2540126.7599999998</v>
      </c>
      <c r="H1104">
        <v>872356790.88999999</v>
      </c>
      <c r="I1104">
        <v>878770944.88999999</v>
      </c>
      <c r="J1104">
        <v>8.6474999999999996E-2</v>
      </c>
      <c r="K1104">
        <v>2.7850000000000001E-3</v>
      </c>
      <c r="M1104" t="s">
        <v>0</v>
      </c>
      <c r="N1104">
        <v>5750</v>
      </c>
      <c r="O1104">
        <v>168</v>
      </c>
      <c r="P1104">
        <v>113</v>
      </c>
      <c r="Q1104">
        <v>0</v>
      </c>
      <c r="R1104">
        <v>570005218</v>
      </c>
      <c r="S1104">
        <v>1762539.25</v>
      </c>
      <c r="T1104">
        <v>563699718.13</v>
      </c>
      <c r="U1104">
        <v>566223266.13</v>
      </c>
      <c r="V1104">
        <v>9.1556999999999999E-2</v>
      </c>
      <c r="W1104">
        <v>4.1695000000000003E-2</v>
      </c>
      <c r="Y1104" t="s">
        <v>3</v>
      </c>
      <c r="Z1104">
        <v>6250</v>
      </c>
      <c r="AA1104">
        <v>16</v>
      </c>
      <c r="AB1104">
        <v>37</v>
      </c>
      <c r="AC1104">
        <v>0</v>
      </c>
      <c r="AD1104">
        <v>984267981</v>
      </c>
      <c r="AE1104">
        <v>1036363.14</v>
      </c>
      <c r="AF1104">
        <v>983185312</v>
      </c>
      <c r="AG1104">
        <v>983185312</v>
      </c>
      <c r="AH1104">
        <v>5.6400000000000005E-4</v>
      </c>
      <c r="AI1104">
        <v>5.6400000000000005E-4</v>
      </c>
    </row>
    <row r="1105" spans="1:35" x14ac:dyDescent="0.35">
      <c r="A1105" t="s">
        <v>3</v>
      </c>
      <c r="B1105">
        <v>6750</v>
      </c>
      <c r="C1105">
        <v>18</v>
      </c>
      <c r="D1105">
        <v>95</v>
      </c>
      <c r="E1105">
        <v>0</v>
      </c>
      <c r="F1105">
        <v>2756747762</v>
      </c>
      <c r="G1105">
        <v>2677698.35</v>
      </c>
      <c r="H1105">
        <v>2740222569.6599998</v>
      </c>
      <c r="I1105">
        <v>2754055785.48</v>
      </c>
      <c r="J1105">
        <v>5.8639999999999998E-2</v>
      </c>
      <c r="K1105">
        <v>6.2000000000000003E-5</v>
      </c>
      <c r="M1105" t="s">
        <v>0</v>
      </c>
      <c r="N1105">
        <v>6500</v>
      </c>
      <c r="O1105">
        <v>168</v>
      </c>
      <c r="P1105">
        <v>138</v>
      </c>
      <c r="Q1105">
        <v>0</v>
      </c>
      <c r="R1105">
        <v>1026375831</v>
      </c>
      <c r="S1105">
        <v>2786531.53</v>
      </c>
      <c r="T1105">
        <v>1014812904.4299999</v>
      </c>
      <c r="U1105">
        <v>1022591920.05</v>
      </c>
      <c r="V1105">
        <v>9.7919999999999993E-2</v>
      </c>
      <c r="W1105">
        <v>1.1599E-2</v>
      </c>
      <c r="Y1105" t="s">
        <v>3</v>
      </c>
      <c r="Z1105">
        <v>6750</v>
      </c>
      <c r="AA1105">
        <v>16</v>
      </c>
      <c r="AB1105">
        <v>80</v>
      </c>
      <c r="AC1105">
        <v>0</v>
      </c>
      <c r="AD1105">
        <v>2524520867</v>
      </c>
      <c r="AE1105">
        <v>2428038.5299999998</v>
      </c>
      <c r="AF1105">
        <v>2521320993</v>
      </c>
      <c r="AG1105">
        <v>2521320993</v>
      </c>
      <c r="AH1105">
        <v>3.663E-3</v>
      </c>
      <c r="AI1105">
        <v>3.663E-3</v>
      </c>
    </row>
    <row r="1106" spans="1:35" x14ac:dyDescent="0.35">
      <c r="A1106" t="s">
        <v>2</v>
      </c>
      <c r="B1106">
        <v>8000</v>
      </c>
      <c r="C1106">
        <v>240</v>
      </c>
      <c r="D1106">
        <v>1</v>
      </c>
      <c r="E1106">
        <v>0</v>
      </c>
      <c r="F1106">
        <v>2413096</v>
      </c>
      <c r="G1106">
        <v>12586.71</v>
      </c>
      <c r="H1106">
        <v>2388192.13</v>
      </c>
      <c r="I1106">
        <v>2400509.25</v>
      </c>
      <c r="J1106">
        <v>5.9561000000000003E-2</v>
      </c>
      <c r="K1106">
        <v>0</v>
      </c>
      <c r="M1106" t="s">
        <v>3</v>
      </c>
      <c r="N1106">
        <v>6750</v>
      </c>
      <c r="O1106">
        <v>16</v>
      </c>
      <c r="P1106">
        <v>109</v>
      </c>
      <c r="Q1106">
        <v>0</v>
      </c>
      <c r="R1106">
        <v>3087127125</v>
      </c>
      <c r="S1106">
        <v>2958395.26</v>
      </c>
      <c r="T1106">
        <v>3073677534.0500002</v>
      </c>
      <c r="U1106">
        <v>3084163899.1599998</v>
      </c>
      <c r="V1106">
        <v>4.0027E-2</v>
      </c>
      <c r="W1106">
        <v>1.9000000000000001E-5</v>
      </c>
      <c r="Y1106" t="s">
        <v>3</v>
      </c>
      <c r="Z1106">
        <v>5750</v>
      </c>
      <c r="AA1106">
        <v>14</v>
      </c>
      <c r="AB1106">
        <v>33</v>
      </c>
      <c r="AC1106">
        <v>0</v>
      </c>
      <c r="AD1106">
        <v>957905563</v>
      </c>
      <c r="AE1106">
        <v>1093433.3400000001</v>
      </c>
      <c r="AF1106">
        <v>938766367</v>
      </c>
      <c r="AG1106">
        <v>956502978.87</v>
      </c>
      <c r="AH1106">
        <v>0.20405200000000001</v>
      </c>
      <c r="AI1106">
        <v>3.8660000000000001E-3</v>
      </c>
    </row>
    <row r="1107" spans="1:35" x14ac:dyDescent="0.35">
      <c r="A1107" t="s">
        <v>1</v>
      </c>
      <c r="B1107">
        <v>4250</v>
      </c>
      <c r="C1107">
        <v>144</v>
      </c>
      <c r="D1107">
        <v>16695</v>
      </c>
      <c r="E1107">
        <v>0</v>
      </c>
      <c r="F1107">
        <v>200804134145</v>
      </c>
      <c r="G1107">
        <v>588359618.88</v>
      </c>
      <c r="H1107">
        <v>198956378060.23001</v>
      </c>
      <c r="I1107">
        <v>200058017359.06</v>
      </c>
      <c r="J1107">
        <v>7.2719000000000006E-2</v>
      </c>
      <c r="K1107">
        <v>9.3869999999999995E-3</v>
      </c>
      <c r="M1107" t="s">
        <v>2</v>
      </c>
      <c r="N1107">
        <v>8000</v>
      </c>
      <c r="O1107">
        <v>240</v>
      </c>
      <c r="P1107">
        <v>1</v>
      </c>
      <c r="Q1107">
        <v>0</v>
      </c>
      <c r="R1107">
        <v>2460110</v>
      </c>
      <c r="S1107">
        <v>12394.1</v>
      </c>
      <c r="T1107">
        <v>2412791.13</v>
      </c>
      <c r="U1107">
        <v>2447715.81</v>
      </c>
      <c r="V1107">
        <v>0.157665</v>
      </c>
      <c r="W1107">
        <v>0</v>
      </c>
      <c r="Y1107" t="s">
        <v>3</v>
      </c>
      <c r="Z1107">
        <v>5500</v>
      </c>
      <c r="AA1107">
        <v>14</v>
      </c>
      <c r="AB1107">
        <v>12</v>
      </c>
      <c r="AC1107">
        <v>0</v>
      </c>
      <c r="AD1107">
        <v>421944277</v>
      </c>
      <c r="AE1107">
        <v>503392.49</v>
      </c>
      <c r="AF1107">
        <v>387156769</v>
      </c>
      <c r="AG1107">
        <v>421395586.24000001</v>
      </c>
      <c r="AH1107">
        <v>0.63829599999999997</v>
      </c>
      <c r="AI1107">
        <v>1.2880000000000001E-3</v>
      </c>
    </row>
    <row r="1108" spans="1:35" x14ac:dyDescent="0.35">
      <c r="A1108" t="s">
        <v>1</v>
      </c>
      <c r="B1108">
        <v>4750</v>
      </c>
      <c r="C1108">
        <v>144</v>
      </c>
      <c r="D1108">
        <v>2198</v>
      </c>
      <c r="E1108">
        <v>0</v>
      </c>
      <c r="F1108">
        <v>21863832295</v>
      </c>
      <c r="G1108">
        <v>61141944.590000004</v>
      </c>
      <c r="H1108">
        <v>21637134527.049999</v>
      </c>
      <c r="I1108">
        <v>21782130815.130001</v>
      </c>
      <c r="J1108">
        <v>8.7175000000000002E-2</v>
      </c>
      <c r="K1108">
        <v>1.1226E-2</v>
      </c>
      <c r="M1108" t="s">
        <v>1</v>
      </c>
      <c r="N1108">
        <v>4750</v>
      </c>
      <c r="O1108">
        <v>144</v>
      </c>
      <c r="P1108">
        <v>2974</v>
      </c>
      <c r="Q1108">
        <v>0</v>
      </c>
      <c r="R1108">
        <v>29632571335</v>
      </c>
      <c r="S1108">
        <v>83688353.549999997</v>
      </c>
      <c r="T1108">
        <v>29310456167.369999</v>
      </c>
      <c r="U1108">
        <v>29514406063.470001</v>
      </c>
      <c r="V1108">
        <v>9.2393000000000003E-2</v>
      </c>
      <c r="W1108">
        <v>1.3873E-2</v>
      </c>
      <c r="Y1108" t="s">
        <v>0</v>
      </c>
      <c r="Z1108">
        <v>5250</v>
      </c>
      <c r="AA1108">
        <v>144</v>
      </c>
      <c r="AB1108">
        <v>2195</v>
      </c>
      <c r="AC1108">
        <v>0</v>
      </c>
      <c r="AD1108">
        <v>15727530605</v>
      </c>
      <c r="AE1108">
        <v>41384194.210000001</v>
      </c>
      <c r="AF1108">
        <v>15650150220</v>
      </c>
      <c r="AG1108">
        <v>15676237281.469999</v>
      </c>
      <c r="AH1108">
        <v>2.7122E-2</v>
      </c>
      <c r="AI1108">
        <v>7.5339999999999999E-3</v>
      </c>
    </row>
    <row r="1109" spans="1:35" x14ac:dyDescent="0.35">
      <c r="A1109" t="s">
        <v>3</v>
      </c>
      <c r="B1109">
        <v>6250</v>
      </c>
      <c r="C1109">
        <v>18</v>
      </c>
      <c r="D1109">
        <v>25</v>
      </c>
      <c r="E1109">
        <v>0</v>
      </c>
      <c r="F1109">
        <v>632683226</v>
      </c>
      <c r="G1109">
        <v>673861.58</v>
      </c>
      <c r="H1109">
        <v>627454860.22000003</v>
      </c>
      <c r="I1109">
        <v>632009358.76999998</v>
      </c>
      <c r="J1109">
        <v>8.3044999999999994E-2</v>
      </c>
      <c r="K1109">
        <v>0</v>
      </c>
      <c r="M1109" t="s">
        <v>3</v>
      </c>
      <c r="N1109">
        <v>6250</v>
      </c>
      <c r="O1109">
        <v>14</v>
      </c>
      <c r="P1109">
        <v>37</v>
      </c>
      <c r="Q1109">
        <v>0</v>
      </c>
      <c r="R1109">
        <v>986540000</v>
      </c>
      <c r="S1109">
        <v>1025959.98</v>
      </c>
      <c r="T1109">
        <v>982532758.57000005</v>
      </c>
      <c r="U1109">
        <v>985513931.63</v>
      </c>
      <c r="V1109">
        <v>3.5666999999999997E-2</v>
      </c>
      <c r="W1109">
        <v>9.9999999999999995E-7</v>
      </c>
      <c r="Y1109" t="s">
        <v>2</v>
      </c>
      <c r="Z1109">
        <v>4750</v>
      </c>
      <c r="AA1109">
        <v>120</v>
      </c>
      <c r="AB1109">
        <v>300</v>
      </c>
      <c r="AC1109">
        <v>0</v>
      </c>
      <c r="AD1109">
        <v>2207083152</v>
      </c>
      <c r="AE1109">
        <v>5499123.4000000004</v>
      </c>
      <c r="AF1109">
        <v>2167363085</v>
      </c>
      <c r="AG1109">
        <v>2192031737.5599999</v>
      </c>
      <c r="AH1109">
        <v>0.170986</v>
      </c>
      <c r="AI1109">
        <v>5.0717999999999999E-2</v>
      </c>
    </row>
    <row r="1110" spans="1:35" x14ac:dyDescent="0.35">
      <c r="A1110" t="s">
        <v>3</v>
      </c>
      <c r="B1110">
        <v>6250</v>
      </c>
      <c r="C1110">
        <v>16</v>
      </c>
      <c r="D1110">
        <v>57</v>
      </c>
      <c r="E1110">
        <v>0</v>
      </c>
      <c r="F1110">
        <v>1576219163</v>
      </c>
      <c r="G1110">
        <v>1665839.76</v>
      </c>
      <c r="H1110">
        <v>1564537178.3199999</v>
      </c>
      <c r="I1110">
        <v>1574553293.3900001</v>
      </c>
      <c r="J1110">
        <v>7.3645000000000002E-2</v>
      </c>
      <c r="K1110">
        <v>0</v>
      </c>
      <c r="M1110" t="s">
        <v>3</v>
      </c>
      <c r="N1110">
        <v>6750</v>
      </c>
      <c r="O1110">
        <v>14</v>
      </c>
      <c r="P1110">
        <v>82</v>
      </c>
      <c r="Q1110">
        <v>0</v>
      </c>
      <c r="R1110">
        <v>2585539083</v>
      </c>
      <c r="S1110">
        <v>2454457.06</v>
      </c>
      <c r="T1110">
        <v>2574631713.7600002</v>
      </c>
      <c r="U1110">
        <v>2583060142.0999999</v>
      </c>
      <c r="V1110">
        <v>3.8533999999999999E-2</v>
      </c>
      <c r="W1110">
        <v>1.1400000000000001E-4</v>
      </c>
      <c r="Y1110" t="s">
        <v>2</v>
      </c>
      <c r="Z1110">
        <v>4250</v>
      </c>
      <c r="AA1110">
        <v>120</v>
      </c>
      <c r="AB1110">
        <v>4145</v>
      </c>
      <c r="AC1110">
        <v>0</v>
      </c>
      <c r="AD1110">
        <v>35877317934</v>
      </c>
      <c r="AE1110">
        <v>93440183.299999997</v>
      </c>
      <c r="AF1110">
        <v>35647448295</v>
      </c>
      <c r="AG1110">
        <v>35761256617.82</v>
      </c>
      <c r="AH1110">
        <v>4.4690000000000001E-2</v>
      </c>
      <c r="AI1110">
        <v>7.5399999999999998E-3</v>
      </c>
    </row>
    <row r="1111" spans="1:35" x14ac:dyDescent="0.35">
      <c r="A1111" t="s">
        <v>3</v>
      </c>
      <c r="B1111">
        <v>5750</v>
      </c>
      <c r="C1111">
        <v>16</v>
      </c>
      <c r="D1111">
        <v>25</v>
      </c>
      <c r="E1111">
        <v>0</v>
      </c>
      <c r="F1111">
        <v>691890132</v>
      </c>
      <c r="G1111">
        <v>795925.16</v>
      </c>
      <c r="H1111">
        <v>686972208.44000006</v>
      </c>
      <c r="I1111">
        <v>691094204.25</v>
      </c>
      <c r="J1111">
        <v>6.9194000000000006E-2</v>
      </c>
      <c r="K1111">
        <v>0</v>
      </c>
      <c r="M1111" t="s">
        <v>3</v>
      </c>
      <c r="N1111">
        <v>5500</v>
      </c>
      <c r="O1111">
        <v>12</v>
      </c>
      <c r="P1111">
        <v>13</v>
      </c>
      <c r="Q1111">
        <v>0</v>
      </c>
      <c r="R1111">
        <v>453131712</v>
      </c>
      <c r="S1111">
        <v>534235.97</v>
      </c>
      <c r="T1111">
        <v>451146082.75</v>
      </c>
      <c r="U1111">
        <v>452597462.85000002</v>
      </c>
      <c r="V1111">
        <v>3.7766000000000001E-2</v>
      </c>
      <c r="W1111">
        <v>0</v>
      </c>
      <c r="Y1111" t="s">
        <v>0</v>
      </c>
      <c r="Z1111">
        <v>5250</v>
      </c>
      <c r="AA1111">
        <v>120</v>
      </c>
      <c r="AB1111">
        <v>731</v>
      </c>
      <c r="AC1111">
        <v>0</v>
      </c>
      <c r="AD1111">
        <v>5864763231</v>
      </c>
      <c r="AE1111">
        <v>13576320.789999999</v>
      </c>
      <c r="AF1111">
        <v>5826555859</v>
      </c>
      <c r="AG1111">
        <v>5847988904.3400002</v>
      </c>
      <c r="AH1111">
        <v>4.9250000000000002E-2</v>
      </c>
      <c r="AI1111">
        <v>6.5240000000000003E-3</v>
      </c>
    </row>
    <row r="1112" spans="1:35" x14ac:dyDescent="0.35">
      <c r="A1112" t="s">
        <v>3</v>
      </c>
      <c r="B1112">
        <v>5500</v>
      </c>
      <c r="C1112">
        <v>16</v>
      </c>
      <c r="D1112">
        <v>7</v>
      </c>
      <c r="E1112">
        <v>0</v>
      </c>
      <c r="F1112">
        <v>270089037</v>
      </c>
      <c r="G1112">
        <v>326383.77</v>
      </c>
      <c r="H1112">
        <v>268919930.67000002</v>
      </c>
      <c r="I1112">
        <v>269762648.97000003</v>
      </c>
      <c r="J1112">
        <v>3.6805999999999998E-2</v>
      </c>
      <c r="K1112">
        <v>0</v>
      </c>
      <c r="M1112" t="s">
        <v>3</v>
      </c>
      <c r="N1112">
        <v>5750</v>
      </c>
      <c r="O1112">
        <v>12</v>
      </c>
      <c r="P1112">
        <v>33</v>
      </c>
      <c r="Q1112">
        <v>0</v>
      </c>
      <c r="R1112">
        <v>960292978</v>
      </c>
      <c r="S1112">
        <v>1083371.77</v>
      </c>
      <c r="T1112">
        <v>956508598.79999995</v>
      </c>
      <c r="U1112">
        <v>959209571.69000006</v>
      </c>
      <c r="V1112">
        <v>3.3235000000000001E-2</v>
      </c>
      <c r="W1112">
        <v>0</v>
      </c>
      <c r="Y1112" t="s">
        <v>1</v>
      </c>
      <c r="Z1112">
        <v>4750</v>
      </c>
      <c r="AA1112">
        <v>120</v>
      </c>
      <c r="AB1112">
        <v>632</v>
      </c>
      <c r="AC1112">
        <v>0</v>
      </c>
      <c r="AD1112">
        <v>6877400427</v>
      </c>
      <c r="AE1112">
        <v>16819867.219999999</v>
      </c>
      <c r="AF1112">
        <v>6853665254</v>
      </c>
      <c r="AG1112">
        <v>6853665254</v>
      </c>
      <c r="AH1112">
        <v>1.2E-2</v>
      </c>
      <c r="AI1112">
        <v>1.2E-2</v>
      </c>
    </row>
    <row r="1113" spans="1:35" x14ac:dyDescent="0.35">
      <c r="A1113" t="s">
        <v>0</v>
      </c>
      <c r="B1113">
        <v>5250</v>
      </c>
      <c r="C1113">
        <v>144</v>
      </c>
      <c r="D1113">
        <v>2108</v>
      </c>
      <c r="E1113">
        <v>0</v>
      </c>
      <c r="F1113">
        <v>15160767317</v>
      </c>
      <c r="G1113">
        <v>39789321.549999997</v>
      </c>
      <c r="H1113">
        <v>15022801211.27</v>
      </c>
      <c r="I1113">
        <v>15107657388.030001</v>
      </c>
      <c r="J1113">
        <v>7.4999999999999997E-2</v>
      </c>
      <c r="K1113">
        <v>1.0493000000000001E-2</v>
      </c>
      <c r="M1113" t="s">
        <v>0</v>
      </c>
      <c r="N1113">
        <v>5250</v>
      </c>
      <c r="O1113">
        <v>144</v>
      </c>
      <c r="P1113">
        <v>2681</v>
      </c>
      <c r="Q1113">
        <v>0</v>
      </c>
      <c r="R1113">
        <v>19568911022</v>
      </c>
      <c r="S1113">
        <v>52254677.149999999</v>
      </c>
      <c r="T1113">
        <v>19377756177.02</v>
      </c>
      <c r="U1113">
        <v>19501465965.720001</v>
      </c>
      <c r="V1113">
        <v>8.1928000000000001E-2</v>
      </c>
      <c r="W1113">
        <v>9.2750000000000003E-3</v>
      </c>
      <c r="Y1113" t="s">
        <v>1</v>
      </c>
      <c r="Z1113">
        <v>5250</v>
      </c>
      <c r="AA1113">
        <v>120</v>
      </c>
      <c r="AB1113">
        <v>55</v>
      </c>
      <c r="AC1113">
        <v>0</v>
      </c>
      <c r="AD1113">
        <v>433924360</v>
      </c>
      <c r="AE1113">
        <v>1001831.3</v>
      </c>
      <c r="AF1113">
        <v>432775690</v>
      </c>
      <c r="AG1113">
        <v>432775690</v>
      </c>
      <c r="AH1113">
        <v>4.0530000000000002E-3</v>
      </c>
      <c r="AI1113">
        <v>4.0530000000000002E-3</v>
      </c>
    </row>
    <row r="1114" spans="1:35" x14ac:dyDescent="0.35">
      <c r="A1114" t="s">
        <v>2</v>
      </c>
      <c r="B1114">
        <v>4250</v>
      </c>
      <c r="C1114">
        <v>120</v>
      </c>
      <c r="D1114">
        <v>3844</v>
      </c>
      <c r="E1114">
        <v>0</v>
      </c>
      <c r="F1114">
        <v>33162498318</v>
      </c>
      <c r="G1114">
        <v>86495084.170000002</v>
      </c>
      <c r="H1114">
        <v>32879955567.169998</v>
      </c>
      <c r="I1114">
        <v>33052221603.41</v>
      </c>
      <c r="J1114">
        <v>6.8679000000000004E-2</v>
      </c>
      <c r="K1114">
        <v>8.5719999999999998E-3</v>
      </c>
      <c r="M1114" t="s">
        <v>2</v>
      </c>
      <c r="N1114">
        <v>4250</v>
      </c>
      <c r="O1114">
        <v>120</v>
      </c>
      <c r="P1114">
        <v>5535</v>
      </c>
      <c r="Q1114">
        <v>0</v>
      </c>
      <c r="R1114">
        <v>48785600844</v>
      </c>
      <c r="S1114">
        <v>126851289.48999999</v>
      </c>
      <c r="T1114">
        <v>48371759280.43</v>
      </c>
      <c r="U1114">
        <v>48627814383.559998</v>
      </c>
      <c r="V1114">
        <v>6.8351999999999996E-2</v>
      </c>
      <c r="W1114">
        <v>7.5830000000000003E-3</v>
      </c>
      <c r="Y1114" t="s">
        <v>0</v>
      </c>
      <c r="Z1114">
        <v>2750</v>
      </c>
      <c r="AA1114">
        <v>120</v>
      </c>
      <c r="AB1114">
        <v>380</v>
      </c>
      <c r="AC1114">
        <v>0</v>
      </c>
      <c r="AD1114">
        <v>5528802209</v>
      </c>
      <c r="AE1114">
        <v>16536490.26</v>
      </c>
      <c r="AF1114">
        <v>5511829954</v>
      </c>
      <c r="AG1114">
        <v>5511829954</v>
      </c>
      <c r="AH1114">
        <v>9.4499999999999998E-4</v>
      </c>
      <c r="AI1114">
        <v>9.4499999999999998E-4</v>
      </c>
    </row>
    <row r="1115" spans="1:35" x14ac:dyDescent="0.35">
      <c r="A1115" t="s">
        <v>0</v>
      </c>
      <c r="B1115">
        <v>5250</v>
      </c>
      <c r="C1115">
        <v>120</v>
      </c>
      <c r="D1115">
        <v>665</v>
      </c>
      <c r="E1115">
        <v>0</v>
      </c>
      <c r="F1115">
        <v>5333067403</v>
      </c>
      <c r="G1115">
        <v>12365325.6</v>
      </c>
      <c r="H1115">
        <v>5281177710.1499996</v>
      </c>
      <c r="I1115">
        <v>5310804485.1000004</v>
      </c>
      <c r="J1115">
        <v>8.5397000000000001E-2</v>
      </c>
      <c r="K1115">
        <v>2.2044999999999999E-2</v>
      </c>
      <c r="M1115" t="s">
        <v>0</v>
      </c>
      <c r="N1115">
        <v>5250</v>
      </c>
      <c r="O1115">
        <v>120</v>
      </c>
      <c r="P1115">
        <v>872</v>
      </c>
      <c r="Q1115">
        <v>0</v>
      </c>
      <c r="R1115">
        <v>7046221559</v>
      </c>
      <c r="S1115">
        <v>16304967.619999999</v>
      </c>
      <c r="T1115">
        <v>6975813964.5200005</v>
      </c>
      <c r="U1115">
        <v>7021767239.0799999</v>
      </c>
      <c r="V1115">
        <v>8.8345999999999994E-2</v>
      </c>
      <c r="W1115">
        <v>1.3790999999999999E-2</v>
      </c>
      <c r="Y1115" t="s">
        <v>0</v>
      </c>
      <c r="Z1115">
        <v>2750</v>
      </c>
      <c r="AA1115">
        <v>108</v>
      </c>
      <c r="AB1115">
        <v>155</v>
      </c>
      <c r="AC1115">
        <v>0</v>
      </c>
      <c r="AD1115">
        <v>1976715583</v>
      </c>
      <c r="AE1115">
        <v>5763492</v>
      </c>
      <c r="AF1115">
        <v>1970858940</v>
      </c>
      <c r="AG1115">
        <v>1970918555.25</v>
      </c>
      <c r="AH1115">
        <v>5.6499999999999996E-4</v>
      </c>
      <c r="AI1115">
        <v>2.04E-4</v>
      </c>
    </row>
    <row r="1116" spans="1:35" x14ac:dyDescent="0.35">
      <c r="A1116" t="s">
        <v>2</v>
      </c>
      <c r="B1116">
        <v>4750</v>
      </c>
      <c r="C1116">
        <v>120</v>
      </c>
      <c r="D1116">
        <v>247</v>
      </c>
      <c r="E1116">
        <v>0</v>
      </c>
      <c r="F1116">
        <v>1857845931</v>
      </c>
      <c r="G1116">
        <v>4646861.45</v>
      </c>
      <c r="H1116">
        <v>1839031159.29</v>
      </c>
      <c r="I1116">
        <v>1850181973.47</v>
      </c>
      <c r="J1116">
        <v>8.7769E-2</v>
      </c>
      <c r="K1116">
        <v>1.9314999999999999E-2</v>
      </c>
      <c r="M1116" t="s">
        <v>1</v>
      </c>
      <c r="N1116">
        <v>4750</v>
      </c>
      <c r="O1116">
        <v>120</v>
      </c>
      <c r="P1116">
        <v>697</v>
      </c>
      <c r="Q1116">
        <v>0</v>
      </c>
      <c r="R1116">
        <v>7414059125</v>
      </c>
      <c r="S1116">
        <v>18095256.420000002</v>
      </c>
      <c r="T1116">
        <v>7318219143.1999998</v>
      </c>
      <c r="U1116">
        <v>7377499649.3100004</v>
      </c>
      <c r="V1116">
        <v>0.118824</v>
      </c>
      <c r="W1116">
        <v>2.9479000000000002E-2</v>
      </c>
      <c r="Y1116" t="s">
        <v>2</v>
      </c>
      <c r="Z1116">
        <v>2750</v>
      </c>
      <c r="AA1116">
        <v>108</v>
      </c>
      <c r="AB1116">
        <v>32</v>
      </c>
      <c r="AC1116">
        <v>0</v>
      </c>
      <c r="AD1116">
        <v>321254165</v>
      </c>
      <c r="AE1116">
        <v>945277.72</v>
      </c>
      <c r="AF1116">
        <v>320515873</v>
      </c>
      <c r="AG1116">
        <v>320515873</v>
      </c>
      <c r="AH1116">
        <v>-7.7590000000000003E-3</v>
      </c>
      <c r="AI1116">
        <v>-7.7590000000000003E-3</v>
      </c>
    </row>
    <row r="1117" spans="1:35" x14ac:dyDescent="0.35">
      <c r="A1117" t="s">
        <v>1</v>
      </c>
      <c r="B1117">
        <v>4750</v>
      </c>
      <c r="C1117">
        <v>120</v>
      </c>
      <c r="D1117">
        <v>599</v>
      </c>
      <c r="E1117">
        <v>0</v>
      </c>
      <c r="F1117">
        <v>6483420637</v>
      </c>
      <c r="G1117">
        <v>15868533.08</v>
      </c>
      <c r="H1117">
        <v>6398601601.4700003</v>
      </c>
      <c r="I1117">
        <v>6449442386.3999996</v>
      </c>
      <c r="J1117">
        <v>0.12041200000000001</v>
      </c>
      <c r="K1117">
        <v>3.3008999999999997E-2</v>
      </c>
      <c r="M1117" t="s">
        <v>1</v>
      </c>
      <c r="N1117">
        <v>5250</v>
      </c>
      <c r="O1117">
        <v>120</v>
      </c>
      <c r="P1117">
        <v>59</v>
      </c>
      <c r="Q1117">
        <v>0</v>
      </c>
      <c r="R1117">
        <v>470815019</v>
      </c>
      <c r="S1117">
        <v>1082905.8400000001</v>
      </c>
      <c r="T1117">
        <v>465562705.18000001</v>
      </c>
      <c r="U1117">
        <v>469107894.38</v>
      </c>
      <c r="V1117">
        <v>0.101243</v>
      </c>
      <c r="W1117">
        <v>1.5793999999999999E-2</v>
      </c>
      <c r="Y1117" t="s">
        <v>1</v>
      </c>
      <c r="Z1117">
        <v>5750</v>
      </c>
      <c r="AA1117">
        <v>96</v>
      </c>
      <c r="AB1117">
        <v>604</v>
      </c>
      <c r="AC1117">
        <v>0</v>
      </c>
      <c r="AD1117">
        <v>7215160181</v>
      </c>
      <c r="AE1117">
        <v>13094440.17</v>
      </c>
      <c r="AF1117">
        <v>7081784127</v>
      </c>
      <c r="AG1117">
        <v>7117711104.3500004</v>
      </c>
      <c r="AH1117">
        <v>0.18268799999999999</v>
      </c>
      <c r="AI1117">
        <v>0.13161700000000001</v>
      </c>
    </row>
    <row r="1118" spans="1:35" x14ac:dyDescent="0.35">
      <c r="A1118" t="s">
        <v>1</v>
      </c>
      <c r="B1118">
        <v>5250</v>
      </c>
      <c r="C1118">
        <v>120</v>
      </c>
      <c r="D1118">
        <v>53</v>
      </c>
      <c r="E1118">
        <v>0</v>
      </c>
      <c r="F1118">
        <v>413270417</v>
      </c>
      <c r="G1118">
        <v>958027.62</v>
      </c>
      <c r="H1118">
        <v>407476884.70999998</v>
      </c>
      <c r="I1118">
        <v>410520380.25</v>
      </c>
      <c r="J1118">
        <v>0.131715</v>
      </c>
      <c r="K1118">
        <v>5.0811000000000002E-2</v>
      </c>
      <c r="M1118" t="s">
        <v>0</v>
      </c>
      <c r="N1118">
        <v>2750</v>
      </c>
      <c r="O1118">
        <v>108</v>
      </c>
      <c r="P1118">
        <v>339</v>
      </c>
      <c r="Q1118">
        <v>0</v>
      </c>
      <c r="R1118">
        <v>4689300209</v>
      </c>
      <c r="S1118">
        <v>13683794.529999999</v>
      </c>
      <c r="T1118">
        <v>4651930744.4700003</v>
      </c>
      <c r="U1118">
        <v>4673422280.4700003</v>
      </c>
      <c r="V1118">
        <v>5.8956000000000001E-2</v>
      </c>
      <c r="W1118">
        <v>5.5999999999999999E-3</v>
      </c>
      <c r="Y1118" t="s">
        <v>1</v>
      </c>
      <c r="Z1118">
        <v>5750</v>
      </c>
      <c r="AA1118">
        <v>84</v>
      </c>
      <c r="AB1118">
        <v>927</v>
      </c>
      <c r="AC1118">
        <v>0</v>
      </c>
      <c r="AD1118">
        <v>12069700891</v>
      </c>
      <c r="AE1118">
        <v>20918270.09</v>
      </c>
      <c r="AF1118">
        <v>11896257712</v>
      </c>
      <c r="AG1118">
        <v>11991833370.690001</v>
      </c>
      <c r="AH1118">
        <v>0.141536</v>
      </c>
      <c r="AI1118">
        <v>5.5174000000000001E-2</v>
      </c>
    </row>
    <row r="1119" spans="1:35" x14ac:dyDescent="0.35">
      <c r="A1119" t="s">
        <v>0</v>
      </c>
      <c r="B1119">
        <v>2750</v>
      </c>
      <c r="C1119">
        <v>120</v>
      </c>
      <c r="D1119">
        <v>440</v>
      </c>
      <c r="E1119">
        <v>0</v>
      </c>
      <c r="F1119">
        <v>6305535464</v>
      </c>
      <c r="G1119">
        <v>18911967.120000001</v>
      </c>
      <c r="H1119">
        <v>6256620018.8599997</v>
      </c>
      <c r="I1119">
        <v>6283046304.1300001</v>
      </c>
      <c r="J1119">
        <v>5.5627999999999997E-2</v>
      </c>
      <c r="K1119">
        <v>6.7869999999999996E-3</v>
      </c>
      <c r="M1119" t="s">
        <v>2</v>
      </c>
      <c r="N1119">
        <v>2750</v>
      </c>
      <c r="O1119">
        <v>108</v>
      </c>
      <c r="P1119">
        <v>84</v>
      </c>
      <c r="Q1119">
        <v>0</v>
      </c>
      <c r="R1119">
        <v>899081192</v>
      </c>
      <c r="S1119">
        <v>2641859.9500000002</v>
      </c>
      <c r="T1119">
        <v>892383465.24000001</v>
      </c>
      <c r="U1119">
        <v>896334397.91999996</v>
      </c>
      <c r="V1119">
        <v>5.2810000000000003E-2</v>
      </c>
      <c r="W1119">
        <v>1.4E-3</v>
      </c>
      <c r="Y1119" t="s">
        <v>1</v>
      </c>
      <c r="Z1119">
        <v>4250</v>
      </c>
      <c r="AA1119">
        <v>72</v>
      </c>
      <c r="AB1119">
        <v>3510</v>
      </c>
      <c r="AC1119">
        <v>0</v>
      </c>
      <c r="AD1119">
        <v>59937474262</v>
      </c>
      <c r="AE1119">
        <v>119395452.13</v>
      </c>
      <c r="AF1119">
        <v>59263526194</v>
      </c>
      <c r="AG1119">
        <v>59638529359.220001</v>
      </c>
      <c r="AH1119">
        <v>0.105547</v>
      </c>
      <c r="AI1119">
        <v>3.5360999999999997E-2</v>
      </c>
    </row>
    <row r="1120" spans="1:35" x14ac:dyDescent="0.35">
      <c r="A1120" t="s">
        <v>2</v>
      </c>
      <c r="B1120">
        <v>2750</v>
      </c>
      <c r="C1120">
        <v>108</v>
      </c>
      <c r="D1120">
        <v>18</v>
      </c>
      <c r="E1120">
        <v>0</v>
      </c>
      <c r="F1120">
        <v>174996584</v>
      </c>
      <c r="G1120">
        <v>515332.19</v>
      </c>
      <c r="H1120">
        <v>173941827.47</v>
      </c>
      <c r="I1120">
        <v>174481190.13999999</v>
      </c>
      <c r="J1120">
        <v>3.6368999999999999E-2</v>
      </c>
      <c r="K1120">
        <v>3.9999999999999998E-6</v>
      </c>
      <c r="M1120" t="s">
        <v>2</v>
      </c>
      <c r="N1120">
        <v>4750</v>
      </c>
      <c r="O1120">
        <v>108</v>
      </c>
      <c r="P1120">
        <v>2087</v>
      </c>
      <c r="Q1120">
        <v>0</v>
      </c>
      <c r="R1120">
        <v>17903302621</v>
      </c>
      <c r="S1120">
        <v>40038722.219999999</v>
      </c>
      <c r="T1120">
        <v>17742424737.360001</v>
      </c>
      <c r="U1120">
        <v>17847446964.139999</v>
      </c>
      <c r="V1120">
        <v>7.8053999999999998E-2</v>
      </c>
      <c r="W1120">
        <v>1.055E-2</v>
      </c>
      <c r="Y1120" t="s">
        <v>0</v>
      </c>
      <c r="Z1120">
        <v>5250</v>
      </c>
      <c r="AA1120">
        <v>108</v>
      </c>
      <c r="AB1120">
        <v>3333</v>
      </c>
      <c r="AC1120">
        <v>0</v>
      </c>
      <c r="AD1120">
        <v>35931708720</v>
      </c>
      <c r="AE1120">
        <v>75374844.709999993</v>
      </c>
      <c r="AF1120">
        <v>35678503855</v>
      </c>
      <c r="AG1120">
        <v>35828113952.089996</v>
      </c>
      <c r="AH1120">
        <v>5.7799000000000003E-2</v>
      </c>
      <c r="AI1120">
        <v>9.384E-3</v>
      </c>
    </row>
    <row r="1121" spans="1:35" x14ac:dyDescent="0.35">
      <c r="A1121" t="s">
        <v>0</v>
      </c>
      <c r="B1121">
        <v>2750</v>
      </c>
      <c r="C1121">
        <v>108</v>
      </c>
      <c r="D1121">
        <v>91</v>
      </c>
      <c r="E1121">
        <v>0</v>
      </c>
      <c r="F1121">
        <v>1162545144</v>
      </c>
      <c r="G1121">
        <v>3382887.45</v>
      </c>
      <c r="H1121">
        <v>1154331041.3</v>
      </c>
      <c r="I1121">
        <v>1158410890.3900001</v>
      </c>
      <c r="J1121">
        <v>4.8744000000000003E-2</v>
      </c>
      <c r="K1121">
        <v>7.7279999999999996E-3</v>
      </c>
      <c r="M1121" t="s">
        <v>1</v>
      </c>
      <c r="N1121">
        <v>5250</v>
      </c>
      <c r="O1121">
        <v>96</v>
      </c>
      <c r="P1121">
        <v>1693</v>
      </c>
      <c r="Q1121">
        <v>0</v>
      </c>
      <c r="R1121">
        <v>23367351714</v>
      </c>
      <c r="S1121">
        <v>45306757.25</v>
      </c>
      <c r="T1121">
        <v>23016965338.23</v>
      </c>
      <c r="U1121">
        <v>23218318980.720001</v>
      </c>
      <c r="V1121">
        <v>0.145895</v>
      </c>
      <c r="W1121">
        <v>5.1985999999999997E-2</v>
      </c>
      <c r="Y1121" t="s">
        <v>2</v>
      </c>
      <c r="Z1121">
        <v>4500</v>
      </c>
      <c r="AA1121">
        <v>240</v>
      </c>
      <c r="AB1121">
        <v>7</v>
      </c>
      <c r="AC1121">
        <v>0</v>
      </c>
      <c r="AD1121">
        <v>40692972</v>
      </c>
      <c r="AE1121">
        <v>234700.68</v>
      </c>
      <c r="AF1121">
        <v>40392476</v>
      </c>
      <c r="AG1121">
        <v>40392476</v>
      </c>
      <c r="AH1121">
        <v>1.9231000000000002E-2</v>
      </c>
      <c r="AI1121">
        <v>1.9231000000000002E-2</v>
      </c>
    </row>
    <row r="1122" spans="1:35" x14ac:dyDescent="0.35">
      <c r="A1122" t="s">
        <v>1</v>
      </c>
      <c r="B1122">
        <v>5750</v>
      </c>
      <c r="C1122">
        <v>96</v>
      </c>
      <c r="D1122">
        <v>783</v>
      </c>
      <c r="E1122">
        <v>0</v>
      </c>
      <c r="F1122">
        <v>9569808534</v>
      </c>
      <c r="G1122">
        <v>17365949.890000001</v>
      </c>
      <c r="H1122">
        <v>9402404454.9500008</v>
      </c>
      <c r="I1122">
        <v>9514438935.4599991</v>
      </c>
      <c r="J1122">
        <v>0.172735</v>
      </c>
      <c r="K1122">
        <v>4.6627000000000002E-2</v>
      </c>
      <c r="M1122" t="s">
        <v>1</v>
      </c>
      <c r="N1122">
        <v>5750</v>
      </c>
      <c r="O1122">
        <v>96</v>
      </c>
      <c r="P1122">
        <v>426</v>
      </c>
      <c r="Q1122">
        <v>0</v>
      </c>
      <c r="R1122">
        <v>5192536035</v>
      </c>
      <c r="S1122">
        <v>9367415.8399999999</v>
      </c>
      <c r="T1122">
        <v>5085854115.29</v>
      </c>
      <c r="U1122">
        <v>5147689324.8299999</v>
      </c>
      <c r="V1122">
        <v>0.203102</v>
      </c>
      <c r="W1122">
        <v>7.8980999999999996E-2</v>
      </c>
      <c r="Y1122" t="s">
        <v>0</v>
      </c>
      <c r="Z1122">
        <v>4250</v>
      </c>
      <c r="AA1122">
        <v>240</v>
      </c>
      <c r="AB1122">
        <v>4</v>
      </c>
      <c r="AC1122">
        <v>0</v>
      </c>
      <c r="AD1122">
        <v>22417138</v>
      </c>
      <c r="AE1122">
        <v>140971.97</v>
      </c>
      <c r="AF1122">
        <v>22285624</v>
      </c>
      <c r="AG1122">
        <v>22285624</v>
      </c>
      <c r="AH1122">
        <v>-5.0749999999999997E-3</v>
      </c>
      <c r="AI1122">
        <v>-5.0749999999999997E-3</v>
      </c>
    </row>
    <row r="1123" spans="1:35" x14ac:dyDescent="0.35">
      <c r="A1123" t="s">
        <v>1</v>
      </c>
      <c r="B1123">
        <v>5750</v>
      </c>
      <c r="C1123">
        <v>84</v>
      </c>
      <c r="D1123">
        <v>735</v>
      </c>
      <c r="E1123">
        <v>0</v>
      </c>
      <c r="F1123">
        <v>9499975293</v>
      </c>
      <c r="G1123">
        <v>16466376.83</v>
      </c>
      <c r="H1123">
        <v>9343048249.5599995</v>
      </c>
      <c r="I1123">
        <v>9435361438.6000004</v>
      </c>
      <c r="J1123">
        <v>0.163684</v>
      </c>
      <c r="K1123">
        <v>5.9151000000000002E-2</v>
      </c>
      <c r="M1123" t="s">
        <v>1</v>
      </c>
      <c r="N1123">
        <v>5750</v>
      </c>
      <c r="O1123">
        <v>84</v>
      </c>
      <c r="P1123">
        <v>1118</v>
      </c>
      <c r="Q1123">
        <v>0</v>
      </c>
      <c r="R1123">
        <v>14430170836</v>
      </c>
      <c r="S1123">
        <v>24820052.719999999</v>
      </c>
      <c r="T1123">
        <v>14189884376.51</v>
      </c>
      <c r="U1123">
        <v>14334848053.629999</v>
      </c>
      <c r="V1123">
        <v>0.16517299999999999</v>
      </c>
      <c r="W1123">
        <v>5.7078999999999998E-2</v>
      </c>
      <c r="Y1123" t="s">
        <v>2</v>
      </c>
      <c r="Z1123">
        <v>4250</v>
      </c>
      <c r="AA1123">
        <v>320</v>
      </c>
      <c r="AB1123">
        <v>1</v>
      </c>
      <c r="AC1123">
        <v>0</v>
      </c>
      <c r="AD1123">
        <v>4335430</v>
      </c>
      <c r="AE1123">
        <v>31267.040000000001</v>
      </c>
      <c r="AF1123">
        <v>4302943</v>
      </c>
      <c r="AG1123">
        <v>4302943</v>
      </c>
      <c r="AH1123">
        <v>3.3709999999999999E-3</v>
      </c>
      <c r="AI1123">
        <v>3.3709999999999999E-3</v>
      </c>
    </row>
    <row r="1124" spans="1:35" x14ac:dyDescent="0.35">
      <c r="A1124" t="s">
        <v>1</v>
      </c>
      <c r="B1124">
        <v>4250</v>
      </c>
      <c r="C1124">
        <v>72</v>
      </c>
      <c r="D1124">
        <v>2955</v>
      </c>
      <c r="E1124">
        <v>0</v>
      </c>
      <c r="F1124">
        <v>51176394799</v>
      </c>
      <c r="G1124">
        <v>101840160.81999999</v>
      </c>
      <c r="H1124">
        <v>50516740852.620003</v>
      </c>
      <c r="I1124">
        <v>50872189349.459999</v>
      </c>
      <c r="J1124">
        <v>0.123235</v>
      </c>
      <c r="K1124">
        <v>4.6433000000000002E-2</v>
      </c>
      <c r="M1124" t="s">
        <v>1</v>
      </c>
      <c r="N1124">
        <v>4250</v>
      </c>
      <c r="O1124">
        <v>72</v>
      </c>
      <c r="P1124">
        <v>5018</v>
      </c>
      <c r="Q1124">
        <v>0</v>
      </c>
      <c r="R1124">
        <v>85055583995</v>
      </c>
      <c r="S1124">
        <v>169679775.41999999</v>
      </c>
      <c r="T1124">
        <v>83934030517.729996</v>
      </c>
      <c r="U1124">
        <v>84537340275.679993</v>
      </c>
      <c r="V1124">
        <v>0.126329</v>
      </c>
      <c r="W1124">
        <v>4.8083000000000001E-2</v>
      </c>
      <c r="Y1124" t="s">
        <v>0</v>
      </c>
      <c r="Z1124">
        <v>3250</v>
      </c>
      <c r="AA1124">
        <v>96</v>
      </c>
      <c r="AB1124">
        <v>828</v>
      </c>
      <c r="AC1124">
        <v>0</v>
      </c>
      <c r="AD1124">
        <v>11853510025</v>
      </c>
      <c r="AE1124">
        <v>30484827.73</v>
      </c>
      <c r="AF1124">
        <v>11777137878</v>
      </c>
      <c r="AG1124">
        <v>11801737264.76</v>
      </c>
      <c r="AH1124">
        <v>4.5477999999999998E-2</v>
      </c>
      <c r="AI1124">
        <v>2.1339E-2</v>
      </c>
    </row>
    <row r="1125" spans="1:35" x14ac:dyDescent="0.35">
      <c r="A1125" t="s">
        <v>0</v>
      </c>
      <c r="B1125">
        <v>5250</v>
      </c>
      <c r="C1125">
        <v>108</v>
      </c>
      <c r="D1125">
        <v>3743</v>
      </c>
      <c r="E1125">
        <v>0</v>
      </c>
      <c r="F1125">
        <v>40893269356</v>
      </c>
      <c r="G1125">
        <v>85985285.859999999</v>
      </c>
      <c r="H1125">
        <v>40503704454.449997</v>
      </c>
      <c r="I1125">
        <v>40743064343.190002</v>
      </c>
      <c r="J1125">
        <v>8.5536000000000001E-2</v>
      </c>
      <c r="K1125">
        <v>1.8683000000000002E-2</v>
      </c>
      <c r="M1125" t="s">
        <v>1</v>
      </c>
      <c r="N1125">
        <v>4750</v>
      </c>
      <c r="O1125">
        <v>72</v>
      </c>
      <c r="P1125">
        <v>1166</v>
      </c>
      <c r="Q1125">
        <v>0</v>
      </c>
      <c r="R1125">
        <v>18156532009</v>
      </c>
      <c r="S1125">
        <v>33468189.73</v>
      </c>
      <c r="T1125">
        <v>17923485972.68</v>
      </c>
      <c r="U1125">
        <v>18054204386.66</v>
      </c>
      <c r="V1125">
        <v>0.12421500000000001</v>
      </c>
      <c r="W1125">
        <v>4.4573000000000002E-2</v>
      </c>
      <c r="Y1125" t="s">
        <v>3</v>
      </c>
      <c r="Z1125">
        <v>6250</v>
      </c>
      <c r="AA1125">
        <v>12</v>
      </c>
      <c r="AB1125">
        <v>62</v>
      </c>
      <c r="AC1125">
        <v>0</v>
      </c>
      <c r="AD1125">
        <v>1803022028</v>
      </c>
      <c r="AE1125">
        <v>1851088.34</v>
      </c>
      <c r="AF1125">
        <v>1800874065</v>
      </c>
      <c r="AG1125">
        <v>1800874065</v>
      </c>
      <c r="AH1125">
        <v>1.9740000000000001E-3</v>
      </c>
      <c r="AI1125">
        <v>1.9740000000000001E-3</v>
      </c>
    </row>
    <row r="1126" spans="1:35" x14ac:dyDescent="0.35">
      <c r="A1126" t="s">
        <v>2</v>
      </c>
      <c r="B1126">
        <v>4500</v>
      </c>
      <c r="C1126">
        <v>240</v>
      </c>
      <c r="D1126">
        <v>7</v>
      </c>
      <c r="E1126">
        <v>0</v>
      </c>
      <c r="F1126">
        <v>40392476</v>
      </c>
      <c r="G1126">
        <v>235193.98</v>
      </c>
      <c r="H1126">
        <v>40042175.950000003</v>
      </c>
      <c r="I1126">
        <v>40157272.609999999</v>
      </c>
      <c r="J1126">
        <v>3.3665E-2</v>
      </c>
      <c r="K1126">
        <v>3.0000000000000001E-6</v>
      </c>
      <c r="M1126" t="s">
        <v>0</v>
      </c>
      <c r="N1126">
        <v>5250</v>
      </c>
      <c r="O1126">
        <v>108</v>
      </c>
      <c r="P1126">
        <v>2597</v>
      </c>
      <c r="Q1126">
        <v>0</v>
      </c>
      <c r="R1126">
        <v>27185680963</v>
      </c>
      <c r="S1126">
        <v>56800111.020000003</v>
      </c>
      <c r="T1126">
        <v>26916897084.419998</v>
      </c>
      <c r="U1126">
        <v>27090642623.619999</v>
      </c>
      <c r="V1126">
        <v>8.9661000000000005E-2</v>
      </c>
      <c r="W1126">
        <v>1.6749E-2</v>
      </c>
      <c r="Y1126" t="s">
        <v>3</v>
      </c>
      <c r="Z1126">
        <v>6250</v>
      </c>
      <c r="AA1126">
        <v>14</v>
      </c>
      <c r="AB1126">
        <v>64</v>
      </c>
      <c r="AC1126">
        <v>0</v>
      </c>
      <c r="AD1126">
        <v>1673146909</v>
      </c>
      <c r="AE1126">
        <v>1748836.33</v>
      </c>
      <c r="AF1126">
        <v>1662619530</v>
      </c>
      <c r="AG1126">
        <v>1671069096.0799999</v>
      </c>
      <c r="AH1126">
        <v>6.1175E-2</v>
      </c>
      <c r="AI1126">
        <v>2.3570000000000002E-3</v>
      </c>
    </row>
    <row r="1127" spans="1:35" x14ac:dyDescent="0.35">
      <c r="A1127" t="s">
        <v>0</v>
      </c>
      <c r="B1127">
        <v>4250</v>
      </c>
      <c r="C1127">
        <v>240</v>
      </c>
      <c r="D1127">
        <v>4</v>
      </c>
      <c r="E1127">
        <v>0</v>
      </c>
      <c r="F1127">
        <v>22285624</v>
      </c>
      <c r="G1127">
        <v>141495.09</v>
      </c>
      <c r="H1127">
        <v>22093465.449999999</v>
      </c>
      <c r="I1127">
        <v>22144110.02</v>
      </c>
      <c r="J1127">
        <v>2.6942000000000001E-2</v>
      </c>
      <c r="K1127">
        <v>1.0000000000000001E-5</v>
      </c>
      <c r="M1127" t="s">
        <v>1</v>
      </c>
      <c r="N1127">
        <v>4750</v>
      </c>
      <c r="O1127">
        <v>108</v>
      </c>
      <c r="P1127">
        <v>1808</v>
      </c>
      <c r="Q1127">
        <v>0</v>
      </c>
      <c r="R1127">
        <v>23380300252</v>
      </c>
      <c r="S1127">
        <v>52377126.590000004</v>
      </c>
      <c r="T1127">
        <v>23095670524.830002</v>
      </c>
      <c r="U1127">
        <v>23274449876.560001</v>
      </c>
      <c r="V1127">
        <v>0.112902</v>
      </c>
      <c r="W1127">
        <v>2.7102999999999999E-2</v>
      </c>
      <c r="Y1127" t="s">
        <v>3</v>
      </c>
      <c r="Z1127">
        <v>6750</v>
      </c>
      <c r="AA1127">
        <v>12</v>
      </c>
      <c r="AB1127">
        <v>34</v>
      </c>
      <c r="AC1127">
        <v>0</v>
      </c>
      <c r="AD1127">
        <v>990386461</v>
      </c>
      <c r="AE1127">
        <v>934584.78</v>
      </c>
      <c r="AF1127">
        <v>989312592</v>
      </c>
      <c r="AG1127">
        <v>989312592</v>
      </c>
      <c r="AH1127">
        <v>1.686E-3</v>
      </c>
      <c r="AI1127">
        <v>1.686E-3</v>
      </c>
    </row>
    <row r="1128" spans="1:35" x14ac:dyDescent="0.35">
      <c r="A1128" t="s">
        <v>2</v>
      </c>
      <c r="B1128">
        <v>4250</v>
      </c>
      <c r="C1128">
        <v>320</v>
      </c>
      <c r="D1128">
        <v>1</v>
      </c>
      <c r="E1128">
        <v>0</v>
      </c>
      <c r="F1128">
        <v>4302943</v>
      </c>
      <c r="G1128">
        <v>31368.89</v>
      </c>
      <c r="H1128">
        <v>4264962.72</v>
      </c>
      <c r="I1128">
        <v>4271574.1100000003</v>
      </c>
      <c r="J1128">
        <v>1.8283000000000001E-2</v>
      </c>
      <c r="K1128">
        <v>0</v>
      </c>
      <c r="M1128" t="s">
        <v>2</v>
      </c>
      <c r="N1128">
        <v>4500</v>
      </c>
      <c r="O1128">
        <v>240</v>
      </c>
      <c r="P1128">
        <v>6</v>
      </c>
      <c r="Q1128">
        <v>0</v>
      </c>
      <c r="R1128">
        <v>35665847</v>
      </c>
      <c r="S1128">
        <v>203881.7</v>
      </c>
      <c r="T1128">
        <v>35367220.479999997</v>
      </c>
      <c r="U1128">
        <v>35461956.829999998</v>
      </c>
      <c r="V1128">
        <v>3.1415999999999999E-2</v>
      </c>
      <c r="W1128">
        <v>3.0000000000000001E-6</v>
      </c>
      <c r="Y1128" t="s">
        <v>3</v>
      </c>
      <c r="Z1128">
        <v>6250</v>
      </c>
      <c r="AA1128">
        <v>10</v>
      </c>
      <c r="AB1128">
        <v>19</v>
      </c>
      <c r="AC1128">
        <v>0</v>
      </c>
      <c r="AD1128">
        <v>515360705</v>
      </c>
      <c r="AE1128">
        <v>525119.53</v>
      </c>
      <c r="AF1128">
        <v>514756338</v>
      </c>
      <c r="AG1128">
        <v>514756338</v>
      </c>
      <c r="AH1128">
        <v>1.8439999999999999E-3</v>
      </c>
      <c r="AI1128">
        <v>1.8439999999999999E-3</v>
      </c>
    </row>
    <row r="1129" spans="1:35" x14ac:dyDescent="0.35">
      <c r="A1129" t="s">
        <v>0</v>
      </c>
      <c r="B1129">
        <v>3250</v>
      </c>
      <c r="C1129">
        <v>96</v>
      </c>
      <c r="D1129">
        <v>649</v>
      </c>
      <c r="E1129">
        <v>0</v>
      </c>
      <c r="F1129">
        <v>8914603512</v>
      </c>
      <c r="G1129">
        <v>22944175.59</v>
      </c>
      <c r="H1129">
        <v>8850144809.8600006</v>
      </c>
      <c r="I1129">
        <v>8886877666.7199993</v>
      </c>
      <c r="J1129">
        <v>5.4474000000000002E-2</v>
      </c>
      <c r="K1129">
        <v>6.4180000000000001E-3</v>
      </c>
      <c r="M1129" t="s">
        <v>0</v>
      </c>
      <c r="N1129">
        <v>4250</v>
      </c>
      <c r="O1129">
        <v>240</v>
      </c>
      <c r="P1129">
        <v>5</v>
      </c>
      <c r="Q1129">
        <v>0</v>
      </c>
      <c r="R1129">
        <v>29552444</v>
      </c>
      <c r="S1129">
        <v>185838.45</v>
      </c>
      <c r="T1129">
        <v>29305499.800000001</v>
      </c>
      <c r="U1129">
        <v>29366597.41</v>
      </c>
      <c r="V1129">
        <v>2.4532000000000002E-2</v>
      </c>
      <c r="W1129">
        <v>3.0000000000000001E-6</v>
      </c>
      <c r="Y1129" t="s">
        <v>3</v>
      </c>
      <c r="Z1129">
        <v>5750</v>
      </c>
      <c r="AA1129">
        <v>10</v>
      </c>
      <c r="AB1129">
        <v>7</v>
      </c>
      <c r="AC1129">
        <v>0</v>
      </c>
      <c r="AD1129">
        <v>165562020</v>
      </c>
      <c r="AE1129">
        <v>183493.35</v>
      </c>
      <c r="AF1129">
        <v>165364550</v>
      </c>
      <c r="AG1129">
        <v>165364550</v>
      </c>
      <c r="AH1129">
        <v>1.013E-3</v>
      </c>
      <c r="AI1129">
        <v>1.013E-3</v>
      </c>
    </row>
    <row r="1130" spans="1:35" x14ac:dyDescent="0.35">
      <c r="A1130" t="s">
        <v>3</v>
      </c>
      <c r="B1130">
        <v>6250</v>
      </c>
      <c r="C1130">
        <v>14</v>
      </c>
      <c r="D1130">
        <v>61</v>
      </c>
      <c r="E1130">
        <v>0</v>
      </c>
      <c r="F1130">
        <v>1636869824</v>
      </c>
      <c r="G1130">
        <v>1706492.91</v>
      </c>
      <c r="H1130">
        <v>1626708049.9100001</v>
      </c>
      <c r="I1130">
        <v>1635163320.02</v>
      </c>
      <c r="J1130">
        <v>6.0255000000000003E-2</v>
      </c>
      <c r="K1130">
        <v>0</v>
      </c>
      <c r="M1130" t="s">
        <v>2</v>
      </c>
      <c r="N1130">
        <v>4250</v>
      </c>
      <c r="O1130">
        <v>320</v>
      </c>
      <c r="P1130">
        <v>1</v>
      </c>
      <c r="Q1130">
        <v>0</v>
      </c>
      <c r="R1130">
        <v>4400061</v>
      </c>
      <c r="S1130">
        <v>31063.88</v>
      </c>
      <c r="T1130">
        <v>4367135.75</v>
      </c>
      <c r="U1130">
        <v>4368997.09</v>
      </c>
      <c r="V1130">
        <v>5.0650000000000001E-3</v>
      </c>
      <c r="W1130">
        <v>0</v>
      </c>
      <c r="Y1130" t="s">
        <v>3</v>
      </c>
      <c r="Z1130">
        <v>6750</v>
      </c>
      <c r="AA1130">
        <v>9</v>
      </c>
      <c r="AB1130">
        <v>41</v>
      </c>
      <c r="AC1130">
        <v>0</v>
      </c>
      <c r="AD1130">
        <v>1299758615</v>
      </c>
      <c r="AE1130">
        <v>1200904.3799999999</v>
      </c>
      <c r="AF1130">
        <v>1298388749</v>
      </c>
      <c r="AG1130">
        <v>1298388749</v>
      </c>
      <c r="AH1130">
        <v>1.5590000000000001E-3</v>
      </c>
      <c r="AI1130">
        <v>1.5590000000000001E-3</v>
      </c>
    </row>
    <row r="1131" spans="1:35" x14ac:dyDescent="0.35">
      <c r="A1131" t="s">
        <v>3</v>
      </c>
      <c r="B1131">
        <v>6250</v>
      </c>
      <c r="C1131">
        <v>12</v>
      </c>
      <c r="D1131">
        <v>49</v>
      </c>
      <c r="E1131">
        <v>0</v>
      </c>
      <c r="F1131">
        <v>1412257665</v>
      </c>
      <c r="G1131">
        <v>1450974.22</v>
      </c>
      <c r="H1131">
        <v>1406872689.4300001</v>
      </c>
      <c r="I1131">
        <v>1410806659.51</v>
      </c>
      <c r="J1131">
        <v>3.2919999999999998E-2</v>
      </c>
      <c r="K1131">
        <v>0</v>
      </c>
      <c r="M1131" t="s">
        <v>0</v>
      </c>
      <c r="N1131">
        <v>3250</v>
      </c>
      <c r="O1131">
        <v>96</v>
      </c>
      <c r="P1131">
        <v>1387</v>
      </c>
      <c r="Q1131">
        <v>0</v>
      </c>
      <c r="R1131">
        <v>21073747780</v>
      </c>
      <c r="S1131">
        <v>54253699.109999999</v>
      </c>
      <c r="T1131">
        <v>20915655819.310001</v>
      </c>
      <c r="U1131">
        <v>21010869808.529999</v>
      </c>
      <c r="V1131">
        <v>5.7551999999999999E-2</v>
      </c>
      <c r="W1131">
        <v>4.8999999999999998E-3</v>
      </c>
      <c r="Y1131" t="s">
        <v>3</v>
      </c>
      <c r="Z1131">
        <v>6750</v>
      </c>
      <c r="AA1131">
        <v>8</v>
      </c>
      <c r="AB1131">
        <v>28</v>
      </c>
      <c r="AC1131">
        <v>0</v>
      </c>
      <c r="AD1131">
        <v>875628597</v>
      </c>
      <c r="AE1131">
        <v>802173.46</v>
      </c>
      <c r="AF1131">
        <v>874795105</v>
      </c>
      <c r="AG1131">
        <v>874795105</v>
      </c>
      <c r="AH1131">
        <v>4.2900000000000002E-4</v>
      </c>
      <c r="AI1131">
        <v>4.2900000000000002E-4</v>
      </c>
    </row>
    <row r="1132" spans="1:35" x14ac:dyDescent="0.35">
      <c r="A1132" t="s">
        <v>3</v>
      </c>
      <c r="B1132">
        <v>6750</v>
      </c>
      <c r="C1132">
        <v>14</v>
      </c>
      <c r="D1132">
        <v>30</v>
      </c>
      <c r="E1132">
        <v>0</v>
      </c>
      <c r="F1132">
        <v>885481618</v>
      </c>
      <c r="G1132">
        <v>841717.25</v>
      </c>
      <c r="H1132">
        <v>879769240.16999996</v>
      </c>
      <c r="I1132">
        <v>884639875.03999996</v>
      </c>
      <c r="J1132">
        <v>6.4046000000000006E-2</v>
      </c>
      <c r="K1132">
        <v>0</v>
      </c>
      <c r="M1132" t="s">
        <v>3</v>
      </c>
      <c r="N1132">
        <v>6250</v>
      </c>
      <c r="O1132">
        <v>10</v>
      </c>
      <c r="P1132">
        <v>32</v>
      </c>
      <c r="Q1132">
        <v>0</v>
      </c>
      <c r="R1132">
        <v>906377348</v>
      </c>
      <c r="S1132">
        <v>922982.19</v>
      </c>
      <c r="T1132">
        <v>903945227.60000002</v>
      </c>
      <c r="U1132">
        <v>905454306.21000004</v>
      </c>
      <c r="V1132">
        <v>1.9798E-2</v>
      </c>
      <c r="W1132">
        <v>9.9999999999999995E-7</v>
      </c>
      <c r="Y1132" t="s">
        <v>3</v>
      </c>
      <c r="Z1132">
        <v>6000</v>
      </c>
      <c r="AA1132">
        <v>7</v>
      </c>
      <c r="AB1132">
        <v>12</v>
      </c>
      <c r="AC1132">
        <v>0</v>
      </c>
      <c r="AD1132">
        <v>352469741</v>
      </c>
      <c r="AE1132">
        <v>370140.43</v>
      </c>
      <c r="AF1132">
        <v>352120472</v>
      </c>
      <c r="AG1132">
        <v>352120472</v>
      </c>
      <c r="AH1132">
        <v>-7.1100000000000004E-4</v>
      </c>
      <c r="AI1132">
        <v>-7.1100000000000004E-4</v>
      </c>
    </row>
    <row r="1133" spans="1:35" x14ac:dyDescent="0.35">
      <c r="A1133" t="s">
        <v>3</v>
      </c>
      <c r="B1133">
        <v>5750</v>
      </c>
      <c r="C1133">
        <v>12</v>
      </c>
      <c r="D1133">
        <v>19</v>
      </c>
      <c r="E1133">
        <v>0</v>
      </c>
      <c r="F1133">
        <v>515174346</v>
      </c>
      <c r="G1133">
        <v>581401.36</v>
      </c>
      <c r="H1133">
        <v>513236413.17000002</v>
      </c>
      <c r="I1133">
        <v>514592942.92000002</v>
      </c>
      <c r="J1133">
        <v>3.1144000000000002E-2</v>
      </c>
      <c r="K1133">
        <v>0</v>
      </c>
      <c r="M1133" t="s">
        <v>3</v>
      </c>
      <c r="N1133">
        <v>6250</v>
      </c>
      <c r="O1133">
        <v>12</v>
      </c>
      <c r="P1133">
        <v>64</v>
      </c>
      <c r="Q1133">
        <v>0</v>
      </c>
      <c r="R1133">
        <v>1677659815</v>
      </c>
      <c r="S1133">
        <v>1732038.78</v>
      </c>
      <c r="T1133">
        <v>1671224273.5</v>
      </c>
      <c r="U1133">
        <v>1675927743.53</v>
      </c>
      <c r="V1133">
        <v>3.3128999999999999E-2</v>
      </c>
      <c r="W1133">
        <v>0</v>
      </c>
      <c r="Y1133" t="s">
        <v>3</v>
      </c>
      <c r="Z1133">
        <v>6250</v>
      </c>
      <c r="AA1133">
        <v>6</v>
      </c>
      <c r="AB1133">
        <v>41</v>
      </c>
      <c r="AC1133">
        <v>0</v>
      </c>
      <c r="AD1133">
        <v>1289133492</v>
      </c>
      <c r="AE1133">
        <v>1276574.3899999999</v>
      </c>
      <c r="AF1133">
        <v>1286275573</v>
      </c>
      <c r="AG1133">
        <v>1286275573</v>
      </c>
      <c r="AH1133">
        <v>1.4621E-2</v>
      </c>
      <c r="AI1133">
        <v>1.4621E-2</v>
      </c>
    </row>
    <row r="1134" spans="1:35" x14ac:dyDescent="0.35">
      <c r="A1134" t="s">
        <v>3</v>
      </c>
      <c r="B1134">
        <v>6750</v>
      </c>
      <c r="C1134">
        <v>10</v>
      </c>
      <c r="D1134">
        <v>42</v>
      </c>
      <c r="E1134">
        <v>0</v>
      </c>
      <c r="F1134">
        <v>1316888749</v>
      </c>
      <c r="G1134">
        <v>1224841.92</v>
      </c>
      <c r="H1134">
        <v>1313265900.04</v>
      </c>
      <c r="I1134">
        <v>1315663900.28</v>
      </c>
      <c r="J1134">
        <v>2.1634E-2</v>
      </c>
      <c r="K1134">
        <v>0</v>
      </c>
      <c r="M1134" t="s">
        <v>3</v>
      </c>
      <c r="N1134">
        <v>6250</v>
      </c>
      <c r="O1134">
        <v>9</v>
      </c>
      <c r="P1134">
        <v>30</v>
      </c>
      <c r="Q1134">
        <v>0</v>
      </c>
      <c r="R1134">
        <v>900528057</v>
      </c>
      <c r="S1134">
        <v>909316.58</v>
      </c>
      <c r="T1134">
        <v>898106986.12</v>
      </c>
      <c r="U1134">
        <v>899618721.14999998</v>
      </c>
      <c r="V1134">
        <v>1.9959999999999999E-2</v>
      </c>
      <c r="W1134">
        <v>0</v>
      </c>
      <c r="Y1134" t="s">
        <v>3</v>
      </c>
      <c r="Z1134">
        <v>6250</v>
      </c>
      <c r="AA1134">
        <v>5</v>
      </c>
      <c r="AB1134">
        <v>246</v>
      </c>
      <c r="AC1134">
        <v>0</v>
      </c>
      <c r="AD1134">
        <v>7411500000</v>
      </c>
      <c r="AE1134">
        <v>7189320.3700000001</v>
      </c>
      <c r="AF1134">
        <v>7406054397</v>
      </c>
      <c r="AG1134">
        <v>7406054397</v>
      </c>
      <c r="AH1134">
        <v>-2.8270000000000001E-3</v>
      </c>
      <c r="AI1134">
        <v>-2.8270000000000001E-3</v>
      </c>
    </row>
    <row r="1135" spans="1:35" x14ac:dyDescent="0.35">
      <c r="A1135" t="s">
        <v>3</v>
      </c>
      <c r="B1135">
        <v>6750</v>
      </c>
      <c r="C1135">
        <v>9</v>
      </c>
      <c r="D1135">
        <v>28</v>
      </c>
      <c r="E1135">
        <v>0</v>
      </c>
      <c r="F1135">
        <v>874795105</v>
      </c>
      <c r="G1135">
        <v>806620.69</v>
      </c>
      <c r="H1135">
        <v>872533445.57000005</v>
      </c>
      <c r="I1135">
        <v>873988462.14999998</v>
      </c>
      <c r="J1135">
        <v>1.9778E-2</v>
      </c>
      <c r="K1135">
        <v>0</v>
      </c>
      <c r="M1135" t="s">
        <v>3</v>
      </c>
      <c r="N1135">
        <v>6750</v>
      </c>
      <c r="O1135">
        <v>10</v>
      </c>
      <c r="P1135">
        <v>19</v>
      </c>
      <c r="Q1135">
        <v>0</v>
      </c>
      <c r="R1135">
        <v>561197585</v>
      </c>
      <c r="S1135">
        <v>522533.86</v>
      </c>
      <c r="T1135">
        <v>559024811.98000002</v>
      </c>
      <c r="U1135">
        <v>560675029.12</v>
      </c>
      <c r="V1135">
        <v>3.4722000000000003E-2</v>
      </c>
      <c r="W1135">
        <v>0</v>
      </c>
      <c r="Y1135" t="s">
        <v>3</v>
      </c>
      <c r="Z1135">
        <v>6750</v>
      </c>
      <c r="AA1135">
        <v>5</v>
      </c>
      <c r="AB1135">
        <v>118</v>
      </c>
      <c r="AC1135">
        <v>0</v>
      </c>
      <c r="AD1135">
        <v>3527200000</v>
      </c>
      <c r="AE1135">
        <v>3148471.39</v>
      </c>
      <c r="AF1135">
        <v>3523190061</v>
      </c>
      <c r="AG1135">
        <v>3523190061</v>
      </c>
      <c r="AH1135">
        <v>2.9269999999999999E-3</v>
      </c>
      <c r="AI1135">
        <v>2.9269999999999999E-3</v>
      </c>
    </row>
    <row r="1136" spans="1:35" x14ac:dyDescent="0.35">
      <c r="A1136" t="s">
        <v>3</v>
      </c>
      <c r="B1136">
        <v>6000</v>
      </c>
      <c r="C1136">
        <v>8</v>
      </c>
      <c r="D1136">
        <v>12</v>
      </c>
      <c r="E1136">
        <v>0</v>
      </c>
      <c r="F1136">
        <v>352120472</v>
      </c>
      <c r="G1136">
        <v>371993.69</v>
      </c>
      <c r="H1136">
        <v>350748420.07999998</v>
      </c>
      <c r="I1136">
        <v>351748476.57999998</v>
      </c>
      <c r="J1136">
        <v>3.3554E-2</v>
      </c>
      <c r="K1136">
        <v>0</v>
      </c>
      <c r="M1136" t="s">
        <v>3</v>
      </c>
      <c r="N1136">
        <v>6250</v>
      </c>
      <c r="O1136">
        <v>8</v>
      </c>
      <c r="P1136">
        <v>19</v>
      </c>
      <c r="Q1136">
        <v>0</v>
      </c>
      <c r="R1136">
        <v>518346675</v>
      </c>
      <c r="S1136">
        <v>521672.82</v>
      </c>
      <c r="T1136">
        <v>517577957.92000002</v>
      </c>
      <c r="U1136">
        <v>517824986.36000001</v>
      </c>
      <c r="V1136">
        <v>5.7039999999999999E-3</v>
      </c>
      <c r="W1136">
        <v>0</v>
      </c>
      <c r="Y1136" t="s">
        <v>3</v>
      </c>
      <c r="Z1136">
        <v>6500</v>
      </c>
      <c r="AA1136">
        <v>5</v>
      </c>
      <c r="AB1136">
        <v>169</v>
      </c>
      <c r="AC1136">
        <v>0</v>
      </c>
      <c r="AD1136">
        <v>4794900000</v>
      </c>
      <c r="AE1136">
        <v>4471686.6900000004</v>
      </c>
      <c r="AF1136">
        <v>4783168672</v>
      </c>
      <c r="AG1136">
        <v>4791460936.54</v>
      </c>
      <c r="AH1136">
        <v>1.8017999999999999E-2</v>
      </c>
      <c r="AI1136">
        <v>-2.5869999999999999E-3</v>
      </c>
    </row>
    <row r="1137" spans="1:35" x14ac:dyDescent="0.35">
      <c r="A1137" t="s">
        <v>3</v>
      </c>
      <c r="B1137">
        <v>6250</v>
      </c>
      <c r="C1137">
        <v>7</v>
      </c>
      <c r="D1137">
        <v>41</v>
      </c>
      <c r="E1137">
        <v>0</v>
      </c>
      <c r="F1137">
        <v>1286275573</v>
      </c>
      <c r="G1137">
        <v>1281618.5900000001</v>
      </c>
      <c r="H1137">
        <v>1281779633.23</v>
      </c>
      <c r="I1137">
        <v>1284993950.74</v>
      </c>
      <c r="J1137">
        <v>2.9579000000000001E-2</v>
      </c>
      <c r="K1137">
        <v>0</v>
      </c>
      <c r="M1137" t="s">
        <v>3</v>
      </c>
      <c r="N1137">
        <v>5750</v>
      </c>
      <c r="O1137">
        <v>8</v>
      </c>
      <c r="P1137">
        <v>7</v>
      </c>
      <c r="Q1137">
        <v>0</v>
      </c>
      <c r="R1137">
        <v>166196811</v>
      </c>
      <c r="S1137">
        <v>182045.26</v>
      </c>
      <c r="T1137">
        <v>165975219.25</v>
      </c>
      <c r="U1137">
        <v>166014759.56</v>
      </c>
      <c r="V1137">
        <v>2.8519999999999999E-3</v>
      </c>
      <c r="W1137">
        <v>0</v>
      </c>
      <c r="Y1137" t="s">
        <v>3</v>
      </c>
      <c r="Z1137">
        <v>3250</v>
      </c>
      <c r="AA1137">
        <v>168</v>
      </c>
      <c r="AB1137">
        <v>490</v>
      </c>
      <c r="AC1137">
        <v>0</v>
      </c>
      <c r="AD1137">
        <v>6149345016</v>
      </c>
      <c r="AE1137">
        <v>22387565.579999998</v>
      </c>
      <c r="AF1137">
        <v>6111447299</v>
      </c>
      <c r="AG1137">
        <v>6121275543.1300001</v>
      </c>
      <c r="AH1137">
        <v>2.9850999999999999E-2</v>
      </c>
      <c r="AI1137">
        <v>1.1032E-2</v>
      </c>
    </row>
    <row r="1138" spans="1:35" x14ac:dyDescent="0.35">
      <c r="A1138" t="s">
        <v>3</v>
      </c>
      <c r="B1138">
        <v>6250</v>
      </c>
      <c r="C1138">
        <v>6</v>
      </c>
      <c r="D1138">
        <v>41</v>
      </c>
      <c r="E1138">
        <v>0</v>
      </c>
      <c r="F1138">
        <v>1230154397</v>
      </c>
      <c r="G1138">
        <v>1217260.56</v>
      </c>
      <c r="H1138">
        <v>1228661040.97</v>
      </c>
      <c r="I1138">
        <v>1228937130.9000001</v>
      </c>
      <c r="J1138">
        <v>2.6900000000000001E-3</v>
      </c>
      <c r="K1138">
        <v>0</v>
      </c>
      <c r="M1138" t="s">
        <v>3</v>
      </c>
      <c r="N1138">
        <v>6750</v>
      </c>
      <c r="O1138">
        <v>7</v>
      </c>
      <c r="P1138">
        <v>41</v>
      </c>
      <c r="Q1138">
        <v>0</v>
      </c>
      <c r="R1138">
        <v>1306041688</v>
      </c>
      <c r="S1138">
        <v>1191223.71</v>
      </c>
      <c r="T1138">
        <v>1304470368.0599999</v>
      </c>
      <c r="U1138">
        <v>1304850434.6600001</v>
      </c>
      <c r="V1138">
        <v>3.4870000000000001E-3</v>
      </c>
      <c r="W1138">
        <v>0</v>
      </c>
      <c r="Y1138" t="s">
        <v>1</v>
      </c>
      <c r="Z1138">
        <v>3250</v>
      </c>
      <c r="AA1138">
        <v>54</v>
      </c>
      <c r="AB1138">
        <v>35443</v>
      </c>
      <c r="AC1138">
        <v>0</v>
      </c>
      <c r="AD1138">
        <v>952564736749</v>
      </c>
      <c r="AE1138">
        <v>2003019899.7</v>
      </c>
      <c r="AF1138">
        <v>944588542756</v>
      </c>
      <c r="AG1138">
        <v>948595086962.31995</v>
      </c>
      <c r="AH1138">
        <v>7.2706000000000007E-2</v>
      </c>
      <c r="AI1138">
        <v>2.4494999999999999E-2</v>
      </c>
    </row>
    <row r="1139" spans="1:35" x14ac:dyDescent="0.35">
      <c r="A1139" t="s">
        <v>3</v>
      </c>
      <c r="B1139">
        <v>6750</v>
      </c>
      <c r="C1139">
        <v>5</v>
      </c>
      <c r="D1139">
        <v>84</v>
      </c>
      <c r="E1139">
        <v>0</v>
      </c>
      <c r="F1139">
        <v>2422400000</v>
      </c>
      <c r="G1139">
        <v>2167229.61</v>
      </c>
      <c r="H1139">
        <v>2419904311.5300002</v>
      </c>
      <c r="I1139">
        <v>2420204783.7399998</v>
      </c>
      <c r="J1139">
        <v>1.6260000000000001E-3</v>
      </c>
      <c r="K1139">
        <v>1.3899999999999999E-4</v>
      </c>
      <c r="M1139" t="s">
        <v>3</v>
      </c>
      <c r="N1139">
        <v>6750</v>
      </c>
      <c r="O1139">
        <v>6</v>
      </c>
      <c r="P1139">
        <v>28</v>
      </c>
      <c r="Q1139">
        <v>0</v>
      </c>
      <c r="R1139">
        <v>878750167</v>
      </c>
      <c r="S1139">
        <v>794685.89</v>
      </c>
      <c r="T1139">
        <v>877410178.26999998</v>
      </c>
      <c r="U1139">
        <v>877955225.96000004</v>
      </c>
      <c r="V1139">
        <v>7.4209999999999996E-3</v>
      </c>
      <c r="W1139">
        <v>3.0000000000000001E-6</v>
      </c>
      <c r="Y1139" t="s">
        <v>1</v>
      </c>
      <c r="Z1139">
        <v>4750</v>
      </c>
      <c r="AA1139">
        <v>72</v>
      </c>
      <c r="AB1139">
        <v>912</v>
      </c>
      <c r="AC1139">
        <v>0</v>
      </c>
      <c r="AD1139">
        <v>14110290248</v>
      </c>
      <c r="AE1139">
        <v>26023390.899999999</v>
      </c>
      <c r="AF1139">
        <v>13985209560</v>
      </c>
      <c r="AG1139">
        <v>14082939295.4</v>
      </c>
      <c r="AH1139">
        <v>8.1064999999999998E-2</v>
      </c>
      <c r="AI1139">
        <v>1.1280000000000001E-3</v>
      </c>
    </row>
    <row r="1140" spans="1:35" x14ac:dyDescent="0.35">
      <c r="A1140" t="s">
        <v>3</v>
      </c>
      <c r="B1140">
        <v>6500</v>
      </c>
      <c r="C1140">
        <v>6</v>
      </c>
      <c r="D1140">
        <v>46</v>
      </c>
      <c r="E1140">
        <v>0</v>
      </c>
      <c r="F1140">
        <v>1287068672</v>
      </c>
      <c r="G1140">
        <v>1217933.6399999999</v>
      </c>
      <c r="H1140">
        <v>1285484716.98</v>
      </c>
      <c r="I1140">
        <v>1285850732.1700001</v>
      </c>
      <c r="J1140">
        <v>3.4069999999999999E-3</v>
      </c>
      <c r="K1140">
        <v>0</v>
      </c>
      <c r="M1140" t="s">
        <v>3</v>
      </c>
      <c r="N1140">
        <v>6000</v>
      </c>
      <c r="O1140">
        <v>5</v>
      </c>
      <c r="P1140">
        <v>62</v>
      </c>
      <c r="Q1140">
        <v>0</v>
      </c>
      <c r="R1140">
        <v>1782300000</v>
      </c>
      <c r="S1140">
        <v>1824735.47</v>
      </c>
      <c r="T1140">
        <v>1780354383.3</v>
      </c>
      <c r="U1140">
        <v>1780451066.02</v>
      </c>
      <c r="V1140">
        <v>8.1400000000000005E-4</v>
      </c>
      <c r="W1140">
        <v>1.63E-4</v>
      </c>
      <c r="Y1140" t="s">
        <v>1</v>
      </c>
      <c r="Z1140">
        <v>3750</v>
      </c>
      <c r="AA1140">
        <v>60</v>
      </c>
      <c r="AB1140">
        <v>2691</v>
      </c>
      <c r="AC1140">
        <v>0</v>
      </c>
      <c r="AD1140">
        <v>58574967739</v>
      </c>
      <c r="AE1140">
        <v>117438686.45</v>
      </c>
      <c r="AF1140">
        <v>58099417083</v>
      </c>
      <c r="AG1140">
        <v>58334730915.580002</v>
      </c>
      <c r="AH1140">
        <v>7.0947999999999997E-2</v>
      </c>
      <c r="AI1140">
        <v>2.4868999999999999E-2</v>
      </c>
    </row>
    <row r="1141" spans="1:35" x14ac:dyDescent="0.35">
      <c r="A1141" t="s">
        <v>3</v>
      </c>
      <c r="B1141">
        <v>6250</v>
      </c>
      <c r="C1141">
        <v>5</v>
      </c>
      <c r="D1141">
        <v>205</v>
      </c>
      <c r="E1141">
        <v>0</v>
      </c>
      <c r="F1141">
        <v>6175900000</v>
      </c>
      <c r="G1141">
        <v>6001986.4299999997</v>
      </c>
      <c r="H1141">
        <v>6168873515.2399998</v>
      </c>
      <c r="I1141">
        <v>6169648360.4700003</v>
      </c>
      <c r="J1141">
        <v>1.9889999999999999E-3</v>
      </c>
      <c r="K1141">
        <v>4.8500000000000003E-4</v>
      </c>
      <c r="M1141" t="s">
        <v>3</v>
      </c>
      <c r="N1141">
        <v>6250</v>
      </c>
      <c r="O1141">
        <v>5</v>
      </c>
      <c r="P1141">
        <v>246</v>
      </c>
      <c r="Q1141">
        <v>0</v>
      </c>
      <c r="R1141">
        <v>7526200000</v>
      </c>
      <c r="S1141">
        <v>7292959.1699999999</v>
      </c>
      <c r="T1141">
        <v>7518522005.8199997</v>
      </c>
      <c r="U1141">
        <v>7518895179.6499996</v>
      </c>
      <c r="V1141">
        <v>6.1399999999999996E-4</v>
      </c>
      <c r="W1141">
        <v>1.9000000000000001E-5</v>
      </c>
      <c r="Y1141" t="s">
        <v>1</v>
      </c>
      <c r="Z1141">
        <v>4250</v>
      </c>
      <c r="AA1141">
        <v>60</v>
      </c>
      <c r="AB1141">
        <v>582</v>
      </c>
      <c r="AC1141">
        <v>0</v>
      </c>
      <c r="AD1141">
        <v>11945647291</v>
      </c>
      <c r="AE1141">
        <v>22375547.870000001</v>
      </c>
      <c r="AF1141">
        <v>11680916700</v>
      </c>
      <c r="AG1141">
        <v>11808734240.360001</v>
      </c>
      <c r="AH1141">
        <v>0.21804799999999999</v>
      </c>
      <c r="AI1141">
        <v>0.109181</v>
      </c>
    </row>
    <row r="1142" spans="1:35" x14ac:dyDescent="0.35">
      <c r="A1142" t="s">
        <v>3</v>
      </c>
      <c r="B1142">
        <v>6750</v>
      </c>
      <c r="C1142">
        <v>6</v>
      </c>
      <c r="D1142">
        <v>34</v>
      </c>
      <c r="E1142">
        <v>0</v>
      </c>
      <c r="F1142">
        <v>1100790061</v>
      </c>
      <c r="G1142">
        <v>996508.95</v>
      </c>
      <c r="H1142">
        <v>1099528704.9200001</v>
      </c>
      <c r="I1142">
        <v>1099793534.01</v>
      </c>
      <c r="J1142">
        <v>2.8830000000000001E-3</v>
      </c>
      <c r="K1142">
        <v>0</v>
      </c>
      <c r="M1142" t="s">
        <v>3</v>
      </c>
      <c r="N1142">
        <v>6750</v>
      </c>
      <c r="O1142">
        <v>5</v>
      </c>
      <c r="P1142">
        <v>164</v>
      </c>
      <c r="Q1142">
        <v>0</v>
      </c>
      <c r="R1142">
        <v>4847400000</v>
      </c>
      <c r="S1142">
        <v>4301758.6500000004</v>
      </c>
      <c r="T1142">
        <v>4841007545.1099997</v>
      </c>
      <c r="U1142">
        <v>4841285420.1800003</v>
      </c>
      <c r="V1142">
        <v>5.1630000000000001E-3</v>
      </c>
      <c r="W1142">
        <v>4.4790000000000003E-3</v>
      </c>
      <c r="Y1142" t="s">
        <v>1</v>
      </c>
      <c r="Z1142">
        <v>4000</v>
      </c>
      <c r="AA1142">
        <v>60</v>
      </c>
      <c r="AB1142">
        <v>906</v>
      </c>
      <c r="AC1142">
        <v>0</v>
      </c>
      <c r="AD1142">
        <v>19040824184</v>
      </c>
      <c r="AE1142">
        <v>37128261.799999997</v>
      </c>
      <c r="AF1142">
        <v>18846260332</v>
      </c>
      <c r="AG1142">
        <v>18960255684.07</v>
      </c>
      <c r="AH1142">
        <v>9.4829999999999998E-2</v>
      </c>
      <c r="AI1142">
        <v>2.7036000000000001E-2</v>
      </c>
    </row>
    <row r="1143" spans="1:35" x14ac:dyDescent="0.35">
      <c r="A1143" t="s">
        <v>3</v>
      </c>
      <c r="B1143">
        <v>3250</v>
      </c>
      <c r="C1143">
        <v>168</v>
      </c>
      <c r="D1143">
        <v>489</v>
      </c>
      <c r="E1143">
        <v>0</v>
      </c>
      <c r="F1143">
        <v>6123096607</v>
      </c>
      <c r="G1143">
        <v>22431653.550000001</v>
      </c>
      <c r="H1143">
        <v>6084519084.5299997</v>
      </c>
      <c r="I1143">
        <v>6100386504.5</v>
      </c>
      <c r="J1143">
        <v>3.1188E-2</v>
      </c>
      <c r="K1143">
        <v>5.4600000000000004E-4</v>
      </c>
      <c r="M1143" t="s">
        <v>3</v>
      </c>
      <c r="N1143">
        <v>6500</v>
      </c>
      <c r="O1143">
        <v>5</v>
      </c>
      <c r="P1143">
        <v>203</v>
      </c>
      <c r="Q1143">
        <v>0</v>
      </c>
      <c r="R1143">
        <v>5899300000</v>
      </c>
      <c r="S1143">
        <v>5490653.1399999997</v>
      </c>
      <c r="T1143">
        <v>5893356599.9499998</v>
      </c>
      <c r="U1143">
        <v>5893753173.3299999</v>
      </c>
      <c r="V1143">
        <v>9.2100000000000005E-4</v>
      </c>
      <c r="W1143">
        <v>1.1400000000000001E-4</v>
      </c>
      <c r="Y1143" t="s">
        <v>3</v>
      </c>
      <c r="Z1143">
        <v>4250</v>
      </c>
      <c r="AA1143">
        <v>144</v>
      </c>
      <c r="AB1143">
        <v>993</v>
      </c>
      <c r="AC1143">
        <v>0</v>
      </c>
      <c r="AD1143">
        <v>10490602111</v>
      </c>
      <c r="AE1143">
        <v>30310897.609999999</v>
      </c>
      <c r="AF1143">
        <v>10422979388</v>
      </c>
      <c r="AG1143">
        <v>10454110936.91</v>
      </c>
      <c r="AH1143">
        <v>4.1855000000000003E-2</v>
      </c>
      <c r="AI1143">
        <v>7.0470000000000003E-3</v>
      </c>
    </row>
    <row r="1144" spans="1:35" x14ac:dyDescent="0.35">
      <c r="A1144" t="s">
        <v>1</v>
      </c>
      <c r="B1144">
        <v>3250</v>
      </c>
      <c r="C1144">
        <v>54</v>
      </c>
      <c r="D1144">
        <v>35196</v>
      </c>
      <c r="E1144">
        <v>0</v>
      </c>
      <c r="F1144">
        <v>963713568341</v>
      </c>
      <c r="G1144">
        <v>2024645828.0999999</v>
      </c>
      <c r="H1144">
        <v>953558437526.70996</v>
      </c>
      <c r="I1144">
        <v>959309937908.76001</v>
      </c>
      <c r="J1144">
        <v>9.6671000000000007E-2</v>
      </c>
      <c r="K1144">
        <v>2.9224E-2</v>
      </c>
      <c r="M1144" t="s">
        <v>3</v>
      </c>
      <c r="N1144">
        <v>3250</v>
      </c>
      <c r="O1144">
        <v>168</v>
      </c>
      <c r="P1144">
        <v>491</v>
      </c>
      <c r="Q1144">
        <v>0</v>
      </c>
      <c r="R1144">
        <v>6200979380</v>
      </c>
      <c r="S1144">
        <v>22298536.43</v>
      </c>
      <c r="T1144">
        <v>6159049499.1999998</v>
      </c>
      <c r="U1144">
        <v>6178313227.6099997</v>
      </c>
      <c r="V1144">
        <v>3.7336000000000001E-2</v>
      </c>
      <c r="W1144">
        <v>7.1100000000000004E-4</v>
      </c>
      <c r="Y1144" t="s">
        <v>1</v>
      </c>
      <c r="Z1144">
        <v>5250</v>
      </c>
      <c r="AA1144">
        <v>144</v>
      </c>
      <c r="AB1144">
        <v>133</v>
      </c>
      <c r="AC1144">
        <v>0</v>
      </c>
      <c r="AD1144">
        <v>1163781130</v>
      </c>
      <c r="AE1144">
        <v>3063265.31</v>
      </c>
      <c r="AF1144">
        <v>1159742109</v>
      </c>
      <c r="AG1144">
        <v>1159742109</v>
      </c>
      <c r="AH1144">
        <v>1.0015E-2</v>
      </c>
      <c r="AI1144">
        <v>1.0015E-2</v>
      </c>
    </row>
    <row r="1145" spans="1:35" x14ac:dyDescent="0.35">
      <c r="A1145" t="s">
        <v>1</v>
      </c>
      <c r="B1145">
        <v>4750</v>
      </c>
      <c r="C1145">
        <v>72</v>
      </c>
      <c r="D1145">
        <v>804</v>
      </c>
      <c r="E1145">
        <v>0</v>
      </c>
      <c r="F1145">
        <v>12614488859</v>
      </c>
      <c r="G1145">
        <v>23312426.030000001</v>
      </c>
      <c r="H1145">
        <v>12456796511.68</v>
      </c>
      <c r="I1145">
        <v>12540418337.709999</v>
      </c>
      <c r="J1145">
        <v>0.120604</v>
      </c>
      <c r="K1145">
        <v>4.7231000000000002E-2</v>
      </c>
      <c r="M1145" t="s">
        <v>1</v>
      </c>
      <c r="N1145">
        <v>3250</v>
      </c>
      <c r="O1145">
        <v>54</v>
      </c>
      <c r="P1145">
        <v>38379</v>
      </c>
      <c r="Q1145">
        <v>0</v>
      </c>
      <c r="R1145">
        <v>993857599845</v>
      </c>
      <c r="S1145">
        <v>2096052967.28</v>
      </c>
      <c r="T1145">
        <v>983261845023.30005</v>
      </c>
      <c r="U1145">
        <v>989642206031.04004</v>
      </c>
      <c r="V1145">
        <v>9.7934999999999994E-2</v>
      </c>
      <c r="W1145">
        <v>2.5291000000000001E-2</v>
      </c>
      <c r="Y1145" t="s">
        <v>3</v>
      </c>
      <c r="Z1145">
        <v>5250</v>
      </c>
      <c r="AA1145">
        <v>144</v>
      </c>
      <c r="AB1145">
        <v>3</v>
      </c>
      <c r="AC1145">
        <v>0</v>
      </c>
      <c r="AD1145">
        <v>17987412</v>
      </c>
      <c r="AE1145">
        <v>50141.08</v>
      </c>
      <c r="AF1145">
        <v>17940813</v>
      </c>
      <c r="AG1145">
        <v>17940813</v>
      </c>
      <c r="AH1145">
        <v>-2.366E-3</v>
      </c>
      <c r="AI1145">
        <v>-2.366E-3</v>
      </c>
    </row>
    <row r="1146" spans="1:35" x14ac:dyDescent="0.35">
      <c r="A1146" t="s">
        <v>1</v>
      </c>
      <c r="B1146">
        <v>3750</v>
      </c>
      <c r="C1146">
        <v>60</v>
      </c>
      <c r="D1146">
        <v>3691</v>
      </c>
      <c r="E1146">
        <v>0</v>
      </c>
      <c r="F1146">
        <v>83083068471</v>
      </c>
      <c r="G1146">
        <v>166451450.86000001</v>
      </c>
      <c r="H1146">
        <v>82062609743.240005</v>
      </c>
      <c r="I1146">
        <v>82607476350.100006</v>
      </c>
      <c r="J1146">
        <v>0.116608</v>
      </c>
      <c r="K1146">
        <v>4.3748000000000002E-2</v>
      </c>
      <c r="M1146" t="s">
        <v>1</v>
      </c>
      <c r="N1146">
        <v>3750</v>
      </c>
      <c r="O1146">
        <v>60</v>
      </c>
      <c r="P1146">
        <v>2341</v>
      </c>
      <c r="Q1146">
        <v>0</v>
      </c>
      <c r="R1146">
        <v>46665082758</v>
      </c>
      <c r="S1146">
        <v>94781908.549999997</v>
      </c>
      <c r="T1146">
        <v>46157770419.529999</v>
      </c>
      <c r="U1146">
        <v>46472878583.870003</v>
      </c>
      <c r="V1146">
        <v>0.101074</v>
      </c>
      <c r="W1146">
        <v>2.4767000000000001E-2</v>
      </c>
      <c r="Y1146" t="s">
        <v>0</v>
      </c>
      <c r="Z1146">
        <v>5750</v>
      </c>
      <c r="AA1146">
        <v>84</v>
      </c>
      <c r="AB1146">
        <v>10830</v>
      </c>
      <c r="AC1146">
        <v>0</v>
      </c>
      <c r="AD1146">
        <v>140745360661</v>
      </c>
      <c r="AE1146">
        <v>242778769.56999999</v>
      </c>
      <c r="AF1146">
        <v>139899931883</v>
      </c>
      <c r="AG1146">
        <v>140332006796.35999</v>
      </c>
      <c r="AH1146">
        <v>5.0188999999999998E-2</v>
      </c>
      <c r="AI1146">
        <v>1.4447E-2</v>
      </c>
    </row>
    <row r="1147" spans="1:35" x14ac:dyDescent="0.35">
      <c r="A1147" t="s">
        <v>3</v>
      </c>
      <c r="B1147">
        <v>4250</v>
      </c>
      <c r="C1147">
        <v>144</v>
      </c>
      <c r="D1147">
        <v>1000</v>
      </c>
      <c r="E1147">
        <v>0</v>
      </c>
      <c r="F1147">
        <v>10399279698</v>
      </c>
      <c r="G1147">
        <v>30077633.030000001</v>
      </c>
      <c r="H1147">
        <v>10337664972.290001</v>
      </c>
      <c r="I1147">
        <v>10367078695.73</v>
      </c>
      <c r="J1147">
        <v>3.5791000000000003E-2</v>
      </c>
      <c r="K1147">
        <v>2.447E-3</v>
      </c>
      <c r="M1147" t="s">
        <v>1</v>
      </c>
      <c r="N1147">
        <v>4250</v>
      </c>
      <c r="O1147">
        <v>60</v>
      </c>
      <c r="P1147">
        <v>643</v>
      </c>
      <c r="Q1147">
        <v>0</v>
      </c>
      <c r="R1147">
        <v>12825205121</v>
      </c>
      <c r="S1147">
        <v>24072964.989999998</v>
      </c>
      <c r="T1147">
        <v>12648151743.440001</v>
      </c>
      <c r="U1147">
        <v>12739510311.09</v>
      </c>
      <c r="V1147">
        <v>0.13411000000000001</v>
      </c>
      <c r="W1147">
        <v>5.6156999999999999E-2</v>
      </c>
      <c r="Y1147" t="s">
        <v>2</v>
      </c>
      <c r="Z1147">
        <v>5250</v>
      </c>
      <c r="AA1147">
        <v>144</v>
      </c>
      <c r="AB1147">
        <v>10</v>
      </c>
      <c r="AC1147">
        <v>0</v>
      </c>
      <c r="AD1147">
        <v>57515155</v>
      </c>
      <c r="AE1147">
        <v>156023.57</v>
      </c>
      <c r="AF1147">
        <v>57364259</v>
      </c>
      <c r="AG1147">
        <v>57364259</v>
      </c>
      <c r="AH1147">
        <v>-1.07E-3</v>
      </c>
      <c r="AI1147">
        <v>-1.07E-3</v>
      </c>
    </row>
    <row r="1148" spans="1:35" x14ac:dyDescent="0.35">
      <c r="A1148" t="s">
        <v>1</v>
      </c>
      <c r="B1148">
        <v>5250</v>
      </c>
      <c r="C1148">
        <v>144</v>
      </c>
      <c r="D1148">
        <v>118</v>
      </c>
      <c r="E1148">
        <v>0</v>
      </c>
      <c r="F1148">
        <v>1027253138</v>
      </c>
      <c r="G1148">
        <v>2687358.74</v>
      </c>
      <c r="H1148">
        <v>1014175761.15</v>
      </c>
      <c r="I1148">
        <v>1022045361.8</v>
      </c>
      <c r="J1148">
        <v>0.114843</v>
      </c>
      <c r="K1148">
        <v>2.9048999999999998E-2</v>
      </c>
      <c r="M1148" t="s">
        <v>1</v>
      </c>
      <c r="N1148">
        <v>4000</v>
      </c>
      <c r="O1148">
        <v>60</v>
      </c>
      <c r="P1148">
        <v>721</v>
      </c>
      <c r="Q1148">
        <v>0</v>
      </c>
      <c r="R1148">
        <v>14439453438</v>
      </c>
      <c r="S1148">
        <v>28277351.059999999</v>
      </c>
      <c r="T1148">
        <v>14271619502.209999</v>
      </c>
      <c r="U1148">
        <v>14368606911.450001</v>
      </c>
      <c r="V1148">
        <v>0.110009</v>
      </c>
      <c r="W1148">
        <v>3.4809E-2</v>
      </c>
      <c r="Y1148" t="s">
        <v>0</v>
      </c>
      <c r="Z1148">
        <v>7500</v>
      </c>
      <c r="AA1148">
        <v>14</v>
      </c>
      <c r="AB1148">
        <v>991</v>
      </c>
      <c r="AC1148">
        <v>0</v>
      </c>
      <c r="AD1148">
        <v>24242785294</v>
      </c>
      <c r="AE1148">
        <v>20078287.100000001</v>
      </c>
      <c r="AF1148">
        <v>23825977706</v>
      </c>
      <c r="AG1148">
        <v>24004179184.91</v>
      </c>
      <c r="AH1148">
        <v>0.17963200000000001</v>
      </c>
      <c r="AI1148">
        <v>0.102965</v>
      </c>
    </row>
    <row r="1149" spans="1:35" x14ac:dyDescent="0.35">
      <c r="A1149" t="s">
        <v>3</v>
      </c>
      <c r="B1149">
        <v>5250</v>
      </c>
      <c r="C1149">
        <v>144</v>
      </c>
      <c r="D1149">
        <v>3</v>
      </c>
      <c r="E1149">
        <v>0</v>
      </c>
      <c r="F1149">
        <v>17940813</v>
      </c>
      <c r="G1149">
        <v>50364.72</v>
      </c>
      <c r="H1149">
        <v>17695269.640000001</v>
      </c>
      <c r="I1149">
        <v>17770697.859999999</v>
      </c>
      <c r="J1149">
        <v>0.123013</v>
      </c>
      <c r="K1149">
        <v>7.7220999999999998E-2</v>
      </c>
      <c r="M1149" t="s">
        <v>3</v>
      </c>
      <c r="N1149">
        <v>4250</v>
      </c>
      <c r="O1149">
        <v>144</v>
      </c>
      <c r="P1149">
        <v>954</v>
      </c>
      <c r="Q1149">
        <v>0</v>
      </c>
      <c r="R1149">
        <v>10465626747</v>
      </c>
      <c r="S1149">
        <v>30203564.75</v>
      </c>
      <c r="T1149">
        <v>10401174274.08</v>
      </c>
      <c r="U1149">
        <v>10434099367.190001</v>
      </c>
      <c r="V1149">
        <v>3.8571000000000001E-2</v>
      </c>
      <c r="W1149">
        <v>1.5169999999999999E-3</v>
      </c>
      <c r="Y1149" t="s">
        <v>0</v>
      </c>
      <c r="Z1149">
        <v>7750</v>
      </c>
      <c r="AA1149">
        <v>14</v>
      </c>
      <c r="AB1149">
        <v>1403</v>
      </c>
      <c r="AC1149">
        <v>0</v>
      </c>
      <c r="AD1149">
        <v>36784096903</v>
      </c>
      <c r="AE1149">
        <v>28838053.920000002</v>
      </c>
      <c r="AF1149">
        <v>36008824610</v>
      </c>
      <c r="AG1149">
        <v>36283334670.230003</v>
      </c>
      <c r="AH1149">
        <v>0.218087</v>
      </c>
      <c r="AI1149">
        <v>0.143543</v>
      </c>
    </row>
    <row r="1150" spans="1:35" x14ac:dyDescent="0.35">
      <c r="A1150" t="s">
        <v>0</v>
      </c>
      <c r="B1150">
        <v>5750</v>
      </c>
      <c r="C1150">
        <v>84</v>
      </c>
      <c r="D1150">
        <v>9272</v>
      </c>
      <c r="E1150">
        <v>0</v>
      </c>
      <c r="F1150">
        <v>120263443357</v>
      </c>
      <c r="G1150">
        <v>207818032.59</v>
      </c>
      <c r="H1150">
        <v>119138607876.35001</v>
      </c>
      <c r="I1150">
        <v>119772534540.36</v>
      </c>
      <c r="J1150">
        <v>8.7759000000000004E-2</v>
      </c>
      <c r="K1150">
        <v>2.7883999999999999E-2</v>
      </c>
      <c r="M1150" t="s">
        <v>1</v>
      </c>
      <c r="N1150">
        <v>5250</v>
      </c>
      <c r="O1150">
        <v>144</v>
      </c>
      <c r="P1150">
        <v>182</v>
      </c>
      <c r="Q1150">
        <v>0</v>
      </c>
      <c r="R1150">
        <v>1530259852</v>
      </c>
      <c r="S1150">
        <v>4086318.58</v>
      </c>
      <c r="T1150">
        <v>1511059913.78</v>
      </c>
      <c r="U1150">
        <v>1524285923</v>
      </c>
      <c r="V1150">
        <v>0.112287</v>
      </c>
      <c r="W1150">
        <v>1.4702E-2</v>
      </c>
      <c r="Y1150" t="s">
        <v>3</v>
      </c>
      <c r="Z1150">
        <v>3750</v>
      </c>
      <c r="AA1150">
        <v>144</v>
      </c>
      <c r="AB1150">
        <v>627</v>
      </c>
      <c r="AC1150">
        <v>0</v>
      </c>
      <c r="AD1150">
        <v>8908986140</v>
      </c>
      <c r="AE1150">
        <v>26306333.390000001</v>
      </c>
      <c r="AF1150">
        <v>8863478987</v>
      </c>
      <c r="AG1150">
        <v>8863478987</v>
      </c>
      <c r="AH1150">
        <v>2.5558000000000001E-2</v>
      </c>
      <c r="AI1150">
        <v>2.5558000000000001E-2</v>
      </c>
    </row>
    <row r="1151" spans="1:35" x14ac:dyDescent="0.35">
      <c r="A1151" t="s">
        <v>2</v>
      </c>
      <c r="B1151">
        <v>5250</v>
      </c>
      <c r="C1151">
        <v>168</v>
      </c>
      <c r="D1151">
        <v>12</v>
      </c>
      <c r="E1151">
        <v>0</v>
      </c>
      <c r="F1151">
        <v>71831560</v>
      </c>
      <c r="G1151">
        <v>205370.69</v>
      </c>
      <c r="H1151">
        <v>71267616.140000001</v>
      </c>
      <c r="I1151">
        <v>71626111.430000007</v>
      </c>
      <c r="J1151">
        <v>5.8285000000000003E-2</v>
      </c>
      <c r="K1151">
        <v>1.2999999999999999E-5</v>
      </c>
      <c r="M1151" t="s">
        <v>3</v>
      </c>
      <c r="N1151">
        <v>5250</v>
      </c>
      <c r="O1151">
        <v>144</v>
      </c>
      <c r="P1151">
        <v>7</v>
      </c>
      <c r="Q1151">
        <v>0</v>
      </c>
      <c r="R1151">
        <v>54257087</v>
      </c>
      <c r="S1151">
        <v>150422.68</v>
      </c>
      <c r="T1151">
        <v>53619816.299999997</v>
      </c>
      <c r="U1151">
        <v>54021666.240000002</v>
      </c>
      <c r="V1151">
        <v>0.102518</v>
      </c>
      <c r="W1151">
        <v>1.8637999999999998E-2</v>
      </c>
      <c r="Y1151" t="s">
        <v>2</v>
      </c>
      <c r="Z1151">
        <v>5250</v>
      </c>
      <c r="AA1151">
        <v>168</v>
      </c>
      <c r="AB1151">
        <v>9</v>
      </c>
      <c r="AC1151">
        <v>0</v>
      </c>
      <c r="AD1151">
        <v>54070402</v>
      </c>
      <c r="AE1151">
        <v>153972.06</v>
      </c>
      <c r="AF1151">
        <v>53703351</v>
      </c>
      <c r="AG1151">
        <v>53703351</v>
      </c>
      <c r="AH1151">
        <v>4.6278E-2</v>
      </c>
      <c r="AI1151">
        <v>4.6278E-2</v>
      </c>
    </row>
    <row r="1152" spans="1:35" x14ac:dyDescent="0.35">
      <c r="A1152" t="s">
        <v>0</v>
      </c>
      <c r="B1152">
        <v>5750</v>
      </c>
      <c r="C1152">
        <v>96</v>
      </c>
      <c r="D1152">
        <v>9208</v>
      </c>
      <c r="E1152">
        <v>0</v>
      </c>
      <c r="F1152">
        <v>116605409682</v>
      </c>
      <c r="G1152">
        <v>211919700.91999999</v>
      </c>
      <c r="H1152">
        <v>115505744152.13</v>
      </c>
      <c r="I1152">
        <v>116180677868.3</v>
      </c>
      <c r="J1152">
        <v>8.7628999999999999E-2</v>
      </c>
      <c r="K1152">
        <v>2.1682E-2</v>
      </c>
      <c r="M1152" t="s">
        <v>0</v>
      </c>
      <c r="N1152">
        <v>5750</v>
      </c>
      <c r="O1152">
        <v>84</v>
      </c>
      <c r="P1152">
        <v>12995</v>
      </c>
      <c r="Q1152">
        <v>0</v>
      </c>
      <c r="R1152">
        <v>169618723289</v>
      </c>
      <c r="S1152">
        <v>290906650.24000001</v>
      </c>
      <c r="T1152">
        <v>168006891277.48999</v>
      </c>
      <c r="U1152">
        <v>168963175446.07001</v>
      </c>
      <c r="V1152">
        <v>8.9551000000000006E-2</v>
      </c>
      <c r="W1152">
        <v>2.5493999999999999E-2</v>
      </c>
      <c r="Y1152" t="s">
        <v>3</v>
      </c>
      <c r="Z1152">
        <v>6000</v>
      </c>
      <c r="AA1152">
        <v>5</v>
      </c>
      <c r="AB1152">
        <v>85</v>
      </c>
      <c r="AC1152">
        <v>0</v>
      </c>
      <c r="AD1152">
        <v>2501500000</v>
      </c>
      <c r="AE1152">
        <v>2543186.62</v>
      </c>
      <c r="AF1152">
        <v>2500157980</v>
      </c>
      <c r="AG1152">
        <v>2500157980</v>
      </c>
      <c r="AH1152">
        <v>-5.777E-3</v>
      </c>
      <c r="AI1152">
        <v>-5.777E-3</v>
      </c>
    </row>
    <row r="1153" spans="1:35" x14ac:dyDescent="0.35">
      <c r="A1153" t="s">
        <v>0</v>
      </c>
      <c r="B1153">
        <v>7750</v>
      </c>
      <c r="C1153">
        <v>16</v>
      </c>
      <c r="D1153">
        <v>2168</v>
      </c>
      <c r="E1153">
        <v>0</v>
      </c>
      <c r="F1153">
        <v>55475431144</v>
      </c>
      <c r="G1153">
        <v>44199332.259999998</v>
      </c>
      <c r="H1153">
        <v>54074194505.18</v>
      </c>
      <c r="I1153">
        <v>55004653144.260002</v>
      </c>
      <c r="J1153">
        <v>0.2571</v>
      </c>
      <c r="K1153">
        <v>8.8469999999999993E-2</v>
      </c>
      <c r="M1153" t="s">
        <v>2</v>
      </c>
      <c r="N1153">
        <v>5250</v>
      </c>
      <c r="O1153">
        <v>144</v>
      </c>
      <c r="P1153">
        <v>19</v>
      </c>
      <c r="Q1153">
        <v>0</v>
      </c>
      <c r="R1153">
        <v>112808850</v>
      </c>
      <c r="S1153">
        <v>315670.5</v>
      </c>
      <c r="T1153">
        <v>111687336.09</v>
      </c>
      <c r="U1153">
        <v>112492772.84</v>
      </c>
      <c r="V1153">
        <v>8.2432000000000005E-2</v>
      </c>
      <c r="W1153">
        <v>4.3000000000000002E-5</v>
      </c>
      <c r="Y1153" t="s">
        <v>3</v>
      </c>
      <c r="Z1153">
        <v>5750</v>
      </c>
      <c r="AA1153">
        <v>5</v>
      </c>
      <c r="AB1153">
        <v>73</v>
      </c>
      <c r="AC1153">
        <v>0</v>
      </c>
      <c r="AD1153">
        <v>2024400000</v>
      </c>
      <c r="AE1153">
        <v>2142136.71</v>
      </c>
      <c r="AF1153">
        <v>2023997528</v>
      </c>
      <c r="AG1153">
        <v>2023997528</v>
      </c>
      <c r="AH1153">
        <v>-1.0361E-2</v>
      </c>
      <c r="AI1153">
        <v>-1.0361E-2</v>
      </c>
    </row>
    <row r="1154" spans="1:35" x14ac:dyDescent="0.35">
      <c r="A1154" t="s">
        <v>3</v>
      </c>
      <c r="B1154">
        <v>3750</v>
      </c>
      <c r="C1154">
        <v>144</v>
      </c>
      <c r="D1154">
        <v>648</v>
      </c>
      <c r="E1154">
        <v>0</v>
      </c>
      <c r="F1154">
        <v>9207378021</v>
      </c>
      <c r="G1154">
        <v>27253689.719999999</v>
      </c>
      <c r="H1154">
        <v>9141310316.4400005</v>
      </c>
      <c r="I1154">
        <v>9166898176.4699993</v>
      </c>
      <c r="J1154">
        <v>4.9430000000000002E-2</v>
      </c>
      <c r="K1154">
        <v>1.7101999999999999E-2</v>
      </c>
      <c r="M1154" t="s">
        <v>0</v>
      </c>
      <c r="N1154">
        <v>7500</v>
      </c>
      <c r="O1154">
        <v>12</v>
      </c>
      <c r="P1154">
        <v>1033</v>
      </c>
      <c r="Q1154">
        <v>0</v>
      </c>
      <c r="R1154">
        <v>25397599941</v>
      </c>
      <c r="S1154">
        <v>20741595.530000001</v>
      </c>
      <c r="T1154">
        <v>24680549634.110001</v>
      </c>
      <c r="U1154">
        <v>25210566684.32</v>
      </c>
      <c r="V1154">
        <v>0.28365299999999999</v>
      </c>
      <c r="W1154">
        <v>7.5801999999999994E-2</v>
      </c>
      <c r="Y1154" t="s">
        <v>3</v>
      </c>
      <c r="Z1154">
        <v>4750</v>
      </c>
      <c r="AA1154">
        <v>144</v>
      </c>
      <c r="AB1154">
        <v>151</v>
      </c>
      <c r="AC1154">
        <v>0</v>
      </c>
      <c r="AD1154">
        <v>1449885948</v>
      </c>
      <c r="AE1154">
        <v>4046394.18</v>
      </c>
      <c r="AF1154">
        <v>1444311909</v>
      </c>
      <c r="AG1154">
        <v>1444311909</v>
      </c>
      <c r="AH1154">
        <v>1.2571000000000001E-2</v>
      </c>
      <c r="AI1154">
        <v>1.2571000000000001E-2</v>
      </c>
    </row>
    <row r="1155" spans="1:35" x14ac:dyDescent="0.35">
      <c r="A1155" t="s">
        <v>3</v>
      </c>
      <c r="B1155">
        <v>6000</v>
      </c>
      <c r="C1155">
        <v>5</v>
      </c>
      <c r="D1155">
        <v>75</v>
      </c>
      <c r="E1155">
        <v>0</v>
      </c>
      <c r="F1155">
        <v>2191000000</v>
      </c>
      <c r="G1155">
        <v>2227207.56</v>
      </c>
      <c r="H1155">
        <v>2188592153.5900002</v>
      </c>
      <c r="I1155">
        <v>2188772785.98</v>
      </c>
      <c r="J1155">
        <v>9.8900000000000008E-4</v>
      </c>
      <c r="K1155">
        <v>0</v>
      </c>
      <c r="M1155" t="s">
        <v>0</v>
      </c>
      <c r="N1155">
        <v>7750</v>
      </c>
      <c r="O1155">
        <v>12</v>
      </c>
      <c r="P1155">
        <v>1481</v>
      </c>
      <c r="Q1155">
        <v>0</v>
      </c>
      <c r="R1155">
        <v>38935530293</v>
      </c>
      <c r="S1155">
        <v>30093088.879999999</v>
      </c>
      <c r="T1155">
        <v>37748367736.739998</v>
      </c>
      <c r="U1155">
        <v>38622631924.400002</v>
      </c>
      <c r="V1155">
        <v>0.30373</v>
      </c>
      <c r="W1155">
        <v>8.3762000000000003E-2</v>
      </c>
      <c r="Y1155" t="s">
        <v>3</v>
      </c>
      <c r="Z1155">
        <v>5000</v>
      </c>
      <c r="AA1155">
        <v>144</v>
      </c>
      <c r="AB1155">
        <v>13</v>
      </c>
      <c r="AC1155">
        <v>0</v>
      </c>
      <c r="AD1155">
        <v>139734719</v>
      </c>
      <c r="AE1155">
        <v>388996.47</v>
      </c>
      <c r="AF1155">
        <v>139327449</v>
      </c>
      <c r="AG1155">
        <v>139327449</v>
      </c>
      <c r="AH1155">
        <v>1.5679999999999999E-3</v>
      </c>
      <c r="AI1155">
        <v>1.5679999999999999E-3</v>
      </c>
    </row>
    <row r="1156" spans="1:35" x14ac:dyDescent="0.35">
      <c r="A1156" t="s">
        <v>3</v>
      </c>
      <c r="B1156">
        <v>5750</v>
      </c>
      <c r="C1156">
        <v>5</v>
      </c>
      <c r="D1156">
        <v>68</v>
      </c>
      <c r="E1156">
        <v>0</v>
      </c>
      <c r="F1156">
        <v>1903200000</v>
      </c>
      <c r="G1156">
        <v>2017436.72</v>
      </c>
      <c r="H1156">
        <v>1901051489.72</v>
      </c>
      <c r="I1156">
        <v>1901182561.49</v>
      </c>
      <c r="J1156">
        <v>8.2600000000000002E-4</v>
      </c>
      <c r="K1156">
        <v>0</v>
      </c>
      <c r="M1156" t="s">
        <v>3</v>
      </c>
      <c r="N1156">
        <v>3750</v>
      </c>
      <c r="O1156">
        <v>144</v>
      </c>
      <c r="P1156">
        <v>546</v>
      </c>
      <c r="Q1156">
        <v>0</v>
      </c>
      <c r="R1156">
        <v>7796303836</v>
      </c>
      <c r="S1156">
        <v>22917448.73</v>
      </c>
      <c r="T1156">
        <v>7749737073.3699999</v>
      </c>
      <c r="U1156">
        <v>7773031237.0100002</v>
      </c>
      <c r="V1156">
        <v>3.5799999999999998E-2</v>
      </c>
      <c r="W1156">
        <v>5.4699999999999996E-4</v>
      </c>
      <c r="Y1156" t="s">
        <v>0</v>
      </c>
      <c r="Z1156">
        <v>5750</v>
      </c>
      <c r="AA1156">
        <v>96</v>
      </c>
      <c r="AB1156">
        <v>7694</v>
      </c>
      <c r="AC1156">
        <v>0</v>
      </c>
      <c r="AD1156">
        <v>96928090788</v>
      </c>
      <c r="AE1156">
        <v>175837279.40000001</v>
      </c>
      <c r="AF1156">
        <v>96108819663</v>
      </c>
      <c r="AG1156">
        <v>96580063924.380005</v>
      </c>
      <c r="AH1156">
        <v>7.6813999999999993E-2</v>
      </c>
      <c r="AI1156">
        <v>2.1111000000000001E-2</v>
      </c>
    </row>
    <row r="1157" spans="1:35" x14ac:dyDescent="0.35">
      <c r="A1157" t="s">
        <v>3</v>
      </c>
      <c r="B1157">
        <v>4750</v>
      </c>
      <c r="C1157">
        <v>168</v>
      </c>
      <c r="D1157">
        <v>51</v>
      </c>
      <c r="E1157">
        <v>0</v>
      </c>
      <c r="F1157">
        <v>465728742</v>
      </c>
      <c r="G1157">
        <v>1404904.97</v>
      </c>
      <c r="H1157">
        <v>462489239.56999999</v>
      </c>
      <c r="I1157">
        <v>463877697.54000002</v>
      </c>
      <c r="J1157">
        <v>4.6260000000000003E-2</v>
      </c>
      <c r="K1157">
        <v>1.1435000000000001E-2</v>
      </c>
      <c r="M1157" t="s">
        <v>1</v>
      </c>
      <c r="N1157">
        <v>2500</v>
      </c>
      <c r="O1157">
        <v>144</v>
      </c>
      <c r="P1157">
        <v>12</v>
      </c>
      <c r="Q1157">
        <v>0</v>
      </c>
      <c r="R1157">
        <v>127198443</v>
      </c>
      <c r="S1157">
        <v>467974.78</v>
      </c>
      <c r="T1157">
        <v>126167311.81</v>
      </c>
      <c r="U1157">
        <v>126729442.14</v>
      </c>
      <c r="V1157">
        <v>5.1853999999999997E-2</v>
      </c>
      <c r="W1157">
        <v>9.7E-5</v>
      </c>
      <c r="Y1157" t="s">
        <v>3</v>
      </c>
      <c r="Z1157">
        <v>4750</v>
      </c>
      <c r="AA1157">
        <v>96</v>
      </c>
      <c r="AB1157">
        <v>201</v>
      </c>
      <c r="AC1157">
        <v>0</v>
      </c>
      <c r="AD1157">
        <v>2584431700</v>
      </c>
      <c r="AE1157">
        <v>5387623.7699999996</v>
      </c>
      <c r="AF1157">
        <v>2577620286</v>
      </c>
      <c r="AG1157">
        <v>2577620286</v>
      </c>
      <c r="AH1157">
        <v>6.5909999999999996E-3</v>
      </c>
      <c r="AI1157">
        <v>6.5909999999999996E-3</v>
      </c>
    </row>
    <row r="1158" spans="1:35" x14ac:dyDescent="0.35">
      <c r="A1158" t="s">
        <v>3</v>
      </c>
      <c r="B1158">
        <v>4750</v>
      </c>
      <c r="C1158">
        <v>144</v>
      </c>
      <c r="D1158">
        <v>148</v>
      </c>
      <c r="E1158">
        <v>0</v>
      </c>
      <c r="F1158">
        <v>1412671617</v>
      </c>
      <c r="G1158">
        <v>3950838.07</v>
      </c>
      <c r="H1158">
        <v>1404012548.49</v>
      </c>
      <c r="I1158">
        <v>1408639983.74</v>
      </c>
      <c r="J1158">
        <v>3.9268999999999998E-2</v>
      </c>
      <c r="K1158">
        <v>6.8599999999999998E-4</v>
      </c>
      <c r="M1158" t="s">
        <v>3</v>
      </c>
      <c r="N1158">
        <v>5750</v>
      </c>
      <c r="O1158">
        <v>5</v>
      </c>
      <c r="P1158">
        <v>40</v>
      </c>
      <c r="Q1158">
        <v>0</v>
      </c>
      <c r="R1158">
        <v>1055200000</v>
      </c>
      <c r="S1158">
        <v>1120701.58</v>
      </c>
      <c r="T1158">
        <v>1054046037.6799999</v>
      </c>
      <c r="U1158">
        <v>1054078263.78</v>
      </c>
      <c r="V1158">
        <v>3.7800000000000003E-4</v>
      </c>
      <c r="W1158">
        <v>1.2E-5</v>
      </c>
      <c r="Y1158" t="s">
        <v>3</v>
      </c>
      <c r="Z1158">
        <v>4250</v>
      </c>
      <c r="AA1158">
        <v>120</v>
      </c>
      <c r="AB1158">
        <v>292</v>
      </c>
      <c r="AC1158">
        <v>0</v>
      </c>
      <c r="AD1158">
        <v>2610639140</v>
      </c>
      <c r="AE1158">
        <v>6776246.9900000002</v>
      </c>
      <c r="AF1158">
        <v>2590190953</v>
      </c>
      <c r="AG1158">
        <v>2603209381.7600002</v>
      </c>
      <c r="AH1158">
        <v>6.1065000000000001E-2</v>
      </c>
      <c r="AI1158">
        <v>3.0000000000000001E-3</v>
      </c>
    </row>
    <row r="1159" spans="1:35" x14ac:dyDescent="0.35">
      <c r="A1159" t="s">
        <v>3</v>
      </c>
      <c r="B1159">
        <v>5000</v>
      </c>
      <c r="C1159">
        <v>144</v>
      </c>
      <c r="D1159">
        <v>11</v>
      </c>
      <c r="E1159">
        <v>0</v>
      </c>
      <c r="F1159">
        <v>115089947</v>
      </c>
      <c r="G1159">
        <v>320332.37</v>
      </c>
      <c r="H1159">
        <v>114459940.26000001</v>
      </c>
      <c r="I1159">
        <v>114769608.42</v>
      </c>
      <c r="J1159">
        <v>3.1815000000000003E-2</v>
      </c>
      <c r="K1159">
        <v>9.9999999999999995E-7</v>
      </c>
      <c r="M1159" t="s">
        <v>3</v>
      </c>
      <c r="N1159">
        <v>4750</v>
      </c>
      <c r="O1159">
        <v>144</v>
      </c>
      <c r="P1159">
        <v>171</v>
      </c>
      <c r="Q1159">
        <v>0</v>
      </c>
      <c r="R1159">
        <v>1628231986</v>
      </c>
      <c r="S1159">
        <v>4566652.38</v>
      </c>
      <c r="T1159">
        <v>1616768658.9200001</v>
      </c>
      <c r="U1159">
        <v>1623254641.3699999</v>
      </c>
      <c r="V1159">
        <v>4.9660999999999997E-2</v>
      </c>
      <c r="W1159">
        <v>3.0230000000000001E-3</v>
      </c>
      <c r="Y1159" t="s">
        <v>3</v>
      </c>
      <c r="Z1159">
        <v>3750</v>
      </c>
      <c r="AA1159">
        <v>120</v>
      </c>
      <c r="AB1159">
        <v>480</v>
      </c>
      <c r="AC1159">
        <v>0</v>
      </c>
      <c r="AD1159">
        <v>6438130255</v>
      </c>
      <c r="AE1159">
        <v>17535627.989999998</v>
      </c>
      <c r="AF1159">
        <v>6405786661</v>
      </c>
      <c r="AG1159">
        <v>6417416399.1099997</v>
      </c>
      <c r="AH1159">
        <v>2.7254E-2</v>
      </c>
      <c r="AI1159">
        <v>5.9080000000000001E-3</v>
      </c>
    </row>
    <row r="1160" spans="1:35" x14ac:dyDescent="0.35">
      <c r="A1160" t="s">
        <v>3</v>
      </c>
      <c r="B1160">
        <v>4750</v>
      </c>
      <c r="C1160">
        <v>96</v>
      </c>
      <c r="D1160">
        <v>202</v>
      </c>
      <c r="E1160">
        <v>0</v>
      </c>
      <c r="F1160">
        <v>2630458846</v>
      </c>
      <c r="G1160">
        <v>5506504.6299999999</v>
      </c>
      <c r="H1160">
        <v>2611063023.5100002</v>
      </c>
      <c r="I1160">
        <v>2624342116.3499999</v>
      </c>
      <c r="J1160">
        <v>6.1553999999999998E-2</v>
      </c>
      <c r="K1160">
        <v>2.7799999999999999E-3</v>
      </c>
      <c r="M1160" t="s">
        <v>3</v>
      </c>
      <c r="N1160">
        <v>5000</v>
      </c>
      <c r="O1160">
        <v>144</v>
      </c>
      <c r="P1160">
        <v>24</v>
      </c>
      <c r="Q1160">
        <v>0</v>
      </c>
      <c r="R1160">
        <v>245308295</v>
      </c>
      <c r="S1160">
        <v>687009.12</v>
      </c>
      <c r="T1160">
        <v>243602947.38</v>
      </c>
      <c r="U1160">
        <v>244494143.06</v>
      </c>
      <c r="V1160">
        <v>4.8693E-2</v>
      </c>
      <c r="W1160">
        <v>6.202E-3</v>
      </c>
      <c r="Y1160" t="s">
        <v>3</v>
      </c>
      <c r="Z1160">
        <v>4500</v>
      </c>
      <c r="AA1160">
        <v>120</v>
      </c>
      <c r="AB1160">
        <v>118</v>
      </c>
      <c r="AC1160">
        <v>0</v>
      </c>
      <c r="AD1160">
        <v>831804864</v>
      </c>
      <c r="AE1160">
        <v>2127565.9500000002</v>
      </c>
      <c r="AF1160">
        <v>821405423</v>
      </c>
      <c r="AG1160">
        <v>829351132.05999994</v>
      </c>
      <c r="AH1160">
        <v>0.11301899999999999</v>
      </c>
      <c r="AI1160">
        <v>4.6950000000000004E-3</v>
      </c>
    </row>
    <row r="1161" spans="1:35" x14ac:dyDescent="0.35">
      <c r="A1161" t="s">
        <v>3</v>
      </c>
      <c r="B1161">
        <v>4250</v>
      </c>
      <c r="C1161">
        <v>120</v>
      </c>
      <c r="D1161">
        <v>259</v>
      </c>
      <c r="E1161">
        <v>0</v>
      </c>
      <c r="F1161">
        <v>2335346802</v>
      </c>
      <c r="G1161">
        <v>6061882.7800000003</v>
      </c>
      <c r="H1161">
        <v>2319577506.46</v>
      </c>
      <c r="I1161">
        <v>2326823205.1999998</v>
      </c>
      <c r="J1161">
        <v>4.8756000000000001E-2</v>
      </c>
      <c r="K1161">
        <v>1.2576E-2</v>
      </c>
      <c r="M1161" t="s">
        <v>0</v>
      </c>
      <c r="N1161">
        <v>5750</v>
      </c>
      <c r="O1161">
        <v>96</v>
      </c>
      <c r="P1161">
        <v>5479</v>
      </c>
      <c r="Q1161">
        <v>0</v>
      </c>
      <c r="R1161">
        <v>68153601963</v>
      </c>
      <c r="S1161">
        <v>123034852.56</v>
      </c>
      <c r="T1161">
        <v>67498033067.230003</v>
      </c>
      <c r="U1161">
        <v>67900642292.870003</v>
      </c>
      <c r="V1161">
        <v>8.9838000000000001E-2</v>
      </c>
      <c r="W1161">
        <v>2.2637999999999998E-2</v>
      </c>
      <c r="Y1161" t="s">
        <v>3</v>
      </c>
      <c r="Z1161">
        <v>4750</v>
      </c>
      <c r="AA1161">
        <v>120</v>
      </c>
      <c r="AB1161">
        <v>22</v>
      </c>
      <c r="AC1161">
        <v>0</v>
      </c>
      <c r="AD1161">
        <v>227277844</v>
      </c>
      <c r="AE1161">
        <v>556989</v>
      </c>
      <c r="AF1161">
        <v>226585978</v>
      </c>
      <c r="AG1161">
        <v>226585978</v>
      </c>
      <c r="AH1161">
        <v>7.0980000000000001E-3</v>
      </c>
      <c r="AI1161">
        <v>7.0980000000000001E-3</v>
      </c>
    </row>
    <row r="1162" spans="1:35" x14ac:dyDescent="0.35">
      <c r="A1162" t="s">
        <v>3</v>
      </c>
      <c r="B1162">
        <v>3750</v>
      </c>
      <c r="C1162">
        <v>120</v>
      </c>
      <c r="D1162">
        <v>487</v>
      </c>
      <c r="E1162">
        <v>0</v>
      </c>
      <c r="F1162">
        <v>6498418547</v>
      </c>
      <c r="G1162">
        <v>17711405.039999999</v>
      </c>
      <c r="H1162">
        <v>6459182112.8999996</v>
      </c>
      <c r="I1162">
        <v>6479037671.5200005</v>
      </c>
      <c r="J1162">
        <v>3.9031999999999997E-2</v>
      </c>
      <c r="K1162">
        <v>3.078E-3</v>
      </c>
      <c r="M1162" t="s">
        <v>3</v>
      </c>
      <c r="N1162">
        <v>4750</v>
      </c>
      <c r="O1162">
        <v>96</v>
      </c>
      <c r="P1162">
        <v>181</v>
      </c>
      <c r="Q1162">
        <v>0</v>
      </c>
      <c r="R1162">
        <v>2247685163</v>
      </c>
      <c r="S1162">
        <v>4663501.01</v>
      </c>
      <c r="T1162">
        <v>2232531110.29</v>
      </c>
      <c r="U1162">
        <v>2242708950.8600001</v>
      </c>
      <c r="V1162">
        <v>5.4592000000000002E-2</v>
      </c>
      <c r="W1162">
        <v>1.668E-3</v>
      </c>
      <c r="Y1162" t="s">
        <v>2</v>
      </c>
      <c r="Z1162">
        <v>5750</v>
      </c>
      <c r="AA1162">
        <v>84</v>
      </c>
      <c r="AB1162">
        <v>410</v>
      </c>
      <c r="AC1162">
        <v>0</v>
      </c>
      <c r="AD1162">
        <v>3762542785</v>
      </c>
      <c r="AE1162">
        <v>6620723.4900000002</v>
      </c>
      <c r="AF1162">
        <v>3731474167</v>
      </c>
      <c r="AG1162">
        <v>3755115126.1399999</v>
      </c>
      <c r="AH1162">
        <v>7.5245000000000006E-2</v>
      </c>
      <c r="AI1162">
        <v>2.5709999999999999E-3</v>
      </c>
    </row>
    <row r="1163" spans="1:35" x14ac:dyDescent="0.35">
      <c r="A1163" t="s">
        <v>3</v>
      </c>
      <c r="B1163">
        <v>4500</v>
      </c>
      <c r="C1163">
        <v>120</v>
      </c>
      <c r="D1163">
        <v>114</v>
      </c>
      <c r="E1163">
        <v>0</v>
      </c>
      <c r="F1163">
        <v>790765983</v>
      </c>
      <c r="G1163">
        <v>2034994.69</v>
      </c>
      <c r="H1163">
        <v>786485968.33000004</v>
      </c>
      <c r="I1163">
        <v>788729910.84000003</v>
      </c>
      <c r="J1163">
        <v>3.3542000000000002E-2</v>
      </c>
      <c r="K1163">
        <v>1.5999999999999999E-5</v>
      </c>
      <c r="M1163" t="s">
        <v>3</v>
      </c>
      <c r="N1163">
        <v>3750</v>
      </c>
      <c r="O1163">
        <v>120</v>
      </c>
      <c r="P1163">
        <v>516</v>
      </c>
      <c r="Q1163">
        <v>0</v>
      </c>
      <c r="R1163">
        <v>7018913536</v>
      </c>
      <c r="S1163">
        <v>19093621.640000001</v>
      </c>
      <c r="T1163">
        <v>6975827055.6599998</v>
      </c>
      <c r="U1163">
        <v>6999185689.75</v>
      </c>
      <c r="V1163">
        <v>4.0257000000000001E-2</v>
      </c>
      <c r="W1163">
        <v>1.0839999999999999E-3</v>
      </c>
      <c r="Y1163" t="s">
        <v>3</v>
      </c>
      <c r="Z1163">
        <v>5250</v>
      </c>
      <c r="AA1163">
        <v>120</v>
      </c>
      <c r="AB1163">
        <v>1</v>
      </c>
      <c r="AC1163">
        <v>0</v>
      </c>
      <c r="AD1163">
        <v>8342883</v>
      </c>
      <c r="AE1163">
        <v>19742.12</v>
      </c>
      <c r="AF1163">
        <v>8315954</v>
      </c>
      <c r="AG1163">
        <v>8315954</v>
      </c>
      <c r="AH1163">
        <v>1.0288E-2</v>
      </c>
      <c r="AI1163">
        <v>1.0288E-2</v>
      </c>
    </row>
    <row r="1164" spans="1:35" x14ac:dyDescent="0.35">
      <c r="A1164" t="s">
        <v>2</v>
      </c>
      <c r="B1164">
        <v>5750</v>
      </c>
      <c r="C1164">
        <v>84</v>
      </c>
      <c r="D1164">
        <v>207</v>
      </c>
      <c r="E1164">
        <v>0</v>
      </c>
      <c r="F1164">
        <v>1839940861</v>
      </c>
      <c r="G1164">
        <v>3243978.01</v>
      </c>
      <c r="H1164">
        <v>1822714803.27</v>
      </c>
      <c r="I1164">
        <v>1833460519.47</v>
      </c>
      <c r="J1164">
        <v>8.7473999999999996E-2</v>
      </c>
      <c r="K1164">
        <v>2.0903999999999999E-2</v>
      </c>
      <c r="M1164" t="s">
        <v>3</v>
      </c>
      <c r="N1164">
        <v>4500</v>
      </c>
      <c r="O1164">
        <v>120</v>
      </c>
      <c r="P1164">
        <v>134</v>
      </c>
      <c r="Q1164">
        <v>0</v>
      </c>
      <c r="R1164">
        <v>991864658</v>
      </c>
      <c r="S1164">
        <v>2518581.9700000002</v>
      </c>
      <c r="T1164">
        <v>985992294.17999995</v>
      </c>
      <c r="U1164">
        <v>989344541.64999998</v>
      </c>
      <c r="V1164">
        <v>3.9829000000000003E-2</v>
      </c>
      <c r="W1164">
        <v>1.9000000000000001E-5</v>
      </c>
      <c r="Y1164" t="s">
        <v>2</v>
      </c>
      <c r="Z1164">
        <v>5250</v>
      </c>
      <c r="AA1164">
        <v>120</v>
      </c>
      <c r="AB1164">
        <v>2</v>
      </c>
      <c r="AC1164">
        <v>0</v>
      </c>
      <c r="AD1164">
        <v>24245506</v>
      </c>
      <c r="AE1164">
        <v>57624.87</v>
      </c>
      <c r="AF1164">
        <v>24187865</v>
      </c>
      <c r="AG1164">
        <v>24187865</v>
      </c>
      <c r="AH1164">
        <v>7.9999999999999996E-6</v>
      </c>
      <c r="AI1164">
        <v>7.9999999999999996E-6</v>
      </c>
    </row>
    <row r="1165" spans="1:35" x14ac:dyDescent="0.35">
      <c r="A1165" t="s">
        <v>3</v>
      </c>
      <c r="B1165">
        <v>4750</v>
      </c>
      <c r="C1165">
        <v>120</v>
      </c>
      <c r="D1165">
        <v>20</v>
      </c>
      <c r="E1165">
        <v>0</v>
      </c>
      <c r="F1165">
        <v>219540198</v>
      </c>
      <c r="G1165">
        <v>536173.43999999994</v>
      </c>
      <c r="H1165">
        <v>218231417.05000001</v>
      </c>
      <c r="I1165">
        <v>218985020.41999999</v>
      </c>
      <c r="J1165">
        <v>4.1423000000000001E-2</v>
      </c>
      <c r="K1165">
        <v>1.0380000000000001E-3</v>
      </c>
      <c r="M1165" t="s">
        <v>3</v>
      </c>
      <c r="N1165">
        <v>4750</v>
      </c>
      <c r="O1165">
        <v>120</v>
      </c>
      <c r="P1165">
        <v>29</v>
      </c>
      <c r="Q1165">
        <v>0</v>
      </c>
      <c r="R1165">
        <v>327335760</v>
      </c>
      <c r="S1165">
        <v>803793.91</v>
      </c>
      <c r="T1165">
        <v>325217346.19</v>
      </c>
      <c r="U1165">
        <v>326509118.48000002</v>
      </c>
      <c r="V1165">
        <v>4.7142999999999997E-2</v>
      </c>
      <c r="W1165">
        <v>8.3699999999999996E-4</v>
      </c>
      <c r="Y1165" t="s">
        <v>3</v>
      </c>
      <c r="Z1165">
        <v>3250</v>
      </c>
      <c r="AA1165">
        <v>120</v>
      </c>
      <c r="AB1165">
        <v>273</v>
      </c>
      <c r="AC1165">
        <v>0</v>
      </c>
      <c r="AD1165">
        <v>4296113920</v>
      </c>
      <c r="AE1165">
        <v>12149304.560000001</v>
      </c>
      <c r="AF1165">
        <v>4273151440</v>
      </c>
      <c r="AG1165">
        <v>4281934388.9899998</v>
      </c>
      <c r="AH1165">
        <v>2.9789E-2</v>
      </c>
      <c r="AI1165">
        <v>5.6559999999999996E-3</v>
      </c>
    </row>
    <row r="1166" spans="1:35" x14ac:dyDescent="0.35">
      <c r="A1166" t="s">
        <v>3</v>
      </c>
      <c r="B1166">
        <v>5250</v>
      </c>
      <c r="C1166">
        <v>120</v>
      </c>
      <c r="D1166">
        <v>1</v>
      </c>
      <c r="E1166">
        <v>0</v>
      </c>
      <c r="F1166">
        <v>8315954</v>
      </c>
      <c r="G1166">
        <v>19809.32</v>
      </c>
      <c r="H1166">
        <v>8259380.5899999999</v>
      </c>
      <c r="I1166">
        <v>8296144.6799999997</v>
      </c>
      <c r="J1166">
        <v>5.178E-2</v>
      </c>
      <c r="K1166">
        <v>0</v>
      </c>
      <c r="M1166" t="s">
        <v>3</v>
      </c>
      <c r="N1166">
        <v>4250</v>
      </c>
      <c r="O1166">
        <v>120</v>
      </c>
      <c r="P1166">
        <v>361</v>
      </c>
      <c r="Q1166">
        <v>0</v>
      </c>
      <c r="R1166">
        <v>3218155236</v>
      </c>
      <c r="S1166">
        <v>8362578.8399999999</v>
      </c>
      <c r="T1166">
        <v>3198753187.4000001</v>
      </c>
      <c r="U1166">
        <v>3208541377.0700002</v>
      </c>
      <c r="V1166">
        <v>4.0397000000000002E-2</v>
      </c>
      <c r="W1166">
        <v>4.6560000000000004E-3</v>
      </c>
      <c r="Y1166" t="s">
        <v>3</v>
      </c>
      <c r="Z1166">
        <v>3500</v>
      </c>
      <c r="AA1166">
        <v>120</v>
      </c>
      <c r="AB1166">
        <v>298</v>
      </c>
      <c r="AC1166">
        <v>0</v>
      </c>
      <c r="AD1166">
        <v>4297080851</v>
      </c>
      <c r="AE1166">
        <v>11966490.210000001</v>
      </c>
      <c r="AF1166">
        <v>4276469751</v>
      </c>
      <c r="AG1166">
        <v>4283854843.1300001</v>
      </c>
      <c r="AH1166">
        <v>2.3876000000000001E-2</v>
      </c>
      <c r="AI1166">
        <v>3.5119999999999999E-3</v>
      </c>
    </row>
    <row r="1167" spans="1:35" x14ac:dyDescent="0.35">
      <c r="A1167" t="s">
        <v>2</v>
      </c>
      <c r="B1167">
        <v>5250</v>
      </c>
      <c r="C1167">
        <v>120</v>
      </c>
      <c r="D1167">
        <v>1</v>
      </c>
      <c r="E1167">
        <v>0</v>
      </c>
      <c r="F1167">
        <v>10881755</v>
      </c>
      <c r="G1167">
        <v>25749.97</v>
      </c>
      <c r="H1167">
        <v>10796991.77</v>
      </c>
      <c r="I1167">
        <v>10856003.33</v>
      </c>
      <c r="J1167">
        <v>6.3171000000000005E-2</v>
      </c>
      <c r="K1167">
        <v>1.9999999999999999E-6</v>
      </c>
      <c r="M1167" t="s">
        <v>2</v>
      </c>
      <c r="N1167">
        <v>5750</v>
      </c>
      <c r="O1167">
        <v>84</v>
      </c>
      <c r="P1167">
        <v>458</v>
      </c>
      <c r="Q1167">
        <v>0</v>
      </c>
      <c r="R1167">
        <v>4232482696</v>
      </c>
      <c r="S1167">
        <v>7355587.1699999999</v>
      </c>
      <c r="T1167">
        <v>4187067220.25</v>
      </c>
      <c r="U1167">
        <v>4214127843.6199999</v>
      </c>
      <c r="V1167">
        <v>0.102728</v>
      </c>
      <c r="W1167">
        <v>3.0742999999999999E-2</v>
      </c>
      <c r="Y1167" t="s">
        <v>3</v>
      </c>
      <c r="Z1167">
        <v>4250</v>
      </c>
      <c r="AA1167">
        <v>108</v>
      </c>
      <c r="AB1167">
        <v>353</v>
      </c>
      <c r="AC1167">
        <v>0</v>
      </c>
      <c r="AD1167">
        <v>4597581823</v>
      </c>
      <c r="AE1167">
        <v>11021533.029999999</v>
      </c>
      <c r="AF1167">
        <v>4584342520</v>
      </c>
      <c r="AG1167">
        <v>4584342520</v>
      </c>
      <c r="AH1167">
        <v>5.7730000000000004E-3</v>
      </c>
      <c r="AI1167">
        <v>5.7730000000000004E-3</v>
      </c>
    </row>
    <row r="1168" spans="1:35" x14ac:dyDescent="0.35">
      <c r="A1168" t="s">
        <v>3</v>
      </c>
      <c r="B1168">
        <v>3250</v>
      </c>
      <c r="C1168">
        <v>120</v>
      </c>
      <c r="D1168">
        <v>326</v>
      </c>
      <c r="E1168">
        <v>0</v>
      </c>
      <c r="F1168">
        <v>5066036155</v>
      </c>
      <c r="G1168">
        <v>14361579.560000001</v>
      </c>
      <c r="H1168">
        <v>5038061477.3599997</v>
      </c>
      <c r="I1168">
        <v>5051557368.0299997</v>
      </c>
      <c r="J1168">
        <v>3.1773000000000003E-2</v>
      </c>
      <c r="K1168">
        <v>2.7799999999999998E-4</v>
      </c>
      <c r="M1168" t="s">
        <v>1</v>
      </c>
      <c r="N1168">
        <v>6250</v>
      </c>
      <c r="O1168">
        <v>96</v>
      </c>
      <c r="P1168">
        <v>16</v>
      </c>
      <c r="Q1168">
        <v>0</v>
      </c>
      <c r="R1168">
        <v>159580837</v>
      </c>
      <c r="S1168">
        <v>267925.11</v>
      </c>
      <c r="T1168">
        <v>155903091.02000001</v>
      </c>
      <c r="U1168">
        <v>159037235.19999999</v>
      </c>
      <c r="V1168">
        <v>0.228322</v>
      </c>
      <c r="W1168">
        <v>2.0534E-2</v>
      </c>
      <c r="Y1168" t="s">
        <v>3</v>
      </c>
      <c r="Z1168">
        <v>4500</v>
      </c>
      <c r="AA1168">
        <v>108</v>
      </c>
      <c r="AB1168">
        <v>260</v>
      </c>
      <c r="AC1168">
        <v>0</v>
      </c>
      <c r="AD1168">
        <v>2934356803</v>
      </c>
      <c r="AE1168">
        <v>6867030.4400000004</v>
      </c>
      <c r="AF1168">
        <v>2923670703</v>
      </c>
      <c r="AG1168">
        <v>2926672566.3699999</v>
      </c>
      <c r="AH1168">
        <v>1.5507E-2</v>
      </c>
      <c r="AI1168">
        <v>3.3370000000000001E-3</v>
      </c>
    </row>
    <row r="1169" spans="1:35" x14ac:dyDescent="0.35">
      <c r="A1169" t="s">
        <v>3</v>
      </c>
      <c r="B1169">
        <v>3500</v>
      </c>
      <c r="C1169">
        <v>120</v>
      </c>
      <c r="D1169">
        <v>313</v>
      </c>
      <c r="E1169">
        <v>0</v>
      </c>
      <c r="F1169">
        <v>4454109374</v>
      </c>
      <c r="G1169">
        <v>12431216.5</v>
      </c>
      <c r="H1169">
        <v>4428187223.4099998</v>
      </c>
      <c r="I1169">
        <v>4441171588.0500002</v>
      </c>
      <c r="J1169">
        <v>3.5747000000000001E-2</v>
      </c>
      <c r="K1169">
        <v>1.364E-3</v>
      </c>
      <c r="M1169" t="s">
        <v>3</v>
      </c>
      <c r="N1169">
        <v>5250</v>
      </c>
      <c r="O1169">
        <v>120</v>
      </c>
      <c r="P1169">
        <v>1</v>
      </c>
      <c r="Q1169">
        <v>0</v>
      </c>
      <c r="R1169">
        <v>8396397</v>
      </c>
      <c r="S1169">
        <v>19607.919999999998</v>
      </c>
      <c r="T1169">
        <v>8336856.54</v>
      </c>
      <c r="U1169">
        <v>8376789.0800000001</v>
      </c>
      <c r="V1169">
        <v>5.5601999999999999E-2</v>
      </c>
      <c r="W1169">
        <v>0</v>
      </c>
      <c r="Y1169" t="s">
        <v>1</v>
      </c>
      <c r="Z1169">
        <v>2500</v>
      </c>
      <c r="AA1169">
        <v>120</v>
      </c>
      <c r="AB1169">
        <v>3</v>
      </c>
      <c r="AC1169">
        <v>0</v>
      </c>
      <c r="AD1169">
        <v>42696190</v>
      </c>
      <c r="AE1169">
        <v>131347.65</v>
      </c>
      <c r="AF1169">
        <v>42627189</v>
      </c>
      <c r="AG1169">
        <v>42627189</v>
      </c>
      <c r="AH1169">
        <v>-1.7663999999999999E-2</v>
      </c>
      <c r="AI1169">
        <v>-1.7663999999999999E-2</v>
      </c>
    </row>
    <row r="1170" spans="1:35" x14ac:dyDescent="0.35">
      <c r="A1170" t="s">
        <v>3</v>
      </c>
      <c r="B1170">
        <v>4250</v>
      </c>
      <c r="C1170">
        <v>108</v>
      </c>
      <c r="D1170">
        <v>362</v>
      </c>
      <c r="E1170">
        <v>0</v>
      </c>
      <c r="F1170">
        <v>4794405886</v>
      </c>
      <c r="G1170">
        <v>11530445.800000001</v>
      </c>
      <c r="H1170">
        <v>4759947698.0500002</v>
      </c>
      <c r="I1170">
        <v>4779391784.2700005</v>
      </c>
      <c r="J1170">
        <v>5.5900999999999999E-2</v>
      </c>
      <c r="K1170">
        <v>8.685E-3</v>
      </c>
      <c r="M1170" t="s">
        <v>2</v>
      </c>
      <c r="N1170">
        <v>5250</v>
      </c>
      <c r="O1170">
        <v>120</v>
      </c>
      <c r="P1170">
        <v>2</v>
      </c>
      <c r="Q1170">
        <v>0</v>
      </c>
      <c r="R1170">
        <v>24460674</v>
      </c>
      <c r="S1170">
        <v>57369.3</v>
      </c>
      <c r="T1170">
        <v>24058518.469999999</v>
      </c>
      <c r="U1170">
        <v>24355709.420000002</v>
      </c>
      <c r="V1170">
        <v>0.15662999999999999</v>
      </c>
      <c r="W1170">
        <v>2.3101E-2</v>
      </c>
      <c r="Y1170" t="s">
        <v>1</v>
      </c>
      <c r="Z1170">
        <v>5250</v>
      </c>
      <c r="AA1170">
        <v>108</v>
      </c>
      <c r="AB1170">
        <v>289</v>
      </c>
      <c r="AC1170">
        <v>0</v>
      </c>
      <c r="AD1170">
        <v>3207181217</v>
      </c>
      <c r="AE1170">
        <v>6721965.6699999999</v>
      </c>
      <c r="AF1170">
        <v>3136961736</v>
      </c>
      <c r="AG1170">
        <v>3165813009.21</v>
      </c>
      <c r="AH1170">
        <v>0.21334500000000001</v>
      </c>
      <c r="AI1170">
        <v>0.122201</v>
      </c>
    </row>
    <row r="1171" spans="1:35" x14ac:dyDescent="0.35">
      <c r="A1171" t="s">
        <v>3</v>
      </c>
      <c r="B1171">
        <v>4500</v>
      </c>
      <c r="C1171">
        <v>108</v>
      </c>
      <c r="D1171">
        <v>278</v>
      </c>
      <c r="E1171">
        <v>0</v>
      </c>
      <c r="F1171">
        <v>3190669697</v>
      </c>
      <c r="G1171">
        <v>7485077.1900000004</v>
      </c>
      <c r="H1171">
        <v>3169530350.3299999</v>
      </c>
      <c r="I1171">
        <v>3182067536.5700002</v>
      </c>
      <c r="J1171">
        <v>5.0161999999999998E-2</v>
      </c>
      <c r="K1171">
        <v>4.1929999999999997E-3</v>
      </c>
      <c r="M1171" t="s">
        <v>3</v>
      </c>
      <c r="N1171">
        <v>3250</v>
      </c>
      <c r="O1171">
        <v>120</v>
      </c>
      <c r="P1171">
        <v>177</v>
      </c>
      <c r="Q1171">
        <v>0</v>
      </c>
      <c r="R1171">
        <v>2863013974</v>
      </c>
      <c r="S1171">
        <v>8054141</v>
      </c>
      <c r="T1171">
        <v>2845956841</v>
      </c>
      <c r="U1171">
        <v>2854883645.6999998</v>
      </c>
      <c r="V1171">
        <v>3.7088999999999997E-2</v>
      </c>
      <c r="W1171">
        <v>3.19E-4</v>
      </c>
      <c r="Y1171" t="s">
        <v>3</v>
      </c>
      <c r="Z1171">
        <v>3500</v>
      </c>
      <c r="AA1171">
        <v>108</v>
      </c>
      <c r="AB1171">
        <v>64</v>
      </c>
      <c r="AC1171">
        <v>0</v>
      </c>
      <c r="AD1171">
        <v>867870236</v>
      </c>
      <c r="AE1171">
        <v>2329815.83</v>
      </c>
      <c r="AF1171">
        <v>865249260</v>
      </c>
      <c r="AG1171">
        <v>865249260</v>
      </c>
      <c r="AH1171">
        <v>4.0179999999999999E-3</v>
      </c>
      <c r="AI1171">
        <v>4.0179999999999999E-3</v>
      </c>
    </row>
    <row r="1172" spans="1:35" x14ac:dyDescent="0.35">
      <c r="A1172" t="s">
        <v>1</v>
      </c>
      <c r="B1172">
        <v>2500</v>
      </c>
      <c r="C1172">
        <v>120</v>
      </c>
      <c r="D1172">
        <v>3</v>
      </c>
      <c r="E1172">
        <v>0</v>
      </c>
      <c r="F1172">
        <v>42627189</v>
      </c>
      <c r="G1172">
        <v>131811.6</v>
      </c>
      <c r="H1172">
        <v>42116327.520000003</v>
      </c>
      <c r="I1172">
        <v>42446185.869999997</v>
      </c>
      <c r="J1172">
        <v>0.10163899999999999</v>
      </c>
      <c r="K1172">
        <v>1.376E-2</v>
      </c>
      <c r="M1172" t="s">
        <v>3</v>
      </c>
      <c r="N1172">
        <v>3500</v>
      </c>
      <c r="O1172">
        <v>120</v>
      </c>
      <c r="P1172">
        <v>228</v>
      </c>
      <c r="Q1172">
        <v>0</v>
      </c>
      <c r="R1172">
        <v>3314782558</v>
      </c>
      <c r="S1172">
        <v>9185777.7799999993</v>
      </c>
      <c r="T1172">
        <v>3293563057.5500002</v>
      </c>
      <c r="U1172">
        <v>3304461251.5799999</v>
      </c>
      <c r="V1172">
        <v>4.2703999999999999E-2</v>
      </c>
      <c r="W1172">
        <v>4.1029999999999999E-3</v>
      </c>
      <c r="Y1172" t="s">
        <v>3</v>
      </c>
      <c r="Z1172">
        <v>4750</v>
      </c>
      <c r="AA1172">
        <v>108</v>
      </c>
      <c r="AB1172">
        <v>47</v>
      </c>
      <c r="AC1172">
        <v>0</v>
      </c>
      <c r="AD1172">
        <v>447200585</v>
      </c>
      <c r="AE1172">
        <v>1001438.62</v>
      </c>
      <c r="AF1172">
        <v>437316892</v>
      </c>
      <c r="AG1172">
        <v>437316892</v>
      </c>
      <c r="AH1172">
        <v>0.21395500000000001</v>
      </c>
      <c r="AI1172">
        <v>0.21395500000000001</v>
      </c>
    </row>
    <row r="1173" spans="1:35" x14ac:dyDescent="0.35">
      <c r="A1173" t="s">
        <v>1</v>
      </c>
      <c r="B1173">
        <v>5250</v>
      </c>
      <c r="C1173">
        <v>108</v>
      </c>
      <c r="D1173">
        <v>325</v>
      </c>
      <c r="E1173">
        <v>0</v>
      </c>
      <c r="F1173">
        <v>3678043020</v>
      </c>
      <c r="G1173">
        <v>7727223.3399999999</v>
      </c>
      <c r="H1173">
        <v>3620247036.3899999</v>
      </c>
      <c r="I1173">
        <v>3652891109.3699999</v>
      </c>
      <c r="J1173">
        <v>0.15166199999999999</v>
      </c>
      <c r="K1173">
        <v>5.5391999999999997E-2</v>
      </c>
      <c r="M1173" t="s">
        <v>3</v>
      </c>
      <c r="N1173">
        <v>3500</v>
      </c>
      <c r="O1173">
        <v>108</v>
      </c>
      <c r="P1173">
        <v>135</v>
      </c>
      <c r="Q1173">
        <v>0</v>
      </c>
      <c r="R1173">
        <v>1901142493</v>
      </c>
      <c r="S1173">
        <v>5110559.3</v>
      </c>
      <c r="T1173">
        <v>1889338594.04</v>
      </c>
      <c r="U1173">
        <v>1895374070.3</v>
      </c>
      <c r="V1173">
        <v>4.1439999999999998E-2</v>
      </c>
      <c r="W1173">
        <v>4.1450000000000002E-3</v>
      </c>
      <c r="Y1173" t="s">
        <v>3</v>
      </c>
      <c r="Z1173">
        <v>5250</v>
      </c>
      <c r="AA1173">
        <v>108</v>
      </c>
      <c r="AB1173">
        <v>4</v>
      </c>
      <c r="AC1173">
        <v>0</v>
      </c>
      <c r="AD1173">
        <v>53857995</v>
      </c>
      <c r="AE1173">
        <v>114025.61</v>
      </c>
      <c r="AF1173">
        <v>53724786</v>
      </c>
      <c r="AG1173">
        <v>53724786</v>
      </c>
      <c r="AH1173">
        <v>4.2659999999999998E-3</v>
      </c>
      <c r="AI1173">
        <v>4.2659999999999998E-3</v>
      </c>
    </row>
    <row r="1174" spans="1:35" x14ac:dyDescent="0.35">
      <c r="A1174" t="s">
        <v>3</v>
      </c>
      <c r="B1174">
        <v>5250</v>
      </c>
      <c r="C1174">
        <v>108</v>
      </c>
      <c r="D1174">
        <v>5</v>
      </c>
      <c r="E1174">
        <v>0</v>
      </c>
      <c r="F1174">
        <v>63184365</v>
      </c>
      <c r="G1174">
        <v>134013.59</v>
      </c>
      <c r="H1174">
        <v>62726739.280000001</v>
      </c>
      <c r="I1174">
        <v>63050350.130000003</v>
      </c>
      <c r="J1174">
        <v>5.9757999999999999E-2</v>
      </c>
      <c r="K1174">
        <v>0</v>
      </c>
      <c r="M1174" t="s">
        <v>3</v>
      </c>
      <c r="N1174">
        <v>3750</v>
      </c>
      <c r="O1174">
        <v>108</v>
      </c>
      <c r="P1174">
        <v>363</v>
      </c>
      <c r="Q1174">
        <v>0</v>
      </c>
      <c r="R1174">
        <v>5442726589</v>
      </c>
      <c r="S1174">
        <v>13812230.25</v>
      </c>
      <c r="T1174">
        <v>5404910335.8699999</v>
      </c>
      <c r="U1174">
        <v>5426795210.1000004</v>
      </c>
      <c r="V1174">
        <v>5.1658000000000003E-2</v>
      </c>
      <c r="W1174">
        <v>4.6620000000000003E-3</v>
      </c>
      <c r="Y1174" t="s">
        <v>0</v>
      </c>
      <c r="Z1174">
        <v>5750</v>
      </c>
      <c r="AA1174">
        <v>108</v>
      </c>
      <c r="AB1174">
        <v>127</v>
      </c>
      <c r="AC1174">
        <v>0</v>
      </c>
      <c r="AD1174">
        <v>1240906136</v>
      </c>
      <c r="AE1174">
        <v>2443076.5499999998</v>
      </c>
      <c r="AF1174">
        <v>1237334726</v>
      </c>
      <c r="AG1174">
        <v>1237334726</v>
      </c>
      <c r="AH1174">
        <v>1.0857E-2</v>
      </c>
      <c r="AI1174">
        <v>1.0857E-2</v>
      </c>
    </row>
    <row r="1175" spans="1:35" x14ac:dyDescent="0.35">
      <c r="A1175" t="s">
        <v>0</v>
      </c>
      <c r="B1175">
        <v>5750</v>
      </c>
      <c r="C1175">
        <v>108</v>
      </c>
      <c r="D1175">
        <v>146</v>
      </c>
      <c r="E1175">
        <v>0</v>
      </c>
      <c r="F1175">
        <v>1417644077</v>
      </c>
      <c r="G1175">
        <v>2791941.71</v>
      </c>
      <c r="H1175">
        <v>1402812421</v>
      </c>
      <c r="I1175">
        <v>1413912996.6500001</v>
      </c>
      <c r="J1175">
        <v>9.7284999999999996E-2</v>
      </c>
      <c r="K1175">
        <v>7.9209999999999992E-3</v>
      </c>
      <c r="M1175" t="s">
        <v>1</v>
      </c>
      <c r="N1175">
        <v>5250</v>
      </c>
      <c r="O1175">
        <v>108</v>
      </c>
      <c r="P1175">
        <v>223</v>
      </c>
      <c r="Q1175">
        <v>0</v>
      </c>
      <c r="R1175">
        <v>2467037074</v>
      </c>
      <c r="S1175">
        <v>5140657.6900000004</v>
      </c>
      <c r="T1175">
        <v>2436125545.6500001</v>
      </c>
      <c r="U1175">
        <v>2457734414.8800001</v>
      </c>
      <c r="V1175">
        <v>0.118396</v>
      </c>
      <c r="W1175">
        <v>2.0057999999999999E-2</v>
      </c>
      <c r="Y1175" t="s">
        <v>2</v>
      </c>
      <c r="Z1175">
        <v>6750</v>
      </c>
      <c r="AA1175">
        <v>42</v>
      </c>
      <c r="AB1175">
        <v>369</v>
      </c>
      <c r="AC1175">
        <v>0</v>
      </c>
      <c r="AD1175">
        <v>5604926405</v>
      </c>
      <c r="AE1175">
        <v>6237584.25</v>
      </c>
      <c r="AF1175">
        <v>5575814877</v>
      </c>
      <c r="AG1175">
        <v>5575814877</v>
      </c>
      <c r="AH1175">
        <v>4.7888E-2</v>
      </c>
      <c r="AI1175">
        <v>4.7888E-2</v>
      </c>
    </row>
    <row r="1176" spans="1:35" x14ac:dyDescent="0.35">
      <c r="A1176" t="s">
        <v>3</v>
      </c>
      <c r="B1176">
        <v>4750</v>
      </c>
      <c r="C1176">
        <v>108</v>
      </c>
      <c r="D1176">
        <v>50</v>
      </c>
      <c r="E1176">
        <v>0</v>
      </c>
      <c r="F1176">
        <v>450963180</v>
      </c>
      <c r="G1176">
        <v>1010710.2</v>
      </c>
      <c r="H1176">
        <v>447257520.17000002</v>
      </c>
      <c r="I1176">
        <v>449927586.62</v>
      </c>
      <c r="J1176">
        <v>6.9401000000000004E-2</v>
      </c>
      <c r="K1176">
        <v>6.6200000000000005E-4</v>
      </c>
      <c r="M1176" t="s">
        <v>3</v>
      </c>
      <c r="N1176">
        <v>4250</v>
      </c>
      <c r="O1176">
        <v>108</v>
      </c>
      <c r="P1176">
        <v>326</v>
      </c>
      <c r="Q1176">
        <v>0</v>
      </c>
      <c r="R1176">
        <v>4143883901</v>
      </c>
      <c r="S1176">
        <v>9889587.3100000005</v>
      </c>
      <c r="T1176">
        <v>4115501499.77</v>
      </c>
      <c r="U1176">
        <v>4131856707.5900002</v>
      </c>
      <c r="V1176">
        <v>5.2256999999999998E-2</v>
      </c>
      <c r="W1176">
        <v>6.1729999999999997E-3</v>
      </c>
      <c r="Y1176" t="s">
        <v>2</v>
      </c>
      <c r="Z1176">
        <v>7250</v>
      </c>
      <c r="AA1176">
        <v>42</v>
      </c>
      <c r="AB1176">
        <v>61</v>
      </c>
      <c r="AC1176">
        <v>0</v>
      </c>
      <c r="AD1176">
        <v>786961879</v>
      </c>
      <c r="AE1176">
        <v>804307.88</v>
      </c>
      <c r="AF1176">
        <v>786220263</v>
      </c>
      <c r="AG1176">
        <v>786220263</v>
      </c>
      <c r="AH1176">
        <v>-9.5600000000000004E-4</v>
      </c>
      <c r="AI1176">
        <v>-9.5600000000000004E-4</v>
      </c>
    </row>
    <row r="1177" spans="1:35" x14ac:dyDescent="0.35">
      <c r="A1177" t="s">
        <v>1</v>
      </c>
      <c r="B1177">
        <v>5250</v>
      </c>
      <c r="C1177">
        <v>6</v>
      </c>
      <c r="D1177">
        <v>397</v>
      </c>
      <c r="E1177">
        <v>0</v>
      </c>
      <c r="F1177">
        <v>16026937712</v>
      </c>
      <c r="G1177">
        <v>19116158.129999999</v>
      </c>
      <c r="H1177">
        <v>15973979270.610001</v>
      </c>
      <c r="I1177">
        <v>16000565882.74</v>
      </c>
      <c r="J1177">
        <v>2.5047E-2</v>
      </c>
      <c r="K1177">
        <v>5.4190000000000002E-3</v>
      </c>
      <c r="M1177" t="s">
        <v>3</v>
      </c>
      <c r="N1177">
        <v>4500</v>
      </c>
      <c r="O1177">
        <v>108</v>
      </c>
      <c r="P1177">
        <v>225</v>
      </c>
      <c r="Q1177">
        <v>0</v>
      </c>
      <c r="R1177">
        <v>2516032232</v>
      </c>
      <c r="S1177">
        <v>5852822.79</v>
      </c>
      <c r="T1177">
        <v>2498068523.9099998</v>
      </c>
      <c r="U1177">
        <v>2507983665.5</v>
      </c>
      <c r="V1177">
        <v>5.6257000000000001E-2</v>
      </c>
      <c r="W1177">
        <v>1.0422000000000001E-2</v>
      </c>
      <c r="Y1177" t="s">
        <v>1</v>
      </c>
      <c r="Z1177">
        <v>7250</v>
      </c>
      <c r="AA1177">
        <v>36</v>
      </c>
      <c r="AB1177">
        <v>3208</v>
      </c>
      <c r="AC1177">
        <v>0</v>
      </c>
      <c r="AD1177">
        <v>73760982807</v>
      </c>
      <c r="AE1177">
        <v>73666425.930000007</v>
      </c>
      <c r="AF1177">
        <v>70450615237</v>
      </c>
      <c r="AG1177">
        <v>72539613105.850006</v>
      </c>
      <c r="AH1177">
        <v>0.41636200000000001</v>
      </c>
      <c r="AI1177">
        <v>0.171539</v>
      </c>
    </row>
    <row r="1178" spans="1:35" x14ac:dyDescent="0.35">
      <c r="A1178" t="s">
        <v>2</v>
      </c>
      <c r="B1178">
        <v>7250</v>
      </c>
      <c r="C1178">
        <v>42</v>
      </c>
      <c r="D1178">
        <v>405</v>
      </c>
      <c r="E1178">
        <v>0</v>
      </c>
      <c r="F1178">
        <v>5511606934</v>
      </c>
      <c r="G1178">
        <v>5635425.3300000001</v>
      </c>
      <c r="H1178">
        <v>5426763906.1499996</v>
      </c>
      <c r="I1178">
        <v>5480953992.29</v>
      </c>
      <c r="J1178">
        <v>0.15945400000000001</v>
      </c>
      <c r="K1178">
        <v>5.3129000000000003E-2</v>
      </c>
      <c r="M1178" t="s">
        <v>3</v>
      </c>
      <c r="N1178">
        <v>4750</v>
      </c>
      <c r="O1178">
        <v>108</v>
      </c>
      <c r="P1178">
        <v>39</v>
      </c>
      <c r="Q1178">
        <v>0</v>
      </c>
      <c r="R1178">
        <v>368098221</v>
      </c>
      <c r="S1178">
        <v>820681.11</v>
      </c>
      <c r="T1178">
        <v>365179273.48000002</v>
      </c>
      <c r="U1178">
        <v>367144805.50999999</v>
      </c>
      <c r="V1178">
        <v>6.6298999999999997E-2</v>
      </c>
      <c r="W1178">
        <v>4.3189999999999999E-3</v>
      </c>
      <c r="Y1178" t="s">
        <v>3</v>
      </c>
      <c r="Z1178">
        <v>3750</v>
      </c>
      <c r="AA1178">
        <v>108</v>
      </c>
      <c r="AB1178">
        <v>380</v>
      </c>
      <c r="AC1178">
        <v>0</v>
      </c>
      <c r="AD1178">
        <v>5729048979</v>
      </c>
      <c r="AE1178">
        <v>14528080.34</v>
      </c>
      <c r="AF1178">
        <v>5679696158</v>
      </c>
      <c r="AG1178">
        <v>5712274344.4799995</v>
      </c>
      <c r="AH1178">
        <v>7.0554000000000006E-2</v>
      </c>
      <c r="AI1178">
        <v>4.6950000000000004E-3</v>
      </c>
    </row>
    <row r="1179" spans="1:35" x14ac:dyDescent="0.35">
      <c r="A1179" t="s">
        <v>1</v>
      </c>
      <c r="B1179">
        <v>7250</v>
      </c>
      <c r="C1179">
        <v>42</v>
      </c>
      <c r="D1179">
        <v>1109</v>
      </c>
      <c r="E1179">
        <v>0</v>
      </c>
      <c r="F1179">
        <v>25240394876</v>
      </c>
      <c r="G1179">
        <v>25861446.34</v>
      </c>
      <c r="H1179">
        <v>24086975523.689999</v>
      </c>
      <c r="I1179">
        <v>24838427193.990002</v>
      </c>
      <c r="J1179">
        <v>0.42213600000000001</v>
      </c>
      <c r="K1179">
        <v>0.16486100000000001</v>
      </c>
      <c r="M1179" t="s">
        <v>1</v>
      </c>
      <c r="N1179">
        <v>2500</v>
      </c>
      <c r="O1179">
        <v>120</v>
      </c>
      <c r="P1179">
        <v>4</v>
      </c>
      <c r="Q1179">
        <v>0</v>
      </c>
      <c r="R1179">
        <v>43478909</v>
      </c>
      <c r="S1179">
        <v>148333.21</v>
      </c>
      <c r="T1179">
        <v>42656248.07</v>
      </c>
      <c r="U1179">
        <v>42875546.380000003</v>
      </c>
      <c r="V1179">
        <v>0.17102899999999999</v>
      </c>
      <c r="W1179">
        <v>0.118604</v>
      </c>
      <c r="Y1179" t="s">
        <v>3</v>
      </c>
      <c r="Z1179">
        <v>4000</v>
      </c>
      <c r="AA1179">
        <v>96</v>
      </c>
      <c r="AB1179">
        <v>121</v>
      </c>
      <c r="AC1179">
        <v>0</v>
      </c>
      <c r="AD1179">
        <v>1891937438</v>
      </c>
      <c r="AE1179">
        <v>4466942.5599999996</v>
      </c>
      <c r="AF1179">
        <v>1886754071</v>
      </c>
      <c r="AG1179">
        <v>1886754071</v>
      </c>
      <c r="AH1179">
        <v>4.535E-3</v>
      </c>
      <c r="AI1179">
        <v>4.535E-3</v>
      </c>
    </row>
    <row r="1180" spans="1:35" x14ac:dyDescent="0.35">
      <c r="A1180" t="s">
        <v>3</v>
      </c>
      <c r="B1180">
        <v>3750</v>
      </c>
      <c r="C1180">
        <v>108</v>
      </c>
      <c r="D1180">
        <v>378</v>
      </c>
      <c r="E1180">
        <v>0</v>
      </c>
      <c r="F1180">
        <v>5529812889</v>
      </c>
      <c r="G1180">
        <v>14016908.699999999</v>
      </c>
      <c r="H1180">
        <v>5492166555.1800003</v>
      </c>
      <c r="I1180">
        <v>5513997221.9300003</v>
      </c>
      <c r="J1180">
        <v>5.0089000000000002E-2</v>
      </c>
      <c r="K1180">
        <v>3.8960000000000002E-3</v>
      </c>
      <c r="M1180" t="s">
        <v>3</v>
      </c>
      <c r="N1180">
        <v>3250</v>
      </c>
      <c r="O1180">
        <v>108</v>
      </c>
      <c r="P1180">
        <v>203</v>
      </c>
      <c r="Q1180">
        <v>0</v>
      </c>
      <c r="R1180">
        <v>3043178860</v>
      </c>
      <c r="S1180">
        <v>8363160.7199999997</v>
      </c>
      <c r="T1180">
        <v>3024615480.3899999</v>
      </c>
      <c r="U1180">
        <v>3034642417.6300001</v>
      </c>
      <c r="V1180">
        <v>3.9489000000000003E-2</v>
      </c>
      <c r="W1180">
        <v>6.8300000000000001E-4</v>
      </c>
      <c r="Y1180" t="s">
        <v>3</v>
      </c>
      <c r="Z1180">
        <v>4500</v>
      </c>
      <c r="AA1180">
        <v>96</v>
      </c>
      <c r="AB1180">
        <v>221</v>
      </c>
      <c r="AC1180">
        <v>0</v>
      </c>
      <c r="AD1180">
        <v>3324625831</v>
      </c>
      <c r="AE1180">
        <v>7220977.8300000001</v>
      </c>
      <c r="AF1180">
        <v>3299454860</v>
      </c>
      <c r="AG1180">
        <v>3316503042.6100001</v>
      </c>
      <c r="AH1180">
        <v>6.2899999999999998E-2</v>
      </c>
      <c r="AI1180">
        <v>3.2499999999999999E-3</v>
      </c>
    </row>
    <row r="1181" spans="1:35" x14ac:dyDescent="0.35">
      <c r="A1181" t="s">
        <v>3</v>
      </c>
      <c r="B1181">
        <v>4500</v>
      </c>
      <c r="C1181">
        <v>96</v>
      </c>
      <c r="D1181">
        <v>207</v>
      </c>
      <c r="E1181">
        <v>0</v>
      </c>
      <c r="F1181">
        <v>3122652039</v>
      </c>
      <c r="G1181">
        <v>6797903.5199999996</v>
      </c>
      <c r="H1181">
        <v>3101842445.1999998</v>
      </c>
      <c r="I1181">
        <v>3115814783.3899999</v>
      </c>
      <c r="J1181">
        <v>5.2535999999999999E-2</v>
      </c>
      <c r="K1181">
        <v>1.5100000000000001E-4</v>
      </c>
      <c r="M1181" t="s">
        <v>3</v>
      </c>
      <c r="N1181">
        <v>5000</v>
      </c>
      <c r="O1181">
        <v>108</v>
      </c>
      <c r="P1181">
        <v>8</v>
      </c>
      <c r="Q1181">
        <v>0</v>
      </c>
      <c r="R1181">
        <v>73574082</v>
      </c>
      <c r="S1181">
        <v>159950.28</v>
      </c>
      <c r="T1181">
        <v>73181852.849999994</v>
      </c>
      <c r="U1181">
        <v>73414082.299999997</v>
      </c>
      <c r="V1181">
        <v>3.7234000000000003E-2</v>
      </c>
      <c r="W1181">
        <v>7.9999999999999996E-6</v>
      </c>
      <c r="Y1181" t="s">
        <v>3</v>
      </c>
      <c r="Z1181">
        <v>4250</v>
      </c>
      <c r="AA1181">
        <v>96</v>
      </c>
      <c r="AB1181">
        <v>169</v>
      </c>
      <c r="AC1181">
        <v>0</v>
      </c>
      <c r="AD1181">
        <v>2688843877</v>
      </c>
      <c r="AE1181">
        <v>6037007.6100000003</v>
      </c>
      <c r="AF1181">
        <v>2682099015</v>
      </c>
      <c r="AG1181">
        <v>2682099015</v>
      </c>
      <c r="AH1181">
        <v>3.1549999999999998E-3</v>
      </c>
      <c r="AI1181">
        <v>3.1549999999999998E-3</v>
      </c>
    </row>
    <row r="1182" spans="1:35" x14ac:dyDescent="0.35">
      <c r="A1182" t="s">
        <v>3</v>
      </c>
      <c r="B1182">
        <v>4250</v>
      </c>
      <c r="C1182">
        <v>96</v>
      </c>
      <c r="D1182">
        <v>153</v>
      </c>
      <c r="E1182">
        <v>0</v>
      </c>
      <c r="F1182">
        <v>2466657448</v>
      </c>
      <c r="G1182">
        <v>5535416.7699999996</v>
      </c>
      <c r="H1182">
        <v>2452189626.5700002</v>
      </c>
      <c r="I1182">
        <v>2460716812.6199999</v>
      </c>
      <c r="J1182">
        <v>4.2599999999999999E-2</v>
      </c>
      <c r="K1182">
        <v>1.97E-3</v>
      </c>
      <c r="M1182" t="s">
        <v>1</v>
      </c>
      <c r="N1182">
        <v>2500</v>
      </c>
      <c r="O1182">
        <v>108</v>
      </c>
      <c r="P1182">
        <v>2</v>
      </c>
      <c r="Q1182">
        <v>0</v>
      </c>
      <c r="R1182">
        <v>33071758</v>
      </c>
      <c r="S1182">
        <v>98668.22</v>
      </c>
      <c r="T1182">
        <v>32790212.260000002</v>
      </c>
      <c r="U1182">
        <v>32973005.920000002</v>
      </c>
      <c r="V1182">
        <v>6.4375000000000002E-2</v>
      </c>
      <c r="W1182">
        <v>3.0000000000000001E-5</v>
      </c>
      <c r="Y1182" t="s">
        <v>3</v>
      </c>
      <c r="Z1182">
        <v>3750</v>
      </c>
      <c r="AA1182">
        <v>96</v>
      </c>
      <c r="AB1182">
        <v>101</v>
      </c>
      <c r="AC1182">
        <v>0</v>
      </c>
      <c r="AD1182">
        <v>1346907903</v>
      </c>
      <c r="AE1182">
        <v>3266291.04</v>
      </c>
      <c r="AF1182">
        <v>1343229678</v>
      </c>
      <c r="AG1182">
        <v>1343229678</v>
      </c>
      <c r="AH1182">
        <v>3.6640000000000002E-3</v>
      </c>
      <c r="AI1182">
        <v>3.6640000000000002E-3</v>
      </c>
    </row>
    <row r="1183" spans="1:35" x14ac:dyDescent="0.35">
      <c r="A1183" t="s">
        <v>3</v>
      </c>
      <c r="B1183">
        <v>5250</v>
      </c>
      <c r="C1183">
        <v>96</v>
      </c>
      <c r="D1183">
        <v>82</v>
      </c>
      <c r="E1183">
        <v>0</v>
      </c>
      <c r="F1183">
        <v>1173011625</v>
      </c>
      <c r="G1183">
        <v>2295992.5499999998</v>
      </c>
      <c r="H1183">
        <v>1164057863.23</v>
      </c>
      <c r="I1183">
        <v>1169968664.46</v>
      </c>
      <c r="J1183">
        <v>6.6022999999999998E-2</v>
      </c>
      <c r="K1183">
        <v>7.6150000000000002E-3</v>
      </c>
      <c r="M1183" t="s">
        <v>0</v>
      </c>
      <c r="N1183">
        <v>4250</v>
      </c>
      <c r="O1183">
        <v>60</v>
      </c>
      <c r="P1183">
        <v>4690</v>
      </c>
      <c r="Q1183">
        <v>0</v>
      </c>
      <c r="R1183">
        <v>83204666997</v>
      </c>
      <c r="S1183">
        <v>155326048.87</v>
      </c>
      <c r="T1183">
        <v>82510770468.75</v>
      </c>
      <c r="U1183">
        <v>82943952921.039993</v>
      </c>
      <c r="V1183">
        <v>7.4968000000000007E-2</v>
      </c>
      <c r="W1183">
        <v>1.5094E-2</v>
      </c>
      <c r="Y1183" t="s">
        <v>3</v>
      </c>
      <c r="Z1183">
        <v>5250</v>
      </c>
      <c r="AA1183">
        <v>96</v>
      </c>
      <c r="AB1183">
        <v>77</v>
      </c>
      <c r="AC1183">
        <v>0</v>
      </c>
      <c r="AD1183">
        <v>1109978236</v>
      </c>
      <c r="AE1183">
        <v>2167710.04</v>
      </c>
      <c r="AF1183">
        <v>1057759451</v>
      </c>
      <c r="AG1183">
        <v>1107491315.9300001</v>
      </c>
      <c r="AH1183">
        <v>0.42517100000000002</v>
      </c>
      <c r="AI1183">
        <v>3.4459999999999998E-3</v>
      </c>
    </row>
    <row r="1184" spans="1:35" x14ac:dyDescent="0.35">
      <c r="A1184" t="s">
        <v>3</v>
      </c>
      <c r="B1184">
        <v>4000</v>
      </c>
      <c r="C1184">
        <v>96</v>
      </c>
      <c r="D1184">
        <v>94</v>
      </c>
      <c r="E1184">
        <v>0</v>
      </c>
      <c r="F1184">
        <v>1412331082</v>
      </c>
      <c r="G1184">
        <v>3343857.92</v>
      </c>
      <c r="H1184">
        <v>1402810310.76</v>
      </c>
      <c r="I1184">
        <v>1408964137.6800001</v>
      </c>
      <c r="J1184">
        <v>5.1237999999999999E-2</v>
      </c>
      <c r="K1184">
        <v>1.9599999999999999E-4</v>
      </c>
      <c r="M1184" t="s">
        <v>3</v>
      </c>
      <c r="N1184">
        <v>5250</v>
      </c>
      <c r="O1184">
        <v>108</v>
      </c>
      <c r="P1184">
        <v>4</v>
      </c>
      <c r="Q1184">
        <v>0</v>
      </c>
      <c r="R1184">
        <v>54126159</v>
      </c>
      <c r="S1184">
        <v>113143.71</v>
      </c>
      <c r="T1184">
        <v>53820567.020000003</v>
      </c>
      <c r="U1184">
        <v>54013014.5</v>
      </c>
      <c r="V1184">
        <v>4.1841999999999997E-2</v>
      </c>
      <c r="W1184">
        <v>0</v>
      </c>
      <c r="Y1184" t="s">
        <v>3</v>
      </c>
      <c r="Z1184">
        <v>5000</v>
      </c>
      <c r="AA1184">
        <v>96</v>
      </c>
      <c r="AB1184">
        <v>157</v>
      </c>
      <c r="AC1184">
        <v>0</v>
      </c>
      <c r="AD1184">
        <v>2187339680</v>
      </c>
      <c r="AE1184">
        <v>4392198.97</v>
      </c>
      <c r="AF1184">
        <v>2177390662</v>
      </c>
      <c r="AG1184">
        <v>2177390662</v>
      </c>
      <c r="AH1184">
        <v>3.0062999999999999E-2</v>
      </c>
      <c r="AI1184">
        <v>3.0062999999999999E-2</v>
      </c>
    </row>
    <row r="1185" spans="1:35" x14ac:dyDescent="0.35">
      <c r="A1185" t="s">
        <v>3</v>
      </c>
      <c r="B1185">
        <v>3750</v>
      </c>
      <c r="C1185">
        <v>96</v>
      </c>
      <c r="D1185">
        <v>59</v>
      </c>
      <c r="E1185">
        <v>0</v>
      </c>
      <c r="F1185">
        <v>947934046</v>
      </c>
      <c r="G1185">
        <v>2302242.34</v>
      </c>
      <c r="H1185">
        <v>942146105.71000004</v>
      </c>
      <c r="I1185">
        <v>945630385.24000001</v>
      </c>
      <c r="J1185">
        <v>4.3243999999999998E-2</v>
      </c>
      <c r="K1185">
        <v>1.8E-5</v>
      </c>
      <c r="M1185" t="s">
        <v>0</v>
      </c>
      <c r="N1185">
        <v>5750</v>
      </c>
      <c r="O1185">
        <v>108</v>
      </c>
      <c r="P1185">
        <v>87</v>
      </c>
      <c r="Q1185">
        <v>0</v>
      </c>
      <c r="R1185">
        <v>781500453</v>
      </c>
      <c r="S1185">
        <v>1545040.48</v>
      </c>
      <c r="T1185">
        <v>774062855.19000006</v>
      </c>
      <c r="U1185">
        <v>779484615.49000001</v>
      </c>
      <c r="V1185">
        <v>8.6820999999999995E-2</v>
      </c>
      <c r="W1185">
        <v>7.2049999999999996E-3</v>
      </c>
      <c r="Y1185" t="s">
        <v>0</v>
      </c>
      <c r="Z1185">
        <v>2750</v>
      </c>
      <c r="AA1185">
        <v>96</v>
      </c>
      <c r="AB1185">
        <v>10</v>
      </c>
      <c r="AC1185">
        <v>0</v>
      </c>
      <c r="AD1185">
        <v>146164436</v>
      </c>
      <c r="AE1185">
        <v>394147.63</v>
      </c>
      <c r="AF1185">
        <v>145719978</v>
      </c>
      <c r="AG1185">
        <v>145719978</v>
      </c>
      <c r="AH1185">
        <v>4.1229999999999999E-3</v>
      </c>
      <c r="AI1185">
        <v>4.1229999999999999E-3</v>
      </c>
    </row>
    <row r="1186" spans="1:35" x14ac:dyDescent="0.35">
      <c r="A1186" t="s">
        <v>3</v>
      </c>
      <c r="B1186">
        <v>5000</v>
      </c>
      <c r="C1186">
        <v>96</v>
      </c>
      <c r="D1186">
        <v>179</v>
      </c>
      <c r="E1186">
        <v>0</v>
      </c>
      <c r="F1186">
        <v>2512310594</v>
      </c>
      <c r="G1186">
        <v>5059002.37</v>
      </c>
      <c r="H1186">
        <v>2490239232.77</v>
      </c>
      <c r="I1186">
        <v>2503875363.4099998</v>
      </c>
      <c r="J1186">
        <v>7.8299999999999995E-2</v>
      </c>
      <c r="K1186">
        <v>1.6008000000000001E-2</v>
      </c>
      <c r="M1186" t="s">
        <v>2</v>
      </c>
      <c r="N1186">
        <v>7250</v>
      </c>
      <c r="O1186">
        <v>36</v>
      </c>
      <c r="P1186">
        <v>1007</v>
      </c>
      <c r="Q1186">
        <v>0</v>
      </c>
      <c r="R1186">
        <v>13637303335</v>
      </c>
      <c r="S1186">
        <v>13569403.34</v>
      </c>
      <c r="T1186">
        <v>13416411129.959999</v>
      </c>
      <c r="U1186">
        <v>13557963416.25</v>
      </c>
      <c r="V1186">
        <v>0.16792499999999999</v>
      </c>
      <c r="W1186">
        <v>5.6363000000000003E-2</v>
      </c>
      <c r="Y1186" t="s">
        <v>0</v>
      </c>
      <c r="Z1186">
        <v>2250</v>
      </c>
      <c r="AA1186">
        <v>72</v>
      </c>
      <c r="AB1186">
        <v>6609</v>
      </c>
      <c r="AC1186">
        <v>0</v>
      </c>
      <c r="AD1186">
        <v>156693269015</v>
      </c>
      <c r="AE1186">
        <v>393423563.56</v>
      </c>
      <c r="AF1186">
        <v>155885772089</v>
      </c>
      <c r="AG1186">
        <v>156270276793.04999</v>
      </c>
      <c r="AH1186">
        <v>3.1253999999999997E-2</v>
      </c>
      <c r="AI1186">
        <v>2.2620000000000001E-3</v>
      </c>
    </row>
    <row r="1187" spans="1:35" x14ac:dyDescent="0.35">
      <c r="A1187" t="s">
        <v>0</v>
      </c>
      <c r="B1187">
        <v>2250</v>
      </c>
      <c r="C1187">
        <v>72</v>
      </c>
      <c r="D1187">
        <v>10297</v>
      </c>
      <c r="E1187">
        <v>0</v>
      </c>
      <c r="F1187">
        <v>243504109033</v>
      </c>
      <c r="G1187">
        <v>612182701.78999996</v>
      </c>
      <c r="H1187">
        <v>241985191890.85001</v>
      </c>
      <c r="I1187">
        <v>242831800777.64999</v>
      </c>
      <c r="J1187">
        <v>4.3779999999999999E-2</v>
      </c>
      <c r="K1187">
        <v>2.9589999999999998E-3</v>
      </c>
      <c r="M1187" t="s">
        <v>1</v>
      </c>
      <c r="N1187">
        <v>7250</v>
      </c>
      <c r="O1187">
        <v>36</v>
      </c>
      <c r="P1187">
        <v>2476</v>
      </c>
      <c r="Q1187">
        <v>0</v>
      </c>
      <c r="R1187">
        <v>57338391444</v>
      </c>
      <c r="S1187">
        <v>57138142.770000003</v>
      </c>
      <c r="T1187">
        <v>54143001503.160004</v>
      </c>
      <c r="U1187">
        <v>56570033329.800003</v>
      </c>
      <c r="V1187">
        <v>0.49106899999999998</v>
      </c>
      <c r="W1187">
        <v>0.139101</v>
      </c>
      <c r="Y1187" t="s">
        <v>2</v>
      </c>
      <c r="Z1187">
        <v>2250</v>
      </c>
      <c r="AA1187">
        <v>72</v>
      </c>
      <c r="AB1187">
        <v>1003</v>
      </c>
      <c r="AC1187">
        <v>0</v>
      </c>
      <c r="AD1187">
        <v>18069582719</v>
      </c>
      <c r="AE1187">
        <v>45323428.789999999</v>
      </c>
      <c r="AF1187">
        <v>18002437486</v>
      </c>
      <c r="AG1187">
        <v>18022076208.400002</v>
      </c>
      <c r="AH1187">
        <v>1.4396000000000001E-2</v>
      </c>
      <c r="AI1187">
        <v>1.449E-3</v>
      </c>
    </row>
    <row r="1188" spans="1:35" x14ac:dyDescent="0.35">
      <c r="A1188" t="s">
        <v>2</v>
      </c>
      <c r="B1188">
        <v>2250</v>
      </c>
      <c r="C1188">
        <v>72</v>
      </c>
      <c r="D1188">
        <v>1540</v>
      </c>
      <c r="E1188">
        <v>0</v>
      </c>
      <c r="F1188">
        <v>27458688345</v>
      </c>
      <c r="G1188">
        <v>68968234.099999994</v>
      </c>
      <c r="H1188">
        <v>27259610028.290001</v>
      </c>
      <c r="I1188">
        <v>27386522382.73</v>
      </c>
      <c r="J1188">
        <v>5.5402E-2</v>
      </c>
      <c r="K1188">
        <v>1.397E-3</v>
      </c>
      <c r="M1188" t="s">
        <v>3</v>
      </c>
      <c r="N1188">
        <v>4000</v>
      </c>
      <c r="O1188">
        <v>96</v>
      </c>
      <c r="P1188">
        <v>211</v>
      </c>
      <c r="Q1188">
        <v>0</v>
      </c>
      <c r="R1188">
        <v>3138821560</v>
      </c>
      <c r="S1188">
        <v>7392195.46</v>
      </c>
      <c r="T1188">
        <v>3117390955.3899999</v>
      </c>
      <c r="U1188">
        <v>3130700504.0999999</v>
      </c>
      <c r="V1188">
        <v>5.2368999999999999E-2</v>
      </c>
      <c r="W1188">
        <v>2.7829999999999999E-3</v>
      </c>
      <c r="Y1188" t="s">
        <v>1</v>
      </c>
      <c r="Z1188">
        <v>2250</v>
      </c>
      <c r="AA1188">
        <v>72</v>
      </c>
      <c r="AB1188">
        <v>57421</v>
      </c>
      <c r="AC1188">
        <v>0</v>
      </c>
      <c r="AD1188">
        <v>1681674638514</v>
      </c>
      <c r="AE1188">
        <v>4221602996.77</v>
      </c>
      <c r="AF1188">
        <v>1672383352451</v>
      </c>
      <c r="AG1188">
        <v>1676530434417.8301</v>
      </c>
      <c r="AH1188">
        <v>3.5582000000000003E-2</v>
      </c>
      <c r="AI1188">
        <v>6.5640000000000004E-3</v>
      </c>
    </row>
    <row r="1189" spans="1:35" x14ac:dyDescent="0.35">
      <c r="A1189" t="s">
        <v>1</v>
      </c>
      <c r="B1189">
        <v>2250</v>
      </c>
      <c r="C1189">
        <v>72</v>
      </c>
      <c r="D1189">
        <v>88426</v>
      </c>
      <c r="E1189">
        <v>0</v>
      </c>
      <c r="F1189">
        <v>2568203180677</v>
      </c>
      <c r="G1189">
        <v>6457208572.2399998</v>
      </c>
      <c r="H1189">
        <v>2549843232827.8999</v>
      </c>
      <c r="I1189">
        <v>2561158597175.0698</v>
      </c>
      <c r="J1189">
        <v>5.4219999999999997E-2</v>
      </c>
      <c r="K1189">
        <v>2.7409999999999999E-3</v>
      </c>
      <c r="M1189" t="s">
        <v>2</v>
      </c>
      <c r="N1189">
        <v>3750</v>
      </c>
      <c r="O1189">
        <v>60</v>
      </c>
      <c r="P1189">
        <v>1605</v>
      </c>
      <c r="Q1189">
        <v>0</v>
      </c>
      <c r="R1189">
        <v>21075893303</v>
      </c>
      <c r="S1189">
        <v>43582834.200000003</v>
      </c>
      <c r="T1189">
        <v>20886763220.919998</v>
      </c>
      <c r="U1189">
        <v>21011895698.759998</v>
      </c>
      <c r="V1189">
        <v>7.9794000000000004E-2</v>
      </c>
      <c r="W1189">
        <v>1.1561999999999999E-2</v>
      </c>
      <c r="Y1189" t="s">
        <v>3</v>
      </c>
      <c r="Z1189">
        <v>5750</v>
      </c>
      <c r="AA1189">
        <v>96</v>
      </c>
      <c r="AB1189">
        <v>22</v>
      </c>
      <c r="AC1189">
        <v>0</v>
      </c>
      <c r="AD1189">
        <v>256937612</v>
      </c>
      <c r="AE1189">
        <v>469787.59</v>
      </c>
      <c r="AF1189">
        <v>256415278</v>
      </c>
      <c r="AG1189">
        <v>256415278</v>
      </c>
      <c r="AH1189">
        <v>2.4510000000000001E-3</v>
      </c>
      <c r="AI1189">
        <v>2.4510000000000001E-3</v>
      </c>
    </row>
    <row r="1190" spans="1:35" x14ac:dyDescent="0.35">
      <c r="A1190" t="s">
        <v>3</v>
      </c>
      <c r="B1190">
        <v>5750</v>
      </c>
      <c r="C1190">
        <v>96</v>
      </c>
      <c r="D1190">
        <v>32</v>
      </c>
      <c r="E1190">
        <v>0</v>
      </c>
      <c r="F1190">
        <v>368074343</v>
      </c>
      <c r="G1190">
        <v>671781.66</v>
      </c>
      <c r="H1190">
        <v>365289554.88</v>
      </c>
      <c r="I1190">
        <v>367398663.69</v>
      </c>
      <c r="J1190">
        <v>6.6753999999999994E-2</v>
      </c>
      <c r="K1190">
        <v>1.27E-4</v>
      </c>
      <c r="M1190" t="s">
        <v>0</v>
      </c>
      <c r="N1190">
        <v>2750</v>
      </c>
      <c r="O1190">
        <v>96</v>
      </c>
      <c r="P1190">
        <v>17</v>
      </c>
      <c r="Q1190">
        <v>0</v>
      </c>
      <c r="R1190">
        <v>242495752</v>
      </c>
      <c r="S1190">
        <v>658758.54</v>
      </c>
      <c r="T1190">
        <v>239950452.53</v>
      </c>
      <c r="U1190">
        <v>241188134.44</v>
      </c>
      <c r="V1190">
        <v>8.9463000000000001E-2</v>
      </c>
      <c r="W1190">
        <v>3.1641000000000002E-2</v>
      </c>
      <c r="Y1190" t="s">
        <v>0</v>
      </c>
      <c r="Z1190">
        <v>6250</v>
      </c>
      <c r="AA1190">
        <v>96</v>
      </c>
      <c r="AB1190">
        <v>736</v>
      </c>
      <c r="AC1190">
        <v>0</v>
      </c>
      <c r="AD1190">
        <v>8959719009</v>
      </c>
      <c r="AE1190">
        <v>15223475.470000001</v>
      </c>
      <c r="AF1190">
        <v>8913423198</v>
      </c>
      <c r="AG1190">
        <v>8918209130.1499996</v>
      </c>
      <c r="AH1190">
        <v>4.0830999999999999E-2</v>
      </c>
      <c r="AI1190">
        <v>3.4644000000000001E-2</v>
      </c>
    </row>
    <row r="1191" spans="1:35" x14ac:dyDescent="0.35">
      <c r="A1191" t="s">
        <v>0</v>
      </c>
      <c r="B1191">
        <v>6250</v>
      </c>
      <c r="C1191">
        <v>96</v>
      </c>
      <c r="D1191">
        <v>924</v>
      </c>
      <c r="E1191">
        <v>0</v>
      </c>
      <c r="F1191">
        <v>11345336256</v>
      </c>
      <c r="G1191">
        <v>19258883.550000001</v>
      </c>
      <c r="H1191">
        <v>11202218364.52</v>
      </c>
      <c r="I1191">
        <v>11277656146.18</v>
      </c>
      <c r="J1191">
        <v>0.123419</v>
      </c>
      <c r="K1191">
        <v>5.0029999999999998E-2</v>
      </c>
      <c r="M1191" t="s">
        <v>1</v>
      </c>
      <c r="N1191">
        <v>3250</v>
      </c>
      <c r="O1191">
        <v>60</v>
      </c>
      <c r="P1191">
        <v>20851</v>
      </c>
      <c r="Q1191">
        <v>0</v>
      </c>
      <c r="R1191">
        <v>472761885736</v>
      </c>
      <c r="S1191">
        <v>1037956586.8099999</v>
      </c>
      <c r="T1191">
        <v>467603149566.81</v>
      </c>
      <c r="U1191">
        <v>470737448020.27002</v>
      </c>
      <c r="V1191">
        <v>9.9724999999999994E-2</v>
      </c>
      <c r="W1191">
        <v>2.4754000000000002E-2</v>
      </c>
      <c r="Y1191" t="s">
        <v>1</v>
      </c>
      <c r="Z1191">
        <v>3750</v>
      </c>
      <c r="AA1191">
        <v>320</v>
      </c>
      <c r="AB1191">
        <v>9</v>
      </c>
      <c r="AC1191">
        <v>0</v>
      </c>
      <c r="AD1191">
        <v>44474984</v>
      </c>
      <c r="AE1191">
        <v>361722.43</v>
      </c>
      <c r="AF1191">
        <v>43845390</v>
      </c>
      <c r="AG1191">
        <v>43845390</v>
      </c>
      <c r="AH1191">
        <v>6.9929000000000005E-2</v>
      </c>
      <c r="AI1191">
        <v>6.9929000000000005E-2</v>
      </c>
    </row>
    <row r="1192" spans="1:35" x14ac:dyDescent="0.35">
      <c r="A1192" t="s">
        <v>1</v>
      </c>
      <c r="B1192">
        <v>3750</v>
      </c>
      <c r="C1192">
        <v>320</v>
      </c>
      <c r="D1192">
        <v>9</v>
      </c>
      <c r="E1192">
        <v>0</v>
      </c>
      <c r="F1192">
        <v>43845390</v>
      </c>
      <c r="G1192">
        <v>360596.08</v>
      </c>
      <c r="H1192">
        <v>43061278</v>
      </c>
      <c r="I1192">
        <v>43312750.240000002</v>
      </c>
      <c r="J1192">
        <v>0.109948</v>
      </c>
      <c r="K1192">
        <v>4.6082999999999999E-2</v>
      </c>
      <c r="M1192" t="s">
        <v>3</v>
      </c>
      <c r="N1192">
        <v>4500</v>
      </c>
      <c r="O1192">
        <v>96</v>
      </c>
      <c r="P1192">
        <v>236</v>
      </c>
      <c r="Q1192">
        <v>0</v>
      </c>
      <c r="R1192">
        <v>3387577633</v>
      </c>
      <c r="S1192">
        <v>7350685.3499999996</v>
      </c>
      <c r="T1192">
        <v>3365380174.3099999</v>
      </c>
      <c r="U1192">
        <v>3379725829.2399998</v>
      </c>
      <c r="V1192">
        <v>5.1343E-2</v>
      </c>
      <c r="W1192">
        <v>1.774E-3</v>
      </c>
      <c r="Y1192" t="s">
        <v>1</v>
      </c>
      <c r="Z1192">
        <v>3750</v>
      </c>
      <c r="AA1192">
        <v>216</v>
      </c>
      <c r="AB1192">
        <v>4</v>
      </c>
      <c r="AC1192">
        <v>0</v>
      </c>
      <c r="AD1192">
        <v>35830334</v>
      </c>
      <c r="AE1192">
        <v>173222.37</v>
      </c>
      <c r="AF1192">
        <v>35607810</v>
      </c>
      <c r="AG1192">
        <v>35607810</v>
      </c>
      <c r="AH1192">
        <v>1.6386999999999999E-2</v>
      </c>
      <c r="AI1192">
        <v>1.6386999999999999E-2</v>
      </c>
    </row>
    <row r="1193" spans="1:35" x14ac:dyDescent="0.35">
      <c r="A1193" t="s">
        <v>1</v>
      </c>
      <c r="B1193">
        <v>3750</v>
      </c>
      <c r="C1193">
        <v>216</v>
      </c>
      <c r="D1193">
        <v>4</v>
      </c>
      <c r="E1193">
        <v>0</v>
      </c>
      <c r="F1193">
        <v>35607810</v>
      </c>
      <c r="G1193">
        <v>173517.12</v>
      </c>
      <c r="H1193">
        <v>35286208.130000003</v>
      </c>
      <c r="I1193">
        <v>35434287.420000002</v>
      </c>
      <c r="J1193">
        <v>4.8779000000000003E-2</v>
      </c>
      <c r="K1193">
        <v>1.9999999999999999E-6</v>
      </c>
      <c r="M1193" t="s">
        <v>3</v>
      </c>
      <c r="N1193">
        <v>4250</v>
      </c>
      <c r="O1193">
        <v>96</v>
      </c>
      <c r="P1193">
        <v>215</v>
      </c>
      <c r="Q1193">
        <v>0</v>
      </c>
      <c r="R1193">
        <v>3196692020</v>
      </c>
      <c r="S1193">
        <v>7213711.4299999997</v>
      </c>
      <c r="T1193">
        <v>3177301151.77</v>
      </c>
      <c r="U1193">
        <v>3189345283.6799998</v>
      </c>
      <c r="V1193">
        <v>4.4766E-2</v>
      </c>
      <c r="W1193">
        <v>4.9899999999999999E-4</v>
      </c>
      <c r="Y1193" t="s">
        <v>1</v>
      </c>
      <c r="Z1193">
        <v>3750</v>
      </c>
      <c r="AA1193">
        <v>240</v>
      </c>
      <c r="AB1193">
        <v>2</v>
      </c>
      <c r="AC1193">
        <v>0</v>
      </c>
      <c r="AD1193">
        <v>15433527</v>
      </c>
      <c r="AE1193">
        <v>104959.77</v>
      </c>
      <c r="AF1193">
        <v>15324872</v>
      </c>
      <c r="AG1193">
        <v>15324872</v>
      </c>
      <c r="AH1193">
        <v>2.869E-3</v>
      </c>
      <c r="AI1193">
        <v>2.869E-3</v>
      </c>
    </row>
    <row r="1194" spans="1:35" x14ac:dyDescent="0.35">
      <c r="A1194" t="s">
        <v>1</v>
      </c>
      <c r="B1194">
        <v>3750</v>
      </c>
      <c r="C1194">
        <v>240</v>
      </c>
      <c r="D1194">
        <v>2</v>
      </c>
      <c r="E1194">
        <v>0</v>
      </c>
      <c r="F1194">
        <v>15324872</v>
      </c>
      <c r="G1194">
        <v>105257.9</v>
      </c>
      <c r="H1194">
        <v>15161191.859999999</v>
      </c>
      <c r="I1194">
        <v>15219606.5</v>
      </c>
      <c r="J1194">
        <v>4.48E-2</v>
      </c>
      <c r="K1194">
        <v>6.0000000000000002E-6</v>
      </c>
      <c r="M1194" t="s">
        <v>3</v>
      </c>
      <c r="N1194">
        <v>3750</v>
      </c>
      <c r="O1194">
        <v>96</v>
      </c>
      <c r="P1194">
        <v>179</v>
      </c>
      <c r="Q1194">
        <v>0</v>
      </c>
      <c r="R1194">
        <v>2534323622</v>
      </c>
      <c r="S1194">
        <v>6127134.04</v>
      </c>
      <c r="T1194">
        <v>2516977922.8299999</v>
      </c>
      <c r="U1194">
        <v>2528099641.7600002</v>
      </c>
      <c r="V1194">
        <v>5.1845000000000002E-2</v>
      </c>
      <c r="W1194">
        <v>4.5800000000000002E-4</v>
      </c>
      <c r="Y1194" t="s">
        <v>3</v>
      </c>
      <c r="Z1194">
        <v>5500</v>
      </c>
      <c r="AA1194">
        <v>96</v>
      </c>
      <c r="AB1194">
        <v>20</v>
      </c>
      <c r="AC1194">
        <v>0</v>
      </c>
      <c r="AD1194">
        <v>237872070</v>
      </c>
      <c r="AE1194">
        <v>444061.61</v>
      </c>
      <c r="AF1194">
        <v>237337581</v>
      </c>
      <c r="AG1194">
        <v>237337581</v>
      </c>
      <c r="AH1194">
        <v>4.5519999999999996E-3</v>
      </c>
      <c r="AI1194">
        <v>4.5519999999999996E-3</v>
      </c>
    </row>
    <row r="1195" spans="1:35" x14ac:dyDescent="0.35">
      <c r="A1195" t="s">
        <v>3</v>
      </c>
      <c r="B1195">
        <v>5500</v>
      </c>
      <c r="C1195">
        <v>96</v>
      </c>
      <c r="D1195">
        <v>31</v>
      </c>
      <c r="E1195">
        <v>0</v>
      </c>
      <c r="F1195">
        <v>382463642</v>
      </c>
      <c r="G1195">
        <v>712843.2</v>
      </c>
      <c r="H1195">
        <v>380184556.31</v>
      </c>
      <c r="I1195">
        <v>381696740.00999999</v>
      </c>
      <c r="J1195">
        <v>4.8050000000000002E-2</v>
      </c>
      <c r="K1195">
        <v>1.6949999999999999E-3</v>
      </c>
      <c r="M1195" t="s">
        <v>3</v>
      </c>
      <c r="N1195">
        <v>5250</v>
      </c>
      <c r="O1195">
        <v>96</v>
      </c>
      <c r="P1195">
        <v>52</v>
      </c>
      <c r="Q1195">
        <v>0</v>
      </c>
      <c r="R1195">
        <v>709271022</v>
      </c>
      <c r="S1195">
        <v>1379749.92</v>
      </c>
      <c r="T1195">
        <v>704431404.72000003</v>
      </c>
      <c r="U1195">
        <v>707879544.94000006</v>
      </c>
      <c r="V1195">
        <v>5.6991E-2</v>
      </c>
      <c r="W1195">
        <v>1.9799999999999999E-4</v>
      </c>
      <c r="Y1195" t="s">
        <v>1</v>
      </c>
      <c r="Z1195">
        <v>6250</v>
      </c>
      <c r="AA1195">
        <v>96</v>
      </c>
      <c r="AB1195">
        <v>31</v>
      </c>
      <c r="AC1195">
        <v>0</v>
      </c>
      <c r="AD1195">
        <v>318946369</v>
      </c>
      <c r="AE1195">
        <v>537414.1</v>
      </c>
      <c r="AF1195">
        <v>318444728</v>
      </c>
      <c r="AG1195">
        <v>318444728</v>
      </c>
      <c r="AH1195">
        <v>-1.3470000000000001E-3</v>
      </c>
      <c r="AI1195">
        <v>-1.3470000000000001E-3</v>
      </c>
    </row>
    <row r="1196" spans="1:35" x14ac:dyDescent="0.35">
      <c r="A1196" t="s">
        <v>1</v>
      </c>
      <c r="B1196">
        <v>6250</v>
      </c>
      <c r="C1196">
        <v>96</v>
      </c>
      <c r="D1196">
        <v>42</v>
      </c>
      <c r="E1196">
        <v>0</v>
      </c>
      <c r="F1196">
        <v>461997092</v>
      </c>
      <c r="G1196">
        <v>779609.44</v>
      </c>
      <c r="H1196">
        <v>451578921.27999997</v>
      </c>
      <c r="I1196">
        <v>457669690.22000003</v>
      </c>
      <c r="J1196">
        <v>0.22353400000000001</v>
      </c>
      <c r="K1196">
        <v>8.8357000000000005E-2</v>
      </c>
      <c r="M1196" t="s">
        <v>0</v>
      </c>
      <c r="N1196">
        <v>2250</v>
      </c>
      <c r="O1196">
        <v>72</v>
      </c>
      <c r="P1196">
        <v>1776</v>
      </c>
      <c r="Q1196">
        <v>0</v>
      </c>
      <c r="R1196">
        <v>42005689368</v>
      </c>
      <c r="S1196">
        <v>105229135.64</v>
      </c>
      <c r="T1196">
        <v>41702740205.099998</v>
      </c>
      <c r="U1196">
        <v>41888429419.379997</v>
      </c>
      <c r="V1196">
        <v>5.5044000000000003E-2</v>
      </c>
      <c r="W1196">
        <v>3.4320000000000002E-3</v>
      </c>
      <c r="Y1196" t="s">
        <v>2</v>
      </c>
      <c r="Z1196">
        <v>5750</v>
      </c>
      <c r="AA1196">
        <v>96</v>
      </c>
      <c r="AB1196">
        <v>44</v>
      </c>
      <c r="AC1196">
        <v>0</v>
      </c>
      <c r="AD1196">
        <v>421067284</v>
      </c>
      <c r="AE1196">
        <v>745659.42</v>
      </c>
      <c r="AF1196">
        <v>420258171</v>
      </c>
      <c r="AG1196">
        <v>420258171</v>
      </c>
      <c r="AH1196">
        <v>1.807E-3</v>
      </c>
      <c r="AI1196">
        <v>1.807E-3</v>
      </c>
    </row>
    <row r="1197" spans="1:35" x14ac:dyDescent="0.35">
      <c r="A1197" t="s">
        <v>2</v>
      </c>
      <c r="B1197">
        <v>5750</v>
      </c>
      <c r="C1197">
        <v>96</v>
      </c>
      <c r="D1197">
        <v>247</v>
      </c>
      <c r="E1197">
        <v>0</v>
      </c>
      <c r="F1197">
        <v>2331266095</v>
      </c>
      <c r="G1197">
        <v>4145387.81</v>
      </c>
      <c r="H1197">
        <v>2307452257.9699998</v>
      </c>
      <c r="I1197">
        <v>2321214790.02</v>
      </c>
      <c r="J1197">
        <v>9.6672999999999995E-2</v>
      </c>
      <c r="K1197">
        <v>2.998E-2</v>
      </c>
      <c r="M1197" t="s">
        <v>2</v>
      </c>
      <c r="N1197">
        <v>2250</v>
      </c>
      <c r="O1197">
        <v>72</v>
      </c>
      <c r="P1197">
        <v>222</v>
      </c>
      <c r="Q1197">
        <v>0</v>
      </c>
      <c r="R1197">
        <v>4088642516</v>
      </c>
      <c r="S1197">
        <v>10228058.210000001</v>
      </c>
      <c r="T1197">
        <v>4056102832.8800001</v>
      </c>
      <c r="U1197">
        <v>4077793036.9200001</v>
      </c>
      <c r="V1197">
        <v>6.3553999999999999E-2</v>
      </c>
      <c r="W1197">
        <v>1.8220000000000001E-3</v>
      </c>
      <c r="Y1197" t="s">
        <v>0</v>
      </c>
      <c r="Z1197">
        <v>6500</v>
      </c>
      <c r="AA1197">
        <v>96</v>
      </c>
      <c r="AB1197">
        <v>36</v>
      </c>
      <c r="AC1197">
        <v>0</v>
      </c>
      <c r="AD1197">
        <v>373106882</v>
      </c>
      <c r="AE1197">
        <v>605460.31999999995</v>
      </c>
      <c r="AF1197">
        <v>366150509</v>
      </c>
      <c r="AG1197">
        <v>366150509</v>
      </c>
      <c r="AH1197">
        <v>0.18618199999999999</v>
      </c>
      <c r="AI1197">
        <v>0.18618199999999999</v>
      </c>
    </row>
    <row r="1198" spans="1:35" x14ac:dyDescent="0.35">
      <c r="A1198" t="s">
        <v>0</v>
      </c>
      <c r="B1198">
        <v>6500</v>
      </c>
      <c r="C1198">
        <v>96</v>
      </c>
      <c r="D1198">
        <v>53</v>
      </c>
      <c r="E1198">
        <v>0</v>
      </c>
      <c r="F1198">
        <v>560208194</v>
      </c>
      <c r="G1198">
        <v>909195.85</v>
      </c>
      <c r="H1198">
        <v>550570219.84000003</v>
      </c>
      <c r="I1198">
        <v>557985851.08000004</v>
      </c>
      <c r="J1198">
        <v>0.17175599999999999</v>
      </c>
      <c r="K1198">
        <v>2.7768999999999999E-2</v>
      </c>
      <c r="M1198" t="s">
        <v>2</v>
      </c>
      <c r="N1198">
        <v>2250</v>
      </c>
      <c r="O1198">
        <v>60</v>
      </c>
      <c r="P1198">
        <v>4357</v>
      </c>
      <c r="Q1198">
        <v>0</v>
      </c>
      <c r="R1198">
        <v>78283327078</v>
      </c>
      <c r="S1198">
        <v>191995788.78999999</v>
      </c>
      <c r="T1198">
        <v>77662359152.240005</v>
      </c>
      <c r="U1198">
        <v>78071116072.419998</v>
      </c>
      <c r="V1198">
        <v>6.3811000000000007E-2</v>
      </c>
      <c r="W1198">
        <v>3.094E-3</v>
      </c>
      <c r="Y1198" t="s">
        <v>1</v>
      </c>
      <c r="Z1198">
        <v>7750</v>
      </c>
      <c r="AA1198">
        <v>36</v>
      </c>
      <c r="AB1198">
        <v>363</v>
      </c>
      <c r="AC1198">
        <v>0</v>
      </c>
      <c r="AD1198">
        <v>7946009584</v>
      </c>
      <c r="AE1198">
        <v>7244431.0300000003</v>
      </c>
      <c r="AF1198">
        <v>7568156708</v>
      </c>
      <c r="AG1198">
        <v>7694867537.8599997</v>
      </c>
      <c r="AH1198">
        <v>0.43625999999999998</v>
      </c>
      <c r="AI1198">
        <v>0.31209399999999998</v>
      </c>
    </row>
    <row r="1199" spans="1:35" x14ac:dyDescent="0.35">
      <c r="A1199" t="s">
        <v>1</v>
      </c>
      <c r="B1199">
        <v>7750</v>
      </c>
      <c r="C1199">
        <v>36</v>
      </c>
      <c r="D1199">
        <v>314</v>
      </c>
      <c r="E1199">
        <v>0</v>
      </c>
      <c r="F1199">
        <v>7216554167</v>
      </c>
      <c r="G1199">
        <v>6556553.3300000001</v>
      </c>
      <c r="H1199">
        <v>6769228918.96</v>
      </c>
      <c r="I1199">
        <v>6958627373.8900003</v>
      </c>
      <c r="J1199">
        <v>0.53058499999999997</v>
      </c>
      <c r="K1199">
        <v>0.34651999999999999</v>
      </c>
      <c r="M1199" t="s">
        <v>3</v>
      </c>
      <c r="N1199">
        <v>5750</v>
      </c>
      <c r="O1199">
        <v>96</v>
      </c>
      <c r="P1199">
        <v>18</v>
      </c>
      <c r="Q1199">
        <v>0</v>
      </c>
      <c r="R1199">
        <v>204099536</v>
      </c>
      <c r="S1199">
        <v>370752.81</v>
      </c>
      <c r="T1199">
        <v>202557328.22</v>
      </c>
      <c r="U1199">
        <v>203728145.08000001</v>
      </c>
      <c r="V1199">
        <v>6.6741999999999996E-2</v>
      </c>
      <c r="W1199">
        <v>3.8000000000000002E-5</v>
      </c>
      <c r="Y1199" t="s">
        <v>1</v>
      </c>
      <c r="Z1199">
        <v>7500</v>
      </c>
      <c r="AA1199">
        <v>36</v>
      </c>
      <c r="AB1199">
        <v>351</v>
      </c>
      <c r="AC1199">
        <v>0</v>
      </c>
      <c r="AD1199">
        <v>7419253336</v>
      </c>
      <c r="AE1199">
        <v>7079656.5499999998</v>
      </c>
      <c r="AF1199">
        <v>7308056393</v>
      </c>
      <c r="AG1199">
        <v>7378004559.6899996</v>
      </c>
      <c r="AH1199">
        <v>0.15599199999999999</v>
      </c>
      <c r="AI1199">
        <v>5.3886999999999997E-2</v>
      </c>
    </row>
    <row r="1200" spans="1:35" x14ac:dyDescent="0.35">
      <c r="A1200" t="s">
        <v>3</v>
      </c>
      <c r="B1200">
        <v>5500</v>
      </c>
      <c r="C1200">
        <v>84</v>
      </c>
      <c r="D1200">
        <v>14</v>
      </c>
      <c r="E1200">
        <v>0</v>
      </c>
      <c r="F1200">
        <v>168583266</v>
      </c>
      <c r="G1200">
        <v>301288.5</v>
      </c>
      <c r="H1200">
        <v>167446083.91</v>
      </c>
      <c r="I1200">
        <v>168188771.03999999</v>
      </c>
      <c r="J1200">
        <v>5.7903999999999997E-2</v>
      </c>
      <c r="K1200">
        <v>6.6140000000000001E-3</v>
      </c>
      <c r="M1200" t="s">
        <v>3</v>
      </c>
      <c r="N1200">
        <v>4750</v>
      </c>
      <c r="O1200">
        <v>84</v>
      </c>
      <c r="P1200">
        <v>215</v>
      </c>
      <c r="Q1200">
        <v>0</v>
      </c>
      <c r="R1200">
        <v>3092795214</v>
      </c>
      <c r="S1200">
        <v>6027620.8600000003</v>
      </c>
      <c r="T1200">
        <v>3074636757.21</v>
      </c>
      <c r="U1200">
        <v>3086764590.8899999</v>
      </c>
      <c r="V1200">
        <v>4.6065000000000002E-2</v>
      </c>
      <c r="W1200">
        <v>1.2E-5</v>
      </c>
      <c r="Y1200" t="s">
        <v>0</v>
      </c>
      <c r="Z1200">
        <v>6250</v>
      </c>
      <c r="AA1200">
        <v>84</v>
      </c>
      <c r="AB1200">
        <v>1043</v>
      </c>
      <c r="AC1200">
        <v>0</v>
      </c>
      <c r="AD1200">
        <v>12963031166</v>
      </c>
      <c r="AE1200">
        <v>20964674</v>
      </c>
      <c r="AF1200">
        <v>12805550710</v>
      </c>
      <c r="AG1200">
        <v>12860835040.24</v>
      </c>
      <c r="AH1200">
        <v>0.11930499999999999</v>
      </c>
      <c r="AI1200">
        <v>7.2658E-2</v>
      </c>
    </row>
    <row r="1201" spans="1:35" x14ac:dyDescent="0.35">
      <c r="A1201" t="s">
        <v>3</v>
      </c>
      <c r="B1201">
        <v>5000</v>
      </c>
      <c r="C1201">
        <v>84</v>
      </c>
      <c r="D1201">
        <v>49</v>
      </c>
      <c r="E1201">
        <v>0</v>
      </c>
      <c r="F1201">
        <v>716879003</v>
      </c>
      <c r="G1201">
        <v>1380676.78</v>
      </c>
      <c r="H1201">
        <v>712602017.50999999</v>
      </c>
      <c r="I1201">
        <v>715315714.60000002</v>
      </c>
      <c r="J1201">
        <v>4.7419000000000003E-2</v>
      </c>
      <c r="K1201">
        <v>3.052E-3</v>
      </c>
      <c r="M1201" t="s">
        <v>0</v>
      </c>
      <c r="N1201">
        <v>6250</v>
      </c>
      <c r="O1201">
        <v>96</v>
      </c>
      <c r="P1201">
        <v>540</v>
      </c>
      <c r="Q1201">
        <v>0</v>
      </c>
      <c r="R1201">
        <v>6597211240</v>
      </c>
      <c r="S1201">
        <v>11150967.42</v>
      </c>
      <c r="T1201">
        <v>6520027066.3599997</v>
      </c>
      <c r="U1201">
        <v>6560518501.75</v>
      </c>
      <c r="V1201">
        <v>0.113715</v>
      </c>
      <c r="W1201">
        <v>4.5483000000000003E-2</v>
      </c>
      <c r="Y1201" t="s">
        <v>3</v>
      </c>
      <c r="Z1201">
        <v>5500</v>
      </c>
      <c r="AA1201">
        <v>84</v>
      </c>
      <c r="AB1201">
        <v>25</v>
      </c>
      <c r="AC1201">
        <v>0</v>
      </c>
      <c r="AD1201">
        <v>314259633</v>
      </c>
      <c r="AE1201">
        <v>565627.77</v>
      </c>
      <c r="AF1201">
        <v>313709327</v>
      </c>
      <c r="AG1201">
        <v>313709327</v>
      </c>
      <c r="AH1201">
        <v>-5.8500000000000002E-4</v>
      </c>
      <c r="AI1201">
        <v>-5.8500000000000002E-4</v>
      </c>
    </row>
    <row r="1202" spans="1:35" x14ac:dyDescent="0.35">
      <c r="A1202" t="s">
        <v>3</v>
      </c>
      <c r="B1202">
        <v>5250</v>
      </c>
      <c r="C1202">
        <v>84</v>
      </c>
      <c r="D1202">
        <v>63</v>
      </c>
      <c r="E1202">
        <v>0</v>
      </c>
      <c r="F1202">
        <v>812662142</v>
      </c>
      <c r="G1202">
        <v>1513410.19</v>
      </c>
      <c r="H1202">
        <v>807358751.91999996</v>
      </c>
      <c r="I1202">
        <v>810754785.94000006</v>
      </c>
      <c r="J1202">
        <v>5.4551000000000002E-2</v>
      </c>
      <c r="K1202">
        <v>5.8019999999999999E-3</v>
      </c>
      <c r="M1202" t="s">
        <v>1</v>
      </c>
      <c r="N1202">
        <v>3750</v>
      </c>
      <c r="O1202">
        <v>320</v>
      </c>
      <c r="P1202">
        <v>7</v>
      </c>
      <c r="Q1202">
        <v>0</v>
      </c>
      <c r="R1202">
        <v>30999621</v>
      </c>
      <c r="S1202">
        <v>265713.15000000002</v>
      </c>
      <c r="T1202">
        <v>30308456.300000001</v>
      </c>
      <c r="U1202">
        <v>30447625.98</v>
      </c>
      <c r="V1202">
        <v>0.152813</v>
      </c>
      <c r="W1202">
        <v>0.105361</v>
      </c>
      <c r="Y1202" t="s">
        <v>3</v>
      </c>
      <c r="Z1202">
        <v>5000</v>
      </c>
      <c r="AA1202">
        <v>84</v>
      </c>
      <c r="AB1202">
        <v>71</v>
      </c>
      <c r="AC1202">
        <v>0</v>
      </c>
      <c r="AD1202">
        <v>1054407808</v>
      </c>
      <c r="AE1202">
        <v>2033396.54</v>
      </c>
      <c r="AF1202">
        <v>1051798935</v>
      </c>
      <c r="AG1202">
        <v>1051798935</v>
      </c>
      <c r="AH1202">
        <v>6.5300000000000002E-3</v>
      </c>
      <c r="AI1202">
        <v>6.5300000000000002E-3</v>
      </c>
    </row>
    <row r="1203" spans="1:35" x14ac:dyDescent="0.35">
      <c r="A1203" t="s">
        <v>0</v>
      </c>
      <c r="B1203">
        <v>6750</v>
      </c>
      <c r="C1203">
        <v>96</v>
      </c>
      <c r="D1203">
        <v>25</v>
      </c>
      <c r="E1203">
        <v>0</v>
      </c>
      <c r="F1203">
        <v>301868569</v>
      </c>
      <c r="G1203">
        <v>476055.97</v>
      </c>
      <c r="H1203">
        <v>296446435.39999998</v>
      </c>
      <c r="I1203">
        <v>299652863.54000002</v>
      </c>
      <c r="J1203">
        <v>0.17983299999999999</v>
      </c>
      <c r="K1203">
        <v>6.7004999999999995E-2</v>
      </c>
      <c r="M1203" t="s">
        <v>1</v>
      </c>
      <c r="N1203">
        <v>3750</v>
      </c>
      <c r="O1203">
        <v>216</v>
      </c>
      <c r="P1203">
        <v>3</v>
      </c>
      <c r="Q1203">
        <v>0</v>
      </c>
      <c r="R1203">
        <v>27127294</v>
      </c>
      <c r="S1203">
        <v>131462.35999999999</v>
      </c>
      <c r="T1203">
        <v>26829701.32</v>
      </c>
      <c r="U1203">
        <v>26995830.34</v>
      </c>
      <c r="V1203">
        <v>7.1064000000000002E-2</v>
      </c>
      <c r="W1203">
        <v>9.9999999999999995E-7</v>
      </c>
      <c r="Y1203" t="s">
        <v>3</v>
      </c>
      <c r="Z1203">
        <v>5250</v>
      </c>
      <c r="AA1203">
        <v>84</v>
      </c>
      <c r="AB1203">
        <v>68</v>
      </c>
      <c r="AC1203">
        <v>0</v>
      </c>
      <c r="AD1203">
        <v>930233266</v>
      </c>
      <c r="AE1203">
        <v>1730044.77</v>
      </c>
      <c r="AF1203">
        <v>912375175</v>
      </c>
      <c r="AG1203">
        <v>912375175</v>
      </c>
      <c r="AH1203">
        <v>0.18931500000000001</v>
      </c>
      <c r="AI1203">
        <v>0.18931500000000001</v>
      </c>
    </row>
    <row r="1204" spans="1:35" x14ac:dyDescent="0.35">
      <c r="A1204" t="s">
        <v>0</v>
      </c>
      <c r="B1204">
        <v>6250</v>
      </c>
      <c r="C1204">
        <v>84</v>
      </c>
      <c r="D1204">
        <v>834</v>
      </c>
      <c r="E1204">
        <v>0</v>
      </c>
      <c r="F1204">
        <v>10302049580</v>
      </c>
      <c r="G1204">
        <v>16693383.9</v>
      </c>
      <c r="H1204">
        <v>10163229752.83</v>
      </c>
      <c r="I1204">
        <v>10222958558.09</v>
      </c>
      <c r="J1204">
        <v>0.13333700000000001</v>
      </c>
      <c r="K1204">
        <v>7.0308999999999996E-2</v>
      </c>
      <c r="M1204" t="s">
        <v>1</v>
      </c>
      <c r="N1204">
        <v>3750</v>
      </c>
      <c r="O1204">
        <v>240</v>
      </c>
      <c r="P1204">
        <v>5</v>
      </c>
      <c r="Q1204">
        <v>0</v>
      </c>
      <c r="R1204">
        <v>32595739</v>
      </c>
      <c r="S1204">
        <v>220361.63</v>
      </c>
      <c r="T1204">
        <v>32249891.859999999</v>
      </c>
      <c r="U1204">
        <v>32375372.510000002</v>
      </c>
      <c r="V1204">
        <v>4.5231E-2</v>
      </c>
      <c r="W1204">
        <v>1.9999999999999999E-6</v>
      </c>
      <c r="Y1204" t="s">
        <v>0</v>
      </c>
      <c r="Z1204">
        <v>6750</v>
      </c>
      <c r="AA1204">
        <v>96</v>
      </c>
      <c r="AB1204">
        <v>19</v>
      </c>
      <c r="AC1204">
        <v>0</v>
      </c>
      <c r="AD1204">
        <v>223281503</v>
      </c>
      <c r="AE1204">
        <v>351826.37</v>
      </c>
      <c r="AF1204">
        <v>222973330</v>
      </c>
      <c r="AG1204">
        <v>222973330</v>
      </c>
      <c r="AH1204">
        <v>-2.349E-3</v>
      </c>
      <c r="AI1204">
        <v>-2.349E-3</v>
      </c>
    </row>
    <row r="1205" spans="1:35" x14ac:dyDescent="0.35">
      <c r="A1205" t="s">
        <v>0</v>
      </c>
      <c r="B1205">
        <v>6500</v>
      </c>
      <c r="C1205">
        <v>84</v>
      </c>
      <c r="D1205">
        <v>75</v>
      </c>
      <c r="E1205">
        <v>0</v>
      </c>
      <c r="F1205">
        <v>805673003</v>
      </c>
      <c r="G1205">
        <v>1263384.68</v>
      </c>
      <c r="H1205">
        <v>795976502.98000002</v>
      </c>
      <c r="I1205">
        <v>800839004.22000003</v>
      </c>
      <c r="J1205">
        <v>0.118621</v>
      </c>
      <c r="K1205">
        <v>5.1905E-2</v>
      </c>
      <c r="M1205" t="s">
        <v>3</v>
      </c>
      <c r="N1205">
        <v>5500</v>
      </c>
      <c r="O1205">
        <v>96</v>
      </c>
      <c r="P1205">
        <v>15</v>
      </c>
      <c r="Q1205">
        <v>0</v>
      </c>
      <c r="R1205">
        <v>196803479</v>
      </c>
      <c r="S1205">
        <v>364058.94</v>
      </c>
      <c r="T1205">
        <v>195662668.75999999</v>
      </c>
      <c r="U1205">
        <v>196439414.75999999</v>
      </c>
      <c r="V1205">
        <v>4.6346999999999999E-2</v>
      </c>
      <c r="W1205">
        <v>0</v>
      </c>
      <c r="Y1205" t="s">
        <v>0</v>
      </c>
      <c r="Z1205">
        <v>6500</v>
      </c>
      <c r="AA1205">
        <v>84</v>
      </c>
      <c r="AB1205">
        <v>93</v>
      </c>
      <c r="AC1205">
        <v>0</v>
      </c>
      <c r="AD1205">
        <v>1001070032</v>
      </c>
      <c r="AE1205">
        <v>1565550.77</v>
      </c>
      <c r="AF1205">
        <v>999730688</v>
      </c>
      <c r="AG1205">
        <v>999730688</v>
      </c>
      <c r="AH1205">
        <v>-2.715E-3</v>
      </c>
      <c r="AI1205">
        <v>-2.715E-3</v>
      </c>
    </row>
    <row r="1206" spans="1:35" x14ac:dyDescent="0.35">
      <c r="A1206" t="s">
        <v>3</v>
      </c>
      <c r="B1206">
        <v>4750</v>
      </c>
      <c r="C1206">
        <v>84</v>
      </c>
      <c r="D1206">
        <v>195</v>
      </c>
      <c r="E1206">
        <v>0</v>
      </c>
      <c r="F1206">
        <v>2754845992</v>
      </c>
      <c r="G1206">
        <v>5414974.8899999997</v>
      </c>
      <c r="H1206">
        <v>2738232773.98</v>
      </c>
      <c r="I1206">
        <v>2749252137.3099999</v>
      </c>
      <c r="J1206">
        <v>4.7703000000000002E-2</v>
      </c>
      <c r="K1206">
        <v>7.7899999999999996E-4</v>
      </c>
      <c r="M1206" t="s">
        <v>1</v>
      </c>
      <c r="N1206">
        <v>6000</v>
      </c>
      <c r="O1206">
        <v>96</v>
      </c>
      <c r="P1206">
        <v>13</v>
      </c>
      <c r="Q1206">
        <v>0</v>
      </c>
      <c r="R1206">
        <v>167307951</v>
      </c>
      <c r="S1206">
        <v>292484.59999999998</v>
      </c>
      <c r="T1206">
        <v>161686220.47999999</v>
      </c>
      <c r="U1206">
        <v>165109314.40000001</v>
      </c>
      <c r="V1206">
        <v>0.32189600000000002</v>
      </c>
      <c r="W1206">
        <v>0.128467</v>
      </c>
      <c r="Y1206" t="s">
        <v>0</v>
      </c>
      <c r="Z1206">
        <v>6750</v>
      </c>
      <c r="AA1206">
        <v>84</v>
      </c>
      <c r="AB1206">
        <v>15</v>
      </c>
      <c r="AC1206">
        <v>0</v>
      </c>
      <c r="AD1206">
        <v>157478249</v>
      </c>
      <c r="AE1206">
        <v>238814</v>
      </c>
      <c r="AF1206">
        <v>157186829</v>
      </c>
      <c r="AG1206">
        <v>157186829</v>
      </c>
      <c r="AH1206">
        <v>4.0010000000000002E-3</v>
      </c>
      <c r="AI1206">
        <v>4.0010000000000002E-3</v>
      </c>
    </row>
    <row r="1207" spans="1:35" x14ac:dyDescent="0.35">
      <c r="A1207" t="s">
        <v>1</v>
      </c>
      <c r="B1207">
        <v>6500</v>
      </c>
      <c r="C1207">
        <v>96</v>
      </c>
      <c r="D1207">
        <v>2</v>
      </c>
      <c r="E1207">
        <v>0</v>
      </c>
      <c r="F1207">
        <v>16981668</v>
      </c>
      <c r="G1207">
        <v>27271.040000000001</v>
      </c>
      <c r="H1207">
        <v>16684194.24</v>
      </c>
      <c r="I1207">
        <v>16954346.07</v>
      </c>
      <c r="J1207">
        <v>0.17508299999999999</v>
      </c>
      <c r="K1207">
        <v>3.6000000000000001E-5</v>
      </c>
      <c r="M1207" t="s">
        <v>0</v>
      </c>
      <c r="N1207">
        <v>6500</v>
      </c>
      <c r="O1207">
        <v>96</v>
      </c>
      <c r="P1207">
        <v>23</v>
      </c>
      <c r="Q1207">
        <v>0</v>
      </c>
      <c r="R1207">
        <v>233446773</v>
      </c>
      <c r="S1207">
        <v>377884.75</v>
      </c>
      <c r="T1207">
        <v>230783186.44</v>
      </c>
      <c r="U1207">
        <v>233061505.44999999</v>
      </c>
      <c r="V1207">
        <v>0.11136799999999999</v>
      </c>
      <c r="W1207">
        <v>3.79E-4</v>
      </c>
      <c r="Y1207" t="s">
        <v>3</v>
      </c>
      <c r="Z1207">
        <v>4750</v>
      </c>
      <c r="AA1207">
        <v>84</v>
      </c>
      <c r="AB1207">
        <v>201</v>
      </c>
      <c r="AC1207">
        <v>0</v>
      </c>
      <c r="AD1207">
        <v>2847185167</v>
      </c>
      <c r="AE1207">
        <v>5569818.5899999999</v>
      </c>
      <c r="AF1207">
        <v>2840528903</v>
      </c>
      <c r="AG1207">
        <v>2840528903</v>
      </c>
      <c r="AH1207">
        <v>4.5690000000000001E-3</v>
      </c>
      <c r="AI1207">
        <v>4.5690000000000001E-3</v>
      </c>
    </row>
    <row r="1208" spans="1:35" x14ac:dyDescent="0.35">
      <c r="A1208" t="s">
        <v>3</v>
      </c>
      <c r="B1208">
        <v>6000</v>
      </c>
      <c r="C1208">
        <v>96</v>
      </c>
      <c r="D1208">
        <v>2</v>
      </c>
      <c r="E1208">
        <v>0</v>
      </c>
      <c r="F1208">
        <v>21197385</v>
      </c>
      <c r="G1208">
        <v>36420.97</v>
      </c>
      <c r="H1208">
        <v>21107224.379999999</v>
      </c>
      <c r="I1208">
        <v>21160964</v>
      </c>
      <c r="J1208">
        <v>3.0002000000000001E-2</v>
      </c>
      <c r="K1208">
        <v>0</v>
      </c>
      <c r="M1208" t="s">
        <v>0</v>
      </c>
      <c r="N1208">
        <v>6250</v>
      </c>
      <c r="O1208">
        <v>84</v>
      </c>
      <c r="P1208">
        <v>1271</v>
      </c>
      <c r="Q1208">
        <v>0</v>
      </c>
      <c r="R1208">
        <v>15854889461</v>
      </c>
      <c r="S1208">
        <v>25440146.370000001</v>
      </c>
      <c r="T1208">
        <v>15656584515.52</v>
      </c>
      <c r="U1208">
        <v>15746358518.440001</v>
      </c>
      <c r="V1208">
        <v>0.123268</v>
      </c>
      <c r="W1208">
        <v>6.1107000000000002E-2</v>
      </c>
      <c r="Y1208" t="s">
        <v>1</v>
      </c>
      <c r="Z1208">
        <v>6500</v>
      </c>
      <c r="AA1208">
        <v>96</v>
      </c>
      <c r="AB1208">
        <v>1</v>
      </c>
      <c r="AC1208">
        <v>0</v>
      </c>
      <c r="AD1208">
        <v>7195331</v>
      </c>
      <c r="AE1208">
        <v>11404.6</v>
      </c>
      <c r="AF1208">
        <v>7183804</v>
      </c>
      <c r="AG1208">
        <v>7183804</v>
      </c>
      <c r="AH1208">
        <v>2.04E-4</v>
      </c>
      <c r="AI1208">
        <v>2.04E-4</v>
      </c>
    </row>
    <row r="1209" spans="1:35" x14ac:dyDescent="0.35">
      <c r="A1209" t="s">
        <v>0</v>
      </c>
      <c r="B1209">
        <v>6750</v>
      </c>
      <c r="C1209">
        <v>84</v>
      </c>
      <c r="D1209">
        <v>9</v>
      </c>
      <c r="E1209">
        <v>0</v>
      </c>
      <c r="F1209">
        <v>78291590</v>
      </c>
      <c r="G1209">
        <v>117860.47</v>
      </c>
      <c r="H1209">
        <v>77692573.890000001</v>
      </c>
      <c r="I1209">
        <v>78168953.239999995</v>
      </c>
      <c r="J1209">
        <v>7.1305999999999994E-2</v>
      </c>
      <c r="K1209">
        <v>7.3200000000000001E-4</v>
      </c>
      <c r="M1209" t="s">
        <v>1</v>
      </c>
      <c r="N1209">
        <v>7750</v>
      </c>
      <c r="O1209">
        <v>36</v>
      </c>
      <c r="P1209">
        <v>295</v>
      </c>
      <c r="Q1209">
        <v>0</v>
      </c>
      <c r="R1209">
        <v>6165616080</v>
      </c>
      <c r="S1209">
        <v>5615995.3799999999</v>
      </c>
      <c r="T1209">
        <v>5813457243.1599998</v>
      </c>
      <c r="U1209">
        <v>6043726800.46</v>
      </c>
      <c r="V1209">
        <v>0.50050799999999995</v>
      </c>
      <c r="W1209">
        <v>0.20424300000000001</v>
      </c>
      <c r="Y1209" t="s">
        <v>3</v>
      </c>
      <c r="Z1209">
        <v>6000</v>
      </c>
      <c r="AA1209">
        <v>96</v>
      </c>
      <c r="AB1209">
        <v>1</v>
      </c>
      <c r="AC1209">
        <v>0</v>
      </c>
      <c r="AD1209">
        <v>11319425</v>
      </c>
      <c r="AE1209">
        <v>19499.93</v>
      </c>
      <c r="AF1209">
        <v>11299881</v>
      </c>
      <c r="AG1209">
        <v>11299881</v>
      </c>
      <c r="AH1209">
        <v>4.6999999999999997E-5</v>
      </c>
      <c r="AI1209">
        <v>4.6999999999999997E-5</v>
      </c>
    </row>
    <row r="1210" spans="1:35" x14ac:dyDescent="0.35">
      <c r="A1210" t="s">
        <v>2</v>
      </c>
      <c r="B1210">
        <v>4250</v>
      </c>
      <c r="C1210">
        <v>72</v>
      </c>
      <c r="D1210">
        <v>3243</v>
      </c>
      <c r="E1210">
        <v>0</v>
      </c>
      <c r="F1210">
        <v>37757706230</v>
      </c>
      <c r="G1210">
        <v>75574507.599999994</v>
      </c>
      <c r="H1210">
        <v>37410493682.919998</v>
      </c>
      <c r="I1210">
        <v>37621036228.339996</v>
      </c>
      <c r="J1210">
        <v>8.2996E-2</v>
      </c>
      <c r="K1210">
        <v>1.9245000000000002E-2</v>
      </c>
      <c r="M1210" t="s">
        <v>1</v>
      </c>
      <c r="N1210">
        <v>7500</v>
      </c>
      <c r="O1210">
        <v>36</v>
      </c>
      <c r="P1210">
        <v>333</v>
      </c>
      <c r="Q1210">
        <v>0</v>
      </c>
      <c r="R1210">
        <v>7116391309</v>
      </c>
      <c r="S1210">
        <v>6737765.46</v>
      </c>
      <c r="T1210">
        <v>6740025682.6800003</v>
      </c>
      <c r="U1210">
        <v>7035007004.7200003</v>
      </c>
      <c r="V1210">
        <v>0.47273599999999999</v>
      </c>
      <c r="W1210">
        <v>0.11885900000000001</v>
      </c>
      <c r="Y1210" t="s">
        <v>0</v>
      </c>
      <c r="Z1210">
        <v>5250</v>
      </c>
      <c r="AA1210">
        <v>72</v>
      </c>
      <c r="AB1210">
        <v>3254</v>
      </c>
      <c r="AC1210">
        <v>0</v>
      </c>
      <c r="AD1210">
        <v>47492655608</v>
      </c>
      <c r="AE1210">
        <v>82035279.260000005</v>
      </c>
      <c r="AF1210">
        <v>47185291281</v>
      </c>
      <c r="AG1210">
        <v>47348515721.239998</v>
      </c>
      <c r="AH1210">
        <v>5.5472E-2</v>
      </c>
      <c r="AI1210">
        <v>1.558E-2</v>
      </c>
    </row>
    <row r="1211" spans="1:35" x14ac:dyDescent="0.35">
      <c r="A1211" t="s">
        <v>1</v>
      </c>
      <c r="B1211">
        <v>6250</v>
      </c>
      <c r="C1211">
        <v>84</v>
      </c>
      <c r="D1211">
        <v>51</v>
      </c>
      <c r="E1211">
        <v>0</v>
      </c>
      <c r="F1211">
        <v>556277265</v>
      </c>
      <c r="G1211">
        <v>902051.17</v>
      </c>
      <c r="H1211">
        <v>545957898.13</v>
      </c>
      <c r="I1211">
        <v>553080928.61000001</v>
      </c>
      <c r="J1211">
        <v>0.18526300000000001</v>
      </c>
      <c r="K1211">
        <v>4.8384999999999997E-2</v>
      </c>
      <c r="M1211" t="s">
        <v>2</v>
      </c>
      <c r="N1211">
        <v>5750</v>
      </c>
      <c r="O1211">
        <v>96</v>
      </c>
      <c r="P1211">
        <v>2</v>
      </c>
      <c r="Q1211">
        <v>0</v>
      </c>
      <c r="R1211">
        <v>23266886</v>
      </c>
      <c r="S1211">
        <v>41997.120000000003</v>
      </c>
      <c r="T1211">
        <v>23049079.600000001</v>
      </c>
      <c r="U1211">
        <v>23224884.780000001</v>
      </c>
      <c r="V1211">
        <v>8.6999000000000007E-2</v>
      </c>
      <c r="W1211">
        <v>1.9999999999999999E-6</v>
      </c>
      <c r="Y1211" t="s">
        <v>2</v>
      </c>
      <c r="Z1211">
        <v>4250</v>
      </c>
      <c r="AA1211">
        <v>72</v>
      </c>
      <c r="AB1211">
        <v>3984</v>
      </c>
      <c r="AC1211">
        <v>0</v>
      </c>
      <c r="AD1211">
        <v>46005046746</v>
      </c>
      <c r="AE1211">
        <v>92040436.170000002</v>
      </c>
      <c r="AF1211">
        <v>45658485023</v>
      </c>
      <c r="AG1211">
        <v>45816173039.050003</v>
      </c>
      <c r="AH1211">
        <v>6.4406000000000005E-2</v>
      </c>
      <c r="AI1211">
        <v>2.4968000000000001E-2</v>
      </c>
    </row>
    <row r="1212" spans="1:35" x14ac:dyDescent="0.35">
      <c r="A1212" t="s">
        <v>0</v>
      </c>
      <c r="B1212">
        <v>3750</v>
      </c>
      <c r="C1212">
        <v>60</v>
      </c>
      <c r="D1212">
        <v>25141</v>
      </c>
      <c r="E1212">
        <v>0</v>
      </c>
      <c r="F1212">
        <v>481867085443</v>
      </c>
      <c r="G1212">
        <v>965693141.35000002</v>
      </c>
      <c r="H1212">
        <v>478336878480.12</v>
      </c>
      <c r="I1212">
        <v>480470630805.58002</v>
      </c>
      <c r="J1212">
        <v>6.2028E-2</v>
      </c>
      <c r="K1212">
        <v>1.0675E-2</v>
      </c>
      <c r="M1212" t="s">
        <v>3</v>
      </c>
      <c r="N1212">
        <v>5250</v>
      </c>
      <c r="O1212">
        <v>84</v>
      </c>
      <c r="P1212">
        <v>93</v>
      </c>
      <c r="Q1212">
        <v>0</v>
      </c>
      <c r="R1212">
        <v>1356828658</v>
      </c>
      <c r="S1212">
        <v>2521204.9700000002</v>
      </c>
      <c r="T1212">
        <v>1347438258.8</v>
      </c>
      <c r="U1212">
        <v>1353190086.1300001</v>
      </c>
      <c r="V1212">
        <v>5.9089000000000003E-2</v>
      </c>
      <c r="W1212">
        <v>9.8379999999999995E-3</v>
      </c>
      <c r="Y1212" t="s">
        <v>3</v>
      </c>
      <c r="Z1212">
        <v>5750</v>
      </c>
      <c r="AA1212">
        <v>84</v>
      </c>
      <c r="AB1212">
        <v>33</v>
      </c>
      <c r="AC1212">
        <v>0</v>
      </c>
      <c r="AD1212">
        <v>398188931</v>
      </c>
      <c r="AE1212">
        <v>696108.97</v>
      </c>
      <c r="AF1212">
        <v>397474724</v>
      </c>
      <c r="AG1212">
        <v>397474724</v>
      </c>
      <c r="AH1212">
        <v>5.4500000000000002E-4</v>
      </c>
      <c r="AI1212">
        <v>5.4500000000000002E-4</v>
      </c>
    </row>
    <row r="1213" spans="1:35" x14ac:dyDescent="0.35">
      <c r="A1213" t="s">
        <v>1</v>
      </c>
      <c r="B1213">
        <v>3250</v>
      </c>
      <c r="C1213">
        <v>60</v>
      </c>
      <c r="D1213">
        <v>27121</v>
      </c>
      <c r="E1213">
        <v>0</v>
      </c>
      <c r="F1213">
        <v>654600013917</v>
      </c>
      <c r="G1213">
        <v>1415718304.8399999</v>
      </c>
      <c r="H1213">
        <v>647938006582.68005</v>
      </c>
      <c r="I1213">
        <v>652008574631.67004</v>
      </c>
      <c r="J1213">
        <v>9.2046000000000003E-2</v>
      </c>
      <c r="K1213">
        <v>2.1340999999999999E-2</v>
      </c>
      <c r="M1213" t="s">
        <v>3</v>
      </c>
      <c r="N1213">
        <v>5000</v>
      </c>
      <c r="O1213">
        <v>84</v>
      </c>
      <c r="P1213">
        <v>119</v>
      </c>
      <c r="Q1213">
        <v>0</v>
      </c>
      <c r="R1213">
        <v>1758953177</v>
      </c>
      <c r="S1213">
        <v>3382107.96</v>
      </c>
      <c r="T1213">
        <v>1748496023.02</v>
      </c>
      <c r="U1213">
        <v>1755249380.01</v>
      </c>
      <c r="V1213">
        <v>4.7213999999999999E-2</v>
      </c>
      <c r="W1213">
        <v>2.1919999999999999E-3</v>
      </c>
      <c r="Y1213" t="s">
        <v>1</v>
      </c>
      <c r="Z1213">
        <v>6250</v>
      </c>
      <c r="AA1213">
        <v>84</v>
      </c>
      <c r="AB1213">
        <v>62</v>
      </c>
      <c r="AC1213">
        <v>0</v>
      </c>
      <c r="AD1213">
        <v>700911281</v>
      </c>
      <c r="AE1213">
        <v>1135502.77</v>
      </c>
      <c r="AF1213">
        <v>699829629</v>
      </c>
      <c r="AG1213">
        <v>699829629</v>
      </c>
      <c r="AH1213">
        <v>-9.2199999999999997E-4</v>
      </c>
      <c r="AI1213">
        <v>-9.2199999999999997E-4</v>
      </c>
    </row>
    <row r="1214" spans="1:35" x14ac:dyDescent="0.35">
      <c r="A1214" t="s">
        <v>3</v>
      </c>
      <c r="B1214">
        <v>5750</v>
      </c>
      <c r="C1214">
        <v>84</v>
      </c>
      <c r="D1214">
        <v>24</v>
      </c>
      <c r="E1214">
        <v>0</v>
      </c>
      <c r="F1214">
        <v>296769516</v>
      </c>
      <c r="G1214">
        <v>517615.62</v>
      </c>
      <c r="H1214">
        <v>294875291.05000001</v>
      </c>
      <c r="I1214">
        <v>296251857.62</v>
      </c>
      <c r="J1214">
        <v>5.4265000000000001E-2</v>
      </c>
      <c r="K1214">
        <v>1.9999999999999999E-6</v>
      </c>
      <c r="M1214" t="s">
        <v>3</v>
      </c>
      <c r="N1214">
        <v>5500</v>
      </c>
      <c r="O1214">
        <v>84</v>
      </c>
      <c r="P1214">
        <v>30</v>
      </c>
      <c r="Q1214">
        <v>0</v>
      </c>
      <c r="R1214">
        <v>357604173</v>
      </c>
      <c r="S1214">
        <v>637006.25</v>
      </c>
      <c r="T1214">
        <v>354923915.91000003</v>
      </c>
      <c r="U1214">
        <v>356561581.82999998</v>
      </c>
      <c r="V1214">
        <v>6.6450999999999996E-2</v>
      </c>
      <c r="W1214">
        <v>1.3525000000000001E-2</v>
      </c>
      <c r="Y1214" t="s">
        <v>0</v>
      </c>
      <c r="Z1214">
        <v>3750</v>
      </c>
      <c r="AA1214">
        <v>60</v>
      </c>
      <c r="AB1214">
        <v>20781</v>
      </c>
      <c r="AC1214">
        <v>0</v>
      </c>
      <c r="AD1214">
        <v>394636700163</v>
      </c>
      <c r="AE1214">
        <v>790407895.97000003</v>
      </c>
      <c r="AF1214">
        <v>392226653113</v>
      </c>
      <c r="AG1214">
        <v>393640199157.57001</v>
      </c>
      <c r="AH1214">
        <v>4.8153000000000001E-2</v>
      </c>
      <c r="AI1214">
        <v>6.2490000000000002E-3</v>
      </c>
    </row>
    <row r="1215" spans="1:35" x14ac:dyDescent="0.35">
      <c r="A1215" t="s">
        <v>3</v>
      </c>
      <c r="B1215">
        <v>4500</v>
      </c>
      <c r="C1215">
        <v>84</v>
      </c>
      <c r="D1215">
        <v>140</v>
      </c>
      <c r="E1215">
        <v>0</v>
      </c>
      <c r="F1215">
        <v>2035459940</v>
      </c>
      <c r="G1215">
        <v>4133426</v>
      </c>
      <c r="H1215">
        <v>2023026210.8099999</v>
      </c>
      <c r="I1215">
        <v>2031186861.9400001</v>
      </c>
      <c r="J1215">
        <v>4.7850999999999998E-2</v>
      </c>
      <c r="K1215">
        <v>8.2299999999999995E-4</v>
      </c>
      <c r="M1215" t="s">
        <v>0</v>
      </c>
      <c r="N1215">
        <v>6750</v>
      </c>
      <c r="O1215">
        <v>96</v>
      </c>
      <c r="P1215">
        <v>16</v>
      </c>
      <c r="Q1215">
        <v>0</v>
      </c>
      <c r="R1215">
        <v>189691872</v>
      </c>
      <c r="S1215">
        <v>296429.25</v>
      </c>
      <c r="T1215">
        <v>186700963.18000001</v>
      </c>
      <c r="U1215">
        <v>188867890.69</v>
      </c>
      <c r="V1215">
        <v>0.157748</v>
      </c>
      <c r="W1215">
        <v>3.2867E-2</v>
      </c>
      <c r="Y1215" t="s">
        <v>1</v>
      </c>
      <c r="Z1215">
        <v>3250</v>
      </c>
      <c r="AA1215">
        <v>60</v>
      </c>
      <c r="AB1215">
        <v>23992</v>
      </c>
      <c r="AC1215">
        <v>0</v>
      </c>
      <c r="AD1215">
        <v>563771801158</v>
      </c>
      <c r="AE1215">
        <v>1222506851.52</v>
      </c>
      <c r="AF1215">
        <v>559448057359</v>
      </c>
      <c r="AG1215">
        <v>561838653836.04004</v>
      </c>
      <c r="AH1215">
        <v>6.4049999999999996E-2</v>
      </c>
      <c r="AI1215">
        <v>1.5022000000000001E-2</v>
      </c>
    </row>
    <row r="1216" spans="1:35" x14ac:dyDescent="0.35">
      <c r="A1216" t="s">
        <v>3</v>
      </c>
      <c r="B1216">
        <v>4250</v>
      </c>
      <c r="C1216">
        <v>84</v>
      </c>
      <c r="D1216">
        <v>202</v>
      </c>
      <c r="E1216">
        <v>0</v>
      </c>
      <c r="F1216">
        <v>3312635942</v>
      </c>
      <c r="G1216">
        <v>6931353.7000000002</v>
      </c>
      <c r="H1216">
        <v>3292932829.4499998</v>
      </c>
      <c r="I1216">
        <v>3304795637.4699998</v>
      </c>
      <c r="J1216">
        <v>4.5296999999999997E-2</v>
      </c>
      <c r="K1216">
        <v>3.2880000000000001E-3</v>
      </c>
      <c r="M1216" t="s">
        <v>0</v>
      </c>
      <c r="N1216">
        <v>6500</v>
      </c>
      <c r="O1216">
        <v>84</v>
      </c>
      <c r="P1216">
        <v>105</v>
      </c>
      <c r="Q1216">
        <v>0</v>
      </c>
      <c r="R1216">
        <v>1116477811</v>
      </c>
      <c r="S1216">
        <v>1732813.9</v>
      </c>
      <c r="T1216">
        <v>1103941651.6800001</v>
      </c>
      <c r="U1216">
        <v>1111814609.72</v>
      </c>
      <c r="V1216">
        <v>0.11013100000000001</v>
      </c>
      <c r="W1216">
        <v>3.1045E-2</v>
      </c>
      <c r="Y1216" t="s">
        <v>3</v>
      </c>
      <c r="Z1216">
        <v>4500</v>
      </c>
      <c r="AA1216">
        <v>84</v>
      </c>
      <c r="AB1216">
        <v>142</v>
      </c>
      <c r="AC1216">
        <v>0</v>
      </c>
      <c r="AD1216">
        <v>2054988261</v>
      </c>
      <c r="AE1216">
        <v>4160744.43</v>
      </c>
      <c r="AF1216">
        <v>2050507500</v>
      </c>
      <c r="AG1216">
        <v>2050507500</v>
      </c>
      <c r="AH1216">
        <v>1.867E-3</v>
      </c>
      <c r="AI1216">
        <v>1.867E-3</v>
      </c>
    </row>
    <row r="1217" spans="1:35" x14ac:dyDescent="0.35">
      <c r="A1217" t="s">
        <v>3</v>
      </c>
      <c r="B1217">
        <v>4000</v>
      </c>
      <c r="C1217">
        <v>84</v>
      </c>
      <c r="D1217">
        <v>157</v>
      </c>
      <c r="E1217">
        <v>0</v>
      </c>
      <c r="F1217">
        <v>2617075975</v>
      </c>
      <c r="G1217">
        <v>5620930.6299999999</v>
      </c>
      <c r="H1217">
        <v>2602063409.5999999</v>
      </c>
      <c r="I1217">
        <v>2611196853.8200002</v>
      </c>
      <c r="J1217">
        <v>4.2222999999999997E-2</v>
      </c>
      <c r="K1217">
        <v>1.183E-3</v>
      </c>
      <c r="M1217" t="s">
        <v>0</v>
      </c>
      <c r="N1217">
        <v>6750</v>
      </c>
      <c r="O1217">
        <v>84</v>
      </c>
      <c r="P1217">
        <v>19</v>
      </c>
      <c r="Q1217">
        <v>0</v>
      </c>
      <c r="R1217">
        <v>197501631</v>
      </c>
      <c r="S1217">
        <v>298748.53000000003</v>
      </c>
      <c r="T1217">
        <v>195611850.19999999</v>
      </c>
      <c r="U1217">
        <v>197149839.63999999</v>
      </c>
      <c r="V1217">
        <v>9.2498999999999998E-2</v>
      </c>
      <c r="W1217">
        <v>3.2179999999999999E-3</v>
      </c>
      <c r="Y1217" t="s">
        <v>2</v>
      </c>
      <c r="Z1217">
        <v>4750</v>
      </c>
      <c r="AA1217">
        <v>72</v>
      </c>
      <c r="AB1217">
        <v>667</v>
      </c>
      <c r="AC1217">
        <v>0</v>
      </c>
      <c r="AD1217">
        <v>7038859009</v>
      </c>
      <c r="AE1217">
        <v>12964518.74</v>
      </c>
      <c r="AF1217">
        <v>7008272441</v>
      </c>
      <c r="AG1217">
        <v>7018565941.04</v>
      </c>
      <c r="AH1217">
        <v>2.9631999999999999E-2</v>
      </c>
      <c r="AI1217">
        <v>1.2423E-2</v>
      </c>
    </row>
    <row r="1218" spans="1:35" x14ac:dyDescent="0.35">
      <c r="A1218" t="s">
        <v>3</v>
      </c>
      <c r="B1218">
        <v>3750</v>
      </c>
      <c r="C1218">
        <v>84</v>
      </c>
      <c r="D1218">
        <v>165</v>
      </c>
      <c r="E1218">
        <v>0</v>
      </c>
      <c r="F1218">
        <v>3184649074</v>
      </c>
      <c r="G1218">
        <v>7034580.8499999996</v>
      </c>
      <c r="H1218">
        <v>3167756715.3699999</v>
      </c>
      <c r="I1218">
        <v>3177614467.73</v>
      </c>
      <c r="J1218">
        <v>3.6519000000000003E-2</v>
      </c>
      <c r="K1218">
        <v>0</v>
      </c>
      <c r="M1218" t="s">
        <v>1</v>
      </c>
      <c r="N1218">
        <v>6250</v>
      </c>
      <c r="O1218">
        <v>84</v>
      </c>
      <c r="P1218">
        <v>78</v>
      </c>
      <c r="Q1218">
        <v>0</v>
      </c>
      <c r="R1218">
        <v>873352699</v>
      </c>
      <c r="S1218">
        <v>1404458.4</v>
      </c>
      <c r="T1218">
        <v>853876775.61000001</v>
      </c>
      <c r="U1218">
        <v>867436713.75</v>
      </c>
      <c r="V1218">
        <v>0.22190699999999999</v>
      </c>
      <c r="W1218">
        <v>6.0257999999999999E-2</v>
      </c>
      <c r="Y1218" t="s">
        <v>3</v>
      </c>
      <c r="Z1218">
        <v>4250</v>
      </c>
      <c r="AA1218">
        <v>84</v>
      </c>
      <c r="AB1218">
        <v>198</v>
      </c>
      <c r="AC1218">
        <v>0</v>
      </c>
      <c r="AD1218">
        <v>3266020925</v>
      </c>
      <c r="AE1218">
        <v>6809112.0499999998</v>
      </c>
      <c r="AF1218">
        <v>3258993517</v>
      </c>
      <c r="AG1218">
        <v>3258993517</v>
      </c>
      <c r="AH1218">
        <v>8.0199999999999998E-4</v>
      </c>
      <c r="AI1218">
        <v>8.0199999999999998E-4</v>
      </c>
    </row>
    <row r="1219" spans="1:35" x14ac:dyDescent="0.35">
      <c r="A1219" t="s">
        <v>0</v>
      </c>
      <c r="B1219">
        <v>5250</v>
      </c>
      <c r="C1219">
        <v>72</v>
      </c>
      <c r="D1219">
        <v>2743</v>
      </c>
      <c r="E1219">
        <v>0</v>
      </c>
      <c r="F1219">
        <v>40530997228</v>
      </c>
      <c r="G1219">
        <v>70097173.75</v>
      </c>
      <c r="H1219">
        <v>40141294765.25</v>
      </c>
      <c r="I1219">
        <v>40346574845.599998</v>
      </c>
      <c r="J1219">
        <v>9.0628E-2</v>
      </c>
      <c r="K1219">
        <v>3.3328000000000003E-2</v>
      </c>
      <c r="M1219" t="s">
        <v>3</v>
      </c>
      <c r="N1219">
        <v>4500</v>
      </c>
      <c r="O1219">
        <v>84</v>
      </c>
      <c r="P1219">
        <v>155</v>
      </c>
      <c r="Q1219">
        <v>0</v>
      </c>
      <c r="R1219">
        <v>2297649199</v>
      </c>
      <c r="S1219">
        <v>4650324.97</v>
      </c>
      <c r="T1219">
        <v>2282741933.3099999</v>
      </c>
      <c r="U1219">
        <v>2292670980.3200002</v>
      </c>
      <c r="V1219">
        <v>5.2273E-2</v>
      </c>
      <c r="W1219">
        <v>1.7110000000000001E-3</v>
      </c>
      <c r="Y1219" t="s">
        <v>1</v>
      </c>
      <c r="Z1219">
        <v>6500</v>
      </c>
      <c r="AA1219">
        <v>84</v>
      </c>
      <c r="AB1219">
        <v>3</v>
      </c>
      <c r="AC1219">
        <v>0</v>
      </c>
      <c r="AD1219">
        <v>43688732</v>
      </c>
      <c r="AE1219">
        <v>66868.59</v>
      </c>
      <c r="AF1219">
        <v>43619928</v>
      </c>
      <c r="AG1219">
        <v>43619928</v>
      </c>
      <c r="AH1219">
        <v>5.31E-4</v>
      </c>
      <c r="AI1219">
        <v>5.31E-4</v>
      </c>
    </row>
    <row r="1220" spans="1:35" x14ac:dyDescent="0.35">
      <c r="A1220" t="s">
        <v>2</v>
      </c>
      <c r="B1220">
        <v>2750</v>
      </c>
      <c r="C1220">
        <v>84</v>
      </c>
      <c r="D1220">
        <v>109</v>
      </c>
      <c r="E1220">
        <v>0</v>
      </c>
      <c r="F1220">
        <v>1599374855</v>
      </c>
      <c r="G1220">
        <v>3965451.21</v>
      </c>
      <c r="H1220">
        <v>1588872721.3900001</v>
      </c>
      <c r="I1220">
        <v>1595068813.8199999</v>
      </c>
      <c r="J1220">
        <v>4.7957E-2</v>
      </c>
      <c r="K1220">
        <v>2.552E-3</v>
      </c>
      <c r="M1220" t="s">
        <v>1</v>
      </c>
      <c r="N1220">
        <v>6500</v>
      </c>
      <c r="O1220">
        <v>84</v>
      </c>
      <c r="P1220">
        <v>4</v>
      </c>
      <c r="Q1220">
        <v>0</v>
      </c>
      <c r="R1220">
        <v>51062825</v>
      </c>
      <c r="S1220">
        <v>77480.91</v>
      </c>
      <c r="T1220">
        <v>49826728.969999999</v>
      </c>
      <c r="U1220">
        <v>50985272.890000001</v>
      </c>
      <c r="V1220">
        <v>0.24074400000000001</v>
      </c>
      <c r="W1220">
        <v>1.7E-5</v>
      </c>
      <c r="Y1220" t="s">
        <v>3</v>
      </c>
      <c r="Z1220">
        <v>4000</v>
      </c>
      <c r="AA1220">
        <v>84</v>
      </c>
      <c r="AB1220">
        <v>142</v>
      </c>
      <c r="AC1220">
        <v>0</v>
      </c>
      <c r="AD1220">
        <v>2427283100</v>
      </c>
      <c r="AE1220">
        <v>5193169.2699999996</v>
      </c>
      <c r="AF1220">
        <v>2382444970</v>
      </c>
      <c r="AG1220">
        <v>2421078785.6500001</v>
      </c>
      <c r="AH1220">
        <v>0.179314</v>
      </c>
      <c r="AI1220">
        <v>4.9870000000000001E-3</v>
      </c>
    </row>
    <row r="1221" spans="1:35" x14ac:dyDescent="0.35">
      <c r="A1221" t="s">
        <v>0</v>
      </c>
      <c r="B1221">
        <v>2750</v>
      </c>
      <c r="C1221">
        <v>84</v>
      </c>
      <c r="D1221">
        <v>410</v>
      </c>
      <c r="E1221">
        <v>0</v>
      </c>
      <c r="F1221">
        <v>8118233955</v>
      </c>
      <c r="G1221">
        <v>20133821.469999999</v>
      </c>
      <c r="H1221">
        <v>8067622361.75</v>
      </c>
      <c r="I1221">
        <v>8095219635.7600002</v>
      </c>
      <c r="J1221">
        <v>4.4131999999999998E-2</v>
      </c>
      <c r="K1221">
        <v>4.2500000000000003E-3</v>
      </c>
      <c r="M1221" t="s">
        <v>3</v>
      </c>
      <c r="N1221">
        <v>6000</v>
      </c>
      <c r="O1221">
        <v>96</v>
      </c>
      <c r="P1221">
        <v>1</v>
      </c>
      <c r="Q1221">
        <v>0</v>
      </c>
      <c r="R1221">
        <v>11358222</v>
      </c>
      <c r="S1221">
        <v>19306.53</v>
      </c>
      <c r="T1221">
        <v>11322361.189999999</v>
      </c>
      <c r="U1221">
        <v>11338915.359999999</v>
      </c>
      <c r="V1221">
        <v>1.7350000000000001E-2</v>
      </c>
      <c r="W1221">
        <v>0</v>
      </c>
      <c r="Y1221" t="s">
        <v>3</v>
      </c>
      <c r="Z1221">
        <v>3750</v>
      </c>
      <c r="AA1221">
        <v>84</v>
      </c>
      <c r="AB1221">
        <v>137</v>
      </c>
      <c r="AC1221">
        <v>0</v>
      </c>
      <c r="AD1221">
        <v>2608212734</v>
      </c>
      <c r="AE1221">
        <v>5742413.9400000004</v>
      </c>
      <c r="AF1221">
        <v>2570434655</v>
      </c>
      <c r="AG1221">
        <v>2600803794.52</v>
      </c>
      <c r="AH1221">
        <v>0.13783100000000001</v>
      </c>
      <c r="AI1221">
        <v>7.6410000000000002E-3</v>
      </c>
    </row>
    <row r="1222" spans="1:35" x14ac:dyDescent="0.35">
      <c r="A1222" t="s">
        <v>1</v>
      </c>
      <c r="B1222">
        <v>2750</v>
      </c>
      <c r="C1222">
        <v>84</v>
      </c>
      <c r="D1222">
        <v>1297</v>
      </c>
      <c r="E1222">
        <v>0</v>
      </c>
      <c r="F1222">
        <v>33379968903</v>
      </c>
      <c r="G1222">
        <v>82735077.870000005</v>
      </c>
      <c r="H1222">
        <v>33142786940.849998</v>
      </c>
      <c r="I1222">
        <v>33293680119.110001</v>
      </c>
      <c r="J1222">
        <v>5.4132E-2</v>
      </c>
      <c r="K1222">
        <v>1.2769999999999999E-3</v>
      </c>
      <c r="M1222" t="s">
        <v>3</v>
      </c>
      <c r="N1222">
        <v>5750</v>
      </c>
      <c r="O1222">
        <v>84</v>
      </c>
      <c r="P1222">
        <v>38</v>
      </c>
      <c r="Q1222">
        <v>0</v>
      </c>
      <c r="R1222">
        <v>461187590</v>
      </c>
      <c r="S1222">
        <v>798592.67</v>
      </c>
      <c r="T1222">
        <v>458716303.56999999</v>
      </c>
      <c r="U1222">
        <v>460388895.56</v>
      </c>
      <c r="V1222">
        <v>4.2665000000000002E-2</v>
      </c>
      <c r="W1222">
        <v>3.0000000000000001E-6</v>
      </c>
      <c r="Y1222" t="s">
        <v>0</v>
      </c>
      <c r="Z1222">
        <v>4250</v>
      </c>
      <c r="AA1222">
        <v>60</v>
      </c>
      <c r="AB1222">
        <v>4390</v>
      </c>
      <c r="AC1222">
        <v>0</v>
      </c>
      <c r="AD1222">
        <v>80844674509</v>
      </c>
      <c r="AE1222">
        <v>150672323.03</v>
      </c>
      <c r="AF1222">
        <v>80398984229</v>
      </c>
      <c r="AG1222">
        <v>80658721587.630005</v>
      </c>
      <c r="AH1222">
        <v>4.2922000000000002E-2</v>
      </c>
      <c r="AI1222">
        <v>5.2240000000000003E-3</v>
      </c>
    </row>
    <row r="1223" spans="1:35" x14ac:dyDescent="0.35">
      <c r="A1223" t="s">
        <v>2</v>
      </c>
      <c r="B1223">
        <v>4750</v>
      </c>
      <c r="C1223">
        <v>72</v>
      </c>
      <c r="D1223">
        <v>628</v>
      </c>
      <c r="E1223">
        <v>0</v>
      </c>
      <c r="F1223">
        <v>6725390242</v>
      </c>
      <c r="G1223">
        <v>12431603.210000001</v>
      </c>
      <c r="H1223">
        <v>6666198656.8400002</v>
      </c>
      <c r="I1223">
        <v>6704744785.4300003</v>
      </c>
      <c r="J1223">
        <v>8.0314999999999998E-2</v>
      </c>
      <c r="K1223">
        <v>1.4558E-2</v>
      </c>
      <c r="M1223" t="s">
        <v>0</v>
      </c>
      <c r="N1223">
        <v>5750</v>
      </c>
      <c r="O1223">
        <v>72</v>
      </c>
      <c r="P1223">
        <v>707</v>
      </c>
      <c r="Q1223">
        <v>0</v>
      </c>
      <c r="R1223">
        <v>9044780836</v>
      </c>
      <c r="S1223">
        <v>14530848.800000001</v>
      </c>
      <c r="T1223">
        <v>8958418206.4699993</v>
      </c>
      <c r="U1223">
        <v>9008952922.6700001</v>
      </c>
      <c r="V1223">
        <v>9.1246999999999995E-2</v>
      </c>
      <c r="W1223">
        <v>2.7892E-2</v>
      </c>
      <c r="Y1223" t="s">
        <v>2</v>
      </c>
      <c r="Z1223">
        <v>2750</v>
      </c>
      <c r="AA1223">
        <v>84</v>
      </c>
      <c r="AB1223">
        <v>65</v>
      </c>
      <c r="AC1223">
        <v>0</v>
      </c>
      <c r="AD1223">
        <v>986543608</v>
      </c>
      <c r="AE1223">
        <v>2441959.35</v>
      </c>
      <c r="AF1223">
        <v>983831065</v>
      </c>
      <c r="AG1223">
        <v>983831065</v>
      </c>
      <c r="AH1223">
        <v>3.2859999999999999E-3</v>
      </c>
      <c r="AI1223">
        <v>3.2859999999999999E-3</v>
      </c>
    </row>
    <row r="1224" spans="1:35" x14ac:dyDescent="0.35">
      <c r="A1224" t="s">
        <v>0</v>
      </c>
      <c r="B1224">
        <v>5750</v>
      </c>
      <c r="C1224">
        <v>144</v>
      </c>
      <c r="D1224">
        <v>624</v>
      </c>
      <c r="E1224">
        <v>0</v>
      </c>
      <c r="F1224">
        <v>3993366173</v>
      </c>
      <c r="G1224">
        <v>9683461.1999999993</v>
      </c>
      <c r="H1224">
        <v>3950696137.4200001</v>
      </c>
      <c r="I1224">
        <v>3980232658.4400001</v>
      </c>
      <c r="J1224">
        <v>9.4742000000000007E-2</v>
      </c>
      <c r="K1224">
        <v>1.0318000000000001E-2</v>
      </c>
      <c r="M1224" t="s">
        <v>0</v>
      </c>
      <c r="N1224">
        <v>3250</v>
      </c>
      <c r="O1224">
        <v>84</v>
      </c>
      <c r="P1224">
        <v>2573</v>
      </c>
      <c r="Q1224">
        <v>0</v>
      </c>
      <c r="R1224">
        <v>50335205610</v>
      </c>
      <c r="S1224">
        <v>117031634.06</v>
      </c>
      <c r="T1224">
        <v>49960388244.279999</v>
      </c>
      <c r="U1224">
        <v>50197761892.5</v>
      </c>
      <c r="V1224">
        <v>5.9755000000000003E-2</v>
      </c>
      <c r="W1224">
        <v>4.8549999999999999E-3</v>
      </c>
      <c r="Y1224" t="s">
        <v>0</v>
      </c>
      <c r="Z1224">
        <v>2750</v>
      </c>
      <c r="AA1224">
        <v>84</v>
      </c>
      <c r="AB1224">
        <v>268</v>
      </c>
      <c r="AC1224">
        <v>0</v>
      </c>
      <c r="AD1224">
        <v>5381499828</v>
      </c>
      <c r="AE1224">
        <v>13318501.539999999</v>
      </c>
      <c r="AF1224">
        <v>5367267637</v>
      </c>
      <c r="AG1224">
        <v>5367267637</v>
      </c>
      <c r="AH1224">
        <v>2.0349999999999999E-3</v>
      </c>
      <c r="AI1224">
        <v>2.0349999999999999E-3</v>
      </c>
    </row>
    <row r="1225" spans="1:35" x14ac:dyDescent="0.35">
      <c r="A1225" t="s">
        <v>3</v>
      </c>
      <c r="B1225">
        <v>3500</v>
      </c>
      <c r="C1225">
        <v>84</v>
      </c>
      <c r="D1225">
        <v>167</v>
      </c>
      <c r="E1225">
        <v>0</v>
      </c>
      <c r="F1225">
        <v>3064252295</v>
      </c>
      <c r="G1225">
        <v>6951242.0099999998</v>
      </c>
      <c r="H1225">
        <v>3047107639.9299998</v>
      </c>
      <c r="I1225">
        <v>3057123889.5100002</v>
      </c>
      <c r="J1225">
        <v>3.9196000000000002E-2</v>
      </c>
      <c r="K1225">
        <v>6.9399999999999996E-4</v>
      </c>
      <c r="M1225" t="s">
        <v>2</v>
      </c>
      <c r="N1225">
        <v>3250</v>
      </c>
      <c r="O1225">
        <v>84</v>
      </c>
      <c r="P1225">
        <v>404</v>
      </c>
      <c r="Q1225">
        <v>0</v>
      </c>
      <c r="R1225">
        <v>5840728575</v>
      </c>
      <c r="S1225">
        <v>13595476.380000001</v>
      </c>
      <c r="T1225">
        <v>5797382597.6499996</v>
      </c>
      <c r="U1225">
        <v>5826517942.4099998</v>
      </c>
      <c r="V1225">
        <v>5.944E-2</v>
      </c>
      <c r="W1225">
        <v>1.263E-3</v>
      </c>
      <c r="Y1225" t="s">
        <v>1</v>
      </c>
      <c r="Z1225">
        <v>2750</v>
      </c>
      <c r="AA1225">
        <v>84</v>
      </c>
      <c r="AB1225">
        <v>745</v>
      </c>
      <c r="AC1225">
        <v>0</v>
      </c>
      <c r="AD1225">
        <v>19601075329</v>
      </c>
      <c r="AE1225">
        <v>48503477.020000003</v>
      </c>
      <c r="AF1225">
        <v>19510043960</v>
      </c>
      <c r="AG1225">
        <v>19538436686.630001</v>
      </c>
      <c r="AH1225">
        <v>2.5728000000000001E-2</v>
      </c>
      <c r="AI1225">
        <v>8.6189999999999999E-3</v>
      </c>
    </row>
    <row r="1226" spans="1:35" x14ac:dyDescent="0.35">
      <c r="A1226" t="s">
        <v>3</v>
      </c>
      <c r="B1226">
        <v>3250</v>
      </c>
      <c r="C1226">
        <v>84</v>
      </c>
      <c r="D1226">
        <v>104</v>
      </c>
      <c r="E1226">
        <v>0</v>
      </c>
      <c r="F1226">
        <v>2117418508</v>
      </c>
      <c r="G1226">
        <v>4926413.71</v>
      </c>
      <c r="H1226">
        <v>2107194637.6500001</v>
      </c>
      <c r="I1226">
        <v>2112492087.5</v>
      </c>
      <c r="J1226">
        <v>2.9611999999999999E-2</v>
      </c>
      <c r="K1226">
        <v>0</v>
      </c>
      <c r="M1226" t="s">
        <v>1</v>
      </c>
      <c r="N1226">
        <v>5250</v>
      </c>
      <c r="O1226">
        <v>72</v>
      </c>
      <c r="P1226">
        <v>336</v>
      </c>
      <c r="Q1226">
        <v>0</v>
      </c>
      <c r="R1226">
        <v>5023933330</v>
      </c>
      <c r="S1226">
        <v>8639135.8000000007</v>
      </c>
      <c r="T1226">
        <v>4921262219.4799995</v>
      </c>
      <c r="U1226">
        <v>4957596802.3699999</v>
      </c>
      <c r="V1226">
        <v>0.20286399999999999</v>
      </c>
      <c r="W1226">
        <v>0.12943399999999999</v>
      </c>
      <c r="Y1226" t="s">
        <v>0</v>
      </c>
      <c r="Z1226">
        <v>5750</v>
      </c>
      <c r="AA1226">
        <v>144</v>
      </c>
      <c r="AB1226">
        <v>629</v>
      </c>
      <c r="AC1226">
        <v>0</v>
      </c>
      <c r="AD1226">
        <v>4046232514</v>
      </c>
      <c r="AE1226">
        <v>9759185.2599999998</v>
      </c>
      <c r="AF1226">
        <v>4024066536</v>
      </c>
      <c r="AG1226">
        <v>4024066536</v>
      </c>
      <c r="AH1226">
        <v>3.6180999999999998E-2</v>
      </c>
      <c r="AI1226">
        <v>3.6180999999999998E-2</v>
      </c>
    </row>
    <row r="1227" spans="1:35" x14ac:dyDescent="0.35">
      <c r="A1227" t="s">
        <v>3</v>
      </c>
      <c r="B1227">
        <v>4250</v>
      </c>
      <c r="C1227">
        <v>72</v>
      </c>
      <c r="D1227">
        <v>45</v>
      </c>
      <c r="E1227">
        <v>0</v>
      </c>
      <c r="F1227">
        <v>686201765</v>
      </c>
      <c r="G1227">
        <v>1377722.78</v>
      </c>
      <c r="H1227">
        <v>682111668.45000005</v>
      </c>
      <c r="I1227">
        <v>684824012.89999998</v>
      </c>
      <c r="J1227">
        <v>4.6414999999999998E-2</v>
      </c>
      <c r="K1227">
        <v>9.9999999999999995E-7</v>
      </c>
      <c r="M1227" t="s">
        <v>2</v>
      </c>
      <c r="N1227">
        <v>4750</v>
      </c>
      <c r="O1227">
        <v>72</v>
      </c>
      <c r="P1227">
        <v>624</v>
      </c>
      <c r="Q1227">
        <v>0</v>
      </c>
      <c r="R1227">
        <v>6555188065</v>
      </c>
      <c r="S1227">
        <v>11971534.640000001</v>
      </c>
      <c r="T1227">
        <v>6496854213.6700001</v>
      </c>
      <c r="U1227">
        <v>6534357393.0500002</v>
      </c>
      <c r="V1227">
        <v>8.1646999999999997E-2</v>
      </c>
      <c r="W1227">
        <v>1.6098000000000001E-2</v>
      </c>
      <c r="Y1227" t="s">
        <v>3</v>
      </c>
      <c r="Z1227">
        <v>3500</v>
      </c>
      <c r="AA1227">
        <v>84</v>
      </c>
      <c r="AB1227">
        <v>128</v>
      </c>
      <c r="AC1227">
        <v>0</v>
      </c>
      <c r="AD1227">
        <v>2366584122</v>
      </c>
      <c r="AE1227">
        <v>5357194.26</v>
      </c>
      <c r="AF1227">
        <v>2356096531</v>
      </c>
      <c r="AG1227">
        <v>2356096531</v>
      </c>
      <c r="AH1227">
        <v>2.5706E-2</v>
      </c>
      <c r="AI1227">
        <v>2.5706E-2</v>
      </c>
    </row>
    <row r="1228" spans="1:35" x14ac:dyDescent="0.35">
      <c r="A1228" t="s">
        <v>0</v>
      </c>
      <c r="B1228">
        <v>4250</v>
      </c>
      <c r="C1228">
        <v>60</v>
      </c>
      <c r="D1228">
        <v>4851</v>
      </c>
      <c r="E1228">
        <v>0</v>
      </c>
      <c r="F1228">
        <v>90089936714</v>
      </c>
      <c r="G1228">
        <v>167539487.59</v>
      </c>
      <c r="H1228">
        <v>89349252819.070007</v>
      </c>
      <c r="I1228">
        <v>89760249232.720001</v>
      </c>
      <c r="J1228">
        <v>7.3728000000000002E-2</v>
      </c>
      <c r="K1228">
        <v>2.1385999999999999E-2</v>
      </c>
      <c r="M1228" t="s">
        <v>3</v>
      </c>
      <c r="N1228">
        <v>4250</v>
      </c>
      <c r="O1228">
        <v>84</v>
      </c>
      <c r="P1228">
        <v>176</v>
      </c>
      <c r="Q1228">
        <v>0</v>
      </c>
      <c r="R1228">
        <v>3012411840</v>
      </c>
      <c r="S1228">
        <v>6261409.9100000001</v>
      </c>
      <c r="T1228">
        <v>2992789702.7399998</v>
      </c>
      <c r="U1228">
        <v>3005031003.8299999</v>
      </c>
      <c r="V1228">
        <v>5.1943000000000003E-2</v>
      </c>
      <c r="W1228">
        <v>4.45E-3</v>
      </c>
      <c r="Y1228" t="s">
        <v>3</v>
      </c>
      <c r="Z1228">
        <v>3250</v>
      </c>
      <c r="AA1228">
        <v>84</v>
      </c>
      <c r="AB1228">
        <v>78</v>
      </c>
      <c r="AC1228">
        <v>0</v>
      </c>
      <c r="AD1228">
        <v>1559150531</v>
      </c>
      <c r="AE1228">
        <v>3619593.23</v>
      </c>
      <c r="AF1228">
        <v>1555293738</v>
      </c>
      <c r="AG1228">
        <v>1555293738</v>
      </c>
      <c r="AH1228">
        <v>1.8240000000000001E-3</v>
      </c>
      <c r="AI1228">
        <v>1.8240000000000001E-3</v>
      </c>
    </row>
    <row r="1229" spans="1:35" x14ac:dyDescent="0.35">
      <c r="A1229" t="s">
        <v>2</v>
      </c>
      <c r="B1229">
        <v>5250</v>
      </c>
      <c r="C1229">
        <v>72</v>
      </c>
      <c r="D1229">
        <v>138</v>
      </c>
      <c r="E1229">
        <v>0</v>
      </c>
      <c r="F1229">
        <v>1407635455</v>
      </c>
      <c r="G1229">
        <v>2414677.85</v>
      </c>
      <c r="H1229">
        <v>1394854111.6199999</v>
      </c>
      <c r="I1229">
        <v>1402723590.3699999</v>
      </c>
      <c r="J1229">
        <v>8.4881999999999999E-2</v>
      </c>
      <c r="K1229">
        <v>2.1082E-2</v>
      </c>
      <c r="M1229" t="s">
        <v>3</v>
      </c>
      <c r="N1229">
        <v>4000</v>
      </c>
      <c r="O1229">
        <v>84</v>
      </c>
      <c r="P1229">
        <v>115</v>
      </c>
      <c r="Q1229">
        <v>0</v>
      </c>
      <c r="R1229">
        <v>2000455751</v>
      </c>
      <c r="S1229">
        <v>4253244.9000000004</v>
      </c>
      <c r="T1229">
        <v>1988199090.53</v>
      </c>
      <c r="U1229">
        <v>1996113713.1900001</v>
      </c>
      <c r="V1229">
        <v>4.6967000000000002E-2</v>
      </c>
      <c r="W1229">
        <v>5.3300000000000005E-4</v>
      </c>
      <c r="Y1229" t="s">
        <v>3</v>
      </c>
      <c r="Z1229">
        <v>4250</v>
      </c>
      <c r="AA1229">
        <v>72</v>
      </c>
      <c r="AB1229">
        <v>54</v>
      </c>
      <c r="AC1229">
        <v>0</v>
      </c>
      <c r="AD1229">
        <v>831406589</v>
      </c>
      <c r="AE1229">
        <v>1666303.32</v>
      </c>
      <c r="AF1229">
        <v>829420631</v>
      </c>
      <c r="AG1229">
        <v>829420631</v>
      </c>
      <c r="AH1229">
        <v>4.6039999999999996E-3</v>
      </c>
      <c r="AI1229">
        <v>4.6039999999999996E-3</v>
      </c>
    </row>
    <row r="1230" spans="1:35" x14ac:dyDescent="0.35">
      <c r="A1230" t="s">
        <v>0</v>
      </c>
      <c r="B1230">
        <v>6000</v>
      </c>
      <c r="C1230">
        <v>72</v>
      </c>
      <c r="D1230">
        <v>60</v>
      </c>
      <c r="E1230">
        <v>0</v>
      </c>
      <c r="F1230">
        <v>767620375</v>
      </c>
      <c r="G1230">
        <v>1190382.01</v>
      </c>
      <c r="H1230">
        <v>758452628.07000005</v>
      </c>
      <c r="I1230">
        <v>762586926.38999999</v>
      </c>
      <c r="J1230">
        <v>0.117821</v>
      </c>
      <c r="K1230">
        <v>5.8451000000000003E-2</v>
      </c>
      <c r="M1230" t="s">
        <v>3</v>
      </c>
      <c r="N1230">
        <v>3750</v>
      </c>
      <c r="O1230">
        <v>84</v>
      </c>
      <c r="P1230">
        <v>75</v>
      </c>
      <c r="Q1230">
        <v>0</v>
      </c>
      <c r="R1230">
        <v>1495656554</v>
      </c>
      <c r="S1230">
        <v>3273022.82</v>
      </c>
      <c r="T1230">
        <v>1484029935.8900001</v>
      </c>
      <c r="U1230">
        <v>1491058994.53</v>
      </c>
      <c r="V1230">
        <v>6.5002000000000004E-2</v>
      </c>
      <c r="W1230">
        <v>1.0574999999999999E-2</v>
      </c>
      <c r="Y1230" t="s">
        <v>3</v>
      </c>
      <c r="Z1230">
        <v>3250</v>
      </c>
      <c r="AA1230">
        <v>72</v>
      </c>
      <c r="AB1230">
        <v>441</v>
      </c>
      <c r="AC1230">
        <v>0</v>
      </c>
      <c r="AD1230">
        <v>8842843844</v>
      </c>
      <c r="AE1230">
        <v>19918319.260000002</v>
      </c>
      <c r="AF1230">
        <v>8799606080</v>
      </c>
      <c r="AG1230">
        <v>8819146373.9799995</v>
      </c>
      <c r="AH1230">
        <v>3.1189999999999999E-2</v>
      </c>
      <c r="AI1230">
        <v>5.1159999999999999E-3</v>
      </c>
    </row>
    <row r="1231" spans="1:35" x14ac:dyDescent="0.35">
      <c r="A1231" t="s">
        <v>2</v>
      </c>
      <c r="B1231">
        <v>4500</v>
      </c>
      <c r="C1231">
        <v>60</v>
      </c>
      <c r="D1231">
        <v>133</v>
      </c>
      <c r="E1231">
        <v>0</v>
      </c>
      <c r="F1231">
        <v>1597228036</v>
      </c>
      <c r="G1231">
        <v>3013442.89</v>
      </c>
      <c r="H1231">
        <v>1581114655.99</v>
      </c>
      <c r="I1231">
        <v>1589738141.3800001</v>
      </c>
      <c r="J1231">
        <v>9.4100000000000003E-2</v>
      </c>
      <c r="K1231">
        <v>3.3118000000000002E-2</v>
      </c>
      <c r="M1231" t="s">
        <v>0</v>
      </c>
      <c r="N1231">
        <v>4750</v>
      </c>
      <c r="O1231">
        <v>48</v>
      </c>
      <c r="P1231">
        <v>4789</v>
      </c>
      <c r="Q1231">
        <v>0</v>
      </c>
      <c r="R1231">
        <v>109823163689</v>
      </c>
      <c r="S1231">
        <v>176979864.47</v>
      </c>
      <c r="T1231">
        <v>109002030484.98</v>
      </c>
      <c r="U1231">
        <v>109426244125.88</v>
      </c>
      <c r="V1231">
        <v>6.8157999999999996E-2</v>
      </c>
      <c r="W1231">
        <v>2.3768999999999998E-2</v>
      </c>
      <c r="Y1231" t="s">
        <v>3</v>
      </c>
      <c r="Z1231">
        <v>3500</v>
      </c>
      <c r="AA1231">
        <v>72</v>
      </c>
      <c r="AB1231">
        <v>324</v>
      </c>
      <c r="AC1231">
        <v>0</v>
      </c>
      <c r="AD1231">
        <v>5950161628</v>
      </c>
      <c r="AE1231">
        <v>13069059.33</v>
      </c>
      <c r="AF1231">
        <v>5907258615</v>
      </c>
      <c r="AG1231">
        <v>5935609745.8000002</v>
      </c>
      <c r="AH1231">
        <v>5.8535999999999998E-2</v>
      </c>
      <c r="AI1231">
        <v>2.9859999999999999E-3</v>
      </c>
    </row>
    <row r="1232" spans="1:35" x14ac:dyDescent="0.35">
      <c r="A1232" t="s">
        <v>2</v>
      </c>
      <c r="B1232">
        <v>4250</v>
      </c>
      <c r="C1232">
        <v>60</v>
      </c>
      <c r="D1232">
        <v>369</v>
      </c>
      <c r="E1232">
        <v>0</v>
      </c>
      <c r="F1232">
        <v>4458277928</v>
      </c>
      <c r="G1232">
        <v>8528684.1099999994</v>
      </c>
      <c r="H1232">
        <v>4415412449.7600002</v>
      </c>
      <c r="I1232">
        <v>4439649661.1700001</v>
      </c>
      <c r="J1232">
        <v>8.8605000000000003E-2</v>
      </c>
      <c r="K1232">
        <v>2.6848E-2</v>
      </c>
      <c r="M1232" t="s">
        <v>1</v>
      </c>
      <c r="N1232">
        <v>4250</v>
      </c>
      <c r="O1232">
        <v>48</v>
      </c>
      <c r="P1232">
        <v>2762</v>
      </c>
      <c r="Q1232">
        <v>0</v>
      </c>
      <c r="R1232">
        <v>73512095044</v>
      </c>
      <c r="S1232">
        <v>128256548.19</v>
      </c>
      <c r="T1232">
        <v>72450944752.309998</v>
      </c>
      <c r="U1232">
        <v>72980944568.020004</v>
      </c>
      <c r="V1232">
        <v>0.142092</v>
      </c>
      <c r="W1232">
        <v>6.3821000000000003E-2</v>
      </c>
      <c r="Y1232" t="s">
        <v>3</v>
      </c>
      <c r="Z1232">
        <v>3750</v>
      </c>
      <c r="AA1232">
        <v>72</v>
      </c>
      <c r="AB1232">
        <v>262</v>
      </c>
      <c r="AC1232">
        <v>0</v>
      </c>
      <c r="AD1232">
        <v>4528442303</v>
      </c>
      <c r="AE1232">
        <v>9703184.6899999995</v>
      </c>
      <c r="AF1232">
        <v>4485724978</v>
      </c>
      <c r="AG1232">
        <v>4517016262.8800001</v>
      </c>
      <c r="AH1232">
        <v>8.4060999999999997E-2</v>
      </c>
      <c r="AI1232">
        <v>4.5560000000000002E-3</v>
      </c>
    </row>
    <row r="1233" spans="1:35" x14ac:dyDescent="0.35">
      <c r="A1233" t="s">
        <v>2</v>
      </c>
      <c r="B1233">
        <v>3750</v>
      </c>
      <c r="C1233">
        <v>60</v>
      </c>
      <c r="D1233">
        <v>2069</v>
      </c>
      <c r="E1233">
        <v>0</v>
      </c>
      <c r="F1233">
        <v>28533078766</v>
      </c>
      <c r="G1233">
        <v>57794860.950000003</v>
      </c>
      <c r="H1233">
        <v>28292079107.009998</v>
      </c>
      <c r="I1233">
        <v>28438345103.18</v>
      </c>
      <c r="J1233">
        <v>7.4385999999999994E-2</v>
      </c>
      <c r="K1233">
        <v>1.5424999999999999E-2</v>
      </c>
      <c r="M1233" t="s">
        <v>0</v>
      </c>
      <c r="N1233">
        <v>4750</v>
      </c>
      <c r="O1233">
        <v>60</v>
      </c>
      <c r="P1233">
        <v>1701</v>
      </c>
      <c r="Q1233">
        <v>0</v>
      </c>
      <c r="R1233">
        <v>29738115482</v>
      </c>
      <c r="S1233">
        <v>51683238.32</v>
      </c>
      <c r="T1233">
        <v>29476412288.959999</v>
      </c>
      <c r="U1233">
        <v>29630960908.490002</v>
      </c>
      <c r="V1233">
        <v>8.1531999999999993E-2</v>
      </c>
      <c r="W1233">
        <v>2.2155999999999999E-2</v>
      </c>
      <c r="Y1233" t="s">
        <v>3</v>
      </c>
      <c r="Z1233">
        <v>4000</v>
      </c>
      <c r="AA1233">
        <v>72</v>
      </c>
      <c r="AB1233">
        <v>88</v>
      </c>
      <c r="AC1233">
        <v>0</v>
      </c>
      <c r="AD1233">
        <v>1430317930</v>
      </c>
      <c r="AE1233">
        <v>2947150.01</v>
      </c>
      <c r="AF1233">
        <v>1415735290</v>
      </c>
      <c r="AG1233">
        <v>1426529410.1600001</v>
      </c>
      <c r="AH1233">
        <v>9.3367000000000006E-2</v>
      </c>
      <c r="AI1233">
        <v>7.0359999999999997E-3</v>
      </c>
    </row>
    <row r="1234" spans="1:35" x14ac:dyDescent="0.35">
      <c r="A1234" t="s">
        <v>2</v>
      </c>
      <c r="B1234">
        <v>2250</v>
      </c>
      <c r="C1234">
        <v>54</v>
      </c>
      <c r="D1234">
        <v>1082</v>
      </c>
      <c r="E1234">
        <v>0</v>
      </c>
      <c r="F1234">
        <v>20175615951</v>
      </c>
      <c r="G1234">
        <v>48359762.719999999</v>
      </c>
      <c r="H1234">
        <v>20041758892.599998</v>
      </c>
      <c r="I1234">
        <v>20122428516.98</v>
      </c>
      <c r="J1234">
        <v>4.9682999999999998E-2</v>
      </c>
      <c r="K1234">
        <v>2.8679999999999999E-3</v>
      </c>
      <c r="M1234" t="s">
        <v>2</v>
      </c>
      <c r="N1234">
        <v>2750</v>
      </c>
      <c r="O1234">
        <v>84</v>
      </c>
      <c r="P1234">
        <v>6</v>
      </c>
      <c r="Q1234">
        <v>0</v>
      </c>
      <c r="R1234">
        <v>106302968</v>
      </c>
      <c r="S1234">
        <v>263794.03999999998</v>
      </c>
      <c r="T1234">
        <v>105662191.8</v>
      </c>
      <c r="U1234">
        <v>106039073.81999999</v>
      </c>
      <c r="V1234">
        <v>4.1735000000000001E-2</v>
      </c>
      <c r="W1234">
        <v>1.1E-5</v>
      </c>
      <c r="Y1234" t="s">
        <v>1</v>
      </c>
      <c r="Z1234">
        <v>5250</v>
      </c>
      <c r="AA1234">
        <v>72</v>
      </c>
      <c r="AB1234">
        <v>272</v>
      </c>
      <c r="AC1234">
        <v>0</v>
      </c>
      <c r="AD1234">
        <v>4048260663</v>
      </c>
      <c r="AE1234">
        <v>6973469.6100000003</v>
      </c>
      <c r="AF1234">
        <v>4012540795</v>
      </c>
      <c r="AG1234">
        <v>4012540795</v>
      </c>
      <c r="AH1234">
        <v>8.1961000000000006E-2</v>
      </c>
      <c r="AI1234">
        <v>8.1961000000000006E-2</v>
      </c>
    </row>
    <row r="1235" spans="1:35" x14ac:dyDescent="0.35">
      <c r="A1235" t="s">
        <v>2</v>
      </c>
      <c r="B1235">
        <v>3750</v>
      </c>
      <c r="C1235">
        <v>54</v>
      </c>
      <c r="D1235">
        <v>3612</v>
      </c>
      <c r="E1235">
        <v>0</v>
      </c>
      <c r="F1235">
        <v>51669006160</v>
      </c>
      <c r="G1235">
        <v>102010311.48999999</v>
      </c>
      <c r="H1235">
        <v>51235525316.709999</v>
      </c>
      <c r="I1235">
        <v>51482457121.550003</v>
      </c>
      <c r="J1235">
        <v>7.4324000000000001E-2</v>
      </c>
      <c r="K1235">
        <v>1.9458E-2</v>
      </c>
      <c r="M1235" t="s">
        <v>1</v>
      </c>
      <c r="N1235">
        <v>2750</v>
      </c>
      <c r="O1235">
        <v>84</v>
      </c>
      <c r="P1235">
        <v>61</v>
      </c>
      <c r="Q1235">
        <v>0</v>
      </c>
      <c r="R1235">
        <v>1584645541</v>
      </c>
      <c r="S1235">
        <v>3916939.56</v>
      </c>
      <c r="T1235">
        <v>1572326995.9300001</v>
      </c>
      <c r="U1235">
        <v>1580647329.52</v>
      </c>
      <c r="V1235">
        <v>6.1800000000000001E-2</v>
      </c>
      <c r="W1235">
        <v>6.1499999999999999E-4</v>
      </c>
      <c r="Y1235" t="s">
        <v>0</v>
      </c>
      <c r="Z1235">
        <v>5750</v>
      </c>
      <c r="AA1235">
        <v>72</v>
      </c>
      <c r="AB1235">
        <v>405</v>
      </c>
      <c r="AC1235">
        <v>0</v>
      </c>
      <c r="AD1235">
        <v>5219108486</v>
      </c>
      <c r="AE1235">
        <v>8389031.4100000001</v>
      </c>
      <c r="AF1235">
        <v>5170609727</v>
      </c>
      <c r="AG1235">
        <v>5210377345.5699997</v>
      </c>
      <c r="AH1235">
        <v>8.8422000000000001E-2</v>
      </c>
      <c r="AI1235">
        <v>7.8600000000000002E-4</v>
      </c>
    </row>
    <row r="1236" spans="1:35" x14ac:dyDescent="0.35">
      <c r="A1236" t="s">
        <v>1</v>
      </c>
      <c r="B1236">
        <v>3750</v>
      </c>
      <c r="C1236">
        <v>54</v>
      </c>
      <c r="D1236">
        <v>10696</v>
      </c>
      <c r="E1236">
        <v>0</v>
      </c>
      <c r="F1236">
        <v>263761280963</v>
      </c>
      <c r="G1236">
        <v>518013396.01999998</v>
      </c>
      <c r="H1236">
        <v>260391095902.54001</v>
      </c>
      <c r="I1236">
        <v>262114681971.01001</v>
      </c>
      <c r="J1236">
        <v>0.12231599999999999</v>
      </c>
      <c r="K1236">
        <v>5.0153999999999997E-2</v>
      </c>
      <c r="M1236" t="s">
        <v>0</v>
      </c>
      <c r="N1236">
        <v>5750</v>
      </c>
      <c r="O1236">
        <v>144</v>
      </c>
      <c r="P1236">
        <v>649</v>
      </c>
      <c r="Q1236">
        <v>0</v>
      </c>
      <c r="R1236">
        <v>4164662914</v>
      </c>
      <c r="S1236">
        <v>9975599.6699999999</v>
      </c>
      <c r="T1236">
        <v>4121987133.98</v>
      </c>
      <c r="U1236">
        <v>4152078405.3400002</v>
      </c>
      <c r="V1236">
        <v>9.0257000000000004E-2</v>
      </c>
      <c r="W1236">
        <v>7.4910000000000003E-3</v>
      </c>
      <c r="Y1236" t="s">
        <v>3</v>
      </c>
      <c r="Z1236">
        <v>4500</v>
      </c>
      <c r="AA1236">
        <v>72</v>
      </c>
      <c r="AB1236">
        <v>21</v>
      </c>
      <c r="AC1236">
        <v>0</v>
      </c>
      <c r="AD1236">
        <v>366647424</v>
      </c>
      <c r="AE1236">
        <v>699382.95</v>
      </c>
      <c r="AF1236">
        <v>365770965</v>
      </c>
      <c r="AG1236">
        <v>365770965</v>
      </c>
      <c r="AH1236">
        <v>5.7800000000000004E-3</v>
      </c>
      <c r="AI1236">
        <v>5.7800000000000004E-3</v>
      </c>
    </row>
    <row r="1237" spans="1:35" x14ac:dyDescent="0.35">
      <c r="A1237" t="s">
        <v>2</v>
      </c>
      <c r="B1237">
        <v>4500</v>
      </c>
      <c r="C1237">
        <v>54</v>
      </c>
      <c r="D1237">
        <v>108</v>
      </c>
      <c r="E1237">
        <v>0</v>
      </c>
      <c r="F1237">
        <v>1315563152</v>
      </c>
      <c r="G1237">
        <v>2372924.2000000002</v>
      </c>
      <c r="H1237">
        <v>1305278899.6900001</v>
      </c>
      <c r="I1237">
        <v>1311797648.78</v>
      </c>
      <c r="J1237">
        <v>6.9823999999999997E-2</v>
      </c>
      <c r="K1237">
        <v>1.2629E-2</v>
      </c>
      <c r="M1237" t="s">
        <v>3</v>
      </c>
      <c r="N1237">
        <v>3500</v>
      </c>
      <c r="O1237">
        <v>72</v>
      </c>
      <c r="P1237">
        <v>394</v>
      </c>
      <c r="Q1237">
        <v>0</v>
      </c>
      <c r="R1237">
        <v>7356170562</v>
      </c>
      <c r="S1237">
        <v>16084048.039999999</v>
      </c>
      <c r="T1237">
        <v>7310235527.3000002</v>
      </c>
      <c r="U1237">
        <v>7338667195.5600004</v>
      </c>
      <c r="V1237">
        <v>4.7622999999999999E-2</v>
      </c>
      <c r="W1237">
        <v>2.313E-3</v>
      </c>
      <c r="Y1237" t="s">
        <v>0</v>
      </c>
      <c r="Z1237">
        <v>6000</v>
      </c>
      <c r="AA1237">
        <v>72</v>
      </c>
      <c r="AB1237">
        <v>73</v>
      </c>
      <c r="AC1237">
        <v>0</v>
      </c>
      <c r="AD1237">
        <v>890596434</v>
      </c>
      <c r="AE1237">
        <v>1378988.59</v>
      </c>
      <c r="AF1237">
        <v>888697649</v>
      </c>
      <c r="AG1237">
        <v>888697649</v>
      </c>
      <c r="AH1237">
        <v>6.9810000000000002E-3</v>
      </c>
      <c r="AI1237">
        <v>6.9810000000000002E-3</v>
      </c>
    </row>
    <row r="1238" spans="1:35" x14ac:dyDescent="0.35">
      <c r="A1238" t="s">
        <v>0</v>
      </c>
      <c r="B1238">
        <v>4250</v>
      </c>
      <c r="C1238">
        <v>54</v>
      </c>
      <c r="D1238">
        <v>10567</v>
      </c>
      <c r="E1238">
        <v>0</v>
      </c>
      <c r="F1238">
        <v>220604607660</v>
      </c>
      <c r="G1238">
        <v>398169718.24000001</v>
      </c>
      <c r="H1238">
        <v>218912658507.14999</v>
      </c>
      <c r="I1238">
        <v>219760898135</v>
      </c>
      <c r="J1238">
        <v>6.8150000000000002E-2</v>
      </c>
      <c r="K1238">
        <v>2.3968E-2</v>
      </c>
      <c r="M1238" t="s">
        <v>3</v>
      </c>
      <c r="N1238">
        <v>3750</v>
      </c>
      <c r="O1238">
        <v>72</v>
      </c>
      <c r="P1238">
        <v>326</v>
      </c>
      <c r="Q1238">
        <v>0</v>
      </c>
      <c r="R1238">
        <v>5767006759</v>
      </c>
      <c r="S1238">
        <v>12288134.67</v>
      </c>
      <c r="T1238">
        <v>5732826445.5200005</v>
      </c>
      <c r="U1238">
        <v>5754459990.8400002</v>
      </c>
      <c r="V1238">
        <v>4.4614000000000001E-2</v>
      </c>
      <c r="W1238">
        <v>5.3799999999999996E-4</v>
      </c>
      <c r="Y1238" t="s">
        <v>2</v>
      </c>
      <c r="Z1238">
        <v>5250</v>
      </c>
      <c r="AA1238">
        <v>72</v>
      </c>
      <c r="AB1238">
        <v>148</v>
      </c>
      <c r="AC1238">
        <v>0</v>
      </c>
      <c r="AD1238">
        <v>1545240051</v>
      </c>
      <c r="AE1238">
        <v>2642976.61</v>
      </c>
      <c r="AF1238">
        <v>1542484486</v>
      </c>
      <c r="AG1238">
        <v>1542484486</v>
      </c>
      <c r="AH1238">
        <v>8.7399999999999999E-4</v>
      </c>
      <c r="AI1238">
        <v>8.7399999999999999E-4</v>
      </c>
    </row>
    <row r="1239" spans="1:35" x14ac:dyDescent="0.35">
      <c r="A1239" t="s">
        <v>0</v>
      </c>
      <c r="B1239">
        <v>5750</v>
      </c>
      <c r="C1239">
        <v>72</v>
      </c>
      <c r="D1239">
        <v>318</v>
      </c>
      <c r="E1239">
        <v>0</v>
      </c>
      <c r="F1239">
        <v>4126487766</v>
      </c>
      <c r="G1239">
        <v>6642377.2800000003</v>
      </c>
      <c r="H1239">
        <v>4084273133.8400002</v>
      </c>
      <c r="I1239">
        <v>4106091183.5900002</v>
      </c>
      <c r="J1239">
        <v>9.8679000000000003E-2</v>
      </c>
      <c r="K1239">
        <v>3.9273000000000002E-2</v>
      </c>
      <c r="M1239" t="s">
        <v>3</v>
      </c>
      <c r="N1239">
        <v>4250</v>
      </c>
      <c r="O1239">
        <v>72</v>
      </c>
      <c r="P1239">
        <v>94</v>
      </c>
      <c r="Q1239">
        <v>0</v>
      </c>
      <c r="R1239">
        <v>1453563551</v>
      </c>
      <c r="S1239">
        <v>2914274.26</v>
      </c>
      <c r="T1239">
        <v>1445196223.9300001</v>
      </c>
      <c r="U1239">
        <v>1450645325.27</v>
      </c>
      <c r="V1239">
        <v>4.4101000000000001E-2</v>
      </c>
      <c r="W1239">
        <v>3.3000000000000003E-5</v>
      </c>
      <c r="Y1239" t="s">
        <v>0</v>
      </c>
      <c r="Z1239">
        <v>6250</v>
      </c>
      <c r="AA1239">
        <v>72</v>
      </c>
      <c r="AB1239">
        <v>59</v>
      </c>
      <c r="AC1239">
        <v>0</v>
      </c>
      <c r="AD1239">
        <v>798142058</v>
      </c>
      <c r="AE1239">
        <v>1161256.08</v>
      </c>
      <c r="AF1239">
        <v>769770987</v>
      </c>
      <c r="AG1239">
        <v>769770987</v>
      </c>
      <c r="AH1239">
        <v>0.340474</v>
      </c>
      <c r="AI1239">
        <v>0.340474</v>
      </c>
    </row>
    <row r="1240" spans="1:35" x14ac:dyDescent="0.35">
      <c r="A1240" t="s">
        <v>1</v>
      </c>
      <c r="B1240">
        <v>7750</v>
      </c>
      <c r="C1240">
        <v>20</v>
      </c>
      <c r="D1240">
        <v>428</v>
      </c>
      <c r="E1240">
        <v>0</v>
      </c>
      <c r="F1240">
        <v>10861673782</v>
      </c>
      <c r="G1240">
        <v>9119809.3599999994</v>
      </c>
      <c r="H1240">
        <v>10135823665.77</v>
      </c>
      <c r="I1240">
        <v>10578515517.42</v>
      </c>
      <c r="J1240">
        <v>0.55920700000000001</v>
      </c>
      <c r="K1240">
        <v>0.26408700000000002</v>
      </c>
      <c r="M1240" t="s">
        <v>3</v>
      </c>
      <c r="N1240">
        <v>3250</v>
      </c>
      <c r="O1240">
        <v>72</v>
      </c>
      <c r="P1240">
        <v>444</v>
      </c>
      <c r="Q1240">
        <v>0</v>
      </c>
      <c r="R1240">
        <v>9032188207</v>
      </c>
      <c r="S1240">
        <v>20242425.390000001</v>
      </c>
      <c r="T1240">
        <v>8981606299.5100002</v>
      </c>
      <c r="U1240">
        <v>9011815564.4400005</v>
      </c>
      <c r="V1240">
        <v>3.9572000000000003E-2</v>
      </c>
      <c r="W1240">
        <v>1.73E-4</v>
      </c>
      <c r="Y1240" t="s">
        <v>2</v>
      </c>
      <c r="Z1240">
        <v>3750</v>
      </c>
      <c r="AA1240">
        <v>60</v>
      </c>
      <c r="AB1240">
        <v>1716</v>
      </c>
      <c r="AC1240">
        <v>0</v>
      </c>
      <c r="AD1240">
        <v>23502558967</v>
      </c>
      <c r="AE1240">
        <v>47948904.799999997</v>
      </c>
      <c r="AF1240">
        <v>23290451054</v>
      </c>
      <c r="AG1240">
        <v>23446073632</v>
      </c>
      <c r="AH1240">
        <v>8.0671000000000007E-2</v>
      </c>
      <c r="AI1240">
        <v>4.3499999999999997E-3</v>
      </c>
    </row>
    <row r="1241" spans="1:35" x14ac:dyDescent="0.35">
      <c r="A1241" t="s">
        <v>2</v>
      </c>
      <c r="B1241">
        <v>7750</v>
      </c>
      <c r="C1241">
        <v>20</v>
      </c>
      <c r="D1241">
        <v>140</v>
      </c>
      <c r="E1241">
        <v>0</v>
      </c>
      <c r="F1241">
        <v>2060709234</v>
      </c>
      <c r="G1241">
        <v>1694571.81</v>
      </c>
      <c r="H1241">
        <v>2022998831.5999999</v>
      </c>
      <c r="I1241">
        <v>2049060642.1900001</v>
      </c>
      <c r="J1241">
        <v>0.19069800000000001</v>
      </c>
      <c r="K1241">
        <v>5.6448999999999999E-2</v>
      </c>
      <c r="M1241" t="s">
        <v>3</v>
      </c>
      <c r="N1241">
        <v>3250</v>
      </c>
      <c r="O1241">
        <v>84</v>
      </c>
      <c r="P1241">
        <v>25</v>
      </c>
      <c r="Q1241">
        <v>0</v>
      </c>
      <c r="R1241">
        <v>537767420</v>
      </c>
      <c r="S1241">
        <v>1243583.03</v>
      </c>
      <c r="T1241">
        <v>534659843.14999998</v>
      </c>
      <c r="U1241">
        <v>536523802.42000002</v>
      </c>
      <c r="V1241">
        <v>4.0809999999999999E-2</v>
      </c>
      <c r="W1241">
        <v>9.9999999999999995E-7</v>
      </c>
      <c r="Y1241" t="s">
        <v>0</v>
      </c>
      <c r="Z1241">
        <v>4500</v>
      </c>
      <c r="AA1241">
        <v>60</v>
      </c>
      <c r="AB1241">
        <v>1244</v>
      </c>
      <c r="AC1241">
        <v>0</v>
      </c>
      <c r="AD1241">
        <v>22577240286</v>
      </c>
      <c r="AE1241">
        <v>40711857.840000004</v>
      </c>
      <c r="AF1241">
        <v>22423328530</v>
      </c>
      <c r="AG1241">
        <v>22529937738.549999</v>
      </c>
      <c r="AH1241">
        <v>5.8534999999999997E-2</v>
      </c>
      <c r="AI1241">
        <v>3.4970000000000001E-3</v>
      </c>
    </row>
    <row r="1242" spans="1:35" x14ac:dyDescent="0.35">
      <c r="A1242" t="s">
        <v>1</v>
      </c>
      <c r="B1242">
        <v>5250</v>
      </c>
      <c r="C1242">
        <v>72</v>
      </c>
      <c r="D1242">
        <v>235</v>
      </c>
      <c r="E1242">
        <v>0</v>
      </c>
      <c r="F1242">
        <v>3468266607</v>
      </c>
      <c r="G1242">
        <v>5984167.1900000004</v>
      </c>
      <c r="H1242">
        <v>3399959241.2399998</v>
      </c>
      <c r="I1242">
        <v>3424656130.1999998</v>
      </c>
      <c r="J1242">
        <v>0.195549</v>
      </c>
      <c r="K1242">
        <v>0.12269099999999999</v>
      </c>
      <c r="M1242" t="s">
        <v>3</v>
      </c>
      <c r="N1242">
        <v>3500</v>
      </c>
      <c r="O1242">
        <v>84</v>
      </c>
      <c r="P1242">
        <v>52</v>
      </c>
      <c r="Q1242">
        <v>0</v>
      </c>
      <c r="R1242">
        <v>935091207</v>
      </c>
      <c r="S1242">
        <v>2107266.81</v>
      </c>
      <c r="T1242">
        <v>929598355.41999996</v>
      </c>
      <c r="U1242">
        <v>932932555.83000004</v>
      </c>
      <c r="V1242">
        <v>4.2591999999999998E-2</v>
      </c>
      <c r="W1242">
        <v>6.5899999999999997E-4</v>
      </c>
      <c r="Y1242" t="s">
        <v>2</v>
      </c>
      <c r="Z1242">
        <v>4500</v>
      </c>
      <c r="AA1242">
        <v>60</v>
      </c>
      <c r="AB1242">
        <v>151</v>
      </c>
      <c r="AC1242">
        <v>0</v>
      </c>
      <c r="AD1242">
        <v>1800354907</v>
      </c>
      <c r="AE1242">
        <v>3406475.49</v>
      </c>
      <c r="AF1242">
        <v>1796845895</v>
      </c>
      <c r="AG1242">
        <v>1796845895</v>
      </c>
      <c r="AH1242">
        <v>6.8300000000000001E-4</v>
      </c>
      <c r="AI1242">
        <v>6.8300000000000001E-4</v>
      </c>
    </row>
    <row r="1243" spans="1:35" x14ac:dyDescent="0.35">
      <c r="A1243" t="s">
        <v>3</v>
      </c>
      <c r="B1243">
        <v>3750</v>
      </c>
      <c r="C1243">
        <v>72</v>
      </c>
      <c r="D1243">
        <v>231</v>
      </c>
      <c r="E1243">
        <v>0</v>
      </c>
      <c r="F1243">
        <v>3881064656</v>
      </c>
      <c r="G1243">
        <v>8336413.2999999998</v>
      </c>
      <c r="H1243">
        <v>3859724287.6700001</v>
      </c>
      <c r="I1243">
        <v>3872565170.5999999</v>
      </c>
      <c r="J1243">
        <v>3.9475000000000003E-2</v>
      </c>
      <c r="K1243">
        <v>5.04E-4</v>
      </c>
      <c r="M1243" t="s">
        <v>3</v>
      </c>
      <c r="N1243">
        <v>4000</v>
      </c>
      <c r="O1243">
        <v>72</v>
      </c>
      <c r="P1243">
        <v>115</v>
      </c>
      <c r="Q1243">
        <v>0</v>
      </c>
      <c r="R1243">
        <v>1872870059</v>
      </c>
      <c r="S1243">
        <v>3848225.22</v>
      </c>
      <c r="T1243">
        <v>1861323068.9200001</v>
      </c>
      <c r="U1243">
        <v>1868604131.52</v>
      </c>
      <c r="V1243">
        <v>4.8228E-2</v>
      </c>
      <c r="W1243">
        <v>2.673E-3</v>
      </c>
      <c r="Y1243" t="s">
        <v>2</v>
      </c>
      <c r="Z1243">
        <v>4250</v>
      </c>
      <c r="AA1243">
        <v>60</v>
      </c>
      <c r="AB1243">
        <v>380</v>
      </c>
      <c r="AC1243">
        <v>0</v>
      </c>
      <c r="AD1243">
        <v>4753721233</v>
      </c>
      <c r="AE1243">
        <v>9088038.8800000008</v>
      </c>
      <c r="AF1243">
        <v>4730293825</v>
      </c>
      <c r="AG1243">
        <v>4744468566.3500004</v>
      </c>
      <c r="AH1243">
        <v>3.5603000000000003E-2</v>
      </c>
      <c r="AI1243">
        <v>4.15E-4</v>
      </c>
    </row>
    <row r="1244" spans="1:35" x14ac:dyDescent="0.35">
      <c r="A1244" t="s">
        <v>3</v>
      </c>
      <c r="B1244">
        <v>3250</v>
      </c>
      <c r="C1244">
        <v>72</v>
      </c>
      <c r="D1244">
        <v>440</v>
      </c>
      <c r="E1244">
        <v>0</v>
      </c>
      <c r="F1244">
        <v>8742637426</v>
      </c>
      <c r="G1244">
        <v>19739556.710000001</v>
      </c>
      <c r="H1244">
        <v>8696466968.3099995</v>
      </c>
      <c r="I1244">
        <v>8722714704.4200001</v>
      </c>
      <c r="J1244">
        <v>3.5680999999999997E-2</v>
      </c>
      <c r="K1244">
        <v>2.5099999999999998E-4</v>
      </c>
      <c r="M1244" t="s">
        <v>3</v>
      </c>
      <c r="N1244">
        <v>4500</v>
      </c>
      <c r="O1244">
        <v>72</v>
      </c>
      <c r="P1244">
        <v>34</v>
      </c>
      <c r="Q1244">
        <v>0</v>
      </c>
      <c r="R1244">
        <v>602508361</v>
      </c>
      <c r="S1244">
        <v>1149779.02</v>
      </c>
      <c r="T1244">
        <v>598958143.29999995</v>
      </c>
      <c r="U1244">
        <v>601357048.49000001</v>
      </c>
      <c r="V1244">
        <v>4.6774999999999997E-2</v>
      </c>
      <c r="W1244">
        <v>3.1000000000000001E-5</v>
      </c>
      <c r="Y1244" t="s">
        <v>2</v>
      </c>
      <c r="Z1244">
        <v>3750</v>
      </c>
      <c r="AA1244">
        <v>54</v>
      </c>
      <c r="AB1244">
        <v>3453</v>
      </c>
      <c r="AC1244">
        <v>0</v>
      </c>
      <c r="AD1244">
        <v>48643089430</v>
      </c>
      <c r="AE1244">
        <v>95737694.400000006</v>
      </c>
      <c r="AF1244">
        <v>48338307073</v>
      </c>
      <c r="AG1244">
        <v>48447125740.959999</v>
      </c>
      <c r="AH1244">
        <v>5.0368999999999997E-2</v>
      </c>
      <c r="AI1244">
        <v>2.4447E-2</v>
      </c>
    </row>
    <row r="1245" spans="1:35" x14ac:dyDescent="0.35">
      <c r="A1245" t="s">
        <v>3</v>
      </c>
      <c r="B1245">
        <v>3500</v>
      </c>
      <c r="C1245">
        <v>72</v>
      </c>
      <c r="D1245">
        <v>284</v>
      </c>
      <c r="E1245">
        <v>0</v>
      </c>
      <c r="F1245">
        <v>5209438260</v>
      </c>
      <c r="G1245">
        <v>11473153.98</v>
      </c>
      <c r="H1245">
        <v>5179084046.6099997</v>
      </c>
      <c r="I1245">
        <v>5197708349.6499996</v>
      </c>
      <c r="J1245">
        <v>4.2636E-2</v>
      </c>
      <c r="K1245">
        <v>5.9100000000000005E-4</v>
      </c>
      <c r="M1245" t="s">
        <v>0</v>
      </c>
      <c r="N1245">
        <v>6250</v>
      </c>
      <c r="O1245">
        <v>72</v>
      </c>
      <c r="P1245">
        <v>70</v>
      </c>
      <c r="Q1245">
        <v>0</v>
      </c>
      <c r="R1245">
        <v>869408037</v>
      </c>
      <c r="S1245">
        <v>1260982.6499999999</v>
      </c>
      <c r="T1245">
        <v>857414852.53999996</v>
      </c>
      <c r="U1245">
        <v>863511965.5</v>
      </c>
      <c r="V1245">
        <v>0.13847699999999999</v>
      </c>
      <c r="W1245">
        <v>6.2133000000000001E-2</v>
      </c>
      <c r="Y1245" t="s">
        <v>1</v>
      </c>
      <c r="Z1245">
        <v>3750</v>
      </c>
      <c r="AA1245">
        <v>54</v>
      </c>
      <c r="AB1245">
        <v>9936</v>
      </c>
      <c r="AC1245">
        <v>0</v>
      </c>
      <c r="AD1245">
        <v>243456635978</v>
      </c>
      <c r="AE1245">
        <v>478478383.49000001</v>
      </c>
      <c r="AF1245">
        <v>240706432877</v>
      </c>
      <c r="AG1245">
        <v>242214619441.95999</v>
      </c>
      <c r="AH1245">
        <v>0.106402</v>
      </c>
      <c r="AI1245">
        <v>3.6991999999999997E-2</v>
      </c>
    </row>
    <row r="1246" spans="1:35" x14ac:dyDescent="0.35">
      <c r="A1246" t="s">
        <v>3</v>
      </c>
      <c r="B1246">
        <v>4000</v>
      </c>
      <c r="C1246">
        <v>72</v>
      </c>
      <c r="D1246">
        <v>71</v>
      </c>
      <c r="E1246">
        <v>0</v>
      </c>
      <c r="F1246">
        <v>1208945992</v>
      </c>
      <c r="G1246">
        <v>2491533.15</v>
      </c>
      <c r="H1246">
        <v>1202170546.9100001</v>
      </c>
      <c r="I1246">
        <v>1206430197.8699999</v>
      </c>
      <c r="J1246">
        <v>4.1702999999999997E-2</v>
      </c>
      <c r="K1246">
        <v>2.41E-4</v>
      </c>
      <c r="M1246" t="s">
        <v>2</v>
      </c>
      <c r="N1246">
        <v>5500</v>
      </c>
      <c r="O1246">
        <v>72</v>
      </c>
      <c r="P1246">
        <v>10</v>
      </c>
      <c r="Q1246">
        <v>0</v>
      </c>
      <c r="R1246">
        <v>88087927</v>
      </c>
      <c r="S1246">
        <v>144782.82999999999</v>
      </c>
      <c r="T1246">
        <v>87371553.200000003</v>
      </c>
      <c r="U1246">
        <v>87910848.780000001</v>
      </c>
      <c r="V1246">
        <v>7.5147000000000005E-2</v>
      </c>
      <c r="W1246">
        <v>4.3909999999999999E-3</v>
      </c>
      <c r="Y1246" t="s">
        <v>2</v>
      </c>
      <c r="Z1246">
        <v>4500</v>
      </c>
      <c r="AA1246">
        <v>54</v>
      </c>
      <c r="AB1246">
        <v>110</v>
      </c>
      <c r="AC1246">
        <v>0</v>
      </c>
      <c r="AD1246">
        <v>1325035382</v>
      </c>
      <c r="AE1246">
        <v>2394814.64</v>
      </c>
      <c r="AF1246">
        <v>1283219433</v>
      </c>
      <c r="AG1246">
        <v>1296979079.99</v>
      </c>
      <c r="AH1246">
        <v>0.30401699999999998</v>
      </c>
      <c r="AI1246">
        <v>0.209176</v>
      </c>
    </row>
    <row r="1247" spans="1:35" x14ac:dyDescent="0.35">
      <c r="A1247" t="s">
        <v>1</v>
      </c>
      <c r="B1247">
        <v>5750</v>
      </c>
      <c r="C1247">
        <v>72</v>
      </c>
      <c r="D1247">
        <v>27</v>
      </c>
      <c r="E1247">
        <v>0</v>
      </c>
      <c r="F1247">
        <v>391709862</v>
      </c>
      <c r="G1247">
        <v>627842.89</v>
      </c>
      <c r="H1247">
        <v>380900003.57999998</v>
      </c>
      <c r="I1247">
        <v>384455616.88</v>
      </c>
      <c r="J1247">
        <v>0.270978</v>
      </c>
      <c r="K1247">
        <v>0.185138</v>
      </c>
      <c r="M1247" t="s">
        <v>1</v>
      </c>
      <c r="N1247">
        <v>5750</v>
      </c>
      <c r="O1247">
        <v>72</v>
      </c>
      <c r="P1247">
        <v>56</v>
      </c>
      <c r="Q1247">
        <v>0</v>
      </c>
      <c r="R1247">
        <v>689148843</v>
      </c>
      <c r="S1247">
        <v>1108731.69</v>
      </c>
      <c r="T1247">
        <v>673910921.12</v>
      </c>
      <c r="U1247">
        <v>679816381.47000003</v>
      </c>
      <c r="V1247">
        <v>0.22009699999999999</v>
      </c>
      <c r="W1247">
        <v>0.13416400000000001</v>
      </c>
      <c r="Y1247" t="s">
        <v>0</v>
      </c>
      <c r="Z1247">
        <v>4250</v>
      </c>
      <c r="AA1247">
        <v>54</v>
      </c>
      <c r="AB1247">
        <v>9944</v>
      </c>
      <c r="AC1247">
        <v>0</v>
      </c>
      <c r="AD1247">
        <v>202428036268</v>
      </c>
      <c r="AE1247">
        <v>365491962.64999998</v>
      </c>
      <c r="AF1247">
        <v>201299467766</v>
      </c>
      <c r="AG1247">
        <v>201890361749.09</v>
      </c>
      <c r="AH1247">
        <v>4.4309000000000001E-2</v>
      </c>
      <c r="AI1247">
        <v>1.0159E-2</v>
      </c>
    </row>
    <row r="1248" spans="1:35" x14ac:dyDescent="0.35">
      <c r="A1248" t="s">
        <v>3</v>
      </c>
      <c r="B1248">
        <v>4750</v>
      </c>
      <c r="C1248">
        <v>72</v>
      </c>
      <c r="D1248">
        <v>18</v>
      </c>
      <c r="E1248">
        <v>0</v>
      </c>
      <c r="F1248">
        <v>199463172</v>
      </c>
      <c r="G1248">
        <v>371244.29</v>
      </c>
      <c r="H1248">
        <v>198188104.68000001</v>
      </c>
      <c r="I1248">
        <v>199019221.36000001</v>
      </c>
      <c r="J1248">
        <v>5.3039999999999997E-2</v>
      </c>
      <c r="K1248">
        <v>4.365E-3</v>
      </c>
      <c r="M1248" t="s">
        <v>3</v>
      </c>
      <c r="N1248">
        <v>4750</v>
      </c>
      <c r="O1248">
        <v>72</v>
      </c>
      <c r="P1248">
        <v>38</v>
      </c>
      <c r="Q1248">
        <v>0</v>
      </c>
      <c r="R1248">
        <v>448992575</v>
      </c>
      <c r="S1248">
        <v>834685.97</v>
      </c>
      <c r="T1248">
        <v>445320652.63</v>
      </c>
      <c r="U1248">
        <v>447285897.70999998</v>
      </c>
      <c r="V1248">
        <v>7.3248999999999995E-2</v>
      </c>
      <c r="W1248">
        <v>2.3057999999999999E-2</v>
      </c>
      <c r="Y1248" t="s">
        <v>1</v>
      </c>
      <c r="Z1248">
        <v>6000</v>
      </c>
      <c r="AA1248">
        <v>72</v>
      </c>
      <c r="AB1248">
        <v>8</v>
      </c>
      <c r="AC1248">
        <v>0</v>
      </c>
      <c r="AD1248">
        <v>138005652</v>
      </c>
      <c r="AE1248">
        <v>214584.19</v>
      </c>
      <c r="AF1248">
        <v>122974057</v>
      </c>
      <c r="AG1248">
        <v>122974057</v>
      </c>
      <c r="AH1248">
        <v>0.74409099999999995</v>
      </c>
      <c r="AI1248">
        <v>0.74409099999999995</v>
      </c>
    </row>
    <row r="1249" spans="1:35" x14ac:dyDescent="0.35">
      <c r="A1249" t="s">
        <v>2</v>
      </c>
      <c r="B1249">
        <v>5750</v>
      </c>
      <c r="C1249">
        <v>72</v>
      </c>
      <c r="D1249">
        <v>17</v>
      </c>
      <c r="E1249">
        <v>0</v>
      </c>
      <c r="F1249">
        <v>141595392</v>
      </c>
      <c r="G1249">
        <v>224910</v>
      </c>
      <c r="H1249">
        <v>140213191.78</v>
      </c>
      <c r="I1249">
        <v>140990474.88999999</v>
      </c>
      <c r="J1249">
        <v>9.3787999999999996E-2</v>
      </c>
      <c r="K1249">
        <v>3.1733999999999998E-2</v>
      </c>
      <c r="M1249" t="s">
        <v>2</v>
      </c>
      <c r="N1249">
        <v>5250</v>
      </c>
      <c r="O1249">
        <v>72</v>
      </c>
      <c r="P1249">
        <v>127</v>
      </c>
      <c r="Q1249">
        <v>0</v>
      </c>
      <c r="R1249">
        <v>1305050853</v>
      </c>
      <c r="S1249">
        <v>2208992.4700000002</v>
      </c>
      <c r="T1249">
        <v>1293794969.73</v>
      </c>
      <c r="U1249">
        <v>1301603788.6700001</v>
      </c>
      <c r="V1249">
        <v>8.0087000000000005E-2</v>
      </c>
      <c r="W1249">
        <v>1.1325E-2</v>
      </c>
      <c r="Y1249" t="s">
        <v>1</v>
      </c>
      <c r="Z1249">
        <v>7500</v>
      </c>
      <c r="AA1249">
        <v>18</v>
      </c>
      <c r="AB1249">
        <v>378</v>
      </c>
      <c r="AC1249">
        <v>0</v>
      </c>
      <c r="AD1249">
        <v>10180093428</v>
      </c>
      <c r="AE1249">
        <v>8839403.5600000005</v>
      </c>
      <c r="AF1249">
        <v>9330653554</v>
      </c>
      <c r="AG1249">
        <v>9630220589.4400005</v>
      </c>
      <c r="AH1249">
        <v>0.64448499999999997</v>
      </c>
      <c r="AI1249">
        <v>0.48072799999999999</v>
      </c>
    </row>
    <row r="1250" spans="1:35" x14ac:dyDescent="0.35">
      <c r="A1250" t="s">
        <v>3</v>
      </c>
      <c r="B1250">
        <v>5250</v>
      </c>
      <c r="C1250">
        <v>72</v>
      </c>
      <c r="D1250">
        <v>5</v>
      </c>
      <c r="E1250">
        <v>0</v>
      </c>
      <c r="F1250">
        <v>41868702</v>
      </c>
      <c r="G1250">
        <v>73752.67</v>
      </c>
      <c r="H1250">
        <v>41539341.890000001</v>
      </c>
      <c r="I1250">
        <v>41794943.479999997</v>
      </c>
      <c r="J1250">
        <v>7.0848999999999995E-2</v>
      </c>
      <c r="K1250">
        <v>1.9999999999999999E-6</v>
      </c>
      <c r="M1250" t="s">
        <v>2</v>
      </c>
      <c r="N1250">
        <v>4500</v>
      </c>
      <c r="O1250">
        <v>60</v>
      </c>
      <c r="P1250">
        <v>208</v>
      </c>
      <c r="Q1250">
        <v>0</v>
      </c>
      <c r="R1250">
        <v>2444613039</v>
      </c>
      <c r="S1250">
        <v>4631291.24</v>
      </c>
      <c r="T1250">
        <v>2421791961.4899998</v>
      </c>
      <c r="U1250">
        <v>2436550585.3099999</v>
      </c>
      <c r="V1250">
        <v>8.5723999999999995E-2</v>
      </c>
      <c r="W1250">
        <v>1.6712999999999999E-2</v>
      </c>
      <c r="Y1250" t="s">
        <v>1</v>
      </c>
      <c r="Z1250">
        <v>7750</v>
      </c>
      <c r="AA1250">
        <v>18</v>
      </c>
      <c r="AB1250">
        <v>368</v>
      </c>
      <c r="AC1250">
        <v>0</v>
      </c>
      <c r="AD1250">
        <v>9047689335</v>
      </c>
      <c r="AE1250">
        <v>7463403.0999999996</v>
      </c>
      <c r="AF1250">
        <v>8612729744</v>
      </c>
      <c r="AG1250">
        <v>8969399088.7099991</v>
      </c>
      <c r="AH1250">
        <v>0.44056200000000001</v>
      </c>
      <c r="AI1250">
        <v>8.9996999999999994E-2</v>
      </c>
    </row>
    <row r="1251" spans="1:35" x14ac:dyDescent="0.35">
      <c r="A1251" t="s">
        <v>3</v>
      </c>
      <c r="B1251">
        <v>4500</v>
      </c>
      <c r="C1251">
        <v>72</v>
      </c>
      <c r="D1251">
        <v>16</v>
      </c>
      <c r="E1251">
        <v>0</v>
      </c>
      <c r="F1251">
        <v>290622352</v>
      </c>
      <c r="G1251">
        <v>553841.31000000006</v>
      </c>
      <c r="H1251">
        <v>289104654.24000001</v>
      </c>
      <c r="I1251">
        <v>290068123.79000002</v>
      </c>
      <c r="J1251">
        <v>3.9079999999999997E-2</v>
      </c>
      <c r="K1251">
        <v>1.5999999999999999E-5</v>
      </c>
      <c r="M1251" t="s">
        <v>1</v>
      </c>
      <c r="N1251">
        <v>4500</v>
      </c>
      <c r="O1251">
        <v>60</v>
      </c>
      <c r="P1251">
        <v>186</v>
      </c>
      <c r="Q1251">
        <v>0</v>
      </c>
      <c r="R1251">
        <v>3196325061</v>
      </c>
      <c r="S1251">
        <v>5823082.5800000001</v>
      </c>
      <c r="T1251">
        <v>3161139515.8800001</v>
      </c>
      <c r="U1251">
        <v>3183573004.3400002</v>
      </c>
      <c r="V1251">
        <v>0.104833</v>
      </c>
      <c r="W1251">
        <v>2.5706E-2</v>
      </c>
      <c r="Y1251" t="s">
        <v>2</v>
      </c>
      <c r="Z1251">
        <v>7750</v>
      </c>
      <c r="AA1251">
        <v>18</v>
      </c>
      <c r="AB1251">
        <v>127</v>
      </c>
      <c r="AC1251">
        <v>0</v>
      </c>
      <c r="AD1251">
        <v>1949475259</v>
      </c>
      <c r="AE1251">
        <v>1578659.94</v>
      </c>
      <c r="AF1251">
        <v>1933966020</v>
      </c>
      <c r="AG1251">
        <v>1933966020</v>
      </c>
      <c r="AH1251">
        <v>8.2459000000000005E-2</v>
      </c>
      <c r="AI1251">
        <v>8.2459000000000005E-2</v>
      </c>
    </row>
    <row r="1252" spans="1:35" x14ac:dyDescent="0.35">
      <c r="A1252" t="s">
        <v>3</v>
      </c>
      <c r="B1252">
        <v>5000</v>
      </c>
      <c r="C1252">
        <v>72</v>
      </c>
      <c r="D1252">
        <v>3</v>
      </c>
      <c r="E1252">
        <v>0</v>
      </c>
      <c r="F1252">
        <v>23403532</v>
      </c>
      <c r="G1252">
        <v>42123.4</v>
      </c>
      <c r="H1252">
        <v>23328040.34</v>
      </c>
      <c r="I1252">
        <v>23361408.260000002</v>
      </c>
      <c r="J1252">
        <v>1.6976000000000002E-2</v>
      </c>
      <c r="K1252">
        <v>0</v>
      </c>
      <c r="M1252" t="s">
        <v>0</v>
      </c>
      <c r="N1252">
        <v>5000</v>
      </c>
      <c r="O1252">
        <v>60</v>
      </c>
      <c r="P1252">
        <v>263</v>
      </c>
      <c r="Q1252">
        <v>0</v>
      </c>
      <c r="R1252">
        <v>3837557016</v>
      </c>
      <c r="S1252">
        <v>6442483.8099999996</v>
      </c>
      <c r="T1252">
        <v>3801539847.9099998</v>
      </c>
      <c r="U1252">
        <v>3822435496.5700002</v>
      </c>
      <c r="V1252">
        <v>8.8659000000000002E-2</v>
      </c>
      <c r="W1252">
        <v>2.6804000000000001E-2</v>
      </c>
      <c r="Y1252" t="s">
        <v>2</v>
      </c>
      <c r="Z1252">
        <v>5750</v>
      </c>
      <c r="AA1252">
        <v>72</v>
      </c>
      <c r="AB1252">
        <v>18</v>
      </c>
      <c r="AC1252">
        <v>0</v>
      </c>
      <c r="AD1252">
        <v>156550549</v>
      </c>
      <c r="AE1252">
        <v>248536.06</v>
      </c>
      <c r="AF1252">
        <v>156305094</v>
      </c>
      <c r="AG1252">
        <v>156305094</v>
      </c>
      <c r="AH1252">
        <v>-2.3599999999999999E-4</v>
      </c>
      <c r="AI1252">
        <v>-2.3599999999999999E-4</v>
      </c>
    </row>
    <row r="1253" spans="1:35" x14ac:dyDescent="0.35">
      <c r="A1253" t="s">
        <v>3</v>
      </c>
      <c r="B1253">
        <v>3750</v>
      </c>
      <c r="C1253">
        <v>60</v>
      </c>
      <c r="D1253">
        <v>57</v>
      </c>
      <c r="E1253">
        <v>0</v>
      </c>
      <c r="F1253">
        <v>995308435</v>
      </c>
      <c r="G1253">
        <v>1982209.04</v>
      </c>
      <c r="H1253">
        <v>988680404.01999998</v>
      </c>
      <c r="I1253">
        <v>993204156.95000005</v>
      </c>
      <c r="J1253">
        <v>5.4597E-2</v>
      </c>
      <c r="K1253">
        <v>1.4710000000000001E-3</v>
      </c>
      <c r="M1253" t="s">
        <v>2</v>
      </c>
      <c r="N1253">
        <v>5000</v>
      </c>
      <c r="O1253">
        <v>60</v>
      </c>
      <c r="P1253">
        <v>50</v>
      </c>
      <c r="Q1253">
        <v>0</v>
      </c>
      <c r="R1253">
        <v>619082308</v>
      </c>
      <c r="S1253">
        <v>1123073.28</v>
      </c>
      <c r="T1253">
        <v>612475850.61000001</v>
      </c>
      <c r="U1253">
        <v>616442329.85000002</v>
      </c>
      <c r="V1253">
        <v>0.101259</v>
      </c>
      <c r="W1253">
        <v>2.9010000000000001E-2</v>
      </c>
      <c r="Y1253" t="s">
        <v>2</v>
      </c>
      <c r="Z1253">
        <v>5500</v>
      </c>
      <c r="AA1253">
        <v>72</v>
      </c>
      <c r="AB1253">
        <v>12</v>
      </c>
      <c r="AC1253">
        <v>0</v>
      </c>
      <c r="AD1253">
        <v>103940603</v>
      </c>
      <c r="AE1253">
        <v>174403.11</v>
      </c>
      <c r="AF1253">
        <v>103804756</v>
      </c>
      <c r="AG1253">
        <v>103804756</v>
      </c>
      <c r="AH1253">
        <v>-4.4600000000000004E-3</v>
      </c>
      <c r="AI1253">
        <v>-4.4600000000000004E-3</v>
      </c>
    </row>
    <row r="1254" spans="1:35" x14ac:dyDescent="0.35">
      <c r="A1254" t="s">
        <v>2</v>
      </c>
      <c r="B1254">
        <v>5500</v>
      </c>
      <c r="C1254">
        <v>72</v>
      </c>
      <c r="D1254">
        <v>11</v>
      </c>
      <c r="E1254">
        <v>0</v>
      </c>
      <c r="F1254">
        <v>96216575</v>
      </c>
      <c r="G1254">
        <v>163200.54</v>
      </c>
      <c r="H1254">
        <v>95387374.459999993</v>
      </c>
      <c r="I1254">
        <v>95985037.030000001</v>
      </c>
      <c r="J1254">
        <v>7.9972000000000001E-2</v>
      </c>
      <c r="K1254">
        <v>8.4899999999999993E-3</v>
      </c>
      <c r="M1254" t="s">
        <v>2</v>
      </c>
      <c r="N1254">
        <v>4750</v>
      </c>
      <c r="O1254">
        <v>60</v>
      </c>
      <c r="P1254">
        <v>165</v>
      </c>
      <c r="Q1254">
        <v>0</v>
      </c>
      <c r="R1254">
        <v>1913178464</v>
      </c>
      <c r="S1254">
        <v>3486377.18</v>
      </c>
      <c r="T1254">
        <v>1895118392.76</v>
      </c>
      <c r="U1254">
        <v>1906386800.4400001</v>
      </c>
      <c r="V1254">
        <v>8.7676000000000004E-2</v>
      </c>
      <c r="W1254">
        <v>2.0535999999999999E-2</v>
      </c>
      <c r="Y1254" t="s">
        <v>1</v>
      </c>
      <c r="Z1254">
        <v>5750</v>
      </c>
      <c r="AA1254">
        <v>72</v>
      </c>
      <c r="AB1254">
        <v>35</v>
      </c>
      <c r="AC1254">
        <v>0</v>
      </c>
      <c r="AD1254">
        <v>455383883</v>
      </c>
      <c r="AE1254">
        <v>734983.78</v>
      </c>
      <c r="AF1254">
        <v>437413663</v>
      </c>
      <c r="AG1254">
        <v>437413663</v>
      </c>
      <c r="AH1254">
        <v>0.37060100000000001</v>
      </c>
      <c r="AI1254">
        <v>0.37060100000000001</v>
      </c>
    </row>
    <row r="1255" spans="1:35" x14ac:dyDescent="0.35">
      <c r="A1255" t="s">
        <v>3</v>
      </c>
      <c r="B1255">
        <v>2750</v>
      </c>
      <c r="C1255">
        <v>72</v>
      </c>
      <c r="D1255">
        <v>1051</v>
      </c>
      <c r="E1255">
        <v>0</v>
      </c>
      <c r="F1255">
        <v>23360392246</v>
      </c>
      <c r="G1255">
        <v>55296947.509999998</v>
      </c>
      <c r="H1255">
        <v>23233783193.330002</v>
      </c>
      <c r="I1255">
        <v>23303918298.389999</v>
      </c>
      <c r="J1255">
        <v>3.6022999999999999E-2</v>
      </c>
      <c r="K1255">
        <v>6.0400000000000004E-4</v>
      </c>
      <c r="M1255" t="s">
        <v>1</v>
      </c>
      <c r="N1255">
        <v>5000</v>
      </c>
      <c r="O1255">
        <v>60</v>
      </c>
      <c r="P1255">
        <v>29</v>
      </c>
      <c r="Q1255">
        <v>0</v>
      </c>
      <c r="R1255">
        <v>601574088</v>
      </c>
      <c r="S1255">
        <v>1028704.45</v>
      </c>
      <c r="T1255">
        <v>575092792.41999996</v>
      </c>
      <c r="U1255">
        <v>579644956.38</v>
      </c>
      <c r="V1255">
        <v>0.40475</v>
      </c>
      <c r="W1255">
        <v>0.34579199999999999</v>
      </c>
      <c r="Y1255" t="s">
        <v>3</v>
      </c>
      <c r="Z1255">
        <v>4750</v>
      </c>
      <c r="AA1255">
        <v>72</v>
      </c>
      <c r="AB1255">
        <v>19</v>
      </c>
      <c r="AC1255">
        <v>0</v>
      </c>
      <c r="AD1255">
        <v>205449770</v>
      </c>
      <c r="AE1255">
        <v>380291.36</v>
      </c>
      <c r="AF1255">
        <v>205011057</v>
      </c>
      <c r="AG1255">
        <v>205011057</v>
      </c>
      <c r="AH1255">
        <v>3.4069999999999999E-3</v>
      </c>
      <c r="AI1255">
        <v>3.4069999999999999E-3</v>
      </c>
    </row>
    <row r="1256" spans="1:35" x14ac:dyDescent="0.35">
      <c r="A1256" t="s">
        <v>1</v>
      </c>
      <c r="B1256">
        <v>6000</v>
      </c>
      <c r="C1256">
        <v>72</v>
      </c>
      <c r="D1256">
        <v>4</v>
      </c>
      <c r="E1256">
        <v>0</v>
      </c>
      <c r="F1256">
        <v>74188442</v>
      </c>
      <c r="G1256">
        <v>116252.17</v>
      </c>
      <c r="H1256">
        <v>73047433.140000001</v>
      </c>
      <c r="I1256">
        <v>74072006.459999993</v>
      </c>
      <c r="J1256">
        <v>0.153724</v>
      </c>
      <c r="K1256">
        <v>3.0000000000000001E-5</v>
      </c>
      <c r="M1256" t="s">
        <v>0</v>
      </c>
      <c r="N1256">
        <v>3750</v>
      </c>
      <c r="O1256">
        <v>54</v>
      </c>
      <c r="P1256">
        <v>44895</v>
      </c>
      <c r="Q1256">
        <v>0</v>
      </c>
      <c r="R1256">
        <v>898351770823</v>
      </c>
      <c r="S1256">
        <v>1755891930.9400001</v>
      </c>
      <c r="T1256">
        <v>891714109284.70996</v>
      </c>
      <c r="U1256">
        <v>895843267757.38</v>
      </c>
      <c r="V1256">
        <v>6.3296000000000005E-2</v>
      </c>
      <c r="W1256">
        <v>1.0007E-2</v>
      </c>
      <c r="Y1256" t="s">
        <v>3</v>
      </c>
      <c r="Z1256">
        <v>5250</v>
      </c>
      <c r="AA1256">
        <v>72</v>
      </c>
      <c r="AB1256">
        <v>8</v>
      </c>
      <c r="AC1256">
        <v>0</v>
      </c>
      <c r="AD1256">
        <v>66999227</v>
      </c>
      <c r="AE1256">
        <v>117801.43</v>
      </c>
      <c r="AF1256">
        <v>66867422</v>
      </c>
      <c r="AG1256">
        <v>66867422</v>
      </c>
      <c r="AH1256">
        <v>2.5049999999999998E-3</v>
      </c>
      <c r="AI1256">
        <v>2.5049999999999998E-3</v>
      </c>
    </row>
    <row r="1257" spans="1:35" x14ac:dyDescent="0.35">
      <c r="A1257" t="s">
        <v>1</v>
      </c>
      <c r="B1257">
        <v>4250</v>
      </c>
      <c r="C1257">
        <v>60</v>
      </c>
      <c r="D1257">
        <v>548</v>
      </c>
      <c r="E1257">
        <v>0</v>
      </c>
      <c r="F1257">
        <v>11183807691</v>
      </c>
      <c r="G1257">
        <v>20908307.09</v>
      </c>
      <c r="H1257">
        <v>11017457829.76</v>
      </c>
      <c r="I1257">
        <v>11092483146.48</v>
      </c>
      <c r="J1257">
        <v>0.14536399999999999</v>
      </c>
      <c r="K1257">
        <v>7.2993000000000002E-2</v>
      </c>
      <c r="M1257" t="s">
        <v>2</v>
      </c>
      <c r="N1257">
        <v>4250</v>
      </c>
      <c r="O1257">
        <v>60</v>
      </c>
      <c r="P1257">
        <v>492</v>
      </c>
      <c r="Q1257">
        <v>0</v>
      </c>
      <c r="R1257">
        <v>6220747047</v>
      </c>
      <c r="S1257">
        <v>11972367.720000001</v>
      </c>
      <c r="T1257">
        <v>6163722790.0299997</v>
      </c>
      <c r="U1257">
        <v>6199784238.3500004</v>
      </c>
      <c r="V1257">
        <v>8.3527000000000004E-2</v>
      </c>
      <c r="W1257">
        <v>1.7205999999999999E-2</v>
      </c>
      <c r="Y1257" t="s">
        <v>3</v>
      </c>
      <c r="Z1257">
        <v>5000</v>
      </c>
      <c r="AA1257">
        <v>72</v>
      </c>
      <c r="AB1257">
        <v>3</v>
      </c>
      <c r="AC1257">
        <v>0</v>
      </c>
      <c r="AD1257">
        <v>24170688</v>
      </c>
      <c r="AE1257">
        <v>43249.9</v>
      </c>
      <c r="AF1257">
        <v>23403532</v>
      </c>
      <c r="AG1257">
        <v>23403532</v>
      </c>
      <c r="AH1257">
        <v>0.305726</v>
      </c>
      <c r="AI1257">
        <v>0.305726</v>
      </c>
    </row>
    <row r="1258" spans="1:35" x14ac:dyDescent="0.35">
      <c r="A1258" t="s">
        <v>0</v>
      </c>
      <c r="B1258">
        <v>6250</v>
      </c>
      <c r="C1258">
        <v>72</v>
      </c>
      <c r="D1258">
        <v>54</v>
      </c>
      <c r="E1258">
        <v>0</v>
      </c>
      <c r="F1258">
        <v>736530429</v>
      </c>
      <c r="G1258">
        <v>1070392.06</v>
      </c>
      <c r="H1258">
        <v>729365461.29999995</v>
      </c>
      <c r="I1258">
        <v>734649146.5</v>
      </c>
      <c r="J1258">
        <v>9.4899999999999998E-2</v>
      </c>
      <c r="K1258">
        <v>1.3132E-2</v>
      </c>
      <c r="M1258" t="s">
        <v>0</v>
      </c>
      <c r="N1258">
        <v>4250</v>
      </c>
      <c r="O1258">
        <v>54</v>
      </c>
      <c r="P1258">
        <v>8538</v>
      </c>
      <c r="Q1258">
        <v>0</v>
      </c>
      <c r="R1258">
        <v>169649412461</v>
      </c>
      <c r="S1258">
        <v>305841335.54000002</v>
      </c>
      <c r="T1258">
        <v>168350042655.47</v>
      </c>
      <c r="U1258">
        <v>169095413604.37</v>
      </c>
      <c r="V1258">
        <v>6.8056000000000005E-2</v>
      </c>
      <c r="W1258">
        <v>1.7413000000000001E-2</v>
      </c>
      <c r="Y1258" t="s">
        <v>3</v>
      </c>
      <c r="Z1258">
        <v>3750</v>
      </c>
      <c r="AA1258">
        <v>60</v>
      </c>
      <c r="AB1258">
        <v>35</v>
      </c>
      <c r="AC1258">
        <v>0</v>
      </c>
      <c r="AD1258">
        <v>633366338</v>
      </c>
      <c r="AE1258">
        <v>1258946.5900000001</v>
      </c>
      <c r="AF1258">
        <v>632114286</v>
      </c>
      <c r="AG1258">
        <v>632114286</v>
      </c>
      <c r="AH1258">
        <v>-1.3100000000000001E-4</v>
      </c>
      <c r="AI1258">
        <v>-1.3100000000000001E-4</v>
      </c>
    </row>
    <row r="1259" spans="1:35" x14ac:dyDescent="0.35">
      <c r="A1259" t="s">
        <v>3</v>
      </c>
      <c r="B1259">
        <v>2500</v>
      </c>
      <c r="C1259">
        <v>60</v>
      </c>
      <c r="D1259">
        <v>156</v>
      </c>
      <c r="E1259">
        <v>0</v>
      </c>
      <c r="F1259">
        <v>3236455506</v>
      </c>
      <c r="G1259">
        <v>7759328.8099999996</v>
      </c>
      <c r="H1259">
        <v>3217376725.48</v>
      </c>
      <c r="I1259">
        <v>3228592138.9400001</v>
      </c>
      <c r="J1259">
        <v>4.1172E-2</v>
      </c>
      <c r="K1259">
        <v>3.86E-4</v>
      </c>
      <c r="M1259" t="s">
        <v>2</v>
      </c>
      <c r="N1259">
        <v>4500</v>
      </c>
      <c r="O1259">
        <v>54</v>
      </c>
      <c r="P1259">
        <v>115</v>
      </c>
      <c r="Q1259">
        <v>0</v>
      </c>
      <c r="R1259">
        <v>1375923703</v>
      </c>
      <c r="S1259">
        <v>2513940.83</v>
      </c>
      <c r="T1259">
        <v>1363636910.3099999</v>
      </c>
      <c r="U1259">
        <v>1371201942.97</v>
      </c>
      <c r="V1259">
        <v>8.1980999999999998E-2</v>
      </c>
      <c r="W1259">
        <v>1.9085999999999999E-2</v>
      </c>
      <c r="Y1259" t="s">
        <v>3</v>
      </c>
      <c r="Z1259">
        <v>2750</v>
      </c>
      <c r="AA1259">
        <v>72</v>
      </c>
      <c r="AB1259">
        <v>940</v>
      </c>
      <c r="AC1259">
        <v>0</v>
      </c>
      <c r="AD1259">
        <v>20984814314</v>
      </c>
      <c r="AE1259">
        <v>49520196.82</v>
      </c>
      <c r="AF1259">
        <v>20872287737</v>
      </c>
      <c r="AG1259">
        <v>20917110100.5</v>
      </c>
      <c r="AH1259">
        <v>3.5441E-2</v>
      </c>
      <c r="AI1259">
        <v>1.0349000000000001E-2</v>
      </c>
    </row>
    <row r="1260" spans="1:35" x14ac:dyDescent="0.35">
      <c r="A1260" t="s">
        <v>3</v>
      </c>
      <c r="B1260">
        <v>2750</v>
      </c>
      <c r="C1260">
        <v>60</v>
      </c>
      <c r="D1260">
        <v>570</v>
      </c>
      <c r="E1260">
        <v>0</v>
      </c>
      <c r="F1260">
        <v>12514558275</v>
      </c>
      <c r="G1260">
        <v>28839844.350000001</v>
      </c>
      <c r="H1260">
        <v>12445479627.290001</v>
      </c>
      <c r="I1260">
        <v>12485485611.68</v>
      </c>
      <c r="J1260">
        <v>3.7908999999999998E-2</v>
      </c>
      <c r="K1260">
        <v>2.23E-4</v>
      </c>
      <c r="M1260" t="s">
        <v>2</v>
      </c>
      <c r="N1260">
        <v>3750</v>
      </c>
      <c r="O1260">
        <v>54</v>
      </c>
      <c r="P1260">
        <v>3579</v>
      </c>
      <c r="Q1260">
        <v>0</v>
      </c>
      <c r="R1260">
        <v>50647774322</v>
      </c>
      <c r="S1260">
        <v>100307449.92</v>
      </c>
      <c r="T1260">
        <v>50213428344.669998</v>
      </c>
      <c r="U1260">
        <v>50492827028.110001</v>
      </c>
      <c r="V1260">
        <v>7.6335E-2</v>
      </c>
      <c r="W1260">
        <v>1.2869E-2</v>
      </c>
      <c r="Y1260" t="s">
        <v>1</v>
      </c>
      <c r="Z1260">
        <v>4500</v>
      </c>
      <c r="AA1260">
        <v>60</v>
      </c>
      <c r="AB1260">
        <v>138</v>
      </c>
      <c r="AC1260">
        <v>0</v>
      </c>
      <c r="AD1260">
        <v>2562165328</v>
      </c>
      <c r="AE1260">
        <v>4641413.87</v>
      </c>
      <c r="AF1260">
        <v>2557690210</v>
      </c>
      <c r="AG1260">
        <v>2557690210</v>
      </c>
      <c r="AH1260">
        <v>-7.7899999999999996E-4</v>
      </c>
      <c r="AI1260">
        <v>-7.7899999999999996E-4</v>
      </c>
    </row>
    <row r="1261" spans="1:35" x14ac:dyDescent="0.35">
      <c r="A1261" t="s">
        <v>3</v>
      </c>
      <c r="B1261">
        <v>2500</v>
      </c>
      <c r="C1261">
        <v>72</v>
      </c>
      <c r="D1261">
        <v>24</v>
      </c>
      <c r="E1261">
        <v>0</v>
      </c>
      <c r="F1261">
        <v>518228770</v>
      </c>
      <c r="G1261">
        <v>1255516.77</v>
      </c>
      <c r="H1261">
        <v>514752447.87</v>
      </c>
      <c r="I1261">
        <v>516973252.35000002</v>
      </c>
      <c r="J1261">
        <v>5.0229999999999997E-2</v>
      </c>
      <c r="K1261">
        <v>0</v>
      </c>
      <c r="M1261" t="s">
        <v>1</v>
      </c>
      <c r="N1261">
        <v>3750</v>
      </c>
      <c r="O1261">
        <v>54</v>
      </c>
      <c r="P1261">
        <v>8743</v>
      </c>
      <c r="Q1261">
        <v>0</v>
      </c>
      <c r="R1261">
        <v>208969689967</v>
      </c>
      <c r="S1261">
        <v>409355644</v>
      </c>
      <c r="T1261">
        <v>206160822240.42999</v>
      </c>
      <c r="U1261">
        <v>207682209761.32999</v>
      </c>
      <c r="V1261">
        <v>0.129414</v>
      </c>
      <c r="W1261">
        <v>4.9277000000000001E-2</v>
      </c>
      <c r="Y1261" t="s">
        <v>0</v>
      </c>
      <c r="Z1261">
        <v>4750</v>
      </c>
      <c r="AA1261">
        <v>60</v>
      </c>
      <c r="AB1261">
        <v>1378</v>
      </c>
      <c r="AC1261">
        <v>0</v>
      </c>
      <c r="AD1261">
        <v>25235124905</v>
      </c>
      <c r="AE1261">
        <v>43821544.170000002</v>
      </c>
      <c r="AF1261">
        <v>25010412926</v>
      </c>
      <c r="AG1261">
        <v>25149655465.639999</v>
      </c>
      <c r="AH1261">
        <v>8.2707000000000003E-2</v>
      </c>
      <c r="AI1261">
        <v>1.9626000000000001E-2</v>
      </c>
    </row>
    <row r="1262" spans="1:35" x14ac:dyDescent="0.35">
      <c r="A1262" t="s">
        <v>0</v>
      </c>
      <c r="B1262">
        <v>2500</v>
      </c>
      <c r="C1262">
        <v>84</v>
      </c>
      <c r="D1262">
        <v>6</v>
      </c>
      <c r="E1262">
        <v>0</v>
      </c>
      <c r="F1262">
        <v>93491070</v>
      </c>
      <c r="G1262">
        <v>243979.7</v>
      </c>
      <c r="H1262">
        <v>92893601.640000001</v>
      </c>
      <c r="I1262">
        <v>93246998.180000007</v>
      </c>
      <c r="J1262">
        <v>4.444E-2</v>
      </c>
      <c r="K1262">
        <v>1.2E-5</v>
      </c>
      <c r="M1262" t="s">
        <v>1</v>
      </c>
      <c r="N1262">
        <v>6000</v>
      </c>
      <c r="O1262">
        <v>72</v>
      </c>
      <c r="P1262">
        <v>10</v>
      </c>
      <c r="Q1262">
        <v>0</v>
      </c>
      <c r="R1262">
        <v>153014879</v>
      </c>
      <c r="S1262">
        <v>235104.61</v>
      </c>
      <c r="T1262">
        <v>146785757.47999999</v>
      </c>
      <c r="U1262">
        <v>149903258.63</v>
      </c>
      <c r="V1262">
        <v>0.38092399999999998</v>
      </c>
      <c r="W1262">
        <v>0.20366400000000001</v>
      </c>
      <c r="Y1262" t="s">
        <v>3</v>
      </c>
      <c r="Z1262">
        <v>2500</v>
      </c>
      <c r="AA1262">
        <v>60</v>
      </c>
      <c r="AB1262">
        <v>170</v>
      </c>
      <c r="AC1262">
        <v>0</v>
      </c>
      <c r="AD1262">
        <v>3556349504</v>
      </c>
      <c r="AE1262">
        <v>8500613.3300000001</v>
      </c>
      <c r="AF1262">
        <v>3546887491</v>
      </c>
      <c r="AG1262">
        <v>3546887491</v>
      </c>
      <c r="AH1262">
        <v>3.2390000000000001E-3</v>
      </c>
      <c r="AI1262">
        <v>3.2390000000000001E-3</v>
      </c>
    </row>
    <row r="1263" spans="1:35" x14ac:dyDescent="0.35">
      <c r="A1263" t="s">
        <v>2</v>
      </c>
      <c r="B1263">
        <v>2250</v>
      </c>
      <c r="C1263">
        <v>84</v>
      </c>
      <c r="D1263">
        <v>2</v>
      </c>
      <c r="E1263">
        <v>0</v>
      </c>
      <c r="F1263">
        <v>20373923</v>
      </c>
      <c r="G1263">
        <v>54304.05</v>
      </c>
      <c r="H1263">
        <v>20256835.489999998</v>
      </c>
      <c r="I1263">
        <v>20319618.489999998</v>
      </c>
      <c r="J1263">
        <v>3.6358000000000001E-2</v>
      </c>
      <c r="K1263">
        <v>0</v>
      </c>
      <c r="M1263" t="s">
        <v>1</v>
      </c>
      <c r="N1263">
        <v>7500</v>
      </c>
      <c r="O1263">
        <v>16</v>
      </c>
      <c r="P1263">
        <v>428</v>
      </c>
      <c r="Q1263">
        <v>0</v>
      </c>
      <c r="R1263">
        <v>11709667222</v>
      </c>
      <c r="S1263">
        <v>10083396.24</v>
      </c>
      <c r="T1263">
        <v>10729411894.610001</v>
      </c>
      <c r="U1263">
        <v>11241204201.41</v>
      </c>
      <c r="V1263">
        <v>0.64578100000000005</v>
      </c>
      <c r="W1263">
        <v>0.38071300000000002</v>
      </c>
      <c r="Y1263" t="s">
        <v>3</v>
      </c>
      <c r="Z1263">
        <v>2750</v>
      </c>
      <c r="AA1263">
        <v>60</v>
      </c>
      <c r="AB1263">
        <v>634</v>
      </c>
      <c r="AC1263">
        <v>0</v>
      </c>
      <c r="AD1263">
        <v>13886682877</v>
      </c>
      <c r="AE1263">
        <v>31970966.809999999</v>
      </c>
      <c r="AF1263">
        <v>13833924360</v>
      </c>
      <c r="AG1263">
        <v>13833924360</v>
      </c>
      <c r="AH1263">
        <v>1.7815999999999999E-2</v>
      </c>
      <c r="AI1263">
        <v>1.7815999999999999E-2</v>
      </c>
    </row>
    <row r="1264" spans="1:35" x14ac:dyDescent="0.35">
      <c r="A1264" t="s">
        <v>1</v>
      </c>
      <c r="B1264">
        <v>4500</v>
      </c>
      <c r="C1264">
        <v>60</v>
      </c>
      <c r="D1264">
        <v>132</v>
      </c>
      <c r="E1264">
        <v>0</v>
      </c>
      <c r="F1264">
        <v>2628884002</v>
      </c>
      <c r="G1264">
        <v>4769746.28</v>
      </c>
      <c r="H1264">
        <v>2590609667.3200002</v>
      </c>
      <c r="I1264">
        <v>2607228551.0100002</v>
      </c>
      <c r="J1264">
        <v>0.14266000000000001</v>
      </c>
      <c r="K1264">
        <v>7.4412000000000006E-2</v>
      </c>
      <c r="M1264" t="s">
        <v>2</v>
      </c>
      <c r="N1264">
        <v>7750</v>
      </c>
      <c r="O1264">
        <v>16</v>
      </c>
      <c r="P1264">
        <v>132</v>
      </c>
      <c r="Q1264">
        <v>0</v>
      </c>
      <c r="R1264">
        <v>2018885009</v>
      </c>
      <c r="S1264">
        <v>1611659.55</v>
      </c>
      <c r="T1264">
        <v>1990988917.8800001</v>
      </c>
      <c r="U1264">
        <v>2011989743.9300001</v>
      </c>
      <c r="V1264">
        <v>0.14551600000000001</v>
      </c>
      <c r="W1264">
        <v>3.0956999999999998E-2</v>
      </c>
      <c r="Y1264" t="s">
        <v>3</v>
      </c>
      <c r="Z1264">
        <v>2500</v>
      </c>
      <c r="AA1264">
        <v>72</v>
      </c>
      <c r="AB1264">
        <v>5</v>
      </c>
      <c r="AC1264">
        <v>0</v>
      </c>
      <c r="AD1264">
        <v>114084452</v>
      </c>
      <c r="AE1264">
        <v>275557.05</v>
      </c>
      <c r="AF1264">
        <v>113768106</v>
      </c>
      <c r="AG1264">
        <v>113768106</v>
      </c>
      <c r="AH1264">
        <v>4.2820000000000002E-3</v>
      </c>
      <c r="AI1264">
        <v>4.2820000000000002E-3</v>
      </c>
    </row>
    <row r="1265" spans="1:35" x14ac:dyDescent="0.35">
      <c r="A1265" t="s">
        <v>3</v>
      </c>
      <c r="B1265">
        <v>2500</v>
      </c>
      <c r="C1265">
        <v>54</v>
      </c>
      <c r="D1265">
        <v>33</v>
      </c>
      <c r="E1265">
        <v>0</v>
      </c>
      <c r="F1265">
        <v>707118137</v>
      </c>
      <c r="G1265">
        <v>1646112.77</v>
      </c>
      <c r="H1265">
        <v>703085483.02999997</v>
      </c>
      <c r="I1265">
        <v>705471975.62</v>
      </c>
      <c r="J1265">
        <v>3.9757000000000001E-2</v>
      </c>
      <c r="K1265">
        <v>9.9999999999999995E-7</v>
      </c>
      <c r="M1265" t="s">
        <v>1</v>
      </c>
      <c r="N1265">
        <v>2250</v>
      </c>
      <c r="O1265">
        <v>72</v>
      </c>
      <c r="P1265">
        <v>15393</v>
      </c>
      <c r="Q1265">
        <v>0</v>
      </c>
      <c r="R1265">
        <v>447276712892</v>
      </c>
      <c r="S1265">
        <v>1121316528.5799999</v>
      </c>
      <c r="T1265">
        <v>444138424524.40002</v>
      </c>
      <c r="U1265">
        <v>446072720865.85999</v>
      </c>
      <c r="V1265">
        <v>5.2790999999999998E-2</v>
      </c>
      <c r="W1265">
        <v>2.2160000000000001E-3</v>
      </c>
      <c r="Y1265" t="s">
        <v>0</v>
      </c>
      <c r="Z1265">
        <v>2500</v>
      </c>
      <c r="AA1265">
        <v>84</v>
      </c>
      <c r="AB1265">
        <v>5</v>
      </c>
      <c r="AC1265">
        <v>0</v>
      </c>
      <c r="AD1265">
        <v>86150153</v>
      </c>
      <c r="AE1265">
        <v>224226.93</v>
      </c>
      <c r="AF1265">
        <v>86063914</v>
      </c>
      <c r="AG1265">
        <v>86063914</v>
      </c>
      <c r="AH1265">
        <v>-1.9390999999999999E-2</v>
      </c>
      <c r="AI1265">
        <v>-1.9390999999999999E-2</v>
      </c>
    </row>
    <row r="1266" spans="1:35" x14ac:dyDescent="0.35">
      <c r="A1266" t="s">
        <v>0</v>
      </c>
      <c r="B1266">
        <v>4750</v>
      </c>
      <c r="C1266">
        <v>60</v>
      </c>
      <c r="D1266">
        <v>1298</v>
      </c>
      <c r="E1266">
        <v>0</v>
      </c>
      <c r="F1266">
        <v>24085842431</v>
      </c>
      <c r="G1266">
        <v>41732124.969999999</v>
      </c>
      <c r="H1266">
        <v>23874798662.759998</v>
      </c>
      <c r="I1266">
        <v>23987086593.889999</v>
      </c>
      <c r="J1266">
        <v>8.1168000000000004E-2</v>
      </c>
      <c r="K1266">
        <v>2.8042999999999998E-2</v>
      </c>
      <c r="M1266" t="s">
        <v>2</v>
      </c>
      <c r="N1266">
        <v>5750</v>
      </c>
      <c r="O1266">
        <v>72</v>
      </c>
      <c r="P1266">
        <v>16</v>
      </c>
      <c r="Q1266">
        <v>0</v>
      </c>
      <c r="R1266">
        <v>140634050</v>
      </c>
      <c r="S1266">
        <v>221649.43</v>
      </c>
      <c r="T1266">
        <v>138467883.15000001</v>
      </c>
      <c r="U1266">
        <v>139425655.52000001</v>
      </c>
      <c r="V1266">
        <v>0.153867</v>
      </c>
      <c r="W1266">
        <v>8.1021999999999997E-2</v>
      </c>
      <c r="Y1266" t="s">
        <v>2</v>
      </c>
      <c r="Z1266">
        <v>2250</v>
      </c>
      <c r="AA1266">
        <v>84</v>
      </c>
      <c r="AB1266">
        <v>2</v>
      </c>
      <c r="AC1266">
        <v>0</v>
      </c>
      <c r="AD1266">
        <v>20428284</v>
      </c>
      <c r="AE1266">
        <v>54202.84</v>
      </c>
      <c r="AF1266">
        <v>20373923</v>
      </c>
      <c r="AG1266">
        <v>20373923</v>
      </c>
      <c r="AH1266">
        <v>9.2999999999999997E-5</v>
      </c>
      <c r="AI1266">
        <v>9.2999999999999997E-5</v>
      </c>
    </row>
    <row r="1267" spans="1:35" x14ac:dyDescent="0.35">
      <c r="A1267" t="s">
        <v>2</v>
      </c>
      <c r="B1267">
        <v>2500</v>
      </c>
      <c r="C1267">
        <v>84</v>
      </c>
      <c r="D1267">
        <v>2</v>
      </c>
      <c r="E1267">
        <v>0</v>
      </c>
      <c r="F1267">
        <v>21928202</v>
      </c>
      <c r="G1267">
        <v>58910.71</v>
      </c>
      <c r="H1267">
        <v>21741853.850000001</v>
      </c>
      <c r="I1267">
        <v>21869279.809999999</v>
      </c>
      <c r="J1267">
        <v>6.7552000000000001E-2</v>
      </c>
      <c r="K1267">
        <v>6.0000000000000002E-6</v>
      </c>
      <c r="M1267" t="s">
        <v>3</v>
      </c>
      <c r="N1267">
        <v>5250</v>
      </c>
      <c r="O1267">
        <v>72</v>
      </c>
      <c r="P1267">
        <v>10</v>
      </c>
      <c r="Q1267">
        <v>0</v>
      </c>
      <c r="R1267">
        <v>84221625</v>
      </c>
      <c r="S1267">
        <v>146878.54999999999</v>
      </c>
      <c r="T1267">
        <v>83619337.629999995</v>
      </c>
      <c r="U1267">
        <v>84074635.439999998</v>
      </c>
      <c r="V1267">
        <v>6.2992000000000006E-2</v>
      </c>
      <c r="W1267">
        <v>1.5999999999999999E-5</v>
      </c>
      <c r="Y1267" t="s">
        <v>3</v>
      </c>
      <c r="Z1267">
        <v>2500</v>
      </c>
      <c r="AA1267">
        <v>54</v>
      </c>
      <c r="AB1267">
        <v>31</v>
      </c>
      <c r="AC1267">
        <v>0</v>
      </c>
      <c r="AD1267">
        <v>655691472</v>
      </c>
      <c r="AE1267">
        <v>1527374.07</v>
      </c>
      <c r="AF1267">
        <v>644264581</v>
      </c>
      <c r="AG1267">
        <v>644264581</v>
      </c>
      <c r="AH1267">
        <v>0.16686200000000001</v>
      </c>
      <c r="AI1267">
        <v>0.16686200000000001</v>
      </c>
    </row>
    <row r="1268" spans="1:35" x14ac:dyDescent="0.35">
      <c r="A1268" t="s">
        <v>1</v>
      </c>
      <c r="B1268">
        <v>4750</v>
      </c>
      <c r="C1268">
        <v>60</v>
      </c>
      <c r="D1268">
        <v>119</v>
      </c>
      <c r="E1268">
        <v>0</v>
      </c>
      <c r="F1268">
        <v>2267563435</v>
      </c>
      <c r="G1268">
        <v>3912844.73</v>
      </c>
      <c r="H1268">
        <v>2238185911.1199999</v>
      </c>
      <c r="I1268">
        <v>2254357488.6500001</v>
      </c>
      <c r="J1268">
        <v>0.12673999999999999</v>
      </c>
      <c r="K1268">
        <v>4.8085999999999997E-2</v>
      </c>
      <c r="M1268" t="s">
        <v>3</v>
      </c>
      <c r="N1268">
        <v>5000</v>
      </c>
      <c r="O1268">
        <v>72</v>
      </c>
      <c r="P1268">
        <v>3</v>
      </c>
      <c r="Q1268">
        <v>0</v>
      </c>
      <c r="R1268">
        <v>24537603</v>
      </c>
      <c r="S1268">
        <v>43392.800000000003</v>
      </c>
      <c r="T1268">
        <v>24430384.780000001</v>
      </c>
      <c r="U1268">
        <v>24494063.66</v>
      </c>
      <c r="V1268">
        <v>3.0771E-2</v>
      </c>
      <c r="W1268">
        <v>7.2000000000000002E-5</v>
      </c>
      <c r="Y1268" t="s">
        <v>3</v>
      </c>
      <c r="Z1268">
        <v>3250</v>
      </c>
      <c r="AA1268">
        <v>60</v>
      </c>
      <c r="AB1268">
        <v>148</v>
      </c>
      <c r="AC1268">
        <v>0</v>
      </c>
      <c r="AD1268">
        <v>2519842148</v>
      </c>
      <c r="AE1268">
        <v>5459281.6900000004</v>
      </c>
      <c r="AF1268">
        <v>2513555327</v>
      </c>
      <c r="AG1268">
        <v>2513555327</v>
      </c>
      <c r="AH1268">
        <v>3.934E-3</v>
      </c>
      <c r="AI1268">
        <v>3.934E-3</v>
      </c>
    </row>
    <row r="1269" spans="1:35" x14ac:dyDescent="0.35">
      <c r="A1269" t="s">
        <v>3</v>
      </c>
      <c r="B1269">
        <v>3250</v>
      </c>
      <c r="C1269">
        <v>60</v>
      </c>
      <c r="D1269">
        <v>199</v>
      </c>
      <c r="E1269">
        <v>0</v>
      </c>
      <c r="F1269">
        <v>3191184931</v>
      </c>
      <c r="G1269">
        <v>6880157.6200000001</v>
      </c>
      <c r="H1269">
        <v>3172978610.2800002</v>
      </c>
      <c r="I1269">
        <v>3184018458.7800002</v>
      </c>
      <c r="J1269">
        <v>4.1769000000000001E-2</v>
      </c>
      <c r="K1269">
        <v>1.0759999999999999E-3</v>
      </c>
      <c r="M1269" t="s">
        <v>3</v>
      </c>
      <c r="N1269">
        <v>3750</v>
      </c>
      <c r="O1269">
        <v>60</v>
      </c>
      <c r="P1269">
        <v>6</v>
      </c>
      <c r="Q1269">
        <v>0</v>
      </c>
      <c r="R1269">
        <v>78475426</v>
      </c>
      <c r="S1269">
        <v>158851.79999999999</v>
      </c>
      <c r="T1269">
        <v>77958316.790000007</v>
      </c>
      <c r="U1269">
        <v>78316554.109999999</v>
      </c>
      <c r="V1269">
        <v>5.3428000000000003E-2</v>
      </c>
      <c r="W1269">
        <v>3.0000000000000001E-6</v>
      </c>
      <c r="Y1269" t="s">
        <v>0</v>
      </c>
      <c r="Z1269">
        <v>5000</v>
      </c>
      <c r="AA1269">
        <v>60</v>
      </c>
      <c r="AB1269">
        <v>200</v>
      </c>
      <c r="AC1269">
        <v>0</v>
      </c>
      <c r="AD1269">
        <v>3019359159</v>
      </c>
      <c r="AE1269">
        <v>5068650.04</v>
      </c>
      <c r="AF1269">
        <v>3014799100</v>
      </c>
      <c r="AG1269">
        <v>3014799100</v>
      </c>
      <c r="AH1269">
        <v>-2.0230000000000001E-3</v>
      </c>
      <c r="AI1269">
        <v>-2.0230000000000001E-3</v>
      </c>
    </row>
    <row r="1270" spans="1:35" x14ac:dyDescent="0.35">
      <c r="A1270" t="s">
        <v>0</v>
      </c>
      <c r="B1270">
        <v>5000</v>
      </c>
      <c r="C1270">
        <v>60</v>
      </c>
      <c r="D1270">
        <v>181</v>
      </c>
      <c r="E1270">
        <v>0</v>
      </c>
      <c r="F1270">
        <v>2749249684</v>
      </c>
      <c r="G1270">
        <v>4602828.47</v>
      </c>
      <c r="H1270">
        <v>2723110905.21</v>
      </c>
      <c r="I1270">
        <v>2735309202.4299998</v>
      </c>
      <c r="J1270">
        <v>9.0054999999999996E-2</v>
      </c>
      <c r="K1270">
        <v>4.0003999999999998E-2</v>
      </c>
      <c r="M1270" t="s">
        <v>3</v>
      </c>
      <c r="N1270">
        <v>3000</v>
      </c>
      <c r="O1270">
        <v>72</v>
      </c>
      <c r="P1270">
        <v>424</v>
      </c>
      <c r="Q1270">
        <v>0</v>
      </c>
      <c r="R1270">
        <v>8222626729</v>
      </c>
      <c r="S1270">
        <v>18917226.359999999</v>
      </c>
      <c r="T1270">
        <v>8175311141.3800001</v>
      </c>
      <c r="U1270">
        <v>8203362528.8000002</v>
      </c>
      <c r="V1270">
        <v>4.0666000000000001E-2</v>
      </c>
      <c r="W1270">
        <v>5.0600000000000005E-4</v>
      </c>
      <c r="Y1270" t="s">
        <v>2</v>
      </c>
      <c r="Z1270">
        <v>2500</v>
      </c>
      <c r="AA1270">
        <v>84</v>
      </c>
      <c r="AB1270">
        <v>2</v>
      </c>
      <c r="AC1270">
        <v>0</v>
      </c>
      <c r="AD1270">
        <v>21988436</v>
      </c>
      <c r="AE1270">
        <v>58791.98</v>
      </c>
      <c r="AF1270">
        <v>21928202</v>
      </c>
      <c r="AG1270">
        <v>21928202</v>
      </c>
      <c r="AH1270">
        <v>7.8700000000000005E-4</v>
      </c>
      <c r="AI1270">
        <v>7.8700000000000005E-4</v>
      </c>
    </row>
    <row r="1271" spans="1:35" x14ac:dyDescent="0.35">
      <c r="A1271" t="s">
        <v>0</v>
      </c>
      <c r="B1271">
        <v>5250</v>
      </c>
      <c r="C1271">
        <v>60</v>
      </c>
      <c r="D1271">
        <v>287</v>
      </c>
      <c r="E1271">
        <v>0</v>
      </c>
      <c r="F1271">
        <v>4476832082</v>
      </c>
      <c r="G1271">
        <v>7220162.9199999999</v>
      </c>
      <c r="H1271">
        <v>4427124931.2299995</v>
      </c>
      <c r="I1271">
        <v>4447077188.29</v>
      </c>
      <c r="J1271">
        <v>0.108125</v>
      </c>
      <c r="K1271">
        <v>5.8758999999999999E-2</v>
      </c>
      <c r="M1271" t="s">
        <v>3</v>
      </c>
      <c r="N1271">
        <v>2750</v>
      </c>
      <c r="O1271">
        <v>72</v>
      </c>
      <c r="P1271">
        <v>621</v>
      </c>
      <c r="Q1271">
        <v>0</v>
      </c>
      <c r="R1271">
        <v>13692683490</v>
      </c>
      <c r="S1271">
        <v>32167291.949999999</v>
      </c>
      <c r="T1271">
        <v>13614587415.27</v>
      </c>
      <c r="U1271">
        <v>13658909627.15</v>
      </c>
      <c r="V1271">
        <v>3.9516999999999997E-2</v>
      </c>
      <c r="W1271">
        <v>1.407E-3</v>
      </c>
      <c r="Y1271" t="s">
        <v>1</v>
      </c>
      <c r="Z1271">
        <v>4750</v>
      </c>
      <c r="AA1271">
        <v>60</v>
      </c>
      <c r="AB1271">
        <v>105</v>
      </c>
      <c r="AC1271">
        <v>0</v>
      </c>
      <c r="AD1271">
        <v>1871148938</v>
      </c>
      <c r="AE1271">
        <v>3244328.45</v>
      </c>
      <c r="AF1271">
        <v>1824345878</v>
      </c>
      <c r="AG1271">
        <v>1867514772.1099999</v>
      </c>
      <c r="AH1271">
        <v>0.24621799999999999</v>
      </c>
      <c r="AI1271">
        <v>2.4970000000000001E-3</v>
      </c>
    </row>
    <row r="1272" spans="1:35" x14ac:dyDescent="0.35">
      <c r="A1272" t="s">
        <v>1</v>
      </c>
      <c r="B1272">
        <v>5250</v>
      </c>
      <c r="C1272">
        <v>60</v>
      </c>
      <c r="D1272">
        <v>61</v>
      </c>
      <c r="E1272">
        <v>0</v>
      </c>
      <c r="F1272">
        <v>1146329944</v>
      </c>
      <c r="G1272">
        <v>1851434.82</v>
      </c>
      <c r="H1272">
        <v>1122288419.8299999</v>
      </c>
      <c r="I1272">
        <v>1129679902.97</v>
      </c>
      <c r="J1272">
        <v>0.209087</v>
      </c>
      <c r="K1272">
        <v>0.144375</v>
      </c>
      <c r="M1272" t="s">
        <v>1</v>
      </c>
      <c r="N1272">
        <v>4750</v>
      </c>
      <c r="O1272">
        <v>60</v>
      </c>
      <c r="P1272">
        <v>137</v>
      </c>
      <c r="Q1272">
        <v>0</v>
      </c>
      <c r="R1272">
        <v>2376859207</v>
      </c>
      <c r="S1272">
        <v>4165130.22</v>
      </c>
      <c r="T1272">
        <v>2352468490.23</v>
      </c>
      <c r="U1272">
        <v>2369394417.5999999</v>
      </c>
      <c r="V1272">
        <v>9.7465999999999997E-2</v>
      </c>
      <c r="W1272">
        <v>1.6532000000000002E-2</v>
      </c>
      <c r="Y1272" t="s">
        <v>2</v>
      </c>
      <c r="Z1272">
        <v>4750</v>
      </c>
      <c r="AA1272">
        <v>60</v>
      </c>
      <c r="AB1272">
        <v>109</v>
      </c>
      <c r="AC1272">
        <v>0</v>
      </c>
      <c r="AD1272">
        <v>1295872547</v>
      </c>
      <c r="AE1272">
        <v>2374477.36</v>
      </c>
      <c r="AF1272">
        <v>1264639468</v>
      </c>
      <c r="AG1272">
        <v>1283455574.46</v>
      </c>
      <c r="AH1272">
        <v>0.236816</v>
      </c>
      <c r="AI1272">
        <v>8.9132000000000003E-2</v>
      </c>
    </row>
    <row r="1273" spans="1:35" x14ac:dyDescent="0.35">
      <c r="A1273" t="s">
        <v>2</v>
      </c>
      <c r="B1273">
        <v>4750</v>
      </c>
      <c r="C1273">
        <v>60</v>
      </c>
      <c r="D1273">
        <v>104</v>
      </c>
      <c r="E1273">
        <v>0</v>
      </c>
      <c r="F1273">
        <v>1242348995</v>
      </c>
      <c r="G1273">
        <v>2275222.19</v>
      </c>
      <c r="H1273">
        <v>1230247421.0799999</v>
      </c>
      <c r="I1273">
        <v>1237273000.97</v>
      </c>
      <c r="J1273">
        <v>9.0892000000000001E-2</v>
      </c>
      <c r="K1273">
        <v>2.6720000000000001E-2</v>
      </c>
      <c r="M1273" t="s">
        <v>3</v>
      </c>
      <c r="N1273">
        <v>2500</v>
      </c>
      <c r="O1273">
        <v>60</v>
      </c>
      <c r="P1273">
        <v>108</v>
      </c>
      <c r="Q1273">
        <v>0</v>
      </c>
      <c r="R1273">
        <v>2317538218</v>
      </c>
      <c r="S1273">
        <v>5515959.25</v>
      </c>
      <c r="T1273">
        <v>2302630663.48</v>
      </c>
      <c r="U1273">
        <v>2312019829.6100001</v>
      </c>
      <c r="V1273">
        <v>4.7558999999999997E-2</v>
      </c>
      <c r="W1273">
        <v>1.2999999999999999E-5</v>
      </c>
      <c r="Y1273" t="s">
        <v>0</v>
      </c>
      <c r="Z1273">
        <v>5250</v>
      </c>
      <c r="AA1273">
        <v>60</v>
      </c>
      <c r="AB1273">
        <v>289</v>
      </c>
      <c r="AC1273">
        <v>0</v>
      </c>
      <c r="AD1273">
        <v>4486762461</v>
      </c>
      <c r="AE1273">
        <v>7249322</v>
      </c>
      <c r="AF1273">
        <v>4417646786</v>
      </c>
      <c r="AG1273">
        <v>4455200659.3100004</v>
      </c>
      <c r="AH1273">
        <v>0.153475</v>
      </c>
      <c r="AI1273">
        <v>6.3120999999999997E-2</v>
      </c>
    </row>
    <row r="1274" spans="1:35" x14ac:dyDescent="0.35">
      <c r="A1274" t="s">
        <v>2</v>
      </c>
      <c r="B1274">
        <v>5000</v>
      </c>
      <c r="C1274">
        <v>60</v>
      </c>
      <c r="D1274">
        <v>45</v>
      </c>
      <c r="E1274">
        <v>0</v>
      </c>
      <c r="F1274">
        <v>549603098</v>
      </c>
      <c r="G1274">
        <v>996009.53</v>
      </c>
      <c r="H1274">
        <v>544672964.22000003</v>
      </c>
      <c r="I1274">
        <v>547750818.73000002</v>
      </c>
      <c r="J1274">
        <v>8.2595000000000002E-2</v>
      </c>
      <c r="K1274">
        <v>1.8536E-2</v>
      </c>
      <c r="M1274" t="s">
        <v>3</v>
      </c>
      <c r="N1274">
        <v>2750</v>
      </c>
      <c r="O1274">
        <v>60</v>
      </c>
      <c r="P1274">
        <v>790</v>
      </c>
      <c r="Q1274">
        <v>0</v>
      </c>
      <c r="R1274">
        <v>17669863418</v>
      </c>
      <c r="S1274">
        <v>40682882.450000003</v>
      </c>
      <c r="T1274">
        <v>17563648988.32</v>
      </c>
      <c r="U1274">
        <v>17627520194.919998</v>
      </c>
      <c r="V1274">
        <v>4.3607E-2</v>
      </c>
      <c r="W1274">
        <v>1.127E-3</v>
      </c>
      <c r="Y1274" t="s">
        <v>1</v>
      </c>
      <c r="Z1274">
        <v>5000</v>
      </c>
      <c r="AA1274">
        <v>60</v>
      </c>
      <c r="AB1274">
        <v>27</v>
      </c>
      <c r="AC1274">
        <v>0</v>
      </c>
      <c r="AD1274">
        <v>544725099</v>
      </c>
      <c r="AE1274">
        <v>934771.19999999995</v>
      </c>
      <c r="AF1274">
        <v>543639216</v>
      </c>
      <c r="AG1274">
        <v>543639216</v>
      </c>
      <c r="AH1274">
        <v>3.3240000000000001E-3</v>
      </c>
      <c r="AI1274">
        <v>3.3240000000000001E-3</v>
      </c>
    </row>
    <row r="1275" spans="1:35" x14ac:dyDescent="0.35">
      <c r="A1275" t="s">
        <v>3</v>
      </c>
      <c r="B1275">
        <v>3750</v>
      </c>
      <c r="C1275">
        <v>48</v>
      </c>
      <c r="D1275">
        <v>93</v>
      </c>
      <c r="E1275">
        <v>0</v>
      </c>
      <c r="F1275">
        <v>2173731113</v>
      </c>
      <c r="G1275">
        <v>4117686.61</v>
      </c>
      <c r="H1275">
        <v>2162421838.1700001</v>
      </c>
      <c r="I1275">
        <v>2169350175.4400001</v>
      </c>
      <c r="J1275">
        <v>3.8986E-2</v>
      </c>
      <c r="K1275">
        <v>1.4519999999999999E-3</v>
      </c>
      <c r="M1275" t="s">
        <v>2</v>
      </c>
      <c r="N1275">
        <v>2250</v>
      </c>
      <c r="O1275">
        <v>84</v>
      </c>
      <c r="P1275">
        <v>1</v>
      </c>
      <c r="Q1275">
        <v>0</v>
      </c>
      <c r="R1275">
        <v>13238633</v>
      </c>
      <c r="S1275">
        <v>34866.42</v>
      </c>
      <c r="T1275">
        <v>13143092.050000001</v>
      </c>
      <c r="U1275">
        <v>13203764.99</v>
      </c>
      <c r="V1275">
        <v>5.3631999999999999E-2</v>
      </c>
      <c r="W1275">
        <v>9.9999999999999995E-7</v>
      </c>
      <c r="Y1275" t="s">
        <v>2</v>
      </c>
      <c r="Z1275">
        <v>5250</v>
      </c>
      <c r="AA1275">
        <v>60</v>
      </c>
      <c r="AB1275">
        <v>40</v>
      </c>
      <c r="AC1275">
        <v>0</v>
      </c>
      <c r="AD1275">
        <v>412753054</v>
      </c>
      <c r="AE1275">
        <v>691100.38</v>
      </c>
      <c r="AF1275">
        <v>412057347</v>
      </c>
      <c r="AG1275">
        <v>412057347</v>
      </c>
      <c r="AH1275">
        <v>1.34E-4</v>
      </c>
      <c r="AI1275">
        <v>1.34E-4</v>
      </c>
    </row>
    <row r="1276" spans="1:35" x14ac:dyDescent="0.35">
      <c r="A1276" t="s">
        <v>3</v>
      </c>
      <c r="B1276">
        <v>2250</v>
      </c>
      <c r="C1276">
        <v>72</v>
      </c>
      <c r="D1276">
        <v>4</v>
      </c>
      <c r="E1276">
        <v>0</v>
      </c>
      <c r="F1276">
        <v>77203209</v>
      </c>
      <c r="G1276">
        <v>193051.15</v>
      </c>
      <c r="H1276">
        <v>76555299.510000005</v>
      </c>
      <c r="I1276">
        <v>77010157.549999997</v>
      </c>
      <c r="J1276">
        <v>6.8454000000000001E-2</v>
      </c>
      <c r="K1276">
        <v>0</v>
      </c>
      <c r="M1276" t="s">
        <v>3</v>
      </c>
      <c r="N1276">
        <v>2500</v>
      </c>
      <c r="O1276">
        <v>48</v>
      </c>
      <c r="P1276">
        <v>27</v>
      </c>
      <c r="Q1276">
        <v>0</v>
      </c>
      <c r="R1276">
        <v>564626787</v>
      </c>
      <c r="S1276">
        <v>1285956.07</v>
      </c>
      <c r="T1276">
        <v>561337565.51999998</v>
      </c>
      <c r="U1276">
        <v>563340824.53999996</v>
      </c>
      <c r="V1276">
        <v>4.1753999999999999E-2</v>
      </c>
      <c r="W1276">
        <v>0</v>
      </c>
      <c r="Y1276" t="s">
        <v>1</v>
      </c>
      <c r="Z1276">
        <v>5250</v>
      </c>
      <c r="AA1276">
        <v>60</v>
      </c>
      <c r="AB1276">
        <v>54</v>
      </c>
      <c r="AC1276">
        <v>0</v>
      </c>
      <c r="AD1276">
        <v>957992388</v>
      </c>
      <c r="AE1276">
        <v>1550323.33</v>
      </c>
      <c r="AF1276">
        <v>946121331</v>
      </c>
      <c r="AG1276">
        <v>956461872.96000004</v>
      </c>
      <c r="AH1276">
        <v>0.121888</v>
      </c>
      <c r="AI1276">
        <v>-2.4800000000000001E-4</v>
      </c>
    </row>
    <row r="1277" spans="1:35" x14ac:dyDescent="0.35">
      <c r="A1277" t="s">
        <v>1</v>
      </c>
      <c r="B1277">
        <v>4250</v>
      </c>
      <c r="C1277">
        <v>54</v>
      </c>
      <c r="D1277">
        <v>1165</v>
      </c>
      <c r="E1277">
        <v>0</v>
      </c>
      <c r="F1277">
        <v>27961472614</v>
      </c>
      <c r="G1277">
        <v>50571978.460000001</v>
      </c>
      <c r="H1277">
        <v>27601235031.639999</v>
      </c>
      <c r="I1277">
        <v>27787181260.700001</v>
      </c>
      <c r="J1277">
        <v>0.12509300000000001</v>
      </c>
      <c r="K1277">
        <v>5.1822E-2</v>
      </c>
      <c r="M1277" t="s">
        <v>1</v>
      </c>
      <c r="N1277">
        <v>5250</v>
      </c>
      <c r="O1277">
        <v>60</v>
      </c>
      <c r="P1277">
        <v>59</v>
      </c>
      <c r="Q1277">
        <v>0</v>
      </c>
      <c r="R1277">
        <v>901711382</v>
      </c>
      <c r="S1277">
        <v>1468259.76</v>
      </c>
      <c r="T1277">
        <v>891380257.94000006</v>
      </c>
      <c r="U1277">
        <v>897563698.77999997</v>
      </c>
      <c r="V1277">
        <v>0.111775</v>
      </c>
      <c r="W1277">
        <v>3.5081000000000001E-2</v>
      </c>
      <c r="Y1277" t="s">
        <v>2</v>
      </c>
      <c r="Z1277">
        <v>5000</v>
      </c>
      <c r="AA1277">
        <v>60</v>
      </c>
      <c r="AB1277">
        <v>41</v>
      </c>
      <c r="AC1277">
        <v>0</v>
      </c>
      <c r="AD1277">
        <v>476533478</v>
      </c>
      <c r="AE1277">
        <v>864994.97</v>
      </c>
      <c r="AF1277">
        <v>475777036</v>
      </c>
      <c r="AG1277">
        <v>475777036</v>
      </c>
      <c r="AH1277">
        <v>-2.7369999999999998E-3</v>
      </c>
      <c r="AI1277">
        <v>-2.7369999999999998E-3</v>
      </c>
    </row>
    <row r="1278" spans="1:35" x14ac:dyDescent="0.35">
      <c r="A1278" t="s">
        <v>3</v>
      </c>
      <c r="B1278">
        <v>2250</v>
      </c>
      <c r="C1278">
        <v>60</v>
      </c>
      <c r="D1278">
        <v>71</v>
      </c>
      <c r="E1278">
        <v>0</v>
      </c>
      <c r="F1278">
        <v>1520914211</v>
      </c>
      <c r="G1278">
        <v>3743782.54</v>
      </c>
      <c r="H1278">
        <v>1512346998.21</v>
      </c>
      <c r="I1278">
        <v>1517170425.0599999</v>
      </c>
      <c r="J1278">
        <v>3.7400000000000003E-2</v>
      </c>
      <c r="K1278">
        <v>0</v>
      </c>
      <c r="M1278" t="s">
        <v>0</v>
      </c>
      <c r="N1278">
        <v>5250</v>
      </c>
      <c r="O1278">
        <v>60</v>
      </c>
      <c r="P1278">
        <v>380</v>
      </c>
      <c r="Q1278">
        <v>0</v>
      </c>
      <c r="R1278">
        <v>5928957025</v>
      </c>
      <c r="S1278">
        <v>9582056.8399999999</v>
      </c>
      <c r="T1278">
        <v>5876119711.8900003</v>
      </c>
      <c r="U1278">
        <v>5908082537.3299999</v>
      </c>
      <c r="V1278">
        <v>8.4117999999999998E-2</v>
      </c>
      <c r="W1278">
        <v>2.2617999999999999E-2</v>
      </c>
      <c r="Y1278" t="s">
        <v>3</v>
      </c>
      <c r="Z1278">
        <v>3750</v>
      </c>
      <c r="AA1278">
        <v>48</v>
      </c>
      <c r="AB1278">
        <v>97</v>
      </c>
      <c r="AC1278">
        <v>0</v>
      </c>
      <c r="AD1278">
        <v>2209219052</v>
      </c>
      <c r="AE1278">
        <v>4178459.86</v>
      </c>
      <c r="AF1278">
        <v>2204422980</v>
      </c>
      <c r="AG1278">
        <v>2204422980</v>
      </c>
      <c r="AH1278">
        <v>3.3500000000000001E-3</v>
      </c>
      <c r="AI1278">
        <v>3.3500000000000001E-3</v>
      </c>
    </row>
    <row r="1279" spans="1:35" x14ac:dyDescent="0.35">
      <c r="A1279" t="s">
        <v>2</v>
      </c>
      <c r="B1279">
        <v>5250</v>
      </c>
      <c r="C1279">
        <v>60</v>
      </c>
      <c r="D1279">
        <v>40</v>
      </c>
      <c r="E1279">
        <v>0</v>
      </c>
      <c r="F1279">
        <v>426061258</v>
      </c>
      <c r="G1279">
        <v>712913.3</v>
      </c>
      <c r="H1279">
        <v>421679708.20999998</v>
      </c>
      <c r="I1279">
        <v>423837094.48000002</v>
      </c>
      <c r="J1279">
        <v>9.8571000000000006E-2</v>
      </c>
      <c r="K1279">
        <v>4.1744000000000003E-2</v>
      </c>
      <c r="M1279" t="s">
        <v>2</v>
      </c>
      <c r="N1279">
        <v>5250</v>
      </c>
      <c r="O1279">
        <v>60</v>
      </c>
      <c r="P1279">
        <v>55</v>
      </c>
      <c r="Q1279">
        <v>0</v>
      </c>
      <c r="R1279">
        <v>576990191</v>
      </c>
      <c r="S1279">
        <v>956608.22</v>
      </c>
      <c r="T1279">
        <v>571829110.5</v>
      </c>
      <c r="U1279">
        <v>575542663.72000003</v>
      </c>
      <c r="V1279">
        <v>8.4021999999999999E-2</v>
      </c>
      <c r="W1279">
        <v>1.0161999999999999E-2</v>
      </c>
      <c r="Y1279" t="s">
        <v>1</v>
      </c>
      <c r="Z1279">
        <v>4750</v>
      </c>
      <c r="AA1279">
        <v>48</v>
      </c>
      <c r="AB1279">
        <v>4975</v>
      </c>
      <c r="AC1279">
        <v>0</v>
      </c>
      <c r="AD1279">
        <v>149295443870</v>
      </c>
      <c r="AE1279">
        <v>239909360.00999999</v>
      </c>
      <c r="AF1279">
        <v>147550348576</v>
      </c>
      <c r="AG1279">
        <v>148477594878.28</v>
      </c>
      <c r="AH1279">
        <v>0.114495</v>
      </c>
      <c r="AI1279">
        <v>4.5476999999999997E-2</v>
      </c>
    </row>
    <row r="1280" spans="1:35" x14ac:dyDescent="0.35">
      <c r="A1280" t="s">
        <v>0</v>
      </c>
      <c r="B1280">
        <v>5750</v>
      </c>
      <c r="C1280">
        <v>60</v>
      </c>
      <c r="D1280">
        <v>21</v>
      </c>
      <c r="E1280">
        <v>0</v>
      </c>
      <c r="F1280">
        <v>322439420</v>
      </c>
      <c r="G1280">
        <v>481857.26</v>
      </c>
      <c r="H1280">
        <v>318684950.63</v>
      </c>
      <c r="I1280">
        <v>320238959.75999999</v>
      </c>
      <c r="J1280">
        <v>0.11522</v>
      </c>
      <c r="K1280">
        <v>6.2118E-2</v>
      </c>
      <c r="M1280" t="s">
        <v>3</v>
      </c>
      <c r="N1280">
        <v>3250</v>
      </c>
      <c r="O1280">
        <v>60</v>
      </c>
      <c r="P1280">
        <v>124</v>
      </c>
      <c r="Q1280">
        <v>0</v>
      </c>
      <c r="R1280">
        <v>2214152997</v>
      </c>
      <c r="S1280">
        <v>4829461.4400000004</v>
      </c>
      <c r="T1280">
        <v>2199911910.8899999</v>
      </c>
      <c r="U1280">
        <v>2209227536.3000002</v>
      </c>
      <c r="V1280">
        <v>4.9832000000000001E-2</v>
      </c>
      <c r="W1280">
        <v>5.1999999999999995E-4</v>
      </c>
      <c r="Y1280" t="s">
        <v>2</v>
      </c>
      <c r="Z1280">
        <v>4750</v>
      </c>
      <c r="AA1280">
        <v>48</v>
      </c>
      <c r="AB1280">
        <v>1254</v>
      </c>
      <c r="AC1280">
        <v>0</v>
      </c>
      <c r="AD1280">
        <v>18887715196</v>
      </c>
      <c r="AE1280">
        <v>30494523.66</v>
      </c>
      <c r="AF1280">
        <v>18710725608</v>
      </c>
      <c r="AG1280">
        <v>18778234122.119999</v>
      </c>
      <c r="AH1280">
        <v>8.9204000000000006E-2</v>
      </c>
      <c r="AI1280">
        <v>4.9044999999999998E-2</v>
      </c>
    </row>
    <row r="1281" spans="1:35" x14ac:dyDescent="0.35">
      <c r="A1281" t="s">
        <v>0</v>
      </c>
      <c r="B1281">
        <v>5500</v>
      </c>
      <c r="C1281">
        <v>60</v>
      </c>
      <c r="D1281">
        <v>9</v>
      </c>
      <c r="E1281">
        <v>0</v>
      </c>
      <c r="F1281">
        <v>112028160</v>
      </c>
      <c r="G1281">
        <v>174476.49</v>
      </c>
      <c r="H1281">
        <v>111172267.81999999</v>
      </c>
      <c r="I1281">
        <v>111796144.39</v>
      </c>
      <c r="J1281">
        <v>7.0596999999999993E-2</v>
      </c>
      <c r="K1281">
        <v>6.1460000000000004E-3</v>
      </c>
      <c r="M1281" t="s">
        <v>3</v>
      </c>
      <c r="N1281">
        <v>3500</v>
      </c>
      <c r="O1281">
        <v>60</v>
      </c>
      <c r="P1281">
        <v>12</v>
      </c>
      <c r="Q1281">
        <v>0</v>
      </c>
      <c r="R1281">
        <v>174437531</v>
      </c>
      <c r="S1281">
        <v>363645.53</v>
      </c>
      <c r="T1281">
        <v>173063043.41</v>
      </c>
      <c r="U1281">
        <v>174073841.63999999</v>
      </c>
      <c r="V1281">
        <v>6.7363999999999993E-2</v>
      </c>
      <c r="W1281">
        <v>3.0000000000000001E-6</v>
      </c>
      <c r="Y1281" t="s">
        <v>3</v>
      </c>
      <c r="Z1281">
        <v>2250</v>
      </c>
      <c r="AA1281">
        <v>60</v>
      </c>
      <c r="AB1281">
        <v>72</v>
      </c>
      <c r="AC1281">
        <v>0</v>
      </c>
      <c r="AD1281">
        <v>1550073573</v>
      </c>
      <c r="AE1281">
        <v>3801781.04</v>
      </c>
      <c r="AF1281">
        <v>1545930279</v>
      </c>
      <c r="AG1281">
        <v>1545930279</v>
      </c>
      <c r="AH1281">
        <v>2.6410000000000001E-3</v>
      </c>
      <c r="AI1281">
        <v>2.6410000000000001E-3</v>
      </c>
    </row>
    <row r="1282" spans="1:35" x14ac:dyDescent="0.35">
      <c r="A1282" t="s">
        <v>0</v>
      </c>
      <c r="B1282">
        <v>4750</v>
      </c>
      <c r="C1282">
        <v>54</v>
      </c>
      <c r="D1282">
        <v>2055</v>
      </c>
      <c r="E1282">
        <v>0</v>
      </c>
      <c r="F1282">
        <v>44652153176</v>
      </c>
      <c r="G1282">
        <v>74702918.540000007</v>
      </c>
      <c r="H1282">
        <v>44314023136.739998</v>
      </c>
      <c r="I1282">
        <v>44489140554.370003</v>
      </c>
      <c r="J1282">
        <v>6.8542000000000006E-2</v>
      </c>
      <c r="K1282">
        <v>2.3476E-2</v>
      </c>
      <c r="M1282" t="s">
        <v>0</v>
      </c>
      <c r="N1282">
        <v>5750</v>
      </c>
      <c r="O1282">
        <v>60</v>
      </c>
      <c r="P1282">
        <v>31</v>
      </c>
      <c r="Q1282">
        <v>0</v>
      </c>
      <c r="R1282">
        <v>430763907</v>
      </c>
      <c r="S1282">
        <v>641492.82999999996</v>
      </c>
      <c r="T1282">
        <v>427304118.56</v>
      </c>
      <c r="U1282">
        <v>429712068.27999997</v>
      </c>
      <c r="V1282">
        <v>7.5745999999999994E-2</v>
      </c>
      <c r="W1282">
        <v>1.1372E-2</v>
      </c>
      <c r="Y1282" t="s">
        <v>1</v>
      </c>
      <c r="Z1282">
        <v>4250</v>
      </c>
      <c r="AA1282">
        <v>54</v>
      </c>
      <c r="AB1282">
        <v>1027</v>
      </c>
      <c r="AC1282">
        <v>0</v>
      </c>
      <c r="AD1282">
        <v>23759466802</v>
      </c>
      <c r="AE1282">
        <v>42926018.109999999</v>
      </c>
      <c r="AF1282">
        <v>23517350815</v>
      </c>
      <c r="AG1282">
        <v>23597571832.419998</v>
      </c>
      <c r="AH1282">
        <v>9.6091999999999997E-2</v>
      </c>
      <c r="AI1282">
        <v>5.8458999999999997E-2</v>
      </c>
    </row>
    <row r="1283" spans="1:35" x14ac:dyDescent="0.35">
      <c r="A1283" t="s">
        <v>1</v>
      </c>
      <c r="B1283">
        <v>4750</v>
      </c>
      <c r="C1283">
        <v>54</v>
      </c>
      <c r="D1283">
        <v>275</v>
      </c>
      <c r="E1283">
        <v>0</v>
      </c>
      <c r="F1283">
        <v>6506760801</v>
      </c>
      <c r="G1283">
        <v>10905225.779999999</v>
      </c>
      <c r="H1283">
        <v>6381437242.7799997</v>
      </c>
      <c r="I1283">
        <v>6425808649.0200005</v>
      </c>
      <c r="J1283">
        <v>0.19175600000000001</v>
      </c>
      <c r="K1283">
        <v>0.12180199999999999</v>
      </c>
      <c r="M1283" t="s">
        <v>1</v>
      </c>
      <c r="N1283">
        <v>5500</v>
      </c>
      <c r="O1283">
        <v>60</v>
      </c>
      <c r="P1283">
        <v>2</v>
      </c>
      <c r="Q1283">
        <v>0</v>
      </c>
      <c r="R1283">
        <v>20653990</v>
      </c>
      <c r="S1283">
        <v>32234.49</v>
      </c>
      <c r="T1283">
        <v>20452815.899999999</v>
      </c>
      <c r="U1283">
        <v>20621698.510000002</v>
      </c>
      <c r="V1283">
        <v>9.3856999999999996E-2</v>
      </c>
      <c r="W1283">
        <v>3.3000000000000003E-5</v>
      </c>
      <c r="Y1283" t="s">
        <v>0</v>
      </c>
      <c r="Z1283">
        <v>5750</v>
      </c>
      <c r="AA1283">
        <v>60</v>
      </c>
      <c r="AB1283">
        <v>22</v>
      </c>
      <c r="AC1283">
        <v>0</v>
      </c>
      <c r="AD1283">
        <v>328176959</v>
      </c>
      <c r="AE1283">
        <v>488949.69</v>
      </c>
      <c r="AF1283">
        <v>327738920</v>
      </c>
      <c r="AG1283">
        <v>327738920</v>
      </c>
      <c r="AH1283">
        <v>-1.8630000000000001E-3</v>
      </c>
      <c r="AI1283">
        <v>-1.8630000000000001E-3</v>
      </c>
    </row>
    <row r="1284" spans="1:35" x14ac:dyDescent="0.35">
      <c r="A1284" t="s">
        <v>3</v>
      </c>
      <c r="B1284">
        <v>4250</v>
      </c>
      <c r="C1284">
        <v>60</v>
      </c>
      <c r="D1284">
        <v>19</v>
      </c>
      <c r="E1284">
        <v>0</v>
      </c>
      <c r="F1284">
        <v>229068617</v>
      </c>
      <c r="G1284">
        <v>427745.25</v>
      </c>
      <c r="H1284">
        <v>227498578.58000001</v>
      </c>
      <c r="I1284">
        <v>228529281.97999999</v>
      </c>
      <c r="J1284">
        <v>5.8226E-2</v>
      </c>
      <c r="K1284">
        <v>5.8300000000000001E-3</v>
      </c>
      <c r="M1284" t="s">
        <v>2</v>
      </c>
      <c r="N1284">
        <v>5500</v>
      </c>
      <c r="O1284">
        <v>60</v>
      </c>
      <c r="P1284">
        <v>8</v>
      </c>
      <c r="Q1284">
        <v>0</v>
      </c>
      <c r="R1284">
        <v>73375555</v>
      </c>
      <c r="S1284">
        <v>123823.24</v>
      </c>
      <c r="T1284">
        <v>72849793.719999999</v>
      </c>
      <c r="U1284">
        <v>73251177.040000007</v>
      </c>
      <c r="V1284">
        <v>6.3788999999999998E-2</v>
      </c>
      <c r="W1284">
        <v>9.1000000000000003E-5</v>
      </c>
      <c r="Y1284" t="s">
        <v>0</v>
      </c>
      <c r="Z1284">
        <v>5500</v>
      </c>
      <c r="AA1284">
        <v>60</v>
      </c>
      <c r="AB1284">
        <v>18</v>
      </c>
      <c r="AC1284">
        <v>0</v>
      </c>
      <c r="AD1284">
        <v>229015483</v>
      </c>
      <c r="AE1284">
        <v>357497.83</v>
      </c>
      <c r="AF1284">
        <v>228622281</v>
      </c>
      <c r="AG1284">
        <v>228622281</v>
      </c>
      <c r="AH1284">
        <v>1.869E-3</v>
      </c>
      <c r="AI1284">
        <v>1.869E-3</v>
      </c>
    </row>
    <row r="1285" spans="1:35" x14ac:dyDescent="0.35">
      <c r="A1285" t="s">
        <v>3</v>
      </c>
      <c r="B1285">
        <v>4000</v>
      </c>
      <c r="C1285">
        <v>60</v>
      </c>
      <c r="D1285">
        <v>23</v>
      </c>
      <c r="E1285">
        <v>0</v>
      </c>
      <c r="F1285">
        <v>394223186</v>
      </c>
      <c r="G1285">
        <v>763557.34</v>
      </c>
      <c r="H1285">
        <v>391495059.86000001</v>
      </c>
      <c r="I1285">
        <v>393459453.39999998</v>
      </c>
      <c r="J1285">
        <v>5.8188999999999998E-2</v>
      </c>
      <c r="K1285">
        <v>5.0000000000000004E-6</v>
      </c>
      <c r="M1285" t="s">
        <v>2</v>
      </c>
      <c r="N1285">
        <v>5750</v>
      </c>
      <c r="O1285">
        <v>60</v>
      </c>
      <c r="P1285">
        <v>6</v>
      </c>
      <c r="Q1285">
        <v>0</v>
      </c>
      <c r="R1285">
        <v>58789318</v>
      </c>
      <c r="S1285">
        <v>90591.65</v>
      </c>
      <c r="T1285">
        <v>58065817.359999999</v>
      </c>
      <c r="U1285">
        <v>58582210.43</v>
      </c>
      <c r="V1285">
        <v>0.121807</v>
      </c>
      <c r="W1285">
        <v>2.3525999999999998E-2</v>
      </c>
      <c r="Y1285" t="s">
        <v>0</v>
      </c>
      <c r="Z1285">
        <v>4750</v>
      </c>
      <c r="AA1285">
        <v>54</v>
      </c>
      <c r="AB1285">
        <v>1910</v>
      </c>
      <c r="AC1285">
        <v>0</v>
      </c>
      <c r="AD1285">
        <v>40719360571</v>
      </c>
      <c r="AE1285">
        <v>68126140.730000004</v>
      </c>
      <c r="AF1285">
        <v>40487915936</v>
      </c>
      <c r="AG1285">
        <v>40657675192.830002</v>
      </c>
      <c r="AH1285">
        <v>4.7081999999999999E-2</v>
      </c>
      <c r="AI1285">
        <v>-1.9E-3</v>
      </c>
    </row>
    <row r="1286" spans="1:35" x14ac:dyDescent="0.35">
      <c r="A1286" t="s">
        <v>3</v>
      </c>
      <c r="B1286">
        <v>2750</v>
      </c>
      <c r="C1286">
        <v>54</v>
      </c>
      <c r="D1286">
        <v>311</v>
      </c>
      <c r="E1286">
        <v>0</v>
      </c>
      <c r="F1286">
        <v>7463893769</v>
      </c>
      <c r="G1286">
        <v>16764663.83</v>
      </c>
      <c r="H1286">
        <v>7423394557.6700001</v>
      </c>
      <c r="I1286">
        <v>7446866305.6300001</v>
      </c>
      <c r="J1286">
        <v>3.7498999999999998E-2</v>
      </c>
      <c r="K1286">
        <v>4.2200000000000001E-4</v>
      </c>
      <c r="M1286" t="s">
        <v>0</v>
      </c>
      <c r="N1286">
        <v>5500</v>
      </c>
      <c r="O1286">
        <v>60</v>
      </c>
      <c r="P1286">
        <v>21</v>
      </c>
      <c r="Q1286">
        <v>0</v>
      </c>
      <c r="R1286">
        <v>288401311</v>
      </c>
      <c r="S1286">
        <v>447425.11</v>
      </c>
      <c r="T1286">
        <v>285674007.81999999</v>
      </c>
      <c r="U1286">
        <v>287325043.44999999</v>
      </c>
      <c r="V1286">
        <v>9.0844999999999995E-2</v>
      </c>
      <c r="W1286">
        <v>2.5853999999999999E-2</v>
      </c>
      <c r="Y1286" t="s">
        <v>1</v>
      </c>
      <c r="Z1286">
        <v>4750</v>
      </c>
      <c r="AA1286">
        <v>54</v>
      </c>
      <c r="AB1286">
        <v>270</v>
      </c>
      <c r="AC1286">
        <v>0</v>
      </c>
      <c r="AD1286">
        <v>6401359439</v>
      </c>
      <c r="AE1286">
        <v>10713470.74</v>
      </c>
      <c r="AF1286">
        <v>6375997874</v>
      </c>
      <c r="AG1286">
        <v>6375997874</v>
      </c>
      <c r="AH1286">
        <v>2.7116000000000001E-2</v>
      </c>
      <c r="AI1286">
        <v>2.7116000000000001E-2</v>
      </c>
    </row>
    <row r="1287" spans="1:35" x14ac:dyDescent="0.35">
      <c r="A1287" t="s">
        <v>3</v>
      </c>
      <c r="B1287">
        <v>3000</v>
      </c>
      <c r="C1287">
        <v>54</v>
      </c>
      <c r="D1287">
        <v>316</v>
      </c>
      <c r="E1287">
        <v>0</v>
      </c>
      <c r="F1287">
        <v>7068111597</v>
      </c>
      <c r="G1287">
        <v>15388507.140000001</v>
      </c>
      <c r="H1287">
        <v>7028001470.0299997</v>
      </c>
      <c r="I1287">
        <v>7052376764.1999998</v>
      </c>
      <c r="J1287">
        <v>4.1173000000000001E-2</v>
      </c>
      <c r="K1287">
        <v>5.8799999999999998E-4</v>
      </c>
      <c r="M1287" t="s">
        <v>1</v>
      </c>
      <c r="N1287">
        <v>3750</v>
      </c>
      <c r="O1287">
        <v>48</v>
      </c>
      <c r="P1287">
        <v>16066</v>
      </c>
      <c r="Q1287">
        <v>0</v>
      </c>
      <c r="R1287">
        <v>431411219225</v>
      </c>
      <c r="S1287">
        <v>816635253.00999999</v>
      </c>
      <c r="T1287">
        <v>425832715536.91998</v>
      </c>
      <c r="U1287">
        <v>428887030168.63</v>
      </c>
      <c r="V1287">
        <v>0.12470199999999999</v>
      </c>
      <c r="W1287">
        <v>4.6476000000000003E-2</v>
      </c>
      <c r="Y1287" t="s">
        <v>3</v>
      </c>
      <c r="Z1287">
        <v>4250</v>
      </c>
      <c r="AA1287">
        <v>60</v>
      </c>
      <c r="AB1287">
        <v>15</v>
      </c>
      <c r="AC1287">
        <v>0</v>
      </c>
      <c r="AD1287">
        <v>188065114</v>
      </c>
      <c r="AE1287">
        <v>351148.2</v>
      </c>
      <c r="AF1287">
        <v>187701015</v>
      </c>
      <c r="AG1287">
        <v>187701015</v>
      </c>
      <c r="AH1287">
        <v>8.2600000000000002E-4</v>
      </c>
      <c r="AI1287">
        <v>8.2600000000000002E-4</v>
      </c>
    </row>
    <row r="1288" spans="1:35" x14ac:dyDescent="0.35">
      <c r="A1288" t="s">
        <v>3</v>
      </c>
      <c r="B1288">
        <v>3250</v>
      </c>
      <c r="C1288">
        <v>54</v>
      </c>
      <c r="D1288">
        <v>377</v>
      </c>
      <c r="E1288">
        <v>0</v>
      </c>
      <c r="F1288">
        <v>5866540308</v>
      </c>
      <c r="G1288">
        <v>12339296.359999999</v>
      </c>
      <c r="H1288">
        <v>5832187901.6099997</v>
      </c>
      <c r="I1288">
        <v>5853351717.4899998</v>
      </c>
      <c r="J1288">
        <v>4.4110000000000003E-2</v>
      </c>
      <c r="K1288">
        <v>1.7359999999999999E-3</v>
      </c>
      <c r="M1288" t="s">
        <v>2</v>
      </c>
      <c r="N1288">
        <v>4250</v>
      </c>
      <c r="O1288">
        <v>54</v>
      </c>
      <c r="P1288">
        <v>469</v>
      </c>
      <c r="Q1288">
        <v>0</v>
      </c>
      <c r="R1288">
        <v>5901985257</v>
      </c>
      <c r="S1288">
        <v>10961088.529999999</v>
      </c>
      <c r="T1288">
        <v>5846691830.4899998</v>
      </c>
      <c r="U1288">
        <v>5877629759.2200003</v>
      </c>
      <c r="V1288">
        <v>8.6504999999999999E-2</v>
      </c>
      <c r="W1288">
        <v>2.6896E-2</v>
      </c>
      <c r="Y1288" t="s">
        <v>3</v>
      </c>
      <c r="Z1288">
        <v>4000</v>
      </c>
      <c r="AA1288">
        <v>60</v>
      </c>
      <c r="AB1288">
        <v>14</v>
      </c>
      <c r="AC1288">
        <v>0</v>
      </c>
      <c r="AD1288">
        <v>238038394</v>
      </c>
      <c r="AE1288">
        <v>460459.87</v>
      </c>
      <c r="AF1288">
        <v>237673826</v>
      </c>
      <c r="AG1288">
        <v>237673826</v>
      </c>
      <c r="AH1288">
        <v>-4.8450000000000003E-3</v>
      </c>
      <c r="AI1288">
        <v>-4.8450000000000003E-3</v>
      </c>
    </row>
    <row r="1289" spans="1:35" x14ac:dyDescent="0.35">
      <c r="A1289" t="s">
        <v>3</v>
      </c>
      <c r="B1289">
        <v>2250</v>
      </c>
      <c r="C1289">
        <v>54</v>
      </c>
      <c r="D1289">
        <v>18</v>
      </c>
      <c r="E1289">
        <v>0</v>
      </c>
      <c r="F1289">
        <v>477101351</v>
      </c>
      <c r="G1289">
        <v>1149244</v>
      </c>
      <c r="H1289">
        <v>475380961.00999999</v>
      </c>
      <c r="I1289">
        <v>475952106.86000001</v>
      </c>
      <c r="J1289">
        <v>1.4271000000000001E-2</v>
      </c>
      <c r="K1289">
        <v>0</v>
      </c>
      <c r="M1289" t="s">
        <v>3</v>
      </c>
      <c r="N1289">
        <v>4000</v>
      </c>
      <c r="O1289">
        <v>60</v>
      </c>
      <c r="P1289">
        <v>7</v>
      </c>
      <c r="Q1289">
        <v>0</v>
      </c>
      <c r="R1289">
        <v>132514984</v>
      </c>
      <c r="S1289">
        <v>256934.96</v>
      </c>
      <c r="T1289">
        <v>131808579.73</v>
      </c>
      <c r="U1289">
        <v>132258046.40000001</v>
      </c>
      <c r="V1289">
        <v>3.9951E-2</v>
      </c>
      <c r="W1289">
        <v>0</v>
      </c>
      <c r="Y1289" t="s">
        <v>3</v>
      </c>
      <c r="Z1289">
        <v>3000</v>
      </c>
      <c r="AA1289">
        <v>54</v>
      </c>
      <c r="AB1289">
        <v>339</v>
      </c>
      <c r="AC1289">
        <v>0</v>
      </c>
      <c r="AD1289">
        <v>7398678659</v>
      </c>
      <c r="AE1289">
        <v>16113241.029999999</v>
      </c>
      <c r="AF1289">
        <v>7291356093</v>
      </c>
      <c r="AG1289">
        <v>7379886056.3299999</v>
      </c>
      <c r="AH1289">
        <v>0.13830400000000001</v>
      </c>
      <c r="AI1289">
        <v>4.3369999999999997E-3</v>
      </c>
    </row>
    <row r="1290" spans="1:35" x14ac:dyDescent="0.35">
      <c r="A1290" t="s">
        <v>3</v>
      </c>
      <c r="B1290">
        <v>3000</v>
      </c>
      <c r="C1290">
        <v>48</v>
      </c>
      <c r="D1290">
        <v>79</v>
      </c>
      <c r="E1290">
        <v>0</v>
      </c>
      <c r="F1290">
        <v>1780945934</v>
      </c>
      <c r="G1290">
        <v>3800124.62</v>
      </c>
      <c r="H1290">
        <v>1772353394.03</v>
      </c>
      <c r="I1290">
        <v>1776943598.78</v>
      </c>
      <c r="J1290">
        <v>3.1817999999999999E-2</v>
      </c>
      <c r="K1290">
        <v>1.3619999999999999E-3</v>
      </c>
      <c r="M1290" t="s">
        <v>3</v>
      </c>
      <c r="N1290">
        <v>3000</v>
      </c>
      <c r="O1290">
        <v>54</v>
      </c>
      <c r="P1290">
        <v>346</v>
      </c>
      <c r="Q1290">
        <v>0</v>
      </c>
      <c r="R1290">
        <v>7162384994</v>
      </c>
      <c r="S1290">
        <v>15578468.689999999</v>
      </c>
      <c r="T1290">
        <v>7120926144.1499996</v>
      </c>
      <c r="U1290">
        <v>7146060291.8199997</v>
      </c>
      <c r="V1290">
        <v>4.2508999999999998E-2</v>
      </c>
      <c r="W1290">
        <v>1.25E-3</v>
      </c>
      <c r="Y1290" t="s">
        <v>3</v>
      </c>
      <c r="Z1290">
        <v>2750</v>
      </c>
      <c r="AA1290">
        <v>54</v>
      </c>
      <c r="AB1290">
        <v>322</v>
      </c>
      <c r="AC1290">
        <v>0</v>
      </c>
      <c r="AD1290">
        <v>7729655032</v>
      </c>
      <c r="AE1290">
        <v>17338477.149999999</v>
      </c>
      <c r="AF1290">
        <v>7674181997</v>
      </c>
      <c r="AG1290">
        <v>7709149576.2700005</v>
      </c>
      <c r="AH1290">
        <v>5.7622E-2</v>
      </c>
      <c r="AI1290">
        <v>4.9059999999999998E-3</v>
      </c>
    </row>
    <row r="1291" spans="1:35" x14ac:dyDescent="0.35">
      <c r="A1291" t="s">
        <v>3</v>
      </c>
      <c r="B1291">
        <v>2750</v>
      </c>
      <c r="C1291">
        <v>48</v>
      </c>
      <c r="D1291">
        <v>41</v>
      </c>
      <c r="E1291">
        <v>0</v>
      </c>
      <c r="F1291">
        <v>922896288</v>
      </c>
      <c r="G1291">
        <v>2030857.56</v>
      </c>
      <c r="H1291">
        <v>918802305.34000003</v>
      </c>
      <c r="I1291">
        <v>920844291.87</v>
      </c>
      <c r="J1291">
        <v>2.6498000000000001E-2</v>
      </c>
      <c r="K1291">
        <v>2.7500000000000002E-4</v>
      </c>
      <c r="M1291" t="s">
        <v>3</v>
      </c>
      <c r="N1291">
        <v>2750</v>
      </c>
      <c r="O1291">
        <v>54</v>
      </c>
      <c r="P1291">
        <v>409</v>
      </c>
      <c r="Q1291">
        <v>0</v>
      </c>
      <c r="R1291">
        <v>9557856586</v>
      </c>
      <c r="S1291">
        <v>21443895.77</v>
      </c>
      <c r="T1291">
        <v>9506241939.5900002</v>
      </c>
      <c r="U1291">
        <v>9535947870.8199997</v>
      </c>
      <c r="V1291">
        <v>3.7228999999999998E-2</v>
      </c>
      <c r="W1291">
        <v>5.8299999999999997E-4</v>
      </c>
      <c r="Y1291" t="s">
        <v>3</v>
      </c>
      <c r="Z1291">
        <v>3250</v>
      </c>
      <c r="AA1291">
        <v>54</v>
      </c>
      <c r="AB1291">
        <v>382</v>
      </c>
      <c r="AC1291">
        <v>0</v>
      </c>
      <c r="AD1291">
        <v>5997263439</v>
      </c>
      <c r="AE1291">
        <v>12617363.07</v>
      </c>
      <c r="AF1291">
        <v>5931807163</v>
      </c>
      <c r="AG1291">
        <v>5984046465.8199997</v>
      </c>
      <c r="AH1291">
        <v>0.10075000000000001</v>
      </c>
      <c r="AI1291">
        <v>1.199E-3</v>
      </c>
    </row>
    <row r="1292" spans="1:35" x14ac:dyDescent="0.35">
      <c r="A1292" t="s">
        <v>3</v>
      </c>
      <c r="B1292">
        <v>3250</v>
      </c>
      <c r="C1292">
        <v>48</v>
      </c>
      <c r="D1292">
        <v>87</v>
      </c>
      <c r="E1292">
        <v>0</v>
      </c>
      <c r="F1292">
        <v>1871555552</v>
      </c>
      <c r="G1292">
        <v>3852705.4</v>
      </c>
      <c r="H1292">
        <v>1861649907.1099999</v>
      </c>
      <c r="I1292">
        <v>1867191135.1500001</v>
      </c>
      <c r="J1292">
        <v>3.8127000000000001E-2</v>
      </c>
      <c r="K1292">
        <v>3.2759999999999998E-3</v>
      </c>
      <c r="M1292" t="s">
        <v>3</v>
      </c>
      <c r="N1292">
        <v>3250</v>
      </c>
      <c r="O1292">
        <v>54</v>
      </c>
      <c r="P1292">
        <v>327</v>
      </c>
      <c r="Q1292">
        <v>0</v>
      </c>
      <c r="R1292">
        <v>5543840018</v>
      </c>
      <c r="S1292">
        <v>11658365.08</v>
      </c>
      <c r="T1292">
        <v>5510831735.4499998</v>
      </c>
      <c r="U1292">
        <v>5532141272.9200001</v>
      </c>
      <c r="V1292">
        <v>4.5247000000000002E-2</v>
      </c>
      <c r="W1292">
        <v>8.7000000000000001E-5</v>
      </c>
      <c r="Y1292" t="s">
        <v>3</v>
      </c>
      <c r="Z1292">
        <v>2250</v>
      </c>
      <c r="AA1292">
        <v>54</v>
      </c>
      <c r="AB1292">
        <v>14</v>
      </c>
      <c r="AC1292">
        <v>0</v>
      </c>
      <c r="AD1292">
        <v>328082821</v>
      </c>
      <c r="AE1292">
        <v>785615.96</v>
      </c>
      <c r="AF1292">
        <v>327103047</v>
      </c>
      <c r="AG1292">
        <v>327103047</v>
      </c>
      <c r="AH1292">
        <v>7.0780000000000001E-3</v>
      </c>
      <c r="AI1292">
        <v>7.0780000000000001E-3</v>
      </c>
    </row>
    <row r="1293" spans="1:35" x14ac:dyDescent="0.35">
      <c r="A1293" t="s">
        <v>2</v>
      </c>
      <c r="B1293">
        <v>4250</v>
      </c>
      <c r="C1293">
        <v>54</v>
      </c>
      <c r="D1293">
        <v>476</v>
      </c>
      <c r="E1293">
        <v>0</v>
      </c>
      <c r="F1293">
        <v>6159623369</v>
      </c>
      <c r="G1293">
        <v>11301917.029999999</v>
      </c>
      <c r="H1293">
        <v>6103680278.0600004</v>
      </c>
      <c r="I1293">
        <v>6132897155.7700005</v>
      </c>
      <c r="J1293">
        <v>8.3584000000000006E-2</v>
      </c>
      <c r="K1293">
        <v>2.9638999999999999E-2</v>
      </c>
      <c r="M1293" t="s">
        <v>3</v>
      </c>
      <c r="N1293">
        <v>3750</v>
      </c>
      <c r="O1293">
        <v>48</v>
      </c>
      <c r="P1293">
        <v>81</v>
      </c>
      <c r="Q1293">
        <v>0</v>
      </c>
      <c r="R1293">
        <v>1814106964</v>
      </c>
      <c r="S1293">
        <v>3449011.16</v>
      </c>
      <c r="T1293">
        <v>1802734705.3599999</v>
      </c>
      <c r="U1293">
        <v>1809970123.29</v>
      </c>
      <c r="V1293">
        <v>5.117E-2</v>
      </c>
      <c r="W1293">
        <v>4.5399999999999998E-3</v>
      </c>
      <c r="Y1293" t="s">
        <v>3</v>
      </c>
      <c r="Z1293">
        <v>2750</v>
      </c>
      <c r="AA1293">
        <v>48</v>
      </c>
      <c r="AB1293">
        <v>82</v>
      </c>
      <c r="AC1293">
        <v>0</v>
      </c>
      <c r="AD1293">
        <v>1885752567</v>
      </c>
      <c r="AE1293">
        <v>4150299.58</v>
      </c>
      <c r="AF1293">
        <v>1881346484</v>
      </c>
      <c r="AG1293">
        <v>1881346484</v>
      </c>
      <c r="AH1293">
        <v>1.6260000000000001E-3</v>
      </c>
      <c r="AI1293">
        <v>1.6260000000000001E-3</v>
      </c>
    </row>
    <row r="1294" spans="1:35" x14ac:dyDescent="0.35">
      <c r="A1294" t="s">
        <v>1</v>
      </c>
      <c r="B1294">
        <v>5000</v>
      </c>
      <c r="C1294">
        <v>60</v>
      </c>
      <c r="D1294">
        <v>26</v>
      </c>
      <c r="E1294">
        <v>0</v>
      </c>
      <c r="F1294">
        <v>554155886</v>
      </c>
      <c r="G1294">
        <v>946258.06</v>
      </c>
      <c r="H1294">
        <v>533795927.07999998</v>
      </c>
      <c r="I1294">
        <v>537689429.30999994</v>
      </c>
      <c r="J1294">
        <v>0.34814699999999998</v>
      </c>
      <c r="K1294">
        <v>0.28885499999999997</v>
      </c>
      <c r="M1294" t="s">
        <v>3</v>
      </c>
      <c r="N1294">
        <v>2250</v>
      </c>
      <c r="O1294">
        <v>60</v>
      </c>
      <c r="P1294">
        <v>42</v>
      </c>
      <c r="Q1294">
        <v>0</v>
      </c>
      <c r="R1294">
        <v>853515643</v>
      </c>
      <c r="S1294">
        <v>2084788.09</v>
      </c>
      <c r="T1294">
        <v>847591377.48000002</v>
      </c>
      <c r="U1294">
        <v>851430846.27999997</v>
      </c>
      <c r="V1294">
        <v>5.2664999999999997E-2</v>
      </c>
      <c r="W1294">
        <v>0</v>
      </c>
      <c r="Y1294" t="s">
        <v>3</v>
      </c>
      <c r="Z1294">
        <v>3000</v>
      </c>
      <c r="AA1294">
        <v>48</v>
      </c>
      <c r="AB1294">
        <v>128</v>
      </c>
      <c r="AC1294">
        <v>0</v>
      </c>
      <c r="AD1294">
        <v>2933131391</v>
      </c>
      <c r="AE1294">
        <v>6249788.7599999998</v>
      </c>
      <c r="AF1294">
        <v>2926402034</v>
      </c>
      <c r="AG1294">
        <v>2926402034</v>
      </c>
      <c r="AH1294">
        <v>1.9599999999999999E-3</v>
      </c>
      <c r="AI1294">
        <v>1.9599999999999999E-3</v>
      </c>
    </row>
    <row r="1295" spans="1:35" x14ac:dyDescent="0.35">
      <c r="A1295" t="s">
        <v>1</v>
      </c>
      <c r="B1295">
        <v>2000</v>
      </c>
      <c r="C1295">
        <v>54</v>
      </c>
      <c r="D1295">
        <v>1966</v>
      </c>
      <c r="E1295">
        <v>0</v>
      </c>
      <c r="F1295">
        <v>56835040849</v>
      </c>
      <c r="G1295">
        <v>143240458.81</v>
      </c>
      <c r="H1295">
        <v>56402391004.400002</v>
      </c>
      <c r="I1295">
        <v>56679502246.68</v>
      </c>
      <c r="J1295">
        <v>5.9422999999999997E-2</v>
      </c>
      <c r="K1295">
        <v>2.594E-3</v>
      </c>
      <c r="M1295" t="s">
        <v>3</v>
      </c>
      <c r="N1295">
        <v>4250</v>
      </c>
      <c r="O1295">
        <v>60</v>
      </c>
      <c r="P1295">
        <v>11</v>
      </c>
      <c r="Q1295">
        <v>0</v>
      </c>
      <c r="R1295">
        <v>128996415</v>
      </c>
      <c r="S1295">
        <v>240424.57</v>
      </c>
      <c r="T1295">
        <v>128230946.42</v>
      </c>
      <c r="U1295">
        <v>128755988.56</v>
      </c>
      <c r="V1295">
        <v>4.7764000000000001E-2</v>
      </c>
      <c r="W1295">
        <v>0</v>
      </c>
      <c r="Y1295" t="s">
        <v>3</v>
      </c>
      <c r="Z1295">
        <v>3250</v>
      </c>
      <c r="AA1295">
        <v>48</v>
      </c>
      <c r="AB1295">
        <v>160</v>
      </c>
      <c r="AC1295">
        <v>0</v>
      </c>
      <c r="AD1295">
        <v>2964458159</v>
      </c>
      <c r="AE1295">
        <v>6101088.3499999996</v>
      </c>
      <c r="AF1295">
        <v>2957429845</v>
      </c>
      <c r="AG1295">
        <v>2957429845</v>
      </c>
      <c r="AH1295">
        <v>3.7469999999999999E-3</v>
      </c>
      <c r="AI1295">
        <v>3.7469999999999999E-3</v>
      </c>
    </row>
    <row r="1296" spans="1:35" x14ac:dyDescent="0.35">
      <c r="A1296" t="s">
        <v>3</v>
      </c>
      <c r="B1296">
        <v>4500</v>
      </c>
      <c r="C1296">
        <v>60</v>
      </c>
      <c r="D1296">
        <v>2</v>
      </c>
      <c r="E1296">
        <v>0</v>
      </c>
      <c r="F1296">
        <v>42493430</v>
      </c>
      <c r="G1296">
        <v>75883.8</v>
      </c>
      <c r="H1296">
        <v>42100588.07</v>
      </c>
      <c r="I1296">
        <v>42417178.310000002</v>
      </c>
      <c r="J1296">
        <v>8.5926000000000002E-2</v>
      </c>
      <c r="K1296">
        <v>1.0399999999999999E-4</v>
      </c>
      <c r="M1296" t="s">
        <v>1</v>
      </c>
      <c r="N1296">
        <v>4250</v>
      </c>
      <c r="O1296">
        <v>54</v>
      </c>
      <c r="P1296">
        <v>905</v>
      </c>
      <c r="Q1296">
        <v>0</v>
      </c>
      <c r="R1296">
        <v>20534441566</v>
      </c>
      <c r="S1296">
        <v>37020125.130000003</v>
      </c>
      <c r="T1296">
        <v>20252875125.650002</v>
      </c>
      <c r="U1296">
        <v>20393291262.990002</v>
      </c>
      <c r="V1296">
        <v>0.13391</v>
      </c>
      <c r="W1296">
        <v>5.9182999999999999E-2</v>
      </c>
      <c r="Y1296" t="s">
        <v>3</v>
      </c>
      <c r="Z1296">
        <v>3500</v>
      </c>
      <c r="AA1296">
        <v>60</v>
      </c>
      <c r="AB1296">
        <v>39</v>
      </c>
      <c r="AC1296">
        <v>0</v>
      </c>
      <c r="AD1296">
        <v>897658077</v>
      </c>
      <c r="AE1296">
        <v>1850439.7</v>
      </c>
      <c r="AF1296">
        <v>856691314</v>
      </c>
      <c r="AG1296">
        <v>896013154.27999997</v>
      </c>
      <c r="AH1296">
        <v>0.41412399999999999</v>
      </c>
      <c r="AI1296">
        <v>-2.751E-3</v>
      </c>
    </row>
    <row r="1297" spans="1:35" x14ac:dyDescent="0.35">
      <c r="A1297" t="s">
        <v>3</v>
      </c>
      <c r="B1297">
        <v>3500</v>
      </c>
      <c r="C1297">
        <v>60</v>
      </c>
      <c r="D1297">
        <v>54</v>
      </c>
      <c r="E1297">
        <v>0</v>
      </c>
      <c r="F1297">
        <v>1230019899</v>
      </c>
      <c r="G1297">
        <v>2541343.34</v>
      </c>
      <c r="H1297">
        <v>1222246286.9000001</v>
      </c>
      <c r="I1297">
        <v>1227150426.51</v>
      </c>
      <c r="J1297">
        <v>4.9868000000000003E-2</v>
      </c>
      <c r="K1297">
        <v>3.1970000000000002E-3</v>
      </c>
      <c r="M1297" t="s">
        <v>0</v>
      </c>
      <c r="N1297">
        <v>4750</v>
      </c>
      <c r="O1297">
        <v>54</v>
      </c>
      <c r="P1297">
        <v>1653</v>
      </c>
      <c r="Q1297">
        <v>0</v>
      </c>
      <c r="R1297">
        <v>33702256148</v>
      </c>
      <c r="S1297">
        <v>56313293.780000001</v>
      </c>
      <c r="T1297">
        <v>33419096610.709999</v>
      </c>
      <c r="U1297">
        <v>33573091021.950001</v>
      </c>
      <c r="V1297">
        <v>7.7847E-2</v>
      </c>
      <c r="W1297">
        <v>2.5633E-2</v>
      </c>
      <c r="Y1297" t="s">
        <v>2</v>
      </c>
      <c r="Z1297">
        <v>4250</v>
      </c>
      <c r="AA1297">
        <v>54</v>
      </c>
      <c r="AB1297">
        <v>486</v>
      </c>
      <c r="AC1297">
        <v>0</v>
      </c>
      <c r="AD1297">
        <v>6121957044</v>
      </c>
      <c r="AE1297">
        <v>11246872.42</v>
      </c>
      <c r="AF1297">
        <v>6070447980</v>
      </c>
      <c r="AG1297">
        <v>6089496904.6199999</v>
      </c>
      <c r="AH1297">
        <v>7.6127E-2</v>
      </c>
      <c r="AI1297">
        <v>4.0798000000000001E-2</v>
      </c>
    </row>
    <row r="1298" spans="1:35" x14ac:dyDescent="0.35">
      <c r="A1298" t="s">
        <v>3</v>
      </c>
      <c r="B1298">
        <v>4000</v>
      </c>
      <c r="C1298">
        <v>48</v>
      </c>
      <c r="D1298">
        <v>59</v>
      </c>
      <c r="E1298">
        <v>0</v>
      </c>
      <c r="F1298">
        <v>1299627498</v>
      </c>
      <c r="G1298">
        <v>2371647.0099999998</v>
      </c>
      <c r="H1298">
        <v>1291114113.3399999</v>
      </c>
      <c r="I1298">
        <v>1296506768.0999999</v>
      </c>
      <c r="J1298">
        <v>5.5258000000000002E-2</v>
      </c>
      <c r="K1298">
        <v>6.8950000000000001E-3</v>
      </c>
      <c r="M1298" t="s">
        <v>2</v>
      </c>
      <c r="N1298">
        <v>4250</v>
      </c>
      <c r="O1298">
        <v>48</v>
      </c>
      <c r="P1298">
        <v>864</v>
      </c>
      <c r="Q1298">
        <v>0</v>
      </c>
      <c r="R1298">
        <v>12062770618</v>
      </c>
      <c r="S1298">
        <v>21238665.109999999</v>
      </c>
      <c r="T1298">
        <v>11955974125.34</v>
      </c>
      <c r="U1298">
        <v>12015173669.5</v>
      </c>
      <c r="V1298">
        <v>8.1869999999999998E-2</v>
      </c>
      <c r="W1298">
        <v>2.5908E-2</v>
      </c>
      <c r="Y1298" t="s">
        <v>1</v>
      </c>
      <c r="Z1298">
        <v>2000</v>
      </c>
      <c r="AA1298">
        <v>54</v>
      </c>
      <c r="AB1298">
        <v>1930</v>
      </c>
      <c r="AC1298">
        <v>0</v>
      </c>
      <c r="AD1298">
        <v>55074085025</v>
      </c>
      <c r="AE1298">
        <v>138484664.30000001</v>
      </c>
      <c r="AF1298">
        <v>54705004070</v>
      </c>
      <c r="AG1298">
        <v>54899498130.699997</v>
      </c>
      <c r="AH1298">
        <v>4.9103000000000001E-2</v>
      </c>
      <c r="AI1298">
        <v>7.8379999999999995E-3</v>
      </c>
    </row>
    <row r="1299" spans="1:35" x14ac:dyDescent="0.35">
      <c r="A1299" t="s">
        <v>3</v>
      </c>
      <c r="B1299">
        <v>4250</v>
      </c>
      <c r="C1299">
        <v>48</v>
      </c>
      <c r="D1299">
        <v>137</v>
      </c>
      <c r="E1299">
        <v>0</v>
      </c>
      <c r="F1299">
        <v>3063648820</v>
      </c>
      <c r="G1299">
        <v>5331463.6100000003</v>
      </c>
      <c r="H1299">
        <v>3046461258.0599999</v>
      </c>
      <c r="I1299">
        <v>3057701044.4899998</v>
      </c>
      <c r="J1299">
        <v>4.5463000000000003E-2</v>
      </c>
      <c r="K1299">
        <v>2.4109999999999999E-3</v>
      </c>
      <c r="M1299" t="s">
        <v>1</v>
      </c>
      <c r="N1299">
        <v>4750</v>
      </c>
      <c r="O1299">
        <v>48</v>
      </c>
      <c r="P1299">
        <v>531</v>
      </c>
      <c r="Q1299">
        <v>0</v>
      </c>
      <c r="R1299">
        <v>13290579266</v>
      </c>
      <c r="S1299">
        <v>21472217.949999999</v>
      </c>
      <c r="T1299">
        <v>13052827668.57</v>
      </c>
      <c r="U1299">
        <v>13149983134.48</v>
      </c>
      <c r="V1299">
        <v>0.17871400000000001</v>
      </c>
      <c r="W1299">
        <v>0.102409</v>
      </c>
      <c r="Y1299" t="s">
        <v>1</v>
      </c>
      <c r="Z1299">
        <v>2000</v>
      </c>
      <c r="AA1299">
        <v>48</v>
      </c>
      <c r="AB1299">
        <v>504</v>
      </c>
      <c r="AC1299">
        <v>0</v>
      </c>
      <c r="AD1299">
        <v>16494958586</v>
      </c>
      <c r="AE1299">
        <v>40977176.43</v>
      </c>
      <c r="AF1299">
        <v>16427166181</v>
      </c>
      <c r="AG1299">
        <v>16449531285.610001</v>
      </c>
      <c r="AH1299">
        <v>1.9334E-2</v>
      </c>
      <c r="AI1299">
        <v>3.2330000000000002E-3</v>
      </c>
    </row>
    <row r="1300" spans="1:35" x14ac:dyDescent="0.35">
      <c r="A1300" t="s">
        <v>0</v>
      </c>
      <c r="B1300">
        <v>5250</v>
      </c>
      <c r="C1300">
        <v>54</v>
      </c>
      <c r="D1300">
        <v>450</v>
      </c>
      <c r="E1300">
        <v>0</v>
      </c>
      <c r="F1300">
        <v>8693113704</v>
      </c>
      <c r="G1300">
        <v>13497126.630000001</v>
      </c>
      <c r="H1300">
        <v>8618183890.8299999</v>
      </c>
      <c r="I1300">
        <v>8651862049.5499992</v>
      </c>
      <c r="J1300">
        <v>8.1582000000000002E-2</v>
      </c>
      <c r="K1300">
        <v>3.7647E-2</v>
      </c>
      <c r="M1300" t="s">
        <v>1</v>
      </c>
      <c r="N1300">
        <v>4750</v>
      </c>
      <c r="O1300">
        <v>54</v>
      </c>
      <c r="P1300">
        <v>229</v>
      </c>
      <c r="Q1300">
        <v>0</v>
      </c>
      <c r="R1300">
        <v>5172218987</v>
      </c>
      <c r="S1300">
        <v>8633268.5899999999</v>
      </c>
      <c r="T1300">
        <v>5082490919.9799995</v>
      </c>
      <c r="U1300">
        <v>5119386644.1000004</v>
      </c>
      <c r="V1300">
        <v>0.17274100000000001</v>
      </c>
      <c r="W1300">
        <v>9.7861000000000004E-2</v>
      </c>
      <c r="Y1300" t="s">
        <v>3</v>
      </c>
      <c r="Z1300">
        <v>4500</v>
      </c>
      <c r="AA1300">
        <v>60</v>
      </c>
      <c r="AB1300">
        <v>2</v>
      </c>
      <c r="AC1300">
        <v>0</v>
      </c>
      <c r="AD1300">
        <v>42514937</v>
      </c>
      <c r="AE1300">
        <v>75507.350000000006</v>
      </c>
      <c r="AF1300">
        <v>42493430</v>
      </c>
      <c r="AG1300">
        <v>42493430</v>
      </c>
      <c r="AH1300">
        <v>-1.5349E-2</v>
      </c>
      <c r="AI1300">
        <v>-1.5349E-2</v>
      </c>
    </row>
    <row r="1301" spans="1:35" x14ac:dyDescent="0.35">
      <c r="A1301" t="s">
        <v>1</v>
      </c>
      <c r="B1301">
        <v>2000</v>
      </c>
      <c r="C1301">
        <v>60</v>
      </c>
      <c r="D1301">
        <v>7605</v>
      </c>
      <c r="E1301">
        <v>0</v>
      </c>
      <c r="F1301">
        <v>218690435678</v>
      </c>
      <c r="G1301">
        <v>568026657.66999996</v>
      </c>
      <c r="H1301">
        <v>217136863950.14999</v>
      </c>
      <c r="I1301">
        <v>218090561355.57999</v>
      </c>
      <c r="J1301">
        <v>5.2757999999999999E-2</v>
      </c>
      <c r="K1301">
        <v>1.7459999999999999E-3</v>
      </c>
      <c r="M1301" t="s">
        <v>1</v>
      </c>
      <c r="N1301">
        <v>6250</v>
      </c>
      <c r="O1301">
        <v>42</v>
      </c>
      <c r="P1301">
        <v>3175</v>
      </c>
      <c r="Q1301">
        <v>0</v>
      </c>
      <c r="R1301">
        <v>83027211975</v>
      </c>
      <c r="S1301">
        <v>101291991.77</v>
      </c>
      <c r="T1301">
        <v>80826043997.639999</v>
      </c>
      <c r="U1301">
        <v>82259970287.179993</v>
      </c>
      <c r="V1301">
        <v>0.26464399999999999</v>
      </c>
      <c r="W1301">
        <v>9.2116000000000003E-2</v>
      </c>
      <c r="Y1301" t="s">
        <v>3</v>
      </c>
      <c r="Z1301">
        <v>4000</v>
      </c>
      <c r="AA1301">
        <v>48</v>
      </c>
      <c r="AB1301">
        <v>65</v>
      </c>
      <c r="AC1301">
        <v>0</v>
      </c>
      <c r="AD1301">
        <v>1427860850</v>
      </c>
      <c r="AE1301">
        <v>2600403.14</v>
      </c>
      <c r="AF1301">
        <v>1425017751</v>
      </c>
      <c r="AG1301">
        <v>1425017751</v>
      </c>
      <c r="AH1301">
        <v>2.0379999999999999E-3</v>
      </c>
      <c r="AI1301">
        <v>2.0379999999999999E-3</v>
      </c>
    </row>
    <row r="1302" spans="1:35" x14ac:dyDescent="0.35">
      <c r="A1302" t="s">
        <v>0</v>
      </c>
      <c r="B1302">
        <v>2000</v>
      </c>
      <c r="C1302">
        <v>54</v>
      </c>
      <c r="D1302">
        <v>182</v>
      </c>
      <c r="E1302">
        <v>0</v>
      </c>
      <c r="F1302">
        <v>4874114591</v>
      </c>
      <c r="G1302">
        <v>12220812.1</v>
      </c>
      <c r="H1302">
        <v>4841260990.5799999</v>
      </c>
      <c r="I1302">
        <v>4860179528.6099997</v>
      </c>
      <c r="J1302">
        <v>4.9631000000000002E-2</v>
      </c>
      <c r="K1302">
        <v>4.2119999999999996E-3</v>
      </c>
      <c r="M1302" t="s">
        <v>0</v>
      </c>
      <c r="N1302">
        <v>5250</v>
      </c>
      <c r="O1302">
        <v>54</v>
      </c>
      <c r="P1302">
        <v>406</v>
      </c>
      <c r="Q1302">
        <v>0</v>
      </c>
      <c r="R1302">
        <v>7415652056</v>
      </c>
      <c r="S1302">
        <v>11472229.51</v>
      </c>
      <c r="T1302">
        <v>7346585716.8800001</v>
      </c>
      <c r="U1302">
        <v>7381995804.8000002</v>
      </c>
      <c r="V1302">
        <v>8.9318999999999996E-2</v>
      </c>
      <c r="W1302">
        <v>3.5312999999999997E-2</v>
      </c>
      <c r="Y1302" t="s">
        <v>3</v>
      </c>
      <c r="Z1302">
        <v>4250</v>
      </c>
      <c r="AA1302">
        <v>48</v>
      </c>
      <c r="AB1302">
        <v>141</v>
      </c>
      <c r="AC1302">
        <v>0</v>
      </c>
      <c r="AD1302">
        <v>3139040943</v>
      </c>
      <c r="AE1302">
        <v>5441994.2300000004</v>
      </c>
      <c r="AF1302">
        <v>3120453782</v>
      </c>
      <c r="AG1302">
        <v>3133354085.3499999</v>
      </c>
      <c r="AH1302">
        <v>4.9110000000000001E-2</v>
      </c>
      <c r="AI1302">
        <v>9.3599999999999998E-4</v>
      </c>
    </row>
    <row r="1303" spans="1:35" x14ac:dyDescent="0.35">
      <c r="A1303" t="s">
        <v>2</v>
      </c>
      <c r="B1303">
        <v>2000</v>
      </c>
      <c r="C1303">
        <v>54</v>
      </c>
      <c r="D1303">
        <v>12</v>
      </c>
      <c r="E1303">
        <v>0</v>
      </c>
      <c r="F1303">
        <v>239812740</v>
      </c>
      <c r="G1303">
        <v>601062.59</v>
      </c>
      <c r="H1303">
        <v>238156884.61000001</v>
      </c>
      <c r="I1303">
        <v>239169776.22</v>
      </c>
      <c r="J1303">
        <v>5.1522999999999999E-2</v>
      </c>
      <c r="K1303">
        <v>2.0950000000000001E-3</v>
      </c>
      <c r="M1303" t="s">
        <v>1</v>
      </c>
      <c r="N1303">
        <v>5250</v>
      </c>
      <c r="O1303">
        <v>54</v>
      </c>
      <c r="P1303">
        <v>184</v>
      </c>
      <c r="Q1303">
        <v>0</v>
      </c>
      <c r="R1303">
        <v>4154755021</v>
      </c>
      <c r="S1303">
        <v>6383273.3300000001</v>
      </c>
      <c r="T1303">
        <v>4075121205.4000001</v>
      </c>
      <c r="U1303">
        <v>4103205133.1599998</v>
      </c>
      <c r="V1303">
        <v>0.19220999999999999</v>
      </c>
      <c r="W1303">
        <v>0.122929</v>
      </c>
      <c r="Y1303" t="s">
        <v>0</v>
      </c>
      <c r="Z1303">
        <v>5750</v>
      </c>
      <c r="AA1303">
        <v>48</v>
      </c>
      <c r="AB1303">
        <v>1509</v>
      </c>
      <c r="AC1303">
        <v>0</v>
      </c>
      <c r="AD1303">
        <v>35494241375</v>
      </c>
      <c r="AE1303">
        <v>48458467.049999997</v>
      </c>
      <c r="AF1303">
        <v>35306917577</v>
      </c>
      <c r="AG1303">
        <v>35359160170.769997</v>
      </c>
      <c r="AH1303">
        <v>4.5950999999999999E-2</v>
      </c>
      <c r="AI1303">
        <v>2.8896000000000002E-2</v>
      </c>
    </row>
    <row r="1304" spans="1:35" x14ac:dyDescent="0.35">
      <c r="A1304" t="s">
        <v>2</v>
      </c>
      <c r="B1304">
        <v>2000</v>
      </c>
      <c r="C1304">
        <v>60</v>
      </c>
      <c r="D1304">
        <v>62</v>
      </c>
      <c r="E1304">
        <v>0</v>
      </c>
      <c r="F1304">
        <v>1112655087</v>
      </c>
      <c r="G1304">
        <v>2855349.46</v>
      </c>
      <c r="H1304">
        <v>1103104946.28</v>
      </c>
      <c r="I1304">
        <v>1109223997.8800001</v>
      </c>
      <c r="J1304">
        <v>6.9861000000000006E-2</v>
      </c>
      <c r="K1304">
        <v>6.1919999999999996E-3</v>
      </c>
      <c r="M1304" t="s">
        <v>0</v>
      </c>
      <c r="N1304">
        <v>5000</v>
      </c>
      <c r="O1304">
        <v>54</v>
      </c>
      <c r="P1304">
        <v>245</v>
      </c>
      <c r="Q1304">
        <v>0</v>
      </c>
      <c r="R1304">
        <v>4436772676</v>
      </c>
      <c r="S1304">
        <v>7147683.3700000001</v>
      </c>
      <c r="T1304">
        <v>4402978123.7399998</v>
      </c>
      <c r="U1304">
        <v>4422338719.46</v>
      </c>
      <c r="V1304">
        <v>6.9736999999999993E-2</v>
      </c>
      <c r="W1304">
        <v>1.9529999999999999E-2</v>
      </c>
      <c r="Y1304" t="s">
        <v>0</v>
      </c>
      <c r="Z1304">
        <v>5000</v>
      </c>
      <c r="AA1304">
        <v>54</v>
      </c>
      <c r="AB1304">
        <v>262</v>
      </c>
      <c r="AC1304">
        <v>0</v>
      </c>
      <c r="AD1304">
        <v>4786432892</v>
      </c>
      <c r="AE1304">
        <v>7730958.4100000001</v>
      </c>
      <c r="AF1304">
        <v>4720060988</v>
      </c>
      <c r="AG1304">
        <v>4747820916.79</v>
      </c>
      <c r="AH1304">
        <v>0.13750499999999999</v>
      </c>
      <c r="AI1304">
        <v>7.4732000000000007E-2</v>
      </c>
    </row>
    <row r="1305" spans="1:35" x14ac:dyDescent="0.35">
      <c r="A1305" t="s">
        <v>3</v>
      </c>
      <c r="B1305">
        <v>3500</v>
      </c>
      <c r="C1305">
        <v>54</v>
      </c>
      <c r="D1305">
        <v>158</v>
      </c>
      <c r="E1305">
        <v>0</v>
      </c>
      <c r="F1305">
        <v>3396353411</v>
      </c>
      <c r="G1305">
        <v>6850686.2800000003</v>
      </c>
      <c r="H1305">
        <v>3377536758.2800002</v>
      </c>
      <c r="I1305">
        <v>3389078135.7600002</v>
      </c>
      <c r="J1305">
        <v>4.1467999999999998E-2</v>
      </c>
      <c r="K1305">
        <v>1.4989999999999999E-3</v>
      </c>
      <c r="M1305" t="s">
        <v>2</v>
      </c>
      <c r="N1305">
        <v>4750</v>
      </c>
      <c r="O1305">
        <v>54</v>
      </c>
      <c r="P1305">
        <v>114</v>
      </c>
      <c r="Q1305">
        <v>0</v>
      </c>
      <c r="R1305">
        <v>1479389836</v>
      </c>
      <c r="S1305">
        <v>2599095.7799999998</v>
      </c>
      <c r="T1305">
        <v>1463431756.6600001</v>
      </c>
      <c r="U1305">
        <v>1472402680.6800001</v>
      </c>
      <c r="V1305">
        <v>0.10313799999999999</v>
      </c>
      <c r="W1305">
        <v>3.5019000000000002E-2</v>
      </c>
      <c r="Y1305" t="s">
        <v>0</v>
      </c>
      <c r="Z1305">
        <v>5250</v>
      </c>
      <c r="AA1305">
        <v>54</v>
      </c>
      <c r="AB1305">
        <v>437</v>
      </c>
      <c r="AC1305">
        <v>0</v>
      </c>
      <c r="AD1305">
        <v>8446394046</v>
      </c>
      <c r="AE1305">
        <v>13102850.029999999</v>
      </c>
      <c r="AF1305">
        <v>8368612286</v>
      </c>
      <c r="AG1305">
        <v>8434866276.2399998</v>
      </c>
      <c r="AH1305">
        <v>8.8118000000000002E-2</v>
      </c>
      <c r="AI1305">
        <v>-2.2399999999999998E-3</v>
      </c>
    </row>
    <row r="1306" spans="1:35" x14ac:dyDescent="0.35">
      <c r="A1306" t="s">
        <v>0</v>
      </c>
      <c r="B1306">
        <v>2750</v>
      </c>
      <c r="C1306">
        <v>96</v>
      </c>
      <c r="D1306">
        <v>10</v>
      </c>
      <c r="E1306">
        <v>0</v>
      </c>
      <c r="F1306">
        <v>129381841</v>
      </c>
      <c r="G1306">
        <v>348595.22</v>
      </c>
      <c r="H1306">
        <v>128596137.91</v>
      </c>
      <c r="I1306">
        <v>129011075.18000001</v>
      </c>
      <c r="J1306">
        <v>3.9795999999999998E-2</v>
      </c>
      <c r="K1306">
        <v>2.0539999999999998E-3</v>
      </c>
      <c r="M1306" t="s">
        <v>3</v>
      </c>
      <c r="N1306">
        <v>2250</v>
      </c>
      <c r="O1306">
        <v>54</v>
      </c>
      <c r="P1306">
        <v>40</v>
      </c>
      <c r="Q1306">
        <v>0</v>
      </c>
      <c r="R1306">
        <v>922047950</v>
      </c>
      <c r="S1306">
        <v>2225047</v>
      </c>
      <c r="T1306">
        <v>917345248.58000004</v>
      </c>
      <c r="U1306">
        <v>919822885.36000001</v>
      </c>
      <c r="V1306">
        <v>3.1773000000000003E-2</v>
      </c>
      <c r="W1306">
        <v>0</v>
      </c>
      <c r="Y1306" t="s">
        <v>2</v>
      </c>
      <c r="Z1306">
        <v>4750</v>
      </c>
      <c r="AA1306">
        <v>54</v>
      </c>
      <c r="AB1306">
        <v>118</v>
      </c>
      <c r="AC1306">
        <v>0</v>
      </c>
      <c r="AD1306">
        <v>1454033295</v>
      </c>
      <c r="AE1306">
        <v>2502755.0699999998</v>
      </c>
      <c r="AF1306">
        <v>1438314422</v>
      </c>
      <c r="AG1306">
        <v>1451481899.6300001</v>
      </c>
      <c r="AH1306">
        <v>0.103781</v>
      </c>
      <c r="AI1306">
        <v>4.0099999999999999E-4</v>
      </c>
    </row>
    <row r="1307" spans="1:35" x14ac:dyDescent="0.35">
      <c r="A1307" t="s">
        <v>2</v>
      </c>
      <c r="B1307">
        <v>4750</v>
      </c>
      <c r="C1307">
        <v>54</v>
      </c>
      <c r="D1307">
        <v>132</v>
      </c>
      <c r="E1307">
        <v>0</v>
      </c>
      <c r="F1307">
        <v>1627988348</v>
      </c>
      <c r="G1307">
        <v>2791535.24</v>
      </c>
      <c r="H1307">
        <v>1609948722.3900001</v>
      </c>
      <c r="I1307">
        <v>1618853327.6600001</v>
      </c>
      <c r="J1307">
        <v>0.106782</v>
      </c>
      <c r="K1307">
        <v>4.5768999999999997E-2</v>
      </c>
      <c r="M1307" t="s">
        <v>3</v>
      </c>
      <c r="N1307">
        <v>2750</v>
      </c>
      <c r="O1307">
        <v>48</v>
      </c>
      <c r="P1307">
        <v>176</v>
      </c>
      <c r="Q1307">
        <v>0</v>
      </c>
      <c r="R1307">
        <v>4129081447</v>
      </c>
      <c r="S1307">
        <v>9069331.2200000007</v>
      </c>
      <c r="T1307">
        <v>4105922999.7199998</v>
      </c>
      <c r="U1307">
        <v>4119766634.9400001</v>
      </c>
      <c r="V1307">
        <v>4.0185999999999999E-2</v>
      </c>
      <c r="W1307">
        <v>7.1299999999999998E-4</v>
      </c>
      <c r="Y1307" t="s">
        <v>3</v>
      </c>
      <c r="Z1307">
        <v>3500</v>
      </c>
      <c r="AA1307">
        <v>54</v>
      </c>
      <c r="AB1307">
        <v>135</v>
      </c>
      <c r="AC1307">
        <v>0</v>
      </c>
      <c r="AD1307">
        <v>2844117772</v>
      </c>
      <c r="AE1307">
        <v>5746716.5499999998</v>
      </c>
      <c r="AF1307">
        <v>2837712485</v>
      </c>
      <c r="AG1307">
        <v>2837712485</v>
      </c>
      <c r="AH1307">
        <v>2.7750000000000001E-3</v>
      </c>
      <c r="AI1307">
        <v>2.7750000000000001E-3</v>
      </c>
    </row>
    <row r="1308" spans="1:35" x14ac:dyDescent="0.35">
      <c r="A1308" t="s">
        <v>3</v>
      </c>
      <c r="B1308">
        <v>3750</v>
      </c>
      <c r="C1308">
        <v>54</v>
      </c>
      <c r="D1308">
        <v>85</v>
      </c>
      <c r="E1308">
        <v>0</v>
      </c>
      <c r="F1308">
        <v>1734667884</v>
      </c>
      <c r="G1308">
        <v>3401967.42</v>
      </c>
      <c r="H1308">
        <v>1723713745.3</v>
      </c>
      <c r="I1308">
        <v>1731239582.4000001</v>
      </c>
      <c r="J1308">
        <v>5.1011000000000001E-2</v>
      </c>
      <c r="K1308">
        <v>1.8200000000000001E-4</v>
      </c>
      <c r="M1308" t="s">
        <v>3</v>
      </c>
      <c r="N1308">
        <v>3000</v>
      </c>
      <c r="O1308">
        <v>48</v>
      </c>
      <c r="P1308">
        <v>219</v>
      </c>
      <c r="Q1308">
        <v>0</v>
      </c>
      <c r="R1308">
        <v>5009595794</v>
      </c>
      <c r="S1308">
        <v>10649429.699999999</v>
      </c>
      <c r="T1308">
        <v>4979194270.3900003</v>
      </c>
      <c r="U1308">
        <v>4998262365.96</v>
      </c>
      <c r="V1308">
        <v>4.6302000000000003E-2</v>
      </c>
      <c r="W1308">
        <v>1.637E-3</v>
      </c>
      <c r="Y1308" t="s">
        <v>3</v>
      </c>
      <c r="Z1308">
        <v>3750</v>
      </c>
      <c r="AA1308">
        <v>54</v>
      </c>
      <c r="AB1308">
        <v>99</v>
      </c>
      <c r="AC1308">
        <v>0</v>
      </c>
      <c r="AD1308">
        <v>1925641049</v>
      </c>
      <c r="AE1308">
        <v>3771447.7</v>
      </c>
      <c r="AF1308">
        <v>1907432028</v>
      </c>
      <c r="AG1308">
        <v>1907432028</v>
      </c>
      <c r="AH1308">
        <v>8.6351999999999998E-2</v>
      </c>
      <c r="AI1308">
        <v>8.6351999999999998E-2</v>
      </c>
    </row>
    <row r="1309" spans="1:35" x14ac:dyDescent="0.35">
      <c r="A1309" t="s">
        <v>3</v>
      </c>
      <c r="B1309">
        <v>4000</v>
      </c>
      <c r="C1309">
        <v>54</v>
      </c>
      <c r="D1309">
        <v>49</v>
      </c>
      <c r="E1309">
        <v>0</v>
      </c>
      <c r="F1309">
        <v>1024817496</v>
      </c>
      <c r="G1309">
        <v>1915957.06</v>
      </c>
      <c r="H1309">
        <v>1018805445.4400001</v>
      </c>
      <c r="I1309">
        <v>1022901309.87</v>
      </c>
      <c r="J1309">
        <v>4.6921999999999998E-2</v>
      </c>
      <c r="K1309">
        <v>3.0000000000000001E-6</v>
      </c>
      <c r="M1309" t="s">
        <v>3</v>
      </c>
      <c r="N1309">
        <v>3250</v>
      </c>
      <c r="O1309">
        <v>48</v>
      </c>
      <c r="P1309">
        <v>281</v>
      </c>
      <c r="Q1309">
        <v>0</v>
      </c>
      <c r="R1309">
        <v>4440650244</v>
      </c>
      <c r="S1309">
        <v>9105306.6199999992</v>
      </c>
      <c r="T1309">
        <v>4414902103.5600004</v>
      </c>
      <c r="U1309">
        <v>4429880717.8500004</v>
      </c>
      <c r="V1309">
        <v>4.4058E-2</v>
      </c>
      <c r="W1309">
        <v>4.4879999999999998E-3</v>
      </c>
      <c r="Y1309" t="s">
        <v>1</v>
      </c>
      <c r="Z1309">
        <v>5250</v>
      </c>
      <c r="AA1309">
        <v>54</v>
      </c>
      <c r="AB1309">
        <v>290</v>
      </c>
      <c r="AC1309">
        <v>0</v>
      </c>
      <c r="AD1309">
        <v>6719026996</v>
      </c>
      <c r="AE1309">
        <v>10318478.4</v>
      </c>
      <c r="AF1309">
        <v>6511320908</v>
      </c>
      <c r="AG1309">
        <v>6544139601.0500002</v>
      </c>
      <c r="AH1309">
        <v>0.30079499999999998</v>
      </c>
      <c r="AI1309">
        <v>0.25738299999999997</v>
      </c>
    </row>
    <row r="1310" spans="1:35" x14ac:dyDescent="0.35">
      <c r="A1310" t="s">
        <v>1</v>
      </c>
      <c r="B1310">
        <v>3000</v>
      </c>
      <c r="C1310">
        <v>42</v>
      </c>
      <c r="D1310">
        <v>350</v>
      </c>
      <c r="E1310">
        <v>0</v>
      </c>
      <c r="F1310">
        <v>12308914352</v>
      </c>
      <c r="G1310">
        <v>25747866.399999999</v>
      </c>
      <c r="H1310">
        <v>12171553438.610001</v>
      </c>
      <c r="I1310">
        <v>12234994089.379999</v>
      </c>
      <c r="J1310">
        <v>0.103546</v>
      </c>
      <c r="K1310">
        <v>4.5966E-2</v>
      </c>
      <c r="M1310" t="s">
        <v>1</v>
      </c>
      <c r="N1310">
        <v>5000</v>
      </c>
      <c r="O1310">
        <v>54</v>
      </c>
      <c r="P1310">
        <v>49</v>
      </c>
      <c r="Q1310">
        <v>0</v>
      </c>
      <c r="R1310">
        <v>1049696259</v>
      </c>
      <c r="S1310">
        <v>1705461.77</v>
      </c>
      <c r="T1310">
        <v>1037630367.1</v>
      </c>
      <c r="U1310">
        <v>1045555050.64</v>
      </c>
      <c r="V1310">
        <v>0.112217</v>
      </c>
      <c r="W1310">
        <v>2.7493E-2</v>
      </c>
      <c r="Y1310" t="s">
        <v>2</v>
      </c>
      <c r="Z1310">
        <v>5000</v>
      </c>
      <c r="AA1310">
        <v>54</v>
      </c>
      <c r="AB1310">
        <v>34</v>
      </c>
      <c r="AC1310">
        <v>0</v>
      </c>
      <c r="AD1310">
        <v>402676364</v>
      </c>
      <c r="AE1310">
        <v>701369.56</v>
      </c>
      <c r="AF1310">
        <v>401704449</v>
      </c>
      <c r="AG1310">
        <v>401704449</v>
      </c>
      <c r="AH1310">
        <v>8.0330000000000002E-3</v>
      </c>
      <c r="AI1310">
        <v>8.0330000000000002E-3</v>
      </c>
    </row>
    <row r="1311" spans="1:35" x14ac:dyDescent="0.35">
      <c r="A1311" t="s">
        <v>2</v>
      </c>
      <c r="B1311">
        <v>5250</v>
      </c>
      <c r="C1311">
        <v>54</v>
      </c>
      <c r="D1311">
        <v>62</v>
      </c>
      <c r="E1311">
        <v>0</v>
      </c>
      <c r="F1311">
        <v>762081591</v>
      </c>
      <c r="G1311">
        <v>1237953.1100000001</v>
      </c>
      <c r="H1311">
        <v>753407228.25999999</v>
      </c>
      <c r="I1311">
        <v>757371985.55999994</v>
      </c>
      <c r="J1311">
        <v>0.111012</v>
      </c>
      <c r="K1311">
        <v>5.3317000000000003E-2</v>
      </c>
      <c r="M1311" t="s">
        <v>1</v>
      </c>
      <c r="N1311">
        <v>2000</v>
      </c>
      <c r="O1311">
        <v>54</v>
      </c>
      <c r="P1311">
        <v>3743</v>
      </c>
      <c r="Q1311">
        <v>0</v>
      </c>
      <c r="R1311">
        <v>108594367971</v>
      </c>
      <c r="S1311">
        <v>276071069.58999997</v>
      </c>
      <c r="T1311">
        <v>107861128344.00999</v>
      </c>
      <c r="U1311">
        <v>108312522658.83</v>
      </c>
      <c r="V1311">
        <v>4.9364999999999999E-2</v>
      </c>
      <c r="W1311">
        <v>6.38E-4</v>
      </c>
      <c r="Y1311" t="s">
        <v>1</v>
      </c>
      <c r="Z1311">
        <v>2000</v>
      </c>
      <c r="AA1311">
        <v>60</v>
      </c>
      <c r="AB1311">
        <v>7493</v>
      </c>
      <c r="AC1311">
        <v>0</v>
      </c>
      <c r="AD1311">
        <v>216109104460</v>
      </c>
      <c r="AE1311">
        <v>559334083.77999997</v>
      </c>
      <c r="AF1311">
        <v>214988760632</v>
      </c>
      <c r="AG1311">
        <v>215419725316.12</v>
      </c>
      <c r="AH1311">
        <v>3.0710999999999999E-2</v>
      </c>
      <c r="AI1311">
        <v>7.1970000000000003E-3</v>
      </c>
    </row>
    <row r="1312" spans="1:35" x14ac:dyDescent="0.35">
      <c r="A1312" t="s">
        <v>3</v>
      </c>
      <c r="B1312">
        <v>4250</v>
      </c>
      <c r="C1312">
        <v>54</v>
      </c>
      <c r="D1312">
        <v>35</v>
      </c>
      <c r="E1312">
        <v>0</v>
      </c>
      <c r="F1312">
        <v>605854745</v>
      </c>
      <c r="G1312">
        <v>1090206.57</v>
      </c>
      <c r="H1312">
        <v>602138294.59000003</v>
      </c>
      <c r="I1312">
        <v>604475475.78999996</v>
      </c>
      <c r="J1312">
        <v>5.0795E-2</v>
      </c>
      <c r="K1312">
        <v>5.7099999999999998E-3</v>
      </c>
      <c r="M1312" t="s">
        <v>1</v>
      </c>
      <c r="N1312">
        <v>2000</v>
      </c>
      <c r="O1312">
        <v>48</v>
      </c>
      <c r="P1312">
        <v>1365</v>
      </c>
      <c r="Q1312">
        <v>0</v>
      </c>
      <c r="R1312">
        <v>42601478088</v>
      </c>
      <c r="S1312">
        <v>105498462.11</v>
      </c>
      <c r="T1312">
        <v>42294051757.959999</v>
      </c>
      <c r="U1312">
        <v>42485386976.400002</v>
      </c>
      <c r="V1312">
        <v>5.5419000000000003E-2</v>
      </c>
      <c r="W1312">
        <v>2.98E-3</v>
      </c>
      <c r="Y1312" t="s">
        <v>0</v>
      </c>
      <c r="Z1312">
        <v>2000</v>
      </c>
      <c r="AA1312">
        <v>54</v>
      </c>
      <c r="AB1312">
        <v>165</v>
      </c>
      <c r="AC1312">
        <v>0</v>
      </c>
      <c r="AD1312">
        <v>4374374938</v>
      </c>
      <c r="AE1312">
        <v>10944335.51</v>
      </c>
      <c r="AF1312">
        <v>4364572922</v>
      </c>
      <c r="AG1312">
        <v>4364572922</v>
      </c>
      <c r="AH1312">
        <v>-3.1380000000000002E-3</v>
      </c>
      <c r="AI1312">
        <v>-3.1380000000000002E-3</v>
      </c>
    </row>
    <row r="1313" spans="1:35" x14ac:dyDescent="0.35">
      <c r="A1313" t="s">
        <v>1</v>
      </c>
      <c r="B1313">
        <v>5250</v>
      </c>
      <c r="C1313">
        <v>54</v>
      </c>
      <c r="D1313">
        <v>339</v>
      </c>
      <c r="E1313">
        <v>0</v>
      </c>
      <c r="F1313">
        <v>7873238367</v>
      </c>
      <c r="G1313">
        <v>12115102.93</v>
      </c>
      <c r="H1313">
        <v>7657503911.5500002</v>
      </c>
      <c r="I1313">
        <v>7708056722.0299997</v>
      </c>
      <c r="J1313">
        <v>0.26979500000000001</v>
      </c>
      <c r="K1313">
        <v>0.209899</v>
      </c>
      <c r="M1313" t="s">
        <v>3</v>
      </c>
      <c r="N1313">
        <v>4500</v>
      </c>
      <c r="O1313">
        <v>60</v>
      </c>
      <c r="P1313">
        <v>1</v>
      </c>
      <c r="Q1313">
        <v>0</v>
      </c>
      <c r="R1313">
        <v>11528371</v>
      </c>
      <c r="S1313">
        <v>20774.22</v>
      </c>
      <c r="T1313">
        <v>11480169.300000001</v>
      </c>
      <c r="U1313">
        <v>11507596.630000001</v>
      </c>
      <c r="V1313">
        <v>2.8178999999999999E-2</v>
      </c>
      <c r="W1313">
        <v>0</v>
      </c>
      <c r="Y1313" t="s">
        <v>2</v>
      </c>
      <c r="Z1313">
        <v>2000</v>
      </c>
      <c r="AA1313">
        <v>54</v>
      </c>
      <c r="AB1313">
        <v>18</v>
      </c>
      <c r="AC1313">
        <v>0</v>
      </c>
      <c r="AD1313">
        <v>336472706</v>
      </c>
      <c r="AE1313">
        <v>845516.16</v>
      </c>
      <c r="AF1313">
        <v>335764397</v>
      </c>
      <c r="AG1313">
        <v>335764397</v>
      </c>
      <c r="AH1313">
        <v>-4.9040000000000004E-3</v>
      </c>
      <c r="AI1313">
        <v>-4.9040000000000004E-3</v>
      </c>
    </row>
    <row r="1314" spans="1:35" x14ac:dyDescent="0.35">
      <c r="A1314" t="s">
        <v>1</v>
      </c>
      <c r="B1314">
        <v>5000</v>
      </c>
      <c r="C1314">
        <v>54</v>
      </c>
      <c r="D1314">
        <v>64</v>
      </c>
      <c r="E1314">
        <v>0</v>
      </c>
      <c r="F1314">
        <v>1520470599</v>
      </c>
      <c r="G1314">
        <v>2468413.6</v>
      </c>
      <c r="H1314">
        <v>1506198617.51</v>
      </c>
      <c r="I1314">
        <v>1516129900</v>
      </c>
      <c r="J1314">
        <v>8.9280999999999999E-2</v>
      </c>
      <c r="K1314">
        <v>1.4677000000000001E-2</v>
      </c>
      <c r="M1314" t="s">
        <v>3</v>
      </c>
      <c r="N1314">
        <v>3500</v>
      </c>
      <c r="O1314">
        <v>54</v>
      </c>
      <c r="P1314">
        <v>138</v>
      </c>
      <c r="Q1314">
        <v>0</v>
      </c>
      <c r="R1314">
        <v>2934086139</v>
      </c>
      <c r="S1314">
        <v>5919759.9299999997</v>
      </c>
      <c r="T1314">
        <v>2917147344.77</v>
      </c>
      <c r="U1314">
        <v>2927528411.5999999</v>
      </c>
      <c r="V1314">
        <v>4.4146999999999999E-2</v>
      </c>
      <c r="W1314">
        <v>2.6059999999999998E-3</v>
      </c>
      <c r="Y1314" t="s">
        <v>3</v>
      </c>
      <c r="Z1314">
        <v>4250</v>
      </c>
      <c r="AA1314">
        <v>54</v>
      </c>
      <c r="AB1314">
        <v>32</v>
      </c>
      <c r="AC1314">
        <v>0</v>
      </c>
      <c r="AD1314">
        <v>503161657</v>
      </c>
      <c r="AE1314">
        <v>904675.02</v>
      </c>
      <c r="AF1314">
        <v>502334104</v>
      </c>
      <c r="AG1314">
        <v>502334104</v>
      </c>
      <c r="AH1314">
        <v>-1.841E-3</v>
      </c>
      <c r="AI1314">
        <v>-1.841E-3</v>
      </c>
    </row>
    <row r="1315" spans="1:35" x14ac:dyDescent="0.35">
      <c r="A1315" t="s">
        <v>1</v>
      </c>
      <c r="B1315">
        <v>7500</v>
      </c>
      <c r="C1315">
        <v>36</v>
      </c>
      <c r="D1315">
        <v>287</v>
      </c>
      <c r="E1315">
        <v>0</v>
      </c>
      <c r="F1315">
        <v>6290842858</v>
      </c>
      <c r="G1315">
        <v>6002301.6100000003</v>
      </c>
      <c r="H1315">
        <v>5970372780.6599998</v>
      </c>
      <c r="I1315">
        <v>6184809544.1300001</v>
      </c>
      <c r="J1315">
        <v>0.459559</v>
      </c>
      <c r="K1315">
        <v>0.174979</v>
      </c>
      <c r="M1315" t="s">
        <v>3</v>
      </c>
      <c r="N1315">
        <v>3750</v>
      </c>
      <c r="O1315">
        <v>54</v>
      </c>
      <c r="P1315">
        <v>108</v>
      </c>
      <c r="Q1315">
        <v>0</v>
      </c>
      <c r="R1315">
        <v>2000577916</v>
      </c>
      <c r="S1315">
        <v>3903139.04</v>
      </c>
      <c r="T1315">
        <v>1988627388.4200001</v>
      </c>
      <c r="U1315">
        <v>1996544061.53</v>
      </c>
      <c r="V1315">
        <v>4.7217000000000002E-2</v>
      </c>
      <c r="W1315">
        <v>7.8399999999999997E-4</v>
      </c>
      <c r="Y1315" t="s">
        <v>3</v>
      </c>
      <c r="Z1315">
        <v>4000</v>
      </c>
      <c r="AA1315">
        <v>54</v>
      </c>
      <c r="AB1315">
        <v>49</v>
      </c>
      <c r="AC1315">
        <v>0</v>
      </c>
      <c r="AD1315">
        <v>994784282</v>
      </c>
      <c r="AE1315">
        <v>1866339.73</v>
      </c>
      <c r="AF1315">
        <v>992394322</v>
      </c>
      <c r="AG1315">
        <v>992394322</v>
      </c>
      <c r="AH1315">
        <v>6.2979999999999998E-3</v>
      </c>
      <c r="AI1315">
        <v>6.2979999999999998E-3</v>
      </c>
    </row>
    <row r="1316" spans="1:35" x14ac:dyDescent="0.35">
      <c r="A1316" t="s">
        <v>2</v>
      </c>
      <c r="B1316">
        <v>5000</v>
      </c>
      <c r="C1316">
        <v>54</v>
      </c>
      <c r="D1316">
        <v>26</v>
      </c>
      <c r="E1316">
        <v>0</v>
      </c>
      <c r="F1316">
        <v>295102276</v>
      </c>
      <c r="G1316">
        <v>513921.35</v>
      </c>
      <c r="H1316">
        <v>290771284.82999998</v>
      </c>
      <c r="I1316">
        <v>292515381.43000001</v>
      </c>
      <c r="J1316">
        <v>0.14463699999999999</v>
      </c>
      <c r="K1316">
        <v>8.1113000000000005E-2</v>
      </c>
      <c r="M1316" t="s">
        <v>3</v>
      </c>
      <c r="N1316">
        <v>4000</v>
      </c>
      <c r="O1316">
        <v>48</v>
      </c>
      <c r="P1316">
        <v>60</v>
      </c>
      <c r="Q1316">
        <v>0</v>
      </c>
      <c r="R1316">
        <v>1245092462</v>
      </c>
      <c r="S1316">
        <v>2255102.54</v>
      </c>
      <c r="T1316">
        <v>1237066295.96</v>
      </c>
      <c r="U1316">
        <v>1241993045.55</v>
      </c>
      <c r="V1316">
        <v>5.4224000000000001E-2</v>
      </c>
      <c r="W1316">
        <v>8.1069999999999996E-3</v>
      </c>
      <c r="Y1316" t="s">
        <v>1</v>
      </c>
      <c r="Z1316">
        <v>5000</v>
      </c>
      <c r="AA1316">
        <v>54</v>
      </c>
      <c r="AB1316">
        <v>61</v>
      </c>
      <c r="AC1316">
        <v>0</v>
      </c>
      <c r="AD1316">
        <v>1422527770</v>
      </c>
      <c r="AE1316">
        <v>2305468.34</v>
      </c>
      <c r="AF1316">
        <v>1419990368</v>
      </c>
      <c r="AG1316">
        <v>1419990368</v>
      </c>
      <c r="AH1316">
        <v>1.9550000000000001E-3</v>
      </c>
      <c r="AI1316">
        <v>1.9550000000000001E-3</v>
      </c>
    </row>
    <row r="1317" spans="1:35" x14ac:dyDescent="0.35">
      <c r="A1317" t="s">
        <v>0</v>
      </c>
      <c r="B1317">
        <v>5750</v>
      </c>
      <c r="C1317">
        <v>54</v>
      </c>
      <c r="D1317">
        <v>30</v>
      </c>
      <c r="E1317">
        <v>0</v>
      </c>
      <c r="F1317">
        <v>490993699</v>
      </c>
      <c r="G1317">
        <v>716242.44</v>
      </c>
      <c r="H1317">
        <v>487274671.79000002</v>
      </c>
      <c r="I1317">
        <v>489316149.69999999</v>
      </c>
      <c r="J1317">
        <v>7.0970000000000005E-2</v>
      </c>
      <c r="K1317">
        <v>2.3243E-2</v>
      </c>
      <c r="M1317" t="s">
        <v>3</v>
      </c>
      <c r="N1317">
        <v>4250</v>
      </c>
      <c r="O1317">
        <v>48</v>
      </c>
      <c r="P1317">
        <v>80</v>
      </c>
      <c r="Q1317">
        <v>0</v>
      </c>
      <c r="R1317">
        <v>1532966279</v>
      </c>
      <c r="S1317">
        <v>2654008.14</v>
      </c>
      <c r="T1317">
        <v>1523075175.99</v>
      </c>
      <c r="U1317">
        <v>1529097460.78</v>
      </c>
      <c r="V1317">
        <v>5.5204000000000003E-2</v>
      </c>
      <c r="W1317">
        <v>9.4680000000000007E-3</v>
      </c>
      <c r="Y1317" t="s">
        <v>1</v>
      </c>
      <c r="Z1317">
        <v>5250</v>
      </c>
      <c r="AA1317">
        <v>48</v>
      </c>
      <c r="AB1317">
        <v>1602</v>
      </c>
      <c r="AC1317">
        <v>0</v>
      </c>
      <c r="AD1317">
        <v>44840640153</v>
      </c>
      <c r="AE1317">
        <v>66567367.119999997</v>
      </c>
      <c r="AF1317">
        <v>44185237804</v>
      </c>
      <c r="AG1317">
        <v>44427835896.449997</v>
      </c>
      <c r="AH1317">
        <v>0.14668300000000001</v>
      </c>
      <c r="AI1317">
        <v>8.8821999999999998E-2</v>
      </c>
    </row>
    <row r="1318" spans="1:35" x14ac:dyDescent="0.35">
      <c r="A1318" t="s">
        <v>0</v>
      </c>
      <c r="B1318">
        <v>5500</v>
      </c>
      <c r="C1318">
        <v>54</v>
      </c>
      <c r="D1318">
        <v>14</v>
      </c>
      <c r="E1318">
        <v>0</v>
      </c>
      <c r="F1318">
        <v>225980330</v>
      </c>
      <c r="G1318">
        <v>340891.25</v>
      </c>
      <c r="H1318">
        <v>224551734.78999999</v>
      </c>
      <c r="I1318">
        <v>225475375.43000001</v>
      </c>
      <c r="J1318">
        <v>5.6253999999999998E-2</v>
      </c>
      <c r="K1318">
        <v>8.6770000000000007E-3</v>
      </c>
      <c r="M1318" t="s">
        <v>3</v>
      </c>
      <c r="N1318">
        <v>3500</v>
      </c>
      <c r="O1318">
        <v>42</v>
      </c>
      <c r="P1318">
        <v>31</v>
      </c>
      <c r="Q1318">
        <v>0</v>
      </c>
      <c r="R1318">
        <v>780539918</v>
      </c>
      <c r="S1318">
        <v>1500099.05</v>
      </c>
      <c r="T1318">
        <v>776298744.69000006</v>
      </c>
      <c r="U1318">
        <v>779030672.50999999</v>
      </c>
      <c r="V1318">
        <v>4.1336999999999999E-2</v>
      </c>
      <c r="W1318">
        <v>1.4100000000000001E-4</v>
      </c>
      <c r="Y1318" t="s">
        <v>1</v>
      </c>
      <c r="Z1318">
        <v>3000</v>
      </c>
      <c r="AA1318">
        <v>42</v>
      </c>
      <c r="AB1318">
        <v>741</v>
      </c>
      <c r="AC1318">
        <v>0</v>
      </c>
      <c r="AD1318">
        <v>28589105612</v>
      </c>
      <c r="AE1318">
        <v>59506747.630000003</v>
      </c>
      <c r="AF1318">
        <v>28347143876</v>
      </c>
      <c r="AG1318">
        <v>28464778329.040001</v>
      </c>
      <c r="AH1318">
        <v>7.3952000000000004E-2</v>
      </c>
      <c r="AI1318">
        <v>2.6870999999999999E-2</v>
      </c>
    </row>
    <row r="1319" spans="1:35" x14ac:dyDescent="0.35">
      <c r="A1319" t="s">
        <v>3</v>
      </c>
      <c r="B1319">
        <v>5250</v>
      </c>
      <c r="C1319">
        <v>48</v>
      </c>
      <c r="D1319">
        <v>31</v>
      </c>
      <c r="E1319">
        <v>0</v>
      </c>
      <c r="F1319">
        <v>631913677</v>
      </c>
      <c r="G1319">
        <v>943201.32</v>
      </c>
      <c r="H1319">
        <v>628614864.88</v>
      </c>
      <c r="I1319">
        <v>630911838.13999999</v>
      </c>
      <c r="J1319">
        <v>4.3826999999999998E-2</v>
      </c>
      <c r="K1319">
        <v>1.1130000000000001E-3</v>
      </c>
      <c r="M1319" t="s">
        <v>3</v>
      </c>
      <c r="N1319">
        <v>3750</v>
      </c>
      <c r="O1319">
        <v>42</v>
      </c>
      <c r="P1319">
        <v>50</v>
      </c>
      <c r="Q1319">
        <v>0</v>
      </c>
      <c r="R1319">
        <v>1202604644</v>
      </c>
      <c r="S1319">
        <v>2217221.38</v>
      </c>
      <c r="T1319">
        <v>1196462692.9200001</v>
      </c>
      <c r="U1319">
        <v>1199643026.1900001</v>
      </c>
      <c r="V1319">
        <v>3.8467000000000001E-2</v>
      </c>
      <c r="W1319">
        <v>7.4029999999999999E-3</v>
      </c>
      <c r="Y1319" t="s">
        <v>2</v>
      </c>
      <c r="Z1319">
        <v>5250</v>
      </c>
      <c r="AA1319">
        <v>54</v>
      </c>
      <c r="AB1319">
        <v>55</v>
      </c>
      <c r="AC1319">
        <v>0</v>
      </c>
      <c r="AD1319">
        <v>647165360</v>
      </c>
      <c r="AE1319">
        <v>1054242.93</v>
      </c>
      <c r="AF1319">
        <v>646298458</v>
      </c>
      <c r="AG1319">
        <v>646298458</v>
      </c>
      <c r="AH1319">
        <v>-3.4789999999999999E-3</v>
      </c>
      <c r="AI1319">
        <v>-3.4789999999999999E-3</v>
      </c>
    </row>
    <row r="1320" spans="1:35" x14ac:dyDescent="0.35">
      <c r="A1320" t="s">
        <v>3</v>
      </c>
      <c r="B1320">
        <v>5000</v>
      </c>
      <c r="C1320">
        <v>48</v>
      </c>
      <c r="D1320">
        <v>37</v>
      </c>
      <c r="E1320">
        <v>0</v>
      </c>
      <c r="F1320">
        <v>808589211</v>
      </c>
      <c r="G1320">
        <v>1248931.23</v>
      </c>
      <c r="H1320">
        <v>803884681.36000001</v>
      </c>
      <c r="I1320">
        <v>806733227.84000003</v>
      </c>
      <c r="J1320">
        <v>5.0095000000000001E-2</v>
      </c>
      <c r="K1320">
        <v>8.9720000000000008E-3</v>
      </c>
      <c r="M1320" t="s">
        <v>3</v>
      </c>
      <c r="N1320">
        <v>4000</v>
      </c>
      <c r="O1320">
        <v>54</v>
      </c>
      <c r="P1320">
        <v>44</v>
      </c>
      <c r="Q1320">
        <v>0</v>
      </c>
      <c r="R1320">
        <v>914745532</v>
      </c>
      <c r="S1320">
        <v>1713559.7</v>
      </c>
      <c r="T1320">
        <v>909262762.85000002</v>
      </c>
      <c r="U1320">
        <v>913031519.89999998</v>
      </c>
      <c r="V1320">
        <v>4.8341000000000002E-2</v>
      </c>
      <c r="W1320">
        <v>6.0000000000000002E-6</v>
      </c>
      <c r="Y1320" t="s">
        <v>0</v>
      </c>
      <c r="Z1320">
        <v>5750</v>
      </c>
      <c r="AA1320">
        <v>54</v>
      </c>
      <c r="AB1320">
        <v>25</v>
      </c>
      <c r="AC1320">
        <v>0</v>
      </c>
      <c r="AD1320">
        <v>356780959</v>
      </c>
      <c r="AE1320">
        <v>511741.62</v>
      </c>
      <c r="AF1320">
        <v>356357993</v>
      </c>
      <c r="AG1320">
        <v>356357993</v>
      </c>
      <c r="AH1320">
        <v>-2.99E-3</v>
      </c>
      <c r="AI1320">
        <v>-2.99E-3</v>
      </c>
    </row>
    <row r="1321" spans="1:35" x14ac:dyDescent="0.35">
      <c r="A1321" t="s">
        <v>3</v>
      </c>
      <c r="B1321">
        <v>4750</v>
      </c>
      <c r="C1321">
        <v>42</v>
      </c>
      <c r="D1321">
        <v>42</v>
      </c>
      <c r="E1321">
        <v>0</v>
      </c>
      <c r="F1321">
        <v>970641840</v>
      </c>
      <c r="G1321">
        <v>1526984.71</v>
      </c>
      <c r="H1321">
        <v>965861419.78999996</v>
      </c>
      <c r="I1321">
        <v>969031482.85000002</v>
      </c>
      <c r="J1321">
        <v>3.9489000000000003E-2</v>
      </c>
      <c r="K1321">
        <v>1.0300000000000001E-3</v>
      </c>
      <c r="M1321" t="s">
        <v>3</v>
      </c>
      <c r="N1321">
        <v>4250</v>
      </c>
      <c r="O1321">
        <v>54</v>
      </c>
      <c r="P1321">
        <v>29</v>
      </c>
      <c r="Q1321">
        <v>0</v>
      </c>
      <c r="R1321">
        <v>437431604</v>
      </c>
      <c r="S1321">
        <v>785631.98</v>
      </c>
      <c r="T1321">
        <v>434713580.47000003</v>
      </c>
      <c r="U1321">
        <v>436366830.94999999</v>
      </c>
      <c r="V1321">
        <v>5.1742000000000003E-2</v>
      </c>
      <c r="W1321">
        <v>7.6309999999999998E-3</v>
      </c>
      <c r="Y1321" t="s">
        <v>0</v>
      </c>
      <c r="Z1321">
        <v>5500</v>
      </c>
      <c r="AA1321">
        <v>54</v>
      </c>
      <c r="AB1321">
        <v>13</v>
      </c>
      <c r="AC1321">
        <v>0</v>
      </c>
      <c r="AD1321">
        <v>213958669</v>
      </c>
      <c r="AE1321">
        <v>321106.67</v>
      </c>
      <c r="AF1321">
        <v>213664221</v>
      </c>
      <c r="AG1321">
        <v>213664221</v>
      </c>
      <c r="AH1321">
        <v>-1.4959999999999999E-3</v>
      </c>
      <c r="AI1321">
        <v>-1.4959999999999999E-3</v>
      </c>
    </row>
    <row r="1322" spans="1:35" x14ac:dyDescent="0.35">
      <c r="A1322" t="s">
        <v>0</v>
      </c>
      <c r="B1322">
        <v>2250</v>
      </c>
      <c r="C1322">
        <v>48</v>
      </c>
      <c r="D1322">
        <v>2570</v>
      </c>
      <c r="E1322">
        <v>0</v>
      </c>
      <c r="F1322">
        <v>65776560704</v>
      </c>
      <c r="G1322">
        <v>155064867.12</v>
      </c>
      <c r="H1322">
        <v>65348669609.139999</v>
      </c>
      <c r="I1322">
        <v>65598516756.940002</v>
      </c>
      <c r="J1322">
        <v>4.8653000000000002E-2</v>
      </c>
      <c r="K1322">
        <v>4.1840000000000002E-3</v>
      </c>
      <c r="M1322" t="s">
        <v>2</v>
      </c>
      <c r="N1322">
        <v>5000</v>
      </c>
      <c r="O1322">
        <v>54</v>
      </c>
      <c r="P1322">
        <v>39</v>
      </c>
      <c r="Q1322">
        <v>0</v>
      </c>
      <c r="R1322">
        <v>466866999</v>
      </c>
      <c r="S1322">
        <v>848971.12</v>
      </c>
      <c r="T1322">
        <v>462176998.19999999</v>
      </c>
      <c r="U1322">
        <v>465177047.49000001</v>
      </c>
      <c r="V1322">
        <v>9.4380000000000006E-2</v>
      </c>
      <c r="W1322">
        <v>2.1402999999999998E-2</v>
      </c>
      <c r="Y1322" t="s">
        <v>3</v>
      </c>
      <c r="Z1322">
        <v>5250</v>
      </c>
      <c r="AA1322">
        <v>42</v>
      </c>
      <c r="AB1322">
        <v>102</v>
      </c>
      <c r="AC1322">
        <v>0</v>
      </c>
      <c r="AD1322">
        <v>2438973337</v>
      </c>
      <c r="AE1322">
        <v>3550794.56</v>
      </c>
      <c r="AF1322">
        <v>2409529064</v>
      </c>
      <c r="AG1322">
        <v>2409529064</v>
      </c>
      <c r="AH1322">
        <v>0.120217</v>
      </c>
      <c r="AI1322">
        <v>0.120217</v>
      </c>
    </row>
    <row r="1323" spans="1:35" x14ac:dyDescent="0.35">
      <c r="A1323" t="s">
        <v>1</v>
      </c>
      <c r="B1323">
        <v>5750</v>
      </c>
      <c r="C1323">
        <v>48</v>
      </c>
      <c r="D1323">
        <v>1950</v>
      </c>
      <c r="E1323">
        <v>0</v>
      </c>
      <c r="F1323">
        <v>54150760010</v>
      </c>
      <c r="G1323">
        <v>74197919.530000001</v>
      </c>
      <c r="H1323">
        <v>53047794102.239998</v>
      </c>
      <c r="I1323">
        <v>53612644993.580002</v>
      </c>
      <c r="J1323">
        <v>0.20560300000000001</v>
      </c>
      <c r="K1323">
        <v>9.8097000000000004E-2</v>
      </c>
      <c r="M1323" t="s">
        <v>0</v>
      </c>
      <c r="N1323">
        <v>2000</v>
      </c>
      <c r="O1323">
        <v>54</v>
      </c>
      <c r="P1323">
        <v>157</v>
      </c>
      <c r="Q1323">
        <v>0</v>
      </c>
      <c r="R1323">
        <v>3999118340</v>
      </c>
      <c r="S1323">
        <v>10079022.810000001</v>
      </c>
      <c r="T1323">
        <v>3972415611.7800002</v>
      </c>
      <c r="U1323">
        <v>3988181783.3000002</v>
      </c>
      <c r="V1323">
        <v>4.8757000000000002E-2</v>
      </c>
      <c r="W1323">
        <v>2.5699999999999998E-3</v>
      </c>
      <c r="Y1323" t="s">
        <v>3</v>
      </c>
      <c r="Z1323">
        <v>4750</v>
      </c>
      <c r="AA1323">
        <v>42</v>
      </c>
      <c r="AB1323">
        <v>59</v>
      </c>
      <c r="AC1323">
        <v>0</v>
      </c>
      <c r="AD1323">
        <v>1371937445</v>
      </c>
      <c r="AE1323">
        <v>2157639.11</v>
      </c>
      <c r="AF1323">
        <v>1369888922</v>
      </c>
      <c r="AG1323">
        <v>1369888922</v>
      </c>
      <c r="AH1323">
        <v>-9.5500000000000001E-4</v>
      </c>
      <c r="AI1323">
        <v>-9.5500000000000001E-4</v>
      </c>
    </row>
    <row r="1324" spans="1:35" x14ac:dyDescent="0.35">
      <c r="A1324" t="s">
        <v>2</v>
      </c>
      <c r="B1324">
        <v>5750</v>
      </c>
      <c r="C1324">
        <v>48</v>
      </c>
      <c r="D1324">
        <v>273</v>
      </c>
      <c r="E1324">
        <v>0</v>
      </c>
      <c r="F1324">
        <v>3948870812</v>
      </c>
      <c r="G1324">
        <v>5415823.75</v>
      </c>
      <c r="H1324">
        <v>3919209524.5</v>
      </c>
      <c r="I1324">
        <v>3935093237.9299998</v>
      </c>
      <c r="J1324">
        <v>7.1239999999999998E-2</v>
      </c>
      <c r="K1324">
        <v>2.5115999999999999E-2</v>
      </c>
      <c r="M1324" t="s">
        <v>2</v>
      </c>
      <c r="N1324">
        <v>2000</v>
      </c>
      <c r="O1324">
        <v>54</v>
      </c>
      <c r="P1324">
        <v>38</v>
      </c>
      <c r="Q1324">
        <v>0</v>
      </c>
      <c r="R1324">
        <v>652419675</v>
      </c>
      <c r="S1324">
        <v>1638499.58</v>
      </c>
      <c r="T1324">
        <v>647966659.02999997</v>
      </c>
      <c r="U1324">
        <v>650595704.75999999</v>
      </c>
      <c r="V1324">
        <v>5.0556999999999998E-2</v>
      </c>
      <c r="W1324">
        <v>3.4060000000000002E-3</v>
      </c>
      <c r="Y1324" t="s">
        <v>0</v>
      </c>
      <c r="Z1324">
        <v>2250</v>
      </c>
      <c r="AA1324">
        <v>48</v>
      </c>
      <c r="AB1324">
        <v>4320</v>
      </c>
      <c r="AC1324">
        <v>0</v>
      </c>
      <c r="AD1324">
        <v>111196635995</v>
      </c>
      <c r="AE1324">
        <v>262338039.47</v>
      </c>
      <c r="AF1324">
        <v>110618084300</v>
      </c>
      <c r="AG1324">
        <v>110919710328.92</v>
      </c>
      <c r="AH1324">
        <v>3.3596000000000001E-2</v>
      </c>
      <c r="AI1324">
        <v>1.573E-3</v>
      </c>
    </row>
    <row r="1325" spans="1:35" x14ac:dyDescent="0.35">
      <c r="A1325" t="s">
        <v>1</v>
      </c>
      <c r="B1325">
        <v>6500</v>
      </c>
      <c r="C1325">
        <v>48</v>
      </c>
      <c r="D1325">
        <v>11</v>
      </c>
      <c r="E1325">
        <v>0</v>
      </c>
      <c r="F1325">
        <v>262064526</v>
      </c>
      <c r="G1325">
        <v>312868.15999999997</v>
      </c>
      <c r="H1325">
        <v>257072907.06999999</v>
      </c>
      <c r="I1325">
        <v>261750252.91</v>
      </c>
      <c r="J1325">
        <v>0.194407</v>
      </c>
      <c r="K1325">
        <v>6.3999999999999997E-5</v>
      </c>
      <c r="M1325" t="s">
        <v>2</v>
      </c>
      <c r="N1325">
        <v>6250</v>
      </c>
      <c r="O1325">
        <v>42</v>
      </c>
      <c r="P1325">
        <v>426</v>
      </c>
      <c r="Q1325">
        <v>0</v>
      </c>
      <c r="R1325">
        <v>6043244594</v>
      </c>
      <c r="S1325">
        <v>7342656.4500000002</v>
      </c>
      <c r="T1325">
        <v>5964691713.1199999</v>
      </c>
      <c r="U1325">
        <v>6001243023.8599997</v>
      </c>
      <c r="V1325">
        <v>0.13258800000000001</v>
      </c>
      <c r="W1325">
        <v>6.6692000000000001E-2</v>
      </c>
      <c r="Y1325" t="s">
        <v>2</v>
      </c>
      <c r="Z1325">
        <v>5250</v>
      </c>
      <c r="AA1325">
        <v>48</v>
      </c>
      <c r="AB1325">
        <v>378</v>
      </c>
      <c r="AC1325">
        <v>0</v>
      </c>
      <c r="AD1325">
        <v>5515490337</v>
      </c>
      <c r="AE1325">
        <v>8274357.7999999998</v>
      </c>
      <c r="AF1325">
        <v>5492107474</v>
      </c>
      <c r="AG1325">
        <v>5492107474</v>
      </c>
      <c r="AH1325">
        <v>3.2381E-2</v>
      </c>
      <c r="AI1325">
        <v>3.2381E-2</v>
      </c>
    </row>
    <row r="1326" spans="1:35" x14ac:dyDescent="0.35">
      <c r="A1326" t="s">
        <v>2</v>
      </c>
      <c r="B1326">
        <v>6250</v>
      </c>
      <c r="C1326">
        <v>48</v>
      </c>
      <c r="D1326">
        <v>17</v>
      </c>
      <c r="E1326">
        <v>0</v>
      </c>
      <c r="F1326">
        <v>178855281</v>
      </c>
      <c r="G1326">
        <v>224552.71</v>
      </c>
      <c r="H1326">
        <v>177043144.19</v>
      </c>
      <c r="I1326">
        <v>177352032.59</v>
      </c>
      <c r="J1326">
        <v>0.101467</v>
      </c>
      <c r="K1326">
        <v>8.2498000000000002E-2</v>
      </c>
      <c r="M1326" t="s">
        <v>0</v>
      </c>
      <c r="N1326">
        <v>5750</v>
      </c>
      <c r="O1326">
        <v>120</v>
      </c>
      <c r="P1326">
        <v>40</v>
      </c>
      <c r="Q1326">
        <v>0</v>
      </c>
      <c r="R1326">
        <v>369289716</v>
      </c>
      <c r="S1326">
        <v>803874.86</v>
      </c>
      <c r="T1326">
        <v>364726867.49000001</v>
      </c>
      <c r="U1326">
        <v>367686841.13</v>
      </c>
      <c r="V1326">
        <v>0.115536</v>
      </c>
      <c r="W1326">
        <v>2.5656999999999999E-2</v>
      </c>
      <c r="Y1326" t="s">
        <v>1</v>
      </c>
      <c r="Z1326">
        <v>5750</v>
      </c>
      <c r="AA1326">
        <v>48</v>
      </c>
      <c r="AB1326">
        <v>295</v>
      </c>
      <c r="AC1326">
        <v>0</v>
      </c>
      <c r="AD1326">
        <v>7493639201</v>
      </c>
      <c r="AE1326">
        <v>10222144.51</v>
      </c>
      <c r="AF1326">
        <v>7326281085</v>
      </c>
      <c r="AG1326">
        <v>7349433704.3299999</v>
      </c>
      <c r="AH1326">
        <v>0.224546</v>
      </c>
      <c r="AI1326">
        <v>0.194665</v>
      </c>
    </row>
    <row r="1327" spans="1:35" x14ac:dyDescent="0.35">
      <c r="A1327" t="s">
        <v>1</v>
      </c>
      <c r="B1327">
        <v>2000</v>
      </c>
      <c r="C1327">
        <v>48</v>
      </c>
      <c r="D1327">
        <v>279</v>
      </c>
      <c r="E1327">
        <v>0</v>
      </c>
      <c r="F1327">
        <v>9395823986</v>
      </c>
      <c r="G1327">
        <v>23380718.969999999</v>
      </c>
      <c r="H1327">
        <v>9318300570.1299992</v>
      </c>
      <c r="I1327">
        <v>9368748765.2999992</v>
      </c>
      <c r="J1327">
        <v>6.6999000000000003E-2</v>
      </c>
      <c r="K1327">
        <v>4.7080000000000004E-3</v>
      </c>
      <c r="M1327" t="s">
        <v>1</v>
      </c>
      <c r="N1327">
        <v>3000</v>
      </c>
      <c r="O1327">
        <v>36</v>
      </c>
      <c r="P1327">
        <v>112</v>
      </c>
      <c r="Q1327">
        <v>0</v>
      </c>
      <c r="R1327">
        <v>3571656757</v>
      </c>
      <c r="S1327">
        <v>7433167.04</v>
      </c>
      <c r="T1327">
        <v>3513163033.3400002</v>
      </c>
      <c r="U1327">
        <v>3533731833.3000002</v>
      </c>
      <c r="V1327">
        <v>0.15868599999999999</v>
      </c>
      <c r="W1327">
        <v>9.7769999999999996E-2</v>
      </c>
      <c r="Y1327" t="s">
        <v>1</v>
      </c>
      <c r="Z1327">
        <v>6000</v>
      </c>
      <c r="AA1327">
        <v>48</v>
      </c>
      <c r="AB1327">
        <v>13</v>
      </c>
      <c r="AC1327">
        <v>0</v>
      </c>
      <c r="AD1327">
        <v>308329508</v>
      </c>
      <c r="AE1327">
        <v>404898.37</v>
      </c>
      <c r="AF1327">
        <v>308050870</v>
      </c>
      <c r="AG1327">
        <v>308050870</v>
      </c>
      <c r="AH1327">
        <v>-4.9249999999999997E-3</v>
      </c>
      <c r="AI1327">
        <v>-4.9249999999999997E-3</v>
      </c>
    </row>
    <row r="1328" spans="1:35" x14ac:dyDescent="0.35">
      <c r="A1328" t="s">
        <v>1</v>
      </c>
      <c r="B1328">
        <v>4250</v>
      </c>
      <c r="C1328">
        <v>5</v>
      </c>
      <c r="D1328">
        <v>841</v>
      </c>
      <c r="E1328">
        <v>0</v>
      </c>
      <c r="F1328">
        <v>31538500000</v>
      </c>
      <c r="G1328">
        <v>44160578.840000004</v>
      </c>
      <c r="H1328">
        <v>31463373083.619999</v>
      </c>
      <c r="I1328">
        <v>31488728078.18</v>
      </c>
      <c r="J1328">
        <v>1.1719E-2</v>
      </c>
      <c r="K1328">
        <v>2.1329999999999999E-3</v>
      </c>
      <c r="M1328" t="s">
        <v>2</v>
      </c>
      <c r="N1328">
        <v>5250</v>
      </c>
      <c r="O1328">
        <v>54</v>
      </c>
      <c r="P1328">
        <v>38</v>
      </c>
      <c r="Q1328">
        <v>0</v>
      </c>
      <c r="R1328">
        <v>432473107</v>
      </c>
      <c r="S1328">
        <v>711358.49</v>
      </c>
      <c r="T1328">
        <v>428093218.54000002</v>
      </c>
      <c r="U1328">
        <v>430987205</v>
      </c>
      <c r="V1328">
        <v>9.7174999999999997E-2</v>
      </c>
      <c r="W1328">
        <v>2.1281000000000001E-2</v>
      </c>
      <c r="Y1328" t="s">
        <v>2</v>
      </c>
      <c r="Z1328">
        <v>6000</v>
      </c>
      <c r="AA1328">
        <v>48</v>
      </c>
      <c r="AB1328">
        <v>7</v>
      </c>
      <c r="AC1328">
        <v>0</v>
      </c>
      <c r="AD1328">
        <v>67288266</v>
      </c>
      <c r="AE1328">
        <v>94270.12</v>
      </c>
      <c r="AF1328">
        <v>67155771</v>
      </c>
      <c r="AG1328">
        <v>67155771</v>
      </c>
      <c r="AH1328">
        <v>6.796E-3</v>
      </c>
      <c r="AI1328">
        <v>6.796E-3</v>
      </c>
    </row>
    <row r="1329" spans="1:35" x14ac:dyDescent="0.35">
      <c r="A1329" t="s">
        <v>0</v>
      </c>
      <c r="B1329">
        <v>4250</v>
      </c>
      <c r="C1329">
        <v>5</v>
      </c>
      <c r="D1329">
        <v>1909</v>
      </c>
      <c r="E1329">
        <v>0</v>
      </c>
      <c r="F1329">
        <v>62580300000</v>
      </c>
      <c r="G1329">
        <v>87561093.25</v>
      </c>
      <c r="H1329">
        <v>62481877881.220001</v>
      </c>
      <c r="I1329">
        <v>62491059300.559998</v>
      </c>
      <c r="J1329">
        <v>2.081E-3</v>
      </c>
      <c r="K1329">
        <v>3.2200000000000002E-4</v>
      </c>
      <c r="M1329" t="s">
        <v>2</v>
      </c>
      <c r="N1329">
        <v>4750</v>
      </c>
      <c r="O1329">
        <v>48</v>
      </c>
      <c r="P1329">
        <v>190</v>
      </c>
      <c r="Q1329">
        <v>0</v>
      </c>
      <c r="R1329">
        <v>2364825613</v>
      </c>
      <c r="S1329">
        <v>3893918.31</v>
      </c>
      <c r="T1329">
        <v>2342910814.0599999</v>
      </c>
      <c r="U1329">
        <v>2354875730.3899999</v>
      </c>
      <c r="V1329">
        <v>8.7707999999999994E-2</v>
      </c>
      <c r="W1329">
        <v>3.0301000000000002E-2</v>
      </c>
      <c r="Y1329" t="s">
        <v>1</v>
      </c>
      <c r="Z1329">
        <v>6500</v>
      </c>
      <c r="AA1329">
        <v>48</v>
      </c>
      <c r="AB1329">
        <v>1</v>
      </c>
      <c r="AC1329">
        <v>0</v>
      </c>
      <c r="AD1329">
        <v>27246316</v>
      </c>
      <c r="AE1329">
        <v>32489.49</v>
      </c>
      <c r="AF1329">
        <v>27213824</v>
      </c>
      <c r="AG1329">
        <v>27213824</v>
      </c>
      <c r="AH1329">
        <v>9.9999999999999995E-7</v>
      </c>
      <c r="AI1329">
        <v>9.9999999999999995E-7</v>
      </c>
    </row>
    <row r="1330" spans="1:35" x14ac:dyDescent="0.35">
      <c r="A1330" t="s">
        <v>1</v>
      </c>
      <c r="B1330">
        <v>4500</v>
      </c>
      <c r="C1330">
        <v>5</v>
      </c>
      <c r="D1330">
        <v>1311</v>
      </c>
      <c r="E1330">
        <v>0</v>
      </c>
      <c r="F1330">
        <v>50053500000</v>
      </c>
      <c r="G1330">
        <v>67052645.079999998</v>
      </c>
      <c r="H1330">
        <v>49929553660.5</v>
      </c>
      <c r="I1330">
        <v>49981734506.050003</v>
      </c>
      <c r="J1330">
        <v>1.3554999999999999E-2</v>
      </c>
      <c r="K1330">
        <v>1.129E-3</v>
      </c>
      <c r="M1330" t="s">
        <v>0</v>
      </c>
      <c r="N1330">
        <v>5250</v>
      </c>
      <c r="O1330">
        <v>48</v>
      </c>
      <c r="P1330">
        <v>1045</v>
      </c>
      <c r="Q1330">
        <v>0</v>
      </c>
      <c r="R1330">
        <v>23427200552</v>
      </c>
      <c r="S1330">
        <v>34743543.219999999</v>
      </c>
      <c r="T1330">
        <v>23235488760.23</v>
      </c>
      <c r="U1330">
        <v>23322714025.939999</v>
      </c>
      <c r="V1330">
        <v>7.7505000000000004E-2</v>
      </c>
      <c r="W1330">
        <v>3.5145000000000003E-2</v>
      </c>
      <c r="Y1330" t="s">
        <v>1</v>
      </c>
      <c r="Z1330">
        <v>3500</v>
      </c>
      <c r="AA1330">
        <v>42</v>
      </c>
      <c r="AB1330">
        <v>2074</v>
      </c>
      <c r="AC1330">
        <v>0</v>
      </c>
      <c r="AD1330">
        <v>75508353069</v>
      </c>
      <c r="AE1330">
        <v>145291944.47</v>
      </c>
      <c r="AF1330">
        <v>75114396992</v>
      </c>
      <c r="AG1330">
        <v>75330744235.210007</v>
      </c>
      <c r="AH1330">
        <v>3.8809999999999997E-2</v>
      </c>
      <c r="AI1330">
        <v>5.1240000000000001E-3</v>
      </c>
    </row>
    <row r="1331" spans="1:35" x14ac:dyDescent="0.35">
      <c r="A1331" t="s">
        <v>0</v>
      </c>
      <c r="B1331">
        <v>6250</v>
      </c>
      <c r="C1331">
        <v>144</v>
      </c>
      <c r="D1331">
        <v>6</v>
      </c>
      <c r="E1331">
        <v>0</v>
      </c>
      <c r="F1331">
        <v>31400780</v>
      </c>
      <c r="G1331">
        <v>71237.27</v>
      </c>
      <c r="H1331">
        <v>30587317.780000001</v>
      </c>
      <c r="I1331">
        <v>30785677.809999999</v>
      </c>
      <c r="J1331">
        <v>0.249527</v>
      </c>
      <c r="K1331">
        <v>0.189142</v>
      </c>
      <c r="M1331" t="s">
        <v>3</v>
      </c>
      <c r="N1331">
        <v>2500</v>
      </c>
      <c r="O1331">
        <v>54</v>
      </c>
      <c r="P1331">
        <v>85</v>
      </c>
      <c r="Q1331">
        <v>0</v>
      </c>
      <c r="R1331">
        <v>1758353281</v>
      </c>
      <c r="S1331">
        <v>4128637.47</v>
      </c>
      <c r="T1331">
        <v>1748103119.3</v>
      </c>
      <c r="U1331">
        <v>1753763622.03</v>
      </c>
      <c r="V1331">
        <v>4.0986000000000002E-2</v>
      </c>
      <c r="W1331">
        <v>3.1419999999999998E-3</v>
      </c>
      <c r="Y1331" t="s">
        <v>2</v>
      </c>
      <c r="Z1331">
        <v>5750</v>
      </c>
      <c r="AA1331">
        <v>48</v>
      </c>
      <c r="AB1331">
        <v>26</v>
      </c>
      <c r="AC1331">
        <v>0</v>
      </c>
      <c r="AD1331">
        <v>339522116</v>
      </c>
      <c r="AE1331">
        <v>469613.98</v>
      </c>
      <c r="AF1331">
        <v>339145059</v>
      </c>
      <c r="AG1331">
        <v>339145059</v>
      </c>
      <c r="AH1331">
        <v>-3.2759999999999998E-3</v>
      </c>
      <c r="AI1331">
        <v>-3.2759999999999998E-3</v>
      </c>
    </row>
    <row r="1332" spans="1:35" x14ac:dyDescent="0.35">
      <c r="A1332" t="s">
        <v>1</v>
      </c>
      <c r="B1332">
        <v>6250</v>
      </c>
      <c r="C1332">
        <v>48</v>
      </c>
      <c r="D1332">
        <v>93</v>
      </c>
      <c r="E1332">
        <v>0</v>
      </c>
      <c r="F1332">
        <v>2444941299</v>
      </c>
      <c r="G1332">
        <v>3085842.65</v>
      </c>
      <c r="H1332">
        <v>2401597924.4499998</v>
      </c>
      <c r="I1332">
        <v>2427692109.27</v>
      </c>
      <c r="J1332">
        <v>0.180641</v>
      </c>
      <c r="K1332">
        <v>6.7341999999999999E-2</v>
      </c>
      <c r="M1332" t="s">
        <v>2</v>
      </c>
      <c r="N1332">
        <v>5000</v>
      </c>
      <c r="O1332">
        <v>48</v>
      </c>
      <c r="P1332">
        <v>46</v>
      </c>
      <c r="Q1332">
        <v>0</v>
      </c>
      <c r="R1332">
        <v>546667748</v>
      </c>
      <c r="S1332">
        <v>926661.01</v>
      </c>
      <c r="T1332">
        <v>541540157.33000004</v>
      </c>
      <c r="U1332">
        <v>544539202.90999997</v>
      </c>
      <c r="V1332">
        <v>8.8415999999999995E-2</v>
      </c>
      <c r="W1332">
        <v>2.6065999999999999E-2</v>
      </c>
      <c r="Y1332" t="s">
        <v>0</v>
      </c>
      <c r="Z1332">
        <v>6500</v>
      </c>
      <c r="AA1332">
        <v>48</v>
      </c>
      <c r="AB1332">
        <v>7</v>
      </c>
      <c r="AC1332">
        <v>0</v>
      </c>
      <c r="AD1332">
        <v>137805129</v>
      </c>
      <c r="AE1332">
        <v>165750.65</v>
      </c>
      <c r="AF1332">
        <v>137678953</v>
      </c>
      <c r="AG1332">
        <v>137678953</v>
      </c>
      <c r="AH1332">
        <v>-3.4520000000000002E-3</v>
      </c>
      <c r="AI1332">
        <v>-3.4520000000000002E-3</v>
      </c>
    </row>
    <row r="1333" spans="1:35" x14ac:dyDescent="0.35">
      <c r="A1333" t="s">
        <v>3</v>
      </c>
      <c r="B1333">
        <v>4750</v>
      </c>
      <c r="C1333">
        <v>48</v>
      </c>
      <c r="D1333">
        <v>45</v>
      </c>
      <c r="E1333">
        <v>0</v>
      </c>
      <c r="F1333">
        <v>1016423229</v>
      </c>
      <c r="G1333">
        <v>1635711.97</v>
      </c>
      <c r="H1333">
        <v>1008083577.15</v>
      </c>
      <c r="I1333">
        <v>1011956688.1</v>
      </c>
      <c r="J1333">
        <v>7.6338000000000003E-2</v>
      </c>
      <c r="K1333">
        <v>3.2913999999999999E-2</v>
      </c>
      <c r="M1333" t="s">
        <v>0</v>
      </c>
      <c r="N1333">
        <v>5750</v>
      </c>
      <c r="O1333">
        <v>48</v>
      </c>
      <c r="P1333">
        <v>85</v>
      </c>
      <c r="Q1333">
        <v>0</v>
      </c>
      <c r="R1333">
        <v>1670816201</v>
      </c>
      <c r="S1333">
        <v>2307153.34</v>
      </c>
      <c r="T1333">
        <v>1654160956.9200001</v>
      </c>
      <c r="U1333">
        <v>1661110607.8299999</v>
      </c>
      <c r="V1333">
        <v>9.8319000000000004E-2</v>
      </c>
      <c r="W1333">
        <v>5.1860999999999997E-2</v>
      </c>
      <c r="Y1333" t="s">
        <v>0</v>
      </c>
      <c r="Z1333">
        <v>6250</v>
      </c>
      <c r="AA1333">
        <v>48</v>
      </c>
      <c r="AB1333">
        <v>418</v>
      </c>
      <c r="AC1333">
        <v>0</v>
      </c>
      <c r="AD1333">
        <v>9973160832</v>
      </c>
      <c r="AE1333">
        <v>12527855.24</v>
      </c>
      <c r="AF1333">
        <v>9919092127</v>
      </c>
      <c r="AG1333">
        <v>9956530170.4799995</v>
      </c>
      <c r="AH1333">
        <v>4.8854000000000002E-2</v>
      </c>
      <c r="AI1333">
        <v>4.9249999999999997E-3</v>
      </c>
    </row>
    <row r="1334" spans="1:35" x14ac:dyDescent="0.35">
      <c r="A1334" t="s">
        <v>3</v>
      </c>
      <c r="B1334">
        <v>4500</v>
      </c>
      <c r="C1334">
        <v>48</v>
      </c>
      <c r="D1334">
        <v>21</v>
      </c>
      <c r="E1334">
        <v>0</v>
      </c>
      <c r="F1334">
        <v>463311141</v>
      </c>
      <c r="G1334">
        <v>773114.09</v>
      </c>
      <c r="H1334">
        <v>460684425.27999997</v>
      </c>
      <c r="I1334">
        <v>462538025.33999997</v>
      </c>
      <c r="J1334">
        <v>4.6967000000000002E-2</v>
      </c>
      <c r="K1334">
        <v>0</v>
      </c>
      <c r="M1334" t="s">
        <v>2</v>
      </c>
      <c r="N1334">
        <v>5250</v>
      </c>
      <c r="O1334">
        <v>48</v>
      </c>
      <c r="P1334">
        <v>73</v>
      </c>
      <c r="Q1334">
        <v>0</v>
      </c>
      <c r="R1334">
        <v>924448508</v>
      </c>
      <c r="S1334">
        <v>1439693.62</v>
      </c>
      <c r="T1334">
        <v>913943368.72000003</v>
      </c>
      <c r="U1334">
        <v>918951226.13</v>
      </c>
      <c r="V1334">
        <v>0.11153200000000001</v>
      </c>
      <c r="W1334">
        <v>5.1416999999999997E-2</v>
      </c>
      <c r="Y1334" t="s">
        <v>0</v>
      </c>
      <c r="Z1334">
        <v>7750</v>
      </c>
      <c r="AA1334">
        <v>42</v>
      </c>
      <c r="AB1334">
        <v>109</v>
      </c>
      <c r="AC1334">
        <v>0</v>
      </c>
      <c r="AD1334">
        <v>2606444704</v>
      </c>
      <c r="AE1334">
        <v>2452377.92</v>
      </c>
      <c r="AF1334">
        <v>2558123454</v>
      </c>
      <c r="AG1334">
        <v>2604227083.8699999</v>
      </c>
      <c r="AH1334">
        <v>0.19189200000000001</v>
      </c>
      <c r="AI1334">
        <v>-1.0809999999999999E-3</v>
      </c>
    </row>
    <row r="1335" spans="1:35" x14ac:dyDescent="0.35">
      <c r="A1335" t="s">
        <v>3</v>
      </c>
      <c r="B1335">
        <v>5250</v>
      </c>
      <c r="C1335">
        <v>42</v>
      </c>
      <c r="D1335">
        <v>81</v>
      </c>
      <c r="E1335">
        <v>0</v>
      </c>
      <c r="F1335">
        <v>2033350864</v>
      </c>
      <c r="G1335">
        <v>2963648.92</v>
      </c>
      <c r="H1335">
        <v>2022714949.1099999</v>
      </c>
      <c r="I1335">
        <v>2030353473.7</v>
      </c>
      <c r="J1335">
        <v>4.4351000000000002E-2</v>
      </c>
      <c r="K1335">
        <v>1.9900000000000001E-4</v>
      </c>
      <c r="M1335" t="s">
        <v>1</v>
      </c>
      <c r="N1335">
        <v>5000</v>
      </c>
      <c r="O1335">
        <v>48</v>
      </c>
      <c r="P1335">
        <v>86</v>
      </c>
      <c r="Q1335">
        <v>0</v>
      </c>
      <c r="R1335">
        <v>2207375681</v>
      </c>
      <c r="S1335">
        <v>3448255.84</v>
      </c>
      <c r="T1335">
        <v>2162732319.1500001</v>
      </c>
      <c r="U1335">
        <v>2178182084.9499998</v>
      </c>
      <c r="V1335">
        <v>0.20233400000000001</v>
      </c>
      <c r="W1335">
        <v>0.13132199999999999</v>
      </c>
      <c r="Y1335" t="s">
        <v>0</v>
      </c>
      <c r="Z1335">
        <v>6250</v>
      </c>
      <c r="AA1335">
        <v>144</v>
      </c>
      <c r="AB1335">
        <v>6</v>
      </c>
      <c r="AC1335">
        <v>0</v>
      </c>
      <c r="AD1335">
        <v>31441768</v>
      </c>
      <c r="AE1335">
        <v>70810.34</v>
      </c>
      <c r="AF1335">
        <v>31400780</v>
      </c>
      <c r="AG1335">
        <v>31400780</v>
      </c>
      <c r="AH1335">
        <v>-1.1441E-2</v>
      </c>
      <c r="AI1335">
        <v>-1.1441E-2</v>
      </c>
    </row>
    <row r="1336" spans="1:35" x14ac:dyDescent="0.35">
      <c r="A1336" t="s">
        <v>0</v>
      </c>
      <c r="B1336">
        <v>6750</v>
      </c>
      <c r="C1336">
        <v>48</v>
      </c>
      <c r="D1336">
        <v>139</v>
      </c>
      <c r="E1336">
        <v>0</v>
      </c>
      <c r="F1336">
        <v>3220982281</v>
      </c>
      <c r="G1336">
        <v>3712861.71</v>
      </c>
      <c r="H1336">
        <v>3189347811.4499998</v>
      </c>
      <c r="I1336">
        <v>3204273325.4099998</v>
      </c>
      <c r="J1336">
        <v>9.9205000000000002E-2</v>
      </c>
      <c r="K1336">
        <v>4.7357999999999997E-2</v>
      </c>
      <c r="M1336" t="s">
        <v>3</v>
      </c>
      <c r="N1336">
        <v>5250</v>
      </c>
      <c r="O1336">
        <v>42</v>
      </c>
      <c r="P1336">
        <v>87</v>
      </c>
      <c r="Q1336">
        <v>0</v>
      </c>
      <c r="R1336">
        <v>1886557976</v>
      </c>
      <c r="S1336">
        <v>2737256.17</v>
      </c>
      <c r="T1336">
        <v>1876185494.46</v>
      </c>
      <c r="U1336">
        <v>1883663363.28</v>
      </c>
      <c r="V1336">
        <v>4.7499E-2</v>
      </c>
      <c r="W1336">
        <v>1E-3</v>
      </c>
      <c r="Y1336" t="s">
        <v>1</v>
      </c>
      <c r="Z1336">
        <v>3750</v>
      </c>
      <c r="AA1336">
        <v>42</v>
      </c>
      <c r="AB1336">
        <v>4389</v>
      </c>
      <c r="AC1336">
        <v>0</v>
      </c>
      <c r="AD1336">
        <v>159751520253</v>
      </c>
      <c r="AE1336">
        <v>294830467.26999998</v>
      </c>
      <c r="AF1336">
        <v>158736305899</v>
      </c>
      <c r="AG1336">
        <v>159228219451.09</v>
      </c>
      <c r="AH1336">
        <v>5.2790999999999998E-2</v>
      </c>
      <c r="AI1336">
        <v>1.7028000000000001E-2</v>
      </c>
    </row>
    <row r="1337" spans="1:35" x14ac:dyDescent="0.35">
      <c r="A1337" t="s">
        <v>3</v>
      </c>
      <c r="B1337">
        <v>6250</v>
      </c>
      <c r="C1337">
        <v>36</v>
      </c>
      <c r="D1337">
        <v>81</v>
      </c>
      <c r="E1337">
        <v>0</v>
      </c>
      <c r="F1337">
        <v>1913926032</v>
      </c>
      <c r="G1337">
        <v>2256661.75</v>
      </c>
      <c r="H1337">
        <v>1901422137.9400001</v>
      </c>
      <c r="I1337">
        <v>1911585710.3</v>
      </c>
      <c r="J1337">
        <v>6.2390000000000001E-2</v>
      </c>
      <c r="K1337">
        <v>5.2400000000000005E-4</v>
      </c>
      <c r="M1337" t="s">
        <v>3</v>
      </c>
      <c r="N1337">
        <v>4750</v>
      </c>
      <c r="O1337">
        <v>42</v>
      </c>
      <c r="P1337">
        <v>67</v>
      </c>
      <c r="Q1337">
        <v>0</v>
      </c>
      <c r="R1337">
        <v>1571120326</v>
      </c>
      <c r="S1337">
        <v>2465103.04</v>
      </c>
      <c r="T1337">
        <v>1562830061.25</v>
      </c>
      <c r="U1337">
        <v>1568135326.1600001</v>
      </c>
      <c r="V1337">
        <v>4.3596000000000003E-2</v>
      </c>
      <c r="W1337">
        <v>3.9639999999999996E-3</v>
      </c>
      <c r="Y1337" t="s">
        <v>1</v>
      </c>
      <c r="Z1337">
        <v>3250</v>
      </c>
      <c r="AA1337">
        <v>42</v>
      </c>
      <c r="AB1337">
        <v>2420</v>
      </c>
      <c r="AC1337">
        <v>0</v>
      </c>
      <c r="AD1337">
        <v>80790418226</v>
      </c>
      <c r="AE1337">
        <v>160891352.53</v>
      </c>
      <c r="AF1337">
        <v>80282317260</v>
      </c>
      <c r="AG1337">
        <v>80525537464.589996</v>
      </c>
      <c r="AH1337">
        <v>5.0369999999999998E-2</v>
      </c>
      <c r="AI1337">
        <v>1.5337E-2</v>
      </c>
    </row>
    <row r="1338" spans="1:35" x14ac:dyDescent="0.35">
      <c r="A1338" t="s">
        <v>3</v>
      </c>
      <c r="B1338">
        <v>6500</v>
      </c>
      <c r="C1338">
        <v>42</v>
      </c>
      <c r="D1338">
        <v>13</v>
      </c>
      <c r="E1338">
        <v>0</v>
      </c>
      <c r="F1338">
        <v>317704496</v>
      </c>
      <c r="G1338">
        <v>372143.97</v>
      </c>
      <c r="H1338">
        <v>316215525.69</v>
      </c>
      <c r="I1338">
        <v>317332346.16000003</v>
      </c>
      <c r="J1338">
        <v>4.1376999999999997E-2</v>
      </c>
      <c r="K1338">
        <v>0</v>
      </c>
      <c r="M1338" t="s">
        <v>1</v>
      </c>
      <c r="N1338">
        <v>5250</v>
      </c>
      <c r="O1338">
        <v>48</v>
      </c>
      <c r="P1338">
        <v>424</v>
      </c>
      <c r="Q1338">
        <v>0</v>
      </c>
      <c r="R1338">
        <v>10318754371</v>
      </c>
      <c r="S1338">
        <v>15377046.789999999</v>
      </c>
      <c r="T1338">
        <v>10099973273.389999</v>
      </c>
      <c r="U1338">
        <v>10163865523.040001</v>
      </c>
      <c r="V1338">
        <v>0.21251200000000001</v>
      </c>
      <c r="W1338">
        <v>0.15070600000000001</v>
      </c>
      <c r="Y1338" t="s">
        <v>3</v>
      </c>
      <c r="Z1338">
        <v>4750</v>
      </c>
      <c r="AA1338">
        <v>48</v>
      </c>
      <c r="AB1338">
        <v>28</v>
      </c>
      <c r="AC1338">
        <v>0</v>
      </c>
      <c r="AD1338">
        <v>618232355</v>
      </c>
      <c r="AE1338">
        <v>992654.23</v>
      </c>
      <c r="AF1338">
        <v>617176147</v>
      </c>
      <c r="AG1338">
        <v>617176147</v>
      </c>
      <c r="AH1338">
        <v>1.2329999999999999E-3</v>
      </c>
      <c r="AI1338">
        <v>1.2329999999999999E-3</v>
      </c>
    </row>
    <row r="1339" spans="1:35" x14ac:dyDescent="0.35">
      <c r="A1339" t="s">
        <v>3</v>
      </c>
      <c r="B1339">
        <v>6250</v>
      </c>
      <c r="C1339">
        <v>42</v>
      </c>
      <c r="D1339">
        <v>99</v>
      </c>
      <c r="E1339">
        <v>0</v>
      </c>
      <c r="F1339">
        <v>2512013458</v>
      </c>
      <c r="G1339">
        <v>3047242.66</v>
      </c>
      <c r="H1339">
        <v>2497688643.6300001</v>
      </c>
      <c r="I1339">
        <v>2508352256.0900002</v>
      </c>
      <c r="J1339">
        <v>5.2562999999999999E-2</v>
      </c>
      <c r="K1339">
        <v>2.9290000000000002E-3</v>
      </c>
      <c r="M1339" t="s">
        <v>0</v>
      </c>
      <c r="N1339">
        <v>2750</v>
      </c>
      <c r="O1339">
        <v>42</v>
      </c>
      <c r="P1339">
        <v>2313</v>
      </c>
      <c r="Q1339">
        <v>0</v>
      </c>
      <c r="R1339">
        <v>61089498220</v>
      </c>
      <c r="S1339">
        <v>131074427.20999999</v>
      </c>
      <c r="T1339">
        <v>60666798730.190002</v>
      </c>
      <c r="U1339">
        <v>60924376718.129997</v>
      </c>
      <c r="V1339">
        <v>5.5803999999999999E-2</v>
      </c>
      <c r="W1339">
        <v>6.6680000000000003E-3</v>
      </c>
      <c r="Y1339" t="s">
        <v>3</v>
      </c>
      <c r="Z1339">
        <v>4500</v>
      </c>
      <c r="AA1339">
        <v>48</v>
      </c>
      <c r="AB1339">
        <v>14</v>
      </c>
      <c r="AC1339">
        <v>0</v>
      </c>
      <c r="AD1339">
        <v>324355130</v>
      </c>
      <c r="AE1339">
        <v>540462.63</v>
      </c>
      <c r="AF1339">
        <v>323740374</v>
      </c>
      <c r="AG1339">
        <v>323740374</v>
      </c>
      <c r="AH1339">
        <v>2.745E-3</v>
      </c>
      <c r="AI1339">
        <v>2.745E-3</v>
      </c>
    </row>
    <row r="1340" spans="1:35" x14ac:dyDescent="0.35">
      <c r="A1340" t="s">
        <v>3</v>
      </c>
      <c r="B1340">
        <v>6000</v>
      </c>
      <c r="C1340">
        <v>42</v>
      </c>
      <c r="D1340">
        <v>43</v>
      </c>
      <c r="E1340">
        <v>0</v>
      </c>
      <c r="F1340">
        <v>987706821</v>
      </c>
      <c r="G1340">
        <v>1262701.23</v>
      </c>
      <c r="H1340">
        <v>981506967.13</v>
      </c>
      <c r="I1340">
        <v>986327135.98000002</v>
      </c>
      <c r="J1340">
        <v>5.8361000000000003E-2</v>
      </c>
      <c r="K1340">
        <v>1.42E-3</v>
      </c>
      <c r="M1340" t="s">
        <v>2</v>
      </c>
      <c r="N1340">
        <v>5500</v>
      </c>
      <c r="O1340">
        <v>48</v>
      </c>
      <c r="P1340">
        <v>25</v>
      </c>
      <c r="Q1340">
        <v>0</v>
      </c>
      <c r="R1340">
        <v>293471257</v>
      </c>
      <c r="S1340">
        <v>464596.01</v>
      </c>
      <c r="T1340">
        <v>290939800.88999999</v>
      </c>
      <c r="U1340">
        <v>292559692.82999998</v>
      </c>
      <c r="V1340">
        <v>8.1315999999999999E-2</v>
      </c>
      <c r="W1340">
        <v>1.8124000000000001E-2</v>
      </c>
      <c r="Y1340" t="s">
        <v>3</v>
      </c>
      <c r="Z1340">
        <v>5000</v>
      </c>
      <c r="AA1340">
        <v>48</v>
      </c>
      <c r="AB1340">
        <v>19</v>
      </c>
      <c r="AC1340">
        <v>0</v>
      </c>
      <c r="AD1340">
        <v>439722634</v>
      </c>
      <c r="AE1340">
        <v>675957.06</v>
      </c>
      <c r="AF1340">
        <v>438949519</v>
      </c>
      <c r="AG1340">
        <v>438949519</v>
      </c>
      <c r="AH1340">
        <v>2.6480000000000002E-3</v>
      </c>
      <c r="AI1340">
        <v>2.6480000000000002E-3</v>
      </c>
    </row>
    <row r="1341" spans="1:35" x14ac:dyDescent="0.35">
      <c r="A1341" t="s">
        <v>3</v>
      </c>
      <c r="B1341">
        <v>5750</v>
      </c>
      <c r="C1341">
        <v>42</v>
      </c>
      <c r="D1341">
        <v>153</v>
      </c>
      <c r="E1341">
        <v>0</v>
      </c>
      <c r="F1341">
        <v>3424511528</v>
      </c>
      <c r="G1341">
        <v>4620503.6100000003</v>
      </c>
      <c r="H1341">
        <v>3407324195.1500001</v>
      </c>
      <c r="I1341">
        <v>3419871840.71</v>
      </c>
      <c r="J1341">
        <v>4.3158000000000002E-2</v>
      </c>
      <c r="K1341">
        <v>6.7000000000000002E-5</v>
      </c>
      <c r="M1341" t="s">
        <v>3</v>
      </c>
      <c r="N1341">
        <v>4250</v>
      </c>
      <c r="O1341">
        <v>42</v>
      </c>
      <c r="P1341">
        <v>83</v>
      </c>
      <c r="Q1341">
        <v>0</v>
      </c>
      <c r="R1341">
        <v>2053618037</v>
      </c>
      <c r="S1341">
        <v>3497179.78</v>
      </c>
      <c r="T1341">
        <v>2044596442.5699999</v>
      </c>
      <c r="U1341">
        <v>2050120766.26</v>
      </c>
      <c r="V1341">
        <v>3.1808000000000003E-2</v>
      </c>
      <c r="W1341">
        <v>9.9999999999999995E-7</v>
      </c>
      <c r="Y1341" t="s">
        <v>3</v>
      </c>
      <c r="Z1341">
        <v>4500</v>
      </c>
      <c r="AA1341">
        <v>42</v>
      </c>
      <c r="AB1341">
        <v>17</v>
      </c>
      <c r="AC1341">
        <v>0</v>
      </c>
      <c r="AD1341">
        <v>428140372</v>
      </c>
      <c r="AE1341">
        <v>697930.06</v>
      </c>
      <c r="AF1341">
        <v>427310782</v>
      </c>
      <c r="AG1341">
        <v>427310782</v>
      </c>
      <c r="AH1341">
        <v>3.6840000000000002E-3</v>
      </c>
      <c r="AI1341">
        <v>3.6840000000000002E-3</v>
      </c>
    </row>
    <row r="1342" spans="1:35" x14ac:dyDescent="0.35">
      <c r="A1342" t="s">
        <v>3</v>
      </c>
      <c r="B1342">
        <v>5500</v>
      </c>
      <c r="C1342">
        <v>42</v>
      </c>
      <c r="D1342">
        <v>83</v>
      </c>
      <c r="E1342">
        <v>0</v>
      </c>
      <c r="F1342">
        <v>1941624282</v>
      </c>
      <c r="G1342">
        <v>2706025.5</v>
      </c>
      <c r="H1342">
        <v>1930984337.6400001</v>
      </c>
      <c r="I1342">
        <v>1938918111.6800001</v>
      </c>
      <c r="J1342">
        <v>4.7947999999999998E-2</v>
      </c>
      <c r="K1342">
        <v>9.9999999999999995E-7</v>
      </c>
      <c r="M1342" t="s">
        <v>3</v>
      </c>
      <c r="N1342">
        <v>4000</v>
      </c>
      <c r="O1342">
        <v>42</v>
      </c>
      <c r="P1342">
        <v>30</v>
      </c>
      <c r="Q1342">
        <v>0</v>
      </c>
      <c r="R1342">
        <v>700493938</v>
      </c>
      <c r="S1342">
        <v>1249806.6100000001</v>
      </c>
      <c r="T1342">
        <v>696873506.51999998</v>
      </c>
      <c r="U1342">
        <v>699244111.94000006</v>
      </c>
      <c r="V1342">
        <v>3.9863000000000003E-2</v>
      </c>
      <c r="W1342">
        <v>0</v>
      </c>
      <c r="Y1342" t="s">
        <v>3</v>
      </c>
      <c r="Z1342">
        <v>6250</v>
      </c>
      <c r="AA1342">
        <v>36</v>
      </c>
      <c r="AB1342">
        <v>100</v>
      </c>
      <c r="AC1342">
        <v>0</v>
      </c>
      <c r="AD1342">
        <v>2451144402</v>
      </c>
      <c r="AE1342">
        <v>2896202.18</v>
      </c>
      <c r="AF1342">
        <v>2446998883</v>
      </c>
      <c r="AG1342">
        <v>2446998883</v>
      </c>
      <c r="AH1342">
        <v>6.0990000000000003E-3</v>
      </c>
      <c r="AI1342">
        <v>6.0990000000000003E-3</v>
      </c>
    </row>
    <row r="1343" spans="1:35" x14ac:dyDescent="0.35">
      <c r="A1343" t="s">
        <v>1</v>
      </c>
      <c r="B1343">
        <v>3500</v>
      </c>
      <c r="C1343">
        <v>42</v>
      </c>
      <c r="D1343">
        <v>821</v>
      </c>
      <c r="E1343">
        <v>0</v>
      </c>
      <c r="F1343">
        <v>30713277668</v>
      </c>
      <c r="G1343">
        <v>59196020.530000001</v>
      </c>
      <c r="H1343">
        <v>30409312300.099998</v>
      </c>
      <c r="I1343">
        <v>30588120879.34</v>
      </c>
      <c r="J1343">
        <v>9.1550999999999993E-2</v>
      </c>
      <c r="K1343">
        <v>2.5468999999999999E-2</v>
      </c>
      <c r="M1343" t="s">
        <v>0</v>
      </c>
      <c r="N1343">
        <v>6250</v>
      </c>
      <c r="O1343">
        <v>120</v>
      </c>
      <c r="P1343">
        <v>6</v>
      </c>
      <c r="Q1343">
        <v>0</v>
      </c>
      <c r="R1343">
        <v>37796211</v>
      </c>
      <c r="S1343">
        <v>78876.179999999993</v>
      </c>
      <c r="T1343">
        <v>37480822.140000001</v>
      </c>
      <c r="U1343">
        <v>37717228.450000003</v>
      </c>
      <c r="V1343">
        <v>7.2559999999999999E-2</v>
      </c>
      <c r="W1343">
        <v>3.4E-5</v>
      </c>
      <c r="Y1343" t="s">
        <v>3</v>
      </c>
      <c r="Z1343">
        <v>6500</v>
      </c>
      <c r="AA1343">
        <v>42</v>
      </c>
      <c r="AB1343">
        <v>11</v>
      </c>
      <c r="AC1343">
        <v>0</v>
      </c>
      <c r="AD1343">
        <v>210911919</v>
      </c>
      <c r="AE1343">
        <v>245485.57</v>
      </c>
      <c r="AF1343">
        <v>210663718</v>
      </c>
      <c r="AG1343">
        <v>210663718</v>
      </c>
      <c r="AH1343">
        <v>1.54E-4</v>
      </c>
      <c r="AI1343">
        <v>1.54E-4</v>
      </c>
    </row>
    <row r="1344" spans="1:35" x14ac:dyDescent="0.35">
      <c r="A1344" t="s">
        <v>2</v>
      </c>
      <c r="B1344">
        <v>3750</v>
      </c>
      <c r="C1344">
        <v>42</v>
      </c>
      <c r="D1344">
        <v>169</v>
      </c>
      <c r="E1344">
        <v>0</v>
      </c>
      <c r="F1344">
        <v>3179995341</v>
      </c>
      <c r="G1344">
        <v>5979201.9000000004</v>
      </c>
      <c r="H1344">
        <v>3156446888.8699999</v>
      </c>
      <c r="I1344">
        <v>3169021409.96</v>
      </c>
      <c r="J1344">
        <v>6.4321000000000003E-2</v>
      </c>
      <c r="K1344">
        <v>1.8686000000000001E-2</v>
      </c>
      <c r="M1344" t="s">
        <v>1</v>
      </c>
      <c r="N1344">
        <v>2500</v>
      </c>
      <c r="O1344">
        <v>42</v>
      </c>
      <c r="P1344">
        <v>1384</v>
      </c>
      <c r="Q1344">
        <v>0</v>
      </c>
      <c r="R1344">
        <v>48356905936</v>
      </c>
      <c r="S1344">
        <v>108074824.43000001</v>
      </c>
      <c r="T1344">
        <v>47932764963.830002</v>
      </c>
      <c r="U1344">
        <v>48198209207.089996</v>
      </c>
      <c r="V1344">
        <v>7.5674000000000005E-2</v>
      </c>
      <c r="W1344">
        <v>1.2489999999999999E-2</v>
      </c>
      <c r="Y1344" t="s">
        <v>3</v>
      </c>
      <c r="Z1344">
        <v>6250</v>
      </c>
      <c r="AA1344">
        <v>42</v>
      </c>
      <c r="AB1344">
        <v>64</v>
      </c>
      <c r="AC1344">
        <v>0</v>
      </c>
      <c r="AD1344">
        <v>1525195706</v>
      </c>
      <c r="AE1344">
        <v>1852122.68</v>
      </c>
      <c r="AF1344">
        <v>1523220336</v>
      </c>
      <c r="AG1344">
        <v>1523220336</v>
      </c>
      <c r="AH1344">
        <v>9.6900000000000003E-4</v>
      </c>
      <c r="AI1344">
        <v>9.6900000000000003E-4</v>
      </c>
    </row>
    <row r="1345" spans="1:35" x14ac:dyDescent="0.35">
      <c r="A1345" t="s">
        <v>0</v>
      </c>
      <c r="B1345">
        <v>3000</v>
      </c>
      <c r="C1345">
        <v>42</v>
      </c>
      <c r="D1345">
        <v>661</v>
      </c>
      <c r="E1345">
        <v>0</v>
      </c>
      <c r="F1345">
        <v>13489829720</v>
      </c>
      <c r="G1345">
        <v>27941849.629999999</v>
      </c>
      <c r="H1345">
        <v>13384797676.290001</v>
      </c>
      <c r="I1345">
        <v>13432882589.690001</v>
      </c>
      <c r="J1345">
        <v>6.6461000000000006E-2</v>
      </c>
      <c r="K1345">
        <v>2.5499000000000001E-2</v>
      </c>
      <c r="M1345" t="s">
        <v>3</v>
      </c>
      <c r="N1345">
        <v>4750</v>
      </c>
      <c r="O1345">
        <v>48</v>
      </c>
      <c r="P1345">
        <v>8</v>
      </c>
      <c r="Q1345">
        <v>0</v>
      </c>
      <c r="R1345">
        <v>171453442</v>
      </c>
      <c r="S1345">
        <v>272465.99</v>
      </c>
      <c r="T1345">
        <v>170666767.63999999</v>
      </c>
      <c r="U1345">
        <v>171180974.25999999</v>
      </c>
      <c r="V1345">
        <v>3.5402000000000003E-2</v>
      </c>
      <c r="W1345">
        <v>0</v>
      </c>
      <c r="Y1345" t="s">
        <v>3</v>
      </c>
      <c r="Z1345">
        <v>6000</v>
      </c>
      <c r="AA1345">
        <v>42</v>
      </c>
      <c r="AB1345">
        <v>38</v>
      </c>
      <c r="AC1345">
        <v>0</v>
      </c>
      <c r="AD1345">
        <v>840423407</v>
      </c>
      <c r="AE1345">
        <v>1070846.53</v>
      </c>
      <c r="AF1345">
        <v>839263716</v>
      </c>
      <c r="AG1345">
        <v>839263716</v>
      </c>
      <c r="AH1345">
        <v>1.268E-3</v>
      </c>
      <c r="AI1345">
        <v>1.268E-3</v>
      </c>
    </row>
    <row r="1346" spans="1:35" x14ac:dyDescent="0.35">
      <c r="A1346" t="s">
        <v>2</v>
      </c>
      <c r="B1346">
        <v>3500</v>
      </c>
      <c r="C1346">
        <v>42</v>
      </c>
      <c r="D1346">
        <v>125</v>
      </c>
      <c r="E1346">
        <v>0</v>
      </c>
      <c r="F1346">
        <v>2078989505</v>
      </c>
      <c r="G1346">
        <v>4139103.27</v>
      </c>
      <c r="H1346">
        <v>2060837706.71</v>
      </c>
      <c r="I1346">
        <v>2069094212.3199999</v>
      </c>
      <c r="J1346">
        <v>7.7950000000000005E-2</v>
      </c>
      <c r="K1346">
        <v>3.2724000000000003E-2</v>
      </c>
      <c r="M1346" t="s">
        <v>3</v>
      </c>
      <c r="N1346">
        <v>4500</v>
      </c>
      <c r="O1346">
        <v>48</v>
      </c>
      <c r="P1346">
        <v>1</v>
      </c>
      <c r="Q1346">
        <v>0</v>
      </c>
      <c r="R1346">
        <v>19060503</v>
      </c>
      <c r="S1346">
        <v>31408.97</v>
      </c>
      <c r="T1346">
        <v>18971876.84</v>
      </c>
      <c r="U1346">
        <v>19029094.030000001</v>
      </c>
      <c r="V1346">
        <v>3.5434E-2</v>
      </c>
      <c r="W1346">
        <v>0</v>
      </c>
      <c r="Y1346" t="s">
        <v>3</v>
      </c>
      <c r="Z1346">
        <v>5750</v>
      </c>
      <c r="AA1346">
        <v>42</v>
      </c>
      <c r="AB1346">
        <v>158</v>
      </c>
      <c r="AC1346">
        <v>0</v>
      </c>
      <c r="AD1346">
        <v>3520677957</v>
      </c>
      <c r="AE1346">
        <v>4728929.82</v>
      </c>
      <c r="AF1346">
        <v>3514558434</v>
      </c>
      <c r="AG1346">
        <v>3514558434</v>
      </c>
      <c r="AH1346">
        <v>4.7289999999999997E-3</v>
      </c>
      <c r="AI1346">
        <v>4.7289999999999997E-3</v>
      </c>
    </row>
    <row r="1347" spans="1:35" x14ac:dyDescent="0.35">
      <c r="A1347" t="s">
        <v>3</v>
      </c>
      <c r="B1347">
        <v>5750</v>
      </c>
      <c r="C1347">
        <v>48</v>
      </c>
      <c r="D1347">
        <v>17</v>
      </c>
      <c r="E1347">
        <v>0</v>
      </c>
      <c r="F1347">
        <v>330284181</v>
      </c>
      <c r="G1347">
        <v>456180.25</v>
      </c>
      <c r="H1347">
        <v>328743043.44999999</v>
      </c>
      <c r="I1347">
        <v>329827992.16000003</v>
      </c>
      <c r="J1347">
        <v>3.8714999999999999E-2</v>
      </c>
      <c r="K1347">
        <v>0</v>
      </c>
      <c r="M1347" t="s">
        <v>0</v>
      </c>
      <c r="N1347">
        <v>2750</v>
      </c>
      <c r="O1347">
        <v>84</v>
      </c>
      <c r="P1347">
        <v>40</v>
      </c>
      <c r="Q1347">
        <v>0</v>
      </c>
      <c r="R1347">
        <v>855162658</v>
      </c>
      <c r="S1347">
        <v>2117726.98</v>
      </c>
      <c r="T1347">
        <v>849128402.30999994</v>
      </c>
      <c r="U1347">
        <v>853009106.55999994</v>
      </c>
      <c r="V1347">
        <v>5.3594999999999997E-2</v>
      </c>
      <c r="W1347">
        <v>5.0299999999999997E-4</v>
      </c>
      <c r="Y1347" t="s">
        <v>3</v>
      </c>
      <c r="Z1347">
        <v>5500</v>
      </c>
      <c r="AA1347">
        <v>42</v>
      </c>
      <c r="AB1347">
        <v>86</v>
      </c>
      <c r="AC1347">
        <v>0</v>
      </c>
      <c r="AD1347">
        <v>1983210178</v>
      </c>
      <c r="AE1347">
        <v>2752039.97</v>
      </c>
      <c r="AF1347">
        <v>1980153352</v>
      </c>
      <c r="AG1347">
        <v>1980153352</v>
      </c>
      <c r="AH1347">
        <v>1.843E-3</v>
      </c>
      <c r="AI1347">
        <v>1.843E-3</v>
      </c>
    </row>
    <row r="1348" spans="1:35" x14ac:dyDescent="0.35">
      <c r="A1348" t="s">
        <v>3</v>
      </c>
      <c r="B1348">
        <v>5500</v>
      </c>
      <c r="C1348">
        <v>48</v>
      </c>
      <c r="D1348">
        <v>7</v>
      </c>
      <c r="E1348">
        <v>0</v>
      </c>
      <c r="F1348">
        <v>131900190</v>
      </c>
      <c r="G1348">
        <v>186761.74</v>
      </c>
      <c r="H1348">
        <v>131267466.56</v>
      </c>
      <c r="I1348">
        <v>131644033.13</v>
      </c>
      <c r="J1348">
        <v>3.9827000000000001E-2</v>
      </c>
      <c r="K1348">
        <v>6.2950000000000002E-3</v>
      </c>
      <c r="M1348" t="s">
        <v>0</v>
      </c>
      <c r="N1348">
        <v>6750</v>
      </c>
      <c r="O1348">
        <v>42</v>
      </c>
      <c r="P1348">
        <v>1708</v>
      </c>
      <c r="Q1348">
        <v>0</v>
      </c>
      <c r="R1348">
        <v>40932901496</v>
      </c>
      <c r="S1348">
        <v>45660766.700000003</v>
      </c>
      <c r="T1348">
        <v>40185566253.360001</v>
      </c>
      <c r="U1348">
        <v>40483453086.599998</v>
      </c>
      <c r="V1348">
        <v>0.18737699999999999</v>
      </c>
      <c r="W1348">
        <v>0.11216</v>
      </c>
      <c r="Y1348" t="s">
        <v>1</v>
      </c>
      <c r="Z1348">
        <v>2750</v>
      </c>
      <c r="AA1348">
        <v>42</v>
      </c>
      <c r="AB1348">
        <v>712</v>
      </c>
      <c r="AC1348">
        <v>0</v>
      </c>
      <c r="AD1348">
        <v>23684343814</v>
      </c>
      <c r="AE1348">
        <v>51214932.43</v>
      </c>
      <c r="AF1348">
        <v>23483697252</v>
      </c>
      <c r="AG1348">
        <v>23581861029.950001</v>
      </c>
      <c r="AH1348">
        <v>7.3138999999999996E-2</v>
      </c>
      <c r="AI1348">
        <v>2.5669000000000001E-2</v>
      </c>
    </row>
    <row r="1349" spans="1:35" x14ac:dyDescent="0.35">
      <c r="A1349" t="s">
        <v>1</v>
      </c>
      <c r="B1349">
        <v>3750</v>
      </c>
      <c r="C1349">
        <v>42</v>
      </c>
      <c r="D1349">
        <v>1987</v>
      </c>
      <c r="E1349">
        <v>0</v>
      </c>
      <c r="F1349">
        <v>72910233752</v>
      </c>
      <c r="G1349">
        <v>134427519.56999999</v>
      </c>
      <c r="H1349">
        <v>72143906576.619995</v>
      </c>
      <c r="I1349">
        <v>72612788698.339996</v>
      </c>
      <c r="J1349">
        <v>9.9184999999999995E-2</v>
      </c>
      <c r="K1349">
        <v>2.6502999999999999E-2</v>
      </c>
      <c r="M1349" t="s">
        <v>2</v>
      </c>
      <c r="N1349">
        <v>6750</v>
      </c>
      <c r="O1349">
        <v>42</v>
      </c>
      <c r="P1349">
        <v>48</v>
      </c>
      <c r="Q1349">
        <v>0</v>
      </c>
      <c r="R1349">
        <v>624295794</v>
      </c>
      <c r="S1349">
        <v>694119.46</v>
      </c>
      <c r="T1349">
        <v>619140276.23000002</v>
      </c>
      <c r="U1349">
        <v>623226360.12</v>
      </c>
      <c r="V1349">
        <v>8.2463999999999996E-2</v>
      </c>
      <c r="W1349">
        <v>7.1900000000000002E-3</v>
      </c>
      <c r="Y1349" t="s">
        <v>2</v>
      </c>
      <c r="Z1349">
        <v>3000</v>
      </c>
      <c r="AA1349">
        <v>42</v>
      </c>
      <c r="AB1349">
        <v>72</v>
      </c>
      <c r="AC1349">
        <v>0</v>
      </c>
      <c r="AD1349">
        <v>1303374375</v>
      </c>
      <c r="AE1349">
        <v>2742038.26</v>
      </c>
      <c r="AF1349">
        <v>1300523393</v>
      </c>
      <c r="AG1349">
        <v>1300523393</v>
      </c>
      <c r="AH1349">
        <v>1.003E-3</v>
      </c>
      <c r="AI1349">
        <v>1.003E-3</v>
      </c>
    </row>
    <row r="1350" spans="1:35" x14ac:dyDescent="0.35">
      <c r="A1350" t="s">
        <v>1</v>
      </c>
      <c r="B1350">
        <v>6750</v>
      </c>
      <c r="C1350">
        <v>48</v>
      </c>
      <c r="D1350">
        <v>8</v>
      </c>
      <c r="E1350">
        <v>0</v>
      </c>
      <c r="F1350">
        <v>194331582</v>
      </c>
      <c r="G1350">
        <v>225403.51</v>
      </c>
      <c r="H1350">
        <v>189459020.53999999</v>
      </c>
      <c r="I1350">
        <v>193715250.22</v>
      </c>
      <c r="J1350">
        <v>0.25207299999999999</v>
      </c>
      <c r="K1350">
        <v>2.3875E-2</v>
      </c>
      <c r="M1350" t="s">
        <v>3</v>
      </c>
      <c r="N1350">
        <v>4500</v>
      </c>
      <c r="O1350">
        <v>42</v>
      </c>
      <c r="P1350">
        <v>27</v>
      </c>
      <c r="Q1350">
        <v>0</v>
      </c>
      <c r="R1350">
        <v>641359749</v>
      </c>
      <c r="S1350">
        <v>1046784.72</v>
      </c>
      <c r="T1350">
        <v>637996169.77999997</v>
      </c>
      <c r="U1350">
        <v>640312959.54999995</v>
      </c>
      <c r="V1350">
        <v>4.2497E-2</v>
      </c>
      <c r="W1350">
        <v>0</v>
      </c>
      <c r="Y1350" t="s">
        <v>1</v>
      </c>
      <c r="Z1350">
        <v>6250</v>
      </c>
      <c r="AA1350">
        <v>48</v>
      </c>
      <c r="AB1350">
        <v>15</v>
      </c>
      <c r="AC1350">
        <v>0</v>
      </c>
      <c r="AD1350">
        <v>388730858</v>
      </c>
      <c r="AE1350">
        <v>492579.86</v>
      </c>
      <c r="AF1350">
        <v>388234040</v>
      </c>
      <c r="AG1350">
        <v>388234040</v>
      </c>
      <c r="AH1350">
        <v>1.3100000000000001E-4</v>
      </c>
      <c r="AI1350">
        <v>1.3100000000000001E-4</v>
      </c>
    </row>
    <row r="1351" spans="1:35" x14ac:dyDescent="0.35">
      <c r="A1351" t="s">
        <v>1</v>
      </c>
      <c r="B1351">
        <v>3250</v>
      </c>
      <c r="C1351">
        <v>42</v>
      </c>
      <c r="D1351">
        <v>1309</v>
      </c>
      <c r="E1351">
        <v>0</v>
      </c>
      <c r="F1351">
        <v>39574022074</v>
      </c>
      <c r="G1351">
        <v>78926141.030000001</v>
      </c>
      <c r="H1351">
        <v>39059576642.589996</v>
      </c>
      <c r="I1351">
        <v>39284632712.050003</v>
      </c>
      <c r="J1351">
        <v>0.12435499999999999</v>
      </c>
      <c r="K1351">
        <v>6.1984999999999998E-2</v>
      </c>
      <c r="M1351" t="s">
        <v>3</v>
      </c>
      <c r="N1351">
        <v>6250</v>
      </c>
      <c r="O1351">
        <v>36</v>
      </c>
      <c r="P1351">
        <v>120</v>
      </c>
      <c r="Q1351">
        <v>0</v>
      </c>
      <c r="R1351">
        <v>2965138168</v>
      </c>
      <c r="S1351">
        <v>3496859.61</v>
      </c>
      <c r="T1351">
        <v>2949266774.5999999</v>
      </c>
      <c r="U1351">
        <v>2961494535.8299999</v>
      </c>
      <c r="V1351">
        <v>4.8946000000000003E-2</v>
      </c>
      <c r="W1351">
        <v>5.9400000000000002E-4</v>
      </c>
      <c r="Y1351" t="s">
        <v>0</v>
      </c>
      <c r="Z1351">
        <v>6750</v>
      </c>
      <c r="AA1351">
        <v>48</v>
      </c>
      <c r="AB1351">
        <v>25</v>
      </c>
      <c r="AC1351">
        <v>0</v>
      </c>
      <c r="AD1351">
        <v>566659952</v>
      </c>
      <c r="AE1351">
        <v>650338.11</v>
      </c>
      <c r="AF1351">
        <v>566063496</v>
      </c>
      <c r="AG1351">
        <v>566063496</v>
      </c>
      <c r="AH1351">
        <v>-1.142E-3</v>
      </c>
      <c r="AI1351">
        <v>-1.142E-3</v>
      </c>
    </row>
    <row r="1352" spans="1:35" x14ac:dyDescent="0.35">
      <c r="A1352" t="s">
        <v>3</v>
      </c>
      <c r="B1352">
        <v>4250</v>
      </c>
      <c r="C1352">
        <v>42</v>
      </c>
      <c r="D1352">
        <v>27</v>
      </c>
      <c r="E1352">
        <v>0</v>
      </c>
      <c r="F1352">
        <v>463363128</v>
      </c>
      <c r="G1352">
        <v>775849.24</v>
      </c>
      <c r="H1352">
        <v>461145452.01999998</v>
      </c>
      <c r="I1352">
        <v>462587270.73000002</v>
      </c>
      <c r="J1352">
        <v>3.6706999999999997E-2</v>
      </c>
      <c r="K1352">
        <v>0</v>
      </c>
      <c r="M1352" t="s">
        <v>3</v>
      </c>
      <c r="N1352">
        <v>6500</v>
      </c>
      <c r="O1352">
        <v>36</v>
      </c>
      <c r="P1352">
        <v>26</v>
      </c>
      <c r="Q1352">
        <v>0</v>
      </c>
      <c r="R1352">
        <v>663969471</v>
      </c>
      <c r="S1352">
        <v>750822.38</v>
      </c>
      <c r="T1352">
        <v>659947807.02999997</v>
      </c>
      <c r="U1352">
        <v>663120647.77999997</v>
      </c>
      <c r="V1352">
        <v>5.7539E-2</v>
      </c>
      <c r="W1352">
        <v>1.7700000000000001E-3</v>
      </c>
      <c r="Y1352" t="s">
        <v>1</v>
      </c>
      <c r="Z1352">
        <v>4500</v>
      </c>
      <c r="AA1352">
        <v>36</v>
      </c>
      <c r="AB1352">
        <v>1036</v>
      </c>
      <c r="AC1352">
        <v>0</v>
      </c>
      <c r="AD1352">
        <v>39237338501</v>
      </c>
      <c r="AE1352">
        <v>62118023.939999998</v>
      </c>
      <c r="AF1352">
        <v>38884045070</v>
      </c>
      <c r="AG1352">
        <v>39104511278.720001</v>
      </c>
      <c r="AH1352">
        <v>8.5503999999999997E-2</v>
      </c>
      <c r="AI1352">
        <v>2.1412E-2</v>
      </c>
    </row>
    <row r="1353" spans="1:35" x14ac:dyDescent="0.35">
      <c r="A1353" t="s">
        <v>0</v>
      </c>
      <c r="B1353">
        <v>7000</v>
      </c>
      <c r="C1353">
        <v>48</v>
      </c>
      <c r="D1353">
        <v>6</v>
      </c>
      <c r="E1353">
        <v>0</v>
      </c>
      <c r="F1353">
        <v>161161523</v>
      </c>
      <c r="G1353">
        <v>178546.04</v>
      </c>
      <c r="H1353">
        <v>157473770.53999999</v>
      </c>
      <c r="I1353">
        <v>159444752.13</v>
      </c>
      <c r="J1353">
        <v>0.23216500000000001</v>
      </c>
      <c r="K1353">
        <v>0.10871</v>
      </c>
      <c r="M1353" t="s">
        <v>3</v>
      </c>
      <c r="N1353">
        <v>6000</v>
      </c>
      <c r="O1353">
        <v>36</v>
      </c>
      <c r="P1353">
        <v>43</v>
      </c>
      <c r="Q1353">
        <v>0</v>
      </c>
      <c r="R1353">
        <v>1071640599</v>
      </c>
      <c r="S1353">
        <v>1324745.7</v>
      </c>
      <c r="T1353">
        <v>1065436411.01</v>
      </c>
      <c r="U1353">
        <v>1070309910.74</v>
      </c>
      <c r="V1353">
        <v>5.3290999999999998E-2</v>
      </c>
      <c r="W1353">
        <v>6.7000000000000002E-5</v>
      </c>
      <c r="Y1353" t="s">
        <v>3</v>
      </c>
      <c r="Z1353">
        <v>5250</v>
      </c>
      <c r="AA1353">
        <v>48</v>
      </c>
      <c r="AB1353">
        <v>8</v>
      </c>
      <c r="AC1353">
        <v>0</v>
      </c>
      <c r="AD1353">
        <v>195824111</v>
      </c>
      <c r="AE1353">
        <v>291939.78000000003</v>
      </c>
      <c r="AF1353">
        <v>195580928</v>
      </c>
      <c r="AG1353">
        <v>195580928</v>
      </c>
      <c r="AH1353">
        <v>-2.9919999999999999E-3</v>
      </c>
      <c r="AI1353">
        <v>-2.9919999999999999E-3</v>
      </c>
    </row>
    <row r="1354" spans="1:35" x14ac:dyDescent="0.35">
      <c r="A1354" t="s">
        <v>0</v>
      </c>
      <c r="B1354">
        <v>7250</v>
      </c>
      <c r="C1354">
        <v>48</v>
      </c>
      <c r="D1354">
        <v>2</v>
      </c>
      <c r="E1354">
        <v>0</v>
      </c>
      <c r="F1354">
        <v>53387055</v>
      </c>
      <c r="G1354">
        <v>56101.45</v>
      </c>
      <c r="H1354">
        <v>52489370.149999999</v>
      </c>
      <c r="I1354">
        <v>53330858.979999997</v>
      </c>
      <c r="J1354">
        <v>0.173597</v>
      </c>
      <c r="K1354">
        <v>2.0999999999999999E-5</v>
      </c>
      <c r="M1354" t="s">
        <v>3</v>
      </c>
      <c r="N1354">
        <v>6500</v>
      </c>
      <c r="O1354">
        <v>42</v>
      </c>
      <c r="P1354">
        <v>3</v>
      </c>
      <c r="Q1354">
        <v>0</v>
      </c>
      <c r="R1354">
        <v>41480102</v>
      </c>
      <c r="S1354">
        <v>47625.96</v>
      </c>
      <c r="T1354">
        <v>41059482.880000003</v>
      </c>
      <c r="U1354">
        <v>41432475.380000003</v>
      </c>
      <c r="V1354">
        <v>0.102725</v>
      </c>
      <c r="W1354">
        <v>0</v>
      </c>
      <c r="Y1354" t="s">
        <v>3</v>
      </c>
      <c r="Z1354">
        <v>5750</v>
      </c>
      <c r="AA1354">
        <v>48</v>
      </c>
      <c r="AB1354">
        <v>9</v>
      </c>
      <c r="AC1354">
        <v>0</v>
      </c>
      <c r="AD1354">
        <v>173991504</v>
      </c>
      <c r="AE1354">
        <v>239488.34</v>
      </c>
      <c r="AF1354">
        <v>173680697</v>
      </c>
      <c r="AG1354">
        <v>173680697</v>
      </c>
      <c r="AH1354">
        <v>4.908E-3</v>
      </c>
      <c r="AI1354">
        <v>4.908E-3</v>
      </c>
    </row>
    <row r="1355" spans="1:35" x14ac:dyDescent="0.35">
      <c r="A1355" t="s">
        <v>1</v>
      </c>
      <c r="B1355">
        <v>2750</v>
      </c>
      <c r="C1355">
        <v>42</v>
      </c>
      <c r="D1355">
        <v>361</v>
      </c>
      <c r="E1355">
        <v>0</v>
      </c>
      <c r="F1355">
        <v>11462278688</v>
      </c>
      <c r="G1355">
        <v>24946561.379999999</v>
      </c>
      <c r="H1355">
        <v>11306988442.76</v>
      </c>
      <c r="I1355">
        <v>11375816572.57</v>
      </c>
      <c r="J1355">
        <v>0.12823899999999999</v>
      </c>
      <c r="K1355">
        <v>6.2534000000000006E-2</v>
      </c>
      <c r="M1355" t="s">
        <v>3</v>
      </c>
      <c r="N1355">
        <v>5750</v>
      </c>
      <c r="O1355">
        <v>36</v>
      </c>
      <c r="P1355">
        <v>63</v>
      </c>
      <c r="Q1355">
        <v>0</v>
      </c>
      <c r="R1355">
        <v>1520786125</v>
      </c>
      <c r="S1355">
        <v>1970878.19</v>
      </c>
      <c r="T1355">
        <v>1512785586.52</v>
      </c>
      <c r="U1355">
        <v>1518815210.0999999</v>
      </c>
      <c r="V1355">
        <v>4.6553999999999998E-2</v>
      </c>
      <c r="W1355">
        <v>0</v>
      </c>
      <c r="Y1355" t="s">
        <v>3</v>
      </c>
      <c r="Z1355">
        <v>5500</v>
      </c>
      <c r="AA1355">
        <v>48</v>
      </c>
      <c r="AB1355">
        <v>1</v>
      </c>
      <c r="AC1355">
        <v>0</v>
      </c>
      <c r="AD1355">
        <v>23727313</v>
      </c>
      <c r="AE1355">
        <v>34024.449999999997</v>
      </c>
      <c r="AF1355">
        <v>23727313</v>
      </c>
      <c r="AG1355">
        <v>23727313</v>
      </c>
      <c r="AH1355">
        <v>-1.7343999999999998E-2</v>
      </c>
      <c r="AI1355">
        <v>-1.7343999999999998E-2</v>
      </c>
    </row>
    <row r="1356" spans="1:35" x14ac:dyDescent="0.35">
      <c r="A1356" t="s">
        <v>0</v>
      </c>
      <c r="B1356">
        <v>3250</v>
      </c>
      <c r="C1356">
        <v>42</v>
      </c>
      <c r="D1356">
        <v>1277</v>
      </c>
      <c r="E1356">
        <v>0</v>
      </c>
      <c r="F1356">
        <v>25607406579</v>
      </c>
      <c r="G1356">
        <v>51159911.990000002</v>
      </c>
      <c r="H1356">
        <v>25375484280.490002</v>
      </c>
      <c r="I1356">
        <v>25471561236.41</v>
      </c>
      <c r="J1356">
        <v>8.1494999999999998E-2</v>
      </c>
      <c r="K1356">
        <v>3.8970999999999999E-2</v>
      </c>
      <c r="M1356" t="s">
        <v>3</v>
      </c>
      <c r="N1356">
        <v>6250</v>
      </c>
      <c r="O1356">
        <v>42</v>
      </c>
      <c r="P1356">
        <v>23</v>
      </c>
      <c r="Q1356">
        <v>0</v>
      </c>
      <c r="R1356">
        <v>536195109</v>
      </c>
      <c r="S1356">
        <v>646647.76</v>
      </c>
      <c r="T1356">
        <v>531824445.94999999</v>
      </c>
      <c r="U1356">
        <v>535341087.69999999</v>
      </c>
      <c r="V1356">
        <v>8.0231999999999998E-2</v>
      </c>
      <c r="W1356">
        <v>4.6309999999999997E-3</v>
      </c>
      <c r="Y1356" t="s">
        <v>1</v>
      </c>
      <c r="Z1356">
        <v>7250</v>
      </c>
      <c r="AA1356">
        <v>42</v>
      </c>
      <c r="AB1356">
        <v>258</v>
      </c>
      <c r="AC1356">
        <v>0</v>
      </c>
      <c r="AD1356">
        <v>5696570527</v>
      </c>
      <c r="AE1356">
        <v>5831017.9900000002</v>
      </c>
      <c r="AF1356">
        <v>5375309042</v>
      </c>
      <c r="AG1356">
        <v>5496387299.5</v>
      </c>
      <c r="AH1356">
        <v>0.49518800000000002</v>
      </c>
      <c r="AI1356">
        <v>0.34068599999999999</v>
      </c>
    </row>
    <row r="1357" spans="1:35" x14ac:dyDescent="0.35">
      <c r="A1357" t="s">
        <v>0</v>
      </c>
      <c r="B1357">
        <v>2500</v>
      </c>
      <c r="C1357">
        <v>42</v>
      </c>
      <c r="D1357">
        <v>21</v>
      </c>
      <c r="E1357">
        <v>0</v>
      </c>
      <c r="F1357">
        <v>595818661</v>
      </c>
      <c r="G1357">
        <v>1329033.3400000001</v>
      </c>
      <c r="H1357">
        <v>592565390.05999994</v>
      </c>
      <c r="I1357">
        <v>594484641.73000002</v>
      </c>
      <c r="J1357">
        <v>3.8073999999999997E-2</v>
      </c>
      <c r="K1357">
        <v>1E-4</v>
      </c>
      <c r="M1357" t="s">
        <v>3</v>
      </c>
      <c r="N1357">
        <v>5500</v>
      </c>
      <c r="O1357">
        <v>42</v>
      </c>
      <c r="P1357">
        <v>64</v>
      </c>
      <c r="Q1357">
        <v>0</v>
      </c>
      <c r="R1357">
        <v>1509556564</v>
      </c>
      <c r="S1357">
        <v>2079475.94</v>
      </c>
      <c r="T1357">
        <v>1499308154.6600001</v>
      </c>
      <c r="U1357">
        <v>1507363175.9100001</v>
      </c>
      <c r="V1357">
        <v>6.3038999999999998E-2</v>
      </c>
      <c r="W1357">
        <v>9.0499999999999999E-4</v>
      </c>
      <c r="Y1357" t="s">
        <v>1</v>
      </c>
      <c r="Z1357">
        <v>2500</v>
      </c>
      <c r="AA1357">
        <v>42</v>
      </c>
      <c r="AB1357">
        <v>194</v>
      </c>
      <c r="AC1357">
        <v>0</v>
      </c>
      <c r="AD1357">
        <v>5805809939</v>
      </c>
      <c r="AE1357">
        <v>13098025.49</v>
      </c>
      <c r="AF1357">
        <v>5745095668</v>
      </c>
      <c r="AG1357">
        <v>5793009097.5600004</v>
      </c>
      <c r="AH1357">
        <v>9.4097E-2</v>
      </c>
      <c r="AI1357">
        <v>-6.1399999999999996E-4</v>
      </c>
    </row>
    <row r="1358" spans="1:35" x14ac:dyDescent="0.35">
      <c r="A1358" t="s">
        <v>2</v>
      </c>
      <c r="B1358">
        <v>7750</v>
      </c>
      <c r="C1358">
        <v>42</v>
      </c>
      <c r="D1358">
        <v>38</v>
      </c>
      <c r="E1358">
        <v>0</v>
      </c>
      <c r="F1358">
        <v>512000215</v>
      </c>
      <c r="G1358">
        <v>479456.64</v>
      </c>
      <c r="H1358">
        <v>502521857.36000001</v>
      </c>
      <c r="I1358">
        <v>508602695.30000001</v>
      </c>
      <c r="J1358">
        <v>0.19167200000000001</v>
      </c>
      <c r="K1358">
        <v>6.6288E-2</v>
      </c>
      <c r="M1358" t="s">
        <v>3</v>
      </c>
      <c r="N1358">
        <v>6000</v>
      </c>
      <c r="O1358">
        <v>42</v>
      </c>
      <c r="P1358">
        <v>19</v>
      </c>
      <c r="Q1358">
        <v>0</v>
      </c>
      <c r="R1358">
        <v>412566928</v>
      </c>
      <c r="S1358">
        <v>522861.16</v>
      </c>
      <c r="T1358">
        <v>409754195.19</v>
      </c>
      <c r="U1358">
        <v>412044058.08999997</v>
      </c>
      <c r="V1358">
        <v>6.4607999999999999E-2</v>
      </c>
      <c r="W1358">
        <v>0</v>
      </c>
      <c r="Y1358" t="s">
        <v>2</v>
      </c>
      <c r="Z1358">
        <v>6250</v>
      </c>
      <c r="AA1358">
        <v>48</v>
      </c>
      <c r="AB1358">
        <v>5</v>
      </c>
      <c r="AC1358">
        <v>0</v>
      </c>
      <c r="AD1358">
        <v>70849304</v>
      </c>
      <c r="AE1358">
        <v>89517.58</v>
      </c>
      <c r="AF1358">
        <v>70829759</v>
      </c>
      <c r="AG1358">
        <v>70829759</v>
      </c>
      <c r="AH1358">
        <v>-1.1916E-2</v>
      </c>
      <c r="AI1358">
        <v>-1.1916E-2</v>
      </c>
    </row>
    <row r="1359" spans="1:35" x14ac:dyDescent="0.35">
      <c r="A1359" t="s">
        <v>2</v>
      </c>
      <c r="B1359">
        <v>3250</v>
      </c>
      <c r="C1359">
        <v>42</v>
      </c>
      <c r="D1359">
        <v>135</v>
      </c>
      <c r="E1359">
        <v>0</v>
      </c>
      <c r="F1359">
        <v>2020482128</v>
      </c>
      <c r="G1359">
        <v>4177471.52</v>
      </c>
      <c r="H1359">
        <v>2005083761.5</v>
      </c>
      <c r="I1359">
        <v>2014207400.71</v>
      </c>
      <c r="J1359">
        <v>6.4644999999999994E-2</v>
      </c>
      <c r="K1359">
        <v>1.2385E-2</v>
      </c>
      <c r="M1359" t="s">
        <v>1</v>
      </c>
      <c r="N1359">
        <v>6750</v>
      </c>
      <c r="O1359">
        <v>42</v>
      </c>
      <c r="P1359">
        <v>181</v>
      </c>
      <c r="Q1359">
        <v>0</v>
      </c>
      <c r="R1359">
        <v>4366648627</v>
      </c>
      <c r="S1359">
        <v>4903155.29</v>
      </c>
      <c r="T1359">
        <v>4179575371.8600001</v>
      </c>
      <c r="U1359">
        <v>4284086933.5300002</v>
      </c>
      <c r="V1359">
        <v>0.40032299999999998</v>
      </c>
      <c r="W1359">
        <v>0.19372800000000001</v>
      </c>
      <c r="Y1359" t="s">
        <v>3</v>
      </c>
      <c r="Z1359">
        <v>4250</v>
      </c>
      <c r="AA1359">
        <v>42</v>
      </c>
      <c r="AB1359">
        <v>13</v>
      </c>
      <c r="AC1359">
        <v>0</v>
      </c>
      <c r="AD1359">
        <v>276748923</v>
      </c>
      <c r="AE1359">
        <v>469569.19</v>
      </c>
      <c r="AF1359">
        <v>276178661</v>
      </c>
      <c r="AG1359">
        <v>276178661</v>
      </c>
      <c r="AH1359">
        <v>4.3569999999999998E-3</v>
      </c>
      <c r="AI1359">
        <v>4.3569999999999998E-3</v>
      </c>
    </row>
    <row r="1360" spans="1:35" x14ac:dyDescent="0.35">
      <c r="A1360" t="s">
        <v>0</v>
      </c>
      <c r="B1360">
        <v>8250</v>
      </c>
      <c r="C1360">
        <v>42</v>
      </c>
      <c r="D1360">
        <v>6</v>
      </c>
      <c r="E1360">
        <v>0</v>
      </c>
      <c r="F1360">
        <v>118877051</v>
      </c>
      <c r="G1360">
        <v>102066.5</v>
      </c>
      <c r="H1360">
        <v>117571181.02</v>
      </c>
      <c r="I1360">
        <v>118774012.2</v>
      </c>
      <c r="J1360">
        <v>0.11497300000000001</v>
      </c>
      <c r="K1360">
        <v>9.7999999999999997E-5</v>
      </c>
      <c r="M1360" t="s">
        <v>2</v>
      </c>
      <c r="N1360">
        <v>5750</v>
      </c>
      <c r="O1360">
        <v>48</v>
      </c>
      <c r="P1360">
        <v>4</v>
      </c>
      <c r="Q1360">
        <v>0</v>
      </c>
      <c r="R1360">
        <v>44452396</v>
      </c>
      <c r="S1360">
        <v>61288.75</v>
      </c>
      <c r="T1360">
        <v>44193908.229999997</v>
      </c>
      <c r="U1360">
        <v>44345507.810000002</v>
      </c>
      <c r="V1360">
        <v>5.1954E-2</v>
      </c>
      <c r="W1360">
        <v>1.2239999999999999E-2</v>
      </c>
      <c r="Y1360" t="s">
        <v>0</v>
      </c>
      <c r="Z1360">
        <v>2500</v>
      </c>
      <c r="AA1360">
        <v>42</v>
      </c>
      <c r="AB1360">
        <v>43</v>
      </c>
      <c r="AC1360">
        <v>0</v>
      </c>
      <c r="AD1360">
        <v>1151930093</v>
      </c>
      <c r="AE1360">
        <v>2568843.73</v>
      </c>
      <c r="AF1360">
        <v>1149248904</v>
      </c>
      <c r="AG1360">
        <v>1149248904</v>
      </c>
      <c r="AH1360">
        <v>1.17E-3</v>
      </c>
      <c r="AI1360">
        <v>1.17E-3</v>
      </c>
    </row>
    <row r="1361" spans="1:35" x14ac:dyDescent="0.35">
      <c r="A1361" t="s">
        <v>3</v>
      </c>
      <c r="B1361">
        <v>7000</v>
      </c>
      <c r="C1361">
        <v>42</v>
      </c>
      <c r="D1361">
        <v>15</v>
      </c>
      <c r="E1361">
        <v>0</v>
      </c>
      <c r="F1361">
        <v>419364037</v>
      </c>
      <c r="G1361">
        <v>450738.14</v>
      </c>
      <c r="H1361">
        <v>417309065.23000002</v>
      </c>
      <c r="I1361">
        <v>418913292.93000001</v>
      </c>
      <c r="J1361">
        <v>4.4950999999999998E-2</v>
      </c>
      <c r="K1361">
        <v>0</v>
      </c>
      <c r="M1361" t="s">
        <v>3</v>
      </c>
      <c r="N1361">
        <v>5750</v>
      </c>
      <c r="O1361">
        <v>42</v>
      </c>
      <c r="P1361">
        <v>130</v>
      </c>
      <c r="Q1361">
        <v>0</v>
      </c>
      <c r="R1361">
        <v>2811246466</v>
      </c>
      <c r="S1361">
        <v>3752271.58</v>
      </c>
      <c r="T1361">
        <v>2794022961.1999998</v>
      </c>
      <c r="U1361">
        <v>2807480419.6500001</v>
      </c>
      <c r="V1361">
        <v>5.6010999999999998E-2</v>
      </c>
      <c r="W1361">
        <v>5.8999999999999998E-5</v>
      </c>
      <c r="Y1361" t="s">
        <v>2</v>
      </c>
      <c r="Z1361">
        <v>7750</v>
      </c>
      <c r="AA1361">
        <v>36</v>
      </c>
      <c r="AB1361">
        <v>125</v>
      </c>
      <c r="AC1361">
        <v>0</v>
      </c>
      <c r="AD1361">
        <v>1669085608</v>
      </c>
      <c r="AE1361">
        <v>1537144.4</v>
      </c>
      <c r="AF1361">
        <v>1641305528</v>
      </c>
      <c r="AG1361">
        <v>1641305528</v>
      </c>
      <c r="AH1361">
        <v>0.17318500000000001</v>
      </c>
      <c r="AI1361">
        <v>0.17318500000000001</v>
      </c>
    </row>
    <row r="1362" spans="1:35" x14ac:dyDescent="0.35">
      <c r="A1362" t="s">
        <v>3</v>
      </c>
      <c r="B1362">
        <v>6000</v>
      </c>
      <c r="C1362">
        <v>36</v>
      </c>
      <c r="D1362">
        <v>36</v>
      </c>
      <c r="E1362">
        <v>0</v>
      </c>
      <c r="F1362">
        <v>880023568</v>
      </c>
      <c r="G1362">
        <v>1084246.3600000001</v>
      </c>
      <c r="H1362">
        <v>874581686.08000004</v>
      </c>
      <c r="I1362">
        <v>878659831.52999997</v>
      </c>
      <c r="J1362">
        <v>5.7828999999999998E-2</v>
      </c>
      <c r="K1362">
        <v>3.8040000000000001E-3</v>
      </c>
      <c r="M1362" t="s">
        <v>3</v>
      </c>
      <c r="N1362">
        <v>5750</v>
      </c>
      <c r="O1362">
        <v>48</v>
      </c>
      <c r="P1362">
        <v>1</v>
      </c>
      <c r="Q1362">
        <v>0</v>
      </c>
      <c r="R1362">
        <v>15068193</v>
      </c>
      <c r="S1362">
        <v>20751.03</v>
      </c>
      <c r="T1362">
        <v>15016194.18</v>
      </c>
      <c r="U1362">
        <v>15047441.869999999</v>
      </c>
      <c r="V1362">
        <v>2.4603E-2</v>
      </c>
      <c r="W1362">
        <v>0</v>
      </c>
      <c r="Y1362" t="s">
        <v>2</v>
      </c>
      <c r="Z1362">
        <v>3250</v>
      </c>
      <c r="AA1362">
        <v>42</v>
      </c>
      <c r="AB1362">
        <v>190</v>
      </c>
      <c r="AC1362">
        <v>0</v>
      </c>
      <c r="AD1362">
        <v>3086486880</v>
      </c>
      <c r="AE1362">
        <v>6295815.6600000001</v>
      </c>
      <c r="AF1362">
        <v>3068708197</v>
      </c>
      <c r="AG1362">
        <v>3080367084.98</v>
      </c>
      <c r="AH1362">
        <v>4.3742000000000003E-2</v>
      </c>
      <c r="AI1362">
        <v>-6.8499999999999995E-4</v>
      </c>
    </row>
    <row r="1363" spans="1:35" x14ac:dyDescent="0.35">
      <c r="A1363" t="s">
        <v>3</v>
      </c>
      <c r="B1363">
        <v>6750</v>
      </c>
      <c r="C1363">
        <v>42</v>
      </c>
      <c r="D1363">
        <v>31</v>
      </c>
      <c r="E1363">
        <v>0</v>
      </c>
      <c r="F1363">
        <v>762738251</v>
      </c>
      <c r="G1363">
        <v>850368.81</v>
      </c>
      <c r="H1363">
        <v>758352613.63999999</v>
      </c>
      <c r="I1363">
        <v>761887808.54999995</v>
      </c>
      <c r="J1363">
        <v>5.4223E-2</v>
      </c>
      <c r="K1363">
        <v>9.9999999999999995E-7</v>
      </c>
      <c r="M1363" t="s">
        <v>0</v>
      </c>
      <c r="N1363">
        <v>7250</v>
      </c>
      <c r="O1363">
        <v>42</v>
      </c>
      <c r="P1363">
        <v>134</v>
      </c>
      <c r="Q1363">
        <v>0</v>
      </c>
      <c r="R1363">
        <v>3268850127</v>
      </c>
      <c r="S1363">
        <v>3340264.93</v>
      </c>
      <c r="T1363">
        <v>3219176018.5300002</v>
      </c>
      <c r="U1363">
        <v>3245068156.5</v>
      </c>
      <c r="V1363">
        <v>0.157439</v>
      </c>
      <c r="W1363">
        <v>7.2513999999999995E-2</v>
      </c>
      <c r="Y1363" t="s">
        <v>0</v>
      </c>
      <c r="Z1363">
        <v>8250</v>
      </c>
      <c r="AA1363">
        <v>36</v>
      </c>
      <c r="AB1363">
        <v>70</v>
      </c>
      <c r="AC1363">
        <v>0</v>
      </c>
      <c r="AD1363">
        <v>1722110928</v>
      </c>
      <c r="AE1363">
        <v>1422183.89</v>
      </c>
      <c r="AF1363">
        <v>1720627900</v>
      </c>
      <c r="AG1363">
        <v>1720627900</v>
      </c>
      <c r="AH1363">
        <v>4.2400000000000001E-4</v>
      </c>
      <c r="AI1363">
        <v>4.2400000000000001E-4</v>
      </c>
    </row>
    <row r="1364" spans="1:35" x14ac:dyDescent="0.35">
      <c r="A1364" t="s">
        <v>3</v>
      </c>
      <c r="B1364">
        <v>6750</v>
      </c>
      <c r="C1364">
        <v>36</v>
      </c>
      <c r="D1364">
        <v>67</v>
      </c>
      <c r="E1364">
        <v>0</v>
      </c>
      <c r="F1364">
        <v>1672163879</v>
      </c>
      <c r="G1364">
        <v>1822493.53</v>
      </c>
      <c r="H1364">
        <v>1661231693.8099999</v>
      </c>
      <c r="I1364">
        <v>1670104248.5699999</v>
      </c>
      <c r="J1364">
        <v>6.3450000000000006E-2</v>
      </c>
      <c r="K1364">
        <v>1.6999999999999999E-3</v>
      </c>
      <c r="M1364" t="s">
        <v>1</v>
      </c>
      <c r="N1364">
        <v>7000</v>
      </c>
      <c r="O1364">
        <v>42</v>
      </c>
      <c r="P1364">
        <v>2</v>
      </c>
      <c r="Q1364">
        <v>0</v>
      </c>
      <c r="R1364">
        <v>41671919</v>
      </c>
      <c r="S1364">
        <v>44408.22</v>
      </c>
      <c r="T1364">
        <v>40728290.509999998</v>
      </c>
      <c r="U1364">
        <v>41627030</v>
      </c>
      <c r="V1364">
        <v>0.23031799999999999</v>
      </c>
      <c r="W1364">
        <v>1.3799999999999999E-4</v>
      </c>
      <c r="Y1364" t="s">
        <v>3</v>
      </c>
      <c r="Z1364">
        <v>7000</v>
      </c>
      <c r="AA1364">
        <v>42</v>
      </c>
      <c r="AB1364">
        <v>6</v>
      </c>
      <c r="AC1364">
        <v>0</v>
      </c>
      <c r="AD1364">
        <v>138757864</v>
      </c>
      <c r="AE1364">
        <v>148777.67000000001</v>
      </c>
      <c r="AF1364">
        <v>138438089</v>
      </c>
      <c r="AG1364">
        <v>138438089</v>
      </c>
      <c r="AH1364">
        <v>1.4688E-2</v>
      </c>
      <c r="AI1364">
        <v>1.4688E-2</v>
      </c>
    </row>
    <row r="1365" spans="1:35" x14ac:dyDescent="0.35">
      <c r="A1365" t="s">
        <v>2</v>
      </c>
      <c r="B1365">
        <v>7750</v>
      </c>
      <c r="C1365">
        <v>36</v>
      </c>
      <c r="D1365">
        <v>97</v>
      </c>
      <c r="E1365">
        <v>0</v>
      </c>
      <c r="F1365">
        <v>1263800461</v>
      </c>
      <c r="G1365">
        <v>1163235.58</v>
      </c>
      <c r="H1365">
        <v>1237145080.4300001</v>
      </c>
      <c r="I1365">
        <v>1250715328.9000001</v>
      </c>
      <c r="J1365">
        <v>0.21692500000000001</v>
      </c>
      <c r="K1365">
        <v>0.10750800000000001</v>
      </c>
      <c r="M1365" t="s">
        <v>1</v>
      </c>
      <c r="N1365">
        <v>7250</v>
      </c>
      <c r="O1365">
        <v>42</v>
      </c>
      <c r="P1365">
        <v>4</v>
      </c>
      <c r="Q1365">
        <v>0</v>
      </c>
      <c r="R1365">
        <v>60490434</v>
      </c>
      <c r="S1365">
        <v>62417.58</v>
      </c>
      <c r="T1365">
        <v>57568044.259999998</v>
      </c>
      <c r="U1365">
        <v>58178798.979999997</v>
      </c>
      <c r="V1365">
        <v>0.44077699999999997</v>
      </c>
      <c r="W1365">
        <v>0.36536400000000002</v>
      </c>
      <c r="Y1365" t="s">
        <v>3</v>
      </c>
      <c r="Z1365">
        <v>6000</v>
      </c>
      <c r="AA1365">
        <v>36</v>
      </c>
      <c r="AB1365">
        <v>34</v>
      </c>
      <c r="AC1365">
        <v>0</v>
      </c>
      <c r="AD1365">
        <v>868698427</v>
      </c>
      <c r="AE1365">
        <v>1070735.1100000001</v>
      </c>
      <c r="AF1365">
        <v>864042214</v>
      </c>
      <c r="AG1365">
        <v>864042214</v>
      </c>
      <c r="AH1365">
        <v>4.8419999999999998E-2</v>
      </c>
      <c r="AI1365">
        <v>4.8419999999999998E-2</v>
      </c>
    </row>
    <row r="1366" spans="1:35" x14ac:dyDescent="0.35">
      <c r="A1366" t="s">
        <v>1</v>
      </c>
      <c r="B1366">
        <v>7750</v>
      </c>
      <c r="C1366">
        <v>42</v>
      </c>
      <c r="D1366">
        <v>79</v>
      </c>
      <c r="E1366">
        <v>0</v>
      </c>
      <c r="F1366">
        <v>1701959833</v>
      </c>
      <c r="G1366">
        <v>1596150.6</v>
      </c>
      <c r="H1366">
        <v>1629874757.1199999</v>
      </c>
      <c r="I1366">
        <v>1673897348.01</v>
      </c>
      <c r="J1366">
        <v>0.39805000000000001</v>
      </c>
      <c r="K1366">
        <v>0.17144499999999999</v>
      </c>
      <c r="M1366" t="s">
        <v>0</v>
      </c>
      <c r="N1366">
        <v>2500</v>
      </c>
      <c r="O1366">
        <v>42</v>
      </c>
      <c r="P1366">
        <v>390</v>
      </c>
      <c r="Q1366">
        <v>0</v>
      </c>
      <c r="R1366">
        <v>10984912304</v>
      </c>
      <c r="S1366">
        <v>24501864.350000001</v>
      </c>
      <c r="T1366">
        <v>10911537782.639999</v>
      </c>
      <c r="U1366">
        <v>10956429572.209999</v>
      </c>
      <c r="V1366">
        <v>5.2102000000000002E-2</v>
      </c>
      <c r="W1366">
        <v>4.3400000000000001E-3</v>
      </c>
      <c r="Y1366" t="s">
        <v>3</v>
      </c>
      <c r="Z1366">
        <v>6750</v>
      </c>
      <c r="AA1366">
        <v>36</v>
      </c>
      <c r="AB1366">
        <v>73</v>
      </c>
      <c r="AC1366">
        <v>0</v>
      </c>
      <c r="AD1366">
        <v>1826843136</v>
      </c>
      <c r="AE1366">
        <v>1993325.53</v>
      </c>
      <c r="AF1366">
        <v>1824384004</v>
      </c>
      <c r="AG1366">
        <v>1824384004</v>
      </c>
      <c r="AH1366">
        <v>3.055E-3</v>
      </c>
      <c r="AI1366">
        <v>3.055E-3</v>
      </c>
    </row>
    <row r="1367" spans="1:35" x14ac:dyDescent="0.35">
      <c r="A1367" t="s">
        <v>2</v>
      </c>
      <c r="B1367">
        <v>3250</v>
      </c>
      <c r="C1367">
        <v>36</v>
      </c>
      <c r="D1367">
        <v>65</v>
      </c>
      <c r="E1367">
        <v>0</v>
      </c>
      <c r="F1367">
        <v>1067515991</v>
      </c>
      <c r="G1367">
        <v>2148381.21</v>
      </c>
      <c r="H1367">
        <v>1056801627.16</v>
      </c>
      <c r="I1367">
        <v>1061961090.8099999</v>
      </c>
      <c r="J1367">
        <v>9.2152999999999999E-2</v>
      </c>
      <c r="K1367">
        <v>3.7628000000000002E-2</v>
      </c>
      <c r="M1367" t="s">
        <v>1</v>
      </c>
      <c r="N1367">
        <v>5750</v>
      </c>
      <c r="O1367">
        <v>48</v>
      </c>
      <c r="P1367">
        <v>17</v>
      </c>
      <c r="Q1367">
        <v>0</v>
      </c>
      <c r="R1367">
        <v>405899070</v>
      </c>
      <c r="S1367">
        <v>549233.32999999996</v>
      </c>
      <c r="T1367">
        <v>391992068.57999998</v>
      </c>
      <c r="U1367">
        <v>395307094.26999998</v>
      </c>
      <c r="V1367">
        <v>0.33072000000000001</v>
      </c>
      <c r="W1367">
        <v>0.25965500000000002</v>
      </c>
      <c r="Y1367" t="s">
        <v>0</v>
      </c>
      <c r="Z1367">
        <v>4750</v>
      </c>
      <c r="AA1367">
        <v>36</v>
      </c>
      <c r="AB1367">
        <v>5096</v>
      </c>
      <c r="AC1367">
        <v>0</v>
      </c>
      <c r="AD1367">
        <v>160194017758</v>
      </c>
      <c r="AE1367">
        <v>241815972.81</v>
      </c>
      <c r="AF1367">
        <v>159471093670</v>
      </c>
      <c r="AG1367">
        <v>159903479347.12</v>
      </c>
      <c r="AH1367">
        <v>3.5450000000000002E-2</v>
      </c>
      <c r="AI1367">
        <v>3.6440000000000001E-3</v>
      </c>
    </row>
    <row r="1368" spans="1:35" x14ac:dyDescent="0.35">
      <c r="A1368" t="s">
        <v>0</v>
      </c>
      <c r="B1368">
        <v>3250</v>
      </c>
      <c r="C1368">
        <v>36</v>
      </c>
      <c r="D1368">
        <v>79</v>
      </c>
      <c r="E1368">
        <v>0</v>
      </c>
      <c r="F1368">
        <v>1755026144</v>
      </c>
      <c r="G1368">
        <v>3399102.64</v>
      </c>
      <c r="H1368">
        <v>1738514340.3399999</v>
      </c>
      <c r="I1368">
        <v>1745093289.8800001</v>
      </c>
      <c r="J1368">
        <v>8.6064000000000002E-2</v>
      </c>
      <c r="K1368">
        <v>4.3770999999999997E-2</v>
      </c>
      <c r="M1368" t="s">
        <v>0</v>
      </c>
      <c r="N1368">
        <v>6250</v>
      </c>
      <c r="O1368">
        <v>108</v>
      </c>
      <c r="P1368">
        <v>38</v>
      </c>
      <c r="Q1368">
        <v>0</v>
      </c>
      <c r="R1368">
        <v>482361166</v>
      </c>
      <c r="S1368">
        <v>882151.43</v>
      </c>
      <c r="T1368">
        <v>476907614.75</v>
      </c>
      <c r="U1368">
        <v>480776880.45999998</v>
      </c>
      <c r="V1368">
        <v>0.10798099999999999</v>
      </c>
      <c r="W1368">
        <v>1.7328E-2</v>
      </c>
      <c r="Y1368" t="s">
        <v>1</v>
      </c>
      <c r="Z1368">
        <v>4750</v>
      </c>
      <c r="AA1368">
        <v>36</v>
      </c>
      <c r="AB1368">
        <v>3753</v>
      </c>
      <c r="AC1368">
        <v>0</v>
      </c>
      <c r="AD1368">
        <v>137618462701</v>
      </c>
      <c r="AE1368">
        <v>208059506.06</v>
      </c>
      <c r="AF1368">
        <v>136372763239</v>
      </c>
      <c r="AG1368">
        <v>137109557471.45</v>
      </c>
      <c r="AH1368">
        <v>8.6819999999999994E-2</v>
      </c>
      <c r="AI1368">
        <v>2.5919999999999999E-2</v>
      </c>
    </row>
    <row r="1369" spans="1:35" x14ac:dyDescent="0.35">
      <c r="A1369" t="s">
        <v>1</v>
      </c>
      <c r="B1369">
        <v>3250</v>
      </c>
      <c r="C1369">
        <v>36</v>
      </c>
      <c r="D1369">
        <v>146</v>
      </c>
      <c r="E1369">
        <v>0</v>
      </c>
      <c r="F1369">
        <v>4045810491</v>
      </c>
      <c r="G1369">
        <v>8124112.8700000001</v>
      </c>
      <c r="H1369">
        <v>3969468290.6799998</v>
      </c>
      <c r="I1369">
        <v>3994606685.1300001</v>
      </c>
      <c r="J1369">
        <v>0.184588</v>
      </c>
      <c r="K1369">
        <v>0.12055200000000001</v>
      </c>
      <c r="M1369" t="s">
        <v>2</v>
      </c>
      <c r="N1369">
        <v>7000</v>
      </c>
      <c r="O1369">
        <v>42</v>
      </c>
      <c r="P1369">
        <v>1</v>
      </c>
      <c r="Q1369">
        <v>0</v>
      </c>
      <c r="R1369">
        <v>18600637</v>
      </c>
      <c r="S1369">
        <v>20131.27</v>
      </c>
      <c r="T1369">
        <v>18419141.280000001</v>
      </c>
      <c r="U1369">
        <v>18580505.579999998</v>
      </c>
      <c r="V1369">
        <v>9.9276000000000003E-2</v>
      </c>
      <c r="W1369">
        <v>0</v>
      </c>
      <c r="Y1369" t="s">
        <v>3</v>
      </c>
      <c r="Z1369">
        <v>7000</v>
      </c>
      <c r="AA1369">
        <v>36</v>
      </c>
      <c r="AB1369">
        <v>63</v>
      </c>
      <c r="AC1369">
        <v>0</v>
      </c>
      <c r="AD1369">
        <v>1515793314</v>
      </c>
      <c r="AE1369">
        <v>1581753.59</v>
      </c>
      <c r="AF1369">
        <v>1513805368</v>
      </c>
      <c r="AG1369">
        <v>1513805368</v>
      </c>
      <c r="AH1369">
        <v>3.2109999999999999E-3</v>
      </c>
      <c r="AI1369">
        <v>3.2109999999999999E-3</v>
      </c>
    </row>
    <row r="1370" spans="1:35" x14ac:dyDescent="0.35">
      <c r="A1370" t="s">
        <v>2</v>
      </c>
      <c r="B1370">
        <v>4750</v>
      </c>
      <c r="C1370">
        <v>36</v>
      </c>
      <c r="D1370">
        <v>159</v>
      </c>
      <c r="E1370">
        <v>0</v>
      </c>
      <c r="F1370">
        <v>3652900995</v>
      </c>
      <c r="G1370">
        <v>5544438.5599999996</v>
      </c>
      <c r="H1370">
        <v>3630040309.5500002</v>
      </c>
      <c r="I1370">
        <v>3644797830.8600001</v>
      </c>
      <c r="J1370">
        <v>5.5425000000000002E-2</v>
      </c>
      <c r="K1370">
        <v>8.3730000000000002E-3</v>
      </c>
      <c r="M1370" t="s">
        <v>0</v>
      </c>
      <c r="N1370">
        <v>2500</v>
      </c>
      <c r="O1370">
        <v>36</v>
      </c>
      <c r="P1370">
        <v>3</v>
      </c>
      <c r="Q1370">
        <v>0</v>
      </c>
      <c r="R1370">
        <v>67432255</v>
      </c>
      <c r="S1370">
        <v>145457.16</v>
      </c>
      <c r="T1370">
        <v>66963170.310000002</v>
      </c>
      <c r="U1370">
        <v>67286717.430000007</v>
      </c>
      <c r="V1370">
        <v>5.6094999999999999E-2</v>
      </c>
      <c r="W1370">
        <v>1.4E-5</v>
      </c>
      <c r="Y1370" t="s">
        <v>0</v>
      </c>
      <c r="Z1370">
        <v>3000</v>
      </c>
      <c r="AA1370">
        <v>36</v>
      </c>
      <c r="AB1370">
        <v>75</v>
      </c>
      <c r="AC1370">
        <v>0</v>
      </c>
      <c r="AD1370">
        <v>1729948410</v>
      </c>
      <c r="AE1370">
        <v>3487419.42</v>
      </c>
      <c r="AF1370">
        <v>1726721520</v>
      </c>
      <c r="AG1370">
        <v>1726721520</v>
      </c>
      <c r="AH1370">
        <v>-1.8090000000000001E-3</v>
      </c>
      <c r="AI1370">
        <v>-1.8090000000000001E-3</v>
      </c>
    </row>
    <row r="1371" spans="1:35" x14ac:dyDescent="0.35">
      <c r="A1371" t="s">
        <v>0</v>
      </c>
      <c r="B1371">
        <v>4750</v>
      </c>
      <c r="C1371">
        <v>36</v>
      </c>
      <c r="D1371">
        <v>4737</v>
      </c>
      <c r="E1371">
        <v>0</v>
      </c>
      <c r="F1371">
        <v>149190958201</v>
      </c>
      <c r="G1371">
        <v>225185231.78999999</v>
      </c>
      <c r="H1371">
        <v>148166080275.28</v>
      </c>
      <c r="I1371">
        <v>148706136974.32001</v>
      </c>
      <c r="J1371">
        <v>6.2460000000000002E-2</v>
      </c>
      <c r="K1371">
        <v>2.0684999999999999E-2</v>
      </c>
      <c r="M1371" t="s">
        <v>0</v>
      </c>
      <c r="N1371">
        <v>3250</v>
      </c>
      <c r="O1371">
        <v>36</v>
      </c>
      <c r="P1371">
        <v>229</v>
      </c>
      <c r="Q1371">
        <v>0</v>
      </c>
      <c r="R1371">
        <v>4650700794</v>
      </c>
      <c r="S1371">
        <v>8998795.6500000004</v>
      </c>
      <c r="T1371">
        <v>4614431606.4700003</v>
      </c>
      <c r="U1371">
        <v>4632374515.75</v>
      </c>
      <c r="V1371">
        <v>6.8139000000000005E-2</v>
      </c>
      <c r="W1371">
        <v>2.3803999999999999E-2</v>
      </c>
      <c r="Y1371" t="s">
        <v>0</v>
      </c>
      <c r="Z1371">
        <v>3250</v>
      </c>
      <c r="AA1371">
        <v>36</v>
      </c>
      <c r="AB1371">
        <v>108</v>
      </c>
      <c r="AC1371">
        <v>0</v>
      </c>
      <c r="AD1371">
        <v>2226117977</v>
      </c>
      <c r="AE1371">
        <v>4303085.0599999996</v>
      </c>
      <c r="AF1371">
        <v>2179419330</v>
      </c>
      <c r="AG1371">
        <v>2221619953</v>
      </c>
      <c r="AH1371">
        <v>0.20605399999999999</v>
      </c>
      <c r="AI1371">
        <v>1.0499999999999999E-3</v>
      </c>
    </row>
    <row r="1372" spans="1:35" x14ac:dyDescent="0.35">
      <c r="A1372" t="s">
        <v>1</v>
      </c>
      <c r="B1372">
        <v>4750</v>
      </c>
      <c r="C1372">
        <v>36</v>
      </c>
      <c r="D1372">
        <v>3321</v>
      </c>
      <c r="E1372">
        <v>0</v>
      </c>
      <c r="F1372">
        <v>121449505593</v>
      </c>
      <c r="G1372">
        <v>183605094.53999999</v>
      </c>
      <c r="H1372">
        <v>120040055842.7</v>
      </c>
      <c r="I1372">
        <v>120939334640.95</v>
      </c>
      <c r="J1372">
        <v>0.114619</v>
      </c>
      <c r="K1372">
        <v>3.1794000000000003E-2</v>
      </c>
      <c r="M1372" t="s">
        <v>2</v>
      </c>
      <c r="N1372">
        <v>7750</v>
      </c>
      <c r="O1372">
        <v>36</v>
      </c>
      <c r="P1372">
        <v>110</v>
      </c>
      <c r="Q1372">
        <v>0</v>
      </c>
      <c r="R1372">
        <v>1425568447</v>
      </c>
      <c r="S1372">
        <v>1301552.97</v>
      </c>
      <c r="T1372">
        <v>1400405902.53</v>
      </c>
      <c r="U1372">
        <v>1414359888.71</v>
      </c>
      <c r="V1372">
        <v>0.18335799999999999</v>
      </c>
      <c r="W1372">
        <v>8.0279000000000003E-2</v>
      </c>
      <c r="Y1372" t="s">
        <v>1</v>
      </c>
      <c r="Z1372">
        <v>3000</v>
      </c>
      <c r="AA1372">
        <v>36</v>
      </c>
      <c r="AB1372">
        <v>72</v>
      </c>
      <c r="AC1372">
        <v>0</v>
      </c>
      <c r="AD1372">
        <v>2056054924</v>
      </c>
      <c r="AE1372">
        <v>4383322.0999999996</v>
      </c>
      <c r="AF1372">
        <v>2037413247</v>
      </c>
      <c r="AG1372">
        <v>2037413247</v>
      </c>
      <c r="AH1372">
        <v>8.0116000000000007E-2</v>
      </c>
      <c r="AI1372">
        <v>8.0116000000000007E-2</v>
      </c>
    </row>
    <row r="1373" spans="1:35" x14ac:dyDescent="0.35">
      <c r="A1373" t="s">
        <v>0</v>
      </c>
      <c r="B1373">
        <v>2750</v>
      </c>
      <c r="C1373">
        <v>42</v>
      </c>
      <c r="D1373">
        <v>198</v>
      </c>
      <c r="E1373">
        <v>0</v>
      </c>
      <c r="F1373">
        <v>4300778758</v>
      </c>
      <c r="G1373">
        <v>9198262.8900000006</v>
      </c>
      <c r="H1373">
        <v>4270055391.6900001</v>
      </c>
      <c r="I1373">
        <v>4284466558.5</v>
      </c>
      <c r="J1373">
        <v>5.8432999999999999E-2</v>
      </c>
      <c r="K1373">
        <v>1.967E-2</v>
      </c>
      <c r="M1373" t="s">
        <v>0</v>
      </c>
      <c r="N1373">
        <v>8250</v>
      </c>
      <c r="O1373">
        <v>36</v>
      </c>
      <c r="P1373">
        <v>33</v>
      </c>
      <c r="Q1373">
        <v>0</v>
      </c>
      <c r="R1373">
        <v>758840959</v>
      </c>
      <c r="S1373">
        <v>629618.19999999995</v>
      </c>
      <c r="T1373">
        <v>740305611.05999994</v>
      </c>
      <c r="U1373">
        <v>751366213.80999994</v>
      </c>
      <c r="V1373">
        <v>0.24914900000000001</v>
      </c>
      <c r="W1373">
        <v>0.103034</v>
      </c>
      <c r="Y1373" t="s">
        <v>2</v>
      </c>
      <c r="Z1373">
        <v>3250</v>
      </c>
      <c r="AA1373">
        <v>36</v>
      </c>
      <c r="AB1373">
        <v>82</v>
      </c>
      <c r="AC1373">
        <v>0</v>
      </c>
      <c r="AD1373">
        <v>1363345111</v>
      </c>
      <c r="AE1373">
        <v>2745591.14</v>
      </c>
      <c r="AF1373">
        <v>1360768049</v>
      </c>
      <c r="AG1373">
        <v>1360768049</v>
      </c>
      <c r="AH1373">
        <v>-1.4840000000000001E-3</v>
      </c>
      <c r="AI1373">
        <v>-1.4840000000000001E-3</v>
      </c>
    </row>
    <row r="1374" spans="1:35" x14ac:dyDescent="0.35">
      <c r="A1374" t="s">
        <v>0</v>
      </c>
      <c r="B1374">
        <v>8250</v>
      </c>
      <c r="C1374">
        <v>36</v>
      </c>
      <c r="D1374">
        <v>92</v>
      </c>
      <c r="E1374">
        <v>0</v>
      </c>
      <c r="F1374">
        <v>2324446241</v>
      </c>
      <c r="G1374">
        <v>1918185.14</v>
      </c>
      <c r="H1374">
        <v>2267566955.9200001</v>
      </c>
      <c r="I1374">
        <v>2303383075.3899999</v>
      </c>
      <c r="J1374">
        <v>0.24959799999999999</v>
      </c>
      <c r="K1374">
        <v>9.4479999999999995E-2</v>
      </c>
      <c r="M1374" t="s">
        <v>3</v>
      </c>
      <c r="N1374">
        <v>7000</v>
      </c>
      <c r="O1374">
        <v>36</v>
      </c>
      <c r="P1374">
        <v>44</v>
      </c>
      <c r="Q1374">
        <v>0</v>
      </c>
      <c r="R1374">
        <v>1000065145</v>
      </c>
      <c r="S1374">
        <v>1041732.21</v>
      </c>
      <c r="T1374">
        <v>995586077.01999998</v>
      </c>
      <c r="U1374">
        <v>998947509.65999997</v>
      </c>
      <c r="V1374">
        <v>4.0474000000000003E-2</v>
      </c>
      <c r="W1374">
        <v>9.1E-4</v>
      </c>
      <c r="Y1374" t="s">
        <v>1</v>
      </c>
      <c r="Z1374">
        <v>3250</v>
      </c>
      <c r="AA1374">
        <v>36</v>
      </c>
      <c r="AB1374">
        <v>188</v>
      </c>
      <c r="AC1374">
        <v>0</v>
      </c>
      <c r="AD1374">
        <v>5131534398</v>
      </c>
      <c r="AE1374">
        <v>10210639.32</v>
      </c>
      <c r="AF1374">
        <v>5117424286</v>
      </c>
      <c r="AG1374">
        <v>5120993914.75</v>
      </c>
      <c r="AH1374">
        <v>9.0810000000000005E-3</v>
      </c>
      <c r="AI1374">
        <v>7.7099999999999998E-4</v>
      </c>
    </row>
    <row r="1375" spans="1:35" x14ac:dyDescent="0.35">
      <c r="A1375" t="s">
        <v>3</v>
      </c>
      <c r="B1375">
        <v>7000</v>
      </c>
      <c r="C1375">
        <v>36</v>
      </c>
      <c r="D1375">
        <v>65</v>
      </c>
      <c r="E1375">
        <v>0</v>
      </c>
      <c r="F1375">
        <v>1480081046</v>
      </c>
      <c r="G1375">
        <v>1543554.89</v>
      </c>
      <c r="H1375">
        <v>1472032992.8800001</v>
      </c>
      <c r="I1375">
        <v>1477867618.5899999</v>
      </c>
      <c r="J1375">
        <v>5.1479999999999998E-2</v>
      </c>
      <c r="K1375">
        <v>5.4180000000000001E-3</v>
      </c>
      <c r="M1375" t="s">
        <v>3</v>
      </c>
      <c r="N1375">
        <v>6750</v>
      </c>
      <c r="O1375">
        <v>36</v>
      </c>
      <c r="P1375">
        <v>66</v>
      </c>
      <c r="Q1375">
        <v>0</v>
      </c>
      <c r="R1375">
        <v>1643058367</v>
      </c>
      <c r="S1375">
        <v>1783804.82</v>
      </c>
      <c r="T1375">
        <v>1633945897.9100001</v>
      </c>
      <c r="U1375">
        <v>1641262651.03</v>
      </c>
      <c r="V1375">
        <v>5.2231E-2</v>
      </c>
      <c r="W1375">
        <v>8.7000000000000001E-5</v>
      </c>
      <c r="Y1375" t="s">
        <v>2</v>
      </c>
      <c r="Z1375">
        <v>4750</v>
      </c>
      <c r="AA1375">
        <v>30</v>
      </c>
      <c r="AB1375">
        <v>62</v>
      </c>
      <c r="AC1375">
        <v>0</v>
      </c>
      <c r="AD1375">
        <v>1377923968</v>
      </c>
      <c r="AE1375">
        <v>2036045.32</v>
      </c>
      <c r="AF1375">
        <v>1375853105</v>
      </c>
      <c r="AG1375">
        <v>1375853105</v>
      </c>
      <c r="AH1375">
        <v>3.0299999999999999E-4</v>
      </c>
      <c r="AI1375">
        <v>3.0299999999999999E-4</v>
      </c>
    </row>
    <row r="1376" spans="1:35" x14ac:dyDescent="0.35">
      <c r="A1376" t="s">
        <v>1</v>
      </c>
      <c r="B1376">
        <v>3500</v>
      </c>
      <c r="C1376">
        <v>36</v>
      </c>
      <c r="D1376">
        <v>94</v>
      </c>
      <c r="E1376">
        <v>0</v>
      </c>
      <c r="F1376">
        <v>3323341612</v>
      </c>
      <c r="G1376">
        <v>6358380.5899999999</v>
      </c>
      <c r="H1376">
        <v>3274835677.0700002</v>
      </c>
      <c r="I1376">
        <v>3300319377.7600002</v>
      </c>
      <c r="J1376">
        <v>0.142008</v>
      </c>
      <c r="K1376">
        <v>5.8538E-2</v>
      </c>
      <c r="M1376" t="s">
        <v>3</v>
      </c>
      <c r="N1376">
        <v>5500</v>
      </c>
      <c r="O1376">
        <v>36</v>
      </c>
      <c r="P1376">
        <v>27</v>
      </c>
      <c r="Q1376">
        <v>0</v>
      </c>
      <c r="R1376">
        <v>585748172</v>
      </c>
      <c r="S1376">
        <v>791721.66</v>
      </c>
      <c r="T1376">
        <v>581659287.87</v>
      </c>
      <c r="U1376">
        <v>584940718.57000005</v>
      </c>
      <c r="V1376">
        <v>6.5494999999999998E-2</v>
      </c>
      <c r="W1376">
        <v>3.2200000000000002E-4</v>
      </c>
      <c r="Y1376" t="s">
        <v>0</v>
      </c>
      <c r="Z1376">
        <v>4750</v>
      </c>
      <c r="AA1376">
        <v>30</v>
      </c>
      <c r="AB1376">
        <v>2056</v>
      </c>
      <c r="AC1376">
        <v>0</v>
      </c>
      <c r="AD1376">
        <v>64630911096</v>
      </c>
      <c r="AE1376">
        <v>94936059.230000004</v>
      </c>
      <c r="AF1376">
        <v>64300270150</v>
      </c>
      <c r="AG1376">
        <v>64379551791.879997</v>
      </c>
      <c r="AH1376">
        <v>4.2895999999999997E-2</v>
      </c>
      <c r="AI1376">
        <v>2.8660000000000001E-2</v>
      </c>
    </row>
    <row r="1377" spans="1:35" x14ac:dyDescent="0.35">
      <c r="A1377" t="s">
        <v>2</v>
      </c>
      <c r="B1377">
        <v>7500</v>
      </c>
      <c r="C1377">
        <v>42</v>
      </c>
      <c r="D1377">
        <v>37</v>
      </c>
      <c r="E1377">
        <v>0</v>
      </c>
      <c r="F1377">
        <v>561687146</v>
      </c>
      <c r="G1377">
        <v>545618.97</v>
      </c>
      <c r="H1377">
        <v>552547466.66999996</v>
      </c>
      <c r="I1377">
        <v>559497327.44000006</v>
      </c>
      <c r="J1377">
        <v>0.16891600000000001</v>
      </c>
      <c r="K1377">
        <v>3.4567000000000001E-2</v>
      </c>
      <c r="M1377" t="s">
        <v>2</v>
      </c>
      <c r="N1377">
        <v>7250</v>
      </c>
      <c r="O1377">
        <v>42</v>
      </c>
      <c r="P1377">
        <v>1</v>
      </c>
      <c r="Q1377">
        <v>0</v>
      </c>
      <c r="R1377">
        <v>17072325</v>
      </c>
      <c r="S1377">
        <v>17318.71</v>
      </c>
      <c r="T1377">
        <v>16822621.41</v>
      </c>
      <c r="U1377">
        <v>17055001.989999998</v>
      </c>
      <c r="V1377">
        <v>0.15165100000000001</v>
      </c>
      <c r="W1377">
        <v>3.0000000000000001E-6</v>
      </c>
      <c r="Y1377" t="s">
        <v>1</v>
      </c>
      <c r="Z1377">
        <v>4750</v>
      </c>
      <c r="AA1377">
        <v>30</v>
      </c>
      <c r="AB1377">
        <v>1190</v>
      </c>
      <c r="AC1377">
        <v>0</v>
      </c>
      <c r="AD1377">
        <v>43398824049</v>
      </c>
      <c r="AE1377">
        <v>63893866.049999997</v>
      </c>
      <c r="AF1377">
        <v>43195739565</v>
      </c>
      <c r="AG1377">
        <v>43303245641.459999</v>
      </c>
      <c r="AH1377">
        <v>3.7815000000000001E-2</v>
      </c>
      <c r="AI1377">
        <v>8.7259999999999994E-3</v>
      </c>
    </row>
    <row r="1378" spans="1:35" x14ac:dyDescent="0.35">
      <c r="A1378" t="s">
        <v>1</v>
      </c>
      <c r="B1378">
        <v>7500</v>
      </c>
      <c r="C1378">
        <v>42</v>
      </c>
      <c r="D1378">
        <v>126</v>
      </c>
      <c r="E1378">
        <v>0</v>
      </c>
      <c r="F1378">
        <v>2457472376</v>
      </c>
      <c r="G1378">
        <v>2393583.2999999998</v>
      </c>
      <c r="H1378">
        <v>2371923833.98</v>
      </c>
      <c r="I1378">
        <v>2430161880.2800002</v>
      </c>
      <c r="J1378">
        <v>0.338391</v>
      </c>
      <c r="K1378">
        <v>0.11511</v>
      </c>
      <c r="M1378" t="s">
        <v>3</v>
      </c>
      <c r="N1378">
        <v>4750</v>
      </c>
      <c r="O1378">
        <v>36</v>
      </c>
      <c r="P1378">
        <v>13</v>
      </c>
      <c r="Q1378">
        <v>0</v>
      </c>
      <c r="R1378">
        <v>273552418</v>
      </c>
      <c r="S1378">
        <v>417420.48</v>
      </c>
      <c r="T1378">
        <v>271636564.31</v>
      </c>
      <c r="U1378">
        <v>273132566.94</v>
      </c>
      <c r="V1378">
        <v>6.3787999999999997E-2</v>
      </c>
      <c r="W1378">
        <v>1.07E-4</v>
      </c>
      <c r="Y1378" t="s">
        <v>0</v>
      </c>
      <c r="Z1378">
        <v>2750</v>
      </c>
      <c r="AA1378">
        <v>42</v>
      </c>
      <c r="AB1378">
        <v>396</v>
      </c>
      <c r="AC1378">
        <v>0</v>
      </c>
      <c r="AD1378">
        <v>9018165625</v>
      </c>
      <c r="AE1378">
        <v>19300752.350000001</v>
      </c>
      <c r="AF1378">
        <v>8967692714</v>
      </c>
      <c r="AG1378">
        <v>8998431875.2600002</v>
      </c>
      <c r="AH1378">
        <v>4.07E-2</v>
      </c>
      <c r="AI1378">
        <v>5.7600000000000001E-4</v>
      </c>
    </row>
    <row r="1379" spans="1:35" x14ac:dyDescent="0.35">
      <c r="A1379" t="s">
        <v>2</v>
      </c>
      <c r="B1379">
        <v>7500</v>
      </c>
      <c r="C1379">
        <v>36</v>
      </c>
      <c r="D1379">
        <v>66</v>
      </c>
      <c r="E1379">
        <v>0</v>
      </c>
      <c r="F1379">
        <v>851215763</v>
      </c>
      <c r="G1379">
        <v>810447.93</v>
      </c>
      <c r="H1379">
        <v>833516709.41999996</v>
      </c>
      <c r="I1379">
        <v>841215515.77999997</v>
      </c>
      <c r="J1379">
        <v>0.21375</v>
      </c>
      <c r="K1379">
        <v>0.122131</v>
      </c>
      <c r="M1379" t="s">
        <v>3</v>
      </c>
      <c r="N1379">
        <v>5250</v>
      </c>
      <c r="O1379">
        <v>36</v>
      </c>
      <c r="P1379">
        <v>33</v>
      </c>
      <c r="Q1379">
        <v>0</v>
      </c>
      <c r="R1379">
        <v>983157000</v>
      </c>
      <c r="S1379">
        <v>1388864.76</v>
      </c>
      <c r="T1379">
        <v>978425771.28999996</v>
      </c>
      <c r="U1379">
        <v>981768106.22000003</v>
      </c>
      <c r="V1379">
        <v>4.0041E-2</v>
      </c>
      <c r="W1379">
        <v>0</v>
      </c>
      <c r="Y1379" t="s">
        <v>3</v>
      </c>
      <c r="Z1379">
        <v>6000</v>
      </c>
      <c r="AA1379">
        <v>30</v>
      </c>
      <c r="AB1379">
        <v>19</v>
      </c>
      <c r="AC1379">
        <v>0</v>
      </c>
      <c r="AD1379">
        <v>523570663</v>
      </c>
      <c r="AE1379">
        <v>625483.1</v>
      </c>
      <c r="AF1379">
        <v>522936169</v>
      </c>
      <c r="AG1379">
        <v>522936169</v>
      </c>
      <c r="AH1379">
        <v>2.0699999999999999E-4</v>
      </c>
      <c r="AI1379">
        <v>2.0699999999999999E-4</v>
      </c>
    </row>
    <row r="1380" spans="1:35" x14ac:dyDescent="0.35">
      <c r="A1380" t="s">
        <v>1</v>
      </c>
      <c r="B1380">
        <v>7250</v>
      </c>
      <c r="C1380">
        <v>20</v>
      </c>
      <c r="D1380">
        <v>3082</v>
      </c>
      <c r="E1380">
        <v>0</v>
      </c>
      <c r="F1380">
        <v>86235894216</v>
      </c>
      <c r="G1380">
        <v>77988045.299999997</v>
      </c>
      <c r="H1380">
        <v>80527833680.509995</v>
      </c>
      <c r="I1380">
        <v>85039434296.869995</v>
      </c>
      <c r="J1380">
        <v>0.55522499999999997</v>
      </c>
      <c r="K1380">
        <v>0.14500299999999999</v>
      </c>
      <c r="M1380" t="s">
        <v>3</v>
      </c>
      <c r="N1380">
        <v>5000</v>
      </c>
      <c r="O1380">
        <v>36</v>
      </c>
      <c r="P1380">
        <v>6</v>
      </c>
      <c r="Q1380">
        <v>0</v>
      </c>
      <c r="R1380">
        <v>157947425</v>
      </c>
      <c r="S1380">
        <v>232070.79</v>
      </c>
      <c r="T1380">
        <v>156599849.03999999</v>
      </c>
      <c r="U1380">
        <v>157715353</v>
      </c>
      <c r="V1380">
        <v>8.1533999999999995E-2</v>
      </c>
      <c r="W1380">
        <v>0</v>
      </c>
      <c r="Y1380" t="s">
        <v>3</v>
      </c>
      <c r="Z1380">
        <v>7000</v>
      </c>
      <c r="AA1380">
        <v>30</v>
      </c>
      <c r="AB1380">
        <v>78</v>
      </c>
      <c r="AC1380">
        <v>0</v>
      </c>
      <c r="AD1380">
        <v>1980378076</v>
      </c>
      <c r="AE1380">
        <v>1985266.1</v>
      </c>
      <c r="AF1380">
        <v>1977861306</v>
      </c>
      <c r="AG1380">
        <v>1977861306</v>
      </c>
      <c r="AH1380">
        <v>3.2160000000000001E-3</v>
      </c>
      <c r="AI1380">
        <v>3.2160000000000001E-3</v>
      </c>
    </row>
    <row r="1381" spans="1:35" x14ac:dyDescent="0.35">
      <c r="A1381" t="s">
        <v>3</v>
      </c>
      <c r="B1381">
        <v>7250</v>
      </c>
      <c r="C1381">
        <v>42</v>
      </c>
      <c r="D1381">
        <v>13</v>
      </c>
      <c r="E1381">
        <v>0</v>
      </c>
      <c r="F1381">
        <v>279629832</v>
      </c>
      <c r="G1381">
        <v>287950.8</v>
      </c>
      <c r="H1381">
        <v>277435589.19999999</v>
      </c>
      <c r="I1381">
        <v>279341866.16000003</v>
      </c>
      <c r="J1381">
        <v>7.8808000000000003E-2</v>
      </c>
      <c r="K1381">
        <v>9.9999999999999995E-7</v>
      </c>
      <c r="M1381" t="s">
        <v>0</v>
      </c>
      <c r="N1381">
        <v>3000</v>
      </c>
      <c r="O1381">
        <v>36</v>
      </c>
      <c r="P1381">
        <v>125</v>
      </c>
      <c r="Q1381">
        <v>0</v>
      </c>
      <c r="R1381">
        <v>2826421946</v>
      </c>
      <c r="S1381">
        <v>5694325.6799999997</v>
      </c>
      <c r="T1381">
        <v>2805987803.6700001</v>
      </c>
      <c r="U1381">
        <v>2816917340.2800002</v>
      </c>
      <c r="V1381">
        <v>6.0816000000000002E-2</v>
      </c>
      <c r="W1381">
        <v>1.6057999999999999E-2</v>
      </c>
      <c r="Y1381" t="s">
        <v>3</v>
      </c>
      <c r="Z1381">
        <v>6750</v>
      </c>
      <c r="AA1381">
        <v>30</v>
      </c>
      <c r="AB1381">
        <v>84</v>
      </c>
      <c r="AC1381">
        <v>0</v>
      </c>
      <c r="AD1381">
        <v>2058587104</v>
      </c>
      <c r="AE1381">
        <v>2156308.0099999998</v>
      </c>
      <c r="AF1381">
        <v>2056246447</v>
      </c>
      <c r="AG1381">
        <v>2056246447</v>
      </c>
      <c r="AH1381">
        <v>1.0740000000000001E-3</v>
      </c>
      <c r="AI1381">
        <v>1.0740000000000001E-3</v>
      </c>
    </row>
    <row r="1382" spans="1:35" x14ac:dyDescent="0.35">
      <c r="A1382" t="s">
        <v>3</v>
      </c>
      <c r="B1382">
        <v>7500</v>
      </c>
      <c r="C1382">
        <v>42</v>
      </c>
      <c r="D1382">
        <v>4</v>
      </c>
      <c r="E1382">
        <v>0</v>
      </c>
      <c r="F1382">
        <v>57975114</v>
      </c>
      <c r="G1382">
        <v>56542.22</v>
      </c>
      <c r="H1382">
        <v>57680588.25</v>
      </c>
      <c r="I1382">
        <v>57918571.409999996</v>
      </c>
      <c r="J1382">
        <v>4.8162000000000003E-2</v>
      </c>
      <c r="K1382">
        <v>0</v>
      </c>
      <c r="M1382" t="s">
        <v>2</v>
      </c>
      <c r="N1382">
        <v>3250</v>
      </c>
      <c r="O1382">
        <v>36</v>
      </c>
      <c r="P1382">
        <v>97</v>
      </c>
      <c r="Q1382">
        <v>0</v>
      </c>
      <c r="R1382">
        <v>1553063446</v>
      </c>
      <c r="S1382">
        <v>3160358.2</v>
      </c>
      <c r="T1382">
        <v>1536243992.8099999</v>
      </c>
      <c r="U1382">
        <v>1542742535.05</v>
      </c>
      <c r="V1382">
        <v>0.100581</v>
      </c>
      <c r="W1382">
        <v>5.3946000000000001E-2</v>
      </c>
      <c r="Y1382" t="s">
        <v>1</v>
      </c>
      <c r="Z1382">
        <v>3500</v>
      </c>
      <c r="AA1382">
        <v>36</v>
      </c>
      <c r="AB1382">
        <v>107</v>
      </c>
      <c r="AC1382">
        <v>0</v>
      </c>
      <c r="AD1382">
        <v>4006520268</v>
      </c>
      <c r="AE1382">
        <v>7606479.0099999998</v>
      </c>
      <c r="AF1382">
        <v>3998818775</v>
      </c>
      <c r="AG1382">
        <v>3998818775</v>
      </c>
      <c r="AH1382">
        <v>2.8499999999999999E-4</v>
      </c>
      <c r="AI1382">
        <v>2.8499999999999999E-4</v>
      </c>
    </row>
    <row r="1383" spans="1:35" x14ac:dyDescent="0.35">
      <c r="A1383" t="s">
        <v>3</v>
      </c>
      <c r="B1383">
        <v>7750</v>
      </c>
      <c r="C1383">
        <v>42</v>
      </c>
      <c r="D1383">
        <v>3</v>
      </c>
      <c r="E1383">
        <v>0</v>
      </c>
      <c r="F1383">
        <v>82359917</v>
      </c>
      <c r="G1383">
        <v>77828.350000000006</v>
      </c>
      <c r="H1383">
        <v>81728740.469999999</v>
      </c>
      <c r="I1383">
        <v>82279513.930000007</v>
      </c>
      <c r="J1383">
        <v>7.7710000000000001E-2</v>
      </c>
      <c r="K1383">
        <v>3.7500000000000001E-4</v>
      </c>
      <c r="M1383" t="s">
        <v>1</v>
      </c>
      <c r="N1383">
        <v>3250</v>
      </c>
      <c r="O1383">
        <v>36</v>
      </c>
      <c r="P1383">
        <v>339</v>
      </c>
      <c r="Q1383">
        <v>0</v>
      </c>
      <c r="R1383">
        <v>9408888093</v>
      </c>
      <c r="S1383">
        <v>18606745.23</v>
      </c>
      <c r="T1383">
        <v>9246315633.4799995</v>
      </c>
      <c r="U1383">
        <v>9304418376.3299999</v>
      </c>
      <c r="V1383">
        <v>0.16892199999999999</v>
      </c>
      <c r="W1383">
        <v>0.104176</v>
      </c>
      <c r="Y1383" t="s">
        <v>2</v>
      </c>
      <c r="Z1383">
        <v>7500</v>
      </c>
      <c r="AA1383">
        <v>36</v>
      </c>
      <c r="AB1383">
        <v>90</v>
      </c>
      <c r="AC1383">
        <v>0</v>
      </c>
      <c r="AD1383">
        <v>1224334088</v>
      </c>
      <c r="AE1383">
        <v>1168507</v>
      </c>
      <c r="AF1383">
        <v>1205357937</v>
      </c>
      <c r="AG1383">
        <v>1223032330.5999999</v>
      </c>
      <c r="AH1383">
        <v>0.16123000000000001</v>
      </c>
      <c r="AI1383">
        <v>1.305E-3</v>
      </c>
    </row>
    <row r="1384" spans="1:35" x14ac:dyDescent="0.35">
      <c r="A1384" t="s">
        <v>3</v>
      </c>
      <c r="B1384">
        <v>6500</v>
      </c>
      <c r="C1384">
        <v>36</v>
      </c>
      <c r="D1384">
        <v>40</v>
      </c>
      <c r="E1384">
        <v>0</v>
      </c>
      <c r="F1384">
        <v>879987015</v>
      </c>
      <c r="G1384">
        <v>994382.53</v>
      </c>
      <c r="H1384">
        <v>873954891.04999995</v>
      </c>
      <c r="I1384">
        <v>878927018.70000005</v>
      </c>
      <c r="J1384">
        <v>6.6574999999999995E-2</v>
      </c>
      <c r="K1384">
        <v>8.9400000000000005E-4</v>
      </c>
      <c r="M1384" t="s">
        <v>2</v>
      </c>
      <c r="N1384">
        <v>4750</v>
      </c>
      <c r="O1384">
        <v>30</v>
      </c>
      <c r="P1384">
        <v>111</v>
      </c>
      <c r="Q1384">
        <v>0</v>
      </c>
      <c r="R1384">
        <v>2561541963</v>
      </c>
      <c r="S1384">
        <v>3772773.46</v>
      </c>
      <c r="T1384">
        <v>2542147477.6900001</v>
      </c>
      <c r="U1384">
        <v>2550478394.7800002</v>
      </c>
      <c r="V1384">
        <v>7.0777000000000007E-2</v>
      </c>
      <c r="W1384">
        <v>3.3625000000000002E-2</v>
      </c>
      <c r="Y1384" t="s">
        <v>2</v>
      </c>
      <c r="Z1384">
        <v>7750</v>
      </c>
      <c r="AA1384">
        <v>42</v>
      </c>
      <c r="AB1384">
        <v>1</v>
      </c>
      <c r="AC1384">
        <v>0</v>
      </c>
      <c r="AD1384">
        <v>12885739</v>
      </c>
      <c r="AE1384">
        <v>12155.05</v>
      </c>
      <c r="AF1384">
        <v>12871044</v>
      </c>
      <c r="AG1384">
        <v>12871044</v>
      </c>
      <c r="AH1384">
        <v>2.3630000000000001E-3</v>
      </c>
      <c r="AI1384">
        <v>2.3630000000000001E-3</v>
      </c>
    </row>
    <row r="1385" spans="1:35" x14ac:dyDescent="0.35">
      <c r="A1385" t="s">
        <v>3</v>
      </c>
      <c r="B1385">
        <v>7250</v>
      </c>
      <c r="C1385">
        <v>36</v>
      </c>
      <c r="D1385">
        <v>24</v>
      </c>
      <c r="E1385">
        <v>0</v>
      </c>
      <c r="F1385">
        <v>615716444</v>
      </c>
      <c r="G1385">
        <v>616846.75</v>
      </c>
      <c r="H1385">
        <v>612030618.83000004</v>
      </c>
      <c r="I1385">
        <v>615086709.25999999</v>
      </c>
      <c r="J1385">
        <v>5.8200000000000002E-2</v>
      </c>
      <c r="K1385">
        <v>2.5099999999999998E-4</v>
      </c>
      <c r="M1385" t="s">
        <v>0</v>
      </c>
      <c r="N1385">
        <v>4750</v>
      </c>
      <c r="O1385">
        <v>30</v>
      </c>
      <c r="P1385">
        <v>3403</v>
      </c>
      <c r="Q1385">
        <v>0</v>
      </c>
      <c r="R1385">
        <v>107902556558</v>
      </c>
      <c r="S1385">
        <v>158387758.65000001</v>
      </c>
      <c r="T1385">
        <v>107288966544.53</v>
      </c>
      <c r="U1385">
        <v>107641797240.32001</v>
      </c>
      <c r="V1385">
        <v>4.9465000000000002E-2</v>
      </c>
      <c r="W1385">
        <v>1.1325999999999999E-2</v>
      </c>
      <c r="Y1385" t="s">
        <v>2</v>
      </c>
      <c r="Z1385">
        <v>7500</v>
      </c>
      <c r="AA1385">
        <v>42</v>
      </c>
      <c r="AB1385">
        <v>6</v>
      </c>
      <c r="AC1385">
        <v>0</v>
      </c>
      <c r="AD1385">
        <v>89354116</v>
      </c>
      <c r="AE1385">
        <v>86839.83</v>
      </c>
      <c r="AF1385">
        <v>89304504</v>
      </c>
      <c r="AG1385">
        <v>89304504</v>
      </c>
      <c r="AH1385">
        <v>-5.0109999999999998E-3</v>
      </c>
      <c r="AI1385">
        <v>-5.0109999999999998E-3</v>
      </c>
    </row>
    <row r="1386" spans="1:35" x14ac:dyDescent="0.35">
      <c r="A1386" t="s">
        <v>3</v>
      </c>
      <c r="B1386">
        <v>5750</v>
      </c>
      <c r="C1386">
        <v>36</v>
      </c>
      <c r="D1386">
        <v>33</v>
      </c>
      <c r="E1386">
        <v>0</v>
      </c>
      <c r="F1386">
        <v>841719830</v>
      </c>
      <c r="G1386">
        <v>1086701.5900000001</v>
      </c>
      <c r="H1386">
        <v>835727460.96000004</v>
      </c>
      <c r="I1386">
        <v>839020466.27999997</v>
      </c>
      <c r="J1386">
        <v>6.7738999999999994E-2</v>
      </c>
      <c r="K1386">
        <v>2.2749999999999999E-2</v>
      </c>
      <c r="M1386" t="s">
        <v>1</v>
      </c>
      <c r="N1386">
        <v>4750</v>
      </c>
      <c r="O1386">
        <v>30</v>
      </c>
      <c r="P1386">
        <v>2415</v>
      </c>
      <c r="Q1386">
        <v>0</v>
      </c>
      <c r="R1386">
        <v>88206089401</v>
      </c>
      <c r="S1386">
        <v>129797377.5</v>
      </c>
      <c r="T1386">
        <v>87208603682.979996</v>
      </c>
      <c r="U1386">
        <v>87853979286.970001</v>
      </c>
      <c r="V1386">
        <v>0.111863</v>
      </c>
      <c r="W1386">
        <v>2.9829000000000001E-2</v>
      </c>
      <c r="Y1386" t="s">
        <v>1</v>
      </c>
      <c r="Z1386">
        <v>7500</v>
      </c>
      <c r="AA1386">
        <v>42</v>
      </c>
      <c r="AB1386">
        <v>26</v>
      </c>
      <c r="AC1386">
        <v>0</v>
      </c>
      <c r="AD1386">
        <v>454219667</v>
      </c>
      <c r="AE1386">
        <v>443731.54</v>
      </c>
      <c r="AF1386">
        <v>453727623</v>
      </c>
      <c r="AG1386">
        <v>453727623</v>
      </c>
      <c r="AH1386">
        <v>1.276E-3</v>
      </c>
      <c r="AI1386">
        <v>1.276E-3</v>
      </c>
    </row>
    <row r="1387" spans="1:35" x14ac:dyDescent="0.35">
      <c r="A1387" t="s">
        <v>3</v>
      </c>
      <c r="B1387">
        <v>6500</v>
      </c>
      <c r="C1387">
        <v>30</v>
      </c>
      <c r="D1387">
        <v>44</v>
      </c>
      <c r="E1387">
        <v>0</v>
      </c>
      <c r="F1387">
        <v>1066498806</v>
      </c>
      <c r="G1387">
        <v>1163676.44</v>
      </c>
      <c r="H1387">
        <v>1060217385.54</v>
      </c>
      <c r="I1387">
        <v>1065333402.26</v>
      </c>
      <c r="J1387">
        <v>5.6087999999999999E-2</v>
      </c>
      <c r="K1387">
        <v>1.9000000000000001E-5</v>
      </c>
      <c r="M1387" t="s">
        <v>3</v>
      </c>
      <c r="N1387">
        <v>6750</v>
      </c>
      <c r="O1387">
        <v>30</v>
      </c>
      <c r="P1387">
        <v>86</v>
      </c>
      <c r="Q1387">
        <v>0</v>
      </c>
      <c r="R1387">
        <v>2163011942</v>
      </c>
      <c r="S1387">
        <v>2256000.33</v>
      </c>
      <c r="T1387">
        <v>2148699737.71</v>
      </c>
      <c r="U1387">
        <v>2160369648.2600002</v>
      </c>
      <c r="V1387">
        <v>6.4873E-2</v>
      </c>
      <c r="W1387">
        <v>2.1410000000000001E-3</v>
      </c>
      <c r="Y1387" t="s">
        <v>3</v>
      </c>
      <c r="Z1387">
        <v>6750</v>
      </c>
      <c r="AA1387">
        <v>42</v>
      </c>
      <c r="AB1387">
        <v>12</v>
      </c>
      <c r="AC1387">
        <v>0</v>
      </c>
      <c r="AD1387">
        <v>313260101</v>
      </c>
      <c r="AE1387">
        <v>348646.86</v>
      </c>
      <c r="AF1387">
        <v>273706568</v>
      </c>
      <c r="AG1387">
        <v>312949712.24000001</v>
      </c>
      <c r="AH1387">
        <v>0.79900000000000004</v>
      </c>
      <c r="AI1387">
        <v>-1.467E-3</v>
      </c>
    </row>
    <row r="1388" spans="1:35" x14ac:dyDescent="0.35">
      <c r="A1388" t="s">
        <v>3</v>
      </c>
      <c r="B1388">
        <v>6250</v>
      </c>
      <c r="C1388">
        <v>30</v>
      </c>
      <c r="D1388">
        <v>33</v>
      </c>
      <c r="E1388">
        <v>0</v>
      </c>
      <c r="F1388">
        <v>791840706</v>
      </c>
      <c r="G1388">
        <v>901559.28</v>
      </c>
      <c r="H1388">
        <v>786324313.25999999</v>
      </c>
      <c r="I1388">
        <v>790935817.25</v>
      </c>
      <c r="J1388">
        <v>6.7737000000000006E-2</v>
      </c>
      <c r="K1388">
        <v>5.0000000000000002E-5</v>
      </c>
      <c r="M1388" t="s">
        <v>3</v>
      </c>
      <c r="N1388">
        <v>6000</v>
      </c>
      <c r="O1388">
        <v>30</v>
      </c>
      <c r="P1388">
        <v>26</v>
      </c>
      <c r="Q1388">
        <v>0</v>
      </c>
      <c r="R1388">
        <v>685540230</v>
      </c>
      <c r="S1388">
        <v>816651.83</v>
      </c>
      <c r="T1388">
        <v>680719227.41999996</v>
      </c>
      <c r="U1388">
        <v>684707961.25</v>
      </c>
      <c r="V1388">
        <v>6.7885000000000001E-2</v>
      </c>
      <c r="W1388">
        <v>2.7300000000000002E-4</v>
      </c>
      <c r="Y1388" t="s">
        <v>3</v>
      </c>
      <c r="Z1388">
        <v>7250</v>
      </c>
      <c r="AA1388">
        <v>42</v>
      </c>
      <c r="AB1388">
        <v>7</v>
      </c>
      <c r="AC1388">
        <v>0</v>
      </c>
      <c r="AD1388">
        <v>174505153</v>
      </c>
      <c r="AE1388">
        <v>179328.66</v>
      </c>
      <c r="AF1388">
        <v>174311738</v>
      </c>
      <c r="AG1388">
        <v>174311738</v>
      </c>
      <c r="AH1388">
        <v>9.68E-4</v>
      </c>
      <c r="AI1388">
        <v>9.68E-4</v>
      </c>
    </row>
    <row r="1389" spans="1:35" x14ac:dyDescent="0.35">
      <c r="A1389" t="s">
        <v>3</v>
      </c>
      <c r="B1389">
        <v>7250</v>
      </c>
      <c r="C1389">
        <v>24</v>
      </c>
      <c r="D1389">
        <v>45</v>
      </c>
      <c r="E1389">
        <v>0</v>
      </c>
      <c r="F1389">
        <v>1172556231</v>
      </c>
      <c r="G1389">
        <v>1080113.25</v>
      </c>
      <c r="H1389">
        <v>1164958484.1199999</v>
      </c>
      <c r="I1389">
        <v>1170560832.96</v>
      </c>
      <c r="J1389">
        <v>6.4699999999999994E-2</v>
      </c>
      <c r="K1389">
        <v>9.3270000000000002E-3</v>
      </c>
      <c r="M1389" t="s">
        <v>3</v>
      </c>
      <c r="N1389">
        <v>7000</v>
      </c>
      <c r="O1389">
        <v>30</v>
      </c>
      <c r="P1389">
        <v>84</v>
      </c>
      <c r="Q1389">
        <v>0</v>
      </c>
      <c r="R1389">
        <v>2204232545</v>
      </c>
      <c r="S1389">
        <v>2208295.36</v>
      </c>
      <c r="T1389">
        <v>2190509213.9699998</v>
      </c>
      <c r="U1389">
        <v>2201948425.27</v>
      </c>
      <c r="V1389">
        <v>6.0918E-2</v>
      </c>
      <c r="W1389">
        <v>4.1300000000000001E-4</v>
      </c>
      <c r="Y1389" t="s">
        <v>3</v>
      </c>
      <c r="Z1389">
        <v>5750</v>
      </c>
      <c r="AA1389">
        <v>36</v>
      </c>
      <c r="AB1389">
        <v>32</v>
      </c>
      <c r="AC1389">
        <v>0</v>
      </c>
      <c r="AD1389">
        <v>808283608</v>
      </c>
      <c r="AE1389">
        <v>1039184.88</v>
      </c>
      <c r="AF1389">
        <v>806954233</v>
      </c>
      <c r="AG1389">
        <v>806954233</v>
      </c>
      <c r="AH1389">
        <v>4.3E-3</v>
      </c>
      <c r="AI1389">
        <v>4.3E-3</v>
      </c>
    </row>
    <row r="1390" spans="1:35" x14ac:dyDescent="0.35">
      <c r="A1390" t="s">
        <v>3</v>
      </c>
      <c r="B1390">
        <v>6750</v>
      </c>
      <c r="C1390">
        <v>30</v>
      </c>
      <c r="D1390">
        <v>80</v>
      </c>
      <c r="E1390">
        <v>0</v>
      </c>
      <c r="F1390">
        <v>1927917247</v>
      </c>
      <c r="G1390">
        <v>2019074.89</v>
      </c>
      <c r="H1390">
        <v>1914716903.8</v>
      </c>
      <c r="I1390">
        <v>1925893775.6800001</v>
      </c>
      <c r="J1390">
        <v>6.7418000000000006E-2</v>
      </c>
      <c r="K1390">
        <v>2.6999999999999999E-5</v>
      </c>
      <c r="M1390" t="s">
        <v>1</v>
      </c>
      <c r="N1390">
        <v>3500</v>
      </c>
      <c r="O1390">
        <v>36</v>
      </c>
      <c r="P1390">
        <v>188</v>
      </c>
      <c r="Q1390">
        <v>0</v>
      </c>
      <c r="R1390">
        <v>7285865415</v>
      </c>
      <c r="S1390">
        <v>13771694.48</v>
      </c>
      <c r="T1390">
        <v>7193697562.6999998</v>
      </c>
      <c r="U1390">
        <v>7245082581.5299997</v>
      </c>
      <c r="V1390">
        <v>0.12174699999999999</v>
      </c>
      <c r="W1390">
        <v>4.3591999999999999E-2</v>
      </c>
      <c r="Y1390" t="s">
        <v>3</v>
      </c>
      <c r="Z1390">
        <v>7250</v>
      </c>
      <c r="AA1390">
        <v>36</v>
      </c>
      <c r="AB1390">
        <v>26</v>
      </c>
      <c r="AC1390">
        <v>0</v>
      </c>
      <c r="AD1390">
        <v>655524398</v>
      </c>
      <c r="AE1390">
        <v>655832.26</v>
      </c>
      <c r="AF1390">
        <v>654878520</v>
      </c>
      <c r="AG1390">
        <v>654878520</v>
      </c>
      <c r="AH1390">
        <v>-1.8200000000000001E-4</v>
      </c>
      <c r="AI1390">
        <v>-1.8200000000000001E-4</v>
      </c>
    </row>
    <row r="1391" spans="1:35" x14ac:dyDescent="0.35">
      <c r="A1391" t="s">
        <v>3</v>
      </c>
      <c r="B1391">
        <v>5750</v>
      </c>
      <c r="C1391">
        <v>24</v>
      </c>
      <c r="D1391">
        <v>23</v>
      </c>
      <c r="E1391">
        <v>0</v>
      </c>
      <c r="F1391">
        <v>634211711</v>
      </c>
      <c r="G1391">
        <v>757170.13</v>
      </c>
      <c r="H1391">
        <v>630384462.63999999</v>
      </c>
      <c r="I1391">
        <v>633454495.67999995</v>
      </c>
      <c r="J1391">
        <v>5.6566999999999999E-2</v>
      </c>
      <c r="K1391">
        <v>9.9999999999999995E-7</v>
      </c>
      <c r="M1391" t="s">
        <v>1</v>
      </c>
      <c r="N1391">
        <v>3750</v>
      </c>
      <c r="O1391">
        <v>36</v>
      </c>
      <c r="P1391">
        <v>630</v>
      </c>
      <c r="Q1391">
        <v>0</v>
      </c>
      <c r="R1391">
        <v>21960253316</v>
      </c>
      <c r="S1391">
        <v>39710428.18</v>
      </c>
      <c r="T1391">
        <v>21712875287.939999</v>
      </c>
      <c r="U1391">
        <v>21867930712.599998</v>
      </c>
      <c r="V1391">
        <v>0.10775800000000001</v>
      </c>
      <c r="W1391">
        <v>2.8374E-2</v>
      </c>
      <c r="Y1391" t="s">
        <v>3</v>
      </c>
      <c r="Z1391">
        <v>7500</v>
      </c>
      <c r="AA1391">
        <v>42</v>
      </c>
      <c r="AB1391">
        <v>1</v>
      </c>
      <c r="AC1391">
        <v>0</v>
      </c>
      <c r="AD1391">
        <v>22576488</v>
      </c>
      <c r="AE1391">
        <v>22251.08</v>
      </c>
      <c r="AF1391">
        <v>22554203</v>
      </c>
      <c r="AG1391">
        <v>22554203</v>
      </c>
      <c r="AH1391">
        <v>1.8E-5</v>
      </c>
      <c r="AI1391">
        <v>1.8E-5</v>
      </c>
    </row>
    <row r="1392" spans="1:35" x14ac:dyDescent="0.35">
      <c r="A1392" t="s">
        <v>3</v>
      </c>
      <c r="B1392">
        <v>6250</v>
      </c>
      <c r="C1392">
        <v>24</v>
      </c>
      <c r="D1392">
        <v>86</v>
      </c>
      <c r="E1392">
        <v>0</v>
      </c>
      <c r="F1392">
        <v>2173056938</v>
      </c>
      <c r="G1392">
        <v>2388424.37</v>
      </c>
      <c r="H1392">
        <v>2160313645.1900001</v>
      </c>
      <c r="I1392">
        <v>2170668310.5100002</v>
      </c>
      <c r="J1392">
        <v>5.5705999999999999E-2</v>
      </c>
      <c r="K1392">
        <v>9.9999999999999995E-7</v>
      </c>
      <c r="M1392" t="s">
        <v>2</v>
      </c>
      <c r="N1392">
        <v>7500</v>
      </c>
      <c r="O1392">
        <v>36</v>
      </c>
      <c r="P1392">
        <v>81</v>
      </c>
      <c r="Q1392">
        <v>0</v>
      </c>
      <c r="R1392">
        <v>1104877385</v>
      </c>
      <c r="S1392">
        <v>1045993.88</v>
      </c>
      <c r="T1392">
        <v>1083643158.1400001</v>
      </c>
      <c r="U1392">
        <v>1095261873.6099999</v>
      </c>
      <c r="V1392">
        <v>0.198517</v>
      </c>
      <c r="W1392">
        <v>8.9203000000000005E-2</v>
      </c>
      <c r="Y1392" t="s">
        <v>3</v>
      </c>
      <c r="Z1392">
        <v>7750</v>
      </c>
      <c r="AA1392">
        <v>42</v>
      </c>
      <c r="AB1392">
        <v>1</v>
      </c>
      <c r="AC1392">
        <v>0</v>
      </c>
      <c r="AD1392">
        <v>20121453</v>
      </c>
      <c r="AE1392">
        <v>18980.47</v>
      </c>
      <c r="AF1392">
        <v>20121453</v>
      </c>
      <c r="AG1392">
        <v>20121453</v>
      </c>
      <c r="AH1392">
        <v>-1.1377999999999999E-2</v>
      </c>
      <c r="AI1392">
        <v>-1.1377999999999999E-2</v>
      </c>
    </row>
    <row r="1393" spans="1:35" x14ac:dyDescent="0.35">
      <c r="A1393" t="s">
        <v>3</v>
      </c>
      <c r="B1393">
        <v>6750</v>
      </c>
      <c r="C1393">
        <v>24</v>
      </c>
      <c r="D1393">
        <v>68</v>
      </c>
      <c r="E1393">
        <v>0</v>
      </c>
      <c r="F1393">
        <v>1973895796</v>
      </c>
      <c r="G1393">
        <v>1984592.48</v>
      </c>
      <c r="H1393">
        <v>1958549251.8800001</v>
      </c>
      <c r="I1393">
        <v>1971910962.3</v>
      </c>
      <c r="J1393">
        <v>7.8274999999999997E-2</v>
      </c>
      <c r="K1393">
        <v>9.9999999999999995E-7</v>
      </c>
      <c r="M1393" t="s">
        <v>3</v>
      </c>
      <c r="N1393">
        <v>7250</v>
      </c>
      <c r="O1393">
        <v>36</v>
      </c>
      <c r="P1393">
        <v>26</v>
      </c>
      <c r="Q1393">
        <v>0</v>
      </c>
      <c r="R1393">
        <v>672404196</v>
      </c>
      <c r="S1393">
        <v>671596.37</v>
      </c>
      <c r="T1393">
        <v>667825660.90999997</v>
      </c>
      <c r="U1393">
        <v>671436329.25999999</v>
      </c>
      <c r="V1393">
        <v>6.7539000000000002E-2</v>
      </c>
      <c r="W1393">
        <v>5.2750000000000002E-3</v>
      </c>
      <c r="Y1393" t="s">
        <v>3</v>
      </c>
      <c r="Z1393">
        <v>7500</v>
      </c>
      <c r="AA1393">
        <v>36</v>
      </c>
      <c r="AB1393">
        <v>15</v>
      </c>
      <c r="AC1393">
        <v>0</v>
      </c>
      <c r="AD1393">
        <v>200683761</v>
      </c>
      <c r="AE1393">
        <v>190951.6</v>
      </c>
      <c r="AF1393">
        <v>200452712</v>
      </c>
      <c r="AG1393">
        <v>200452712</v>
      </c>
      <c r="AH1393">
        <v>2.395E-3</v>
      </c>
      <c r="AI1393">
        <v>2.395E-3</v>
      </c>
    </row>
    <row r="1394" spans="1:35" x14ac:dyDescent="0.35">
      <c r="A1394" t="s">
        <v>3</v>
      </c>
      <c r="B1394">
        <v>6250</v>
      </c>
      <c r="C1394">
        <v>20</v>
      </c>
      <c r="D1394">
        <v>35</v>
      </c>
      <c r="E1394">
        <v>0</v>
      </c>
      <c r="F1394">
        <v>1000680841</v>
      </c>
      <c r="G1394">
        <v>1081244.08</v>
      </c>
      <c r="H1394">
        <v>992876499.04999995</v>
      </c>
      <c r="I1394">
        <v>999591259.23000002</v>
      </c>
      <c r="J1394">
        <v>7.7709E-2</v>
      </c>
      <c r="K1394">
        <v>1E-4</v>
      </c>
      <c r="M1394" t="s">
        <v>3</v>
      </c>
      <c r="N1394">
        <v>7500</v>
      </c>
      <c r="O1394">
        <v>36</v>
      </c>
      <c r="P1394">
        <v>13</v>
      </c>
      <c r="Q1394">
        <v>0</v>
      </c>
      <c r="R1394">
        <v>182519487</v>
      </c>
      <c r="S1394">
        <v>173336.57</v>
      </c>
      <c r="T1394">
        <v>180995447.63</v>
      </c>
      <c r="U1394">
        <v>181689912.61000001</v>
      </c>
      <c r="V1394">
        <v>8.5277000000000006E-2</v>
      </c>
      <c r="W1394">
        <v>4.2301999999999999E-2</v>
      </c>
      <c r="Y1394" t="s">
        <v>3</v>
      </c>
      <c r="Z1394">
        <v>7750</v>
      </c>
      <c r="AA1394">
        <v>36</v>
      </c>
      <c r="AB1394">
        <v>19</v>
      </c>
      <c r="AC1394">
        <v>0</v>
      </c>
      <c r="AD1394">
        <v>295056960</v>
      </c>
      <c r="AE1394">
        <v>271765.34000000003</v>
      </c>
      <c r="AF1394">
        <v>294735648</v>
      </c>
      <c r="AG1394">
        <v>294735648</v>
      </c>
      <c r="AH1394">
        <v>2.013E-3</v>
      </c>
      <c r="AI1394">
        <v>2.013E-3</v>
      </c>
    </row>
    <row r="1395" spans="1:35" x14ac:dyDescent="0.35">
      <c r="A1395" t="s">
        <v>3</v>
      </c>
      <c r="B1395">
        <v>6750</v>
      </c>
      <c r="C1395">
        <v>20</v>
      </c>
      <c r="D1395">
        <v>85</v>
      </c>
      <c r="E1395">
        <v>0</v>
      </c>
      <c r="F1395">
        <v>2360740399</v>
      </c>
      <c r="G1395">
        <v>2322236.27</v>
      </c>
      <c r="H1395">
        <v>2343101531.9099998</v>
      </c>
      <c r="I1395">
        <v>2358194619.0100002</v>
      </c>
      <c r="J1395">
        <v>7.5137999999999996E-2</v>
      </c>
      <c r="K1395">
        <v>1.1360000000000001E-3</v>
      </c>
      <c r="M1395" t="s">
        <v>3</v>
      </c>
      <c r="N1395">
        <v>7750</v>
      </c>
      <c r="O1395">
        <v>36</v>
      </c>
      <c r="P1395">
        <v>14</v>
      </c>
      <c r="Q1395">
        <v>0</v>
      </c>
      <c r="R1395">
        <v>224780548</v>
      </c>
      <c r="S1395">
        <v>206016.17</v>
      </c>
      <c r="T1395">
        <v>222185919.55000001</v>
      </c>
      <c r="U1395">
        <v>223133720.21000001</v>
      </c>
      <c r="V1395">
        <v>0.120322</v>
      </c>
      <c r="W1395">
        <v>7.4263999999999997E-2</v>
      </c>
      <c r="Y1395" t="s">
        <v>0</v>
      </c>
      <c r="Z1395">
        <v>8250</v>
      </c>
      <c r="AA1395">
        <v>42</v>
      </c>
      <c r="AB1395">
        <v>4</v>
      </c>
      <c r="AC1395">
        <v>0</v>
      </c>
      <c r="AD1395">
        <v>71464066</v>
      </c>
      <c r="AE1395">
        <v>60666.3</v>
      </c>
      <c r="AF1395">
        <v>71398794</v>
      </c>
      <c r="AG1395">
        <v>71398794</v>
      </c>
      <c r="AH1395">
        <v>7.7300000000000003E-4</v>
      </c>
      <c r="AI1395">
        <v>7.7300000000000003E-4</v>
      </c>
    </row>
    <row r="1396" spans="1:35" x14ac:dyDescent="0.35">
      <c r="A1396" t="s">
        <v>3</v>
      </c>
      <c r="B1396">
        <v>6500</v>
      </c>
      <c r="C1396">
        <v>20</v>
      </c>
      <c r="D1396">
        <v>33</v>
      </c>
      <c r="E1396">
        <v>0</v>
      </c>
      <c r="F1396">
        <v>785872439</v>
      </c>
      <c r="G1396">
        <v>806197.41</v>
      </c>
      <c r="H1396">
        <v>779851326.24000001</v>
      </c>
      <c r="I1396">
        <v>785066236</v>
      </c>
      <c r="J1396">
        <v>7.6786999999999994E-2</v>
      </c>
      <c r="K1396">
        <v>0</v>
      </c>
      <c r="M1396" t="s">
        <v>3</v>
      </c>
      <c r="N1396">
        <v>6500</v>
      </c>
      <c r="O1396">
        <v>30</v>
      </c>
      <c r="P1396">
        <v>54</v>
      </c>
      <c r="Q1396">
        <v>0</v>
      </c>
      <c r="R1396">
        <v>1186569328</v>
      </c>
      <c r="S1396">
        <v>1290820.6200000001</v>
      </c>
      <c r="T1396">
        <v>1179434804.5699999</v>
      </c>
      <c r="U1396">
        <v>1185277110.6199999</v>
      </c>
      <c r="V1396">
        <v>5.7523999999999999E-2</v>
      </c>
      <c r="W1396">
        <v>1.4E-5</v>
      </c>
      <c r="Y1396" t="s">
        <v>0</v>
      </c>
      <c r="Z1396">
        <v>8000</v>
      </c>
      <c r="AA1396">
        <v>42</v>
      </c>
      <c r="AB1396">
        <v>5</v>
      </c>
      <c r="AC1396">
        <v>0</v>
      </c>
      <c r="AD1396">
        <v>145058942</v>
      </c>
      <c r="AE1396">
        <v>128566.8</v>
      </c>
      <c r="AF1396">
        <v>144930440</v>
      </c>
      <c r="AG1396">
        <v>144930440</v>
      </c>
      <c r="AH1396">
        <v>-5.0000000000000004E-6</v>
      </c>
      <c r="AI1396">
        <v>-5.0000000000000004E-6</v>
      </c>
    </row>
    <row r="1397" spans="1:35" x14ac:dyDescent="0.35">
      <c r="A1397" t="s">
        <v>0</v>
      </c>
      <c r="B1397">
        <v>9000</v>
      </c>
      <c r="C1397">
        <v>30</v>
      </c>
      <c r="D1397">
        <v>196</v>
      </c>
      <c r="E1397">
        <v>0</v>
      </c>
      <c r="F1397">
        <v>4541244794</v>
      </c>
      <c r="G1397">
        <v>3246453.1</v>
      </c>
      <c r="H1397">
        <v>4475397028.7799997</v>
      </c>
      <c r="I1397">
        <v>4518296467.1999998</v>
      </c>
      <c r="J1397">
        <v>0.15343799999999999</v>
      </c>
      <c r="K1397">
        <v>5.0837E-2</v>
      </c>
      <c r="M1397" t="s">
        <v>3</v>
      </c>
      <c r="N1397">
        <v>6250</v>
      </c>
      <c r="O1397">
        <v>30</v>
      </c>
      <c r="P1397">
        <v>59</v>
      </c>
      <c r="Q1397">
        <v>0</v>
      </c>
      <c r="R1397">
        <v>1457609240</v>
      </c>
      <c r="S1397">
        <v>1663491.89</v>
      </c>
      <c r="T1397">
        <v>1448689926.0899999</v>
      </c>
      <c r="U1397">
        <v>1455945537.46</v>
      </c>
      <c r="V1397">
        <v>5.8125999999999997E-2</v>
      </c>
      <c r="W1397">
        <v>1.9999999999999999E-6</v>
      </c>
      <c r="Y1397" t="s">
        <v>3</v>
      </c>
      <c r="Z1397">
        <v>6500</v>
      </c>
      <c r="AA1397">
        <v>36</v>
      </c>
      <c r="AB1397">
        <v>31</v>
      </c>
      <c r="AC1397">
        <v>0</v>
      </c>
      <c r="AD1397">
        <v>771529985</v>
      </c>
      <c r="AE1397">
        <v>873470.44</v>
      </c>
      <c r="AF1397">
        <v>751107751</v>
      </c>
      <c r="AG1397">
        <v>770473516.46000004</v>
      </c>
      <c r="AH1397">
        <v>0.26506299999999999</v>
      </c>
      <c r="AI1397">
        <v>2.843E-3</v>
      </c>
    </row>
    <row r="1398" spans="1:35" x14ac:dyDescent="0.35">
      <c r="A1398" t="s">
        <v>2</v>
      </c>
      <c r="B1398">
        <v>2750</v>
      </c>
      <c r="C1398">
        <v>42</v>
      </c>
      <c r="D1398">
        <v>42</v>
      </c>
      <c r="E1398">
        <v>0</v>
      </c>
      <c r="F1398">
        <v>739947540</v>
      </c>
      <c r="G1398">
        <v>1626232.97</v>
      </c>
      <c r="H1398">
        <v>732716905.88999999</v>
      </c>
      <c r="I1398">
        <v>736170764.35000002</v>
      </c>
      <c r="J1398">
        <v>8.7195999999999996E-2</v>
      </c>
      <c r="K1398">
        <v>3.4324E-2</v>
      </c>
      <c r="M1398" t="s">
        <v>3</v>
      </c>
      <c r="N1398">
        <v>7250</v>
      </c>
      <c r="O1398">
        <v>24</v>
      </c>
      <c r="P1398">
        <v>99</v>
      </c>
      <c r="Q1398">
        <v>0</v>
      </c>
      <c r="R1398">
        <v>2615858980</v>
      </c>
      <c r="S1398">
        <v>2402286.9</v>
      </c>
      <c r="T1398">
        <v>2600653536.4699998</v>
      </c>
      <c r="U1398">
        <v>2613195200.9899998</v>
      </c>
      <c r="V1398">
        <v>5.7178E-2</v>
      </c>
      <c r="W1398">
        <v>1.199E-3</v>
      </c>
      <c r="Y1398" t="s">
        <v>1</v>
      </c>
      <c r="Z1398">
        <v>7750</v>
      </c>
      <c r="AA1398">
        <v>42</v>
      </c>
      <c r="AB1398">
        <v>6</v>
      </c>
      <c r="AC1398">
        <v>0</v>
      </c>
      <c r="AD1398">
        <v>142115826</v>
      </c>
      <c r="AE1398">
        <v>131508.16</v>
      </c>
      <c r="AF1398">
        <v>142021039</v>
      </c>
      <c r="AG1398">
        <v>142021039</v>
      </c>
      <c r="AH1398">
        <v>-3.1050000000000001E-3</v>
      </c>
      <c r="AI1398">
        <v>-3.1050000000000001E-3</v>
      </c>
    </row>
    <row r="1399" spans="1:35" x14ac:dyDescent="0.35">
      <c r="A1399" t="s">
        <v>1</v>
      </c>
      <c r="B1399">
        <v>4500</v>
      </c>
      <c r="C1399">
        <v>36</v>
      </c>
      <c r="D1399">
        <v>806</v>
      </c>
      <c r="E1399">
        <v>0</v>
      </c>
      <c r="F1399">
        <v>29831779183</v>
      </c>
      <c r="G1399">
        <v>47165884.770000003</v>
      </c>
      <c r="H1399">
        <v>29506094635.900002</v>
      </c>
      <c r="I1399">
        <v>29698002972.740002</v>
      </c>
      <c r="J1399">
        <v>0.106458</v>
      </c>
      <c r="K1399">
        <v>3.4289E-2</v>
      </c>
      <c r="M1399" t="s">
        <v>3</v>
      </c>
      <c r="N1399">
        <v>6750</v>
      </c>
      <c r="O1399">
        <v>24</v>
      </c>
      <c r="P1399">
        <v>45</v>
      </c>
      <c r="Q1399">
        <v>0</v>
      </c>
      <c r="R1399">
        <v>1127735624</v>
      </c>
      <c r="S1399">
        <v>1134489.6100000001</v>
      </c>
      <c r="T1399">
        <v>1121366379.9100001</v>
      </c>
      <c r="U1399">
        <v>1126484151.3299999</v>
      </c>
      <c r="V1399">
        <v>5.4302000000000003E-2</v>
      </c>
      <c r="W1399">
        <v>1.2440000000000001E-3</v>
      </c>
      <c r="Y1399" t="s">
        <v>3</v>
      </c>
      <c r="Z1399">
        <v>6500</v>
      </c>
      <c r="AA1399">
        <v>30</v>
      </c>
      <c r="AB1399">
        <v>52</v>
      </c>
      <c r="AC1399">
        <v>0</v>
      </c>
      <c r="AD1399">
        <v>1224636754</v>
      </c>
      <c r="AE1399">
        <v>1334911.31</v>
      </c>
      <c r="AF1399">
        <v>1222198744</v>
      </c>
      <c r="AG1399">
        <v>1222198744</v>
      </c>
      <c r="AH1399">
        <v>1.0756E-2</v>
      </c>
      <c r="AI1399">
        <v>1.0756E-2</v>
      </c>
    </row>
    <row r="1400" spans="1:35" x14ac:dyDescent="0.35">
      <c r="A1400" t="s">
        <v>1</v>
      </c>
      <c r="B1400">
        <v>2000</v>
      </c>
      <c r="C1400">
        <v>120</v>
      </c>
      <c r="D1400">
        <v>8</v>
      </c>
      <c r="E1400">
        <v>0</v>
      </c>
      <c r="F1400">
        <v>103309656</v>
      </c>
      <c r="G1400">
        <v>354581.41</v>
      </c>
      <c r="H1400">
        <v>102590581.11</v>
      </c>
      <c r="I1400">
        <v>102955026.72</v>
      </c>
      <c r="J1400">
        <v>4.1526E-2</v>
      </c>
      <c r="K1400">
        <v>6.0000000000000002E-6</v>
      </c>
      <c r="M1400" t="s">
        <v>3</v>
      </c>
      <c r="N1400">
        <v>5750</v>
      </c>
      <c r="O1400">
        <v>20</v>
      </c>
      <c r="P1400">
        <v>12</v>
      </c>
      <c r="Q1400">
        <v>0</v>
      </c>
      <c r="R1400">
        <v>318759988</v>
      </c>
      <c r="S1400">
        <v>374148.13</v>
      </c>
      <c r="T1400">
        <v>316878716.16000003</v>
      </c>
      <c r="U1400">
        <v>318385835.77999997</v>
      </c>
      <c r="V1400">
        <v>5.5285000000000001E-2</v>
      </c>
      <c r="W1400">
        <v>0</v>
      </c>
      <c r="Y1400" t="s">
        <v>3</v>
      </c>
      <c r="Z1400">
        <v>6250</v>
      </c>
      <c r="AA1400">
        <v>30</v>
      </c>
      <c r="AB1400">
        <v>48</v>
      </c>
      <c r="AC1400">
        <v>0</v>
      </c>
      <c r="AD1400">
        <v>1210261427</v>
      </c>
      <c r="AE1400">
        <v>1384631.95</v>
      </c>
      <c r="AF1400">
        <v>1200228640</v>
      </c>
      <c r="AG1400">
        <v>1208836466.45</v>
      </c>
      <c r="AH1400">
        <v>8.2457000000000003E-2</v>
      </c>
      <c r="AI1400">
        <v>4.0000000000000002E-4</v>
      </c>
    </row>
    <row r="1401" spans="1:35" x14ac:dyDescent="0.35">
      <c r="A1401" t="s">
        <v>1</v>
      </c>
      <c r="B1401">
        <v>2000</v>
      </c>
      <c r="C1401">
        <v>168</v>
      </c>
      <c r="D1401">
        <v>6</v>
      </c>
      <c r="E1401">
        <v>0</v>
      </c>
      <c r="F1401">
        <v>51685243</v>
      </c>
      <c r="G1401">
        <v>203681.16</v>
      </c>
      <c r="H1401">
        <v>51216267.030000001</v>
      </c>
      <c r="I1401">
        <v>51481557.009999998</v>
      </c>
      <c r="J1401">
        <v>5.9885000000000001E-2</v>
      </c>
      <c r="K1401">
        <v>9.9999999999999995E-7</v>
      </c>
      <c r="M1401" t="s">
        <v>3</v>
      </c>
      <c r="N1401">
        <v>6250</v>
      </c>
      <c r="O1401">
        <v>20</v>
      </c>
      <c r="P1401">
        <v>42</v>
      </c>
      <c r="Q1401">
        <v>0</v>
      </c>
      <c r="R1401">
        <v>1163534093</v>
      </c>
      <c r="S1401">
        <v>1255971</v>
      </c>
      <c r="T1401">
        <v>1157054880.9400001</v>
      </c>
      <c r="U1401">
        <v>1162277109.8399999</v>
      </c>
      <c r="V1401">
        <v>5.2559000000000002E-2</v>
      </c>
      <c r="W1401">
        <v>1.0000000000000001E-5</v>
      </c>
      <c r="Y1401" t="s">
        <v>3</v>
      </c>
      <c r="Z1401">
        <v>7250</v>
      </c>
      <c r="AA1401">
        <v>24</v>
      </c>
      <c r="AB1401">
        <v>51</v>
      </c>
      <c r="AC1401">
        <v>0</v>
      </c>
      <c r="AD1401">
        <v>1361008961</v>
      </c>
      <c r="AE1401">
        <v>1251149.6100000001</v>
      </c>
      <c r="AF1401">
        <v>1359705652</v>
      </c>
      <c r="AG1401">
        <v>1359705652</v>
      </c>
      <c r="AH1401">
        <v>4.6000000000000001E-4</v>
      </c>
      <c r="AI1401">
        <v>4.6000000000000001E-4</v>
      </c>
    </row>
    <row r="1402" spans="1:35" x14ac:dyDescent="0.35">
      <c r="A1402" t="s">
        <v>0</v>
      </c>
      <c r="B1402">
        <v>4250</v>
      </c>
      <c r="C1402">
        <v>36</v>
      </c>
      <c r="D1402">
        <v>732</v>
      </c>
      <c r="E1402">
        <v>0</v>
      </c>
      <c r="F1402">
        <v>21384853129</v>
      </c>
      <c r="G1402">
        <v>34975948.439999998</v>
      </c>
      <c r="H1402">
        <v>21268614584.189999</v>
      </c>
      <c r="I1402">
        <v>21328918694.349998</v>
      </c>
      <c r="J1402">
        <v>4.4658999999999997E-2</v>
      </c>
      <c r="K1402">
        <v>1.1698E-2</v>
      </c>
      <c r="M1402" t="s">
        <v>3</v>
      </c>
      <c r="N1402">
        <v>6750</v>
      </c>
      <c r="O1402">
        <v>18</v>
      </c>
      <c r="P1402">
        <v>54</v>
      </c>
      <c r="Q1402">
        <v>0</v>
      </c>
      <c r="R1402">
        <v>1456356812</v>
      </c>
      <c r="S1402">
        <v>1419009.05</v>
      </c>
      <c r="T1402">
        <v>1448415408.4300001</v>
      </c>
      <c r="U1402">
        <v>1454937760.52</v>
      </c>
      <c r="V1402">
        <v>5.2439E-2</v>
      </c>
      <c r="W1402">
        <v>0</v>
      </c>
      <c r="Y1402" t="s">
        <v>3</v>
      </c>
      <c r="Z1402">
        <v>6750</v>
      </c>
      <c r="AA1402">
        <v>24</v>
      </c>
      <c r="AB1402">
        <v>53</v>
      </c>
      <c r="AC1402">
        <v>0</v>
      </c>
      <c r="AD1402">
        <v>1466097301</v>
      </c>
      <c r="AE1402">
        <v>1474460.94</v>
      </c>
      <c r="AF1402">
        <v>1462809835</v>
      </c>
      <c r="AG1402">
        <v>1462809835</v>
      </c>
      <c r="AH1402">
        <v>1.4739E-2</v>
      </c>
      <c r="AI1402">
        <v>1.4739E-2</v>
      </c>
    </row>
    <row r="1403" spans="1:35" x14ac:dyDescent="0.35">
      <c r="A1403" t="s">
        <v>0</v>
      </c>
      <c r="B1403">
        <v>4000</v>
      </c>
      <c r="C1403">
        <v>36</v>
      </c>
      <c r="D1403">
        <v>451</v>
      </c>
      <c r="E1403">
        <v>0</v>
      </c>
      <c r="F1403">
        <v>13949505447</v>
      </c>
      <c r="G1403">
        <v>23948223.739999998</v>
      </c>
      <c r="H1403">
        <v>13860511537.85</v>
      </c>
      <c r="I1403">
        <v>13901630537.049999</v>
      </c>
      <c r="J1403">
        <v>5.4542E-2</v>
      </c>
      <c r="K1403">
        <v>2.0389999999999998E-2</v>
      </c>
      <c r="M1403" t="s">
        <v>3</v>
      </c>
      <c r="N1403">
        <v>7000</v>
      </c>
      <c r="O1403">
        <v>18</v>
      </c>
      <c r="P1403">
        <v>24</v>
      </c>
      <c r="Q1403">
        <v>0</v>
      </c>
      <c r="R1403">
        <v>624172397</v>
      </c>
      <c r="S1403">
        <v>582611.43999999994</v>
      </c>
      <c r="T1403">
        <v>620993646.24000001</v>
      </c>
      <c r="U1403">
        <v>623492525.38</v>
      </c>
      <c r="V1403">
        <v>4.8786000000000003E-2</v>
      </c>
      <c r="W1403">
        <v>1.8680000000000001E-3</v>
      </c>
      <c r="Y1403" t="s">
        <v>3</v>
      </c>
      <c r="Z1403">
        <v>5750</v>
      </c>
      <c r="AA1403">
        <v>24</v>
      </c>
      <c r="AB1403">
        <v>15</v>
      </c>
      <c r="AC1403">
        <v>0</v>
      </c>
      <c r="AD1403">
        <v>370582938</v>
      </c>
      <c r="AE1403">
        <v>440845.88</v>
      </c>
      <c r="AF1403">
        <v>370028005</v>
      </c>
      <c r="AG1403">
        <v>370028005</v>
      </c>
      <c r="AH1403">
        <v>3.6879999999999999E-3</v>
      </c>
      <c r="AI1403">
        <v>3.6879999999999999E-3</v>
      </c>
    </row>
    <row r="1404" spans="1:35" x14ac:dyDescent="0.35">
      <c r="A1404" t="s">
        <v>0</v>
      </c>
      <c r="B1404">
        <v>3750</v>
      </c>
      <c r="C1404">
        <v>36</v>
      </c>
      <c r="D1404">
        <v>137</v>
      </c>
      <c r="E1404">
        <v>0</v>
      </c>
      <c r="F1404">
        <v>3385848068</v>
      </c>
      <c r="G1404">
        <v>6014212.3799999999</v>
      </c>
      <c r="H1404">
        <v>3362881071.27</v>
      </c>
      <c r="I1404">
        <v>3374593018.7199998</v>
      </c>
      <c r="J1404">
        <v>5.8456000000000001E-2</v>
      </c>
      <c r="K1404">
        <v>1.8416999999999999E-2</v>
      </c>
      <c r="M1404" t="s">
        <v>3</v>
      </c>
      <c r="N1404">
        <v>6250</v>
      </c>
      <c r="O1404">
        <v>16</v>
      </c>
      <c r="P1404">
        <v>25</v>
      </c>
      <c r="Q1404">
        <v>0</v>
      </c>
      <c r="R1404">
        <v>663434809</v>
      </c>
      <c r="S1404">
        <v>699462.94</v>
      </c>
      <c r="T1404">
        <v>659568102.11000001</v>
      </c>
      <c r="U1404">
        <v>662735321.37</v>
      </c>
      <c r="V1404">
        <v>5.5808000000000003E-2</v>
      </c>
      <c r="W1404">
        <v>0</v>
      </c>
      <c r="Y1404" t="s">
        <v>3</v>
      </c>
      <c r="Z1404">
        <v>6250</v>
      </c>
      <c r="AA1404">
        <v>24</v>
      </c>
      <c r="AB1404">
        <v>65</v>
      </c>
      <c r="AC1404">
        <v>0</v>
      </c>
      <c r="AD1404">
        <v>1665795889</v>
      </c>
      <c r="AE1404">
        <v>1822551.6</v>
      </c>
      <c r="AF1404">
        <v>1663762258</v>
      </c>
      <c r="AG1404">
        <v>1663762258</v>
      </c>
      <c r="AH1404">
        <v>1.5200000000000001E-3</v>
      </c>
      <c r="AI1404">
        <v>1.5200000000000001E-3</v>
      </c>
    </row>
    <row r="1405" spans="1:35" x14ac:dyDescent="0.35">
      <c r="A1405" t="s">
        <v>0</v>
      </c>
      <c r="B1405">
        <v>3500</v>
      </c>
      <c r="C1405">
        <v>36</v>
      </c>
      <c r="D1405">
        <v>73</v>
      </c>
      <c r="E1405">
        <v>0</v>
      </c>
      <c r="F1405">
        <v>1819186439</v>
      </c>
      <c r="G1405">
        <v>3383201.57</v>
      </c>
      <c r="H1405">
        <v>1807845359.05</v>
      </c>
      <c r="I1405">
        <v>1814083885.74</v>
      </c>
      <c r="J1405">
        <v>5.1248000000000002E-2</v>
      </c>
      <c r="K1405">
        <v>1.1283E-2</v>
      </c>
      <c r="M1405" t="s">
        <v>3</v>
      </c>
      <c r="N1405">
        <v>6250</v>
      </c>
      <c r="O1405">
        <v>18</v>
      </c>
      <c r="P1405">
        <v>46</v>
      </c>
      <c r="Q1405">
        <v>0</v>
      </c>
      <c r="R1405">
        <v>1299209897</v>
      </c>
      <c r="S1405">
        <v>1389143.15</v>
      </c>
      <c r="T1405">
        <v>1294024363.02</v>
      </c>
      <c r="U1405">
        <v>1297820670.3199999</v>
      </c>
      <c r="V1405">
        <v>3.4507000000000003E-2</v>
      </c>
      <c r="W1405">
        <v>9.9999999999999995E-7</v>
      </c>
      <c r="Y1405" t="s">
        <v>3</v>
      </c>
      <c r="Z1405">
        <v>6750</v>
      </c>
      <c r="AA1405">
        <v>20</v>
      </c>
      <c r="AB1405">
        <v>54</v>
      </c>
      <c r="AC1405">
        <v>0</v>
      </c>
      <c r="AD1405">
        <v>1452063615</v>
      </c>
      <c r="AE1405">
        <v>1433468.54</v>
      </c>
      <c r="AF1405">
        <v>1427098556</v>
      </c>
      <c r="AG1405">
        <v>1450208969</v>
      </c>
      <c r="AH1405">
        <v>0.178037</v>
      </c>
      <c r="AI1405">
        <v>3.4749999999999998E-3</v>
      </c>
    </row>
    <row r="1406" spans="1:35" x14ac:dyDescent="0.35">
      <c r="A1406" t="s">
        <v>0</v>
      </c>
      <c r="B1406">
        <v>3000</v>
      </c>
      <c r="C1406">
        <v>36</v>
      </c>
      <c r="D1406">
        <v>56</v>
      </c>
      <c r="E1406">
        <v>0</v>
      </c>
      <c r="F1406">
        <v>1296598967</v>
      </c>
      <c r="G1406">
        <v>2616737.96</v>
      </c>
      <c r="H1406">
        <v>1285500850.95</v>
      </c>
      <c r="I1406">
        <v>1290461858.45</v>
      </c>
      <c r="J1406">
        <v>7.5731999999999994E-2</v>
      </c>
      <c r="K1406">
        <v>3.2099000000000003E-2</v>
      </c>
      <c r="M1406" t="s">
        <v>3</v>
      </c>
      <c r="N1406">
        <v>6500</v>
      </c>
      <c r="O1406">
        <v>18</v>
      </c>
      <c r="P1406">
        <v>24</v>
      </c>
      <c r="Q1406">
        <v>0</v>
      </c>
      <c r="R1406">
        <v>586929293</v>
      </c>
      <c r="S1406">
        <v>596896.86</v>
      </c>
      <c r="T1406">
        <v>584281647.49000001</v>
      </c>
      <c r="U1406">
        <v>586331568.5</v>
      </c>
      <c r="V1406">
        <v>4.1132000000000002E-2</v>
      </c>
      <c r="W1406">
        <v>1.7E-5</v>
      </c>
      <c r="Y1406" t="s">
        <v>3</v>
      </c>
      <c r="Z1406">
        <v>7000</v>
      </c>
      <c r="AA1406">
        <v>20</v>
      </c>
      <c r="AB1406">
        <v>23</v>
      </c>
      <c r="AC1406">
        <v>0</v>
      </c>
      <c r="AD1406">
        <v>600219405</v>
      </c>
      <c r="AE1406">
        <v>567665.49</v>
      </c>
      <c r="AF1406">
        <v>543587270</v>
      </c>
      <c r="AG1406">
        <v>585710152.49000001</v>
      </c>
      <c r="AH1406">
        <v>0.691716</v>
      </c>
      <c r="AI1406">
        <v>0.24573999999999999</v>
      </c>
    </row>
    <row r="1407" spans="1:35" x14ac:dyDescent="0.35">
      <c r="A1407" t="s">
        <v>0</v>
      </c>
      <c r="B1407">
        <v>4500</v>
      </c>
      <c r="C1407">
        <v>36</v>
      </c>
      <c r="D1407">
        <v>1309</v>
      </c>
      <c r="E1407">
        <v>0</v>
      </c>
      <c r="F1407">
        <v>40082594974</v>
      </c>
      <c r="G1407">
        <v>63093379.520000003</v>
      </c>
      <c r="H1407">
        <v>39838743914.019997</v>
      </c>
      <c r="I1407">
        <v>39968079444.809998</v>
      </c>
      <c r="J1407">
        <v>5.2793E-2</v>
      </c>
      <c r="K1407">
        <v>1.5287E-2</v>
      </c>
      <c r="M1407" t="s">
        <v>3</v>
      </c>
      <c r="N1407">
        <v>6500</v>
      </c>
      <c r="O1407">
        <v>16</v>
      </c>
      <c r="P1407">
        <v>29</v>
      </c>
      <c r="Q1407">
        <v>0</v>
      </c>
      <c r="R1407">
        <v>663920813</v>
      </c>
      <c r="S1407">
        <v>666216.98</v>
      </c>
      <c r="T1407">
        <v>660890062.32000005</v>
      </c>
      <c r="U1407">
        <v>663254586.80999994</v>
      </c>
      <c r="V1407">
        <v>4.1910000000000003E-2</v>
      </c>
      <c r="W1407">
        <v>0</v>
      </c>
      <c r="Y1407" t="s">
        <v>3</v>
      </c>
      <c r="Z1407">
        <v>6250</v>
      </c>
      <c r="AA1407">
        <v>18</v>
      </c>
      <c r="AB1407">
        <v>25</v>
      </c>
      <c r="AC1407">
        <v>0</v>
      </c>
      <c r="AD1407">
        <v>661689210</v>
      </c>
      <c r="AE1407">
        <v>706341.29</v>
      </c>
      <c r="AF1407">
        <v>608391996</v>
      </c>
      <c r="AG1407">
        <v>660927726.76999998</v>
      </c>
      <c r="AH1407">
        <v>0.62983100000000003</v>
      </c>
      <c r="AI1407">
        <v>1E-3</v>
      </c>
    </row>
    <row r="1408" spans="1:35" x14ac:dyDescent="0.35">
      <c r="A1408" t="s">
        <v>1</v>
      </c>
      <c r="B1408">
        <v>3000</v>
      </c>
      <c r="C1408">
        <v>36</v>
      </c>
      <c r="D1408">
        <v>65</v>
      </c>
      <c r="E1408">
        <v>0</v>
      </c>
      <c r="F1408">
        <v>1863390714</v>
      </c>
      <c r="G1408">
        <v>4005457.15</v>
      </c>
      <c r="H1408">
        <v>1834896638.78</v>
      </c>
      <c r="I1408">
        <v>1845525743.4200001</v>
      </c>
      <c r="J1408">
        <v>0.14679</v>
      </c>
      <c r="K1408">
        <v>8.5691000000000003E-2</v>
      </c>
      <c r="M1408" t="s">
        <v>1</v>
      </c>
      <c r="N1408">
        <v>7500</v>
      </c>
      <c r="O1408">
        <v>30</v>
      </c>
      <c r="P1408">
        <v>577</v>
      </c>
      <c r="Q1408">
        <v>0</v>
      </c>
      <c r="R1408">
        <v>14145426571</v>
      </c>
      <c r="S1408">
        <v>12787541.220000001</v>
      </c>
      <c r="T1408">
        <v>13362247102.91</v>
      </c>
      <c r="U1408">
        <v>13955882529.290001</v>
      </c>
      <c r="V1408">
        <v>0.48932300000000001</v>
      </c>
      <c r="W1408">
        <v>0.14005999999999999</v>
      </c>
      <c r="Y1408" t="s">
        <v>3</v>
      </c>
      <c r="Z1408">
        <v>6250</v>
      </c>
      <c r="AA1408">
        <v>20</v>
      </c>
      <c r="AB1408">
        <v>46</v>
      </c>
      <c r="AC1408">
        <v>0</v>
      </c>
      <c r="AD1408">
        <v>1293447377</v>
      </c>
      <c r="AE1408">
        <v>1400305.48</v>
      </c>
      <c r="AF1408">
        <v>1245510495</v>
      </c>
      <c r="AG1408">
        <v>1291797740.6300001</v>
      </c>
      <c r="AH1408">
        <v>0.35577199999999998</v>
      </c>
      <c r="AI1408">
        <v>2.3110000000000001E-3</v>
      </c>
    </row>
    <row r="1409" spans="1:35" x14ac:dyDescent="0.35">
      <c r="A1409" t="s">
        <v>1</v>
      </c>
      <c r="B1409">
        <v>3750</v>
      </c>
      <c r="C1409">
        <v>36</v>
      </c>
      <c r="D1409">
        <v>165</v>
      </c>
      <c r="E1409">
        <v>0</v>
      </c>
      <c r="F1409">
        <v>5818351866</v>
      </c>
      <c r="G1409">
        <v>10668326.039999999</v>
      </c>
      <c r="H1409">
        <v>5738022956.5699997</v>
      </c>
      <c r="I1409">
        <v>5781483425.3900003</v>
      </c>
      <c r="J1409">
        <v>0.134578</v>
      </c>
      <c r="K1409">
        <v>5.2718000000000001E-2</v>
      </c>
      <c r="M1409" t="s">
        <v>0</v>
      </c>
      <c r="N1409">
        <v>9000</v>
      </c>
      <c r="O1409">
        <v>24</v>
      </c>
      <c r="P1409">
        <v>260</v>
      </c>
      <c r="Q1409">
        <v>0</v>
      </c>
      <c r="R1409">
        <v>5969136799</v>
      </c>
      <c r="S1409">
        <v>4147498.67</v>
      </c>
      <c r="T1409">
        <v>5852897552.6999998</v>
      </c>
      <c r="U1409">
        <v>5929963529.7700005</v>
      </c>
      <c r="V1409">
        <v>0.20346600000000001</v>
      </c>
      <c r="W1409">
        <v>6.8184999999999996E-2</v>
      </c>
      <c r="Y1409" t="s">
        <v>3</v>
      </c>
      <c r="Z1409">
        <v>6500</v>
      </c>
      <c r="AA1409">
        <v>20</v>
      </c>
      <c r="AB1409">
        <v>22</v>
      </c>
      <c r="AC1409">
        <v>0</v>
      </c>
      <c r="AD1409">
        <v>545466463</v>
      </c>
      <c r="AE1409">
        <v>562118.31000000006</v>
      </c>
      <c r="AF1409">
        <v>544857628</v>
      </c>
      <c r="AG1409">
        <v>544857628</v>
      </c>
      <c r="AH1409">
        <v>1.0269999999999999E-3</v>
      </c>
      <c r="AI1409">
        <v>1.0269999999999999E-3</v>
      </c>
    </row>
    <row r="1410" spans="1:35" x14ac:dyDescent="0.35">
      <c r="A1410" t="s">
        <v>2</v>
      </c>
      <c r="B1410">
        <v>8000</v>
      </c>
      <c r="C1410">
        <v>36</v>
      </c>
      <c r="D1410">
        <v>6</v>
      </c>
      <c r="E1410">
        <v>0</v>
      </c>
      <c r="F1410">
        <v>86329376</v>
      </c>
      <c r="G1410">
        <v>74681.36</v>
      </c>
      <c r="H1410">
        <v>84354654.709999993</v>
      </c>
      <c r="I1410">
        <v>84693496.209999993</v>
      </c>
      <c r="J1410">
        <v>0.234373</v>
      </c>
      <c r="K1410">
        <v>0.19667599999999999</v>
      </c>
      <c r="M1410" t="s">
        <v>0</v>
      </c>
      <c r="N1410">
        <v>8250</v>
      </c>
      <c r="O1410">
        <v>20</v>
      </c>
      <c r="P1410">
        <v>381</v>
      </c>
      <c r="Q1410">
        <v>0</v>
      </c>
      <c r="R1410">
        <v>9600899636</v>
      </c>
      <c r="S1410">
        <v>7174326.3700000001</v>
      </c>
      <c r="T1410">
        <v>9306107543.7800007</v>
      </c>
      <c r="U1410">
        <v>9508609296.9400005</v>
      </c>
      <c r="V1410">
        <v>0.30579200000000001</v>
      </c>
      <c r="W1410">
        <v>0.10134799999999999</v>
      </c>
      <c r="Y1410" t="s">
        <v>3</v>
      </c>
      <c r="Z1410">
        <v>6500</v>
      </c>
      <c r="AA1410">
        <v>18</v>
      </c>
      <c r="AB1410">
        <v>29</v>
      </c>
      <c r="AC1410">
        <v>0</v>
      </c>
      <c r="AD1410">
        <v>662564966</v>
      </c>
      <c r="AE1410">
        <v>673405.38</v>
      </c>
      <c r="AF1410">
        <v>661636554</v>
      </c>
      <c r="AG1410">
        <v>661636554</v>
      </c>
      <c r="AH1410">
        <v>4.6090000000000002E-3</v>
      </c>
      <c r="AI1410">
        <v>4.6090000000000002E-3</v>
      </c>
    </row>
    <row r="1411" spans="1:35" x14ac:dyDescent="0.35">
      <c r="A1411" t="s">
        <v>1</v>
      </c>
      <c r="B1411">
        <v>8000</v>
      </c>
      <c r="C1411">
        <v>36</v>
      </c>
      <c r="D1411">
        <v>39</v>
      </c>
      <c r="E1411">
        <v>0</v>
      </c>
      <c r="F1411">
        <v>942601234</v>
      </c>
      <c r="G1411">
        <v>820085.35</v>
      </c>
      <c r="H1411">
        <v>866742829.74000001</v>
      </c>
      <c r="I1411">
        <v>880572100.27999997</v>
      </c>
      <c r="J1411">
        <v>0.63044800000000001</v>
      </c>
      <c r="K1411">
        <v>0.55321900000000002</v>
      </c>
      <c r="M1411" t="s">
        <v>0</v>
      </c>
      <c r="N1411">
        <v>8000</v>
      </c>
      <c r="O1411">
        <v>14</v>
      </c>
      <c r="P1411">
        <v>279</v>
      </c>
      <c r="Q1411">
        <v>0</v>
      </c>
      <c r="R1411">
        <v>7549403123</v>
      </c>
      <c r="S1411">
        <v>5706424.4699999997</v>
      </c>
      <c r="T1411">
        <v>7302109045.8699999</v>
      </c>
      <c r="U1411">
        <v>7501499460.4099998</v>
      </c>
      <c r="V1411">
        <v>0.32313900000000001</v>
      </c>
      <c r="W1411">
        <v>6.5049999999999997E-2</v>
      </c>
      <c r="Y1411" t="s">
        <v>0</v>
      </c>
      <c r="Z1411">
        <v>5250</v>
      </c>
      <c r="AA1411">
        <v>30</v>
      </c>
      <c r="AB1411">
        <v>10243</v>
      </c>
      <c r="AC1411">
        <v>0</v>
      </c>
      <c r="AD1411">
        <v>340158285434</v>
      </c>
      <c r="AE1411">
        <v>461182385.19</v>
      </c>
      <c r="AF1411">
        <v>338464472085</v>
      </c>
      <c r="AG1411">
        <v>339488431746.91998</v>
      </c>
      <c r="AH1411">
        <v>4.2627999999999999E-2</v>
      </c>
      <c r="AI1411">
        <v>7.3369999999999998E-3</v>
      </c>
    </row>
    <row r="1412" spans="1:35" x14ac:dyDescent="0.35">
      <c r="A1412" t="s">
        <v>0</v>
      </c>
      <c r="B1412">
        <v>4000</v>
      </c>
      <c r="C1412">
        <v>30</v>
      </c>
      <c r="D1412">
        <v>48</v>
      </c>
      <c r="E1412">
        <v>0</v>
      </c>
      <c r="F1412">
        <v>1299019019</v>
      </c>
      <c r="G1412">
        <v>2147253.75</v>
      </c>
      <c r="H1412">
        <v>1293257705.76</v>
      </c>
      <c r="I1412">
        <v>1296345191.8399999</v>
      </c>
      <c r="J1412">
        <v>3.288E-2</v>
      </c>
      <c r="K1412">
        <v>4.8539999999999998E-3</v>
      </c>
      <c r="M1412" t="s">
        <v>0</v>
      </c>
      <c r="N1412">
        <v>3500</v>
      </c>
      <c r="O1412">
        <v>36</v>
      </c>
      <c r="P1412">
        <v>161</v>
      </c>
      <c r="Q1412">
        <v>0</v>
      </c>
      <c r="R1412">
        <v>3961503550</v>
      </c>
      <c r="S1412">
        <v>7376823.3200000003</v>
      </c>
      <c r="T1412">
        <v>3934760229.5300002</v>
      </c>
      <c r="U1412">
        <v>3949571775.71</v>
      </c>
      <c r="V1412">
        <v>5.7112000000000003E-2</v>
      </c>
      <c r="W1412">
        <v>1.3710999999999999E-2</v>
      </c>
      <c r="Y1412" t="s">
        <v>2</v>
      </c>
      <c r="Z1412">
        <v>5250</v>
      </c>
      <c r="AA1412">
        <v>30</v>
      </c>
      <c r="AB1412">
        <v>302</v>
      </c>
      <c r="AC1412">
        <v>0</v>
      </c>
      <c r="AD1412">
        <v>7433976819</v>
      </c>
      <c r="AE1412">
        <v>10094798.449999999</v>
      </c>
      <c r="AF1412">
        <v>7402152367</v>
      </c>
      <c r="AG1412">
        <v>7424095079.0200005</v>
      </c>
      <c r="AH1412">
        <v>3.4518E-2</v>
      </c>
      <c r="AI1412">
        <v>-3.4400000000000001E-4</v>
      </c>
    </row>
    <row r="1413" spans="1:35" x14ac:dyDescent="0.35">
      <c r="A1413" t="s">
        <v>3</v>
      </c>
      <c r="B1413">
        <v>7500</v>
      </c>
      <c r="C1413">
        <v>36</v>
      </c>
      <c r="D1413">
        <v>14</v>
      </c>
      <c r="E1413">
        <v>0</v>
      </c>
      <c r="F1413">
        <v>196032508</v>
      </c>
      <c r="G1413">
        <v>187050.13</v>
      </c>
      <c r="H1413">
        <v>194579298.65000001</v>
      </c>
      <c r="I1413">
        <v>195347417.19999999</v>
      </c>
      <c r="J1413">
        <v>7.4812000000000003E-2</v>
      </c>
      <c r="K1413">
        <v>3.0065000000000001E-2</v>
      </c>
      <c r="M1413" t="s">
        <v>1</v>
      </c>
      <c r="N1413">
        <v>2000</v>
      </c>
      <c r="O1413">
        <v>120</v>
      </c>
      <c r="P1413">
        <v>10</v>
      </c>
      <c r="Q1413">
        <v>0</v>
      </c>
      <c r="R1413">
        <v>131574394</v>
      </c>
      <c r="S1413">
        <v>454141.2</v>
      </c>
      <c r="T1413">
        <v>130558818.98999999</v>
      </c>
      <c r="U1413">
        <v>131120229.37</v>
      </c>
      <c r="V1413">
        <v>5.0020000000000002E-2</v>
      </c>
      <c r="W1413">
        <v>1.9999999999999999E-6</v>
      </c>
      <c r="Y1413" t="s">
        <v>0</v>
      </c>
      <c r="Z1413">
        <v>8500</v>
      </c>
      <c r="AA1413">
        <v>30</v>
      </c>
      <c r="AB1413">
        <v>143</v>
      </c>
      <c r="AC1413">
        <v>0</v>
      </c>
      <c r="AD1413">
        <v>3414140467</v>
      </c>
      <c r="AE1413">
        <v>2547408.96</v>
      </c>
      <c r="AF1413">
        <v>3371204732</v>
      </c>
      <c r="AG1413">
        <v>3411863906.29</v>
      </c>
      <c r="AH1413">
        <v>0.133075</v>
      </c>
      <c r="AI1413">
        <v>-9.5200000000000005E-4</v>
      </c>
    </row>
    <row r="1414" spans="1:35" x14ac:dyDescent="0.35">
      <c r="A1414" t="s">
        <v>3</v>
      </c>
      <c r="B1414">
        <v>7750</v>
      </c>
      <c r="C1414">
        <v>36</v>
      </c>
      <c r="D1414">
        <v>21</v>
      </c>
      <c r="E1414">
        <v>0</v>
      </c>
      <c r="F1414">
        <v>286162504</v>
      </c>
      <c r="G1414">
        <v>263203.06</v>
      </c>
      <c r="H1414">
        <v>284036275.63999999</v>
      </c>
      <c r="I1414">
        <v>285610555.13</v>
      </c>
      <c r="J1414">
        <v>7.5386999999999996E-2</v>
      </c>
      <c r="K1414">
        <v>1.2041E-2</v>
      </c>
      <c r="M1414" t="s">
        <v>1</v>
      </c>
      <c r="N1414">
        <v>2000</v>
      </c>
      <c r="O1414">
        <v>168</v>
      </c>
      <c r="P1414">
        <v>5</v>
      </c>
      <c r="Q1414">
        <v>0</v>
      </c>
      <c r="R1414">
        <v>54252644</v>
      </c>
      <c r="S1414">
        <v>227440.02</v>
      </c>
      <c r="T1414">
        <v>53568382.259999998</v>
      </c>
      <c r="U1414">
        <v>54025197.420000002</v>
      </c>
      <c r="V1414">
        <v>9.6492999999999995E-2</v>
      </c>
      <c r="W1414">
        <v>9.9999999999999995E-7</v>
      </c>
      <c r="Y1414" t="s">
        <v>0</v>
      </c>
      <c r="Z1414">
        <v>9000</v>
      </c>
      <c r="AA1414">
        <v>24</v>
      </c>
      <c r="AB1414">
        <v>227</v>
      </c>
      <c r="AC1414">
        <v>0</v>
      </c>
      <c r="AD1414">
        <v>5241019926</v>
      </c>
      <c r="AE1414">
        <v>3675751.08</v>
      </c>
      <c r="AF1414">
        <v>5155232128</v>
      </c>
      <c r="AG1414">
        <v>5237452016.8400002</v>
      </c>
      <c r="AH1414">
        <v>0.172623</v>
      </c>
      <c r="AI1414">
        <v>-2.4699999999999999E-4</v>
      </c>
    </row>
    <row r="1415" spans="1:35" x14ac:dyDescent="0.35">
      <c r="A1415" t="s">
        <v>3</v>
      </c>
      <c r="B1415">
        <v>5250</v>
      </c>
      <c r="C1415">
        <v>36</v>
      </c>
      <c r="D1415">
        <v>9</v>
      </c>
      <c r="E1415">
        <v>0</v>
      </c>
      <c r="F1415">
        <v>230100130</v>
      </c>
      <c r="G1415">
        <v>320957.45</v>
      </c>
      <c r="H1415">
        <v>228972623.12</v>
      </c>
      <c r="I1415">
        <v>229779168.94999999</v>
      </c>
      <c r="J1415">
        <v>4.1260999999999999E-2</v>
      </c>
      <c r="K1415">
        <v>0</v>
      </c>
      <c r="M1415" t="s">
        <v>0</v>
      </c>
      <c r="N1415">
        <v>4250</v>
      </c>
      <c r="O1415">
        <v>30</v>
      </c>
      <c r="P1415">
        <v>816</v>
      </c>
      <c r="Q1415">
        <v>0</v>
      </c>
      <c r="R1415">
        <v>23051932536</v>
      </c>
      <c r="S1415">
        <v>36393098.530000001</v>
      </c>
      <c r="T1415">
        <v>22959169492.529999</v>
      </c>
      <c r="U1415">
        <v>23003022169.450001</v>
      </c>
      <c r="V1415">
        <v>2.8953E-2</v>
      </c>
      <c r="W1415">
        <v>6.4970000000000002E-3</v>
      </c>
      <c r="Y1415" t="s">
        <v>0</v>
      </c>
      <c r="Z1415">
        <v>8000</v>
      </c>
      <c r="AA1415">
        <v>16</v>
      </c>
      <c r="AB1415">
        <v>267</v>
      </c>
      <c r="AC1415">
        <v>0</v>
      </c>
      <c r="AD1415">
        <v>7208127049</v>
      </c>
      <c r="AE1415">
        <v>5528336.04</v>
      </c>
      <c r="AF1415">
        <v>7041591656</v>
      </c>
      <c r="AG1415">
        <v>7135930254.5200005</v>
      </c>
      <c r="AH1415">
        <v>0.23744599999999999</v>
      </c>
      <c r="AI1415">
        <v>0.105513</v>
      </c>
    </row>
    <row r="1416" spans="1:35" x14ac:dyDescent="0.35">
      <c r="A1416" t="s">
        <v>1</v>
      </c>
      <c r="B1416">
        <v>2000</v>
      </c>
      <c r="C1416">
        <v>144</v>
      </c>
      <c r="D1416">
        <v>15</v>
      </c>
      <c r="E1416">
        <v>0</v>
      </c>
      <c r="F1416">
        <v>195014028</v>
      </c>
      <c r="G1416">
        <v>744238.48</v>
      </c>
      <c r="H1416">
        <v>193614791.75</v>
      </c>
      <c r="I1416">
        <v>194269150.80000001</v>
      </c>
      <c r="J1416">
        <v>3.9567999999999999E-2</v>
      </c>
      <c r="K1416">
        <v>3.8999999999999999E-5</v>
      </c>
      <c r="M1416" t="s">
        <v>0</v>
      </c>
      <c r="N1416">
        <v>4000</v>
      </c>
      <c r="O1416">
        <v>30</v>
      </c>
      <c r="P1416">
        <v>100</v>
      </c>
      <c r="Q1416">
        <v>0</v>
      </c>
      <c r="R1416">
        <v>2626310514</v>
      </c>
      <c r="S1416">
        <v>4374640.43</v>
      </c>
      <c r="T1416">
        <v>2613455830.73</v>
      </c>
      <c r="U1416">
        <v>2620119928.0999999</v>
      </c>
      <c r="V1416">
        <v>3.8066000000000003E-2</v>
      </c>
      <c r="W1416">
        <v>8.2660000000000008E-3</v>
      </c>
      <c r="Y1416" t="s">
        <v>2</v>
      </c>
      <c r="Z1416">
        <v>2750</v>
      </c>
      <c r="AA1416">
        <v>42</v>
      </c>
      <c r="AB1416">
        <v>56</v>
      </c>
      <c r="AC1416">
        <v>0</v>
      </c>
      <c r="AD1416">
        <v>1019074926</v>
      </c>
      <c r="AE1416">
        <v>2221268.83</v>
      </c>
      <c r="AF1416">
        <v>1017037300</v>
      </c>
      <c r="AG1416">
        <v>1017037300</v>
      </c>
      <c r="AH1416">
        <v>-2.1649999999999998E-3</v>
      </c>
      <c r="AI1416">
        <v>-2.1649999999999998E-3</v>
      </c>
    </row>
    <row r="1417" spans="1:35" x14ac:dyDescent="0.35">
      <c r="A1417" t="s">
        <v>0</v>
      </c>
      <c r="B1417">
        <v>5250</v>
      </c>
      <c r="C1417">
        <v>30</v>
      </c>
      <c r="D1417">
        <v>7414</v>
      </c>
      <c r="E1417">
        <v>0</v>
      </c>
      <c r="F1417">
        <v>244568585754</v>
      </c>
      <c r="G1417">
        <v>331350334.57999998</v>
      </c>
      <c r="H1417">
        <v>242739306705.37</v>
      </c>
      <c r="I1417">
        <v>243751061637.67999</v>
      </c>
      <c r="J1417">
        <v>7.1070999999999995E-2</v>
      </c>
      <c r="K1417">
        <v>2.3595999999999999E-2</v>
      </c>
      <c r="M1417" t="s">
        <v>0</v>
      </c>
      <c r="N1417">
        <v>3750</v>
      </c>
      <c r="O1417">
        <v>30</v>
      </c>
      <c r="P1417">
        <v>80</v>
      </c>
      <c r="Q1417">
        <v>0</v>
      </c>
      <c r="R1417">
        <v>2369989742</v>
      </c>
      <c r="S1417">
        <v>4085741.37</v>
      </c>
      <c r="T1417">
        <v>2352885088.5999999</v>
      </c>
      <c r="U1417">
        <v>2359896485.3899999</v>
      </c>
      <c r="V1417">
        <v>6.3963000000000006E-2</v>
      </c>
      <c r="W1417">
        <v>2.9996999999999999E-2</v>
      </c>
      <c r="Y1417" t="s">
        <v>0</v>
      </c>
      <c r="Z1417">
        <v>3500</v>
      </c>
      <c r="AA1417">
        <v>36</v>
      </c>
      <c r="AB1417">
        <v>95</v>
      </c>
      <c r="AC1417">
        <v>0</v>
      </c>
      <c r="AD1417">
        <v>2303055926</v>
      </c>
      <c r="AE1417">
        <v>4295627.91</v>
      </c>
      <c r="AF1417">
        <v>2299106242</v>
      </c>
      <c r="AG1417">
        <v>2299106242</v>
      </c>
      <c r="AH1417">
        <v>-1.804E-3</v>
      </c>
      <c r="AI1417">
        <v>-1.804E-3</v>
      </c>
    </row>
    <row r="1418" spans="1:35" x14ac:dyDescent="0.35">
      <c r="A1418" t="s">
        <v>1</v>
      </c>
      <c r="B1418">
        <v>7750</v>
      </c>
      <c r="C1418">
        <v>30</v>
      </c>
      <c r="D1418">
        <v>2378</v>
      </c>
      <c r="E1418">
        <v>0</v>
      </c>
      <c r="F1418">
        <v>57014102826</v>
      </c>
      <c r="G1418">
        <v>49458486.200000003</v>
      </c>
      <c r="H1418">
        <v>54026881550.82</v>
      </c>
      <c r="I1418">
        <v>55994512663.169998</v>
      </c>
      <c r="J1418">
        <v>0.46997100000000003</v>
      </c>
      <c r="K1418">
        <v>0.18612200000000001</v>
      </c>
      <c r="M1418" t="s">
        <v>0</v>
      </c>
      <c r="N1418">
        <v>3500</v>
      </c>
      <c r="O1418">
        <v>30</v>
      </c>
      <c r="P1418">
        <v>41</v>
      </c>
      <c r="Q1418">
        <v>0</v>
      </c>
      <c r="R1418">
        <v>1007443615</v>
      </c>
      <c r="S1418">
        <v>1822346.55</v>
      </c>
      <c r="T1418">
        <v>999723262.75999999</v>
      </c>
      <c r="U1418">
        <v>1003146323.62</v>
      </c>
      <c r="V1418">
        <v>6.8034999999999998E-2</v>
      </c>
      <c r="W1418">
        <v>2.9085E-2</v>
      </c>
      <c r="Y1418" t="s">
        <v>1</v>
      </c>
      <c r="Z1418">
        <v>4000</v>
      </c>
      <c r="AA1418">
        <v>36</v>
      </c>
      <c r="AB1418">
        <v>540</v>
      </c>
      <c r="AC1418">
        <v>0</v>
      </c>
      <c r="AD1418">
        <v>19089256473</v>
      </c>
      <c r="AE1418">
        <v>32891376.149999999</v>
      </c>
      <c r="AF1418">
        <v>19005330321</v>
      </c>
      <c r="AG1418">
        <v>19053027517.369999</v>
      </c>
      <c r="AH1418">
        <v>3.1614000000000003E-2</v>
      </c>
      <c r="AI1418">
        <v>2.0960000000000002E-3</v>
      </c>
    </row>
    <row r="1419" spans="1:35" x14ac:dyDescent="0.35">
      <c r="A1419" t="s">
        <v>2</v>
      </c>
      <c r="B1419">
        <v>4250</v>
      </c>
      <c r="C1419">
        <v>36</v>
      </c>
      <c r="D1419">
        <v>58</v>
      </c>
      <c r="E1419">
        <v>0</v>
      </c>
      <c r="F1419">
        <v>969047403</v>
      </c>
      <c r="G1419">
        <v>1649112.76</v>
      </c>
      <c r="H1419">
        <v>961200754.96000004</v>
      </c>
      <c r="I1419">
        <v>965461603.55999994</v>
      </c>
      <c r="J1419">
        <v>7.4103000000000002E-2</v>
      </c>
      <c r="K1419">
        <v>2.3720999999999999E-2</v>
      </c>
      <c r="M1419" t="s">
        <v>1</v>
      </c>
      <c r="N1419">
        <v>4500</v>
      </c>
      <c r="O1419">
        <v>30</v>
      </c>
      <c r="P1419">
        <v>582</v>
      </c>
      <c r="Q1419">
        <v>0</v>
      </c>
      <c r="R1419">
        <v>19956176200</v>
      </c>
      <c r="S1419">
        <v>30655797.23</v>
      </c>
      <c r="T1419">
        <v>19749856557.310001</v>
      </c>
      <c r="U1419">
        <v>19860436174.889999</v>
      </c>
      <c r="V1419">
        <v>0.100663</v>
      </c>
      <c r="W1419">
        <v>3.8441999999999997E-2</v>
      </c>
      <c r="Y1419" t="s">
        <v>1</v>
      </c>
      <c r="Z1419">
        <v>2000</v>
      </c>
      <c r="AA1419">
        <v>120</v>
      </c>
      <c r="AB1419">
        <v>10</v>
      </c>
      <c r="AC1419">
        <v>0</v>
      </c>
      <c r="AD1419">
        <v>131810980</v>
      </c>
      <c r="AE1419">
        <v>449394.6</v>
      </c>
      <c r="AF1419">
        <v>130886948</v>
      </c>
      <c r="AG1419">
        <v>130886948</v>
      </c>
      <c r="AH1419">
        <v>4.2365E-2</v>
      </c>
      <c r="AI1419">
        <v>4.2365E-2</v>
      </c>
    </row>
    <row r="1420" spans="1:35" x14ac:dyDescent="0.35">
      <c r="A1420" t="s">
        <v>0</v>
      </c>
      <c r="B1420">
        <v>8000</v>
      </c>
      <c r="C1420">
        <v>16</v>
      </c>
      <c r="D1420">
        <v>162</v>
      </c>
      <c r="E1420">
        <v>0</v>
      </c>
      <c r="F1420">
        <v>4546764028</v>
      </c>
      <c r="G1420">
        <v>3485663.45</v>
      </c>
      <c r="H1420">
        <v>4402426253.5500002</v>
      </c>
      <c r="I1420">
        <v>4491579097.7200003</v>
      </c>
      <c r="J1420">
        <v>0.31451099999999999</v>
      </c>
      <c r="K1420">
        <v>0.12822900000000001</v>
      </c>
      <c r="M1420" t="s">
        <v>2</v>
      </c>
      <c r="N1420">
        <v>8000</v>
      </c>
      <c r="O1420">
        <v>36</v>
      </c>
      <c r="P1420">
        <v>3</v>
      </c>
      <c r="Q1420">
        <v>0</v>
      </c>
      <c r="R1420">
        <v>44289986</v>
      </c>
      <c r="S1420">
        <v>37547.74</v>
      </c>
      <c r="T1420">
        <v>43197553.030000001</v>
      </c>
      <c r="U1420">
        <v>43376008.039999999</v>
      </c>
      <c r="V1420">
        <v>0.251191</v>
      </c>
      <c r="W1420">
        <v>0.21324799999999999</v>
      </c>
      <c r="Y1420" t="s">
        <v>1</v>
      </c>
      <c r="Z1420">
        <v>2000</v>
      </c>
      <c r="AA1420">
        <v>168</v>
      </c>
      <c r="AB1420">
        <v>5</v>
      </c>
      <c r="AC1420">
        <v>0</v>
      </c>
      <c r="AD1420">
        <v>45959003</v>
      </c>
      <c r="AE1420">
        <v>180262.24</v>
      </c>
      <c r="AF1420">
        <v>45750631</v>
      </c>
      <c r="AG1420">
        <v>45750631</v>
      </c>
      <c r="AH1420">
        <v>7.3150000000000003E-3</v>
      </c>
      <c r="AI1420">
        <v>7.3150000000000003E-3</v>
      </c>
    </row>
    <row r="1421" spans="1:35" x14ac:dyDescent="0.35">
      <c r="A1421" t="s">
        <v>3</v>
      </c>
      <c r="B1421">
        <v>7000</v>
      </c>
      <c r="C1421">
        <v>30</v>
      </c>
      <c r="D1421">
        <v>76</v>
      </c>
      <c r="E1421">
        <v>0</v>
      </c>
      <c r="F1421">
        <v>1942193554</v>
      </c>
      <c r="G1421">
        <v>1949238.78</v>
      </c>
      <c r="H1421">
        <v>1930911612.1099999</v>
      </c>
      <c r="I1421">
        <v>1940233570.0699999</v>
      </c>
      <c r="J1421">
        <v>5.6162999999999998E-2</v>
      </c>
      <c r="K1421">
        <v>6.6000000000000005E-5</v>
      </c>
      <c r="M1421" t="s">
        <v>1</v>
      </c>
      <c r="N1421">
        <v>8000</v>
      </c>
      <c r="O1421">
        <v>36</v>
      </c>
      <c r="P1421">
        <v>47</v>
      </c>
      <c r="Q1421">
        <v>0</v>
      </c>
      <c r="R1421">
        <v>1146099090</v>
      </c>
      <c r="S1421">
        <v>979199.37</v>
      </c>
      <c r="T1421">
        <v>1052832619.92</v>
      </c>
      <c r="U1421">
        <v>1072536005.73</v>
      </c>
      <c r="V1421">
        <v>0.63483400000000001</v>
      </c>
      <c r="W1421">
        <v>0.543929</v>
      </c>
      <c r="Y1421" t="s">
        <v>0</v>
      </c>
      <c r="Z1421">
        <v>4250</v>
      </c>
      <c r="AA1421">
        <v>36</v>
      </c>
      <c r="AB1421">
        <v>816</v>
      </c>
      <c r="AC1421">
        <v>0</v>
      </c>
      <c r="AD1421">
        <v>24063294681</v>
      </c>
      <c r="AE1421">
        <v>39405751.630000003</v>
      </c>
      <c r="AF1421">
        <v>23969572585</v>
      </c>
      <c r="AG1421">
        <v>24022669716.73</v>
      </c>
      <c r="AH1421">
        <v>2.6752999999999999E-2</v>
      </c>
      <c r="AI1421">
        <v>6.0800000000000003E-4</v>
      </c>
    </row>
    <row r="1422" spans="1:35" x14ac:dyDescent="0.35">
      <c r="A1422" t="s">
        <v>3</v>
      </c>
      <c r="B1422">
        <v>7250</v>
      </c>
      <c r="C1422">
        <v>30</v>
      </c>
      <c r="D1422">
        <v>105</v>
      </c>
      <c r="E1422">
        <v>0</v>
      </c>
      <c r="F1422">
        <v>2725944472</v>
      </c>
      <c r="G1422">
        <v>2586533.2799999998</v>
      </c>
      <c r="H1422">
        <v>2709259336.3200002</v>
      </c>
      <c r="I1422">
        <v>2720593560.02</v>
      </c>
      <c r="J1422">
        <v>6.0329000000000001E-2</v>
      </c>
      <c r="K1422">
        <v>1.2102E-2</v>
      </c>
      <c r="M1422" t="s">
        <v>1</v>
      </c>
      <c r="N1422">
        <v>7750</v>
      </c>
      <c r="O1422">
        <v>30</v>
      </c>
      <c r="P1422">
        <v>789</v>
      </c>
      <c r="Q1422">
        <v>0</v>
      </c>
      <c r="R1422">
        <v>19232537343</v>
      </c>
      <c r="S1422">
        <v>16625384.460000001</v>
      </c>
      <c r="T1422">
        <v>18062043700.41</v>
      </c>
      <c r="U1422">
        <v>18714930669.630001</v>
      </c>
      <c r="V1422">
        <v>0.52405299999999999</v>
      </c>
      <c r="W1422">
        <v>0.27146999999999999</v>
      </c>
      <c r="Y1422" t="s">
        <v>0</v>
      </c>
      <c r="Z1422">
        <v>4000</v>
      </c>
      <c r="AA1422">
        <v>36</v>
      </c>
      <c r="AB1422">
        <v>749</v>
      </c>
      <c r="AC1422">
        <v>0</v>
      </c>
      <c r="AD1422">
        <v>23600781404</v>
      </c>
      <c r="AE1422">
        <v>40482813.979999997</v>
      </c>
      <c r="AF1422">
        <v>23508422624</v>
      </c>
      <c r="AG1422">
        <v>23535292584.119999</v>
      </c>
      <c r="AH1422">
        <v>2.606E-2</v>
      </c>
      <c r="AI1422">
        <v>1.2640999999999999E-2</v>
      </c>
    </row>
    <row r="1423" spans="1:35" x14ac:dyDescent="0.35">
      <c r="A1423" t="s">
        <v>3</v>
      </c>
      <c r="B1423">
        <v>7000</v>
      </c>
      <c r="C1423">
        <v>24</v>
      </c>
      <c r="D1423">
        <v>32</v>
      </c>
      <c r="E1423">
        <v>0</v>
      </c>
      <c r="F1423">
        <v>900758975</v>
      </c>
      <c r="G1423">
        <v>871072.49</v>
      </c>
      <c r="H1423">
        <v>894884023.10000002</v>
      </c>
      <c r="I1423">
        <v>899887864.25</v>
      </c>
      <c r="J1423">
        <v>6.4662999999999998E-2</v>
      </c>
      <c r="K1423">
        <v>9.9999999999999995E-7</v>
      </c>
      <c r="M1423" t="s">
        <v>2</v>
      </c>
      <c r="N1423">
        <v>7500</v>
      </c>
      <c r="O1423">
        <v>30</v>
      </c>
      <c r="P1423">
        <v>87</v>
      </c>
      <c r="Q1423">
        <v>0</v>
      </c>
      <c r="R1423">
        <v>1286215343</v>
      </c>
      <c r="S1423">
        <v>1164772.1399999999</v>
      </c>
      <c r="T1423">
        <v>1271141088.1500001</v>
      </c>
      <c r="U1423">
        <v>1281645294.5899999</v>
      </c>
      <c r="V1423">
        <v>0.122324</v>
      </c>
      <c r="W1423">
        <v>3.1312E-2</v>
      </c>
      <c r="Y1423" t="s">
        <v>0</v>
      </c>
      <c r="Z1423">
        <v>3750</v>
      </c>
      <c r="AA1423">
        <v>36</v>
      </c>
      <c r="AB1423">
        <v>148</v>
      </c>
      <c r="AC1423">
        <v>0</v>
      </c>
      <c r="AD1423">
        <v>3554744455</v>
      </c>
      <c r="AE1423">
        <v>6331202.8799999999</v>
      </c>
      <c r="AF1423">
        <v>3536919208</v>
      </c>
      <c r="AG1423">
        <v>3548934313.9699998</v>
      </c>
      <c r="AH1423">
        <v>3.8119E-2</v>
      </c>
      <c r="AI1423">
        <v>-1.7600000000000001E-3</v>
      </c>
    </row>
    <row r="1424" spans="1:35" x14ac:dyDescent="0.35">
      <c r="A1424" t="s">
        <v>3</v>
      </c>
      <c r="B1424">
        <v>6500</v>
      </c>
      <c r="C1424">
        <v>24</v>
      </c>
      <c r="D1424">
        <v>30</v>
      </c>
      <c r="E1424">
        <v>0</v>
      </c>
      <c r="F1424">
        <v>720013717</v>
      </c>
      <c r="G1424">
        <v>759663.34</v>
      </c>
      <c r="H1424">
        <v>715246758.90999997</v>
      </c>
      <c r="I1424">
        <v>719201166.70000005</v>
      </c>
      <c r="J1424">
        <v>6.4780000000000004E-2</v>
      </c>
      <c r="K1424">
        <v>8.8099999999999995E-4</v>
      </c>
      <c r="M1424" t="s">
        <v>3</v>
      </c>
      <c r="N1424">
        <v>5750</v>
      </c>
      <c r="O1424">
        <v>30</v>
      </c>
      <c r="P1424">
        <v>21</v>
      </c>
      <c r="Q1424">
        <v>0</v>
      </c>
      <c r="R1424">
        <v>541409065</v>
      </c>
      <c r="S1424">
        <v>675143.66</v>
      </c>
      <c r="T1424">
        <v>538150963.47000003</v>
      </c>
      <c r="U1424">
        <v>540539857.62</v>
      </c>
      <c r="V1424">
        <v>5.5771000000000001E-2</v>
      </c>
      <c r="W1424">
        <v>4.2929999999999999E-3</v>
      </c>
      <c r="Y1424" t="s">
        <v>0</v>
      </c>
      <c r="Z1424">
        <v>4500</v>
      </c>
      <c r="AA1424">
        <v>36</v>
      </c>
      <c r="AB1424">
        <v>1460</v>
      </c>
      <c r="AC1424">
        <v>0</v>
      </c>
      <c r="AD1424">
        <v>45560108907</v>
      </c>
      <c r="AE1424">
        <v>71806213.530000001</v>
      </c>
      <c r="AF1424">
        <v>45399841399</v>
      </c>
      <c r="AG1424">
        <v>45489776035.849998</v>
      </c>
      <c r="AH1424">
        <v>2.3052E-2</v>
      </c>
      <c r="AI1424">
        <v>-3.88E-4</v>
      </c>
    </row>
    <row r="1425" spans="1:35" x14ac:dyDescent="0.35">
      <c r="A1425" t="s">
        <v>2</v>
      </c>
      <c r="B1425">
        <v>5250</v>
      </c>
      <c r="C1425">
        <v>30</v>
      </c>
      <c r="D1425">
        <v>209</v>
      </c>
      <c r="E1425">
        <v>0</v>
      </c>
      <c r="F1425">
        <v>5181051908</v>
      </c>
      <c r="G1425">
        <v>7029609.3499999996</v>
      </c>
      <c r="H1425">
        <v>5149135300.8000002</v>
      </c>
      <c r="I1425">
        <v>5168679363.5100002</v>
      </c>
      <c r="J1425">
        <v>5.6142999999999998E-2</v>
      </c>
      <c r="K1425">
        <v>1.2305E-2</v>
      </c>
      <c r="M1425" t="s">
        <v>1</v>
      </c>
      <c r="N1425">
        <v>2000</v>
      </c>
      <c r="O1425">
        <v>144</v>
      </c>
      <c r="P1425">
        <v>18</v>
      </c>
      <c r="Q1425">
        <v>0</v>
      </c>
      <c r="R1425">
        <v>212070695</v>
      </c>
      <c r="S1425">
        <v>828765.04</v>
      </c>
      <c r="T1425">
        <v>210194441.94</v>
      </c>
      <c r="U1425">
        <v>211241442.62</v>
      </c>
      <c r="V1425">
        <v>5.7688000000000003E-2</v>
      </c>
      <c r="W1425">
        <v>2.8E-5</v>
      </c>
      <c r="Y1425" t="s">
        <v>1</v>
      </c>
      <c r="Z1425">
        <v>3750</v>
      </c>
      <c r="AA1425">
        <v>36</v>
      </c>
      <c r="AB1425">
        <v>244</v>
      </c>
      <c r="AC1425">
        <v>0</v>
      </c>
      <c r="AD1425">
        <v>8246560457</v>
      </c>
      <c r="AE1425">
        <v>15060715.98</v>
      </c>
      <c r="AF1425">
        <v>8189045614</v>
      </c>
      <c r="AG1425">
        <v>8231327913.9700003</v>
      </c>
      <c r="AH1425">
        <v>6.0058E-2</v>
      </c>
      <c r="AI1425">
        <v>2.5000000000000001E-4</v>
      </c>
    </row>
    <row r="1426" spans="1:35" x14ac:dyDescent="0.35">
      <c r="A1426" t="s">
        <v>1</v>
      </c>
      <c r="B1426">
        <v>5000</v>
      </c>
      <c r="C1426">
        <v>30</v>
      </c>
      <c r="D1426">
        <v>3862</v>
      </c>
      <c r="E1426">
        <v>0</v>
      </c>
      <c r="F1426">
        <v>139392018223</v>
      </c>
      <c r="G1426">
        <v>196317299.5</v>
      </c>
      <c r="H1426">
        <v>137925527422.60001</v>
      </c>
      <c r="I1426">
        <v>138842882181.47</v>
      </c>
      <c r="J1426">
        <v>0.10403</v>
      </c>
      <c r="K1426">
        <v>2.9954000000000001E-2</v>
      </c>
      <c r="M1426" t="s">
        <v>3</v>
      </c>
      <c r="N1426">
        <v>7250</v>
      </c>
      <c r="O1426">
        <v>30</v>
      </c>
      <c r="P1426">
        <v>46</v>
      </c>
      <c r="Q1426">
        <v>0</v>
      </c>
      <c r="R1426">
        <v>1080244453</v>
      </c>
      <c r="S1426">
        <v>1028132.41</v>
      </c>
      <c r="T1426">
        <v>1074305143.98</v>
      </c>
      <c r="U1426">
        <v>1078478012.5899999</v>
      </c>
      <c r="V1426">
        <v>5.3213000000000003E-2</v>
      </c>
      <c r="W1426">
        <v>8.1709999999999994E-3</v>
      </c>
      <c r="Y1426" t="s">
        <v>2</v>
      </c>
      <c r="Z1426">
        <v>8000</v>
      </c>
      <c r="AA1426">
        <v>36</v>
      </c>
      <c r="AB1426">
        <v>6</v>
      </c>
      <c r="AC1426">
        <v>0</v>
      </c>
      <c r="AD1426">
        <v>86457430</v>
      </c>
      <c r="AE1426">
        <v>74235.61</v>
      </c>
      <c r="AF1426">
        <v>86329376</v>
      </c>
      <c r="AG1426">
        <v>86329376</v>
      </c>
      <c r="AH1426">
        <v>7.4440000000000001E-3</v>
      </c>
      <c r="AI1426">
        <v>7.4440000000000001E-3</v>
      </c>
    </row>
    <row r="1427" spans="1:35" x14ac:dyDescent="0.35">
      <c r="A1427" t="s">
        <v>1</v>
      </c>
      <c r="B1427">
        <v>5250</v>
      </c>
      <c r="C1427">
        <v>30</v>
      </c>
      <c r="D1427">
        <v>4995</v>
      </c>
      <c r="E1427">
        <v>0</v>
      </c>
      <c r="F1427">
        <v>188627112072</v>
      </c>
      <c r="G1427">
        <v>255940833.90000001</v>
      </c>
      <c r="H1427">
        <v>186274848817.98001</v>
      </c>
      <c r="I1427">
        <v>187917913944.14999</v>
      </c>
      <c r="J1427">
        <v>0.12550600000000001</v>
      </c>
      <c r="K1427">
        <v>2.8457E-2</v>
      </c>
      <c r="M1427" t="s">
        <v>1</v>
      </c>
      <c r="N1427">
        <v>5750</v>
      </c>
      <c r="O1427">
        <v>24</v>
      </c>
      <c r="P1427">
        <v>2841</v>
      </c>
      <c r="Q1427">
        <v>0</v>
      </c>
      <c r="R1427">
        <v>109197058713</v>
      </c>
      <c r="S1427">
        <v>131507078.90000001</v>
      </c>
      <c r="T1427">
        <v>107177096395.63</v>
      </c>
      <c r="U1427">
        <v>108727305324.94</v>
      </c>
      <c r="V1427">
        <v>0.188884</v>
      </c>
      <c r="W1427">
        <v>3.6544E-2</v>
      </c>
      <c r="Y1427" t="s">
        <v>1</v>
      </c>
      <c r="Z1427">
        <v>8000</v>
      </c>
      <c r="AA1427">
        <v>36</v>
      </c>
      <c r="AB1427">
        <v>46</v>
      </c>
      <c r="AC1427">
        <v>0</v>
      </c>
      <c r="AD1427">
        <v>1089242213</v>
      </c>
      <c r="AE1427">
        <v>942152.79</v>
      </c>
      <c r="AF1427">
        <v>1067588100</v>
      </c>
      <c r="AG1427">
        <v>1067588100</v>
      </c>
      <c r="AH1427">
        <v>0.205766</v>
      </c>
      <c r="AI1427">
        <v>0.205766</v>
      </c>
    </row>
    <row r="1428" spans="1:35" x14ac:dyDescent="0.35">
      <c r="A1428" t="s">
        <v>0</v>
      </c>
      <c r="B1428">
        <v>5250</v>
      </c>
      <c r="C1428">
        <v>8</v>
      </c>
      <c r="D1428">
        <v>1300</v>
      </c>
      <c r="E1428">
        <v>0</v>
      </c>
      <c r="F1428">
        <v>45765278169</v>
      </c>
      <c r="G1428">
        <v>55215374.759999998</v>
      </c>
      <c r="H1428">
        <v>45580388849.470001</v>
      </c>
      <c r="I1428">
        <v>45673982806.739998</v>
      </c>
      <c r="J1428">
        <v>3.3477E-2</v>
      </c>
      <c r="K1428">
        <v>9.4199999999999996E-3</v>
      </c>
      <c r="M1428" t="s">
        <v>3</v>
      </c>
      <c r="N1428">
        <v>7000</v>
      </c>
      <c r="O1428">
        <v>24</v>
      </c>
      <c r="P1428">
        <v>38</v>
      </c>
      <c r="Q1428">
        <v>0</v>
      </c>
      <c r="R1428">
        <v>995462574</v>
      </c>
      <c r="S1428">
        <v>960266.68</v>
      </c>
      <c r="T1428">
        <v>990344823.67999995</v>
      </c>
      <c r="U1428">
        <v>994502222.95000005</v>
      </c>
      <c r="V1428">
        <v>4.8981999999999998E-2</v>
      </c>
      <c r="W1428">
        <v>9.9999999999999995E-7</v>
      </c>
      <c r="Y1428" t="s">
        <v>0</v>
      </c>
      <c r="Z1428">
        <v>4000</v>
      </c>
      <c r="AA1428">
        <v>30</v>
      </c>
      <c r="AB1428">
        <v>59</v>
      </c>
      <c r="AC1428">
        <v>0</v>
      </c>
      <c r="AD1428">
        <v>1566639323</v>
      </c>
      <c r="AE1428">
        <v>2590396.16</v>
      </c>
      <c r="AF1428">
        <v>1546495113</v>
      </c>
      <c r="AG1428">
        <v>1546495113</v>
      </c>
      <c r="AH1428">
        <v>0.126473</v>
      </c>
      <c r="AI1428">
        <v>0.126473</v>
      </c>
    </row>
    <row r="1429" spans="1:35" x14ac:dyDescent="0.35">
      <c r="A1429" t="s">
        <v>2</v>
      </c>
      <c r="B1429">
        <v>5250</v>
      </c>
      <c r="C1429">
        <v>8</v>
      </c>
      <c r="D1429">
        <v>28</v>
      </c>
      <c r="E1429">
        <v>0</v>
      </c>
      <c r="F1429">
        <v>670341044</v>
      </c>
      <c r="G1429">
        <v>809578.76</v>
      </c>
      <c r="H1429">
        <v>668118441.52999997</v>
      </c>
      <c r="I1429">
        <v>668529070.88</v>
      </c>
      <c r="J1429">
        <v>2.5003999999999998E-2</v>
      </c>
      <c r="K1429">
        <v>1.7797E-2</v>
      </c>
      <c r="M1429" t="s">
        <v>3</v>
      </c>
      <c r="N1429">
        <v>6500</v>
      </c>
      <c r="O1429">
        <v>24</v>
      </c>
      <c r="P1429">
        <v>25</v>
      </c>
      <c r="Q1429">
        <v>0</v>
      </c>
      <c r="R1429">
        <v>582789621</v>
      </c>
      <c r="S1429">
        <v>614639.91</v>
      </c>
      <c r="T1429">
        <v>579097647.90999997</v>
      </c>
      <c r="U1429">
        <v>582174960.04999995</v>
      </c>
      <c r="V1429">
        <v>6.1556E-2</v>
      </c>
      <c r="W1429">
        <v>0</v>
      </c>
      <c r="Y1429" t="s">
        <v>3</v>
      </c>
      <c r="Z1429">
        <v>5250</v>
      </c>
      <c r="AA1429">
        <v>36</v>
      </c>
      <c r="AB1429">
        <v>10</v>
      </c>
      <c r="AC1429">
        <v>0</v>
      </c>
      <c r="AD1429">
        <v>247857064</v>
      </c>
      <c r="AE1429">
        <v>347043.39</v>
      </c>
      <c r="AF1429">
        <v>247534648</v>
      </c>
      <c r="AG1429">
        <v>247534648</v>
      </c>
      <c r="AH1429">
        <v>-1.193E-3</v>
      </c>
      <c r="AI1429">
        <v>-1.193E-3</v>
      </c>
    </row>
    <row r="1430" spans="1:35" x14ac:dyDescent="0.35">
      <c r="A1430" t="s">
        <v>1</v>
      </c>
      <c r="B1430">
        <v>5250</v>
      </c>
      <c r="C1430">
        <v>8</v>
      </c>
      <c r="D1430">
        <v>1055</v>
      </c>
      <c r="E1430">
        <v>0</v>
      </c>
      <c r="F1430">
        <v>44631602013</v>
      </c>
      <c r="G1430">
        <v>53793513.369999997</v>
      </c>
      <c r="H1430">
        <v>44278846596.949997</v>
      </c>
      <c r="I1430">
        <v>44547289782.669998</v>
      </c>
      <c r="J1430">
        <v>7.7484999999999998E-2</v>
      </c>
      <c r="K1430">
        <v>8.175E-3</v>
      </c>
      <c r="M1430" t="s">
        <v>3</v>
      </c>
      <c r="N1430">
        <v>6250</v>
      </c>
      <c r="O1430">
        <v>24</v>
      </c>
      <c r="P1430">
        <v>34</v>
      </c>
      <c r="Q1430">
        <v>0</v>
      </c>
      <c r="R1430">
        <v>776150325</v>
      </c>
      <c r="S1430">
        <v>846474.25</v>
      </c>
      <c r="T1430">
        <v>772187687.52999997</v>
      </c>
      <c r="U1430">
        <v>775303345.42999995</v>
      </c>
      <c r="V1430">
        <v>4.7128999999999997E-2</v>
      </c>
      <c r="W1430">
        <v>7.9999999999999996E-6</v>
      </c>
      <c r="Y1430" t="s">
        <v>1</v>
      </c>
      <c r="Z1430">
        <v>2000</v>
      </c>
      <c r="AA1430">
        <v>144</v>
      </c>
      <c r="AB1430">
        <v>14</v>
      </c>
      <c r="AC1430">
        <v>0</v>
      </c>
      <c r="AD1430">
        <v>174031353</v>
      </c>
      <c r="AE1430">
        <v>672184.22</v>
      </c>
      <c r="AF1430">
        <v>173371348</v>
      </c>
      <c r="AG1430">
        <v>173371348</v>
      </c>
      <c r="AH1430">
        <v>-8.4000000000000003E-4</v>
      </c>
      <c r="AI1430">
        <v>-8.4000000000000003E-4</v>
      </c>
    </row>
    <row r="1431" spans="1:35" x14ac:dyDescent="0.35">
      <c r="A1431" t="s">
        <v>2</v>
      </c>
      <c r="B1431">
        <v>7250</v>
      </c>
      <c r="C1431">
        <v>18</v>
      </c>
      <c r="D1431">
        <v>834</v>
      </c>
      <c r="E1431">
        <v>0</v>
      </c>
      <c r="F1431">
        <v>12836978902</v>
      </c>
      <c r="G1431">
        <v>11442844.99</v>
      </c>
      <c r="H1431">
        <v>12657443997.780001</v>
      </c>
      <c r="I1431">
        <v>12763703583.889999</v>
      </c>
      <c r="J1431">
        <v>0.14629600000000001</v>
      </c>
      <c r="K1431">
        <v>5.6293999999999997E-2</v>
      </c>
      <c r="M1431" t="s">
        <v>2</v>
      </c>
      <c r="N1431">
        <v>8000</v>
      </c>
      <c r="O1431">
        <v>30</v>
      </c>
      <c r="P1431">
        <v>4</v>
      </c>
      <c r="Q1431">
        <v>0</v>
      </c>
      <c r="R1431">
        <v>59078865</v>
      </c>
      <c r="S1431">
        <v>49555.03</v>
      </c>
      <c r="T1431">
        <v>58657163.229999997</v>
      </c>
      <c r="U1431">
        <v>59029134.990000002</v>
      </c>
      <c r="V1431">
        <v>7.3025000000000007E-2</v>
      </c>
      <c r="W1431">
        <v>3.6000000000000001E-5</v>
      </c>
      <c r="Y1431" t="s">
        <v>2</v>
      </c>
      <c r="Z1431">
        <v>4250</v>
      </c>
      <c r="AA1431">
        <v>36</v>
      </c>
      <c r="AB1431">
        <v>67</v>
      </c>
      <c r="AC1431">
        <v>0</v>
      </c>
      <c r="AD1431">
        <v>1089505593</v>
      </c>
      <c r="AE1431">
        <v>1881705.2</v>
      </c>
      <c r="AF1431">
        <v>1087568899</v>
      </c>
      <c r="AG1431">
        <v>1087568899</v>
      </c>
      <c r="AH1431">
        <v>6.0499999999999996E-4</v>
      </c>
      <c r="AI1431">
        <v>6.0499999999999996E-4</v>
      </c>
    </row>
    <row r="1432" spans="1:35" x14ac:dyDescent="0.35">
      <c r="A1432" t="s">
        <v>1</v>
      </c>
      <c r="B1432">
        <v>8250</v>
      </c>
      <c r="C1432">
        <v>30</v>
      </c>
      <c r="D1432">
        <v>244</v>
      </c>
      <c r="E1432">
        <v>0</v>
      </c>
      <c r="F1432">
        <v>5604929912</v>
      </c>
      <c r="G1432">
        <v>4394923.7699999996</v>
      </c>
      <c r="H1432">
        <v>5318191616.21</v>
      </c>
      <c r="I1432">
        <v>5485147259.5500002</v>
      </c>
      <c r="J1432">
        <v>0.46218799999999999</v>
      </c>
      <c r="K1432">
        <v>0.22090299999999999</v>
      </c>
      <c r="M1432" t="s">
        <v>0</v>
      </c>
      <c r="N1432">
        <v>5250</v>
      </c>
      <c r="O1432">
        <v>5</v>
      </c>
      <c r="P1432">
        <v>5110</v>
      </c>
      <c r="Q1432">
        <v>0</v>
      </c>
      <c r="R1432">
        <v>182854800000</v>
      </c>
      <c r="S1432">
        <v>214693605.40000001</v>
      </c>
      <c r="T1432">
        <v>182505080685.69</v>
      </c>
      <c r="U1432">
        <v>182622862999.63</v>
      </c>
      <c r="V1432">
        <v>8.8249999999999995E-3</v>
      </c>
      <c r="W1432">
        <v>1.1310000000000001E-3</v>
      </c>
      <c r="Y1432" t="s">
        <v>1</v>
      </c>
      <c r="Z1432">
        <v>7750</v>
      </c>
      <c r="AA1432">
        <v>30</v>
      </c>
      <c r="AB1432">
        <v>1720</v>
      </c>
      <c r="AC1432">
        <v>0</v>
      </c>
      <c r="AD1432">
        <v>40103711282</v>
      </c>
      <c r="AE1432">
        <v>34755082.119999997</v>
      </c>
      <c r="AF1432">
        <v>37857664739</v>
      </c>
      <c r="AG1432">
        <v>39040977897.779999</v>
      </c>
      <c r="AH1432">
        <v>0.49369400000000002</v>
      </c>
      <c r="AI1432">
        <v>0.267731</v>
      </c>
    </row>
    <row r="1433" spans="1:35" x14ac:dyDescent="0.35">
      <c r="A1433" t="s">
        <v>2</v>
      </c>
      <c r="B1433">
        <v>8000</v>
      </c>
      <c r="C1433">
        <v>30</v>
      </c>
      <c r="D1433">
        <v>39</v>
      </c>
      <c r="E1433">
        <v>0</v>
      </c>
      <c r="F1433">
        <v>673611828</v>
      </c>
      <c r="G1433">
        <v>551621.17000000004</v>
      </c>
      <c r="H1433">
        <v>663934311.52999997</v>
      </c>
      <c r="I1433">
        <v>672093779.52999997</v>
      </c>
      <c r="J1433">
        <v>0.15099000000000001</v>
      </c>
      <c r="K1433">
        <v>1.7080999999999999E-2</v>
      </c>
      <c r="M1433" t="s">
        <v>2</v>
      </c>
      <c r="N1433">
        <v>5250</v>
      </c>
      <c r="O1433">
        <v>5</v>
      </c>
      <c r="P1433">
        <v>115</v>
      </c>
      <c r="Q1433">
        <v>0</v>
      </c>
      <c r="R1433">
        <v>2750900000</v>
      </c>
      <c r="S1433">
        <v>3228320.62</v>
      </c>
      <c r="T1433">
        <v>2746734040.4299998</v>
      </c>
      <c r="U1433">
        <v>2747530559.8000002</v>
      </c>
      <c r="V1433">
        <v>4.0829999999999998E-3</v>
      </c>
      <c r="W1433">
        <v>6.1499999999999999E-4</v>
      </c>
      <c r="Y1433" t="s">
        <v>3</v>
      </c>
      <c r="Z1433">
        <v>7250</v>
      </c>
      <c r="AA1433">
        <v>30</v>
      </c>
      <c r="AB1433">
        <v>96</v>
      </c>
      <c r="AC1433">
        <v>0</v>
      </c>
      <c r="AD1433">
        <v>2384066122</v>
      </c>
      <c r="AE1433">
        <v>2255851.5099999998</v>
      </c>
      <c r="AF1433">
        <v>2365346258</v>
      </c>
      <c r="AG1433">
        <v>2365346258</v>
      </c>
      <c r="AH1433">
        <v>7.9794000000000004E-2</v>
      </c>
      <c r="AI1433">
        <v>7.9794000000000004E-2</v>
      </c>
    </row>
    <row r="1434" spans="1:35" x14ac:dyDescent="0.35">
      <c r="A1434" t="s">
        <v>3</v>
      </c>
      <c r="B1434">
        <v>6000</v>
      </c>
      <c r="C1434">
        <v>30</v>
      </c>
      <c r="D1434">
        <v>12</v>
      </c>
      <c r="E1434">
        <v>0</v>
      </c>
      <c r="F1434">
        <v>358511710</v>
      </c>
      <c r="G1434">
        <v>429231.81</v>
      </c>
      <c r="H1434">
        <v>356472731.98000002</v>
      </c>
      <c r="I1434">
        <v>358082454.44</v>
      </c>
      <c r="J1434">
        <v>5.2569999999999999E-2</v>
      </c>
      <c r="K1434">
        <v>9.9999999999999995E-7</v>
      </c>
      <c r="M1434" t="s">
        <v>3</v>
      </c>
      <c r="N1434">
        <v>7750</v>
      </c>
      <c r="O1434">
        <v>30</v>
      </c>
      <c r="P1434">
        <v>37</v>
      </c>
      <c r="Q1434">
        <v>0</v>
      </c>
      <c r="R1434">
        <v>616992046</v>
      </c>
      <c r="S1434">
        <v>538781.21</v>
      </c>
      <c r="T1434">
        <v>613713804.65999997</v>
      </c>
      <c r="U1434">
        <v>616451814.85000002</v>
      </c>
      <c r="V1434">
        <v>5.1998000000000003E-2</v>
      </c>
      <c r="W1434">
        <v>2.8E-5</v>
      </c>
      <c r="Y1434" t="s">
        <v>3</v>
      </c>
      <c r="Z1434">
        <v>7000</v>
      </c>
      <c r="AA1434">
        <v>24</v>
      </c>
      <c r="AB1434">
        <v>27</v>
      </c>
      <c r="AC1434">
        <v>0</v>
      </c>
      <c r="AD1434">
        <v>758408280</v>
      </c>
      <c r="AE1434">
        <v>735534.61</v>
      </c>
      <c r="AF1434">
        <v>757514868</v>
      </c>
      <c r="AG1434">
        <v>757514868</v>
      </c>
      <c r="AH1434">
        <v>2.4949999999999998E-3</v>
      </c>
      <c r="AI1434">
        <v>2.4949999999999998E-3</v>
      </c>
    </row>
    <row r="1435" spans="1:35" x14ac:dyDescent="0.35">
      <c r="A1435" t="s">
        <v>3</v>
      </c>
      <c r="B1435">
        <v>7750</v>
      </c>
      <c r="C1435">
        <v>30</v>
      </c>
      <c r="D1435">
        <v>53</v>
      </c>
      <c r="E1435">
        <v>0</v>
      </c>
      <c r="F1435">
        <v>1039329466</v>
      </c>
      <c r="G1435">
        <v>910759.38</v>
      </c>
      <c r="H1435">
        <v>1033431447.78</v>
      </c>
      <c r="I1435">
        <v>1038416012.17</v>
      </c>
      <c r="J1435">
        <v>5.6086999999999998E-2</v>
      </c>
      <c r="K1435">
        <v>3.1000000000000001E-5</v>
      </c>
      <c r="M1435" t="s">
        <v>3</v>
      </c>
      <c r="N1435">
        <v>7500</v>
      </c>
      <c r="O1435">
        <v>30</v>
      </c>
      <c r="P1435">
        <v>29</v>
      </c>
      <c r="Q1435">
        <v>0</v>
      </c>
      <c r="R1435">
        <v>784748580</v>
      </c>
      <c r="S1435">
        <v>710504.95999999996</v>
      </c>
      <c r="T1435">
        <v>780511718.71000004</v>
      </c>
      <c r="U1435">
        <v>784037065.67999995</v>
      </c>
      <c r="V1435">
        <v>5.2609999999999997E-2</v>
      </c>
      <c r="W1435">
        <v>1.5E-5</v>
      </c>
      <c r="Y1435" t="s">
        <v>3</v>
      </c>
      <c r="Z1435">
        <v>6500</v>
      </c>
      <c r="AA1435">
        <v>24</v>
      </c>
      <c r="AB1435">
        <v>25</v>
      </c>
      <c r="AC1435">
        <v>0</v>
      </c>
      <c r="AD1435">
        <v>572346884</v>
      </c>
      <c r="AE1435">
        <v>603373.76</v>
      </c>
      <c r="AF1435">
        <v>571596121</v>
      </c>
      <c r="AG1435">
        <v>571596121</v>
      </c>
      <c r="AH1435">
        <v>3.0860000000000002E-3</v>
      </c>
      <c r="AI1435">
        <v>3.0860000000000002E-3</v>
      </c>
    </row>
    <row r="1436" spans="1:35" x14ac:dyDescent="0.35">
      <c r="A1436" t="s">
        <v>2</v>
      </c>
      <c r="B1436">
        <v>5500</v>
      </c>
      <c r="C1436">
        <v>54</v>
      </c>
      <c r="D1436">
        <v>17</v>
      </c>
      <c r="E1436">
        <v>0</v>
      </c>
      <c r="F1436">
        <v>209898946</v>
      </c>
      <c r="G1436">
        <v>359585.68</v>
      </c>
      <c r="H1436">
        <v>207945490</v>
      </c>
      <c r="I1436">
        <v>209276041.21000001</v>
      </c>
      <c r="J1436">
        <v>8.7411000000000003E-2</v>
      </c>
      <c r="K1436">
        <v>1.4951000000000001E-2</v>
      </c>
      <c r="M1436" t="s">
        <v>1</v>
      </c>
      <c r="N1436">
        <v>7500</v>
      </c>
      <c r="O1436">
        <v>20</v>
      </c>
      <c r="P1436">
        <v>237</v>
      </c>
      <c r="Q1436">
        <v>0</v>
      </c>
      <c r="R1436">
        <v>5796678937</v>
      </c>
      <c r="S1436">
        <v>5048103.33</v>
      </c>
      <c r="T1436">
        <v>5407823721.6999998</v>
      </c>
      <c r="U1436">
        <v>5660513888.3800001</v>
      </c>
      <c r="V1436">
        <v>0.560477</v>
      </c>
      <c r="W1436">
        <v>0.24008499999999999</v>
      </c>
      <c r="Y1436" t="s">
        <v>1</v>
      </c>
      <c r="Z1436">
        <v>5000</v>
      </c>
      <c r="AA1436">
        <v>30</v>
      </c>
      <c r="AB1436">
        <v>4449</v>
      </c>
      <c r="AC1436">
        <v>0</v>
      </c>
      <c r="AD1436">
        <v>163674853116</v>
      </c>
      <c r="AE1436">
        <v>230677004.40000001</v>
      </c>
      <c r="AF1436">
        <v>162439839190</v>
      </c>
      <c r="AG1436">
        <v>163108809981.25</v>
      </c>
      <c r="AH1436">
        <v>7.1198999999999998E-2</v>
      </c>
      <c r="AI1436">
        <v>2.4313000000000001E-2</v>
      </c>
    </row>
    <row r="1437" spans="1:35" x14ac:dyDescent="0.35">
      <c r="A1437" t="s">
        <v>2</v>
      </c>
      <c r="B1437">
        <v>7750</v>
      </c>
      <c r="C1437">
        <v>24</v>
      </c>
      <c r="D1437">
        <v>640</v>
      </c>
      <c r="E1437">
        <v>0</v>
      </c>
      <c r="F1437">
        <v>8867435753</v>
      </c>
      <c r="G1437">
        <v>7527994.2199999997</v>
      </c>
      <c r="H1437">
        <v>8685411411.3299999</v>
      </c>
      <c r="I1437">
        <v>8792250938.9799995</v>
      </c>
      <c r="J1437">
        <v>0.21218699999999999</v>
      </c>
      <c r="K1437">
        <v>8.7812000000000001E-2</v>
      </c>
      <c r="M1437" t="s">
        <v>1</v>
      </c>
      <c r="N1437">
        <v>8250</v>
      </c>
      <c r="O1437">
        <v>30</v>
      </c>
      <c r="P1437">
        <v>11</v>
      </c>
      <c r="Q1437">
        <v>0</v>
      </c>
      <c r="R1437">
        <v>318341133</v>
      </c>
      <c r="S1437">
        <v>256360.38</v>
      </c>
      <c r="T1437">
        <v>298774286.91000003</v>
      </c>
      <c r="U1437">
        <v>316196649.31999999</v>
      </c>
      <c r="V1437">
        <v>0.52807199999999999</v>
      </c>
      <c r="W1437">
        <v>6.8897E-2</v>
      </c>
      <c r="Y1437" t="s">
        <v>0</v>
      </c>
      <c r="Z1437">
        <v>5250</v>
      </c>
      <c r="AA1437">
        <v>7</v>
      </c>
      <c r="AB1437">
        <v>1307</v>
      </c>
      <c r="AC1437">
        <v>0</v>
      </c>
      <c r="AD1437">
        <v>46018883469</v>
      </c>
      <c r="AE1437">
        <v>55214330.369999997</v>
      </c>
      <c r="AF1437">
        <v>45819578169</v>
      </c>
      <c r="AG1437">
        <v>45953299311</v>
      </c>
      <c r="AH1437">
        <v>3.6933000000000001E-2</v>
      </c>
      <c r="AI1437">
        <v>2.7009999999999998E-3</v>
      </c>
    </row>
    <row r="1438" spans="1:35" x14ac:dyDescent="0.35">
      <c r="A1438" t="s">
        <v>1</v>
      </c>
      <c r="B1438">
        <v>6250</v>
      </c>
      <c r="C1438">
        <v>6</v>
      </c>
      <c r="D1438">
        <v>11015</v>
      </c>
      <c r="E1438">
        <v>0</v>
      </c>
      <c r="F1438">
        <v>459618959246</v>
      </c>
      <c r="G1438">
        <v>457358234.30000001</v>
      </c>
      <c r="H1438">
        <v>453317095295.66998</v>
      </c>
      <c r="I1438">
        <v>458877744281.26001</v>
      </c>
      <c r="J1438">
        <v>0.14235900000000001</v>
      </c>
      <c r="K1438">
        <v>7.3860000000000002E-3</v>
      </c>
      <c r="M1438" t="s">
        <v>1</v>
      </c>
      <c r="N1438">
        <v>8250</v>
      </c>
      <c r="O1438">
        <v>24</v>
      </c>
      <c r="P1438">
        <v>354</v>
      </c>
      <c r="Q1438">
        <v>0</v>
      </c>
      <c r="R1438">
        <v>7971601341</v>
      </c>
      <c r="S1438">
        <v>6080863.0899999999</v>
      </c>
      <c r="T1438">
        <v>7453965312.5900002</v>
      </c>
      <c r="U1438">
        <v>7791217378.8299999</v>
      </c>
      <c r="V1438">
        <v>0.54881800000000003</v>
      </c>
      <c r="W1438">
        <v>0.23302200000000001</v>
      </c>
      <c r="Y1438" t="s">
        <v>2</v>
      </c>
      <c r="Z1438">
        <v>5250</v>
      </c>
      <c r="AA1438">
        <v>7</v>
      </c>
      <c r="AB1438">
        <v>28</v>
      </c>
      <c r="AC1438">
        <v>0</v>
      </c>
      <c r="AD1438">
        <v>671214307</v>
      </c>
      <c r="AE1438">
        <v>806160.61</v>
      </c>
      <c r="AF1438">
        <v>670341044</v>
      </c>
      <c r="AG1438">
        <v>670341044</v>
      </c>
      <c r="AH1438">
        <v>1.199E-3</v>
      </c>
      <c r="AI1438">
        <v>1.199E-3</v>
      </c>
    </row>
    <row r="1439" spans="1:35" x14ac:dyDescent="0.35">
      <c r="A1439" t="s">
        <v>1</v>
      </c>
      <c r="B1439">
        <v>4000</v>
      </c>
      <c r="C1439">
        <v>36</v>
      </c>
      <c r="D1439">
        <v>361</v>
      </c>
      <c r="E1439">
        <v>0</v>
      </c>
      <c r="F1439">
        <v>12792070139</v>
      </c>
      <c r="G1439">
        <v>22068640.109999999</v>
      </c>
      <c r="H1439">
        <v>12613879599.42</v>
      </c>
      <c r="I1439">
        <v>12699073478.959999</v>
      </c>
      <c r="J1439">
        <v>0.137013</v>
      </c>
      <c r="K1439">
        <v>6.4544000000000004E-2</v>
      </c>
      <c r="M1439" t="s">
        <v>0</v>
      </c>
      <c r="N1439">
        <v>4500</v>
      </c>
      <c r="O1439">
        <v>30</v>
      </c>
      <c r="P1439">
        <v>1050</v>
      </c>
      <c r="Q1439">
        <v>0</v>
      </c>
      <c r="R1439">
        <v>30815858634</v>
      </c>
      <c r="S1439">
        <v>47059035.060000002</v>
      </c>
      <c r="T1439">
        <v>30670053059.23</v>
      </c>
      <c r="U1439">
        <v>30753775203.540001</v>
      </c>
      <c r="V1439">
        <v>3.7782000000000003E-2</v>
      </c>
      <c r="W1439">
        <v>5.8349999999999999E-3</v>
      </c>
      <c r="Y1439" t="s">
        <v>1</v>
      </c>
      <c r="Z1439">
        <v>5250</v>
      </c>
      <c r="AA1439">
        <v>7</v>
      </c>
      <c r="AB1439">
        <v>1057</v>
      </c>
      <c r="AC1439">
        <v>0</v>
      </c>
      <c r="AD1439">
        <v>44817031217</v>
      </c>
      <c r="AE1439">
        <v>53717656.189999998</v>
      </c>
      <c r="AF1439">
        <v>44631602013</v>
      </c>
      <c r="AG1439">
        <v>44747326851.57</v>
      </c>
      <c r="AH1439">
        <v>3.4701999999999997E-2</v>
      </c>
      <c r="AI1439">
        <v>4.2719999999999998E-3</v>
      </c>
    </row>
    <row r="1440" spans="1:35" x14ac:dyDescent="0.35">
      <c r="A1440" t="s">
        <v>1</v>
      </c>
      <c r="B1440">
        <v>4000</v>
      </c>
      <c r="C1440">
        <v>30</v>
      </c>
      <c r="D1440">
        <v>70</v>
      </c>
      <c r="E1440">
        <v>0</v>
      </c>
      <c r="F1440">
        <v>2369107757</v>
      </c>
      <c r="G1440">
        <v>3990146.61</v>
      </c>
      <c r="H1440">
        <v>2321105531.9499998</v>
      </c>
      <c r="I1440">
        <v>2337106555.02</v>
      </c>
      <c r="J1440">
        <v>0.20150499999999999</v>
      </c>
      <c r="K1440">
        <v>0.13300899999999999</v>
      </c>
      <c r="M1440" t="s">
        <v>0</v>
      </c>
      <c r="N1440">
        <v>5250</v>
      </c>
      <c r="O1440">
        <v>24</v>
      </c>
      <c r="P1440">
        <v>2129</v>
      </c>
      <c r="Q1440">
        <v>0</v>
      </c>
      <c r="R1440">
        <v>72238688788</v>
      </c>
      <c r="S1440">
        <v>94625069.120000005</v>
      </c>
      <c r="T1440">
        <v>71834695880.75</v>
      </c>
      <c r="U1440">
        <v>72073720503.429993</v>
      </c>
      <c r="V1440">
        <v>5.0198E-2</v>
      </c>
      <c r="W1440">
        <v>1.1623E-2</v>
      </c>
      <c r="Y1440" t="s">
        <v>3</v>
      </c>
      <c r="Z1440">
        <v>7500</v>
      </c>
      <c r="AA1440">
        <v>30</v>
      </c>
      <c r="AB1440">
        <v>37</v>
      </c>
      <c r="AC1440">
        <v>0</v>
      </c>
      <c r="AD1440">
        <v>995743785</v>
      </c>
      <c r="AE1440">
        <v>907568.99</v>
      </c>
      <c r="AF1440">
        <v>994731025</v>
      </c>
      <c r="AG1440">
        <v>994731025</v>
      </c>
      <c r="AH1440">
        <v>1.2669999999999999E-3</v>
      </c>
      <c r="AI1440">
        <v>1.2669999999999999E-3</v>
      </c>
    </row>
    <row r="1441" spans="1:35" x14ac:dyDescent="0.35">
      <c r="A1441" t="s">
        <v>1</v>
      </c>
      <c r="B1441">
        <v>4750</v>
      </c>
      <c r="C1441">
        <v>30</v>
      </c>
      <c r="D1441">
        <v>911</v>
      </c>
      <c r="E1441">
        <v>0</v>
      </c>
      <c r="F1441">
        <v>32801605061</v>
      </c>
      <c r="G1441">
        <v>48292324.969999999</v>
      </c>
      <c r="H1441">
        <v>32459852937.669998</v>
      </c>
      <c r="I1441">
        <v>32679680622.860001</v>
      </c>
      <c r="J1441">
        <v>0.10223</v>
      </c>
      <c r="K1441">
        <v>2.6606999999999999E-2</v>
      </c>
      <c r="M1441" t="s">
        <v>2</v>
      </c>
      <c r="N1441">
        <v>5750</v>
      </c>
      <c r="O1441">
        <v>24</v>
      </c>
      <c r="P1441">
        <v>133</v>
      </c>
      <c r="Q1441">
        <v>0</v>
      </c>
      <c r="R1441">
        <v>2788949099</v>
      </c>
      <c r="S1441">
        <v>3363378.26</v>
      </c>
      <c r="T1441">
        <v>2774559894.71</v>
      </c>
      <c r="U1441">
        <v>2784285276.73</v>
      </c>
      <c r="V1441">
        <v>4.6422999999999999E-2</v>
      </c>
      <c r="W1441">
        <v>5.581E-3</v>
      </c>
      <c r="Y1441" t="s">
        <v>3</v>
      </c>
      <c r="Z1441">
        <v>7750</v>
      </c>
      <c r="AA1441">
        <v>30</v>
      </c>
      <c r="AB1441">
        <v>48</v>
      </c>
      <c r="AC1441">
        <v>0</v>
      </c>
      <c r="AD1441">
        <v>868792969</v>
      </c>
      <c r="AE1441">
        <v>761655.36</v>
      </c>
      <c r="AF1441">
        <v>853112151</v>
      </c>
      <c r="AG1441">
        <v>865941274.16999996</v>
      </c>
      <c r="AH1441">
        <v>0.18767700000000001</v>
      </c>
      <c r="AI1441">
        <v>2.8489E-2</v>
      </c>
    </row>
    <row r="1442" spans="1:35" x14ac:dyDescent="0.35">
      <c r="A1442" t="s">
        <v>1</v>
      </c>
      <c r="B1442">
        <v>9000</v>
      </c>
      <c r="C1442">
        <v>30</v>
      </c>
      <c r="D1442">
        <v>19</v>
      </c>
      <c r="E1442">
        <v>0</v>
      </c>
      <c r="F1442">
        <v>503521152</v>
      </c>
      <c r="G1442">
        <v>358017.83</v>
      </c>
      <c r="H1442">
        <v>463587297.02999997</v>
      </c>
      <c r="I1442">
        <v>474961071.45999998</v>
      </c>
      <c r="J1442">
        <v>0.62555400000000005</v>
      </c>
      <c r="K1442">
        <v>0.49926199999999998</v>
      </c>
      <c r="M1442" t="s">
        <v>1</v>
      </c>
      <c r="N1442">
        <v>5250</v>
      </c>
      <c r="O1442">
        <v>24</v>
      </c>
      <c r="P1442">
        <v>1128</v>
      </c>
      <c r="Q1442">
        <v>0</v>
      </c>
      <c r="R1442">
        <v>41697988978</v>
      </c>
      <c r="S1442">
        <v>54692330.450000003</v>
      </c>
      <c r="T1442">
        <v>41250998657.080002</v>
      </c>
      <c r="U1442">
        <v>41540314465.900002</v>
      </c>
      <c r="V1442">
        <v>0.107235</v>
      </c>
      <c r="W1442">
        <v>2.9236999999999999E-2</v>
      </c>
      <c r="Y1442" t="s">
        <v>1</v>
      </c>
      <c r="Z1442">
        <v>8250</v>
      </c>
      <c r="AA1442">
        <v>30</v>
      </c>
      <c r="AB1442">
        <v>86</v>
      </c>
      <c r="AC1442">
        <v>0</v>
      </c>
      <c r="AD1442">
        <v>2136817310</v>
      </c>
      <c r="AE1442">
        <v>1675896.19</v>
      </c>
      <c r="AF1442">
        <v>2047315242</v>
      </c>
      <c r="AG1442">
        <v>2062338435</v>
      </c>
      <c r="AH1442">
        <v>0.395673</v>
      </c>
      <c r="AI1442">
        <v>0.340304</v>
      </c>
    </row>
    <row r="1443" spans="1:35" x14ac:dyDescent="0.35">
      <c r="A1443" t="s">
        <v>2</v>
      </c>
      <c r="B1443">
        <v>8250</v>
      </c>
      <c r="C1443">
        <v>30</v>
      </c>
      <c r="D1443">
        <v>63</v>
      </c>
      <c r="E1443">
        <v>0</v>
      </c>
      <c r="F1443">
        <v>905998511</v>
      </c>
      <c r="G1443">
        <v>707773.95</v>
      </c>
      <c r="H1443">
        <v>890904078.48000002</v>
      </c>
      <c r="I1443">
        <v>901105748.25999999</v>
      </c>
      <c r="J1443">
        <v>0.17476</v>
      </c>
      <c r="K1443">
        <v>5.4044000000000002E-2</v>
      </c>
      <c r="M1443" t="s">
        <v>3</v>
      </c>
      <c r="N1443">
        <v>7750</v>
      </c>
      <c r="O1443">
        <v>24</v>
      </c>
      <c r="P1443">
        <v>32</v>
      </c>
      <c r="Q1443">
        <v>0</v>
      </c>
      <c r="R1443">
        <v>682180576</v>
      </c>
      <c r="S1443">
        <v>578097.11</v>
      </c>
      <c r="T1443">
        <v>679504067.72000003</v>
      </c>
      <c r="U1443">
        <v>681602431.49000001</v>
      </c>
      <c r="V1443">
        <v>3.6294E-2</v>
      </c>
      <c r="W1443">
        <v>9.9999999999999995E-7</v>
      </c>
      <c r="Y1443" t="s">
        <v>2</v>
      </c>
      <c r="Z1443">
        <v>8000</v>
      </c>
      <c r="AA1443">
        <v>30</v>
      </c>
      <c r="AB1443">
        <v>15</v>
      </c>
      <c r="AC1443">
        <v>0</v>
      </c>
      <c r="AD1443">
        <v>272193800</v>
      </c>
      <c r="AE1443">
        <v>222911.82</v>
      </c>
      <c r="AF1443">
        <v>238583052</v>
      </c>
      <c r="AG1443">
        <v>238583052</v>
      </c>
      <c r="AH1443">
        <v>0.79202899999999998</v>
      </c>
      <c r="AI1443">
        <v>0.79202899999999998</v>
      </c>
    </row>
    <row r="1444" spans="1:35" x14ac:dyDescent="0.35">
      <c r="A1444" t="s">
        <v>0</v>
      </c>
      <c r="B1444">
        <v>9000</v>
      </c>
      <c r="C1444">
        <v>24</v>
      </c>
      <c r="D1444">
        <v>114</v>
      </c>
      <c r="E1444">
        <v>0</v>
      </c>
      <c r="F1444">
        <v>2616723971</v>
      </c>
      <c r="G1444">
        <v>1830678.49</v>
      </c>
      <c r="H1444">
        <v>2552598036.6500001</v>
      </c>
      <c r="I1444">
        <v>2592838386.7600002</v>
      </c>
      <c r="J1444">
        <v>0.25108900000000001</v>
      </c>
      <c r="K1444">
        <v>9.6582000000000001E-2</v>
      </c>
      <c r="M1444" t="s">
        <v>2</v>
      </c>
      <c r="N1444">
        <v>4250</v>
      </c>
      <c r="O1444">
        <v>30</v>
      </c>
      <c r="P1444">
        <v>39</v>
      </c>
      <c r="Q1444">
        <v>0</v>
      </c>
      <c r="R1444">
        <v>645113264</v>
      </c>
      <c r="S1444">
        <v>1064272.54</v>
      </c>
      <c r="T1444">
        <v>641429217.10000002</v>
      </c>
      <c r="U1444">
        <v>643271178.37</v>
      </c>
      <c r="V1444">
        <v>4.7657999999999999E-2</v>
      </c>
      <c r="W1444">
        <v>1.4373E-2</v>
      </c>
      <c r="Y1444" t="s">
        <v>0</v>
      </c>
      <c r="Z1444">
        <v>9000</v>
      </c>
      <c r="AA1444">
        <v>30</v>
      </c>
      <c r="AB1444">
        <v>70</v>
      </c>
      <c r="AC1444">
        <v>0</v>
      </c>
      <c r="AD1444">
        <v>1618091147</v>
      </c>
      <c r="AE1444">
        <v>1156140.3899999999</v>
      </c>
      <c r="AF1444">
        <v>1616834784</v>
      </c>
      <c r="AG1444">
        <v>1616834784</v>
      </c>
      <c r="AH1444">
        <v>7.4299999999999995E-4</v>
      </c>
      <c r="AI1444">
        <v>7.4299999999999995E-4</v>
      </c>
    </row>
    <row r="1445" spans="1:35" x14ac:dyDescent="0.35">
      <c r="A1445" t="s">
        <v>2</v>
      </c>
      <c r="B1445">
        <v>5000</v>
      </c>
      <c r="C1445">
        <v>30</v>
      </c>
      <c r="D1445">
        <v>144</v>
      </c>
      <c r="E1445">
        <v>0</v>
      </c>
      <c r="F1445">
        <v>3767322619</v>
      </c>
      <c r="G1445">
        <v>5289652.2699999996</v>
      </c>
      <c r="H1445">
        <v>3742112768.46</v>
      </c>
      <c r="I1445">
        <v>3754454185.2399998</v>
      </c>
      <c r="J1445">
        <v>6.1637999999999998E-2</v>
      </c>
      <c r="K1445">
        <v>2.3875E-2</v>
      </c>
      <c r="M1445" t="s">
        <v>1</v>
      </c>
      <c r="N1445">
        <v>3250</v>
      </c>
      <c r="O1445">
        <v>30</v>
      </c>
      <c r="P1445">
        <v>94</v>
      </c>
      <c r="Q1445">
        <v>0</v>
      </c>
      <c r="R1445">
        <v>2615749751</v>
      </c>
      <c r="S1445">
        <v>5202510.37</v>
      </c>
      <c r="T1445">
        <v>2563507952.4899998</v>
      </c>
      <c r="U1445">
        <v>2576699131.3800001</v>
      </c>
      <c r="V1445">
        <v>0.19568199999999999</v>
      </c>
      <c r="W1445">
        <v>0.14469299999999999</v>
      </c>
      <c r="Y1445" t="s">
        <v>2</v>
      </c>
      <c r="Z1445">
        <v>5500</v>
      </c>
      <c r="AA1445">
        <v>54</v>
      </c>
      <c r="AB1445">
        <v>17</v>
      </c>
      <c r="AC1445">
        <v>0</v>
      </c>
      <c r="AD1445">
        <v>209688489</v>
      </c>
      <c r="AE1445">
        <v>354184.6</v>
      </c>
      <c r="AF1445">
        <v>209308795</v>
      </c>
      <c r="AG1445">
        <v>209308795</v>
      </c>
      <c r="AH1445">
        <v>1.459E-3</v>
      </c>
      <c r="AI1445">
        <v>1.459E-3</v>
      </c>
    </row>
    <row r="1446" spans="1:35" x14ac:dyDescent="0.35">
      <c r="A1446" t="s">
        <v>2</v>
      </c>
      <c r="B1446">
        <v>4250</v>
      </c>
      <c r="C1446">
        <v>30</v>
      </c>
      <c r="D1446">
        <v>24</v>
      </c>
      <c r="E1446">
        <v>0</v>
      </c>
      <c r="F1446">
        <v>401121931</v>
      </c>
      <c r="G1446">
        <v>666661.96</v>
      </c>
      <c r="H1446">
        <v>398455069.83999997</v>
      </c>
      <c r="I1446">
        <v>399890942.13999999</v>
      </c>
      <c r="J1446">
        <v>5.8223999999999998E-2</v>
      </c>
      <c r="K1446">
        <v>1.6752E-2</v>
      </c>
      <c r="M1446" t="s">
        <v>1</v>
      </c>
      <c r="N1446">
        <v>4000</v>
      </c>
      <c r="O1446">
        <v>30</v>
      </c>
      <c r="P1446">
        <v>103</v>
      </c>
      <c r="Q1446">
        <v>0</v>
      </c>
      <c r="R1446">
        <v>3524192401</v>
      </c>
      <c r="S1446">
        <v>5951410.3899999997</v>
      </c>
      <c r="T1446">
        <v>3449080260.6599998</v>
      </c>
      <c r="U1446">
        <v>3470871168.9400001</v>
      </c>
      <c r="V1446">
        <v>0.211668</v>
      </c>
      <c r="W1446">
        <v>0.14989</v>
      </c>
      <c r="Y1446" t="s">
        <v>3</v>
      </c>
      <c r="Z1446">
        <v>7750</v>
      </c>
      <c r="AA1446">
        <v>24</v>
      </c>
      <c r="AB1446">
        <v>15</v>
      </c>
      <c r="AC1446">
        <v>0</v>
      </c>
      <c r="AD1446">
        <v>406851578</v>
      </c>
      <c r="AE1446">
        <v>345861.98</v>
      </c>
      <c r="AF1446">
        <v>382087902</v>
      </c>
      <c r="AG1446">
        <v>406497833.20999998</v>
      </c>
      <c r="AH1446">
        <v>0.52417999999999998</v>
      </c>
      <c r="AI1446">
        <v>2.32E-4</v>
      </c>
    </row>
    <row r="1447" spans="1:35" x14ac:dyDescent="0.35">
      <c r="A1447" t="s">
        <v>2</v>
      </c>
      <c r="B1447">
        <v>3500</v>
      </c>
      <c r="C1447">
        <v>36</v>
      </c>
      <c r="D1447">
        <v>65</v>
      </c>
      <c r="E1447">
        <v>0</v>
      </c>
      <c r="F1447">
        <v>1007657718</v>
      </c>
      <c r="G1447">
        <v>1991783.61</v>
      </c>
      <c r="H1447">
        <v>994424322.15999997</v>
      </c>
      <c r="I1447">
        <v>999499119.36000001</v>
      </c>
      <c r="J1447">
        <v>0.12595799999999999</v>
      </c>
      <c r="K1447">
        <v>7.1016999999999997E-2</v>
      </c>
      <c r="M1447" t="s">
        <v>1</v>
      </c>
      <c r="N1447">
        <v>9000</v>
      </c>
      <c r="O1447">
        <v>24</v>
      </c>
      <c r="P1447">
        <v>41</v>
      </c>
      <c r="Q1447">
        <v>0</v>
      </c>
      <c r="R1447">
        <v>1148390321</v>
      </c>
      <c r="S1447">
        <v>795590.01</v>
      </c>
      <c r="T1447">
        <v>1048972336.89</v>
      </c>
      <c r="U1447">
        <v>1077150829.8199999</v>
      </c>
      <c r="V1447">
        <v>0.65955600000000003</v>
      </c>
      <c r="W1447">
        <v>0.53216600000000003</v>
      </c>
      <c r="Y1447" t="s">
        <v>2</v>
      </c>
      <c r="Z1447">
        <v>4250</v>
      </c>
      <c r="AA1447">
        <v>30</v>
      </c>
      <c r="AB1447">
        <v>27</v>
      </c>
      <c r="AC1447">
        <v>0</v>
      </c>
      <c r="AD1447">
        <v>471073257</v>
      </c>
      <c r="AE1447">
        <v>771524.13</v>
      </c>
      <c r="AF1447">
        <v>470345809</v>
      </c>
      <c r="AG1447">
        <v>470345809</v>
      </c>
      <c r="AH1447">
        <v>-1.1230000000000001E-3</v>
      </c>
      <c r="AI1447">
        <v>-1.1230000000000001E-3</v>
      </c>
    </row>
    <row r="1448" spans="1:35" x14ac:dyDescent="0.35">
      <c r="A1448" t="s">
        <v>2</v>
      </c>
      <c r="B1448">
        <v>8250</v>
      </c>
      <c r="C1448">
        <v>24</v>
      </c>
      <c r="D1448">
        <v>78</v>
      </c>
      <c r="E1448">
        <v>0</v>
      </c>
      <c r="F1448">
        <v>1000656780</v>
      </c>
      <c r="G1448">
        <v>772980.72</v>
      </c>
      <c r="H1448">
        <v>979439865.70000005</v>
      </c>
      <c r="I1448">
        <v>992164137.30999994</v>
      </c>
      <c r="J1448">
        <v>0.21940999999999999</v>
      </c>
      <c r="K1448">
        <v>8.8746000000000005E-2</v>
      </c>
      <c r="M1448" t="s">
        <v>2</v>
      </c>
      <c r="N1448">
        <v>8000</v>
      </c>
      <c r="O1448">
        <v>24</v>
      </c>
      <c r="P1448">
        <v>67</v>
      </c>
      <c r="Q1448">
        <v>0</v>
      </c>
      <c r="R1448">
        <v>1065290733</v>
      </c>
      <c r="S1448">
        <v>848549.59</v>
      </c>
      <c r="T1448">
        <v>1044019918.71</v>
      </c>
      <c r="U1448">
        <v>1057098509</v>
      </c>
      <c r="V1448">
        <v>0.20727699999999999</v>
      </c>
      <c r="W1448">
        <v>7.9658000000000007E-2</v>
      </c>
      <c r="Y1448" t="s">
        <v>1</v>
      </c>
      <c r="Z1448">
        <v>4000</v>
      </c>
      <c r="AA1448">
        <v>30</v>
      </c>
      <c r="AB1448">
        <v>81</v>
      </c>
      <c r="AC1448">
        <v>0</v>
      </c>
      <c r="AD1448">
        <v>2814931436</v>
      </c>
      <c r="AE1448">
        <v>4720812.0999999996</v>
      </c>
      <c r="AF1448">
        <v>2811049680</v>
      </c>
      <c r="AG1448">
        <v>2811049680</v>
      </c>
      <c r="AH1448">
        <v>-3.5829999999999998E-3</v>
      </c>
      <c r="AI1448">
        <v>-3.5829999999999998E-3</v>
      </c>
    </row>
    <row r="1449" spans="1:35" x14ac:dyDescent="0.35">
      <c r="A1449" t="s">
        <v>2</v>
      </c>
      <c r="B1449">
        <v>8000</v>
      </c>
      <c r="C1449">
        <v>24</v>
      </c>
      <c r="D1449">
        <v>70</v>
      </c>
      <c r="E1449">
        <v>0</v>
      </c>
      <c r="F1449">
        <v>937059567</v>
      </c>
      <c r="G1449">
        <v>754979.83</v>
      </c>
      <c r="H1449">
        <v>915020892.10000002</v>
      </c>
      <c r="I1449">
        <v>924548753.82000005</v>
      </c>
      <c r="J1449">
        <v>0.24096100000000001</v>
      </c>
      <c r="K1449">
        <v>0.14058000000000001</v>
      </c>
      <c r="M1449" t="s">
        <v>2</v>
      </c>
      <c r="N1449">
        <v>8250</v>
      </c>
      <c r="O1449">
        <v>24</v>
      </c>
      <c r="P1449">
        <v>95</v>
      </c>
      <c r="Q1449">
        <v>0</v>
      </c>
      <c r="R1449">
        <v>1336557328</v>
      </c>
      <c r="S1449">
        <v>1020689.87</v>
      </c>
      <c r="T1449">
        <v>1316621399.4100001</v>
      </c>
      <c r="U1449">
        <v>1330097040.9000001</v>
      </c>
      <c r="V1449">
        <v>0.15721199999999999</v>
      </c>
      <c r="W1449">
        <v>4.7759999999999997E-2</v>
      </c>
      <c r="Y1449" t="s">
        <v>1</v>
      </c>
      <c r="Z1449">
        <v>9000</v>
      </c>
      <c r="AA1449">
        <v>24</v>
      </c>
      <c r="AB1449">
        <v>36</v>
      </c>
      <c r="AC1449">
        <v>0</v>
      </c>
      <c r="AD1449">
        <v>1020791857</v>
      </c>
      <c r="AE1449">
        <v>716668.84</v>
      </c>
      <c r="AF1449">
        <v>898018721</v>
      </c>
      <c r="AG1449">
        <v>991526294.90999997</v>
      </c>
      <c r="AH1449">
        <v>0.78306200000000004</v>
      </c>
      <c r="AI1449">
        <v>0.28850799999999999</v>
      </c>
    </row>
    <row r="1450" spans="1:35" x14ac:dyDescent="0.35">
      <c r="A1450" t="s">
        <v>1</v>
      </c>
      <c r="B1450">
        <v>8250</v>
      </c>
      <c r="C1450">
        <v>24</v>
      </c>
      <c r="D1450">
        <v>123</v>
      </c>
      <c r="E1450">
        <v>0</v>
      </c>
      <c r="F1450">
        <v>2599313437</v>
      </c>
      <c r="G1450">
        <v>1986024.24</v>
      </c>
      <c r="H1450">
        <v>2444859849.9099998</v>
      </c>
      <c r="I1450">
        <v>2517845509.5300002</v>
      </c>
      <c r="J1450">
        <v>0.51585499999999995</v>
      </c>
      <c r="K1450">
        <v>0.31110300000000002</v>
      </c>
      <c r="M1450" t="s">
        <v>2</v>
      </c>
      <c r="N1450">
        <v>5250</v>
      </c>
      <c r="O1450">
        <v>24</v>
      </c>
      <c r="P1450">
        <v>55</v>
      </c>
      <c r="Q1450">
        <v>0</v>
      </c>
      <c r="R1450">
        <v>1340241339</v>
      </c>
      <c r="S1450">
        <v>1757675.02</v>
      </c>
      <c r="T1450">
        <v>1333255663.25</v>
      </c>
      <c r="U1450">
        <v>1337930387.0799999</v>
      </c>
      <c r="V1450">
        <v>4.5817999999999998E-2</v>
      </c>
      <c r="W1450">
        <v>4.9430000000000003E-3</v>
      </c>
      <c r="Y1450" t="s">
        <v>2</v>
      </c>
      <c r="Z1450">
        <v>8000</v>
      </c>
      <c r="AA1450">
        <v>24</v>
      </c>
      <c r="AB1450">
        <v>90</v>
      </c>
      <c r="AC1450">
        <v>0</v>
      </c>
      <c r="AD1450">
        <v>1298409303</v>
      </c>
      <c r="AE1450">
        <v>1037042.92</v>
      </c>
      <c r="AF1450">
        <v>1288450691</v>
      </c>
      <c r="AG1450">
        <v>1297383400</v>
      </c>
      <c r="AH1450">
        <v>7.9408000000000006E-2</v>
      </c>
      <c r="AI1450">
        <v>-1.03E-4</v>
      </c>
    </row>
    <row r="1451" spans="1:35" x14ac:dyDescent="0.35">
      <c r="A1451" t="s">
        <v>0</v>
      </c>
      <c r="B1451">
        <v>5000</v>
      </c>
      <c r="C1451">
        <v>24</v>
      </c>
      <c r="D1451">
        <v>7853</v>
      </c>
      <c r="E1451">
        <v>0</v>
      </c>
      <c r="F1451">
        <v>264590268419</v>
      </c>
      <c r="G1451">
        <v>359950030.56999999</v>
      </c>
      <c r="H1451">
        <v>263205762313.92999</v>
      </c>
      <c r="I1451">
        <v>263840248738.48999</v>
      </c>
      <c r="J1451">
        <v>4.5490000000000003E-2</v>
      </c>
      <c r="K1451">
        <v>1.7548000000000001E-2</v>
      </c>
      <c r="M1451" t="s">
        <v>2</v>
      </c>
      <c r="N1451">
        <v>3500</v>
      </c>
      <c r="O1451">
        <v>36</v>
      </c>
      <c r="P1451">
        <v>110</v>
      </c>
      <c r="Q1451">
        <v>0</v>
      </c>
      <c r="R1451">
        <v>1779975959</v>
      </c>
      <c r="S1451">
        <v>3572197</v>
      </c>
      <c r="T1451">
        <v>1763203738.6400001</v>
      </c>
      <c r="U1451">
        <v>1771071243.78</v>
      </c>
      <c r="V1451">
        <v>8.5448999999999997E-2</v>
      </c>
      <c r="W1451">
        <v>3.5364E-2</v>
      </c>
      <c r="Y1451" t="s">
        <v>2</v>
      </c>
      <c r="Z1451">
        <v>8250</v>
      </c>
      <c r="AA1451">
        <v>30</v>
      </c>
      <c r="AB1451">
        <v>19</v>
      </c>
      <c r="AC1451">
        <v>0</v>
      </c>
      <c r="AD1451">
        <v>287635526</v>
      </c>
      <c r="AE1451">
        <v>224743.05</v>
      </c>
      <c r="AF1451">
        <v>287440886</v>
      </c>
      <c r="AG1451">
        <v>287440886</v>
      </c>
      <c r="AH1451">
        <v>-1.2570000000000001E-3</v>
      </c>
      <c r="AI1451">
        <v>-1.2570000000000001E-3</v>
      </c>
    </row>
    <row r="1452" spans="1:35" x14ac:dyDescent="0.35">
      <c r="A1452" t="s">
        <v>2</v>
      </c>
      <c r="B1452">
        <v>5000</v>
      </c>
      <c r="C1452">
        <v>24</v>
      </c>
      <c r="D1452">
        <v>160</v>
      </c>
      <c r="E1452">
        <v>0</v>
      </c>
      <c r="F1452">
        <v>4301588295</v>
      </c>
      <c r="G1452">
        <v>5849510.5899999999</v>
      </c>
      <c r="H1452">
        <v>4279581509.3699999</v>
      </c>
      <c r="I1452">
        <v>4290354522.1199999</v>
      </c>
      <c r="J1452">
        <v>4.4153999999999999E-2</v>
      </c>
      <c r="K1452">
        <v>1.4917E-2</v>
      </c>
      <c r="M1452" t="s">
        <v>1</v>
      </c>
      <c r="N1452">
        <v>6000</v>
      </c>
      <c r="O1452">
        <v>20</v>
      </c>
      <c r="P1452">
        <v>6355</v>
      </c>
      <c r="Q1452">
        <v>0</v>
      </c>
      <c r="R1452">
        <v>227024896182</v>
      </c>
      <c r="S1452">
        <v>256284917.15000001</v>
      </c>
      <c r="T1452">
        <v>220286042999.51999</v>
      </c>
      <c r="U1452">
        <v>226282499669.03</v>
      </c>
      <c r="V1452">
        <v>0.29364699999999999</v>
      </c>
      <c r="W1452">
        <v>2.5394E-2</v>
      </c>
      <c r="Y1452" t="s">
        <v>1</v>
      </c>
      <c r="Z1452">
        <v>8250</v>
      </c>
      <c r="AA1452">
        <v>24</v>
      </c>
      <c r="AB1452">
        <v>275</v>
      </c>
      <c r="AC1452">
        <v>0</v>
      </c>
      <c r="AD1452">
        <v>5991736542</v>
      </c>
      <c r="AE1452">
        <v>4613311.05</v>
      </c>
      <c r="AF1452">
        <v>5471761357</v>
      </c>
      <c r="AG1452">
        <v>5675391220.7700005</v>
      </c>
      <c r="AH1452">
        <v>0.66015199999999996</v>
      </c>
      <c r="AI1452">
        <v>0.47331400000000001</v>
      </c>
    </row>
    <row r="1453" spans="1:35" x14ac:dyDescent="0.35">
      <c r="A1453" t="s">
        <v>1</v>
      </c>
      <c r="B1453">
        <v>5000</v>
      </c>
      <c r="C1453">
        <v>24</v>
      </c>
      <c r="D1453">
        <v>3037</v>
      </c>
      <c r="E1453">
        <v>0</v>
      </c>
      <c r="F1453">
        <v>110674417753</v>
      </c>
      <c r="G1453">
        <v>150677363.72</v>
      </c>
      <c r="H1453">
        <v>109617217788.35001</v>
      </c>
      <c r="I1453">
        <v>110201217266.49001</v>
      </c>
      <c r="J1453">
        <v>9.3980999999999995E-2</v>
      </c>
      <c r="K1453">
        <v>3.4415000000000001E-2</v>
      </c>
      <c r="M1453" t="s">
        <v>2</v>
      </c>
      <c r="N1453">
        <v>7750</v>
      </c>
      <c r="O1453">
        <v>20</v>
      </c>
      <c r="P1453">
        <v>230</v>
      </c>
      <c r="Q1453">
        <v>0</v>
      </c>
      <c r="R1453">
        <v>3154577850</v>
      </c>
      <c r="S1453">
        <v>2606371.27</v>
      </c>
      <c r="T1453">
        <v>3084063713.1100001</v>
      </c>
      <c r="U1453">
        <v>3114142771.98</v>
      </c>
      <c r="V1453">
        <v>0.229828</v>
      </c>
      <c r="W1453">
        <v>0.13477900000000001</v>
      </c>
      <c r="Y1453" t="s">
        <v>2</v>
      </c>
      <c r="Z1453">
        <v>5000</v>
      </c>
      <c r="AA1453">
        <v>30</v>
      </c>
      <c r="AB1453">
        <v>172</v>
      </c>
      <c r="AC1453">
        <v>0</v>
      </c>
      <c r="AD1453">
        <v>4500695886</v>
      </c>
      <c r="AE1453">
        <v>6327984.5300000003</v>
      </c>
      <c r="AF1453">
        <v>4494818080</v>
      </c>
      <c r="AG1453">
        <v>4494818080</v>
      </c>
      <c r="AH1453">
        <v>-1.201E-3</v>
      </c>
      <c r="AI1453">
        <v>-1.201E-3</v>
      </c>
    </row>
    <row r="1454" spans="1:35" x14ac:dyDescent="0.35">
      <c r="A1454" t="s">
        <v>2</v>
      </c>
      <c r="B1454">
        <v>5250</v>
      </c>
      <c r="C1454">
        <v>24</v>
      </c>
      <c r="D1454">
        <v>76</v>
      </c>
      <c r="E1454">
        <v>0</v>
      </c>
      <c r="F1454">
        <v>1771047016</v>
      </c>
      <c r="G1454">
        <v>2310724.35</v>
      </c>
      <c r="H1454">
        <v>1763135835.28</v>
      </c>
      <c r="I1454">
        <v>1768717892.71</v>
      </c>
      <c r="J1454">
        <v>3.7294000000000001E-2</v>
      </c>
      <c r="K1454">
        <v>1.25E-4</v>
      </c>
      <c r="M1454" t="s">
        <v>1</v>
      </c>
      <c r="N1454">
        <v>7750</v>
      </c>
      <c r="O1454">
        <v>20</v>
      </c>
      <c r="P1454">
        <v>375</v>
      </c>
      <c r="Q1454">
        <v>0</v>
      </c>
      <c r="R1454">
        <v>8595514346</v>
      </c>
      <c r="S1454">
        <v>7051466.8300000001</v>
      </c>
      <c r="T1454">
        <v>7993068437.04</v>
      </c>
      <c r="U1454">
        <v>8385465225.2399998</v>
      </c>
      <c r="V1454">
        <v>0.57743299999999997</v>
      </c>
      <c r="W1454">
        <v>0.24933900000000001</v>
      </c>
      <c r="Y1454" t="s">
        <v>2</v>
      </c>
      <c r="Z1454">
        <v>3500</v>
      </c>
      <c r="AA1454">
        <v>36</v>
      </c>
      <c r="AB1454">
        <v>77</v>
      </c>
      <c r="AC1454">
        <v>0</v>
      </c>
      <c r="AD1454">
        <v>1139905922</v>
      </c>
      <c r="AE1454">
        <v>2242317.0099999998</v>
      </c>
      <c r="AF1454">
        <v>1126840401</v>
      </c>
      <c r="AG1454">
        <v>1126840401</v>
      </c>
      <c r="AH1454">
        <v>0.108172</v>
      </c>
      <c r="AI1454">
        <v>0.108172</v>
      </c>
    </row>
    <row r="1455" spans="1:35" x14ac:dyDescent="0.35">
      <c r="A1455" t="s">
        <v>2</v>
      </c>
      <c r="B1455">
        <v>5500</v>
      </c>
      <c r="C1455">
        <v>24</v>
      </c>
      <c r="D1455">
        <v>126</v>
      </c>
      <c r="E1455">
        <v>0</v>
      </c>
      <c r="F1455">
        <v>3052729124</v>
      </c>
      <c r="G1455">
        <v>3827147.06</v>
      </c>
      <c r="H1455">
        <v>3038609055.5700002</v>
      </c>
      <c r="I1455">
        <v>3048893664.3600001</v>
      </c>
      <c r="J1455">
        <v>3.9718999999999997E-2</v>
      </c>
      <c r="K1455">
        <v>3.3000000000000003E-5</v>
      </c>
      <c r="M1455" t="s">
        <v>0</v>
      </c>
      <c r="N1455">
        <v>5000</v>
      </c>
      <c r="O1455">
        <v>20</v>
      </c>
      <c r="P1455">
        <v>3621</v>
      </c>
      <c r="Q1455">
        <v>0</v>
      </c>
      <c r="R1455">
        <v>121892700667</v>
      </c>
      <c r="S1455">
        <v>163463970.16999999</v>
      </c>
      <c r="T1455">
        <v>121404905574.84</v>
      </c>
      <c r="U1455">
        <v>121621503073.42999</v>
      </c>
      <c r="V1455">
        <v>3.1466000000000001E-2</v>
      </c>
      <c r="W1455">
        <v>1.0555E-2</v>
      </c>
      <c r="Y1455" t="s">
        <v>2</v>
      </c>
      <c r="Z1455">
        <v>8250</v>
      </c>
      <c r="AA1455">
        <v>24</v>
      </c>
      <c r="AB1455">
        <v>120</v>
      </c>
      <c r="AC1455">
        <v>0</v>
      </c>
      <c r="AD1455">
        <v>1587349897</v>
      </c>
      <c r="AE1455">
        <v>1222395</v>
      </c>
      <c r="AF1455">
        <v>1556066989</v>
      </c>
      <c r="AG1455">
        <v>1556066989</v>
      </c>
      <c r="AH1455">
        <v>0.205013</v>
      </c>
      <c r="AI1455">
        <v>0.205013</v>
      </c>
    </row>
    <row r="1456" spans="1:35" x14ac:dyDescent="0.35">
      <c r="A1456" t="s">
        <v>0</v>
      </c>
      <c r="B1456">
        <v>5250</v>
      </c>
      <c r="C1456">
        <v>20</v>
      </c>
      <c r="D1456">
        <v>2026</v>
      </c>
      <c r="E1456">
        <v>0</v>
      </c>
      <c r="F1456">
        <v>69343174338</v>
      </c>
      <c r="G1456">
        <v>89241554.140000001</v>
      </c>
      <c r="H1456">
        <v>68982664295.089996</v>
      </c>
      <c r="I1456">
        <v>69145696825.929993</v>
      </c>
      <c r="J1456">
        <v>4.5947000000000002E-2</v>
      </c>
      <c r="K1456">
        <v>1.8571000000000001E-2</v>
      </c>
      <c r="M1456" t="s">
        <v>2</v>
      </c>
      <c r="N1456">
        <v>5000</v>
      </c>
      <c r="O1456">
        <v>20</v>
      </c>
      <c r="P1456">
        <v>74</v>
      </c>
      <c r="Q1456">
        <v>0</v>
      </c>
      <c r="R1456">
        <v>1957145455</v>
      </c>
      <c r="S1456">
        <v>2624289.64</v>
      </c>
      <c r="T1456">
        <v>1950871869.73</v>
      </c>
      <c r="U1456">
        <v>1953980392.1500001</v>
      </c>
      <c r="V1456">
        <v>2.2147E-2</v>
      </c>
      <c r="W1456">
        <v>3.3110000000000001E-3</v>
      </c>
      <c r="Y1456" t="s">
        <v>0</v>
      </c>
      <c r="Z1456">
        <v>5000</v>
      </c>
      <c r="AA1456">
        <v>24</v>
      </c>
      <c r="AB1456">
        <v>5804</v>
      </c>
      <c r="AC1456">
        <v>0</v>
      </c>
      <c r="AD1456">
        <v>193091174256</v>
      </c>
      <c r="AE1456">
        <v>263058474.72</v>
      </c>
      <c r="AF1456">
        <v>192700569868</v>
      </c>
      <c r="AG1456">
        <v>192794355785.60001</v>
      </c>
      <c r="AH1456">
        <v>7.8980000000000005E-3</v>
      </c>
      <c r="AI1456">
        <v>2.0960000000000002E-3</v>
      </c>
    </row>
    <row r="1457" spans="1:35" x14ac:dyDescent="0.35">
      <c r="A1457" t="s">
        <v>1</v>
      </c>
      <c r="B1457">
        <v>5250</v>
      </c>
      <c r="C1457">
        <v>20</v>
      </c>
      <c r="D1457">
        <v>1009</v>
      </c>
      <c r="E1457">
        <v>0</v>
      </c>
      <c r="F1457">
        <v>38857854044</v>
      </c>
      <c r="G1457">
        <v>49962629.75</v>
      </c>
      <c r="H1457">
        <v>38472170915.489998</v>
      </c>
      <c r="I1457">
        <v>38734425531.790001</v>
      </c>
      <c r="J1457">
        <v>9.8889000000000005E-2</v>
      </c>
      <c r="K1457">
        <v>2.2453000000000001E-2</v>
      </c>
      <c r="M1457" t="s">
        <v>1</v>
      </c>
      <c r="N1457">
        <v>5000</v>
      </c>
      <c r="O1457">
        <v>20</v>
      </c>
      <c r="P1457">
        <v>1463</v>
      </c>
      <c r="Q1457">
        <v>0</v>
      </c>
      <c r="R1457">
        <v>53955039595</v>
      </c>
      <c r="S1457">
        <v>72437612.420000002</v>
      </c>
      <c r="T1457">
        <v>53533678006.370003</v>
      </c>
      <c r="U1457">
        <v>53751676499.349998</v>
      </c>
      <c r="V1457">
        <v>7.4901999999999996E-2</v>
      </c>
      <c r="W1457">
        <v>2.8733000000000002E-2</v>
      </c>
      <c r="Y1457" t="s">
        <v>2</v>
      </c>
      <c r="Z1457">
        <v>5000</v>
      </c>
      <c r="AA1457">
        <v>24</v>
      </c>
      <c r="AB1457">
        <v>113</v>
      </c>
      <c r="AC1457">
        <v>0</v>
      </c>
      <c r="AD1457">
        <v>3010738929</v>
      </c>
      <c r="AE1457">
        <v>4095994.86</v>
      </c>
      <c r="AF1457">
        <v>2987932958</v>
      </c>
      <c r="AG1457">
        <v>3006583954.9899998</v>
      </c>
      <c r="AH1457">
        <v>7.2076000000000001E-2</v>
      </c>
      <c r="AI1457">
        <v>2.3499999999999999E-4</v>
      </c>
    </row>
    <row r="1458" spans="1:35" x14ac:dyDescent="0.35">
      <c r="A1458" t="s">
        <v>2</v>
      </c>
      <c r="B1458">
        <v>5250</v>
      </c>
      <c r="C1458">
        <v>20</v>
      </c>
      <c r="D1458">
        <v>58</v>
      </c>
      <c r="E1458">
        <v>0</v>
      </c>
      <c r="F1458">
        <v>1347286885</v>
      </c>
      <c r="G1458">
        <v>1734772.91</v>
      </c>
      <c r="H1458">
        <v>1339281841.5599999</v>
      </c>
      <c r="I1458">
        <v>1342017248.5999999</v>
      </c>
      <c r="J1458">
        <v>5.4440000000000002E-2</v>
      </c>
      <c r="K1458">
        <v>3.1033999999999999E-2</v>
      </c>
      <c r="M1458" t="s">
        <v>2</v>
      </c>
      <c r="N1458">
        <v>5250</v>
      </c>
      <c r="O1458">
        <v>20</v>
      </c>
      <c r="P1458">
        <v>46</v>
      </c>
      <c r="Q1458">
        <v>0</v>
      </c>
      <c r="R1458">
        <v>1061200153</v>
      </c>
      <c r="S1458">
        <v>1362677.71</v>
      </c>
      <c r="T1458">
        <v>1057204839.91</v>
      </c>
      <c r="U1458">
        <v>1059756984.6900001</v>
      </c>
      <c r="V1458">
        <v>2.9367000000000001E-2</v>
      </c>
      <c r="W1458">
        <v>9.1E-4</v>
      </c>
      <c r="Y1458" t="s">
        <v>1</v>
      </c>
      <c r="Z1458">
        <v>5000</v>
      </c>
      <c r="AA1458">
        <v>24</v>
      </c>
      <c r="AB1458">
        <v>2323</v>
      </c>
      <c r="AC1458">
        <v>0</v>
      </c>
      <c r="AD1458">
        <v>83499799482</v>
      </c>
      <c r="AE1458">
        <v>113837416.42</v>
      </c>
      <c r="AF1458">
        <v>83138607510</v>
      </c>
      <c r="AG1458">
        <v>83290579708.410004</v>
      </c>
      <c r="AH1458">
        <v>3.4974999999999999E-2</v>
      </c>
      <c r="AI1458">
        <v>1.3622E-2</v>
      </c>
    </row>
    <row r="1459" spans="1:35" x14ac:dyDescent="0.35">
      <c r="A1459" t="s">
        <v>0</v>
      </c>
      <c r="B1459">
        <v>5000</v>
      </c>
      <c r="C1459">
        <v>20</v>
      </c>
      <c r="D1459">
        <v>3758</v>
      </c>
      <c r="E1459">
        <v>0</v>
      </c>
      <c r="F1459">
        <v>124233472321</v>
      </c>
      <c r="G1459">
        <v>166853310.53</v>
      </c>
      <c r="H1459">
        <v>123768635076.78999</v>
      </c>
      <c r="I1459">
        <v>123947409387.92</v>
      </c>
      <c r="J1459">
        <v>2.8406000000000001E-2</v>
      </c>
      <c r="K1459">
        <v>1.1454000000000001E-2</v>
      </c>
      <c r="M1459" t="s">
        <v>0</v>
      </c>
      <c r="N1459">
        <v>5250</v>
      </c>
      <c r="O1459">
        <v>18</v>
      </c>
      <c r="P1459">
        <v>2079</v>
      </c>
      <c r="Q1459">
        <v>0</v>
      </c>
      <c r="R1459">
        <v>71475265108</v>
      </c>
      <c r="S1459">
        <v>90869142.829999998</v>
      </c>
      <c r="T1459">
        <v>71113871564.699997</v>
      </c>
      <c r="U1459">
        <v>71316575376.779999</v>
      </c>
      <c r="V1459">
        <v>4.4484999999999997E-2</v>
      </c>
      <c r="W1459">
        <v>1.1327E-2</v>
      </c>
      <c r="Y1459" t="s">
        <v>2</v>
      </c>
      <c r="Z1459">
        <v>5250</v>
      </c>
      <c r="AA1459">
        <v>24</v>
      </c>
      <c r="AB1459">
        <v>65</v>
      </c>
      <c r="AC1459">
        <v>0</v>
      </c>
      <c r="AD1459">
        <v>1475188252</v>
      </c>
      <c r="AE1459">
        <v>1921477.1</v>
      </c>
      <c r="AF1459">
        <v>1473243434</v>
      </c>
      <c r="AG1459">
        <v>1473243434</v>
      </c>
      <c r="AH1459">
        <v>1.9000000000000001E-4</v>
      </c>
      <c r="AI1459">
        <v>1.9000000000000001E-4</v>
      </c>
    </row>
    <row r="1460" spans="1:35" x14ac:dyDescent="0.35">
      <c r="A1460" t="s">
        <v>2</v>
      </c>
      <c r="B1460">
        <v>4750</v>
      </c>
      <c r="C1460">
        <v>18</v>
      </c>
      <c r="D1460">
        <v>19</v>
      </c>
      <c r="E1460">
        <v>0</v>
      </c>
      <c r="F1460">
        <v>440122368</v>
      </c>
      <c r="G1460">
        <v>611822.80000000005</v>
      </c>
      <c r="H1460">
        <v>438055256.14999998</v>
      </c>
      <c r="I1460">
        <v>438762266.60000002</v>
      </c>
      <c r="J1460">
        <v>3.8965E-2</v>
      </c>
      <c r="K1460">
        <v>2.0212000000000001E-2</v>
      </c>
      <c r="M1460" t="s">
        <v>0</v>
      </c>
      <c r="N1460">
        <v>5000</v>
      </c>
      <c r="O1460">
        <v>18</v>
      </c>
      <c r="P1460">
        <v>5323</v>
      </c>
      <c r="Q1460">
        <v>0</v>
      </c>
      <c r="R1460">
        <v>180965603137</v>
      </c>
      <c r="S1460">
        <v>240542827.41</v>
      </c>
      <c r="T1460">
        <v>180327964253.32999</v>
      </c>
      <c r="U1460">
        <v>180592581712.70999</v>
      </c>
      <c r="V1460">
        <v>2.6016000000000001E-2</v>
      </c>
      <c r="W1460">
        <v>8.7489999999999998E-3</v>
      </c>
      <c r="Y1460" t="s">
        <v>0</v>
      </c>
      <c r="Z1460">
        <v>5250</v>
      </c>
      <c r="AA1460">
        <v>20</v>
      </c>
      <c r="AB1460">
        <v>2066</v>
      </c>
      <c r="AC1460">
        <v>0</v>
      </c>
      <c r="AD1460">
        <v>70895193172</v>
      </c>
      <c r="AE1460">
        <v>91150066.519999996</v>
      </c>
      <c r="AF1460">
        <v>70554484526</v>
      </c>
      <c r="AG1460">
        <v>70697917876.220001</v>
      </c>
      <c r="AH1460">
        <v>4.1432999999999998E-2</v>
      </c>
      <c r="AI1460">
        <v>1.7815999999999999E-2</v>
      </c>
    </row>
    <row r="1461" spans="1:35" x14ac:dyDescent="0.35">
      <c r="A1461" t="s">
        <v>0</v>
      </c>
      <c r="B1461">
        <v>4750</v>
      </c>
      <c r="C1461">
        <v>18</v>
      </c>
      <c r="D1461">
        <v>812</v>
      </c>
      <c r="E1461">
        <v>0</v>
      </c>
      <c r="F1461">
        <v>24965307292</v>
      </c>
      <c r="G1461">
        <v>34546598.789999999</v>
      </c>
      <c r="H1461">
        <v>24889867205.220001</v>
      </c>
      <c r="I1461">
        <v>24915487409.189999</v>
      </c>
      <c r="J1461">
        <v>1.9480000000000001E-2</v>
      </c>
      <c r="K1461">
        <v>7.3169999999999997E-3</v>
      </c>
      <c r="M1461" t="s">
        <v>2</v>
      </c>
      <c r="N1461">
        <v>5000</v>
      </c>
      <c r="O1461">
        <v>18</v>
      </c>
      <c r="P1461">
        <v>104</v>
      </c>
      <c r="Q1461">
        <v>0</v>
      </c>
      <c r="R1461">
        <v>2898389346</v>
      </c>
      <c r="S1461">
        <v>3847153.33</v>
      </c>
      <c r="T1461">
        <v>2886941533.2199998</v>
      </c>
      <c r="U1461">
        <v>2891579555.3000002</v>
      </c>
      <c r="V1461">
        <v>3.1019000000000001E-2</v>
      </c>
      <c r="W1461">
        <v>1.2197E-2</v>
      </c>
      <c r="Y1461" t="s">
        <v>0</v>
      </c>
      <c r="Z1461">
        <v>5000</v>
      </c>
      <c r="AA1461">
        <v>20</v>
      </c>
      <c r="AB1461">
        <v>5312</v>
      </c>
      <c r="AC1461">
        <v>0</v>
      </c>
      <c r="AD1461">
        <v>180038153688</v>
      </c>
      <c r="AE1461">
        <v>241942708.53</v>
      </c>
      <c r="AF1461">
        <v>179689740998</v>
      </c>
      <c r="AG1461">
        <v>179723451370.14001</v>
      </c>
      <c r="AH1461">
        <v>7.0730000000000003E-3</v>
      </c>
      <c r="AI1461">
        <v>4.8390000000000004E-3</v>
      </c>
    </row>
    <row r="1462" spans="1:35" x14ac:dyDescent="0.35">
      <c r="A1462" t="s">
        <v>3</v>
      </c>
      <c r="B1462">
        <v>5750</v>
      </c>
      <c r="C1462">
        <v>30</v>
      </c>
      <c r="D1462">
        <v>11</v>
      </c>
      <c r="E1462">
        <v>0</v>
      </c>
      <c r="F1462">
        <v>286098723</v>
      </c>
      <c r="G1462">
        <v>356451.29</v>
      </c>
      <c r="H1462">
        <v>284540742.74000001</v>
      </c>
      <c r="I1462">
        <v>285742246.76999998</v>
      </c>
      <c r="J1462">
        <v>4.9248E-2</v>
      </c>
      <c r="K1462">
        <v>9.9999999999999995E-7</v>
      </c>
      <c r="M1462" t="s">
        <v>2</v>
      </c>
      <c r="N1462">
        <v>5250</v>
      </c>
      <c r="O1462">
        <v>18</v>
      </c>
      <c r="P1462">
        <v>61</v>
      </c>
      <c r="Q1462">
        <v>0</v>
      </c>
      <c r="R1462">
        <v>1482834429</v>
      </c>
      <c r="S1462">
        <v>1884966.02</v>
      </c>
      <c r="T1462">
        <v>1476201785.6099999</v>
      </c>
      <c r="U1462">
        <v>1479156991.77</v>
      </c>
      <c r="V1462">
        <v>3.7752000000000001E-2</v>
      </c>
      <c r="W1462">
        <v>1.4409999999999999E-2</v>
      </c>
      <c r="Y1462" t="s">
        <v>2</v>
      </c>
      <c r="Z1462">
        <v>5000</v>
      </c>
      <c r="AA1462">
        <v>20</v>
      </c>
      <c r="AB1462">
        <v>103</v>
      </c>
      <c r="AC1462">
        <v>0</v>
      </c>
      <c r="AD1462">
        <v>2849623765</v>
      </c>
      <c r="AE1462">
        <v>3824351.2</v>
      </c>
      <c r="AF1462">
        <v>2846077389</v>
      </c>
      <c r="AG1462">
        <v>2846077389</v>
      </c>
      <c r="AH1462">
        <v>-1.1709999999999999E-3</v>
      </c>
      <c r="AI1462">
        <v>-1.1709999999999999E-3</v>
      </c>
    </row>
    <row r="1463" spans="1:35" x14ac:dyDescent="0.35">
      <c r="A1463" t="s">
        <v>3</v>
      </c>
      <c r="B1463">
        <v>7500</v>
      </c>
      <c r="C1463">
        <v>30</v>
      </c>
      <c r="D1463">
        <v>39</v>
      </c>
      <c r="E1463">
        <v>0</v>
      </c>
      <c r="F1463">
        <v>1041069245</v>
      </c>
      <c r="G1463">
        <v>953311.71</v>
      </c>
      <c r="H1463">
        <v>1033954093.55</v>
      </c>
      <c r="I1463">
        <v>1038614179.5599999</v>
      </c>
      <c r="J1463">
        <v>6.8758E-2</v>
      </c>
      <c r="K1463">
        <v>1.7173000000000001E-2</v>
      </c>
      <c r="M1463" t="s">
        <v>1</v>
      </c>
      <c r="N1463">
        <v>5000</v>
      </c>
      <c r="O1463">
        <v>18</v>
      </c>
      <c r="P1463">
        <v>1988</v>
      </c>
      <c r="Q1463">
        <v>0</v>
      </c>
      <c r="R1463">
        <v>73917670568</v>
      </c>
      <c r="S1463">
        <v>98255278.930000007</v>
      </c>
      <c r="T1463">
        <v>73398844829.339996</v>
      </c>
      <c r="U1463">
        <v>73659806779.809998</v>
      </c>
      <c r="V1463">
        <v>6.6180000000000003E-2</v>
      </c>
      <c r="W1463">
        <v>2.5606E-2</v>
      </c>
      <c r="Y1463" t="s">
        <v>2</v>
      </c>
      <c r="Z1463">
        <v>5250</v>
      </c>
      <c r="AA1463">
        <v>20</v>
      </c>
      <c r="AB1463">
        <v>61</v>
      </c>
      <c r="AC1463">
        <v>0</v>
      </c>
      <c r="AD1463">
        <v>1479103012</v>
      </c>
      <c r="AE1463">
        <v>1901447.11</v>
      </c>
      <c r="AF1463">
        <v>1476867678</v>
      </c>
      <c r="AG1463">
        <v>1476867678</v>
      </c>
      <c r="AH1463">
        <v>2.7049999999999999E-3</v>
      </c>
      <c r="AI1463">
        <v>2.7049999999999999E-3</v>
      </c>
    </row>
    <row r="1464" spans="1:35" x14ac:dyDescent="0.35">
      <c r="A1464" t="s">
        <v>2</v>
      </c>
      <c r="B1464">
        <v>8250</v>
      </c>
      <c r="C1464">
        <v>36</v>
      </c>
      <c r="D1464">
        <v>1</v>
      </c>
      <c r="E1464">
        <v>0</v>
      </c>
      <c r="F1464">
        <v>25136755</v>
      </c>
      <c r="G1464">
        <v>21051.5</v>
      </c>
      <c r="H1464">
        <v>24822842.469999999</v>
      </c>
      <c r="I1464">
        <v>25115699.530000001</v>
      </c>
      <c r="J1464">
        <v>0.131189</v>
      </c>
      <c r="K1464">
        <v>1.9999999999999999E-6</v>
      </c>
      <c r="M1464" t="s">
        <v>0</v>
      </c>
      <c r="N1464">
        <v>5250</v>
      </c>
      <c r="O1464">
        <v>16</v>
      </c>
      <c r="P1464">
        <v>1678</v>
      </c>
      <c r="Q1464">
        <v>0</v>
      </c>
      <c r="R1464">
        <v>57787442437</v>
      </c>
      <c r="S1464">
        <v>72700038.540000007</v>
      </c>
      <c r="T1464">
        <v>57561532389.470001</v>
      </c>
      <c r="U1464">
        <v>57670700704.550003</v>
      </c>
      <c r="V1464">
        <v>3.1355000000000001E-2</v>
      </c>
      <c r="W1464">
        <v>9.1070000000000005E-3</v>
      </c>
      <c r="Y1464" t="s">
        <v>1</v>
      </c>
      <c r="Z1464">
        <v>5000</v>
      </c>
      <c r="AA1464">
        <v>20</v>
      </c>
      <c r="AB1464">
        <v>1977</v>
      </c>
      <c r="AC1464">
        <v>0</v>
      </c>
      <c r="AD1464">
        <v>73255984840</v>
      </c>
      <c r="AE1464">
        <v>98434087.510000005</v>
      </c>
      <c r="AF1464">
        <v>73060522724</v>
      </c>
      <c r="AG1464">
        <v>73147977822.300003</v>
      </c>
      <c r="AH1464">
        <v>1.5779000000000001E-2</v>
      </c>
      <c r="AI1464">
        <v>1.567E-3</v>
      </c>
    </row>
    <row r="1465" spans="1:35" x14ac:dyDescent="0.35">
      <c r="A1465" t="s">
        <v>1</v>
      </c>
      <c r="B1465">
        <v>8500</v>
      </c>
      <c r="C1465">
        <v>30</v>
      </c>
      <c r="D1465">
        <v>22</v>
      </c>
      <c r="E1465">
        <v>0</v>
      </c>
      <c r="F1465">
        <v>410227545</v>
      </c>
      <c r="G1465">
        <v>307435.84999999998</v>
      </c>
      <c r="H1465">
        <v>392693377.63</v>
      </c>
      <c r="I1465">
        <v>408113133.06</v>
      </c>
      <c r="J1465">
        <v>0.40238200000000002</v>
      </c>
      <c r="K1465">
        <v>5.1596000000000003E-2</v>
      </c>
      <c r="M1465" t="s">
        <v>2</v>
      </c>
      <c r="N1465">
        <v>4750</v>
      </c>
      <c r="O1465">
        <v>14</v>
      </c>
      <c r="P1465">
        <v>20</v>
      </c>
      <c r="Q1465">
        <v>0</v>
      </c>
      <c r="R1465">
        <v>466296522</v>
      </c>
      <c r="S1465">
        <v>633208.93000000005</v>
      </c>
      <c r="T1465">
        <v>464477139.41000003</v>
      </c>
      <c r="U1465">
        <v>464903173.69</v>
      </c>
      <c r="V1465">
        <v>3.0102E-2</v>
      </c>
      <c r="W1465">
        <v>1.9387999999999999E-2</v>
      </c>
      <c r="Y1465" t="s">
        <v>0</v>
      </c>
      <c r="Z1465">
        <v>5250</v>
      </c>
      <c r="AA1465">
        <v>18</v>
      </c>
      <c r="AB1465">
        <v>1673</v>
      </c>
      <c r="AC1465">
        <v>0</v>
      </c>
      <c r="AD1465">
        <v>57463394400</v>
      </c>
      <c r="AE1465">
        <v>73102552.689999998</v>
      </c>
      <c r="AF1465">
        <v>57279643764</v>
      </c>
      <c r="AG1465">
        <v>57341909196.510002</v>
      </c>
      <c r="AH1465">
        <v>2.2863000000000001E-2</v>
      </c>
      <c r="AI1465">
        <v>1.0057E-2</v>
      </c>
    </row>
    <row r="1466" spans="1:35" x14ac:dyDescent="0.35">
      <c r="A1466" t="s">
        <v>0</v>
      </c>
      <c r="B1466">
        <v>4750</v>
      </c>
      <c r="C1466">
        <v>30</v>
      </c>
      <c r="D1466">
        <v>1660</v>
      </c>
      <c r="E1466">
        <v>0</v>
      </c>
      <c r="F1466">
        <v>51463009190</v>
      </c>
      <c r="G1466">
        <v>75403760.459999993</v>
      </c>
      <c r="H1466">
        <v>51182225449.220001</v>
      </c>
      <c r="I1466">
        <v>51333399485.139999</v>
      </c>
      <c r="J1466">
        <v>4.6852999999999999E-2</v>
      </c>
      <c r="K1466">
        <v>1.2567E-2</v>
      </c>
      <c r="M1466" t="s">
        <v>0</v>
      </c>
      <c r="N1466">
        <v>4750</v>
      </c>
      <c r="O1466">
        <v>14</v>
      </c>
      <c r="P1466">
        <v>1210</v>
      </c>
      <c r="Q1466">
        <v>0</v>
      </c>
      <c r="R1466">
        <v>39546013074</v>
      </c>
      <c r="S1466">
        <v>53599435.259999998</v>
      </c>
      <c r="T1466">
        <v>39450221603.860001</v>
      </c>
      <c r="U1466">
        <v>39480340045.419998</v>
      </c>
      <c r="V1466">
        <v>1.2728E-2</v>
      </c>
      <c r="W1466">
        <v>3.6579999999999998E-3</v>
      </c>
      <c r="Y1466" t="s">
        <v>2</v>
      </c>
      <c r="Z1466">
        <v>4750</v>
      </c>
      <c r="AA1466">
        <v>16</v>
      </c>
      <c r="AB1466">
        <v>20</v>
      </c>
      <c r="AC1466">
        <v>0</v>
      </c>
      <c r="AD1466">
        <v>464915130</v>
      </c>
      <c r="AE1466">
        <v>638034.80000000005</v>
      </c>
      <c r="AF1466">
        <v>464331518</v>
      </c>
      <c r="AG1466">
        <v>464331518</v>
      </c>
      <c r="AH1466">
        <v>-1.4059999999999999E-3</v>
      </c>
      <c r="AI1466">
        <v>-1.4059999999999999E-3</v>
      </c>
    </row>
    <row r="1467" spans="1:35" x14ac:dyDescent="0.35">
      <c r="A1467" t="s">
        <v>0</v>
      </c>
      <c r="B1467">
        <v>4500</v>
      </c>
      <c r="C1467">
        <v>30</v>
      </c>
      <c r="D1467">
        <v>973</v>
      </c>
      <c r="E1467">
        <v>0</v>
      </c>
      <c r="F1467">
        <v>27954777191</v>
      </c>
      <c r="G1467">
        <v>42557626.020000003</v>
      </c>
      <c r="H1467">
        <v>27827462825.32</v>
      </c>
      <c r="I1467">
        <v>27886990790.209999</v>
      </c>
      <c r="J1467">
        <v>3.5782000000000001E-2</v>
      </c>
      <c r="K1467">
        <v>1.0776000000000001E-2</v>
      </c>
      <c r="M1467" t="s">
        <v>0</v>
      </c>
      <c r="N1467">
        <v>4500</v>
      </c>
      <c r="O1467">
        <v>14</v>
      </c>
      <c r="P1467">
        <v>1274</v>
      </c>
      <c r="Q1467">
        <v>0</v>
      </c>
      <c r="R1467">
        <v>40612170099</v>
      </c>
      <c r="S1467">
        <v>57411710.200000003</v>
      </c>
      <c r="T1467">
        <v>40516015080.059998</v>
      </c>
      <c r="U1467">
        <v>40548177124.779999</v>
      </c>
      <c r="V1467">
        <v>1.1388000000000001E-2</v>
      </c>
      <c r="W1467">
        <v>1.9430000000000001E-3</v>
      </c>
      <c r="Y1467" t="s">
        <v>0</v>
      </c>
      <c r="Z1467">
        <v>4750</v>
      </c>
      <c r="AA1467">
        <v>16</v>
      </c>
      <c r="AB1467">
        <v>1205</v>
      </c>
      <c r="AC1467">
        <v>0</v>
      </c>
      <c r="AD1467">
        <v>39366797338</v>
      </c>
      <c r="AE1467">
        <v>53924215.460000001</v>
      </c>
      <c r="AF1467">
        <v>39279055268</v>
      </c>
      <c r="AG1467">
        <v>39311158087.800003</v>
      </c>
      <c r="AH1467">
        <v>1.026E-2</v>
      </c>
      <c r="AI1467">
        <v>5.2300000000000003E-4</v>
      </c>
    </row>
    <row r="1468" spans="1:35" x14ac:dyDescent="0.35">
      <c r="A1468" t="s">
        <v>0</v>
      </c>
      <c r="B1468">
        <v>8500</v>
      </c>
      <c r="C1468">
        <v>36</v>
      </c>
      <c r="D1468">
        <v>1</v>
      </c>
      <c r="E1468">
        <v>0</v>
      </c>
      <c r="F1468">
        <v>41316367</v>
      </c>
      <c r="G1468">
        <v>32557.02</v>
      </c>
      <c r="H1468">
        <v>40661174.619999997</v>
      </c>
      <c r="I1468">
        <v>41283648.189999998</v>
      </c>
      <c r="J1468">
        <v>0.166579</v>
      </c>
      <c r="K1468">
        <v>4.6999999999999997E-5</v>
      </c>
      <c r="M1468" t="s">
        <v>3</v>
      </c>
      <c r="N1468">
        <v>7500</v>
      </c>
      <c r="O1468">
        <v>24</v>
      </c>
      <c r="P1468">
        <v>21</v>
      </c>
      <c r="Q1468">
        <v>0</v>
      </c>
      <c r="R1468">
        <v>436282149</v>
      </c>
      <c r="S1468">
        <v>383763.86</v>
      </c>
      <c r="T1468">
        <v>434294916.33999997</v>
      </c>
      <c r="U1468">
        <v>435898348.88</v>
      </c>
      <c r="V1468">
        <v>4.3222999999999998E-2</v>
      </c>
      <c r="W1468">
        <v>9.9999999999999995E-7</v>
      </c>
      <c r="Y1468" t="s">
        <v>0</v>
      </c>
      <c r="Z1468">
        <v>4500</v>
      </c>
      <c r="AA1468">
        <v>16</v>
      </c>
      <c r="AB1468">
        <v>1273</v>
      </c>
      <c r="AC1468">
        <v>0</v>
      </c>
      <c r="AD1468">
        <v>40469559541</v>
      </c>
      <c r="AE1468">
        <v>57801746.810000002</v>
      </c>
      <c r="AF1468">
        <v>40407791526</v>
      </c>
      <c r="AG1468">
        <v>40407791526</v>
      </c>
      <c r="AH1468">
        <v>1.175E-3</v>
      </c>
      <c r="AI1468">
        <v>1.175E-3</v>
      </c>
    </row>
    <row r="1469" spans="1:35" x14ac:dyDescent="0.35">
      <c r="A1469" t="s">
        <v>1</v>
      </c>
      <c r="B1469">
        <v>2500</v>
      </c>
      <c r="C1469">
        <v>30</v>
      </c>
      <c r="D1469">
        <v>7</v>
      </c>
      <c r="E1469">
        <v>0</v>
      </c>
      <c r="F1469">
        <v>311936129</v>
      </c>
      <c r="G1469">
        <v>670194.18999999994</v>
      </c>
      <c r="H1469">
        <v>309022537.12</v>
      </c>
      <c r="I1469">
        <v>310055632.18000001</v>
      </c>
      <c r="J1469">
        <v>8.2969000000000001E-2</v>
      </c>
      <c r="K1469">
        <v>4.5579000000000001E-2</v>
      </c>
      <c r="M1469" t="s">
        <v>3</v>
      </c>
      <c r="N1469">
        <v>6000</v>
      </c>
      <c r="O1469">
        <v>24</v>
      </c>
      <c r="P1469">
        <v>6</v>
      </c>
      <c r="Q1469">
        <v>0</v>
      </c>
      <c r="R1469">
        <v>206104487</v>
      </c>
      <c r="S1469">
        <v>236195.93</v>
      </c>
      <c r="T1469">
        <v>205294339.56</v>
      </c>
      <c r="U1469">
        <v>205868279.99000001</v>
      </c>
      <c r="V1469">
        <v>3.2910000000000002E-2</v>
      </c>
      <c r="W1469">
        <v>9.9999999999999995E-7</v>
      </c>
      <c r="Y1469" t="s">
        <v>3</v>
      </c>
      <c r="Z1469">
        <v>5750</v>
      </c>
      <c r="AA1469">
        <v>30</v>
      </c>
      <c r="AB1469">
        <v>13</v>
      </c>
      <c r="AC1469">
        <v>0</v>
      </c>
      <c r="AD1469">
        <v>352842337</v>
      </c>
      <c r="AE1469">
        <v>441827.2</v>
      </c>
      <c r="AF1469">
        <v>352365552</v>
      </c>
      <c r="AG1469">
        <v>352365552</v>
      </c>
      <c r="AH1469">
        <v>1.188E-3</v>
      </c>
      <c r="AI1469">
        <v>1.188E-3</v>
      </c>
    </row>
    <row r="1470" spans="1:35" x14ac:dyDescent="0.35">
      <c r="A1470" t="s">
        <v>1</v>
      </c>
      <c r="B1470">
        <v>2250</v>
      </c>
      <c r="C1470">
        <v>30</v>
      </c>
      <c r="D1470">
        <v>33</v>
      </c>
      <c r="E1470">
        <v>0</v>
      </c>
      <c r="F1470">
        <v>1373860273</v>
      </c>
      <c r="G1470">
        <v>3141080.16</v>
      </c>
      <c r="H1470">
        <v>1364205891.24</v>
      </c>
      <c r="I1470">
        <v>1370461198.5899999</v>
      </c>
      <c r="J1470">
        <v>5.543E-2</v>
      </c>
      <c r="K1470">
        <v>2.251E-3</v>
      </c>
      <c r="M1470" t="s">
        <v>2</v>
      </c>
      <c r="N1470">
        <v>8250</v>
      </c>
      <c r="O1470">
        <v>30</v>
      </c>
      <c r="P1470">
        <v>1</v>
      </c>
      <c r="Q1470">
        <v>0</v>
      </c>
      <c r="R1470">
        <v>25243389</v>
      </c>
      <c r="S1470">
        <v>20665.91</v>
      </c>
      <c r="T1470">
        <v>24967297.359999999</v>
      </c>
      <c r="U1470">
        <v>25222719.649999999</v>
      </c>
      <c r="V1470">
        <v>0.114888</v>
      </c>
      <c r="W1470">
        <v>1.9999999999999999E-6</v>
      </c>
      <c r="Y1470" t="s">
        <v>2</v>
      </c>
      <c r="Z1470">
        <v>8250</v>
      </c>
      <c r="AA1470">
        <v>36</v>
      </c>
      <c r="AB1470">
        <v>1</v>
      </c>
      <c r="AC1470">
        <v>0</v>
      </c>
      <c r="AD1470">
        <v>25172540</v>
      </c>
      <c r="AE1470">
        <v>20922.29</v>
      </c>
      <c r="AF1470">
        <v>25136755</v>
      </c>
      <c r="AG1470">
        <v>25136755</v>
      </c>
      <c r="AH1470">
        <v>7.0619999999999997E-3</v>
      </c>
      <c r="AI1470">
        <v>7.0619999999999997E-3</v>
      </c>
    </row>
    <row r="1471" spans="1:35" x14ac:dyDescent="0.35">
      <c r="A1471" t="s">
        <v>1</v>
      </c>
      <c r="B1471">
        <v>2750</v>
      </c>
      <c r="C1471">
        <v>30</v>
      </c>
      <c r="D1471">
        <v>26</v>
      </c>
      <c r="E1471">
        <v>0</v>
      </c>
      <c r="F1471">
        <v>992145697</v>
      </c>
      <c r="G1471">
        <v>2105442.12</v>
      </c>
      <c r="H1471">
        <v>980203670.30999994</v>
      </c>
      <c r="I1471">
        <v>985529757.70000005</v>
      </c>
      <c r="J1471">
        <v>0.112696</v>
      </c>
      <c r="K1471">
        <v>5.3211000000000001E-2</v>
      </c>
      <c r="M1471" t="s">
        <v>1</v>
      </c>
      <c r="N1471">
        <v>8000</v>
      </c>
      <c r="O1471">
        <v>20</v>
      </c>
      <c r="P1471">
        <v>55</v>
      </c>
      <c r="Q1471">
        <v>0</v>
      </c>
      <c r="R1471">
        <v>1202347788</v>
      </c>
      <c r="S1471">
        <v>946940.28</v>
      </c>
      <c r="T1471">
        <v>1120406045.96</v>
      </c>
      <c r="U1471">
        <v>1159016472.5699999</v>
      </c>
      <c r="V1471">
        <v>0.56694100000000003</v>
      </c>
      <c r="W1471">
        <v>0.34991499999999998</v>
      </c>
      <c r="Y1471" t="s">
        <v>1</v>
      </c>
      <c r="Z1471">
        <v>8500</v>
      </c>
      <c r="AA1471">
        <v>24</v>
      </c>
      <c r="AB1471">
        <v>37</v>
      </c>
      <c r="AC1471">
        <v>0</v>
      </c>
      <c r="AD1471">
        <v>750230019</v>
      </c>
      <c r="AE1471">
        <v>546136.69999999995</v>
      </c>
      <c r="AF1471">
        <v>722351678</v>
      </c>
      <c r="AG1471">
        <v>749807023.15999997</v>
      </c>
      <c r="AH1471">
        <v>0.35939599999999999</v>
      </c>
      <c r="AI1471">
        <v>-1.9710000000000001E-3</v>
      </c>
    </row>
    <row r="1472" spans="1:35" x14ac:dyDescent="0.35">
      <c r="A1472" t="s">
        <v>1</v>
      </c>
      <c r="B1472">
        <v>4250</v>
      </c>
      <c r="C1472">
        <v>30</v>
      </c>
      <c r="D1472">
        <v>349</v>
      </c>
      <c r="E1472">
        <v>0</v>
      </c>
      <c r="F1472">
        <v>11040613097</v>
      </c>
      <c r="G1472">
        <v>17574661.93</v>
      </c>
      <c r="H1472">
        <v>10889997293.620001</v>
      </c>
      <c r="I1472">
        <v>10939911379.66</v>
      </c>
      <c r="J1472">
        <v>0.13539300000000001</v>
      </c>
      <c r="K1472">
        <v>8.6701E-2</v>
      </c>
      <c r="M1472" t="s">
        <v>1</v>
      </c>
      <c r="N1472">
        <v>8500</v>
      </c>
      <c r="O1472">
        <v>24</v>
      </c>
      <c r="P1472">
        <v>42</v>
      </c>
      <c r="Q1472">
        <v>0</v>
      </c>
      <c r="R1472">
        <v>855409472</v>
      </c>
      <c r="S1472">
        <v>620238.81000000006</v>
      </c>
      <c r="T1472">
        <v>789203197.77999997</v>
      </c>
      <c r="U1472">
        <v>830564757.53999996</v>
      </c>
      <c r="V1472">
        <v>0.61605299999999996</v>
      </c>
      <c r="W1472">
        <v>0.29159200000000002</v>
      </c>
      <c r="Y1472" t="s">
        <v>1</v>
      </c>
      <c r="Z1472">
        <v>8500</v>
      </c>
      <c r="AA1472">
        <v>30</v>
      </c>
      <c r="AB1472">
        <v>8</v>
      </c>
      <c r="AC1472">
        <v>0</v>
      </c>
      <c r="AD1472">
        <v>191058987</v>
      </c>
      <c r="AE1472">
        <v>143513.97</v>
      </c>
      <c r="AF1472">
        <v>167726634</v>
      </c>
      <c r="AG1472">
        <v>190910042.63</v>
      </c>
      <c r="AH1472">
        <v>0.78832400000000002</v>
      </c>
      <c r="AI1472">
        <v>3.4099999999999999E-4</v>
      </c>
    </row>
    <row r="1473" spans="1:35" x14ac:dyDescent="0.35">
      <c r="A1473" t="s">
        <v>3</v>
      </c>
      <c r="B1473">
        <v>6000</v>
      </c>
      <c r="C1473">
        <v>24</v>
      </c>
      <c r="D1473">
        <v>26</v>
      </c>
      <c r="E1473">
        <v>0</v>
      </c>
      <c r="F1473">
        <v>646467983</v>
      </c>
      <c r="G1473">
        <v>740932.1</v>
      </c>
      <c r="H1473">
        <v>642410824.36000001</v>
      </c>
      <c r="I1473">
        <v>645727043.29999995</v>
      </c>
      <c r="J1473">
        <v>5.985E-2</v>
      </c>
      <c r="K1473">
        <v>0</v>
      </c>
      <c r="M1473" t="s">
        <v>0</v>
      </c>
      <c r="N1473">
        <v>8500</v>
      </c>
      <c r="O1473">
        <v>30</v>
      </c>
      <c r="P1473">
        <v>10</v>
      </c>
      <c r="Q1473">
        <v>0</v>
      </c>
      <c r="R1473">
        <v>335748935</v>
      </c>
      <c r="S1473">
        <v>253149.15</v>
      </c>
      <c r="T1473">
        <v>325386014.24000001</v>
      </c>
      <c r="U1473">
        <v>329529827.12</v>
      </c>
      <c r="V1473">
        <v>0.30711100000000002</v>
      </c>
      <c r="W1473">
        <v>0.193577</v>
      </c>
      <c r="Y1473" t="s">
        <v>0</v>
      </c>
      <c r="Z1473">
        <v>4500</v>
      </c>
      <c r="AA1473">
        <v>30</v>
      </c>
      <c r="AB1473">
        <v>1021</v>
      </c>
      <c r="AC1473">
        <v>0</v>
      </c>
      <c r="AD1473">
        <v>29193882109</v>
      </c>
      <c r="AE1473">
        <v>44554071.240000002</v>
      </c>
      <c r="AF1473">
        <v>29094762088</v>
      </c>
      <c r="AG1473">
        <v>29147823171.029999</v>
      </c>
      <c r="AH1473">
        <v>2.2200000000000001E-2</v>
      </c>
      <c r="AI1473">
        <v>6.1799999999999995E-4</v>
      </c>
    </row>
    <row r="1474" spans="1:35" x14ac:dyDescent="0.35">
      <c r="A1474" t="s">
        <v>3</v>
      </c>
      <c r="B1474">
        <v>5500</v>
      </c>
      <c r="C1474">
        <v>24</v>
      </c>
      <c r="D1474">
        <v>2</v>
      </c>
      <c r="E1474">
        <v>0</v>
      </c>
      <c r="F1474">
        <v>56553029</v>
      </c>
      <c r="G1474">
        <v>70450.58</v>
      </c>
      <c r="H1474">
        <v>56160107.509999998</v>
      </c>
      <c r="I1474">
        <v>56482577.210000001</v>
      </c>
      <c r="J1474">
        <v>6.6320000000000004E-2</v>
      </c>
      <c r="K1474">
        <v>0</v>
      </c>
      <c r="M1474" t="s">
        <v>1</v>
      </c>
      <c r="N1474">
        <v>2500</v>
      </c>
      <c r="O1474">
        <v>30</v>
      </c>
      <c r="P1474">
        <v>10</v>
      </c>
      <c r="Q1474">
        <v>0</v>
      </c>
      <c r="R1474">
        <v>353740500</v>
      </c>
      <c r="S1474">
        <v>773689.75</v>
      </c>
      <c r="T1474">
        <v>347050369.20999998</v>
      </c>
      <c r="U1474">
        <v>348630570.79000002</v>
      </c>
      <c r="V1474">
        <v>0.18323300000000001</v>
      </c>
      <c r="W1474">
        <v>0.137576</v>
      </c>
      <c r="Y1474" t="s">
        <v>1</v>
      </c>
      <c r="Z1474">
        <v>2500</v>
      </c>
      <c r="AA1474">
        <v>30</v>
      </c>
      <c r="AB1474">
        <v>9</v>
      </c>
      <c r="AC1474">
        <v>0</v>
      </c>
      <c r="AD1474">
        <v>380481884</v>
      </c>
      <c r="AE1474">
        <v>816767.03</v>
      </c>
      <c r="AF1474">
        <v>379716905</v>
      </c>
      <c r="AG1474">
        <v>379716905</v>
      </c>
      <c r="AH1474">
        <v>-1.635E-3</v>
      </c>
      <c r="AI1474">
        <v>-1.635E-3</v>
      </c>
    </row>
    <row r="1475" spans="1:35" x14ac:dyDescent="0.35">
      <c r="A1475" t="s">
        <v>0</v>
      </c>
      <c r="B1475">
        <v>8250</v>
      </c>
      <c r="C1475">
        <v>20</v>
      </c>
      <c r="D1475">
        <v>430</v>
      </c>
      <c r="E1475">
        <v>0</v>
      </c>
      <c r="F1475">
        <v>12062726307</v>
      </c>
      <c r="G1475">
        <v>8969965.7300000004</v>
      </c>
      <c r="H1475">
        <v>11724322004.66</v>
      </c>
      <c r="I1475">
        <v>11955882872.26</v>
      </c>
      <c r="J1475">
        <v>0.28271299999999999</v>
      </c>
      <c r="K1475">
        <v>9.3134999999999996E-2</v>
      </c>
      <c r="M1475" t="s">
        <v>1</v>
      </c>
      <c r="N1475">
        <v>2250</v>
      </c>
      <c r="O1475">
        <v>30</v>
      </c>
      <c r="P1475">
        <v>31</v>
      </c>
      <c r="Q1475">
        <v>0</v>
      </c>
      <c r="R1475">
        <v>1278705837</v>
      </c>
      <c r="S1475">
        <v>2913396.28</v>
      </c>
      <c r="T1475">
        <v>1270643797.8399999</v>
      </c>
      <c r="U1475">
        <v>1275648662</v>
      </c>
      <c r="V1475">
        <v>4.7261999999999998E-2</v>
      </c>
      <c r="W1475">
        <v>1.348E-3</v>
      </c>
      <c r="Y1475" t="s">
        <v>1</v>
      </c>
      <c r="Z1475">
        <v>2250</v>
      </c>
      <c r="AA1475">
        <v>30</v>
      </c>
      <c r="AB1475">
        <v>30</v>
      </c>
      <c r="AC1475">
        <v>0</v>
      </c>
      <c r="AD1475">
        <v>1221820783</v>
      </c>
      <c r="AE1475">
        <v>2769833.06</v>
      </c>
      <c r="AF1475">
        <v>1217982086</v>
      </c>
      <c r="AG1475">
        <v>1217982086</v>
      </c>
      <c r="AH1475">
        <v>1.0447E-2</v>
      </c>
      <c r="AI1475">
        <v>1.0447E-2</v>
      </c>
    </row>
    <row r="1476" spans="1:35" x14ac:dyDescent="0.35">
      <c r="A1476" t="s">
        <v>0</v>
      </c>
      <c r="B1476">
        <v>3000</v>
      </c>
      <c r="C1476">
        <v>30</v>
      </c>
      <c r="D1476">
        <v>11</v>
      </c>
      <c r="E1476">
        <v>0</v>
      </c>
      <c r="F1476">
        <v>309645230</v>
      </c>
      <c r="G1476">
        <v>608092.67000000004</v>
      </c>
      <c r="H1476">
        <v>307745967.73000002</v>
      </c>
      <c r="I1476">
        <v>308477667.77999997</v>
      </c>
      <c r="J1476">
        <v>4.8905999999999998E-2</v>
      </c>
      <c r="K1476">
        <v>2.1468000000000001E-2</v>
      </c>
      <c r="M1476" t="s">
        <v>1</v>
      </c>
      <c r="N1476">
        <v>2750</v>
      </c>
      <c r="O1476">
        <v>30</v>
      </c>
      <c r="P1476">
        <v>43</v>
      </c>
      <c r="Q1476">
        <v>0</v>
      </c>
      <c r="R1476">
        <v>1291172645</v>
      </c>
      <c r="S1476">
        <v>2766641.75</v>
      </c>
      <c r="T1476">
        <v>1274332668.8399999</v>
      </c>
      <c r="U1476">
        <v>1283380575.71</v>
      </c>
      <c r="V1476">
        <v>0.123233</v>
      </c>
      <c r="W1476">
        <v>4.5719000000000003E-2</v>
      </c>
      <c r="Y1476" t="s">
        <v>1</v>
      </c>
      <c r="Z1476">
        <v>2750</v>
      </c>
      <c r="AA1476">
        <v>30</v>
      </c>
      <c r="AB1476">
        <v>28</v>
      </c>
      <c r="AC1476">
        <v>0</v>
      </c>
      <c r="AD1476">
        <v>951758820</v>
      </c>
      <c r="AE1476">
        <v>2016099.6</v>
      </c>
      <c r="AF1476">
        <v>917358360</v>
      </c>
      <c r="AG1476">
        <v>949782251.41999996</v>
      </c>
      <c r="AH1476">
        <v>0.33993600000000002</v>
      </c>
      <c r="AI1476">
        <v>-4.9899999999999999E-4</v>
      </c>
    </row>
    <row r="1477" spans="1:35" x14ac:dyDescent="0.35">
      <c r="A1477" t="s">
        <v>1</v>
      </c>
      <c r="B1477">
        <v>3250</v>
      </c>
      <c r="C1477">
        <v>30</v>
      </c>
      <c r="D1477">
        <v>52</v>
      </c>
      <c r="E1477">
        <v>0</v>
      </c>
      <c r="F1477">
        <v>1668368838</v>
      </c>
      <c r="G1477">
        <v>3292712.44</v>
      </c>
      <c r="H1477">
        <v>1645415118.9400001</v>
      </c>
      <c r="I1477">
        <v>1655379961.02</v>
      </c>
      <c r="J1477">
        <v>0.1326</v>
      </c>
      <c r="K1477">
        <v>6.7555000000000004E-2</v>
      </c>
      <c r="M1477" t="s">
        <v>1</v>
      </c>
      <c r="N1477">
        <v>2750</v>
      </c>
      <c r="O1477">
        <v>24</v>
      </c>
      <c r="P1477">
        <v>16</v>
      </c>
      <c r="Q1477">
        <v>0</v>
      </c>
      <c r="R1477">
        <v>731118611</v>
      </c>
      <c r="S1477">
        <v>1518976.92</v>
      </c>
      <c r="T1477">
        <v>726069415.02999997</v>
      </c>
      <c r="U1477">
        <v>729566542.52999997</v>
      </c>
      <c r="V1477">
        <v>5.6427999999999999E-2</v>
      </c>
      <c r="W1477">
        <v>5.4299999999999997E-4</v>
      </c>
      <c r="Y1477" t="s">
        <v>1</v>
      </c>
      <c r="Z1477">
        <v>4250</v>
      </c>
      <c r="AA1477">
        <v>30</v>
      </c>
      <c r="AB1477">
        <v>373</v>
      </c>
      <c r="AC1477">
        <v>0</v>
      </c>
      <c r="AD1477">
        <v>12070915603</v>
      </c>
      <c r="AE1477">
        <v>19258148.300000001</v>
      </c>
      <c r="AF1477">
        <v>11971964216</v>
      </c>
      <c r="AG1477">
        <v>11995047439.379999</v>
      </c>
      <c r="AH1477">
        <v>7.6411000000000007E-2</v>
      </c>
      <c r="AI1477">
        <v>5.4848000000000001E-2</v>
      </c>
    </row>
    <row r="1478" spans="1:35" x14ac:dyDescent="0.35">
      <c r="A1478" t="s">
        <v>1</v>
      </c>
      <c r="B1478">
        <v>3000</v>
      </c>
      <c r="C1478">
        <v>30</v>
      </c>
      <c r="D1478">
        <v>26</v>
      </c>
      <c r="E1478">
        <v>0</v>
      </c>
      <c r="F1478">
        <v>833265302</v>
      </c>
      <c r="G1478">
        <v>1721745.19</v>
      </c>
      <c r="H1478">
        <v>823704010.15999997</v>
      </c>
      <c r="I1478">
        <v>827744402.58000004</v>
      </c>
      <c r="J1478">
        <v>0.107236</v>
      </c>
      <c r="K1478">
        <v>5.3360999999999999E-2</v>
      </c>
      <c r="M1478" t="s">
        <v>1</v>
      </c>
      <c r="N1478">
        <v>2500</v>
      </c>
      <c r="O1478">
        <v>24</v>
      </c>
      <c r="P1478">
        <v>6</v>
      </c>
      <c r="Q1478">
        <v>0</v>
      </c>
      <c r="R1478">
        <v>256007091</v>
      </c>
      <c r="S1478">
        <v>559025.48</v>
      </c>
      <c r="T1478">
        <v>253834410.87</v>
      </c>
      <c r="U1478">
        <v>254639877.30000001</v>
      </c>
      <c r="V1478">
        <v>7.3069999999999996E-2</v>
      </c>
      <c r="W1478">
        <v>3.7232000000000001E-2</v>
      </c>
      <c r="Y1478" t="s">
        <v>3</v>
      </c>
      <c r="Z1478">
        <v>6000</v>
      </c>
      <c r="AA1478">
        <v>24</v>
      </c>
      <c r="AB1478">
        <v>20</v>
      </c>
      <c r="AC1478">
        <v>0</v>
      </c>
      <c r="AD1478">
        <v>504658377</v>
      </c>
      <c r="AE1478">
        <v>574780.68999999994</v>
      </c>
      <c r="AF1478">
        <v>503985624</v>
      </c>
      <c r="AG1478">
        <v>503985624</v>
      </c>
      <c r="AH1478">
        <v>2.3270000000000001E-3</v>
      </c>
      <c r="AI1478">
        <v>2.3270000000000001E-3</v>
      </c>
    </row>
    <row r="1479" spans="1:35" x14ac:dyDescent="0.35">
      <c r="A1479" t="s">
        <v>1</v>
      </c>
      <c r="B1479">
        <v>9000</v>
      </c>
      <c r="C1479">
        <v>24</v>
      </c>
      <c r="D1479">
        <v>17</v>
      </c>
      <c r="E1479">
        <v>0</v>
      </c>
      <c r="F1479">
        <v>444042867</v>
      </c>
      <c r="G1479">
        <v>314329.18</v>
      </c>
      <c r="H1479">
        <v>403158913.89999998</v>
      </c>
      <c r="I1479">
        <v>410086597.00999999</v>
      </c>
      <c r="J1479">
        <v>0.68327800000000005</v>
      </c>
      <c r="K1479">
        <v>0.61149100000000001</v>
      </c>
      <c r="M1479" t="s">
        <v>1</v>
      </c>
      <c r="N1479">
        <v>4250</v>
      </c>
      <c r="O1479">
        <v>30</v>
      </c>
      <c r="P1479">
        <v>410</v>
      </c>
      <c r="Q1479">
        <v>0</v>
      </c>
      <c r="R1479">
        <v>13658118075</v>
      </c>
      <c r="S1479">
        <v>21893569.539999999</v>
      </c>
      <c r="T1479">
        <v>13481357542.84</v>
      </c>
      <c r="U1479">
        <v>13545740308.83</v>
      </c>
      <c r="V1479">
        <v>0.12789300000000001</v>
      </c>
      <c r="W1479">
        <v>7.6665999999999998E-2</v>
      </c>
      <c r="Y1479" t="s">
        <v>3</v>
      </c>
      <c r="Z1479">
        <v>5500</v>
      </c>
      <c r="AA1479">
        <v>20</v>
      </c>
      <c r="AB1479">
        <v>1</v>
      </c>
      <c r="AC1479">
        <v>0</v>
      </c>
      <c r="AD1479">
        <v>12899146</v>
      </c>
      <c r="AE1479">
        <v>15833.13</v>
      </c>
      <c r="AF1479">
        <v>12879234</v>
      </c>
      <c r="AG1479">
        <v>12879234</v>
      </c>
      <c r="AH1479">
        <v>3.7880000000000001E-3</v>
      </c>
      <c r="AI1479">
        <v>3.7880000000000001E-3</v>
      </c>
    </row>
    <row r="1480" spans="1:35" x14ac:dyDescent="0.35">
      <c r="A1480" t="s">
        <v>1</v>
      </c>
      <c r="B1480">
        <v>8500</v>
      </c>
      <c r="C1480">
        <v>24</v>
      </c>
      <c r="D1480">
        <v>21</v>
      </c>
      <c r="E1480">
        <v>0</v>
      </c>
      <c r="F1480">
        <v>517134247</v>
      </c>
      <c r="G1480">
        <v>376040.56</v>
      </c>
      <c r="H1480">
        <v>480215165.41000003</v>
      </c>
      <c r="I1480">
        <v>494474021.38999999</v>
      </c>
      <c r="J1480">
        <v>0.58497900000000003</v>
      </c>
      <c r="K1480">
        <v>0.41055399999999997</v>
      </c>
      <c r="M1480" t="s">
        <v>1</v>
      </c>
      <c r="N1480">
        <v>5000</v>
      </c>
      <c r="O1480">
        <v>24</v>
      </c>
      <c r="P1480">
        <v>1780</v>
      </c>
      <c r="Q1480">
        <v>0</v>
      </c>
      <c r="R1480">
        <v>61711956091</v>
      </c>
      <c r="S1480">
        <v>84260590.709999993</v>
      </c>
      <c r="T1480">
        <v>61142340324.25</v>
      </c>
      <c r="U1480">
        <v>61484306967.050003</v>
      </c>
      <c r="V1480">
        <v>9.0400999999999995E-2</v>
      </c>
      <c r="W1480">
        <v>2.7529000000000001E-2</v>
      </c>
      <c r="Y1480" t="s">
        <v>3</v>
      </c>
      <c r="Z1480">
        <v>6000</v>
      </c>
      <c r="AA1480">
        <v>20</v>
      </c>
      <c r="AB1480">
        <v>7</v>
      </c>
      <c r="AC1480">
        <v>0</v>
      </c>
      <c r="AD1480">
        <v>162970966</v>
      </c>
      <c r="AE1480">
        <v>185294.68</v>
      </c>
      <c r="AF1480">
        <v>162759258</v>
      </c>
      <c r="AG1480">
        <v>162759258</v>
      </c>
      <c r="AH1480">
        <v>1.9430000000000001E-3</v>
      </c>
      <c r="AI1480">
        <v>1.9430000000000001E-3</v>
      </c>
    </row>
    <row r="1481" spans="1:35" x14ac:dyDescent="0.35">
      <c r="A1481" t="s">
        <v>2</v>
      </c>
      <c r="B1481">
        <v>9000</v>
      </c>
      <c r="C1481">
        <v>30</v>
      </c>
      <c r="D1481">
        <v>1</v>
      </c>
      <c r="E1481">
        <v>0</v>
      </c>
      <c r="F1481">
        <v>11373014</v>
      </c>
      <c r="G1481">
        <v>7971.84</v>
      </c>
      <c r="H1481">
        <v>10981027.550000001</v>
      </c>
      <c r="I1481">
        <v>11000160.199999999</v>
      </c>
      <c r="J1481">
        <v>0.33779700000000001</v>
      </c>
      <c r="K1481">
        <v>0.32382899999999998</v>
      </c>
      <c r="M1481" t="s">
        <v>0</v>
      </c>
      <c r="N1481">
        <v>9000</v>
      </c>
      <c r="O1481">
        <v>20</v>
      </c>
      <c r="P1481">
        <v>35</v>
      </c>
      <c r="Q1481">
        <v>0</v>
      </c>
      <c r="R1481">
        <v>817621464</v>
      </c>
      <c r="S1481">
        <v>554044.52</v>
      </c>
      <c r="T1481">
        <v>792776667.95000005</v>
      </c>
      <c r="U1481">
        <v>805612285.53999996</v>
      </c>
      <c r="V1481">
        <v>0.30365599999999998</v>
      </c>
      <c r="W1481">
        <v>0.155755</v>
      </c>
      <c r="Y1481" t="s">
        <v>0</v>
      </c>
      <c r="Z1481">
        <v>8250</v>
      </c>
      <c r="AA1481">
        <v>20</v>
      </c>
      <c r="AB1481">
        <v>400</v>
      </c>
      <c r="AC1481">
        <v>0</v>
      </c>
      <c r="AD1481">
        <v>10602051449</v>
      </c>
      <c r="AE1481">
        <v>7894031.4500000002</v>
      </c>
      <c r="AF1481">
        <v>10408309240</v>
      </c>
      <c r="AG1481">
        <v>10473620377.139999</v>
      </c>
      <c r="AH1481">
        <v>0.19121199999999999</v>
      </c>
      <c r="AI1481">
        <v>0.128215</v>
      </c>
    </row>
    <row r="1482" spans="1:35" x14ac:dyDescent="0.35">
      <c r="A1482" t="s">
        <v>2</v>
      </c>
      <c r="B1482">
        <v>9000</v>
      </c>
      <c r="C1482">
        <v>24</v>
      </c>
      <c r="D1482">
        <v>6</v>
      </c>
      <c r="E1482">
        <v>0</v>
      </c>
      <c r="F1482">
        <v>86101819</v>
      </c>
      <c r="G1482">
        <v>60498.2</v>
      </c>
      <c r="H1482">
        <v>82994196.620000005</v>
      </c>
      <c r="I1482">
        <v>83871482.840000004</v>
      </c>
      <c r="J1482">
        <v>0.35103299999999998</v>
      </c>
      <c r="K1482">
        <v>0.263824</v>
      </c>
      <c r="M1482" t="s">
        <v>0</v>
      </c>
      <c r="N1482">
        <v>8500</v>
      </c>
      <c r="O1482">
        <v>20</v>
      </c>
      <c r="P1482">
        <v>32</v>
      </c>
      <c r="Q1482">
        <v>0</v>
      </c>
      <c r="R1482">
        <v>693962012</v>
      </c>
      <c r="S1482">
        <v>495712.49</v>
      </c>
      <c r="T1482">
        <v>677590510.40999997</v>
      </c>
      <c r="U1482">
        <v>689100404.25999999</v>
      </c>
      <c r="V1482">
        <v>0.24248600000000001</v>
      </c>
      <c r="W1482">
        <v>7.2937000000000002E-2</v>
      </c>
      <c r="Y1482" t="s">
        <v>0</v>
      </c>
      <c r="Z1482">
        <v>3000</v>
      </c>
      <c r="AA1482">
        <v>30</v>
      </c>
      <c r="AB1482">
        <v>12</v>
      </c>
      <c r="AC1482">
        <v>0</v>
      </c>
      <c r="AD1482">
        <v>318206677</v>
      </c>
      <c r="AE1482">
        <v>624507.80000000005</v>
      </c>
      <c r="AF1482">
        <v>317536091</v>
      </c>
      <c r="AG1482">
        <v>317536091</v>
      </c>
      <c r="AH1482">
        <v>1.7359999999999999E-3</v>
      </c>
      <c r="AI1482">
        <v>1.7359999999999999E-3</v>
      </c>
    </row>
    <row r="1483" spans="1:35" x14ac:dyDescent="0.35">
      <c r="A1483" t="s">
        <v>2</v>
      </c>
      <c r="B1483">
        <v>8500</v>
      </c>
      <c r="C1483">
        <v>30</v>
      </c>
      <c r="D1483">
        <v>1</v>
      </c>
      <c r="E1483">
        <v>0</v>
      </c>
      <c r="F1483">
        <v>12403325</v>
      </c>
      <c r="G1483">
        <v>9331.2199999999993</v>
      </c>
      <c r="H1483">
        <v>12320759.699999999</v>
      </c>
      <c r="I1483">
        <v>12393967.189999999</v>
      </c>
      <c r="J1483">
        <v>6.8597000000000005E-2</v>
      </c>
      <c r="K1483">
        <v>2.5999999999999998E-5</v>
      </c>
      <c r="M1483" t="s">
        <v>0</v>
      </c>
      <c r="N1483">
        <v>9000</v>
      </c>
      <c r="O1483">
        <v>30</v>
      </c>
      <c r="P1483">
        <v>8</v>
      </c>
      <c r="Q1483">
        <v>0</v>
      </c>
      <c r="R1483">
        <v>226986660</v>
      </c>
      <c r="S1483">
        <v>163112.89000000001</v>
      </c>
      <c r="T1483">
        <v>223518730.22</v>
      </c>
      <c r="U1483">
        <v>225110841.84999999</v>
      </c>
      <c r="V1483">
        <v>0.161381</v>
      </c>
      <c r="W1483">
        <v>8.6879999999999999E-2</v>
      </c>
      <c r="Y1483" t="s">
        <v>2</v>
      </c>
      <c r="Z1483">
        <v>7250</v>
      </c>
      <c r="AA1483">
        <v>20</v>
      </c>
      <c r="AB1483">
        <v>798</v>
      </c>
      <c r="AC1483">
        <v>0</v>
      </c>
      <c r="AD1483">
        <v>12288753338</v>
      </c>
      <c r="AE1483">
        <v>11106411.1</v>
      </c>
      <c r="AF1483">
        <v>12208820590</v>
      </c>
      <c r="AG1483">
        <v>12231038950.09</v>
      </c>
      <c r="AH1483">
        <v>6.5176999999999999E-2</v>
      </c>
      <c r="AI1483">
        <v>4.4574999999999997E-2</v>
      </c>
    </row>
    <row r="1484" spans="1:35" x14ac:dyDescent="0.35">
      <c r="A1484" t="s">
        <v>3</v>
      </c>
      <c r="B1484">
        <v>7750</v>
      </c>
      <c r="C1484">
        <v>24</v>
      </c>
      <c r="D1484">
        <v>8</v>
      </c>
      <c r="E1484">
        <v>0</v>
      </c>
      <c r="F1484">
        <v>220270030</v>
      </c>
      <c r="G1484">
        <v>186600.21</v>
      </c>
      <c r="H1484">
        <v>218763048.88</v>
      </c>
      <c r="I1484">
        <v>220061451.13999999</v>
      </c>
      <c r="J1484">
        <v>6.9608000000000003E-2</v>
      </c>
      <c r="K1484">
        <v>1.1969999999999999E-3</v>
      </c>
      <c r="M1484" t="s">
        <v>3</v>
      </c>
      <c r="N1484">
        <v>6000</v>
      </c>
      <c r="O1484">
        <v>20</v>
      </c>
      <c r="P1484">
        <v>18</v>
      </c>
      <c r="Q1484">
        <v>0</v>
      </c>
      <c r="R1484">
        <v>403037541</v>
      </c>
      <c r="S1484">
        <v>452946.79</v>
      </c>
      <c r="T1484">
        <v>401350506.94999999</v>
      </c>
      <c r="U1484">
        <v>402584576.80000001</v>
      </c>
      <c r="V1484">
        <v>3.6131000000000003E-2</v>
      </c>
      <c r="W1484">
        <v>9.9999999999999995E-7</v>
      </c>
      <c r="Y1484" t="s">
        <v>3</v>
      </c>
      <c r="Z1484">
        <v>7250</v>
      </c>
      <c r="AA1484">
        <v>20</v>
      </c>
      <c r="AB1484">
        <v>21</v>
      </c>
      <c r="AC1484">
        <v>0</v>
      </c>
      <c r="AD1484">
        <v>595897747</v>
      </c>
      <c r="AE1484">
        <v>537035.39</v>
      </c>
      <c r="AF1484">
        <v>595251230</v>
      </c>
      <c r="AG1484">
        <v>595251230</v>
      </c>
      <c r="AH1484">
        <v>2.202E-3</v>
      </c>
      <c r="AI1484">
        <v>2.202E-3</v>
      </c>
    </row>
    <row r="1485" spans="1:35" x14ac:dyDescent="0.35">
      <c r="A1485" t="s">
        <v>3</v>
      </c>
      <c r="B1485">
        <v>7250</v>
      </c>
      <c r="C1485">
        <v>20</v>
      </c>
      <c r="D1485">
        <v>31</v>
      </c>
      <c r="E1485">
        <v>0</v>
      </c>
      <c r="F1485">
        <v>818429635</v>
      </c>
      <c r="G1485">
        <v>738138.98</v>
      </c>
      <c r="H1485">
        <v>811788176.45000005</v>
      </c>
      <c r="I1485">
        <v>817669589</v>
      </c>
      <c r="J1485">
        <v>8.3202999999999999E-2</v>
      </c>
      <c r="K1485">
        <v>3.21E-4</v>
      </c>
      <c r="M1485" t="s">
        <v>3</v>
      </c>
      <c r="N1485">
        <v>7250</v>
      </c>
      <c r="O1485">
        <v>20</v>
      </c>
      <c r="P1485">
        <v>13</v>
      </c>
      <c r="Q1485">
        <v>0</v>
      </c>
      <c r="R1485">
        <v>321630155</v>
      </c>
      <c r="S1485">
        <v>288917.13</v>
      </c>
      <c r="T1485">
        <v>320914894.79000002</v>
      </c>
      <c r="U1485">
        <v>321303068.92000002</v>
      </c>
      <c r="V1485">
        <v>1.5790999999999999E-2</v>
      </c>
      <c r="W1485">
        <v>1.423E-3</v>
      </c>
      <c r="Y1485" t="s">
        <v>1</v>
      </c>
      <c r="Z1485">
        <v>7750</v>
      </c>
      <c r="AA1485">
        <v>20</v>
      </c>
      <c r="AB1485">
        <v>510</v>
      </c>
      <c r="AC1485">
        <v>0</v>
      </c>
      <c r="AD1485">
        <v>12119170197</v>
      </c>
      <c r="AE1485">
        <v>10058065.18</v>
      </c>
      <c r="AF1485">
        <v>11675243057</v>
      </c>
      <c r="AG1485">
        <v>11994129181.139999</v>
      </c>
      <c r="AH1485">
        <v>0.35433900000000002</v>
      </c>
      <c r="AI1485">
        <v>0.108095</v>
      </c>
    </row>
    <row r="1486" spans="1:35" x14ac:dyDescent="0.35">
      <c r="A1486" t="s">
        <v>3</v>
      </c>
      <c r="B1486">
        <v>7000</v>
      </c>
      <c r="C1486">
        <v>20</v>
      </c>
      <c r="D1486">
        <v>22</v>
      </c>
      <c r="E1486">
        <v>0</v>
      </c>
      <c r="F1486">
        <v>532860680</v>
      </c>
      <c r="G1486">
        <v>502419.32</v>
      </c>
      <c r="H1486">
        <v>528796768.72000003</v>
      </c>
      <c r="I1486">
        <v>532358247.39999998</v>
      </c>
      <c r="J1486">
        <v>7.7321000000000001E-2</v>
      </c>
      <c r="K1486">
        <v>0</v>
      </c>
      <c r="M1486" t="s">
        <v>3</v>
      </c>
      <c r="N1486">
        <v>6750</v>
      </c>
      <c r="O1486">
        <v>20</v>
      </c>
      <c r="P1486">
        <v>29</v>
      </c>
      <c r="Q1486">
        <v>0</v>
      </c>
      <c r="R1486">
        <v>840581314</v>
      </c>
      <c r="S1486">
        <v>830969.32</v>
      </c>
      <c r="T1486">
        <v>836811551.04999995</v>
      </c>
      <c r="U1486">
        <v>839731751.25</v>
      </c>
      <c r="V1486">
        <v>4.1155999999999998E-2</v>
      </c>
      <c r="W1486">
        <v>2.6499999999999999E-4</v>
      </c>
      <c r="Y1486" t="s">
        <v>2</v>
      </c>
      <c r="Z1486">
        <v>7750</v>
      </c>
      <c r="AA1486">
        <v>20</v>
      </c>
      <c r="AB1486">
        <v>137</v>
      </c>
      <c r="AC1486">
        <v>0</v>
      </c>
      <c r="AD1486">
        <v>1967934755</v>
      </c>
      <c r="AE1486">
        <v>1624837.88</v>
      </c>
      <c r="AF1486">
        <v>1937614826</v>
      </c>
      <c r="AG1486">
        <v>1966482710.8199999</v>
      </c>
      <c r="AH1486">
        <v>0.161603</v>
      </c>
      <c r="AI1486">
        <v>-1.054E-3</v>
      </c>
    </row>
    <row r="1487" spans="1:35" x14ac:dyDescent="0.35">
      <c r="A1487" t="s">
        <v>2</v>
      </c>
      <c r="B1487">
        <v>8500</v>
      </c>
      <c r="C1487">
        <v>24</v>
      </c>
      <c r="D1487">
        <v>2</v>
      </c>
      <c r="E1487">
        <v>0</v>
      </c>
      <c r="F1487">
        <v>32685662</v>
      </c>
      <c r="G1487">
        <v>24023.06</v>
      </c>
      <c r="H1487">
        <v>32352358.469999999</v>
      </c>
      <c r="I1487">
        <v>32660532.960000001</v>
      </c>
      <c r="J1487">
        <v>0.10782</v>
      </c>
      <c r="K1487">
        <v>4.06E-4</v>
      </c>
      <c r="M1487" t="s">
        <v>3</v>
      </c>
      <c r="N1487">
        <v>5500</v>
      </c>
      <c r="O1487">
        <v>18</v>
      </c>
      <c r="P1487">
        <v>1</v>
      </c>
      <c r="Q1487">
        <v>0</v>
      </c>
      <c r="R1487">
        <v>12938698</v>
      </c>
      <c r="S1487">
        <v>15698.81</v>
      </c>
      <c r="T1487">
        <v>12839736.390000001</v>
      </c>
      <c r="U1487">
        <v>12922998.439999999</v>
      </c>
      <c r="V1487">
        <v>7.4547000000000002E-2</v>
      </c>
      <c r="W1487">
        <v>9.9999999999999995E-7</v>
      </c>
      <c r="Y1487" t="s">
        <v>3</v>
      </c>
      <c r="Z1487">
        <v>5750</v>
      </c>
      <c r="AA1487">
        <v>20</v>
      </c>
      <c r="AB1487">
        <v>15</v>
      </c>
      <c r="AC1487">
        <v>0</v>
      </c>
      <c r="AD1487">
        <v>426463681</v>
      </c>
      <c r="AE1487">
        <v>504480.99</v>
      </c>
      <c r="AF1487">
        <v>425972305</v>
      </c>
      <c r="AG1487">
        <v>425972305</v>
      </c>
      <c r="AH1487">
        <v>-3.6900000000000002E-4</v>
      </c>
      <c r="AI1487">
        <v>-3.6900000000000002E-4</v>
      </c>
    </row>
    <row r="1488" spans="1:35" x14ac:dyDescent="0.35">
      <c r="A1488" t="s">
        <v>0</v>
      </c>
      <c r="B1488">
        <v>8250</v>
      </c>
      <c r="C1488">
        <v>18</v>
      </c>
      <c r="D1488">
        <v>376</v>
      </c>
      <c r="E1488">
        <v>0</v>
      </c>
      <c r="F1488">
        <v>10523744421</v>
      </c>
      <c r="G1488">
        <v>7689217.5800000001</v>
      </c>
      <c r="H1488">
        <v>10265423080.190001</v>
      </c>
      <c r="I1488">
        <v>10450248849.629999</v>
      </c>
      <c r="J1488">
        <v>0.25117400000000001</v>
      </c>
      <c r="K1488">
        <v>7.2510000000000005E-2</v>
      </c>
      <c r="M1488" t="s">
        <v>3</v>
      </c>
      <c r="N1488">
        <v>6000</v>
      </c>
      <c r="O1488">
        <v>18</v>
      </c>
      <c r="P1488">
        <v>7</v>
      </c>
      <c r="Q1488">
        <v>0</v>
      </c>
      <c r="R1488">
        <v>163381691</v>
      </c>
      <c r="S1488">
        <v>183525.87</v>
      </c>
      <c r="T1488">
        <v>162598287.75999999</v>
      </c>
      <c r="U1488">
        <v>163198162.19999999</v>
      </c>
      <c r="V1488">
        <v>4.3180999999999997E-2</v>
      </c>
      <c r="W1488">
        <v>0</v>
      </c>
      <c r="Y1488" t="s">
        <v>3</v>
      </c>
      <c r="Z1488">
        <v>7500</v>
      </c>
      <c r="AA1488">
        <v>24</v>
      </c>
      <c r="AB1488">
        <v>9</v>
      </c>
      <c r="AC1488">
        <v>0</v>
      </c>
      <c r="AD1488">
        <v>175579737</v>
      </c>
      <c r="AE1488">
        <v>154915.75</v>
      </c>
      <c r="AF1488">
        <v>151792185</v>
      </c>
      <c r="AG1488">
        <v>175430179.59999999</v>
      </c>
      <c r="AH1488">
        <v>0.82355199999999995</v>
      </c>
      <c r="AI1488">
        <v>-3.6600000000000001E-4</v>
      </c>
    </row>
    <row r="1489" spans="1:35" x14ac:dyDescent="0.35">
      <c r="A1489" t="s">
        <v>3</v>
      </c>
      <c r="B1489">
        <v>8000</v>
      </c>
      <c r="C1489">
        <v>24</v>
      </c>
      <c r="D1489">
        <v>1</v>
      </c>
      <c r="E1489">
        <v>0</v>
      </c>
      <c r="F1489">
        <v>18893127</v>
      </c>
      <c r="G1489">
        <v>15488.3</v>
      </c>
      <c r="H1489">
        <v>18730154.390000001</v>
      </c>
      <c r="I1489">
        <v>18877638.300000001</v>
      </c>
      <c r="J1489">
        <v>8.9756000000000002E-2</v>
      </c>
      <c r="K1489">
        <v>0</v>
      </c>
      <c r="M1489" t="s">
        <v>0</v>
      </c>
      <c r="N1489">
        <v>8250</v>
      </c>
      <c r="O1489">
        <v>18</v>
      </c>
      <c r="P1489">
        <v>410</v>
      </c>
      <c r="Q1489">
        <v>0</v>
      </c>
      <c r="R1489">
        <v>10855319166</v>
      </c>
      <c r="S1489">
        <v>7961017.96</v>
      </c>
      <c r="T1489">
        <v>10530408971.889999</v>
      </c>
      <c r="U1489">
        <v>10745455667.27</v>
      </c>
      <c r="V1489">
        <v>0.29923899999999998</v>
      </c>
      <c r="W1489">
        <v>0.10700999999999999</v>
      </c>
      <c r="Y1489" t="s">
        <v>2</v>
      </c>
      <c r="Z1489">
        <v>5500</v>
      </c>
      <c r="AA1489">
        <v>24</v>
      </c>
      <c r="AB1489">
        <v>112</v>
      </c>
      <c r="AC1489">
        <v>0</v>
      </c>
      <c r="AD1489">
        <v>2716731929</v>
      </c>
      <c r="AE1489">
        <v>3401598.24</v>
      </c>
      <c r="AF1489">
        <v>2713195489</v>
      </c>
      <c r="AG1489">
        <v>2713195489</v>
      </c>
      <c r="AH1489">
        <v>5.9500000000000004E-4</v>
      </c>
      <c r="AI1489">
        <v>5.9500000000000004E-4</v>
      </c>
    </row>
    <row r="1490" spans="1:35" x14ac:dyDescent="0.35">
      <c r="A1490" t="s">
        <v>1</v>
      </c>
      <c r="B1490">
        <v>5750</v>
      </c>
      <c r="C1490">
        <v>108</v>
      </c>
      <c r="D1490">
        <v>5</v>
      </c>
      <c r="E1490">
        <v>0</v>
      </c>
      <c r="F1490">
        <v>49219586</v>
      </c>
      <c r="G1490">
        <v>96165.24</v>
      </c>
      <c r="H1490">
        <v>48649952.340000004</v>
      </c>
      <c r="I1490">
        <v>49123392.009999998</v>
      </c>
      <c r="J1490">
        <v>0.109518</v>
      </c>
      <c r="K1490">
        <v>6.9999999999999999E-6</v>
      </c>
      <c r="M1490" t="s">
        <v>0</v>
      </c>
      <c r="N1490">
        <v>3000</v>
      </c>
      <c r="O1490">
        <v>30</v>
      </c>
      <c r="P1490">
        <v>26</v>
      </c>
      <c r="Q1490">
        <v>0</v>
      </c>
      <c r="R1490">
        <v>647802875</v>
      </c>
      <c r="S1490">
        <v>1277301.01</v>
      </c>
      <c r="T1490">
        <v>643104016.76999998</v>
      </c>
      <c r="U1490">
        <v>645349918.35000002</v>
      </c>
      <c r="V1490">
        <v>6.1572000000000002E-2</v>
      </c>
      <c r="W1490">
        <v>2.1562000000000001E-2</v>
      </c>
      <c r="Y1490" t="s">
        <v>1</v>
      </c>
      <c r="Z1490">
        <v>3000</v>
      </c>
      <c r="AA1490">
        <v>30</v>
      </c>
      <c r="AB1490">
        <v>31</v>
      </c>
      <c r="AC1490">
        <v>0</v>
      </c>
      <c r="AD1490">
        <v>980859189</v>
      </c>
      <c r="AE1490">
        <v>2051790.23</v>
      </c>
      <c r="AF1490">
        <v>940985441</v>
      </c>
      <c r="AG1490">
        <v>940985441</v>
      </c>
      <c r="AH1490">
        <v>0.37617</v>
      </c>
      <c r="AI1490">
        <v>0.37617</v>
      </c>
    </row>
    <row r="1491" spans="1:35" x14ac:dyDescent="0.35">
      <c r="A1491" t="s">
        <v>3</v>
      </c>
      <c r="B1491">
        <v>7500</v>
      </c>
      <c r="C1491">
        <v>24</v>
      </c>
      <c r="D1491">
        <v>4</v>
      </c>
      <c r="E1491">
        <v>0</v>
      </c>
      <c r="F1491">
        <v>74453258</v>
      </c>
      <c r="G1491">
        <v>65628.56</v>
      </c>
      <c r="H1491">
        <v>73951574.359999999</v>
      </c>
      <c r="I1491">
        <v>74387625.010000005</v>
      </c>
      <c r="J1491">
        <v>6.8060999999999997E-2</v>
      </c>
      <c r="K1491">
        <v>9.9999999999999995E-7</v>
      </c>
      <c r="M1491" t="s">
        <v>2</v>
      </c>
      <c r="N1491">
        <v>7250</v>
      </c>
      <c r="O1491">
        <v>18</v>
      </c>
      <c r="P1491">
        <v>814</v>
      </c>
      <c r="Q1491">
        <v>0</v>
      </c>
      <c r="R1491">
        <v>12552138308</v>
      </c>
      <c r="S1491">
        <v>11190256.52</v>
      </c>
      <c r="T1491">
        <v>12360873118.4</v>
      </c>
      <c r="U1491">
        <v>12472073173.17</v>
      </c>
      <c r="V1491">
        <v>0.15919900000000001</v>
      </c>
      <c r="W1491">
        <v>6.3894000000000006E-2</v>
      </c>
      <c r="Y1491" t="s">
        <v>1</v>
      </c>
      <c r="Z1491">
        <v>3250</v>
      </c>
      <c r="AA1491">
        <v>30</v>
      </c>
      <c r="AB1491">
        <v>65</v>
      </c>
      <c r="AC1491">
        <v>0</v>
      </c>
      <c r="AD1491">
        <v>1889749942</v>
      </c>
      <c r="AE1491">
        <v>3752787</v>
      </c>
      <c r="AF1491">
        <v>1851937934</v>
      </c>
      <c r="AG1491">
        <v>1886265655.1199999</v>
      </c>
      <c r="AH1491">
        <v>0.196076</v>
      </c>
      <c r="AI1491">
        <v>-1.7060000000000001E-3</v>
      </c>
    </row>
    <row r="1492" spans="1:35" x14ac:dyDescent="0.35">
      <c r="A1492" t="s">
        <v>3</v>
      </c>
      <c r="B1492">
        <v>8000</v>
      </c>
      <c r="C1492">
        <v>30</v>
      </c>
      <c r="D1492">
        <v>2</v>
      </c>
      <c r="E1492">
        <v>0</v>
      </c>
      <c r="F1492">
        <v>83123200</v>
      </c>
      <c r="G1492">
        <v>68646.62</v>
      </c>
      <c r="H1492">
        <v>82713124.840000004</v>
      </c>
      <c r="I1492">
        <v>83054549.560000002</v>
      </c>
      <c r="J1492">
        <v>4.8191999999999999E-2</v>
      </c>
      <c r="K1492">
        <v>9.9999999999999995E-7</v>
      </c>
      <c r="M1492" t="s">
        <v>3</v>
      </c>
      <c r="N1492">
        <v>7250</v>
      </c>
      <c r="O1492">
        <v>18</v>
      </c>
      <c r="P1492">
        <v>22</v>
      </c>
      <c r="Q1492">
        <v>0</v>
      </c>
      <c r="R1492">
        <v>621089861</v>
      </c>
      <c r="S1492">
        <v>552454.13</v>
      </c>
      <c r="T1492">
        <v>618245873.51999998</v>
      </c>
      <c r="U1492">
        <v>620536506.55999994</v>
      </c>
      <c r="V1492">
        <v>4.3387000000000002E-2</v>
      </c>
      <c r="W1492">
        <v>1.7E-5</v>
      </c>
      <c r="Y1492" t="s">
        <v>1</v>
      </c>
      <c r="Z1492">
        <v>3000</v>
      </c>
      <c r="AA1492">
        <v>24</v>
      </c>
      <c r="AB1492">
        <v>16</v>
      </c>
      <c r="AC1492">
        <v>0</v>
      </c>
      <c r="AD1492">
        <v>447572417</v>
      </c>
      <c r="AE1492">
        <v>934990.71</v>
      </c>
      <c r="AF1492">
        <v>446474809</v>
      </c>
      <c r="AG1492">
        <v>446474809</v>
      </c>
      <c r="AH1492">
        <v>4.3509999999999998E-3</v>
      </c>
      <c r="AI1492">
        <v>4.3509999999999998E-3</v>
      </c>
    </row>
    <row r="1493" spans="1:35" x14ac:dyDescent="0.35">
      <c r="A1493" t="s">
        <v>0</v>
      </c>
      <c r="B1493">
        <v>4750</v>
      </c>
      <c r="C1493">
        <v>24</v>
      </c>
      <c r="D1493">
        <v>2273</v>
      </c>
      <c r="E1493">
        <v>0</v>
      </c>
      <c r="F1493">
        <v>72886104785</v>
      </c>
      <c r="G1493">
        <v>103480931.29000001</v>
      </c>
      <c r="H1493">
        <v>72577979469.759995</v>
      </c>
      <c r="I1493">
        <v>72706040380.539993</v>
      </c>
      <c r="J1493">
        <v>3.3176999999999998E-2</v>
      </c>
      <c r="K1493">
        <v>1.2536E-2</v>
      </c>
      <c r="M1493" t="s">
        <v>1</v>
      </c>
      <c r="N1493">
        <v>7750</v>
      </c>
      <c r="O1493">
        <v>18</v>
      </c>
      <c r="P1493">
        <v>577</v>
      </c>
      <c r="Q1493">
        <v>0</v>
      </c>
      <c r="R1493">
        <v>13880176490</v>
      </c>
      <c r="S1493">
        <v>11367481.779999999</v>
      </c>
      <c r="T1493">
        <v>12879339940.67</v>
      </c>
      <c r="U1493">
        <v>13585628489.940001</v>
      </c>
      <c r="V1493">
        <v>0.58830000000000005</v>
      </c>
      <c r="W1493">
        <v>0.219135</v>
      </c>
      <c r="Y1493" t="s">
        <v>2</v>
      </c>
      <c r="Z1493">
        <v>7250</v>
      </c>
      <c r="AA1493">
        <v>16</v>
      </c>
      <c r="AB1493">
        <v>652</v>
      </c>
      <c r="AC1493">
        <v>0</v>
      </c>
      <c r="AD1493">
        <v>10114250655</v>
      </c>
      <c r="AE1493">
        <v>8897013.4700000007</v>
      </c>
      <c r="AF1493">
        <v>9910849320</v>
      </c>
      <c r="AG1493">
        <v>10081820499.700001</v>
      </c>
      <c r="AH1493">
        <v>0.20785899999999999</v>
      </c>
      <c r="AI1493">
        <v>2.7566E-2</v>
      </c>
    </row>
    <row r="1494" spans="1:35" x14ac:dyDescent="0.35">
      <c r="A1494" t="s">
        <v>2</v>
      </c>
      <c r="B1494">
        <v>4750</v>
      </c>
      <c r="C1494">
        <v>24</v>
      </c>
      <c r="D1494">
        <v>65</v>
      </c>
      <c r="E1494">
        <v>0</v>
      </c>
      <c r="F1494">
        <v>1661648662</v>
      </c>
      <c r="G1494">
        <v>2360525.37</v>
      </c>
      <c r="H1494">
        <v>1652543057.78</v>
      </c>
      <c r="I1494">
        <v>1656681363.1300001</v>
      </c>
      <c r="J1494">
        <v>4.7638E-2</v>
      </c>
      <c r="K1494">
        <v>1.8664E-2</v>
      </c>
      <c r="M1494" t="s">
        <v>2</v>
      </c>
      <c r="N1494">
        <v>7750</v>
      </c>
      <c r="O1494">
        <v>18</v>
      </c>
      <c r="P1494">
        <v>140</v>
      </c>
      <c r="Q1494">
        <v>0</v>
      </c>
      <c r="R1494">
        <v>1998732638</v>
      </c>
      <c r="S1494">
        <v>1628036.05</v>
      </c>
      <c r="T1494">
        <v>1965741050.8499999</v>
      </c>
      <c r="U1494">
        <v>1985924682.1199999</v>
      </c>
      <c r="V1494">
        <v>0.17287</v>
      </c>
      <c r="W1494">
        <v>6.5095E-2</v>
      </c>
      <c r="Y1494" t="s">
        <v>2</v>
      </c>
      <c r="Z1494">
        <v>9000</v>
      </c>
      <c r="AA1494">
        <v>24</v>
      </c>
      <c r="AB1494">
        <v>7</v>
      </c>
      <c r="AC1494">
        <v>0</v>
      </c>
      <c r="AD1494">
        <v>97502005</v>
      </c>
      <c r="AE1494">
        <v>67948.490000000005</v>
      </c>
      <c r="AF1494">
        <v>97474833</v>
      </c>
      <c r="AG1494">
        <v>97474833</v>
      </c>
      <c r="AH1494">
        <v>-5.0299999999999997E-3</v>
      </c>
      <c r="AI1494">
        <v>-5.0299999999999997E-3</v>
      </c>
    </row>
    <row r="1495" spans="1:35" x14ac:dyDescent="0.35">
      <c r="A1495" t="s">
        <v>1</v>
      </c>
      <c r="B1495">
        <v>4750</v>
      </c>
      <c r="C1495">
        <v>24</v>
      </c>
      <c r="D1495">
        <v>871</v>
      </c>
      <c r="E1495">
        <v>0</v>
      </c>
      <c r="F1495">
        <v>30871637050</v>
      </c>
      <c r="G1495">
        <v>43878842.200000003</v>
      </c>
      <c r="H1495">
        <v>30588756006.740002</v>
      </c>
      <c r="I1495">
        <v>30727495862.029999</v>
      </c>
      <c r="J1495">
        <v>8.9046E-2</v>
      </c>
      <c r="K1495">
        <v>3.8283999999999999E-2</v>
      </c>
      <c r="M1495" t="s">
        <v>3</v>
      </c>
      <c r="N1495">
        <v>5750</v>
      </c>
      <c r="O1495">
        <v>18</v>
      </c>
      <c r="P1495">
        <v>15</v>
      </c>
      <c r="Q1495">
        <v>0</v>
      </c>
      <c r="R1495">
        <v>427566788</v>
      </c>
      <c r="S1495">
        <v>499840.85</v>
      </c>
      <c r="T1495">
        <v>426038302.32999998</v>
      </c>
      <c r="U1495">
        <v>427066932.00999999</v>
      </c>
      <c r="V1495">
        <v>2.8490999999999999E-2</v>
      </c>
      <c r="W1495">
        <v>0</v>
      </c>
      <c r="Y1495" t="s">
        <v>2</v>
      </c>
      <c r="Z1495">
        <v>8500</v>
      </c>
      <c r="AA1495">
        <v>24</v>
      </c>
      <c r="AB1495">
        <v>3</v>
      </c>
      <c r="AC1495">
        <v>0</v>
      </c>
      <c r="AD1495">
        <v>45130256</v>
      </c>
      <c r="AE1495">
        <v>33127.79</v>
      </c>
      <c r="AF1495">
        <v>45088987</v>
      </c>
      <c r="AG1495">
        <v>45088987</v>
      </c>
      <c r="AH1495">
        <v>2.163E-3</v>
      </c>
      <c r="AI1495">
        <v>2.163E-3</v>
      </c>
    </row>
    <row r="1496" spans="1:35" x14ac:dyDescent="0.35">
      <c r="A1496" t="s">
        <v>0</v>
      </c>
      <c r="B1496">
        <v>5250</v>
      </c>
      <c r="C1496">
        <v>18</v>
      </c>
      <c r="D1496">
        <v>1582</v>
      </c>
      <c r="E1496">
        <v>0</v>
      </c>
      <c r="F1496">
        <v>54753653754</v>
      </c>
      <c r="G1496">
        <v>69628496.790000007</v>
      </c>
      <c r="H1496">
        <v>54482302521.120003</v>
      </c>
      <c r="I1496">
        <v>54603413442.620003</v>
      </c>
      <c r="J1496">
        <v>4.3325000000000002E-2</v>
      </c>
      <c r="K1496">
        <v>1.7524999999999999E-2</v>
      </c>
      <c r="M1496" t="s">
        <v>2</v>
      </c>
      <c r="N1496">
        <v>5500</v>
      </c>
      <c r="O1496">
        <v>20</v>
      </c>
      <c r="P1496">
        <v>77</v>
      </c>
      <c r="Q1496">
        <v>0</v>
      </c>
      <c r="R1496">
        <v>1812685042</v>
      </c>
      <c r="S1496">
        <v>2237375.25</v>
      </c>
      <c r="T1496">
        <v>1805490531.4300001</v>
      </c>
      <c r="U1496">
        <v>1810400042.4200001</v>
      </c>
      <c r="V1496">
        <v>3.2327000000000002E-2</v>
      </c>
      <c r="W1496">
        <v>3.1500000000000001E-4</v>
      </c>
      <c r="Y1496" t="s">
        <v>3</v>
      </c>
      <c r="Z1496">
        <v>7250</v>
      </c>
      <c r="AA1496">
        <v>18</v>
      </c>
      <c r="AB1496">
        <v>22</v>
      </c>
      <c r="AC1496">
        <v>0</v>
      </c>
      <c r="AD1496">
        <v>578639607</v>
      </c>
      <c r="AE1496">
        <v>517851.89</v>
      </c>
      <c r="AF1496">
        <v>577979776</v>
      </c>
      <c r="AG1496">
        <v>577979776</v>
      </c>
      <c r="AH1496">
        <v>2.9399999999999999E-3</v>
      </c>
      <c r="AI1496">
        <v>2.9399999999999999E-3</v>
      </c>
    </row>
    <row r="1497" spans="1:35" x14ac:dyDescent="0.35">
      <c r="A1497" t="s">
        <v>2</v>
      </c>
      <c r="B1497">
        <v>5250</v>
      </c>
      <c r="C1497">
        <v>18</v>
      </c>
      <c r="D1497">
        <v>47</v>
      </c>
      <c r="E1497">
        <v>0</v>
      </c>
      <c r="F1497">
        <v>1096174232</v>
      </c>
      <c r="G1497">
        <v>1393916.03</v>
      </c>
      <c r="H1497">
        <v>1092150321.4400001</v>
      </c>
      <c r="I1497">
        <v>1094419156.7</v>
      </c>
      <c r="J1497">
        <v>2.8413999999999998E-2</v>
      </c>
      <c r="K1497">
        <v>3.947E-3</v>
      </c>
      <c r="M1497" t="s">
        <v>1</v>
      </c>
      <c r="N1497">
        <v>3000</v>
      </c>
      <c r="O1497">
        <v>30</v>
      </c>
      <c r="P1497">
        <v>49</v>
      </c>
      <c r="Q1497">
        <v>0</v>
      </c>
      <c r="R1497">
        <v>1433191602</v>
      </c>
      <c r="S1497">
        <v>3035900.6</v>
      </c>
      <c r="T1497">
        <v>1401634992.2</v>
      </c>
      <c r="U1497">
        <v>1408861704.97</v>
      </c>
      <c r="V1497">
        <v>0.21432300000000001</v>
      </c>
      <c r="W1497">
        <v>0.16442100000000001</v>
      </c>
      <c r="Y1497" t="s">
        <v>3</v>
      </c>
      <c r="Z1497">
        <v>7000</v>
      </c>
      <c r="AA1497">
        <v>18</v>
      </c>
      <c r="AB1497">
        <v>30</v>
      </c>
      <c r="AC1497">
        <v>0</v>
      </c>
      <c r="AD1497">
        <v>704941288</v>
      </c>
      <c r="AE1497">
        <v>657125.6</v>
      </c>
      <c r="AF1497">
        <v>680406017</v>
      </c>
      <c r="AG1497">
        <v>680406017</v>
      </c>
      <c r="AH1497">
        <v>0.33867799999999998</v>
      </c>
      <c r="AI1497">
        <v>0.33867799999999998</v>
      </c>
    </row>
    <row r="1498" spans="1:35" x14ac:dyDescent="0.35">
      <c r="A1498" t="s">
        <v>1</v>
      </c>
      <c r="B1498">
        <v>5250</v>
      </c>
      <c r="C1498">
        <v>18</v>
      </c>
      <c r="D1498">
        <v>729</v>
      </c>
      <c r="E1498">
        <v>0</v>
      </c>
      <c r="F1498">
        <v>27579594359</v>
      </c>
      <c r="G1498">
        <v>35054852.689999998</v>
      </c>
      <c r="H1498">
        <v>27328369980.330002</v>
      </c>
      <c r="I1498">
        <v>27495121035.07</v>
      </c>
      <c r="J1498">
        <v>9.0106000000000006E-2</v>
      </c>
      <c r="K1498">
        <v>2.1291999999999998E-2</v>
      </c>
      <c r="M1498" t="s">
        <v>1</v>
      </c>
      <c r="N1498">
        <v>3000</v>
      </c>
      <c r="O1498">
        <v>24</v>
      </c>
      <c r="P1498">
        <v>16</v>
      </c>
      <c r="Q1498">
        <v>0</v>
      </c>
      <c r="R1498">
        <v>488425842</v>
      </c>
      <c r="S1498">
        <v>999164.45</v>
      </c>
      <c r="T1498">
        <v>479721397.13</v>
      </c>
      <c r="U1498">
        <v>481676642.67000002</v>
      </c>
      <c r="V1498">
        <v>0.17371700000000001</v>
      </c>
      <c r="W1498">
        <v>0.13247300000000001</v>
      </c>
      <c r="Y1498" t="s">
        <v>0</v>
      </c>
      <c r="Z1498">
        <v>8500</v>
      </c>
      <c r="AA1498">
        <v>20</v>
      </c>
      <c r="AB1498">
        <v>18</v>
      </c>
      <c r="AC1498">
        <v>0</v>
      </c>
      <c r="AD1498">
        <v>394940517</v>
      </c>
      <c r="AE1498">
        <v>283794.75</v>
      </c>
      <c r="AF1498">
        <v>394604125</v>
      </c>
      <c r="AG1498">
        <v>394604125</v>
      </c>
      <c r="AH1498">
        <v>1.5969999999999999E-3</v>
      </c>
      <c r="AI1498">
        <v>1.5969999999999999E-3</v>
      </c>
    </row>
    <row r="1499" spans="1:35" x14ac:dyDescent="0.35">
      <c r="A1499" t="s">
        <v>1</v>
      </c>
      <c r="B1499">
        <v>7750</v>
      </c>
      <c r="C1499">
        <v>18</v>
      </c>
      <c r="D1499">
        <v>272</v>
      </c>
      <c r="E1499">
        <v>0</v>
      </c>
      <c r="F1499">
        <v>6559076144</v>
      </c>
      <c r="G1499">
        <v>5332504.2699999996</v>
      </c>
      <c r="H1499">
        <v>6142134630.9300003</v>
      </c>
      <c r="I1499">
        <v>6463772442.6099997</v>
      </c>
      <c r="J1499">
        <v>0.54054500000000005</v>
      </c>
      <c r="K1499">
        <v>0.15273700000000001</v>
      </c>
      <c r="M1499" t="s">
        <v>2</v>
      </c>
      <c r="N1499">
        <v>7250</v>
      </c>
      <c r="O1499">
        <v>14</v>
      </c>
      <c r="P1499">
        <v>670</v>
      </c>
      <c r="Q1499">
        <v>0</v>
      </c>
      <c r="R1499">
        <v>10468288815</v>
      </c>
      <c r="S1499">
        <v>9095921.7699999996</v>
      </c>
      <c r="T1499">
        <v>10324898944.690001</v>
      </c>
      <c r="U1499">
        <v>10429461367.58</v>
      </c>
      <c r="V1499">
        <v>0.14353299999999999</v>
      </c>
      <c r="W1499">
        <v>3.3554E-2</v>
      </c>
      <c r="Y1499" t="s">
        <v>1</v>
      </c>
      <c r="Z1499">
        <v>8250</v>
      </c>
      <c r="AA1499">
        <v>20</v>
      </c>
      <c r="AB1499">
        <v>69</v>
      </c>
      <c r="AC1499">
        <v>0</v>
      </c>
      <c r="AD1499">
        <v>1720150171</v>
      </c>
      <c r="AE1499">
        <v>1276069.92</v>
      </c>
      <c r="AF1499">
        <v>1684734976</v>
      </c>
      <c r="AG1499">
        <v>1719382658.1199999</v>
      </c>
      <c r="AH1499">
        <v>0.213808</v>
      </c>
      <c r="AI1499">
        <v>-3.5539999999999999E-3</v>
      </c>
    </row>
    <row r="1500" spans="1:35" x14ac:dyDescent="0.35">
      <c r="A1500" t="s">
        <v>2</v>
      </c>
      <c r="B1500">
        <v>7750</v>
      </c>
      <c r="C1500">
        <v>18</v>
      </c>
      <c r="D1500">
        <v>173</v>
      </c>
      <c r="E1500">
        <v>0</v>
      </c>
      <c r="F1500">
        <v>2408395886</v>
      </c>
      <c r="G1500">
        <v>1951322.98</v>
      </c>
      <c r="H1500">
        <v>2342967045.8499999</v>
      </c>
      <c r="I1500">
        <v>2365309020.8400002</v>
      </c>
      <c r="J1500">
        <v>0.274231</v>
      </c>
      <c r="K1500">
        <v>0.18676200000000001</v>
      </c>
      <c r="M1500" t="s">
        <v>2</v>
      </c>
      <c r="N1500">
        <v>8500</v>
      </c>
      <c r="O1500">
        <v>24</v>
      </c>
      <c r="P1500">
        <v>3</v>
      </c>
      <c r="Q1500">
        <v>0</v>
      </c>
      <c r="R1500">
        <v>35876059</v>
      </c>
      <c r="S1500">
        <v>25999.55</v>
      </c>
      <c r="T1500">
        <v>35499646.460000001</v>
      </c>
      <c r="U1500">
        <v>35849876.619999997</v>
      </c>
      <c r="V1500">
        <v>0.111112</v>
      </c>
      <c r="W1500">
        <v>6.0999999999999999E-5</v>
      </c>
      <c r="Y1500" t="s">
        <v>1</v>
      </c>
      <c r="Z1500">
        <v>8000</v>
      </c>
      <c r="AA1500">
        <v>20</v>
      </c>
      <c r="AB1500">
        <v>114</v>
      </c>
      <c r="AC1500">
        <v>0</v>
      </c>
      <c r="AD1500">
        <v>2728608080</v>
      </c>
      <c r="AE1500">
        <v>2136351.0299999998</v>
      </c>
      <c r="AF1500">
        <v>2441050903</v>
      </c>
      <c r="AG1500">
        <v>2704007222.5599999</v>
      </c>
      <c r="AH1500">
        <v>0.73442499999999999</v>
      </c>
      <c r="AI1500">
        <v>9.4441999999999998E-2</v>
      </c>
    </row>
    <row r="1501" spans="1:35" x14ac:dyDescent="0.35">
      <c r="A1501" t="s">
        <v>1</v>
      </c>
      <c r="B1501">
        <v>7500</v>
      </c>
      <c r="C1501">
        <v>18</v>
      </c>
      <c r="D1501">
        <v>382</v>
      </c>
      <c r="E1501">
        <v>0</v>
      </c>
      <c r="F1501">
        <v>10340193444</v>
      </c>
      <c r="G1501">
        <v>8926126.0700000003</v>
      </c>
      <c r="H1501">
        <v>9626819425.2700005</v>
      </c>
      <c r="I1501">
        <v>9989447525.0200005</v>
      </c>
      <c r="J1501">
        <v>0.57117499999999999</v>
      </c>
      <c r="K1501">
        <v>0.331951</v>
      </c>
      <c r="M1501" t="s">
        <v>2</v>
      </c>
      <c r="N1501">
        <v>9000</v>
      </c>
      <c r="O1501">
        <v>24</v>
      </c>
      <c r="P1501">
        <v>8</v>
      </c>
      <c r="Q1501">
        <v>0</v>
      </c>
      <c r="R1501">
        <v>119480628</v>
      </c>
      <c r="S1501">
        <v>81923.59</v>
      </c>
      <c r="T1501">
        <v>117464986.61</v>
      </c>
      <c r="U1501">
        <v>118859958.84999999</v>
      </c>
      <c r="V1501">
        <v>0.17782400000000001</v>
      </c>
      <c r="W1501">
        <v>5.2787000000000001E-2</v>
      </c>
      <c r="Y1501" t="s">
        <v>0</v>
      </c>
      <c r="Z1501">
        <v>8250</v>
      </c>
      <c r="AA1501">
        <v>18</v>
      </c>
      <c r="AB1501">
        <v>435</v>
      </c>
      <c r="AC1501">
        <v>0</v>
      </c>
      <c r="AD1501">
        <v>12230000225</v>
      </c>
      <c r="AE1501">
        <v>8958230.8800000008</v>
      </c>
      <c r="AF1501">
        <v>11947743174</v>
      </c>
      <c r="AG1501">
        <v>12169840862.08</v>
      </c>
      <c r="AH1501">
        <v>0.237537</v>
      </c>
      <c r="AI1501">
        <v>4.9097000000000002E-2</v>
      </c>
    </row>
    <row r="1502" spans="1:35" x14ac:dyDescent="0.35">
      <c r="A1502" t="s">
        <v>2</v>
      </c>
      <c r="B1502">
        <v>7500</v>
      </c>
      <c r="C1502">
        <v>18</v>
      </c>
      <c r="D1502">
        <v>177</v>
      </c>
      <c r="E1502">
        <v>0</v>
      </c>
      <c r="F1502">
        <v>2592979535</v>
      </c>
      <c r="G1502">
        <v>2219354.61</v>
      </c>
      <c r="H1502">
        <v>2524940274.9099998</v>
      </c>
      <c r="I1502">
        <v>2547204416.3800001</v>
      </c>
      <c r="J1502">
        <v>0.26548100000000002</v>
      </c>
      <c r="K1502">
        <v>0.18395300000000001</v>
      </c>
      <c r="M1502" t="s">
        <v>2</v>
      </c>
      <c r="N1502">
        <v>8250</v>
      </c>
      <c r="O1502">
        <v>20</v>
      </c>
      <c r="P1502">
        <v>54</v>
      </c>
      <c r="Q1502">
        <v>0</v>
      </c>
      <c r="R1502">
        <v>704493632</v>
      </c>
      <c r="S1502">
        <v>531850.62</v>
      </c>
      <c r="T1502">
        <v>686138375.86000001</v>
      </c>
      <c r="U1502">
        <v>691936224.02999997</v>
      </c>
      <c r="V1502">
        <v>0.26471800000000001</v>
      </c>
      <c r="W1502">
        <v>0.18665999999999999</v>
      </c>
      <c r="Y1502" t="s">
        <v>0</v>
      </c>
      <c r="Z1502">
        <v>8250</v>
      </c>
      <c r="AA1502">
        <v>16</v>
      </c>
      <c r="AB1502">
        <v>330</v>
      </c>
      <c r="AC1502">
        <v>0</v>
      </c>
      <c r="AD1502">
        <v>9729345981</v>
      </c>
      <c r="AE1502">
        <v>7001994.6200000001</v>
      </c>
      <c r="AF1502">
        <v>9528080339</v>
      </c>
      <c r="AG1502">
        <v>9690901832.7399998</v>
      </c>
      <c r="AH1502">
        <v>0.21496399999999999</v>
      </c>
      <c r="AI1502">
        <v>3.8098E-2</v>
      </c>
    </row>
    <row r="1503" spans="1:35" x14ac:dyDescent="0.35">
      <c r="A1503" t="s">
        <v>2</v>
      </c>
      <c r="B1503">
        <v>6750</v>
      </c>
      <c r="C1503">
        <v>16</v>
      </c>
      <c r="D1503">
        <v>975</v>
      </c>
      <c r="E1503">
        <v>0</v>
      </c>
      <c r="F1503">
        <v>17078353303</v>
      </c>
      <c r="G1503">
        <v>16497297.289999999</v>
      </c>
      <c r="H1503">
        <v>16949430745.889999</v>
      </c>
      <c r="I1503">
        <v>17043724385.559999</v>
      </c>
      <c r="J1503">
        <v>7.6197000000000001E-2</v>
      </c>
      <c r="K1503">
        <v>1.2666E-2</v>
      </c>
      <c r="M1503" t="s">
        <v>3</v>
      </c>
      <c r="N1503">
        <v>7250</v>
      </c>
      <c r="O1503">
        <v>16</v>
      </c>
      <c r="P1503">
        <v>23</v>
      </c>
      <c r="Q1503">
        <v>0</v>
      </c>
      <c r="R1503">
        <v>646120361</v>
      </c>
      <c r="S1503">
        <v>570935.68000000005</v>
      </c>
      <c r="T1503">
        <v>642923550.65999997</v>
      </c>
      <c r="U1503">
        <v>645549397.08000004</v>
      </c>
      <c r="V1503">
        <v>4.7692999999999999E-2</v>
      </c>
      <c r="W1503">
        <v>9.9999999999999995E-7</v>
      </c>
      <c r="Y1503" t="s">
        <v>3</v>
      </c>
      <c r="Z1503">
        <v>8000</v>
      </c>
      <c r="AA1503">
        <v>24</v>
      </c>
      <c r="AB1503">
        <v>3</v>
      </c>
      <c r="AC1503">
        <v>0</v>
      </c>
      <c r="AD1503">
        <v>102100787</v>
      </c>
      <c r="AE1503">
        <v>83587.100000000006</v>
      </c>
      <c r="AF1503">
        <v>102016327</v>
      </c>
      <c r="AG1503">
        <v>102016327</v>
      </c>
      <c r="AH1503">
        <v>1.03E-4</v>
      </c>
      <c r="AI1503">
        <v>1.03E-4</v>
      </c>
    </row>
    <row r="1504" spans="1:35" x14ac:dyDescent="0.35">
      <c r="A1504" t="s">
        <v>0</v>
      </c>
      <c r="B1504">
        <v>5000</v>
      </c>
      <c r="C1504">
        <v>18</v>
      </c>
      <c r="D1504">
        <v>3844</v>
      </c>
      <c r="E1504">
        <v>0</v>
      </c>
      <c r="F1504">
        <v>128056033829</v>
      </c>
      <c r="G1504">
        <v>169882246.12</v>
      </c>
      <c r="H1504">
        <v>127598513181.94</v>
      </c>
      <c r="I1504">
        <v>127781207335.72</v>
      </c>
      <c r="J1504">
        <v>2.6623999999999998E-2</v>
      </c>
      <c r="K1504">
        <v>9.7900000000000001E-3</v>
      </c>
      <c r="M1504" t="s">
        <v>3</v>
      </c>
      <c r="N1504">
        <v>7000</v>
      </c>
      <c r="O1504">
        <v>16</v>
      </c>
      <c r="P1504">
        <v>31</v>
      </c>
      <c r="Q1504">
        <v>0</v>
      </c>
      <c r="R1504">
        <v>741817573</v>
      </c>
      <c r="S1504">
        <v>681826.18</v>
      </c>
      <c r="T1504">
        <v>737972401</v>
      </c>
      <c r="U1504">
        <v>741033137.39999998</v>
      </c>
      <c r="V1504">
        <v>4.9988999999999999E-2</v>
      </c>
      <c r="W1504">
        <v>1.6590000000000001E-3</v>
      </c>
      <c r="Y1504" t="s">
        <v>1</v>
      </c>
      <c r="Z1504">
        <v>5750</v>
      </c>
      <c r="AA1504">
        <v>108</v>
      </c>
      <c r="AB1504">
        <v>4</v>
      </c>
      <c r="AC1504">
        <v>0</v>
      </c>
      <c r="AD1504">
        <v>32112580</v>
      </c>
      <c r="AE1504">
        <v>63163.59</v>
      </c>
      <c r="AF1504">
        <v>32044880</v>
      </c>
      <c r="AG1504">
        <v>32044880</v>
      </c>
      <c r="AH1504">
        <v>1.694E-3</v>
      </c>
      <c r="AI1504">
        <v>1.694E-3</v>
      </c>
    </row>
    <row r="1505" spans="1:35" x14ac:dyDescent="0.35">
      <c r="A1505" t="s">
        <v>0</v>
      </c>
      <c r="B1505">
        <v>5000</v>
      </c>
      <c r="C1505">
        <v>9</v>
      </c>
      <c r="D1505">
        <v>2818</v>
      </c>
      <c r="E1505">
        <v>0</v>
      </c>
      <c r="F1505">
        <v>100479260168</v>
      </c>
      <c r="G1505">
        <v>127382284.18000001</v>
      </c>
      <c r="H1505">
        <v>100258027619.44</v>
      </c>
      <c r="I1505">
        <v>100318110307.09</v>
      </c>
      <c r="J1505">
        <v>1.1150999999999999E-2</v>
      </c>
      <c r="K1505">
        <v>4.0249999999999999E-3</v>
      </c>
      <c r="M1505" t="s">
        <v>2</v>
      </c>
      <c r="N1505">
        <v>8500</v>
      </c>
      <c r="O1505">
        <v>20</v>
      </c>
      <c r="P1505">
        <v>1</v>
      </c>
      <c r="Q1505">
        <v>0</v>
      </c>
      <c r="R1505">
        <v>16378261</v>
      </c>
      <c r="S1505">
        <v>11856.83</v>
      </c>
      <c r="T1505">
        <v>16180380.33</v>
      </c>
      <c r="U1505">
        <v>16366296.390000001</v>
      </c>
      <c r="V1505">
        <v>0.12809599999999999</v>
      </c>
      <c r="W1505">
        <v>7.8999999999999996E-5</v>
      </c>
      <c r="Y1505" t="s">
        <v>2</v>
      </c>
      <c r="Z1505">
        <v>8250</v>
      </c>
      <c r="AA1505">
        <v>20</v>
      </c>
      <c r="AB1505">
        <v>5</v>
      </c>
      <c r="AC1505">
        <v>0</v>
      </c>
      <c r="AD1505">
        <v>73089256</v>
      </c>
      <c r="AE1505">
        <v>54133.9</v>
      </c>
      <c r="AF1505">
        <v>73054038</v>
      </c>
      <c r="AG1505">
        <v>73054038</v>
      </c>
      <c r="AH1505">
        <v>-3.1099999999999999E-3</v>
      </c>
      <c r="AI1505">
        <v>-3.1099999999999999E-3</v>
      </c>
    </row>
    <row r="1506" spans="1:35" x14ac:dyDescent="0.35">
      <c r="A1506" t="s">
        <v>0</v>
      </c>
      <c r="B1506">
        <v>4750</v>
      </c>
      <c r="C1506">
        <v>14</v>
      </c>
      <c r="D1506">
        <v>2287</v>
      </c>
      <c r="E1506">
        <v>0</v>
      </c>
      <c r="F1506">
        <v>81704975847</v>
      </c>
      <c r="G1506">
        <v>111065844.95999999</v>
      </c>
      <c r="H1506">
        <v>81320253643.619995</v>
      </c>
      <c r="I1506">
        <v>81549050658.360001</v>
      </c>
      <c r="J1506">
        <v>3.9460000000000002E-2</v>
      </c>
      <c r="K1506">
        <v>6.5690000000000002E-3</v>
      </c>
      <c r="M1506" t="s">
        <v>0</v>
      </c>
      <c r="N1506">
        <v>8500</v>
      </c>
      <c r="O1506">
        <v>18</v>
      </c>
      <c r="P1506">
        <v>19</v>
      </c>
      <c r="Q1506">
        <v>0</v>
      </c>
      <c r="R1506">
        <v>420141238</v>
      </c>
      <c r="S1506">
        <v>297003.99</v>
      </c>
      <c r="T1506">
        <v>413230970.51999998</v>
      </c>
      <c r="U1506">
        <v>418563677.06</v>
      </c>
      <c r="V1506">
        <v>0.17336299999999999</v>
      </c>
      <c r="W1506">
        <v>3.5968E-2</v>
      </c>
      <c r="Y1506" t="s">
        <v>0</v>
      </c>
      <c r="Z1506">
        <v>4750</v>
      </c>
      <c r="AA1506">
        <v>24</v>
      </c>
      <c r="AB1506">
        <v>1732</v>
      </c>
      <c r="AC1506">
        <v>0</v>
      </c>
      <c r="AD1506">
        <v>54750421102</v>
      </c>
      <c r="AE1506">
        <v>77743118.829999998</v>
      </c>
      <c r="AF1506">
        <v>54610238584</v>
      </c>
      <c r="AG1506">
        <v>54669959224.160004</v>
      </c>
      <c r="AH1506">
        <v>1.3599999999999999E-2</v>
      </c>
      <c r="AI1506">
        <v>5.9599999999999996E-4</v>
      </c>
    </row>
    <row r="1507" spans="1:35" x14ac:dyDescent="0.35">
      <c r="A1507" t="s">
        <v>0</v>
      </c>
      <c r="B1507">
        <v>5000</v>
      </c>
      <c r="C1507">
        <v>10</v>
      </c>
      <c r="D1507">
        <v>1883</v>
      </c>
      <c r="E1507">
        <v>0</v>
      </c>
      <c r="F1507">
        <v>67555985698</v>
      </c>
      <c r="G1507">
        <v>86134737.780000001</v>
      </c>
      <c r="H1507">
        <v>67408239873.82</v>
      </c>
      <c r="I1507">
        <v>67451421243.120003</v>
      </c>
      <c r="J1507">
        <v>1.0888999999999999E-2</v>
      </c>
      <c r="K1507">
        <v>3.2690000000000002E-3</v>
      </c>
      <c r="M1507" t="s">
        <v>1</v>
      </c>
      <c r="N1507">
        <v>8250</v>
      </c>
      <c r="O1507">
        <v>18</v>
      </c>
      <c r="P1507">
        <v>82</v>
      </c>
      <c r="Q1507">
        <v>0</v>
      </c>
      <c r="R1507">
        <v>2116765099</v>
      </c>
      <c r="S1507">
        <v>1545078.84</v>
      </c>
      <c r="T1507">
        <v>1944564220.79</v>
      </c>
      <c r="U1507">
        <v>1995784486</v>
      </c>
      <c r="V1507">
        <v>0.635301</v>
      </c>
      <c r="W1507">
        <v>0.50189099999999998</v>
      </c>
      <c r="Y1507" t="s">
        <v>2</v>
      </c>
      <c r="Z1507">
        <v>4750</v>
      </c>
      <c r="AA1507">
        <v>24</v>
      </c>
      <c r="AB1507">
        <v>41</v>
      </c>
      <c r="AC1507">
        <v>0</v>
      </c>
      <c r="AD1507">
        <v>1026304429</v>
      </c>
      <c r="AE1507">
        <v>1466125.12</v>
      </c>
      <c r="AF1507">
        <v>1024815009</v>
      </c>
      <c r="AG1507">
        <v>1024815009</v>
      </c>
      <c r="AH1507">
        <v>2.72E-4</v>
      </c>
      <c r="AI1507">
        <v>2.72E-4</v>
      </c>
    </row>
    <row r="1508" spans="1:35" x14ac:dyDescent="0.35">
      <c r="A1508" t="s">
        <v>1</v>
      </c>
      <c r="B1508">
        <v>7250</v>
      </c>
      <c r="C1508">
        <v>16</v>
      </c>
      <c r="D1508">
        <v>1408</v>
      </c>
      <c r="E1508">
        <v>0</v>
      </c>
      <c r="F1508">
        <v>35458371602</v>
      </c>
      <c r="G1508">
        <v>31324707.579999998</v>
      </c>
      <c r="H1508">
        <v>32741765363.59</v>
      </c>
      <c r="I1508">
        <v>34918537936.519997</v>
      </c>
      <c r="J1508">
        <v>0.61132799999999998</v>
      </c>
      <c r="K1508">
        <v>0.15914700000000001</v>
      </c>
      <c r="M1508" t="s">
        <v>1</v>
      </c>
      <c r="N1508">
        <v>8000</v>
      </c>
      <c r="O1508">
        <v>18</v>
      </c>
      <c r="P1508">
        <v>128</v>
      </c>
      <c r="Q1508">
        <v>0</v>
      </c>
      <c r="R1508">
        <v>3048225152</v>
      </c>
      <c r="S1508">
        <v>2350064.38</v>
      </c>
      <c r="T1508">
        <v>2773636660.4200001</v>
      </c>
      <c r="U1508">
        <v>3000813662.8200002</v>
      </c>
      <c r="V1508">
        <v>0.67457999999999996</v>
      </c>
      <c r="W1508">
        <v>0.163659</v>
      </c>
      <c r="Y1508" t="s">
        <v>1</v>
      </c>
      <c r="Z1508">
        <v>4750</v>
      </c>
      <c r="AA1508">
        <v>24</v>
      </c>
      <c r="AB1508">
        <v>689</v>
      </c>
      <c r="AC1508">
        <v>0</v>
      </c>
      <c r="AD1508">
        <v>23748330733</v>
      </c>
      <c r="AE1508">
        <v>33757902.520000003</v>
      </c>
      <c r="AF1508">
        <v>23668528966</v>
      </c>
      <c r="AG1508">
        <v>23708818958.669998</v>
      </c>
      <c r="AH1508">
        <v>2.3019000000000001E-2</v>
      </c>
      <c r="AI1508">
        <v>2.9039999999999999E-3</v>
      </c>
    </row>
    <row r="1509" spans="1:35" x14ac:dyDescent="0.35">
      <c r="A1509" t="s">
        <v>0</v>
      </c>
      <c r="B1509">
        <v>4500</v>
      </c>
      <c r="C1509">
        <v>24</v>
      </c>
      <c r="D1509">
        <v>1355</v>
      </c>
      <c r="E1509">
        <v>0</v>
      </c>
      <c r="F1509">
        <v>41730667256</v>
      </c>
      <c r="G1509">
        <v>61592145.590000004</v>
      </c>
      <c r="H1509">
        <v>41565720361.629997</v>
      </c>
      <c r="I1509">
        <v>41634121145.959999</v>
      </c>
      <c r="J1509">
        <v>2.9319000000000001E-2</v>
      </c>
      <c r="K1509">
        <v>1.0005E-2</v>
      </c>
      <c r="M1509" t="s">
        <v>0</v>
      </c>
      <c r="N1509">
        <v>8250</v>
      </c>
      <c r="O1509">
        <v>16</v>
      </c>
      <c r="P1509">
        <v>450</v>
      </c>
      <c r="Q1509">
        <v>0</v>
      </c>
      <c r="R1509">
        <v>12618606562</v>
      </c>
      <c r="S1509">
        <v>9103665.9700000007</v>
      </c>
      <c r="T1509">
        <v>12207391261.360001</v>
      </c>
      <c r="U1509">
        <v>12534351466.120001</v>
      </c>
      <c r="V1509">
        <v>0.32201099999999999</v>
      </c>
      <c r="W1509">
        <v>6.9171999999999997E-2</v>
      </c>
      <c r="Y1509" t="s">
        <v>0</v>
      </c>
      <c r="Z1509">
        <v>4750</v>
      </c>
      <c r="AA1509">
        <v>20</v>
      </c>
      <c r="AB1509">
        <v>1231</v>
      </c>
      <c r="AC1509">
        <v>0</v>
      </c>
      <c r="AD1509">
        <v>40330211779</v>
      </c>
      <c r="AE1509">
        <v>56517473.090000004</v>
      </c>
      <c r="AF1509">
        <v>40273235015</v>
      </c>
      <c r="AG1509">
        <v>40273235015</v>
      </c>
      <c r="AH1509">
        <v>1.37E-4</v>
      </c>
      <c r="AI1509">
        <v>1.37E-4</v>
      </c>
    </row>
    <row r="1510" spans="1:35" x14ac:dyDescent="0.35">
      <c r="A1510" t="s">
        <v>1</v>
      </c>
      <c r="B1510">
        <v>4500</v>
      </c>
      <c r="C1510">
        <v>24</v>
      </c>
      <c r="D1510">
        <v>692</v>
      </c>
      <c r="E1510">
        <v>0</v>
      </c>
      <c r="F1510">
        <v>23157498944</v>
      </c>
      <c r="G1510">
        <v>34298249.780000001</v>
      </c>
      <c r="H1510">
        <v>22965773706.43</v>
      </c>
      <c r="I1510">
        <v>23054628286.669998</v>
      </c>
      <c r="J1510">
        <v>7.8594999999999998E-2</v>
      </c>
      <c r="K1510">
        <v>3.4960999999999999E-2</v>
      </c>
      <c r="M1510" t="s">
        <v>0</v>
      </c>
      <c r="N1510">
        <v>8250</v>
      </c>
      <c r="O1510">
        <v>14</v>
      </c>
      <c r="P1510">
        <v>349</v>
      </c>
      <c r="Q1510">
        <v>0</v>
      </c>
      <c r="R1510">
        <v>10192103595</v>
      </c>
      <c r="S1510">
        <v>7224984.6600000001</v>
      </c>
      <c r="T1510">
        <v>9867716823.8099995</v>
      </c>
      <c r="U1510">
        <v>10154699201.559999</v>
      </c>
      <c r="V1510">
        <v>0.31569700000000001</v>
      </c>
      <c r="W1510">
        <v>3.4959999999999998E-2</v>
      </c>
      <c r="Y1510" t="s">
        <v>2</v>
      </c>
      <c r="Z1510">
        <v>5250</v>
      </c>
      <c r="AA1510">
        <v>18</v>
      </c>
      <c r="AB1510">
        <v>40</v>
      </c>
      <c r="AC1510">
        <v>0</v>
      </c>
      <c r="AD1510">
        <v>934175171</v>
      </c>
      <c r="AE1510">
        <v>1187733.93</v>
      </c>
      <c r="AF1510">
        <v>932863681</v>
      </c>
      <c r="AG1510">
        <v>932863681</v>
      </c>
      <c r="AH1510">
        <v>1.5889999999999999E-3</v>
      </c>
      <c r="AI1510">
        <v>1.5889999999999999E-3</v>
      </c>
    </row>
    <row r="1511" spans="1:35" x14ac:dyDescent="0.35">
      <c r="A1511" t="s">
        <v>1</v>
      </c>
      <c r="B1511">
        <v>8250</v>
      </c>
      <c r="C1511">
        <v>20</v>
      </c>
      <c r="D1511">
        <v>63</v>
      </c>
      <c r="E1511">
        <v>0</v>
      </c>
      <c r="F1511">
        <v>1515167903</v>
      </c>
      <c r="G1511">
        <v>1131994.68</v>
      </c>
      <c r="H1511">
        <v>1411960405.0999999</v>
      </c>
      <c r="I1511">
        <v>1453858006.6199999</v>
      </c>
      <c r="J1511">
        <v>0.56696999999999997</v>
      </c>
      <c r="K1511">
        <v>0.38511899999999999</v>
      </c>
      <c r="M1511" t="s">
        <v>3</v>
      </c>
      <c r="N1511">
        <v>6500</v>
      </c>
      <c r="O1511">
        <v>20</v>
      </c>
      <c r="P1511">
        <v>13</v>
      </c>
      <c r="Q1511">
        <v>0</v>
      </c>
      <c r="R1511">
        <v>333630852</v>
      </c>
      <c r="S1511">
        <v>345523.11</v>
      </c>
      <c r="T1511">
        <v>331634170.87</v>
      </c>
      <c r="U1511">
        <v>333270661.04000002</v>
      </c>
      <c r="V1511">
        <v>5.7799000000000003E-2</v>
      </c>
      <c r="W1511">
        <v>5.2700000000000002E-4</v>
      </c>
      <c r="Y1511" t="s">
        <v>1</v>
      </c>
      <c r="Z1511">
        <v>5250</v>
      </c>
      <c r="AA1511">
        <v>18</v>
      </c>
      <c r="AB1511">
        <v>689</v>
      </c>
      <c r="AC1511">
        <v>0</v>
      </c>
      <c r="AD1511">
        <v>25521057817</v>
      </c>
      <c r="AE1511">
        <v>32456456.57</v>
      </c>
      <c r="AF1511">
        <v>25402043756</v>
      </c>
      <c r="AG1511">
        <v>25483651105.150002</v>
      </c>
      <c r="AH1511">
        <v>3.9948999999999998E-2</v>
      </c>
      <c r="AI1511">
        <v>2.3249999999999998E-3</v>
      </c>
    </row>
    <row r="1512" spans="1:35" x14ac:dyDescent="0.35">
      <c r="A1512" t="s">
        <v>3</v>
      </c>
      <c r="B1512">
        <v>7000</v>
      </c>
      <c r="C1512">
        <v>16</v>
      </c>
      <c r="D1512">
        <v>11</v>
      </c>
      <c r="E1512">
        <v>0</v>
      </c>
      <c r="F1512">
        <v>235771420</v>
      </c>
      <c r="G1512">
        <v>217285.02</v>
      </c>
      <c r="H1512">
        <v>234031303.78</v>
      </c>
      <c r="I1512">
        <v>235554131.13</v>
      </c>
      <c r="J1512">
        <v>7.4812000000000003E-2</v>
      </c>
      <c r="K1512">
        <v>0</v>
      </c>
      <c r="M1512" t="s">
        <v>3</v>
      </c>
      <c r="N1512">
        <v>7000</v>
      </c>
      <c r="O1512">
        <v>20</v>
      </c>
      <c r="P1512">
        <v>9</v>
      </c>
      <c r="Q1512">
        <v>0</v>
      </c>
      <c r="R1512">
        <v>227932685</v>
      </c>
      <c r="S1512">
        <v>216600.28</v>
      </c>
      <c r="T1512">
        <v>226619548.58000001</v>
      </c>
      <c r="U1512">
        <v>227716078.90000001</v>
      </c>
      <c r="V1512">
        <v>5.6225999999999998E-2</v>
      </c>
      <c r="W1512">
        <v>0</v>
      </c>
      <c r="Y1512" t="s">
        <v>2</v>
      </c>
      <c r="Z1512">
        <v>5250</v>
      </c>
      <c r="AA1512">
        <v>16</v>
      </c>
      <c r="AB1512">
        <v>62</v>
      </c>
      <c r="AC1512">
        <v>0</v>
      </c>
      <c r="AD1512">
        <v>1469037376</v>
      </c>
      <c r="AE1512">
        <v>1846459</v>
      </c>
      <c r="AF1512">
        <v>1467136370</v>
      </c>
      <c r="AG1512">
        <v>1467136370</v>
      </c>
      <c r="AH1512">
        <v>4.4499999999999997E-4</v>
      </c>
      <c r="AI1512">
        <v>4.4499999999999997E-4</v>
      </c>
    </row>
    <row r="1513" spans="1:35" x14ac:dyDescent="0.35">
      <c r="A1513" t="s">
        <v>2</v>
      </c>
      <c r="B1513">
        <v>7250</v>
      </c>
      <c r="C1513">
        <v>16</v>
      </c>
      <c r="D1513">
        <v>412</v>
      </c>
      <c r="E1513">
        <v>0</v>
      </c>
      <c r="F1513">
        <v>6327563986</v>
      </c>
      <c r="G1513">
        <v>5565229.9800000004</v>
      </c>
      <c r="H1513">
        <v>6248013182.79</v>
      </c>
      <c r="I1513">
        <v>6302294041.1400003</v>
      </c>
      <c r="J1513">
        <v>0.13163</v>
      </c>
      <c r="K1513">
        <v>3.6735999999999998E-2</v>
      </c>
      <c r="M1513" t="s">
        <v>3</v>
      </c>
      <c r="N1513">
        <v>8000</v>
      </c>
      <c r="O1513">
        <v>24</v>
      </c>
      <c r="P1513">
        <v>3</v>
      </c>
      <c r="Q1513">
        <v>0</v>
      </c>
      <c r="R1513">
        <v>102287353</v>
      </c>
      <c r="S1513">
        <v>82517.710000000006</v>
      </c>
      <c r="T1513">
        <v>101624343.36</v>
      </c>
      <c r="U1513">
        <v>102204827.41</v>
      </c>
      <c r="V1513">
        <v>6.6015000000000004E-2</v>
      </c>
      <c r="W1513">
        <v>9.9999999999999995E-7</v>
      </c>
      <c r="Y1513" t="s">
        <v>1</v>
      </c>
      <c r="Z1513">
        <v>7250</v>
      </c>
      <c r="AA1513">
        <v>16</v>
      </c>
      <c r="AB1513">
        <v>2643</v>
      </c>
      <c r="AC1513">
        <v>0</v>
      </c>
      <c r="AD1513">
        <v>70626903550</v>
      </c>
      <c r="AE1513">
        <v>62269636.100000001</v>
      </c>
      <c r="AF1513">
        <v>65904959527</v>
      </c>
      <c r="AG1513">
        <v>69613891847.619995</v>
      </c>
      <c r="AH1513">
        <v>0.55914399999999997</v>
      </c>
      <c r="AI1513">
        <v>0.15009800000000001</v>
      </c>
    </row>
    <row r="1514" spans="1:35" x14ac:dyDescent="0.35">
      <c r="A1514" t="s">
        <v>3</v>
      </c>
      <c r="B1514">
        <v>7000</v>
      </c>
      <c r="C1514">
        <v>18</v>
      </c>
      <c r="D1514">
        <v>30</v>
      </c>
      <c r="E1514">
        <v>0</v>
      </c>
      <c r="F1514">
        <v>741171306</v>
      </c>
      <c r="G1514">
        <v>690191.98</v>
      </c>
      <c r="H1514">
        <v>735116314.03999996</v>
      </c>
      <c r="I1514">
        <v>739875704.88</v>
      </c>
      <c r="J1514">
        <v>8.3483000000000002E-2</v>
      </c>
      <c r="K1514">
        <v>9.7579999999999993E-3</v>
      </c>
      <c r="M1514" t="s">
        <v>1</v>
      </c>
      <c r="N1514">
        <v>8250</v>
      </c>
      <c r="O1514">
        <v>20</v>
      </c>
      <c r="P1514">
        <v>56</v>
      </c>
      <c r="Q1514">
        <v>0</v>
      </c>
      <c r="R1514">
        <v>1189267787</v>
      </c>
      <c r="S1514">
        <v>891205.28</v>
      </c>
      <c r="T1514">
        <v>1109878325.9200001</v>
      </c>
      <c r="U1514">
        <v>1141582931.25</v>
      </c>
      <c r="V1514">
        <v>0.55931200000000003</v>
      </c>
      <c r="W1514">
        <v>0.38226700000000002</v>
      </c>
      <c r="Y1514" t="s">
        <v>2</v>
      </c>
      <c r="Z1514">
        <v>7750</v>
      </c>
      <c r="AA1514">
        <v>16</v>
      </c>
      <c r="AB1514">
        <v>194</v>
      </c>
      <c r="AC1514">
        <v>0</v>
      </c>
      <c r="AD1514">
        <v>2471766292</v>
      </c>
      <c r="AE1514">
        <v>1989149.06</v>
      </c>
      <c r="AF1514">
        <v>2376629014</v>
      </c>
      <c r="AG1514">
        <v>2392895094.4499998</v>
      </c>
      <c r="AH1514">
        <v>0.36932199999999998</v>
      </c>
      <c r="AI1514">
        <v>0.31557600000000002</v>
      </c>
    </row>
    <row r="1515" spans="1:35" x14ac:dyDescent="0.35">
      <c r="A1515" t="s">
        <v>2</v>
      </c>
      <c r="B1515">
        <v>8250</v>
      </c>
      <c r="C1515">
        <v>20</v>
      </c>
      <c r="D1515">
        <v>5</v>
      </c>
      <c r="E1515">
        <v>0</v>
      </c>
      <c r="F1515">
        <v>60796841</v>
      </c>
      <c r="G1515">
        <v>44941.9</v>
      </c>
      <c r="H1515">
        <v>58718986.43</v>
      </c>
      <c r="I1515">
        <v>59121357.600000001</v>
      </c>
      <c r="J1515">
        <v>0.33509800000000001</v>
      </c>
      <c r="K1515">
        <v>0.27836</v>
      </c>
      <c r="M1515" t="s">
        <v>2</v>
      </c>
      <c r="N1515">
        <v>8000</v>
      </c>
      <c r="O1515">
        <v>20</v>
      </c>
      <c r="P1515">
        <v>40</v>
      </c>
      <c r="Q1515">
        <v>0</v>
      </c>
      <c r="R1515">
        <v>543882642</v>
      </c>
      <c r="S1515">
        <v>422819.19</v>
      </c>
      <c r="T1515">
        <v>529988883.33999997</v>
      </c>
      <c r="U1515">
        <v>534376183.69999999</v>
      </c>
      <c r="V1515">
        <v>0.25989299999999999</v>
      </c>
      <c r="W1515">
        <v>0.18299499999999999</v>
      </c>
      <c r="Y1515" t="s">
        <v>1</v>
      </c>
      <c r="Z1515">
        <v>7500</v>
      </c>
      <c r="AA1515">
        <v>16</v>
      </c>
      <c r="AB1515">
        <v>305</v>
      </c>
      <c r="AC1515">
        <v>0</v>
      </c>
      <c r="AD1515">
        <v>8075895744</v>
      </c>
      <c r="AE1515">
        <v>6796293.5999999996</v>
      </c>
      <c r="AF1515">
        <v>7377897346</v>
      </c>
      <c r="AG1515">
        <v>7729597703.5200005</v>
      </c>
      <c r="AH1515">
        <v>0.65825599999999995</v>
      </c>
      <c r="AI1515">
        <v>0.402725</v>
      </c>
    </row>
    <row r="1516" spans="1:35" x14ac:dyDescent="0.35">
      <c r="A1516" t="s">
        <v>2</v>
      </c>
      <c r="B1516">
        <v>8000</v>
      </c>
      <c r="C1516">
        <v>20</v>
      </c>
      <c r="D1516">
        <v>3</v>
      </c>
      <c r="E1516">
        <v>0</v>
      </c>
      <c r="F1516">
        <v>45905612</v>
      </c>
      <c r="G1516">
        <v>35547.660000000003</v>
      </c>
      <c r="H1516">
        <v>43974467.850000001</v>
      </c>
      <c r="I1516">
        <v>44399676.460000001</v>
      </c>
      <c r="J1516">
        <v>0.397123</v>
      </c>
      <c r="K1516">
        <v>0.32338899999999998</v>
      </c>
      <c r="M1516" t="s">
        <v>2</v>
      </c>
      <c r="N1516">
        <v>8250</v>
      </c>
      <c r="O1516">
        <v>18</v>
      </c>
      <c r="P1516">
        <v>5</v>
      </c>
      <c r="Q1516">
        <v>0</v>
      </c>
      <c r="R1516">
        <v>73200964</v>
      </c>
      <c r="S1516">
        <v>53400.52</v>
      </c>
      <c r="T1516">
        <v>72308778.340000004</v>
      </c>
      <c r="U1516">
        <v>73051692.849999994</v>
      </c>
      <c r="V1516">
        <v>0.129161</v>
      </c>
      <c r="W1516">
        <v>1.5604E-2</v>
      </c>
      <c r="Y1516" t="s">
        <v>2</v>
      </c>
      <c r="Z1516">
        <v>7500</v>
      </c>
      <c r="AA1516">
        <v>18</v>
      </c>
      <c r="AB1516">
        <v>167</v>
      </c>
      <c r="AC1516">
        <v>0</v>
      </c>
      <c r="AD1516">
        <v>2555651621</v>
      </c>
      <c r="AE1516">
        <v>2175564.29</v>
      </c>
      <c r="AF1516">
        <v>2528519046</v>
      </c>
      <c r="AG1516">
        <v>2528519046</v>
      </c>
      <c r="AH1516">
        <v>0.111091</v>
      </c>
      <c r="AI1516">
        <v>0.111091</v>
      </c>
    </row>
    <row r="1517" spans="1:35" x14ac:dyDescent="0.35">
      <c r="A1517" t="s">
        <v>1</v>
      </c>
      <c r="B1517">
        <v>8250</v>
      </c>
      <c r="C1517">
        <v>18</v>
      </c>
      <c r="D1517">
        <v>73</v>
      </c>
      <c r="E1517">
        <v>0</v>
      </c>
      <c r="F1517">
        <v>2052810904</v>
      </c>
      <c r="G1517">
        <v>1496164.19</v>
      </c>
      <c r="H1517">
        <v>1899748963.45</v>
      </c>
      <c r="I1517">
        <v>1970481629.71</v>
      </c>
      <c r="J1517">
        <v>0.60164499999999999</v>
      </c>
      <c r="K1517">
        <v>0.38250000000000001</v>
      </c>
      <c r="M1517" t="s">
        <v>0</v>
      </c>
      <c r="N1517">
        <v>4750</v>
      </c>
      <c r="O1517">
        <v>20</v>
      </c>
      <c r="P1517">
        <v>1228</v>
      </c>
      <c r="Q1517">
        <v>0</v>
      </c>
      <c r="R1517">
        <v>39268200636</v>
      </c>
      <c r="S1517">
        <v>55001171.090000004</v>
      </c>
      <c r="T1517">
        <v>39158548579.93</v>
      </c>
      <c r="U1517">
        <v>39197764982.269997</v>
      </c>
      <c r="V1517">
        <v>1.6573999999999998E-2</v>
      </c>
      <c r="W1517">
        <v>4.7060000000000001E-3</v>
      </c>
      <c r="Y1517" t="s">
        <v>0</v>
      </c>
      <c r="Z1517">
        <v>5000</v>
      </c>
      <c r="AA1517">
        <v>18</v>
      </c>
      <c r="AB1517">
        <v>3550</v>
      </c>
      <c r="AC1517">
        <v>0</v>
      </c>
      <c r="AD1517">
        <v>117006870294</v>
      </c>
      <c r="AE1517">
        <v>155319151.49000001</v>
      </c>
      <c r="AF1517">
        <v>116809034647</v>
      </c>
      <c r="AG1517">
        <v>116843064101.53</v>
      </c>
      <c r="AH1517">
        <v>4.352E-3</v>
      </c>
      <c r="AI1517">
        <v>8.7000000000000001E-4</v>
      </c>
    </row>
    <row r="1518" spans="1:35" x14ac:dyDescent="0.35">
      <c r="A1518" t="s">
        <v>3</v>
      </c>
      <c r="B1518">
        <v>6500</v>
      </c>
      <c r="C1518">
        <v>18</v>
      </c>
      <c r="D1518">
        <v>22</v>
      </c>
      <c r="E1518">
        <v>0</v>
      </c>
      <c r="F1518">
        <v>531666574</v>
      </c>
      <c r="G1518">
        <v>540505</v>
      </c>
      <c r="H1518">
        <v>527525030.87</v>
      </c>
      <c r="I1518">
        <v>531126059.69</v>
      </c>
      <c r="J1518">
        <v>7.8316999999999998E-2</v>
      </c>
      <c r="K1518">
        <v>0</v>
      </c>
      <c r="M1518" t="s">
        <v>2</v>
      </c>
      <c r="N1518">
        <v>4750</v>
      </c>
      <c r="O1518">
        <v>20</v>
      </c>
      <c r="P1518">
        <v>28</v>
      </c>
      <c r="Q1518">
        <v>0</v>
      </c>
      <c r="R1518">
        <v>695210617</v>
      </c>
      <c r="S1518">
        <v>977164.09</v>
      </c>
      <c r="T1518">
        <v>691672296.98000002</v>
      </c>
      <c r="U1518">
        <v>692628365.14999998</v>
      </c>
      <c r="V1518">
        <v>4.3323E-2</v>
      </c>
      <c r="W1518">
        <v>2.7355999999999998E-2</v>
      </c>
      <c r="Y1518" t="s">
        <v>0</v>
      </c>
      <c r="Z1518">
        <v>5000</v>
      </c>
      <c r="AA1518">
        <v>8</v>
      </c>
      <c r="AB1518">
        <v>2824</v>
      </c>
      <c r="AC1518">
        <v>0</v>
      </c>
      <c r="AD1518">
        <v>100853646123</v>
      </c>
      <c r="AE1518">
        <v>127167798.05</v>
      </c>
      <c r="AF1518">
        <v>100640160168</v>
      </c>
      <c r="AG1518">
        <v>100707312926.89</v>
      </c>
      <c r="AH1518">
        <v>1.0222E-2</v>
      </c>
      <c r="AI1518">
        <v>2.2780000000000001E-3</v>
      </c>
    </row>
    <row r="1519" spans="1:35" x14ac:dyDescent="0.35">
      <c r="A1519" t="s">
        <v>3</v>
      </c>
      <c r="B1519">
        <v>7250</v>
      </c>
      <c r="C1519">
        <v>18</v>
      </c>
      <c r="D1519">
        <v>14</v>
      </c>
      <c r="E1519">
        <v>0</v>
      </c>
      <c r="F1519">
        <v>391658164</v>
      </c>
      <c r="G1519">
        <v>350955.84</v>
      </c>
      <c r="H1519">
        <v>389873616.16000003</v>
      </c>
      <c r="I1519">
        <v>391306986.74000001</v>
      </c>
      <c r="J1519">
        <v>4.3049999999999998E-2</v>
      </c>
      <c r="K1519">
        <v>6.9999999999999999E-6</v>
      </c>
      <c r="M1519" t="s">
        <v>1</v>
      </c>
      <c r="N1519">
        <v>4750</v>
      </c>
      <c r="O1519">
        <v>20</v>
      </c>
      <c r="P1519">
        <v>498</v>
      </c>
      <c r="Q1519">
        <v>0</v>
      </c>
      <c r="R1519">
        <v>17394802099</v>
      </c>
      <c r="S1519">
        <v>24366949.84</v>
      </c>
      <c r="T1519">
        <v>17241679991.68</v>
      </c>
      <c r="U1519">
        <v>17295016653.650002</v>
      </c>
      <c r="V1519">
        <v>8.5294999999999996E-2</v>
      </c>
      <c r="W1519">
        <v>5.0805000000000003E-2</v>
      </c>
      <c r="Y1519" t="s">
        <v>0</v>
      </c>
      <c r="Z1519">
        <v>5000</v>
      </c>
      <c r="AA1519">
        <v>10</v>
      </c>
      <c r="AB1519">
        <v>1605</v>
      </c>
      <c r="AC1519">
        <v>0</v>
      </c>
      <c r="AD1519">
        <v>57509701891</v>
      </c>
      <c r="AE1519">
        <v>73464265.290000007</v>
      </c>
      <c r="AF1519">
        <v>57393120284</v>
      </c>
      <c r="AG1519">
        <v>57432348048.279999</v>
      </c>
      <c r="AH1519">
        <v>8.9599999999999992E-3</v>
      </c>
      <c r="AI1519">
        <v>8.1099999999999998E-4</v>
      </c>
    </row>
    <row r="1520" spans="1:35" x14ac:dyDescent="0.35">
      <c r="A1520" t="s">
        <v>2</v>
      </c>
      <c r="B1520">
        <v>7500</v>
      </c>
      <c r="C1520">
        <v>16</v>
      </c>
      <c r="D1520">
        <v>156</v>
      </c>
      <c r="E1520">
        <v>0</v>
      </c>
      <c r="F1520">
        <v>2381364580</v>
      </c>
      <c r="G1520">
        <v>1988496.71</v>
      </c>
      <c r="H1520">
        <v>2286668847.8899999</v>
      </c>
      <c r="I1520">
        <v>2309675093.3899999</v>
      </c>
      <c r="J1520">
        <v>0.37904700000000002</v>
      </c>
      <c r="K1520">
        <v>0.29986000000000002</v>
      </c>
      <c r="M1520" t="s">
        <v>0</v>
      </c>
      <c r="N1520">
        <v>4750</v>
      </c>
      <c r="O1520">
        <v>18</v>
      </c>
      <c r="P1520">
        <v>1231</v>
      </c>
      <c r="Q1520">
        <v>0</v>
      </c>
      <c r="R1520">
        <v>40440578657</v>
      </c>
      <c r="S1520">
        <v>56072162.490000002</v>
      </c>
      <c r="T1520">
        <v>40319273035.980003</v>
      </c>
      <c r="U1520">
        <v>40357390418.949997</v>
      </c>
      <c r="V1520">
        <v>1.9186000000000002E-2</v>
      </c>
      <c r="W1520">
        <v>8.0169999999999998E-3</v>
      </c>
      <c r="Y1520" t="s">
        <v>0</v>
      </c>
      <c r="Z1520">
        <v>5000</v>
      </c>
      <c r="AA1520">
        <v>9</v>
      </c>
      <c r="AB1520">
        <v>1883</v>
      </c>
      <c r="AC1520">
        <v>0</v>
      </c>
      <c r="AD1520">
        <v>67653939587</v>
      </c>
      <c r="AE1520">
        <v>85794921.010000005</v>
      </c>
      <c r="AF1520">
        <v>67555985698</v>
      </c>
      <c r="AG1520">
        <v>67555985698</v>
      </c>
      <c r="AH1520">
        <v>2.1549999999999998E-3</v>
      </c>
      <c r="AI1520">
        <v>2.1549999999999998E-3</v>
      </c>
    </row>
    <row r="1521" spans="1:35" x14ac:dyDescent="0.35">
      <c r="A1521" t="s">
        <v>1</v>
      </c>
      <c r="B1521">
        <v>7750</v>
      </c>
      <c r="C1521">
        <v>16</v>
      </c>
      <c r="D1521">
        <v>233</v>
      </c>
      <c r="E1521">
        <v>0</v>
      </c>
      <c r="F1521">
        <v>5606684289</v>
      </c>
      <c r="G1521">
        <v>4474993.01</v>
      </c>
      <c r="H1521">
        <v>5164951575.1599998</v>
      </c>
      <c r="I1521">
        <v>5480658101.7299995</v>
      </c>
      <c r="J1521">
        <v>0.62257099999999999</v>
      </c>
      <c r="K1521">
        <v>0.23127200000000001</v>
      </c>
      <c r="M1521" t="s">
        <v>2</v>
      </c>
      <c r="N1521">
        <v>5250</v>
      </c>
      <c r="O1521">
        <v>16</v>
      </c>
      <c r="P1521">
        <v>41</v>
      </c>
      <c r="Q1521">
        <v>0</v>
      </c>
      <c r="R1521">
        <v>943598482</v>
      </c>
      <c r="S1521">
        <v>1186514.74</v>
      </c>
      <c r="T1521">
        <v>940516340.90999997</v>
      </c>
      <c r="U1521">
        <v>942249802.96000004</v>
      </c>
      <c r="V1521">
        <v>2.3843E-2</v>
      </c>
      <c r="W1521">
        <v>2.0600000000000002E-3</v>
      </c>
      <c r="Y1521" t="s">
        <v>3</v>
      </c>
      <c r="Z1521">
        <v>7750</v>
      </c>
      <c r="AA1521">
        <v>20</v>
      </c>
      <c r="AB1521">
        <v>6</v>
      </c>
      <c r="AC1521">
        <v>0</v>
      </c>
      <c r="AD1521">
        <v>138405072</v>
      </c>
      <c r="AE1521">
        <v>115119.94</v>
      </c>
      <c r="AF1521">
        <v>138306565</v>
      </c>
      <c r="AG1521">
        <v>138306565</v>
      </c>
      <c r="AH1521">
        <v>-1.441E-3</v>
      </c>
      <c r="AI1521">
        <v>-1.441E-3</v>
      </c>
    </row>
    <row r="1522" spans="1:35" x14ac:dyDescent="0.35">
      <c r="A1522" t="s">
        <v>1</v>
      </c>
      <c r="B1522">
        <v>5000</v>
      </c>
      <c r="C1522">
        <v>18</v>
      </c>
      <c r="D1522">
        <v>1381</v>
      </c>
      <c r="E1522">
        <v>0</v>
      </c>
      <c r="F1522">
        <v>48976486889</v>
      </c>
      <c r="G1522">
        <v>65057608.18</v>
      </c>
      <c r="H1522">
        <v>48666448847.480003</v>
      </c>
      <c r="I1522">
        <v>48833615411.269997</v>
      </c>
      <c r="J1522">
        <v>5.8400000000000001E-2</v>
      </c>
      <c r="K1522">
        <v>1.89E-2</v>
      </c>
      <c r="M1522" t="s">
        <v>1</v>
      </c>
      <c r="N1522">
        <v>5250</v>
      </c>
      <c r="O1522">
        <v>16</v>
      </c>
      <c r="P1522">
        <v>693</v>
      </c>
      <c r="Q1522">
        <v>0</v>
      </c>
      <c r="R1522">
        <v>25740148453</v>
      </c>
      <c r="S1522">
        <v>32383985.699999999</v>
      </c>
      <c r="T1522">
        <v>25545055512.110001</v>
      </c>
      <c r="U1522">
        <v>25663937641.349998</v>
      </c>
      <c r="V1522">
        <v>7.3272000000000004E-2</v>
      </c>
      <c r="W1522">
        <v>2.0242E-2</v>
      </c>
      <c r="Y1522" t="s">
        <v>1</v>
      </c>
      <c r="Z1522">
        <v>7250</v>
      </c>
      <c r="AA1522">
        <v>14</v>
      </c>
      <c r="AB1522">
        <v>669</v>
      </c>
      <c r="AC1522">
        <v>0</v>
      </c>
      <c r="AD1522">
        <v>17003500220</v>
      </c>
      <c r="AE1522">
        <v>14786498.529999999</v>
      </c>
      <c r="AF1522">
        <v>15624662244</v>
      </c>
      <c r="AG1522">
        <v>16514956280.93</v>
      </c>
      <c r="AH1522">
        <v>0.63339599999999996</v>
      </c>
      <c r="AI1522">
        <v>0.28758499999999998</v>
      </c>
    </row>
    <row r="1523" spans="1:35" x14ac:dyDescent="0.35">
      <c r="A1523" t="s">
        <v>0</v>
      </c>
      <c r="B1523">
        <v>9000</v>
      </c>
      <c r="C1523">
        <v>20</v>
      </c>
      <c r="D1523">
        <v>45</v>
      </c>
      <c r="E1523">
        <v>0</v>
      </c>
      <c r="F1523">
        <v>1181454717</v>
      </c>
      <c r="G1523">
        <v>795891.58</v>
      </c>
      <c r="H1523">
        <v>1148334434.1900001</v>
      </c>
      <c r="I1523">
        <v>1169739579.9300001</v>
      </c>
      <c r="J1523">
        <v>0.28315299999999999</v>
      </c>
      <c r="K1523">
        <v>0.105439</v>
      </c>
      <c r="M1523" t="s">
        <v>2</v>
      </c>
      <c r="N1523">
        <v>5250</v>
      </c>
      <c r="O1523">
        <v>14</v>
      </c>
      <c r="P1523">
        <v>63</v>
      </c>
      <c r="Q1523">
        <v>0</v>
      </c>
      <c r="R1523">
        <v>1503958981</v>
      </c>
      <c r="S1523">
        <v>1869217.94</v>
      </c>
      <c r="T1523">
        <v>1499648470.1199999</v>
      </c>
      <c r="U1523">
        <v>1501879587.73</v>
      </c>
      <c r="V1523">
        <v>1.9306E-2</v>
      </c>
      <c r="W1523">
        <v>1.676E-3</v>
      </c>
      <c r="Y1523" t="s">
        <v>0</v>
      </c>
      <c r="Z1523">
        <v>4500</v>
      </c>
      <c r="AA1523">
        <v>24</v>
      </c>
      <c r="AB1523">
        <v>986</v>
      </c>
      <c r="AC1523">
        <v>0</v>
      </c>
      <c r="AD1523">
        <v>30362434565</v>
      </c>
      <c r="AE1523">
        <v>44849094.590000004</v>
      </c>
      <c r="AF1523">
        <v>30245097747</v>
      </c>
      <c r="AG1523">
        <v>30316444384.049999</v>
      </c>
      <c r="AH1523">
        <v>2.8275999999999999E-2</v>
      </c>
      <c r="AI1523">
        <v>4.5100000000000001E-4</v>
      </c>
    </row>
    <row r="1524" spans="1:35" x14ac:dyDescent="0.35">
      <c r="A1524" t="s">
        <v>3</v>
      </c>
      <c r="B1524">
        <v>6000</v>
      </c>
      <c r="C1524">
        <v>20</v>
      </c>
      <c r="D1524">
        <v>9</v>
      </c>
      <c r="E1524">
        <v>0</v>
      </c>
      <c r="F1524">
        <v>236301559</v>
      </c>
      <c r="G1524">
        <v>267505.56</v>
      </c>
      <c r="H1524">
        <v>234542780.5</v>
      </c>
      <c r="I1524">
        <v>236034050.28999999</v>
      </c>
      <c r="J1524">
        <v>7.3157E-2</v>
      </c>
      <c r="K1524">
        <v>0</v>
      </c>
      <c r="M1524" t="s">
        <v>1</v>
      </c>
      <c r="N1524">
        <v>7250</v>
      </c>
      <c r="O1524">
        <v>14</v>
      </c>
      <c r="P1524">
        <v>3085</v>
      </c>
      <c r="Q1524">
        <v>0</v>
      </c>
      <c r="R1524">
        <v>84613241027</v>
      </c>
      <c r="S1524">
        <v>73570626.420000002</v>
      </c>
      <c r="T1524">
        <v>76905002776.360001</v>
      </c>
      <c r="U1524">
        <v>83662830852.380005</v>
      </c>
      <c r="V1524">
        <v>0.67850200000000005</v>
      </c>
      <c r="W1524">
        <v>0.117506</v>
      </c>
      <c r="Y1524" t="s">
        <v>0</v>
      </c>
      <c r="Z1524">
        <v>4500</v>
      </c>
      <c r="AA1524">
        <v>20</v>
      </c>
      <c r="AB1524">
        <v>796</v>
      </c>
      <c r="AC1524">
        <v>0</v>
      </c>
      <c r="AD1524">
        <v>24312550081</v>
      </c>
      <c r="AE1524">
        <v>35493389.420000002</v>
      </c>
      <c r="AF1524">
        <v>24235928287</v>
      </c>
      <c r="AG1524">
        <v>24275745115.57</v>
      </c>
      <c r="AH1524">
        <v>2.0112000000000001E-2</v>
      </c>
      <c r="AI1524">
        <v>6.4700000000000001E-4</v>
      </c>
    </row>
    <row r="1525" spans="1:35" x14ac:dyDescent="0.35">
      <c r="A1525" t="s">
        <v>3</v>
      </c>
      <c r="B1525">
        <v>5750</v>
      </c>
      <c r="C1525">
        <v>20</v>
      </c>
      <c r="D1525">
        <v>6</v>
      </c>
      <c r="E1525">
        <v>0</v>
      </c>
      <c r="F1525">
        <v>146222499</v>
      </c>
      <c r="G1525">
        <v>172873.7</v>
      </c>
      <c r="H1525">
        <v>145391031.31</v>
      </c>
      <c r="I1525">
        <v>146049624.31999999</v>
      </c>
      <c r="J1525">
        <v>5.2729999999999999E-2</v>
      </c>
      <c r="K1525">
        <v>0</v>
      </c>
      <c r="M1525" t="s">
        <v>2</v>
      </c>
      <c r="N1525">
        <v>7750</v>
      </c>
      <c r="O1525">
        <v>14</v>
      </c>
      <c r="P1525">
        <v>204</v>
      </c>
      <c r="Q1525">
        <v>0</v>
      </c>
      <c r="R1525">
        <v>2634094455</v>
      </c>
      <c r="S1525">
        <v>2098944.86</v>
      </c>
      <c r="T1525">
        <v>2573897140.3899999</v>
      </c>
      <c r="U1525">
        <v>2593018994.5900002</v>
      </c>
      <c r="V1525">
        <v>0.234815</v>
      </c>
      <c r="W1525">
        <v>0.163802</v>
      </c>
      <c r="Y1525" t="s">
        <v>1</v>
      </c>
      <c r="Z1525">
        <v>4500</v>
      </c>
      <c r="AA1525">
        <v>20</v>
      </c>
      <c r="AB1525">
        <v>383</v>
      </c>
      <c r="AC1525">
        <v>0</v>
      </c>
      <c r="AD1525">
        <v>12763257901</v>
      </c>
      <c r="AE1525">
        <v>18692356.079999998</v>
      </c>
      <c r="AF1525">
        <v>12743418909</v>
      </c>
      <c r="AG1525">
        <v>12743418909</v>
      </c>
      <c r="AH1525">
        <v>1.078E-3</v>
      </c>
      <c r="AI1525">
        <v>1.078E-3</v>
      </c>
    </row>
    <row r="1526" spans="1:35" x14ac:dyDescent="0.35">
      <c r="A1526" t="s">
        <v>3</v>
      </c>
      <c r="B1526">
        <v>7750</v>
      </c>
      <c r="C1526">
        <v>20</v>
      </c>
      <c r="D1526">
        <v>4</v>
      </c>
      <c r="E1526">
        <v>0</v>
      </c>
      <c r="F1526">
        <v>92228815</v>
      </c>
      <c r="G1526">
        <v>76442.350000000006</v>
      </c>
      <c r="H1526">
        <v>91652344.879999995</v>
      </c>
      <c r="I1526">
        <v>92152370.560000002</v>
      </c>
      <c r="J1526">
        <v>6.3154000000000002E-2</v>
      </c>
      <c r="K1526">
        <v>0</v>
      </c>
      <c r="M1526" t="s">
        <v>3</v>
      </c>
      <c r="N1526">
        <v>7500</v>
      </c>
      <c r="O1526">
        <v>20</v>
      </c>
      <c r="P1526">
        <v>1</v>
      </c>
      <c r="Q1526">
        <v>0</v>
      </c>
      <c r="R1526">
        <v>26490717</v>
      </c>
      <c r="S1526">
        <v>22997.42</v>
      </c>
      <c r="T1526">
        <v>26400425.48</v>
      </c>
      <c r="U1526">
        <v>26467717.489999998</v>
      </c>
      <c r="V1526">
        <v>3.0061000000000001E-2</v>
      </c>
      <c r="W1526">
        <v>9.9999999999999995E-7</v>
      </c>
      <c r="Y1526" t="s">
        <v>1</v>
      </c>
      <c r="Z1526">
        <v>8250</v>
      </c>
      <c r="AA1526">
        <v>18</v>
      </c>
      <c r="AB1526">
        <v>47</v>
      </c>
      <c r="AC1526">
        <v>0</v>
      </c>
      <c r="AD1526">
        <v>1200509819</v>
      </c>
      <c r="AE1526">
        <v>881439.44</v>
      </c>
      <c r="AF1526">
        <v>1106138059</v>
      </c>
      <c r="AG1526">
        <v>1123896167.6500001</v>
      </c>
      <c r="AH1526">
        <v>0.62201499999999998</v>
      </c>
      <c r="AI1526">
        <v>0.54247900000000004</v>
      </c>
    </row>
    <row r="1527" spans="1:35" x14ac:dyDescent="0.35">
      <c r="A1527" t="s">
        <v>3</v>
      </c>
      <c r="B1527">
        <v>7500</v>
      </c>
      <c r="C1527">
        <v>20</v>
      </c>
      <c r="D1527">
        <v>3</v>
      </c>
      <c r="E1527">
        <v>0</v>
      </c>
      <c r="F1527">
        <v>54914510</v>
      </c>
      <c r="G1527">
        <v>47416.71</v>
      </c>
      <c r="H1527">
        <v>54409733.409999996</v>
      </c>
      <c r="I1527">
        <v>54867092.369999997</v>
      </c>
      <c r="J1527">
        <v>9.5490000000000005E-2</v>
      </c>
      <c r="K1527">
        <v>0</v>
      </c>
      <c r="M1527" t="s">
        <v>3</v>
      </c>
      <c r="N1527">
        <v>7750</v>
      </c>
      <c r="O1527">
        <v>20</v>
      </c>
      <c r="P1527">
        <v>2</v>
      </c>
      <c r="Q1527">
        <v>0</v>
      </c>
      <c r="R1527">
        <v>106529377</v>
      </c>
      <c r="S1527">
        <v>88667.17</v>
      </c>
      <c r="T1527">
        <v>106199040.79000001</v>
      </c>
      <c r="U1527">
        <v>106440671.53</v>
      </c>
      <c r="V1527">
        <v>2.6886E-2</v>
      </c>
      <c r="W1527">
        <v>3.9999999999999998E-6</v>
      </c>
      <c r="Y1527" t="s">
        <v>1</v>
      </c>
      <c r="Z1527">
        <v>8500</v>
      </c>
      <c r="AA1527">
        <v>20</v>
      </c>
      <c r="AB1527">
        <v>2</v>
      </c>
      <c r="AC1527">
        <v>0</v>
      </c>
      <c r="AD1527">
        <v>60263850</v>
      </c>
      <c r="AE1527">
        <v>42470.09</v>
      </c>
      <c r="AF1527">
        <v>60237479</v>
      </c>
      <c r="AG1527">
        <v>60237479</v>
      </c>
      <c r="AH1527">
        <v>-3.2100000000000002E-3</v>
      </c>
      <c r="AI1527">
        <v>-3.2100000000000002E-3</v>
      </c>
    </row>
    <row r="1528" spans="1:35" x14ac:dyDescent="0.35">
      <c r="A1528" t="s">
        <v>3</v>
      </c>
      <c r="B1528">
        <v>6750</v>
      </c>
      <c r="C1528">
        <v>16</v>
      </c>
      <c r="D1528">
        <v>50</v>
      </c>
      <c r="E1528">
        <v>0</v>
      </c>
      <c r="F1528">
        <v>1589331997</v>
      </c>
      <c r="G1528">
        <v>1534595.28</v>
      </c>
      <c r="H1528">
        <v>1578498010.6800001</v>
      </c>
      <c r="I1528">
        <v>1587788976.5999999</v>
      </c>
      <c r="J1528">
        <v>6.7998000000000003E-2</v>
      </c>
      <c r="K1528">
        <v>6.3999999999999997E-5</v>
      </c>
      <c r="M1528" t="s">
        <v>1</v>
      </c>
      <c r="N1528">
        <v>7500</v>
      </c>
      <c r="O1528">
        <v>14</v>
      </c>
      <c r="P1528">
        <v>355</v>
      </c>
      <c r="Q1528">
        <v>0</v>
      </c>
      <c r="R1528">
        <v>9613947151</v>
      </c>
      <c r="S1528">
        <v>7991833.1900000004</v>
      </c>
      <c r="T1528">
        <v>8635621684.9799995</v>
      </c>
      <c r="U1528">
        <v>9386990111.5900002</v>
      </c>
      <c r="V1528">
        <v>0.72105200000000003</v>
      </c>
      <c r="W1528">
        <v>0.24154400000000001</v>
      </c>
      <c r="Y1528" t="s">
        <v>0</v>
      </c>
      <c r="Z1528">
        <v>9000</v>
      </c>
      <c r="AA1528">
        <v>20</v>
      </c>
      <c r="AB1528">
        <v>35</v>
      </c>
      <c r="AC1528">
        <v>0</v>
      </c>
      <c r="AD1528">
        <v>905644552</v>
      </c>
      <c r="AE1528">
        <v>613512.68999999994</v>
      </c>
      <c r="AF1528">
        <v>905010457</v>
      </c>
      <c r="AG1528">
        <v>905010457</v>
      </c>
      <c r="AH1528">
        <v>2.7300000000000002E-4</v>
      </c>
      <c r="AI1528">
        <v>2.7300000000000002E-4</v>
      </c>
    </row>
    <row r="1529" spans="1:35" x14ac:dyDescent="0.35">
      <c r="A1529" t="s">
        <v>1</v>
      </c>
      <c r="B1529">
        <v>7500</v>
      </c>
      <c r="C1529">
        <v>16</v>
      </c>
      <c r="D1529">
        <v>249</v>
      </c>
      <c r="E1529">
        <v>0</v>
      </c>
      <c r="F1529">
        <v>6130020129</v>
      </c>
      <c r="G1529">
        <v>5142442.0599999996</v>
      </c>
      <c r="H1529">
        <v>5657131218.4099998</v>
      </c>
      <c r="I1529">
        <v>6022458702.71</v>
      </c>
      <c r="J1529">
        <v>0.61421300000000001</v>
      </c>
      <c r="K1529">
        <v>0.183058</v>
      </c>
      <c r="M1529" t="s">
        <v>2</v>
      </c>
      <c r="N1529">
        <v>7500</v>
      </c>
      <c r="O1529">
        <v>16</v>
      </c>
      <c r="P1529">
        <v>172</v>
      </c>
      <c r="Q1529">
        <v>0</v>
      </c>
      <c r="R1529">
        <v>2629980547</v>
      </c>
      <c r="S1529">
        <v>2209316.54</v>
      </c>
      <c r="T1529">
        <v>2573702883.5700002</v>
      </c>
      <c r="U1529">
        <v>2596650339.3699999</v>
      </c>
      <c r="V1529">
        <v>0.220633</v>
      </c>
      <c r="W1529">
        <v>0.13311100000000001</v>
      </c>
      <c r="Y1529" t="s">
        <v>3</v>
      </c>
      <c r="Z1529">
        <v>7000</v>
      </c>
      <c r="AA1529">
        <v>16</v>
      </c>
      <c r="AB1529">
        <v>24</v>
      </c>
      <c r="AC1529">
        <v>0</v>
      </c>
      <c r="AD1529">
        <v>567067686</v>
      </c>
      <c r="AE1529">
        <v>522134.92</v>
      </c>
      <c r="AF1529">
        <v>566459144</v>
      </c>
      <c r="AG1529">
        <v>566459144</v>
      </c>
      <c r="AH1529">
        <v>1.8270000000000001E-3</v>
      </c>
      <c r="AI1529">
        <v>1.8270000000000001E-3</v>
      </c>
    </row>
    <row r="1530" spans="1:35" x14ac:dyDescent="0.35">
      <c r="A1530" t="s">
        <v>3</v>
      </c>
      <c r="B1530">
        <v>7500</v>
      </c>
      <c r="C1530">
        <v>18</v>
      </c>
      <c r="D1530">
        <v>4</v>
      </c>
      <c r="E1530">
        <v>0</v>
      </c>
      <c r="F1530">
        <v>86579302</v>
      </c>
      <c r="G1530">
        <v>73762.600000000006</v>
      </c>
      <c r="H1530">
        <v>85488417.849999994</v>
      </c>
      <c r="I1530">
        <v>86505221.090000004</v>
      </c>
      <c r="J1530">
        <v>0.132213</v>
      </c>
      <c r="K1530">
        <v>4.3999999999999999E-5</v>
      </c>
      <c r="M1530" t="s">
        <v>0</v>
      </c>
      <c r="N1530">
        <v>5000</v>
      </c>
      <c r="O1530">
        <v>16</v>
      </c>
      <c r="P1530">
        <v>3554</v>
      </c>
      <c r="Q1530">
        <v>0</v>
      </c>
      <c r="R1530">
        <v>117452227642</v>
      </c>
      <c r="S1530">
        <v>154218471.31</v>
      </c>
      <c r="T1530">
        <v>117082588500.2</v>
      </c>
      <c r="U1530">
        <v>117224459406.66</v>
      </c>
      <c r="V1530">
        <v>2.1788999999999999E-2</v>
      </c>
      <c r="W1530">
        <v>7.489E-3</v>
      </c>
      <c r="Y1530" t="s">
        <v>2</v>
      </c>
      <c r="Z1530">
        <v>7250</v>
      </c>
      <c r="AA1530">
        <v>14</v>
      </c>
      <c r="AB1530">
        <v>294</v>
      </c>
      <c r="AC1530">
        <v>0</v>
      </c>
      <c r="AD1530">
        <v>4354852680</v>
      </c>
      <c r="AE1530">
        <v>3756543.13</v>
      </c>
      <c r="AF1530">
        <v>4293595450</v>
      </c>
      <c r="AG1530">
        <v>4341698289.6400003</v>
      </c>
      <c r="AH1530">
        <v>0.14743100000000001</v>
      </c>
      <c r="AI1530">
        <v>2.5590999999999999E-2</v>
      </c>
    </row>
    <row r="1531" spans="1:35" x14ac:dyDescent="0.35">
      <c r="A1531" t="s">
        <v>2</v>
      </c>
      <c r="B1531">
        <v>3250</v>
      </c>
      <c r="C1531">
        <v>24</v>
      </c>
      <c r="D1531">
        <v>14</v>
      </c>
      <c r="E1531">
        <v>0</v>
      </c>
      <c r="F1531">
        <v>251163402</v>
      </c>
      <c r="G1531">
        <v>482009.33</v>
      </c>
      <c r="H1531">
        <v>249220540.59999999</v>
      </c>
      <c r="I1531">
        <v>250066227.55000001</v>
      </c>
      <c r="J1531">
        <v>6.7605999999999999E-2</v>
      </c>
      <c r="K1531">
        <v>2.8997999999999999E-2</v>
      </c>
      <c r="M1531" t="s">
        <v>0</v>
      </c>
      <c r="N1531">
        <v>5000</v>
      </c>
      <c r="O1531">
        <v>6</v>
      </c>
      <c r="P1531">
        <v>2826</v>
      </c>
      <c r="Q1531">
        <v>0</v>
      </c>
      <c r="R1531">
        <v>101400656828</v>
      </c>
      <c r="S1531">
        <v>126487586.87</v>
      </c>
      <c r="T1531">
        <v>101192709216.31</v>
      </c>
      <c r="U1531">
        <v>101256178390.92999</v>
      </c>
      <c r="V1531">
        <v>9.5980000000000006E-3</v>
      </c>
      <c r="W1531">
        <v>2.127E-3</v>
      </c>
      <c r="Y1531" t="s">
        <v>2</v>
      </c>
      <c r="Z1531">
        <v>8000</v>
      </c>
      <c r="AA1531">
        <v>20</v>
      </c>
      <c r="AB1531">
        <v>7</v>
      </c>
      <c r="AC1531">
        <v>0</v>
      </c>
      <c r="AD1531">
        <v>104816125</v>
      </c>
      <c r="AE1531">
        <v>88381.119999999995</v>
      </c>
      <c r="AF1531">
        <v>104777632</v>
      </c>
      <c r="AG1531">
        <v>104777632</v>
      </c>
      <c r="AH1531">
        <v>-5.7260000000000002E-3</v>
      </c>
      <c r="AI1531">
        <v>-5.7260000000000002E-3</v>
      </c>
    </row>
    <row r="1532" spans="1:35" x14ac:dyDescent="0.35">
      <c r="A1532" t="s">
        <v>0</v>
      </c>
      <c r="B1532">
        <v>4750</v>
      </c>
      <c r="C1532">
        <v>20</v>
      </c>
      <c r="D1532">
        <v>969</v>
      </c>
      <c r="E1532">
        <v>0</v>
      </c>
      <c r="F1532">
        <v>30714390435</v>
      </c>
      <c r="G1532">
        <v>42965251.770000003</v>
      </c>
      <c r="H1532">
        <v>30607471160.150002</v>
      </c>
      <c r="I1532">
        <v>30642158287.43</v>
      </c>
      <c r="J1532">
        <v>2.4702000000000002E-2</v>
      </c>
      <c r="K1532">
        <v>1.1375E-2</v>
      </c>
      <c r="M1532" t="s">
        <v>0</v>
      </c>
      <c r="N1532">
        <v>5000</v>
      </c>
      <c r="O1532">
        <v>8</v>
      </c>
      <c r="P1532">
        <v>1609</v>
      </c>
      <c r="Q1532">
        <v>0</v>
      </c>
      <c r="R1532">
        <v>57846722847</v>
      </c>
      <c r="S1532">
        <v>73118732.930000007</v>
      </c>
      <c r="T1532">
        <v>57713296987.860001</v>
      </c>
      <c r="U1532">
        <v>57761363835.25</v>
      </c>
      <c r="V1532">
        <v>1.2439E-2</v>
      </c>
      <c r="W1532">
        <v>2.5360000000000001E-3</v>
      </c>
      <c r="Y1532" t="s">
        <v>2</v>
      </c>
      <c r="Z1532">
        <v>8250</v>
      </c>
      <c r="AA1532">
        <v>18</v>
      </c>
      <c r="AB1532">
        <v>4</v>
      </c>
      <c r="AC1532">
        <v>0</v>
      </c>
      <c r="AD1532">
        <v>50915316</v>
      </c>
      <c r="AE1532">
        <v>37331.879999999997</v>
      </c>
      <c r="AF1532">
        <v>50890219</v>
      </c>
      <c r="AG1532">
        <v>50890219</v>
      </c>
      <c r="AH1532">
        <v>-2.8869999999999998E-3</v>
      </c>
      <c r="AI1532">
        <v>-2.8869999999999998E-3</v>
      </c>
    </row>
    <row r="1533" spans="1:35" x14ac:dyDescent="0.35">
      <c r="A1533" t="s">
        <v>1</v>
      </c>
      <c r="B1533">
        <v>5000</v>
      </c>
      <c r="C1533">
        <v>20</v>
      </c>
      <c r="D1533">
        <v>1370</v>
      </c>
      <c r="E1533">
        <v>0</v>
      </c>
      <c r="F1533">
        <v>49768511279</v>
      </c>
      <c r="G1533">
        <v>66832072.619999997</v>
      </c>
      <c r="H1533">
        <v>49429009066.25</v>
      </c>
      <c r="I1533">
        <v>49598105079.5</v>
      </c>
      <c r="J1533">
        <v>6.3799999999999996E-2</v>
      </c>
      <c r="K1533">
        <v>2.469E-2</v>
      </c>
      <c r="M1533" t="s">
        <v>0</v>
      </c>
      <c r="N1533">
        <v>5000</v>
      </c>
      <c r="O1533">
        <v>7</v>
      </c>
      <c r="P1533">
        <v>1885</v>
      </c>
      <c r="Q1533">
        <v>0</v>
      </c>
      <c r="R1533">
        <v>67990742122</v>
      </c>
      <c r="S1533">
        <v>85297694.819999993</v>
      </c>
      <c r="T1533">
        <v>67860592127.25</v>
      </c>
      <c r="U1533">
        <v>67896022684.489998</v>
      </c>
      <c r="V1533">
        <v>7.8879999999999992E-3</v>
      </c>
      <c r="W1533">
        <v>1.6620000000000001E-3</v>
      </c>
      <c r="Y1533" t="s">
        <v>2</v>
      </c>
      <c r="Z1533">
        <v>8000</v>
      </c>
      <c r="AA1533">
        <v>18</v>
      </c>
      <c r="AB1533">
        <v>5</v>
      </c>
      <c r="AC1533">
        <v>0</v>
      </c>
      <c r="AD1533">
        <v>96368247</v>
      </c>
      <c r="AE1533">
        <v>73415.509999999995</v>
      </c>
      <c r="AF1533">
        <v>73662381</v>
      </c>
      <c r="AG1533">
        <v>73662381</v>
      </c>
      <c r="AH1533">
        <v>0.959735</v>
      </c>
      <c r="AI1533">
        <v>0.959735</v>
      </c>
    </row>
    <row r="1534" spans="1:35" x14ac:dyDescent="0.35">
      <c r="A1534" t="s">
        <v>2</v>
      </c>
      <c r="B1534">
        <v>5000</v>
      </c>
      <c r="C1534">
        <v>20</v>
      </c>
      <c r="D1534">
        <v>81</v>
      </c>
      <c r="E1534">
        <v>0</v>
      </c>
      <c r="F1534">
        <v>2259152537</v>
      </c>
      <c r="G1534">
        <v>3028617.66</v>
      </c>
      <c r="H1534">
        <v>2250648416.0900002</v>
      </c>
      <c r="I1534">
        <v>2254187795.79</v>
      </c>
      <c r="J1534">
        <v>2.87E-2</v>
      </c>
      <c r="K1534">
        <v>1.0236E-2</v>
      </c>
      <c r="M1534" t="s">
        <v>3</v>
      </c>
      <c r="N1534">
        <v>7750</v>
      </c>
      <c r="O1534">
        <v>18</v>
      </c>
      <c r="P1534">
        <v>6</v>
      </c>
      <c r="Q1534">
        <v>0</v>
      </c>
      <c r="R1534">
        <v>138643656</v>
      </c>
      <c r="S1534">
        <v>113679.43</v>
      </c>
      <c r="T1534">
        <v>137713468.66999999</v>
      </c>
      <c r="U1534">
        <v>138519046.50999999</v>
      </c>
      <c r="V1534">
        <v>6.8426000000000001E-2</v>
      </c>
      <c r="W1534">
        <v>9.4600000000000001E-4</v>
      </c>
      <c r="Y1534" t="s">
        <v>1</v>
      </c>
      <c r="Z1534">
        <v>8250</v>
      </c>
      <c r="AA1534">
        <v>16</v>
      </c>
      <c r="AB1534">
        <v>77</v>
      </c>
      <c r="AC1534">
        <v>0</v>
      </c>
      <c r="AD1534">
        <v>2065423956</v>
      </c>
      <c r="AE1534">
        <v>1487951.49</v>
      </c>
      <c r="AF1534">
        <v>2042757843</v>
      </c>
      <c r="AG1534">
        <v>2042757843</v>
      </c>
      <c r="AH1534">
        <v>0.116337</v>
      </c>
      <c r="AI1534">
        <v>0.116337</v>
      </c>
    </row>
    <row r="1535" spans="1:35" x14ac:dyDescent="0.35">
      <c r="A1535" t="s">
        <v>0</v>
      </c>
      <c r="B1535">
        <v>8500</v>
      </c>
      <c r="C1535">
        <v>20</v>
      </c>
      <c r="D1535">
        <v>8</v>
      </c>
      <c r="E1535">
        <v>0</v>
      </c>
      <c r="F1535">
        <v>210676466</v>
      </c>
      <c r="G1535">
        <v>150462.34</v>
      </c>
      <c r="H1535">
        <v>205599120.78999999</v>
      </c>
      <c r="I1535">
        <v>207281452.33000001</v>
      </c>
      <c r="J1535">
        <v>0.24720800000000001</v>
      </c>
      <c r="K1535">
        <v>0.16993</v>
      </c>
      <c r="M1535" t="s">
        <v>1</v>
      </c>
      <c r="N1535">
        <v>7250</v>
      </c>
      <c r="O1535">
        <v>12</v>
      </c>
      <c r="P1535">
        <v>795</v>
      </c>
      <c r="Q1535">
        <v>0</v>
      </c>
      <c r="R1535">
        <v>20944942615</v>
      </c>
      <c r="S1535">
        <v>17964845.460000001</v>
      </c>
      <c r="T1535">
        <v>18875012536.240002</v>
      </c>
      <c r="U1535">
        <v>20631148020.709999</v>
      </c>
      <c r="V1535">
        <v>0.70982800000000001</v>
      </c>
      <c r="W1535">
        <v>0.15692400000000001</v>
      </c>
      <c r="Y1535" t="s">
        <v>1</v>
      </c>
      <c r="Z1535">
        <v>7750</v>
      </c>
      <c r="AA1535">
        <v>16</v>
      </c>
      <c r="AB1535">
        <v>259</v>
      </c>
      <c r="AC1535">
        <v>0</v>
      </c>
      <c r="AD1535">
        <v>6428136559</v>
      </c>
      <c r="AE1535">
        <v>5159060.6399999997</v>
      </c>
      <c r="AF1535">
        <v>6025196863</v>
      </c>
      <c r="AG1535">
        <v>6300099174.4300003</v>
      </c>
      <c r="AH1535">
        <v>0.53538399999999997</v>
      </c>
      <c r="AI1535">
        <v>0.20674400000000001</v>
      </c>
    </row>
    <row r="1536" spans="1:35" x14ac:dyDescent="0.35">
      <c r="A1536" t="s">
        <v>1</v>
      </c>
      <c r="B1536">
        <v>7250</v>
      </c>
      <c r="C1536">
        <v>5</v>
      </c>
      <c r="D1536">
        <v>5798</v>
      </c>
      <c r="E1536">
        <v>0</v>
      </c>
      <c r="F1536">
        <v>186128900000</v>
      </c>
      <c r="G1536">
        <v>151622736.93000001</v>
      </c>
      <c r="H1536">
        <v>185322779098.75</v>
      </c>
      <c r="I1536">
        <v>185767830889.20999</v>
      </c>
      <c r="J1536">
        <v>4.1390000000000003E-2</v>
      </c>
      <c r="K1536">
        <v>1.342E-2</v>
      </c>
      <c r="M1536" t="s">
        <v>0</v>
      </c>
      <c r="N1536">
        <v>4500</v>
      </c>
      <c r="O1536">
        <v>20</v>
      </c>
      <c r="P1536">
        <v>736</v>
      </c>
      <c r="Q1536">
        <v>0</v>
      </c>
      <c r="R1536">
        <v>23042750203</v>
      </c>
      <c r="S1536">
        <v>33579245.170000002</v>
      </c>
      <c r="T1536">
        <v>22972574452.77</v>
      </c>
      <c r="U1536">
        <v>23001336606.810001</v>
      </c>
      <c r="V1536">
        <v>1.8893E-2</v>
      </c>
      <c r="W1536">
        <v>4.0720000000000001E-3</v>
      </c>
      <c r="Y1536" t="s">
        <v>3</v>
      </c>
      <c r="Z1536">
        <v>7250</v>
      </c>
      <c r="AA1536">
        <v>16</v>
      </c>
      <c r="AB1536">
        <v>15</v>
      </c>
      <c r="AC1536">
        <v>0</v>
      </c>
      <c r="AD1536">
        <v>393781888</v>
      </c>
      <c r="AE1536">
        <v>349485.27</v>
      </c>
      <c r="AF1536">
        <v>393312433</v>
      </c>
      <c r="AG1536">
        <v>393312433</v>
      </c>
      <c r="AH1536">
        <v>3.65E-3</v>
      </c>
      <c r="AI1536">
        <v>3.65E-3</v>
      </c>
    </row>
    <row r="1537" spans="1:35" x14ac:dyDescent="0.35">
      <c r="A1537" t="s">
        <v>1</v>
      </c>
      <c r="B1537">
        <v>7250</v>
      </c>
      <c r="C1537">
        <v>14</v>
      </c>
      <c r="D1537">
        <v>703</v>
      </c>
      <c r="E1537">
        <v>0</v>
      </c>
      <c r="F1537">
        <v>18674737858</v>
      </c>
      <c r="G1537">
        <v>16195690.529999999</v>
      </c>
      <c r="H1537">
        <v>16886213167.24</v>
      </c>
      <c r="I1537">
        <v>18317916108.91</v>
      </c>
      <c r="J1537">
        <v>0.69777599999999995</v>
      </c>
      <c r="K1537">
        <v>0.19820299999999999</v>
      </c>
      <c r="M1537" t="s">
        <v>0</v>
      </c>
      <c r="N1537">
        <v>4500</v>
      </c>
      <c r="O1537">
        <v>18</v>
      </c>
      <c r="P1537">
        <v>796</v>
      </c>
      <c r="Q1537">
        <v>0</v>
      </c>
      <c r="R1537">
        <v>24387601738</v>
      </c>
      <c r="S1537">
        <v>35235820.020000003</v>
      </c>
      <c r="T1537">
        <v>24321202298.959999</v>
      </c>
      <c r="U1537">
        <v>24346466570.220001</v>
      </c>
      <c r="V1537">
        <v>1.5226999999999999E-2</v>
      </c>
      <c r="W1537">
        <v>2.8990000000000001E-3</v>
      </c>
      <c r="Y1537" t="s">
        <v>2</v>
      </c>
      <c r="Z1537">
        <v>7500</v>
      </c>
      <c r="AA1537">
        <v>16</v>
      </c>
      <c r="AB1537">
        <v>159</v>
      </c>
      <c r="AC1537">
        <v>0</v>
      </c>
      <c r="AD1537">
        <v>2250306571</v>
      </c>
      <c r="AE1537">
        <v>1886551.77</v>
      </c>
      <c r="AF1537">
        <v>2226918902</v>
      </c>
      <c r="AG1537">
        <v>2248778641.1199999</v>
      </c>
      <c r="AH1537">
        <v>0.108819</v>
      </c>
      <c r="AI1537">
        <v>-1.9139999999999999E-3</v>
      </c>
    </row>
    <row r="1538" spans="1:35" x14ac:dyDescent="0.35">
      <c r="A1538" t="s">
        <v>2</v>
      </c>
      <c r="B1538">
        <v>7750</v>
      </c>
      <c r="C1538">
        <v>16</v>
      </c>
      <c r="D1538">
        <v>85</v>
      </c>
      <c r="E1538">
        <v>0</v>
      </c>
      <c r="F1538">
        <v>989747523</v>
      </c>
      <c r="G1538">
        <v>800237.99</v>
      </c>
      <c r="H1538">
        <v>967684981.63</v>
      </c>
      <c r="I1538">
        <v>976418290.86000001</v>
      </c>
      <c r="J1538">
        <v>0.229411</v>
      </c>
      <c r="K1538">
        <v>0.141763</v>
      </c>
      <c r="M1538" t="s">
        <v>1</v>
      </c>
      <c r="N1538">
        <v>4500</v>
      </c>
      <c r="O1538">
        <v>18</v>
      </c>
      <c r="P1538">
        <v>388</v>
      </c>
      <c r="Q1538">
        <v>0</v>
      </c>
      <c r="R1538">
        <v>12940503501</v>
      </c>
      <c r="S1538">
        <v>18777049.850000001</v>
      </c>
      <c r="T1538">
        <v>12871133941.4</v>
      </c>
      <c r="U1538">
        <v>12894355954.52</v>
      </c>
      <c r="V1538">
        <v>4.5920000000000002E-2</v>
      </c>
      <c r="W1538">
        <v>2.5087999999999999E-2</v>
      </c>
      <c r="Y1538" t="s">
        <v>1</v>
      </c>
      <c r="Z1538">
        <v>5000</v>
      </c>
      <c r="AA1538">
        <v>18</v>
      </c>
      <c r="AB1538">
        <v>1338</v>
      </c>
      <c r="AC1538">
        <v>0</v>
      </c>
      <c r="AD1538">
        <v>46865956594</v>
      </c>
      <c r="AE1538">
        <v>62229795.649999999</v>
      </c>
      <c r="AF1538">
        <v>46721170391</v>
      </c>
      <c r="AG1538">
        <v>46755046329.519997</v>
      </c>
      <c r="AH1538">
        <v>2.0934999999999999E-2</v>
      </c>
      <c r="AI1538">
        <v>1.2394000000000001E-2</v>
      </c>
    </row>
    <row r="1539" spans="1:35" x14ac:dyDescent="0.35">
      <c r="A1539" t="s">
        <v>0</v>
      </c>
      <c r="B1539">
        <v>9000</v>
      </c>
      <c r="C1539">
        <v>18</v>
      </c>
      <c r="D1539">
        <v>33</v>
      </c>
      <c r="E1539">
        <v>0</v>
      </c>
      <c r="F1539">
        <v>811200751</v>
      </c>
      <c r="G1539">
        <v>537673.64</v>
      </c>
      <c r="H1539">
        <v>785820454.02999997</v>
      </c>
      <c r="I1539">
        <v>797383141.34000003</v>
      </c>
      <c r="J1539">
        <v>0.31149900000000003</v>
      </c>
      <c r="K1539">
        <v>0.17969099999999999</v>
      </c>
      <c r="M1539" t="s">
        <v>1</v>
      </c>
      <c r="N1539">
        <v>8250</v>
      </c>
      <c r="O1539">
        <v>16</v>
      </c>
      <c r="P1539">
        <v>62</v>
      </c>
      <c r="Q1539">
        <v>0</v>
      </c>
      <c r="R1539">
        <v>1609682064</v>
      </c>
      <c r="S1539">
        <v>1164884.26</v>
      </c>
      <c r="T1539">
        <v>1460505497.6300001</v>
      </c>
      <c r="U1539">
        <v>1534897461.0999999</v>
      </c>
      <c r="V1539">
        <v>0.68572299999999997</v>
      </c>
      <c r="W1539">
        <v>0.42980299999999999</v>
      </c>
      <c r="Y1539" t="s">
        <v>0</v>
      </c>
      <c r="Z1539">
        <v>9000</v>
      </c>
      <c r="AA1539">
        <v>18</v>
      </c>
      <c r="AB1539">
        <v>42</v>
      </c>
      <c r="AC1539">
        <v>0</v>
      </c>
      <c r="AD1539">
        <v>1063438031</v>
      </c>
      <c r="AE1539">
        <v>706101.67</v>
      </c>
      <c r="AF1539">
        <v>1062899518</v>
      </c>
      <c r="AG1539">
        <v>1062899518</v>
      </c>
      <c r="AH1539">
        <v>-1.8929999999999999E-3</v>
      </c>
      <c r="AI1539">
        <v>-1.8929999999999999E-3</v>
      </c>
    </row>
    <row r="1540" spans="1:35" x14ac:dyDescent="0.35">
      <c r="A1540" t="s">
        <v>0</v>
      </c>
      <c r="B1540">
        <v>8500</v>
      </c>
      <c r="C1540">
        <v>18</v>
      </c>
      <c r="D1540">
        <v>11</v>
      </c>
      <c r="E1540">
        <v>0</v>
      </c>
      <c r="F1540">
        <v>302079222</v>
      </c>
      <c r="G1540">
        <v>210628.21</v>
      </c>
      <c r="H1540">
        <v>290664822.43000001</v>
      </c>
      <c r="I1540">
        <v>294154504.33999997</v>
      </c>
      <c r="J1540">
        <v>0.364618</v>
      </c>
      <c r="K1540">
        <v>0.26686100000000001</v>
      </c>
      <c r="M1540" t="s">
        <v>1</v>
      </c>
      <c r="N1540">
        <v>8500</v>
      </c>
      <c r="O1540">
        <v>18</v>
      </c>
      <c r="P1540">
        <v>4</v>
      </c>
      <c r="Q1540">
        <v>0</v>
      </c>
      <c r="R1540">
        <v>91946552</v>
      </c>
      <c r="S1540">
        <v>63812.160000000003</v>
      </c>
      <c r="T1540">
        <v>84172150.280000001</v>
      </c>
      <c r="U1540">
        <v>88630740.25</v>
      </c>
      <c r="V1540">
        <v>0.65042100000000003</v>
      </c>
      <c r="W1540">
        <v>0.35086099999999998</v>
      </c>
      <c r="Y1540" t="s">
        <v>3</v>
      </c>
      <c r="Z1540">
        <v>6000</v>
      </c>
      <c r="AA1540">
        <v>18</v>
      </c>
      <c r="AB1540">
        <v>12</v>
      </c>
      <c r="AC1540">
        <v>0</v>
      </c>
      <c r="AD1540">
        <v>296503402</v>
      </c>
      <c r="AE1540">
        <v>333296.74</v>
      </c>
      <c r="AF1540">
        <v>296187300</v>
      </c>
      <c r="AG1540">
        <v>296187300</v>
      </c>
      <c r="AH1540">
        <v>-6.96E-4</v>
      </c>
      <c r="AI1540">
        <v>-6.96E-4</v>
      </c>
    </row>
    <row r="1541" spans="1:35" x14ac:dyDescent="0.35">
      <c r="A1541" t="s">
        <v>3</v>
      </c>
      <c r="B1541">
        <v>7750</v>
      </c>
      <c r="C1541">
        <v>18</v>
      </c>
      <c r="D1541">
        <v>5</v>
      </c>
      <c r="E1541">
        <v>0</v>
      </c>
      <c r="F1541">
        <v>157149418</v>
      </c>
      <c r="G1541">
        <v>128192.47</v>
      </c>
      <c r="H1541">
        <v>155621978.59</v>
      </c>
      <c r="I1541">
        <v>157021223.13999999</v>
      </c>
      <c r="J1541">
        <v>0.101767</v>
      </c>
      <c r="K1541">
        <v>0</v>
      </c>
      <c r="M1541" t="s">
        <v>0</v>
      </c>
      <c r="N1541">
        <v>9000</v>
      </c>
      <c r="O1541">
        <v>18</v>
      </c>
      <c r="P1541">
        <v>35</v>
      </c>
      <c r="Q1541">
        <v>0</v>
      </c>
      <c r="R1541">
        <v>906885216</v>
      </c>
      <c r="S1541">
        <v>604703.85</v>
      </c>
      <c r="T1541">
        <v>877978632.97000003</v>
      </c>
      <c r="U1541">
        <v>897188924.50999999</v>
      </c>
      <c r="V1541">
        <v>0.31645400000000001</v>
      </c>
      <c r="W1541">
        <v>0.113884</v>
      </c>
      <c r="Y1541" t="s">
        <v>3</v>
      </c>
      <c r="Z1541">
        <v>5750</v>
      </c>
      <c r="AA1541">
        <v>18</v>
      </c>
      <c r="AB1541">
        <v>5</v>
      </c>
      <c r="AC1541">
        <v>0</v>
      </c>
      <c r="AD1541">
        <v>111420528</v>
      </c>
      <c r="AE1541">
        <v>128683.3</v>
      </c>
      <c r="AF1541">
        <v>97086285</v>
      </c>
      <c r="AG1541">
        <v>111230181.90000001</v>
      </c>
      <c r="AH1541">
        <v>0.80536799999999997</v>
      </c>
      <c r="AI1541">
        <v>6.6210000000000001E-3</v>
      </c>
    </row>
    <row r="1542" spans="1:35" x14ac:dyDescent="0.35">
      <c r="A1542" t="s">
        <v>0</v>
      </c>
      <c r="B1542">
        <v>8250</v>
      </c>
      <c r="C1542">
        <v>16</v>
      </c>
      <c r="D1542">
        <v>240</v>
      </c>
      <c r="E1542">
        <v>0</v>
      </c>
      <c r="F1542">
        <v>7022231398</v>
      </c>
      <c r="G1542">
        <v>5048811.41</v>
      </c>
      <c r="H1542">
        <v>6860518640.0699997</v>
      </c>
      <c r="I1542">
        <v>6985238936.1400003</v>
      </c>
      <c r="J1542">
        <v>0.23719100000000001</v>
      </c>
      <c r="K1542">
        <v>5.3241999999999998E-2</v>
      </c>
      <c r="M1542" t="s">
        <v>3</v>
      </c>
      <c r="N1542">
        <v>7000</v>
      </c>
      <c r="O1542">
        <v>14</v>
      </c>
      <c r="P1542">
        <v>25</v>
      </c>
      <c r="Q1542">
        <v>0</v>
      </c>
      <c r="R1542">
        <v>601259935</v>
      </c>
      <c r="S1542">
        <v>546693.06000000006</v>
      </c>
      <c r="T1542">
        <v>598155947.63999999</v>
      </c>
      <c r="U1542">
        <v>600697101.84000003</v>
      </c>
      <c r="V1542">
        <v>4.9861999999999997E-2</v>
      </c>
      <c r="W1542">
        <v>3.2200000000000002E-4</v>
      </c>
      <c r="Y1542" t="s">
        <v>3</v>
      </c>
      <c r="Z1542">
        <v>7500</v>
      </c>
      <c r="AA1542">
        <v>18</v>
      </c>
      <c r="AB1542">
        <v>4</v>
      </c>
      <c r="AC1542">
        <v>0</v>
      </c>
      <c r="AD1542">
        <v>99934715</v>
      </c>
      <c r="AE1542">
        <v>84779.01</v>
      </c>
      <c r="AF1542">
        <v>99819559</v>
      </c>
      <c r="AG1542">
        <v>99819559</v>
      </c>
      <c r="AH1542">
        <v>3.6419999999999998E-3</v>
      </c>
      <c r="AI1542">
        <v>3.6419999999999998E-3</v>
      </c>
    </row>
    <row r="1543" spans="1:35" x14ac:dyDescent="0.35">
      <c r="A1543" t="s">
        <v>3</v>
      </c>
      <c r="B1543">
        <v>7750</v>
      </c>
      <c r="C1543">
        <v>16</v>
      </c>
      <c r="D1543">
        <v>3</v>
      </c>
      <c r="E1543">
        <v>0</v>
      </c>
      <c r="F1543">
        <v>47360537</v>
      </c>
      <c r="G1543">
        <v>38113.39</v>
      </c>
      <c r="H1543">
        <v>47032489.079999998</v>
      </c>
      <c r="I1543">
        <v>47322423.469999999</v>
      </c>
      <c r="J1543">
        <v>7.1039000000000005E-2</v>
      </c>
      <c r="K1543">
        <v>0</v>
      </c>
      <c r="M1543" t="s">
        <v>2</v>
      </c>
      <c r="N1543">
        <v>7250</v>
      </c>
      <c r="O1543">
        <v>12</v>
      </c>
      <c r="P1543">
        <v>296</v>
      </c>
      <c r="Q1543">
        <v>0</v>
      </c>
      <c r="R1543">
        <v>4384112829</v>
      </c>
      <c r="S1543">
        <v>3730308.42</v>
      </c>
      <c r="T1543">
        <v>4308923035.3000002</v>
      </c>
      <c r="U1543">
        <v>4344597107.29</v>
      </c>
      <c r="V1543">
        <v>0.17898</v>
      </c>
      <c r="W1543">
        <v>9.3670000000000003E-2</v>
      </c>
      <c r="Y1543" t="s">
        <v>3</v>
      </c>
      <c r="Z1543">
        <v>7750</v>
      </c>
      <c r="AA1543">
        <v>18</v>
      </c>
      <c r="AB1543">
        <v>6</v>
      </c>
      <c r="AC1543">
        <v>0</v>
      </c>
      <c r="AD1543">
        <v>167961846</v>
      </c>
      <c r="AE1543">
        <v>136505.72</v>
      </c>
      <c r="AF1543">
        <v>167808606</v>
      </c>
      <c r="AG1543">
        <v>167808606</v>
      </c>
      <c r="AH1543">
        <v>1.1950000000000001E-3</v>
      </c>
      <c r="AI1543">
        <v>1.1950000000000001E-3</v>
      </c>
    </row>
    <row r="1544" spans="1:35" x14ac:dyDescent="0.35">
      <c r="A1544" t="s">
        <v>3</v>
      </c>
      <c r="B1544">
        <v>6500</v>
      </c>
      <c r="C1544">
        <v>16</v>
      </c>
      <c r="D1544">
        <v>42</v>
      </c>
      <c r="E1544">
        <v>0</v>
      </c>
      <c r="F1544">
        <v>1089232330</v>
      </c>
      <c r="G1544">
        <v>1099563.54</v>
      </c>
      <c r="H1544">
        <v>1080850100.3900001</v>
      </c>
      <c r="I1544">
        <v>1087857055.8099999</v>
      </c>
      <c r="J1544">
        <v>7.7346999999999999E-2</v>
      </c>
      <c r="K1544">
        <v>3.0330000000000001E-3</v>
      </c>
      <c r="M1544" t="s">
        <v>2</v>
      </c>
      <c r="N1544">
        <v>8000</v>
      </c>
      <c r="O1544">
        <v>18</v>
      </c>
      <c r="P1544">
        <v>9</v>
      </c>
      <c r="Q1544">
        <v>0</v>
      </c>
      <c r="R1544">
        <v>133260351</v>
      </c>
      <c r="S1544">
        <v>110241.06</v>
      </c>
      <c r="T1544">
        <v>127429553.58</v>
      </c>
      <c r="U1544">
        <v>128158013.59</v>
      </c>
      <c r="V1544">
        <v>0.40934100000000001</v>
      </c>
      <c r="W1544">
        <v>0.36756100000000003</v>
      </c>
      <c r="Y1544" t="s">
        <v>3</v>
      </c>
      <c r="Z1544">
        <v>6500</v>
      </c>
      <c r="AA1544">
        <v>16</v>
      </c>
      <c r="AB1544">
        <v>38</v>
      </c>
      <c r="AC1544">
        <v>0</v>
      </c>
      <c r="AD1544">
        <v>1022037379</v>
      </c>
      <c r="AE1544">
        <v>1028058.07</v>
      </c>
      <c r="AF1544">
        <v>1020928768</v>
      </c>
      <c r="AG1544">
        <v>1020928768</v>
      </c>
      <c r="AH1544">
        <v>9.4499999999999998E-4</v>
      </c>
      <c r="AI1544">
        <v>9.4499999999999998E-4</v>
      </c>
    </row>
    <row r="1545" spans="1:35" x14ac:dyDescent="0.35">
      <c r="A1545" t="s">
        <v>1</v>
      </c>
      <c r="B1545">
        <v>7500</v>
      </c>
      <c r="C1545">
        <v>14</v>
      </c>
      <c r="D1545">
        <v>273</v>
      </c>
      <c r="E1545">
        <v>0</v>
      </c>
      <c r="F1545">
        <v>5906776761</v>
      </c>
      <c r="G1545">
        <v>4877016.21</v>
      </c>
      <c r="H1545">
        <v>5363098082.6199999</v>
      </c>
      <c r="I1545">
        <v>5847823530.3500004</v>
      </c>
      <c r="J1545">
        <v>0.68266400000000005</v>
      </c>
      <c r="K1545">
        <v>0.104493</v>
      </c>
      <c r="M1545" t="s">
        <v>2</v>
      </c>
      <c r="N1545">
        <v>8250</v>
      </c>
      <c r="O1545">
        <v>16</v>
      </c>
      <c r="P1545">
        <v>5</v>
      </c>
      <c r="Q1545">
        <v>0</v>
      </c>
      <c r="R1545">
        <v>61507175</v>
      </c>
      <c r="S1545">
        <v>44333.11</v>
      </c>
      <c r="T1545">
        <v>60242587.979999997</v>
      </c>
      <c r="U1545">
        <v>60984043.710000001</v>
      </c>
      <c r="V1545">
        <v>0.21373700000000001</v>
      </c>
      <c r="W1545">
        <v>8.9515999999999998E-2</v>
      </c>
      <c r="Y1545" t="s">
        <v>3</v>
      </c>
      <c r="Z1545">
        <v>7500</v>
      </c>
      <c r="AA1545">
        <v>16</v>
      </c>
      <c r="AB1545">
        <v>3</v>
      </c>
      <c r="AC1545">
        <v>0</v>
      </c>
      <c r="AD1545">
        <v>76125341</v>
      </c>
      <c r="AE1545">
        <v>64440.5</v>
      </c>
      <c r="AF1545">
        <v>29345460</v>
      </c>
      <c r="AG1545">
        <v>76060788.359999999</v>
      </c>
      <c r="AH1545">
        <v>0.99998900000000002</v>
      </c>
      <c r="AI1545">
        <v>1.8E-5</v>
      </c>
    </row>
    <row r="1546" spans="1:35" x14ac:dyDescent="0.35">
      <c r="A1546" t="s">
        <v>3</v>
      </c>
      <c r="B1546">
        <v>6000</v>
      </c>
      <c r="C1546">
        <v>14</v>
      </c>
      <c r="D1546">
        <v>46</v>
      </c>
      <c r="E1546">
        <v>0</v>
      </c>
      <c r="F1546">
        <v>1209468073</v>
      </c>
      <c r="G1546">
        <v>1315600.56</v>
      </c>
      <c r="H1546">
        <v>1202263660.51</v>
      </c>
      <c r="I1546">
        <v>1208152188.8599999</v>
      </c>
      <c r="J1546">
        <v>5.6888000000000001E-2</v>
      </c>
      <c r="K1546">
        <v>3.0000000000000001E-6</v>
      </c>
      <c r="M1546" t="s">
        <v>2</v>
      </c>
      <c r="N1546">
        <v>8000</v>
      </c>
      <c r="O1546">
        <v>16</v>
      </c>
      <c r="P1546">
        <v>5</v>
      </c>
      <c r="Q1546">
        <v>0</v>
      </c>
      <c r="R1546">
        <v>96446840</v>
      </c>
      <c r="S1546">
        <v>72396.259999999995</v>
      </c>
      <c r="T1546">
        <v>93679471.569999993</v>
      </c>
      <c r="U1546">
        <v>94334169.459999993</v>
      </c>
      <c r="V1546">
        <v>0.28828999999999999</v>
      </c>
      <c r="W1546">
        <v>0.22630400000000001</v>
      </c>
      <c r="Y1546" t="s">
        <v>1</v>
      </c>
      <c r="Z1546">
        <v>7500</v>
      </c>
      <c r="AA1546">
        <v>14</v>
      </c>
      <c r="AB1546">
        <v>275</v>
      </c>
      <c r="AC1546">
        <v>0</v>
      </c>
      <c r="AD1546">
        <v>6409834155</v>
      </c>
      <c r="AE1546">
        <v>5307670.34</v>
      </c>
      <c r="AF1546">
        <v>5850687802</v>
      </c>
      <c r="AG1546">
        <v>6384792294.5500002</v>
      </c>
      <c r="AH1546">
        <v>0.66189799999999999</v>
      </c>
      <c r="AI1546">
        <v>3.6325999999999997E-2</v>
      </c>
    </row>
    <row r="1547" spans="1:35" x14ac:dyDescent="0.35">
      <c r="A1547" t="s">
        <v>3</v>
      </c>
      <c r="B1547">
        <v>5750</v>
      </c>
      <c r="C1547">
        <v>14</v>
      </c>
      <c r="D1547">
        <v>25</v>
      </c>
      <c r="E1547">
        <v>0</v>
      </c>
      <c r="F1547">
        <v>759567923</v>
      </c>
      <c r="G1547">
        <v>869653.66</v>
      </c>
      <c r="H1547">
        <v>755694309.25</v>
      </c>
      <c r="I1547">
        <v>758698262.86000001</v>
      </c>
      <c r="J1547">
        <v>4.6439000000000001E-2</v>
      </c>
      <c r="K1547">
        <v>0</v>
      </c>
      <c r="M1547" t="s">
        <v>1</v>
      </c>
      <c r="N1547">
        <v>8250</v>
      </c>
      <c r="O1547">
        <v>14</v>
      </c>
      <c r="P1547">
        <v>87</v>
      </c>
      <c r="Q1547">
        <v>0</v>
      </c>
      <c r="R1547">
        <v>2386113907</v>
      </c>
      <c r="S1547">
        <v>1692268.78</v>
      </c>
      <c r="T1547">
        <v>2162315520.5300002</v>
      </c>
      <c r="U1547">
        <v>2284342620.9699998</v>
      </c>
      <c r="V1547">
        <v>0.69039200000000001</v>
      </c>
      <c r="W1547">
        <v>0.402001</v>
      </c>
      <c r="Y1547" t="s">
        <v>1</v>
      </c>
      <c r="Z1547">
        <v>8000</v>
      </c>
      <c r="AA1547">
        <v>16</v>
      </c>
      <c r="AB1547">
        <v>175</v>
      </c>
      <c r="AC1547">
        <v>0</v>
      </c>
      <c r="AD1547">
        <v>4013529965</v>
      </c>
      <c r="AE1547">
        <v>3051491.03</v>
      </c>
      <c r="AF1547">
        <v>3716737895</v>
      </c>
      <c r="AG1547">
        <v>3966035154.3400002</v>
      </c>
      <c r="AH1547">
        <v>0.59830000000000005</v>
      </c>
      <c r="AI1547">
        <v>0.125079</v>
      </c>
    </row>
    <row r="1548" spans="1:35" x14ac:dyDescent="0.35">
      <c r="A1548" t="s">
        <v>3</v>
      </c>
      <c r="B1548">
        <v>5500</v>
      </c>
      <c r="C1548">
        <v>14</v>
      </c>
      <c r="D1548">
        <v>13</v>
      </c>
      <c r="E1548">
        <v>0</v>
      </c>
      <c r="F1548">
        <v>375983551</v>
      </c>
      <c r="G1548">
        <v>450546.82</v>
      </c>
      <c r="H1548">
        <v>372624554.97000003</v>
      </c>
      <c r="I1548">
        <v>375532882.19</v>
      </c>
      <c r="J1548">
        <v>8.8978000000000002E-2</v>
      </c>
      <c r="K1548">
        <v>3.9999999999999998E-6</v>
      </c>
      <c r="M1548" t="s">
        <v>1</v>
      </c>
      <c r="N1548">
        <v>7750</v>
      </c>
      <c r="O1548">
        <v>14</v>
      </c>
      <c r="P1548">
        <v>299</v>
      </c>
      <c r="Q1548">
        <v>0</v>
      </c>
      <c r="R1548">
        <v>7716771802</v>
      </c>
      <c r="S1548">
        <v>6099528.0599999996</v>
      </c>
      <c r="T1548">
        <v>7016178888.9700003</v>
      </c>
      <c r="U1548">
        <v>7576940629.6300001</v>
      </c>
      <c r="V1548">
        <v>0.67751600000000001</v>
      </c>
      <c r="W1548">
        <v>0.18923999999999999</v>
      </c>
      <c r="Y1548" t="s">
        <v>2</v>
      </c>
      <c r="Z1548">
        <v>3250</v>
      </c>
      <c r="AA1548">
        <v>20</v>
      </c>
      <c r="AB1548">
        <v>9</v>
      </c>
      <c r="AC1548">
        <v>0</v>
      </c>
      <c r="AD1548">
        <v>200084434</v>
      </c>
      <c r="AE1548">
        <v>367640.97</v>
      </c>
      <c r="AF1548">
        <v>199855618</v>
      </c>
      <c r="AG1548">
        <v>199855618</v>
      </c>
      <c r="AH1548">
        <v>-8.3580000000000008E-3</v>
      </c>
      <c r="AI1548">
        <v>-8.3580000000000008E-3</v>
      </c>
    </row>
    <row r="1549" spans="1:35" x14ac:dyDescent="0.35">
      <c r="A1549" t="s">
        <v>3</v>
      </c>
      <c r="B1549">
        <v>5250</v>
      </c>
      <c r="C1549">
        <v>14</v>
      </c>
      <c r="D1549">
        <v>20</v>
      </c>
      <c r="E1549">
        <v>0</v>
      </c>
      <c r="F1549">
        <v>537996533</v>
      </c>
      <c r="G1549">
        <v>670309.31000000006</v>
      </c>
      <c r="H1549">
        <v>533792746.94999999</v>
      </c>
      <c r="I1549">
        <v>537326220.40999997</v>
      </c>
      <c r="J1549">
        <v>7.6028999999999999E-2</v>
      </c>
      <c r="K1549">
        <v>0</v>
      </c>
      <c r="M1549" t="s">
        <v>3</v>
      </c>
      <c r="N1549">
        <v>7250</v>
      </c>
      <c r="O1549">
        <v>14</v>
      </c>
      <c r="P1549">
        <v>15</v>
      </c>
      <c r="Q1549">
        <v>0</v>
      </c>
      <c r="R1549">
        <v>394593975</v>
      </c>
      <c r="S1549">
        <v>345470.58</v>
      </c>
      <c r="T1549">
        <v>393453644.74000001</v>
      </c>
      <c r="U1549">
        <v>394248497.95999998</v>
      </c>
      <c r="V1549">
        <v>2.3906E-2</v>
      </c>
      <c r="W1549">
        <v>0</v>
      </c>
      <c r="Y1549" t="s">
        <v>0</v>
      </c>
      <c r="Z1549">
        <v>8500</v>
      </c>
      <c r="AA1549">
        <v>18</v>
      </c>
      <c r="AB1549">
        <v>12</v>
      </c>
      <c r="AC1549">
        <v>0</v>
      </c>
      <c r="AD1549">
        <v>315161575</v>
      </c>
      <c r="AE1549">
        <v>221816.29</v>
      </c>
      <c r="AF1549">
        <v>314985496</v>
      </c>
      <c r="AG1549">
        <v>314985496</v>
      </c>
      <c r="AH1549">
        <v>-1.743E-3</v>
      </c>
      <c r="AI1549">
        <v>-1.743E-3</v>
      </c>
    </row>
    <row r="1550" spans="1:35" x14ac:dyDescent="0.35">
      <c r="A1550" t="s">
        <v>2</v>
      </c>
      <c r="B1550">
        <v>8250</v>
      </c>
      <c r="C1550">
        <v>18</v>
      </c>
      <c r="D1550">
        <v>1</v>
      </c>
      <c r="E1550">
        <v>0</v>
      </c>
      <c r="F1550">
        <v>15626343</v>
      </c>
      <c r="G1550">
        <v>11325.04</v>
      </c>
      <c r="H1550">
        <v>13931324.59</v>
      </c>
      <c r="I1550">
        <v>13949871.77</v>
      </c>
      <c r="J1550">
        <v>0.74540200000000001</v>
      </c>
      <c r="K1550">
        <v>0.74130799999999997</v>
      </c>
      <c r="M1550" t="s">
        <v>2</v>
      </c>
      <c r="N1550">
        <v>7500</v>
      </c>
      <c r="O1550">
        <v>14</v>
      </c>
      <c r="P1550">
        <v>167</v>
      </c>
      <c r="Q1550">
        <v>0</v>
      </c>
      <c r="R1550">
        <v>2359653054</v>
      </c>
      <c r="S1550">
        <v>1950409.57</v>
      </c>
      <c r="T1550">
        <v>2305093917.5700002</v>
      </c>
      <c r="U1550">
        <v>2325703898.54</v>
      </c>
      <c r="V1550">
        <v>0.23705499999999999</v>
      </c>
      <c r="W1550">
        <v>0.15112500000000001</v>
      </c>
      <c r="Y1550" t="s">
        <v>1</v>
      </c>
      <c r="Z1550">
        <v>7250</v>
      </c>
      <c r="AA1550">
        <v>12</v>
      </c>
      <c r="AB1550">
        <v>1239</v>
      </c>
      <c r="AC1550">
        <v>0</v>
      </c>
      <c r="AD1550">
        <v>33628983602</v>
      </c>
      <c r="AE1550">
        <v>28794922.559999999</v>
      </c>
      <c r="AF1550">
        <v>30758417689</v>
      </c>
      <c r="AG1550">
        <v>33072071408.09</v>
      </c>
      <c r="AH1550">
        <v>0.65335900000000002</v>
      </c>
      <c r="AI1550">
        <v>0.17299600000000001</v>
      </c>
    </row>
    <row r="1551" spans="1:35" x14ac:dyDescent="0.35">
      <c r="A1551" t="s">
        <v>1</v>
      </c>
      <c r="B1551">
        <v>8250</v>
      </c>
      <c r="C1551">
        <v>16</v>
      </c>
      <c r="D1551">
        <v>34</v>
      </c>
      <c r="E1551">
        <v>0</v>
      </c>
      <c r="F1551">
        <v>809517854</v>
      </c>
      <c r="G1551">
        <v>583175.71</v>
      </c>
      <c r="H1551">
        <v>752659438.5</v>
      </c>
      <c r="I1551">
        <v>769272749.10000002</v>
      </c>
      <c r="J1551">
        <v>0.57878700000000005</v>
      </c>
      <c r="K1551">
        <v>0.452737</v>
      </c>
      <c r="M1551" t="s">
        <v>1</v>
      </c>
      <c r="N1551">
        <v>5000</v>
      </c>
      <c r="O1551">
        <v>16</v>
      </c>
      <c r="P1551">
        <v>1347</v>
      </c>
      <c r="Q1551">
        <v>0</v>
      </c>
      <c r="R1551">
        <v>47297591780</v>
      </c>
      <c r="S1551">
        <v>62149650.93</v>
      </c>
      <c r="T1551">
        <v>47028760308.970001</v>
      </c>
      <c r="U1551">
        <v>47163068574.959999</v>
      </c>
      <c r="V1551">
        <v>5.1195999999999998E-2</v>
      </c>
      <c r="W1551">
        <v>1.8207999999999998E-2</v>
      </c>
      <c r="Y1551" t="s">
        <v>3</v>
      </c>
      <c r="Z1551">
        <v>6750</v>
      </c>
      <c r="AA1551">
        <v>14</v>
      </c>
      <c r="AB1551">
        <v>26</v>
      </c>
      <c r="AC1551">
        <v>0</v>
      </c>
      <c r="AD1551">
        <v>797964096</v>
      </c>
      <c r="AE1551">
        <v>759725.71</v>
      </c>
      <c r="AF1551">
        <v>797020107</v>
      </c>
      <c r="AG1551">
        <v>797020107</v>
      </c>
      <c r="AH1551">
        <v>2.7669999999999999E-3</v>
      </c>
      <c r="AI1551">
        <v>2.7669999999999999E-3</v>
      </c>
    </row>
    <row r="1552" spans="1:35" x14ac:dyDescent="0.35">
      <c r="A1552" t="s">
        <v>3</v>
      </c>
      <c r="B1552">
        <v>6000</v>
      </c>
      <c r="C1552">
        <v>12</v>
      </c>
      <c r="D1552">
        <v>31</v>
      </c>
      <c r="E1552">
        <v>0</v>
      </c>
      <c r="F1552">
        <v>757127908</v>
      </c>
      <c r="G1552">
        <v>816509.07</v>
      </c>
      <c r="H1552">
        <v>753979721.17999995</v>
      </c>
      <c r="I1552">
        <v>756308682.05999994</v>
      </c>
      <c r="J1552">
        <v>3.6336E-2</v>
      </c>
      <c r="K1552">
        <v>4.3000000000000002E-5</v>
      </c>
      <c r="M1552" t="s">
        <v>0</v>
      </c>
      <c r="N1552">
        <v>9000</v>
      </c>
      <c r="O1552">
        <v>16</v>
      </c>
      <c r="P1552">
        <v>43</v>
      </c>
      <c r="Q1552">
        <v>0</v>
      </c>
      <c r="R1552">
        <v>1086870827</v>
      </c>
      <c r="S1552">
        <v>710209.3</v>
      </c>
      <c r="T1552">
        <v>1052430780.59</v>
      </c>
      <c r="U1552">
        <v>1074160304.4300001</v>
      </c>
      <c r="V1552">
        <v>0.31497999999999998</v>
      </c>
      <c r="W1552">
        <v>0.124737</v>
      </c>
      <c r="Y1552" t="s">
        <v>2</v>
      </c>
      <c r="Z1552">
        <v>6250</v>
      </c>
      <c r="AA1552">
        <v>10</v>
      </c>
      <c r="AB1552">
        <v>525</v>
      </c>
      <c r="AC1552">
        <v>0</v>
      </c>
      <c r="AD1552">
        <v>10777960124</v>
      </c>
      <c r="AE1552">
        <v>10988837.49</v>
      </c>
      <c r="AF1552">
        <v>10765967073</v>
      </c>
      <c r="AG1552">
        <v>10765967073</v>
      </c>
      <c r="AH1552">
        <v>1.1180000000000001E-3</v>
      </c>
      <c r="AI1552">
        <v>1.1180000000000001E-3</v>
      </c>
    </row>
    <row r="1553" spans="1:35" x14ac:dyDescent="0.35">
      <c r="A1553" t="s">
        <v>2</v>
      </c>
      <c r="B1553">
        <v>6500</v>
      </c>
      <c r="C1553">
        <v>6</v>
      </c>
      <c r="D1553">
        <v>749</v>
      </c>
      <c r="E1553">
        <v>0</v>
      </c>
      <c r="F1553">
        <v>15526432464</v>
      </c>
      <c r="G1553">
        <v>14769194.960000001</v>
      </c>
      <c r="H1553">
        <v>15480510181.610001</v>
      </c>
      <c r="I1553">
        <v>15502406826.700001</v>
      </c>
      <c r="J1553">
        <v>2.3813999999999998E-2</v>
      </c>
      <c r="K1553">
        <v>7.1310000000000002E-3</v>
      </c>
      <c r="M1553" t="s">
        <v>3</v>
      </c>
      <c r="N1553">
        <v>6000</v>
      </c>
      <c r="O1553">
        <v>16</v>
      </c>
      <c r="P1553">
        <v>12</v>
      </c>
      <c r="Q1553">
        <v>0</v>
      </c>
      <c r="R1553">
        <v>297200690</v>
      </c>
      <c r="S1553">
        <v>330072.31</v>
      </c>
      <c r="T1553">
        <v>295578203.36000001</v>
      </c>
      <c r="U1553">
        <v>296870610.75999999</v>
      </c>
      <c r="V1553">
        <v>5.0952999999999998E-2</v>
      </c>
      <c r="W1553">
        <v>0</v>
      </c>
      <c r="Y1553" t="s">
        <v>3</v>
      </c>
      <c r="Z1553">
        <v>7750</v>
      </c>
      <c r="AA1553">
        <v>16</v>
      </c>
      <c r="AB1553">
        <v>4</v>
      </c>
      <c r="AC1553">
        <v>0</v>
      </c>
      <c r="AD1553">
        <v>68765776</v>
      </c>
      <c r="AE1553">
        <v>54789.15</v>
      </c>
      <c r="AF1553">
        <v>68688362</v>
      </c>
      <c r="AG1553">
        <v>68688362</v>
      </c>
      <c r="AH1553">
        <v>3.9410000000000001E-3</v>
      </c>
      <c r="AI1553">
        <v>3.9410000000000001E-3</v>
      </c>
    </row>
    <row r="1554" spans="1:35" x14ac:dyDescent="0.35">
      <c r="A1554" t="s">
        <v>2</v>
      </c>
      <c r="B1554">
        <v>8000</v>
      </c>
      <c r="C1554">
        <v>18</v>
      </c>
      <c r="D1554">
        <v>5</v>
      </c>
      <c r="E1554">
        <v>0</v>
      </c>
      <c r="F1554">
        <v>100406692</v>
      </c>
      <c r="G1554">
        <v>76822.69</v>
      </c>
      <c r="H1554">
        <v>96048947.359999999</v>
      </c>
      <c r="I1554">
        <v>96703924.319999993</v>
      </c>
      <c r="J1554">
        <v>0.40717599999999998</v>
      </c>
      <c r="K1554">
        <v>0.35684500000000002</v>
      </c>
      <c r="M1554" t="s">
        <v>3</v>
      </c>
      <c r="N1554">
        <v>5750</v>
      </c>
      <c r="O1554">
        <v>16</v>
      </c>
      <c r="P1554">
        <v>5</v>
      </c>
      <c r="Q1554">
        <v>0</v>
      </c>
      <c r="R1554">
        <v>111696232</v>
      </c>
      <c r="S1554">
        <v>127481.94</v>
      </c>
      <c r="T1554">
        <v>111332580.17</v>
      </c>
      <c r="U1554">
        <v>111568743.25</v>
      </c>
      <c r="V1554">
        <v>2.5080000000000002E-2</v>
      </c>
      <c r="W1554">
        <v>9.9999999999999995E-7</v>
      </c>
      <c r="Y1554" t="s">
        <v>1</v>
      </c>
      <c r="Z1554">
        <v>7750</v>
      </c>
      <c r="AA1554">
        <v>14</v>
      </c>
      <c r="AB1554">
        <v>231</v>
      </c>
      <c r="AC1554">
        <v>0</v>
      </c>
      <c r="AD1554">
        <v>5467282703</v>
      </c>
      <c r="AE1554">
        <v>4274108.6900000004</v>
      </c>
      <c r="AF1554">
        <v>5227846435</v>
      </c>
      <c r="AG1554">
        <v>5350295833.9200001</v>
      </c>
      <c r="AH1554">
        <v>0.40996899999999997</v>
      </c>
      <c r="AI1554">
        <v>0.22118099999999999</v>
      </c>
    </row>
    <row r="1555" spans="1:35" x14ac:dyDescent="0.35">
      <c r="A1555" t="s">
        <v>1</v>
      </c>
      <c r="B1555">
        <v>8000</v>
      </c>
      <c r="C1555">
        <v>16</v>
      </c>
      <c r="D1555">
        <v>133</v>
      </c>
      <c r="E1555">
        <v>0</v>
      </c>
      <c r="F1555">
        <v>2716153513</v>
      </c>
      <c r="G1555">
        <v>2063658.88</v>
      </c>
      <c r="H1555">
        <v>2507490969.3000002</v>
      </c>
      <c r="I1555">
        <v>2670038669.3499999</v>
      </c>
      <c r="J1555">
        <v>0.61300299999999996</v>
      </c>
      <c r="K1555">
        <v>0.17816399999999999</v>
      </c>
      <c r="M1555" t="s">
        <v>3</v>
      </c>
      <c r="N1555">
        <v>7500</v>
      </c>
      <c r="O1555">
        <v>16</v>
      </c>
      <c r="P1555">
        <v>5</v>
      </c>
      <c r="Q1555">
        <v>0</v>
      </c>
      <c r="R1555">
        <v>129230671</v>
      </c>
      <c r="S1555">
        <v>108500.99</v>
      </c>
      <c r="T1555">
        <v>128615399.89</v>
      </c>
      <c r="U1555">
        <v>129122168.48</v>
      </c>
      <c r="V1555">
        <v>4.6054999999999999E-2</v>
      </c>
      <c r="W1555">
        <v>0</v>
      </c>
      <c r="Y1555" t="s">
        <v>2</v>
      </c>
      <c r="Z1555">
        <v>5000</v>
      </c>
      <c r="AA1555">
        <v>12</v>
      </c>
      <c r="AB1555">
        <v>131</v>
      </c>
      <c r="AC1555">
        <v>0</v>
      </c>
      <c r="AD1555">
        <v>3310171552</v>
      </c>
      <c r="AE1555">
        <v>4251907.2</v>
      </c>
      <c r="AF1555">
        <v>3305811242</v>
      </c>
      <c r="AG1555">
        <v>3305811242</v>
      </c>
      <c r="AH1555">
        <v>3.9300000000000001E-4</v>
      </c>
      <c r="AI1555">
        <v>3.9300000000000001E-4</v>
      </c>
    </row>
    <row r="1556" spans="1:35" x14ac:dyDescent="0.35">
      <c r="A1556" t="s">
        <v>2</v>
      </c>
      <c r="B1556">
        <v>7250</v>
      </c>
      <c r="C1556">
        <v>12</v>
      </c>
      <c r="D1556">
        <v>340</v>
      </c>
      <c r="E1556">
        <v>0</v>
      </c>
      <c r="F1556">
        <v>5036888465</v>
      </c>
      <c r="G1556">
        <v>4297814.4800000004</v>
      </c>
      <c r="H1556">
        <v>4975481160.1599998</v>
      </c>
      <c r="I1556">
        <v>5012632397.4399996</v>
      </c>
      <c r="J1556">
        <v>0.127887</v>
      </c>
      <c r="K1556">
        <v>4.6525999999999998E-2</v>
      </c>
      <c r="M1556" t="s">
        <v>3</v>
      </c>
      <c r="N1556">
        <v>7750</v>
      </c>
      <c r="O1556">
        <v>16</v>
      </c>
      <c r="P1556">
        <v>6</v>
      </c>
      <c r="Q1556">
        <v>0</v>
      </c>
      <c r="R1556">
        <v>168251820</v>
      </c>
      <c r="S1556">
        <v>134795.92000000001</v>
      </c>
      <c r="T1556">
        <v>167380720.84999999</v>
      </c>
      <c r="U1556">
        <v>168117020.84</v>
      </c>
      <c r="V1556">
        <v>5.1269000000000002E-2</v>
      </c>
      <c r="W1556">
        <v>0</v>
      </c>
      <c r="Y1556" t="s">
        <v>3</v>
      </c>
      <c r="Z1556">
        <v>6000</v>
      </c>
      <c r="AA1556">
        <v>12</v>
      </c>
      <c r="AB1556">
        <v>31</v>
      </c>
      <c r="AC1556">
        <v>0</v>
      </c>
      <c r="AD1556">
        <v>835008718</v>
      </c>
      <c r="AE1556">
        <v>897168.8</v>
      </c>
      <c r="AF1556">
        <v>833924556</v>
      </c>
      <c r="AG1556">
        <v>833924556</v>
      </c>
      <c r="AH1556">
        <v>2.6840000000000002E-3</v>
      </c>
      <c r="AI1556">
        <v>2.6840000000000002E-3</v>
      </c>
    </row>
    <row r="1557" spans="1:35" x14ac:dyDescent="0.35">
      <c r="A1557" t="s">
        <v>2</v>
      </c>
      <c r="B1557">
        <v>7750</v>
      </c>
      <c r="C1557">
        <v>14</v>
      </c>
      <c r="D1557">
        <v>10</v>
      </c>
      <c r="E1557">
        <v>0</v>
      </c>
      <c r="F1557">
        <v>107857129</v>
      </c>
      <c r="G1557">
        <v>84633.77</v>
      </c>
      <c r="H1557">
        <v>106547163.14</v>
      </c>
      <c r="I1557">
        <v>107721256.27</v>
      </c>
      <c r="J1557">
        <v>0.12812499999999999</v>
      </c>
      <c r="K1557">
        <v>5.6860000000000001E-3</v>
      </c>
      <c r="M1557" t="s">
        <v>3</v>
      </c>
      <c r="N1557">
        <v>6500</v>
      </c>
      <c r="O1557">
        <v>14</v>
      </c>
      <c r="P1557">
        <v>38</v>
      </c>
      <c r="Q1557">
        <v>0</v>
      </c>
      <c r="R1557">
        <v>1024397236</v>
      </c>
      <c r="S1557">
        <v>1017413.69</v>
      </c>
      <c r="T1557">
        <v>1019907709.53</v>
      </c>
      <c r="U1557">
        <v>1023373253.3099999</v>
      </c>
      <c r="V1557">
        <v>3.9923E-2</v>
      </c>
      <c r="W1557">
        <v>7.7000000000000001E-5</v>
      </c>
      <c r="Y1557" t="s">
        <v>3</v>
      </c>
      <c r="Z1557">
        <v>5250</v>
      </c>
      <c r="AA1557">
        <v>14</v>
      </c>
      <c r="AB1557">
        <v>18</v>
      </c>
      <c r="AC1557">
        <v>0</v>
      </c>
      <c r="AD1557">
        <v>486637714</v>
      </c>
      <c r="AE1557">
        <v>605160.98</v>
      </c>
      <c r="AF1557">
        <v>486021377</v>
      </c>
      <c r="AG1557">
        <v>486021377</v>
      </c>
      <c r="AH1557">
        <v>2.7599999999999999E-4</v>
      </c>
      <c r="AI1557">
        <v>2.7599999999999999E-4</v>
      </c>
    </row>
    <row r="1558" spans="1:35" x14ac:dyDescent="0.35">
      <c r="A1558" t="s">
        <v>2</v>
      </c>
      <c r="B1558">
        <v>7250</v>
      </c>
      <c r="C1558">
        <v>14</v>
      </c>
      <c r="D1558">
        <v>292</v>
      </c>
      <c r="E1558">
        <v>0</v>
      </c>
      <c r="F1558">
        <v>4287277432</v>
      </c>
      <c r="G1558">
        <v>3700442.77</v>
      </c>
      <c r="H1558">
        <v>4215946931.54</v>
      </c>
      <c r="I1558">
        <v>4247682417.0999999</v>
      </c>
      <c r="J1558">
        <v>0.173706</v>
      </c>
      <c r="K1558">
        <v>9.5968999999999999E-2</v>
      </c>
      <c r="M1558" t="s">
        <v>3</v>
      </c>
      <c r="N1558">
        <v>7500</v>
      </c>
      <c r="O1558">
        <v>14</v>
      </c>
      <c r="P1558">
        <v>3</v>
      </c>
      <c r="Q1558">
        <v>0</v>
      </c>
      <c r="R1558">
        <v>76219860</v>
      </c>
      <c r="S1558">
        <v>63628.04</v>
      </c>
      <c r="T1558">
        <v>75653488.730000004</v>
      </c>
      <c r="U1558">
        <v>76155502.810000002</v>
      </c>
      <c r="V1558">
        <v>7.6341999999999993E-2</v>
      </c>
      <c r="W1558">
        <v>1.15E-4</v>
      </c>
      <c r="Y1558" t="s">
        <v>2</v>
      </c>
      <c r="Z1558">
        <v>8250</v>
      </c>
      <c r="AA1558">
        <v>16</v>
      </c>
      <c r="AB1558">
        <v>2</v>
      </c>
      <c r="AC1558">
        <v>0</v>
      </c>
      <c r="AD1558">
        <v>25718717</v>
      </c>
      <c r="AE1558">
        <v>18444.09</v>
      </c>
      <c r="AF1558">
        <v>25711458</v>
      </c>
      <c r="AG1558">
        <v>25711458</v>
      </c>
      <c r="AH1558">
        <v>-5.2310000000000004E-3</v>
      </c>
      <c r="AI1558">
        <v>-5.2310000000000004E-3</v>
      </c>
    </row>
    <row r="1559" spans="1:35" x14ac:dyDescent="0.35">
      <c r="A1559" t="s">
        <v>1</v>
      </c>
      <c r="B1559">
        <v>7500</v>
      </c>
      <c r="C1559">
        <v>5</v>
      </c>
      <c r="D1559">
        <v>707</v>
      </c>
      <c r="E1559">
        <v>0</v>
      </c>
      <c r="F1559">
        <v>23246300000</v>
      </c>
      <c r="G1559">
        <v>17986236.34</v>
      </c>
      <c r="H1559">
        <v>23151060188.59</v>
      </c>
      <c r="I1559">
        <v>23205709599.34</v>
      </c>
      <c r="J1559">
        <v>3.9157999999999998E-2</v>
      </c>
      <c r="K1559">
        <v>1.1606E-2</v>
      </c>
      <c r="M1559" t="s">
        <v>1</v>
      </c>
      <c r="N1559">
        <v>7500</v>
      </c>
      <c r="O1559">
        <v>12</v>
      </c>
      <c r="P1559">
        <v>323</v>
      </c>
      <c r="Q1559">
        <v>0</v>
      </c>
      <c r="R1559">
        <v>7874331088</v>
      </c>
      <c r="S1559">
        <v>6436638.1600000001</v>
      </c>
      <c r="T1559">
        <v>7027617025.5299997</v>
      </c>
      <c r="U1559">
        <v>7761662502.5600004</v>
      </c>
      <c r="V1559">
        <v>0.74183100000000002</v>
      </c>
      <c r="W1559">
        <v>0.15040300000000001</v>
      </c>
      <c r="Y1559" t="s">
        <v>3</v>
      </c>
      <c r="Z1559">
        <v>6000</v>
      </c>
      <c r="AA1559">
        <v>10</v>
      </c>
      <c r="AB1559">
        <v>15</v>
      </c>
      <c r="AC1559">
        <v>0</v>
      </c>
      <c r="AD1559">
        <v>352799941</v>
      </c>
      <c r="AE1559">
        <v>377821.99</v>
      </c>
      <c r="AF1559">
        <v>352416490</v>
      </c>
      <c r="AG1559">
        <v>352416490</v>
      </c>
      <c r="AH1559">
        <v>1.9100000000000001E-4</v>
      </c>
      <c r="AI1559">
        <v>1.9100000000000001E-4</v>
      </c>
    </row>
    <row r="1560" spans="1:35" x14ac:dyDescent="0.35">
      <c r="A1560" t="s">
        <v>3</v>
      </c>
      <c r="B1560">
        <v>6500</v>
      </c>
      <c r="C1560">
        <v>14</v>
      </c>
      <c r="D1560">
        <v>29</v>
      </c>
      <c r="E1560">
        <v>0</v>
      </c>
      <c r="F1560">
        <v>657162292</v>
      </c>
      <c r="G1560">
        <v>655905.44999999995</v>
      </c>
      <c r="H1560">
        <v>652598711.58000004</v>
      </c>
      <c r="I1560">
        <v>656231657.63999999</v>
      </c>
      <c r="J1560">
        <v>6.9067000000000003E-2</v>
      </c>
      <c r="K1560">
        <v>5.0049999999999999E-3</v>
      </c>
      <c r="M1560" t="s">
        <v>1</v>
      </c>
      <c r="N1560">
        <v>8000</v>
      </c>
      <c r="O1560">
        <v>14</v>
      </c>
      <c r="P1560">
        <v>216</v>
      </c>
      <c r="Q1560">
        <v>0</v>
      </c>
      <c r="R1560">
        <v>4841565252</v>
      </c>
      <c r="S1560">
        <v>3624308.51</v>
      </c>
      <c r="T1560">
        <v>4333243831.5699997</v>
      </c>
      <c r="U1560">
        <v>4794745268.4399996</v>
      </c>
      <c r="V1560">
        <v>0.73313899999999999</v>
      </c>
      <c r="W1560">
        <v>0.101962</v>
      </c>
      <c r="Y1560" t="s">
        <v>3</v>
      </c>
      <c r="Z1560">
        <v>6000</v>
      </c>
      <c r="AA1560">
        <v>14</v>
      </c>
      <c r="AB1560">
        <v>45</v>
      </c>
      <c r="AC1560">
        <v>0</v>
      </c>
      <c r="AD1560">
        <v>1129137087</v>
      </c>
      <c r="AE1560">
        <v>1228323.49</v>
      </c>
      <c r="AF1560">
        <v>1127793960</v>
      </c>
      <c r="AG1560">
        <v>1127793960</v>
      </c>
      <c r="AH1560">
        <v>1.219E-3</v>
      </c>
      <c r="AI1560">
        <v>1.219E-3</v>
      </c>
    </row>
    <row r="1561" spans="1:35" x14ac:dyDescent="0.35">
      <c r="A1561" t="s">
        <v>3</v>
      </c>
      <c r="B1561">
        <v>6000</v>
      </c>
      <c r="C1561">
        <v>16</v>
      </c>
      <c r="D1561">
        <v>16</v>
      </c>
      <c r="E1561">
        <v>0</v>
      </c>
      <c r="F1561">
        <v>387051612</v>
      </c>
      <c r="G1561">
        <v>427599.66</v>
      </c>
      <c r="H1561">
        <v>384647440.26999998</v>
      </c>
      <c r="I1561">
        <v>386624008.24000001</v>
      </c>
      <c r="J1561">
        <v>5.9589000000000003E-2</v>
      </c>
      <c r="K1561">
        <v>0</v>
      </c>
      <c r="M1561" t="s">
        <v>2</v>
      </c>
      <c r="N1561">
        <v>3250</v>
      </c>
      <c r="O1561">
        <v>18</v>
      </c>
      <c r="P1561">
        <v>10</v>
      </c>
      <c r="Q1561">
        <v>0</v>
      </c>
      <c r="R1561">
        <v>224244694</v>
      </c>
      <c r="S1561">
        <v>417718.47</v>
      </c>
      <c r="T1561">
        <v>220796358.09</v>
      </c>
      <c r="U1561">
        <v>222764348.16999999</v>
      </c>
      <c r="V1561">
        <v>0.15064900000000001</v>
      </c>
      <c r="W1561">
        <v>5.5405000000000003E-2</v>
      </c>
      <c r="Y1561" t="s">
        <v>0</v>
      </c>
      <c r="Z1561">
        <v>8250</v>
      </c>
      <c r="AA1561">
        <v>14</v>
      </c>
      <c r="AB1561">
        <v>214</v>
      </c>
      <c r="AC1561">
        <v>0</v>
      </c>
      <c r="AD1561">
        <v>6116448366</v>
      </c>
      <c r="AE1561">
        <v>4329278.47</v>
      </c>
      <c r="AF1561">
        <v>6048758713</v>
      </c>
      <c r="AG1561">
        <v>6048758713</v>
      </c>
      <c r="AH1561">
        <v>0.117465</v>
      </c>
      <c r="AI1561">
        <v>0.117465</v>
      </c>
    </row>
    <row r="1562" spans="1:35" x14ac:dyDescent="0.35">
      <c r="A1562" t="s">
        <v>2</v>
      </c>
      <c r="B1562">
        <v>4750</v>
      </c>
      <c r="C1562">
        <v>16</v>
      </c>
      <c r="D1562">
        <v>36</v>
      </c>
      <c r="E1562">
        <v>0</v>
      </c>
      <c r="F1562">
        <v>917698192</v>
      </c>
      <c r="G1562">
        <v>1254459.22</v>
      </c>
      <c r="H1562">
        <v>914866915.42999995</v>
      </c>
      <c r="I1562">
        <v>916441119.66999996</v>
      </c>
      <c r="J1562">
        <v>2.0424999999999999E-2</v>
      </c>
      <c r="K1562">
        <v>3.4E-5</v>
      </c>
      <c r="M1562" t="s">
        <v>0</v>
      </c>
      <c r="N1562">
        <v>8500</v>
      </c>
      <c r="O1562">
        <v>16</v>
      </c>
      <c r="P1562">
        <v>13</v>
      </c>
      <c r="Q1562">
        <v>0</v>
      </c>
      <c r="R1562">
        <v>339895035</v>
      </c>
      <c r="S1562">
        <v>235791.79</v>
      </c>
      <c r="T1562">
        <v>327473253.81</v>
      </c>
      <c r="U1562">
        <v>331855391.12</v>
      </c>
      <c r="V1562">
        <v>0.35475699999999999</v>
      </c>
      <c r="W1562">
        <v>0.243254</v>
      </c>
      <c r="Y1562" t="s">
        <v>1</v>
      </c>
      <c r="Z1562">
        <v>8250</v>
      </c>
      <c r="AA1562">
        <v>14</v>
      </c>
      <c r="AB1562">
        <v>13</v>
      </c>
      <c r="AC1562">
        <v>0</v>
      </c>
      <c r="AD1562">
        <v>281483457</v>
      </c>
      <c r="AE1562">
        <v>199327.28</v>
      </c>
      <c r="AF1562">
        <v>281416213</v>
      </c>
      <c r="AG1562">
        <v>281416213</v>
      </c>
      <c r="AH1562">
        <v>-5.6449999999999998E-3</v>
      </c>
      <c r="AI1562">
        <v>-5.6449999999999998E-3</v>
      </c>
    </row>
    <row r="1563" spans="1:35" x14ac:dyDescent="0.35">
      <c r="A1563" t="s">
        <v>0</v>
      </c>
      <c r="B1563">
        <v>4250</v>
      </c>
      <c r="C1563">
        <v>16</v>
      </c>
      <c r="D1563">
        <v>966</v>
      </c>
      <c r="E1563">
        <v>0</v>
      </c>
      <c r="F1563">
        <v>29403582553</v>
      </c>
      <c r="G1563">
        <v>43829667.560000002</v>
      </c>
      <c r="H1563">
        <v>29333905732.970001</v>
      </c>
      <c r="I1563">
        <v>29354733141.330002</v>
      </c>
      <c r="J1563">
        <v>1.0498E-2</v>
      </c>
      <c r="K1563">
        <v>2.0470000000000002E-3</v>
      </c>
      <c r="M1563" t="s">
        <v>1</v>
      </c>
      <c r="N1563">
        <v>6500</v>
      </c>
      <c r="O1563">
        <v>10</v>
      </c>
      <c r="P1563">
        <v>1088</v>
      </c>
      <c r="Q1563">
        <v>0</v>
      </c>
      <c r="R1563">
        <v>37024047074</v>
      </c>
      <c r="S1563">
        <v>36014405.399999999</v>
      </c>
      <c r="T1563">
        <v>34380738277.690002</v>
      </c>
      <c r="U1563">
        <v>36904079706.540001</v>
      </c>
      <c r="V1563">
        <v>0.58367500000000005</v>
      </c>
      <c r="W1563">
        <v>2.6873999999999999E-2</v>
      </c>
      <c r="Y1563" t="s">
        <v>2</v>
      </c>
      <c r="Z1563">
        <v>8000</v>
      </c>
      <c r="AA1563">
        <v>16</v>
      </c>
      <c r="AB1563">
        <v>4</v>
      </c>
      <c r="AC1563">
        <v>0</v>
      </c>
      <c r="AD1563">
        <v>73601947</v>
      </c>
      <c r="AE1563">
        <v>55661.06</v>
      </c>
      <c r="AF1563">
        <v>73540684</v>
      </c>
      <c r="AG1563">
        <v>73540684</v>
      </c>
      <c r="AH1563">
        <v>9.1299999999999997E-4</v>
      </c>
      <c r="AI1563">
        <v>9.1299999999999997E-4</v>
      </c>
    </row>
    <row r="1564" spans="1:35" x14ac:dyDescent="0.35">
      <c r="A1564" t="s">
        <v>2</v>
      </c>
      <c r="B1564">
        <v>4250</v>
      </c>
      <c r="C1564">
        <v>16</v>
      </c>
      <c r="D1564">
        <v>27</v>
      </c>
      <c r="E1564">
        <v>0</v>
      </c>
      <c r="F1564">
        <v>617111421</v>
      </c>
      <c r="G1564">
        <v>929733.48</v>
      </c>
      <c r="H1564">
        <v>615556060.63</v>
      </c>
      <c r="I1564">
        <v>616161380.35000002</v>
      </c>
      <c r="J1564">
        <v>1.2097999999999999E-2</v>
      </c>
      <c r="K1564">
        <v>3.9500000000000001E-4</v>
      </c>
      <c r="M1564" t="s">
        <v>1</v>
      </c>
      <c r="N1564">
        <v>7250</v>
      </c>
      <c r="O1564">
        <v>10</v>
      </c>
      <c r="P1564">
        <v>632</v>
      </c>
      <c r="Q1564">
        <v>0</v>
      </c>
      <c r="R1564">
        <v>18113770443</v>
      </c>
      <c r="S1564">
        <v>15373709.5</v>
      </c>
      <c r="T1564">
        <v>16234219231.549999</v>
      </c>
      <c r="U1564">
        <v>17888007298.509998</v>
      </c>
      <c r="V1564">
        <v>0.72835399999999995</v>
      </c>
      <c r="W1564">
        <v>0.13081100000000001</v>
      </c>
      <c r="Y1564" t="s">
        <v>1</v>
      </c>
      <c r="Z1564">
        <v>8000</v>
      </c>
      <c r="AA1564">
        <v>14</v>
      </c>
      <c r="AB1564">
        <v>71</v>
      </c>
      <c r="AC1564">
        <v>0</v>
      </c>
      <c r="AD1564">
        <v>1514726026</v>
      </c>
      <c r="AE1564">
        <v>1131161.46</v>
      </c>
      <c r="AF1564">
        <v>1270258804</v>
      </c>
      <c r="AG1564">
        <v>1513802062.45</v>
      </c>
      <c r="AH1564">
        <v>0.87772499999999998</v>
      </c>
      <c r="AI1564">
        <v>-1.6429999999999999E-3</v>
      </c>
    </row>
    <row r="1565" spans="1:35" x14ac:dyDescent="0.35">
      <c r="A1565" t="s">
        <v>1</v>
      </c>
      <c r="B1565">
        <v>4250</v>
      </c>
      <c r="C1565">
        <v>16</v>
      </c>
      <c r="D1565">
        <v>349</v>
      </c>
      <c r="E1565">
        <v>0</v>
      </c>
      <c r="F1565">
        <v>12341825248</v>
      </c>
      <c r="G1565">
        <v>18454902.07</v>
      </c>
      <c r="H1565">
        <v>12262400094.27</v>
      </c>
      <c r="I1565">
        <v>12282672162.940001</v>
      </c>
      <c r="J1565">
        <v>5.7696999999999998E-2</v>
      </c>
      <c r="K1565">
        <v>3.8861E-2</v>
      </c>
      <c r="M1565" t="s">
        <v>2</v>
      </c>
      <c r="N1565">
        <v>6750</v>
      </c>
      <c r="O1565">
        <v>10</v>
      </c>
      <c r="P1565">
        <v>401</v>
      </c>
      <c r="Q1565">
        <v>0</v>
      </c>
      <c r="R1565">
        <v>7160446001</v>
      </c>
      <c r="S1565">
        <v>6660689.5800000001</v>
      </c>
      <c r="T1565">
        <v>7123586049.21</v>
      </c>
      <c r="U1565">
        <v>7148960047.8500004</v>
      </c>
      <c r="V1565">
        <v>4.9452999999999997E-2</v>
      </c>
      <c r="W1565">
        <v>8.0569999999999999E-3</v>
      </c>
      <c r="Y1565" t="s">
        <v>0</v>
      </c>
      <c r="Z1565">
        <v>8500</v>
      </c>
      <c r="AA1565">
        <v>16</v>
      </c>
      <c r="AB1565">
        <v>10</v>
      </c>
      <c r="AC1565">
        <v>0</v>
      </c>
      <c r="AD1565">
        <v>277176053</v>
      </c>
      <c r="AE1565">
        <v>191151.18</v>
      </c>
      <c r="AF1565">
        <v>277016418</v>
      </c>
      <c r="AG1565">
        <v>277016418</v>
      </c>
      <c r="AH1565">
        <v>-1.3649999999999999E-3</v>
      </c>
      <c r="AI1565">
        <v>-1.3649999999999999E-3</v>
      </c>
    </row>
    <row r="1566" spans="1:35" x14ac:dyDescent="0.35">
      <c r="A1566" t="s">
        <v>0</v>
      </c>
      <c r="B1566">
        <v>4250</v>
      </c>
      <c r="C1566">
        <v>14</v>
      </c>
      <c r="D1566">
        <v>1559</v>
      </c>
      <c r="E1566">
        <v>0</v>
      </c>
      <c r="F1566">
        <v>51907303596</v>
      </c>
      <c r="G1566">
        <v>76751816.370000005</v>
      </c>
      <c r="H1566">
        <v>51791134387.010002</v>
      </c>
      <c r="I1566">
        <v>51821239318.800003</v>
      </c>
      <c r="J1566">
        <v>9.0749999999999997E-3</v>
      </c>
      <c r="K1566">
        <v>2.1510000000000001E-3</v>
      </c>
      <c r="M1566" t="s">
        <v>2</v>
      </c>
      <c r="N1566">
        <v>7250</v>
      </c>
      <c r="O1566">
        <v>10</v>
      </c>
      <c r="P1566">
        <v>140</v>
      </c>
      <c r="Q1566">
        <v>0</v>
      </c>
      <c r="R1566">
        <v>2057707860</v>
      </c>
      <c r="S1566">
        <v>1742832.95</v>
      </c>
      <c r="T1566">
        <v>2035419401.8199999</v>
      </c>
      <c r="U1566">
        <v>2046705864.7</v>
      </c>
      <c r="V1566">
        <v>0.113451</v>
      </c>
      <c r="W1566">
        <v>5.2679999999999998E-2</v>
      </c>
      <c r="Y1566" t="s">
        <v>0</v>
      </c>
      <c r="Z1566">
        <v>9000</v>
      </c>
      <c r="AA1566">
        <v>16</v>
      </c>
      <c r="AB1566">
        <v>37</v>
      </c>
      <c r="AC1566">
        <v>0</v>
      </c>
      <c r="AD1566">
        <v>848559008</v>
      </c>
      <c r="AE1566">
        <v>558020</v>
      </c>
      <c r="AF1566">
        <v>829011685</v>
      </c>
      <c r="AG1566">
        <v>848047489.28999996</v>
      </c>
      <c r="AH1566">
        <v>0.23783299999999999</v>
      </c>
      <c r="AI1566">
        <v>-6.5799999999999995E-4</v>
      </c>
    </row>
    <row r="1567" spans="1:35" x14ac:dyDescent="0.35">
      <c r="A1567" t="s">
        <v>0</v>
      </c>
      <c r="B1567">
        <v>4500</v>
      </c>
      <c r="C1567">
        <v>14</v>
      </c>
      <c r="D1567">
        <v>1838</v>
      </c>
      <c r="E1567">
        <v>0</v>
      </c>
      <c r="F1567">
        <v>62336260056</v>
      </c>
      <c r="G1567">
        <v>88309980.909999996</v>
      </c>
      <c r="H1567">
        <v>62172016948.889999</v>
      </c>
      <c r="I1567">
        <v>62228128532.629997</v>
      </c>
      <c r="J1567">
        <v>1.452E-2</v>
      </c>
      <c r="K1567">
        <v>3.8089999999999999E-3</v>
      </c>
      <c r="M1567" t="s">
        <v>3</v>
      </c>
      <c r="N1567">
        <v>6750</v>
      </c>
      <c r="O1567">
        <v>12</v>
      </c>
      <c r="P1567">
        <v>26</v>
      </c>
      <c r="Q1567">
        <v>0</v>
      </c>
      <c r="R1567">
        <v>800251017</v>
      </c>
      <c r="S1567">
        <v>752057.74</v>
      </c>
      <c r="T1567">
        <v>797722714.09000003</v>
      </c>
      <c r="U1567">
        <v>799498882.54999995</v>
      </c>
      <c r="V1567">
        <v>2.6313E-2</v>
      </c>
      <c r="W1567">
        <v>9.9999999999999995E-7</v>
      </c>
      <c r="Y1567" t="s">
        <v>2</v>
      </c>
      <c r="Z1567">
        <v>7250</v>
      </c>
      <c r="AA1567">
        <v>12</v>
      </c>
      <c r="AB1567">
        <v>317</v>
      </c>
      <c r="AC1567">
        <v>0</v>
      </c>
      <c r="AD1567">
        <v>4668293430</v>
      </c>
      <c r="AE1567">
        <v>3983350.35</v>
      </c>
      <c r="AF1567">
        <v>4617190936</v>
      </c>
      <c r="AG1567">
        <v>4664735897.46</v>
      </c>
      <c r="AH1567">
        <v>0.114619</v>
      </c>
      <c r="AI1567">
        <v>-1.0950000000000001E-3</v>
      </c>
    </row>
    <row r="1568" spans="1:35" x14ac:dyDescent="0.35">
      <c r="A1568" t="s">
        <v>2</v>
      </c>
      <c r="B1568">
        <v>4250</v>
      </c>
      <c r="C1568">
        <v>14</v>
      </c>
      <c r="D1568">
        <v>50</v>
      </c>
      <c r="E1568">
        <v>0</v>
      </c>
      <c r="F1568">
        <v>1123431991</v>
      </c>
      <c r="G1568">
        <v>1660262.88</v>
      </c>
      <c r="H1568">
        <v>1120457234.96</v>
      </c>
      <c r="I1568">
        <v>1121143351.8900001</v>
      </c>
      <c r="J1568">
        <v>1.3951E-2</v>
      </c>
      <c r="K1568">
        <v>6.6909999999999999E-3</v>
      </c>
      <c r="M1568" t="s">
        <v>2</v>
      </c>
      <c r="N1568">
        <v>6250</v>
      </c>
      <c r="O1568">
        <v>8</v>
      </c>
      <c r="P1568">
        <v>526</v>
      </c>
      <c r="Q1568">
        <v>0</v>
      </c>
      <c r="R1568">
        <v>10821414741</v>
      </c>
      <c r="S1568">
        <v>10897776.859999999</v>
      </c>
      <c r="T1568">
        <v>10771686407.280001</v>
      </c>
      <c r="U1568">
        <v>10808180449.16</v>
      </c>
      <c r="V1568">
        <v>4.2220000000000001E-2</v>
      </c>
      <c r="W1568">
        <v>2.588E-3</v>
      </c>
      <c r="Y1568" t="s">
        <v>2</v>
      </c>
      <c r="Z1568">
        <v>7500</v>
      </c>
      <c r="AA1568">
        <v>14</v>
      </c>
      <c r="AB1568">
        <v>128</v>
      </c>
      <c r="AC1568">
        <v>0</v>
      </c>
      <c r="AD1568">
        <v>2009126553</v>
      </c>
      <c r="AE1568">
        <v>1671398.97</v>
      </c>
      <c r="AF1568">
        <v>1977253715</v>
      </c>
      <c r="AG1568">
        <v>1992196609.8699999</v>
      </c>
      <c r="AH1568">
        <v>0.16619400000000001</v>
      </c>
      <c r="AI1568">
        <v>8.7423000000000001E-2</v>
      </c>
    </row>
    <row r="1569" spans="1:35" x14ac:dyDescent="0.35">
      <c r="A1569" t="s">
        <v>2</v>
      </c>
      <c r="B1569">
        <v>4750</v>
      </c>
      <c r="C1569">
        <v>14</v>
      </c>
      <c r="D1569">
        <v>38</v>
      </c>
      <c r="E1569">
        <v>0</v>
      </c>
      <c r="F1569">
        <v>970743709</v>
      </c>
      <c r="G1569">
        <v>1315399.8600000001</v>
      </c>
      <c r="H1569">
        <v>967596906.37</v>
      </c>
      <c r="I1569">
        <v>969194937.20000005</v>
      </c>
      <c r="J1569">
        <v>2.2405999999999999E-2</v>
      </c>
      <c r="K1569">
        <v>2.8809999999999999E-3</v>
      </c>
      <c r="M1569" t="s">
        <v>3</v>
      </c>
      <c r="N1569">
        <v>7750</v>
      </c>
      <c r="O1569">
        <v>14</v>
      </c>
      <c r="P1569">
        <v>4</v>
      </c>
      <c r="Q1569">
        <v>0</v>
      </c>
      <c r="R1569">
        <v>68917122</v>
      </c>
      <c r="S1569">
        <v>54127.55</v>
      </c>
      <c r="T1569">
        <v>68492604.379999995</v>
      </c>
      <c r="U1569">
        <v>68862993.290000007</v>
      </c>
      <c r="V1569">
        <v>6.2619999999999995E-2</v>
      </c>
      <c r="W1569">
        <v>0</v>
      </c>
      <c r="Y1569" t="s">
        <v>2</v>
      </c>
      <c r="Z1569">
        <v>7750</v>
      </c>
      <c r="AA1569">
        <v>14</v>
      </c>
      <c r="AB1569">
        <v>19</v>
      </c>
      <c r="AC1569">
        <v>0</v>
      </c>
      <c r="AD1569">
        <v>201460898</v>
      </c>
      <c r="AE1569">
        <v>158014.04999999999</v>
      </c>
      <c r="AF1569">
        <v>201181560</v>
      </c>
      <c r="AG1569">
        <v>201181560</v>
      </c>
      <c r="AH1569">
        <v>7.2030000000000002E-3</v>
      </c>
      <c r="AI1569">
        <v>7.2030000000000002E-3</v>
      </c>
    </row>
    <row r="1570" spans="1:35" x14ac:dyDescent="0.35">
      <c r="A1570" t="s">
        <v>2</v>
      </c>
      <c r="B1570">
        <v>4500</v>
      </c>
      <c r="C1570">
        <v>14</v>
      </c>
      <c r="D1570">
        <v>49</v>
      </c>
      <c r="E1570">
        <v>0</v>
      </c>
      <c r="F1570">
        <v>1203918723</v>
      </c>
      <c r="G1570">
        <v>1708996.96</v>
      </c>
      <c r="H1570">
        <v>1200941607.53</v>
      </c>
      <c r="I1570">
        <v>1202062674.75</v>
      </c>
      <c r="J1570">
        <v>1.2567E-2</v>
      </c>
      <c r="K1570">
        <v>1.4649999999999999E-3</v>
      </c>
      <c r="M1570" t="s">
        <v>1</v>
      </c>
      <c r="N1570">
        <v>7750</v>
      </c>
      <c r="O1570">
        <v>12</v>
      </c>
      <c r="P1570">
        <v>277</v>
      </c>
      <c r="Q1570">
        <v>0</v>
      </c>
      <c r="R1570">
        <v>6801637417</v>
      </c>
      <c r="S1570">
        <v>5256125.54</v>
      </c>
      <c r="T1570">
        <v>6162248082.4399996</v>
      </c>
      <c r="U1570">
        <v>6652343934.3299999</v>
      </c>
      <c r="V1570">
        <v>0.69100499999999998</v>
      </c>
      <c r="W1570">
        <v>0.226517</v>
      </c>
      <c r="Y1570" t="s">
        <v>1</v>
      </c>
      <c r="Z1570">
        <v>7500</v>
      </c>
      <c r="AA1570">
        <v>5</v>
      </c>
      <c r="AB1570">
        <v>1117</v>
      </c>
      <c r="AC1570">
        <v>0</v>
      </c>
      <c r="AD1570">
        <v>36179100000</v>
      </c>
      <c r="AE1570">
        <v>28034595.719999999</v>
      </c>
      <c r="AF1570">
        <v>35834634326</v>
      </c>
      <c r="AG1570">
        <v>35854219233.410004</v>
      </c>
      <c r="AH1570">
        <v>0.10005</v>
      </c>
      <c r="AI1570">
        <v>9.4134999999999996E-2</v>
      </c>
    </row>
    <row r="1571" spans="1:35" x14ac:dyDescent="0.35">
      <c r="A1571" t="s">
        <v>1</v>
      </c>
      <c r="B1571">
        <v>4250</v>
      </c>
      <c r="C1571">
        <v>14</v>
      </c>
      <c r="D1571">
        <v>523</v>
      </c>
      <c r="E1571">
        <v>0</v>
      </c>
      <c r="F1571">
        <v>18375866437</v>
      </c>
      <c r="G1571">
        <v>27189574.239999998</v>
      </c>
      <c r="H1571">
        <v>18234097060.310001</v>
      </c>
      <c r="I1571">
        <v>18264557840.959999</v>
      </c>
      <c r="J1571">
        <v>7.2311E-2</v>
      </c>
      <c r="K1571">
        <v>5.357E-2</v>
      </c>
      <c r="M1571" t="s">
        <v>0</v>
      </c>
      <c r="N1571">
        <v>5000</v>
      </c>
      <c r="O1571">
        <v>10</v>
      </c>
      <c r="P1571">
        <v>2413</v>
      </c>
      <c r="Q1571">
        <v>0</v>
      </c>
      <c r="R1571">
        <v>85274875726</v>
      </c>
      <c r="S1571">
        <v>108847396.20999999</v>
      </c>
      <c r="T1571">
        <v>84959155399.449997</v>
      </c>
      <c r="U1571">
        <v>85107341022.970001</v>
      </c>
      <c r="V1571">
        <v>2.8726000000000002E-2</v>
      </c>
      <c r="W1571">
        <v>8.2269999999999999E-3</v>
      </c>
      <c r="Y1571" t="s">
        <v>3</v>
      </c>
      <c r="Z1571">
        <v>6500</v>
      </c>
      <c r="AA1571">
        <v>12</v>
      </c>
      <c r="AB1571">
        <v>44</v>
      </c>
      <c r="AC1571">
        <v>0</v>
      </c>
      <c r="AD1571">
        <v>1062463038</v>
      </c>
      <c r="AE1571">
        <v>1044471.39</v>
      </c>
      <c r="AF1571">
        <v>1061291020</v>
      </c>
      <c r="AG1571">
        <v>1061291020</v>
      </c>
      <c r="AH1571">
        <v>1.4400000000000001E-3</v>
      </c>
      <c r="AI1571">
        <v>1.4400000000000001E-3</v>
      </c>
    </row>
    <row r="1572" spans="1:35" x14ac:dyDescent="0.35">
      <c r="A1572" t="s">
        <v>1</v>
      </c>
      <c r="B1572">
        <v>4500</v>
      </c>
      <c r="C1572">
        <v>14</v>
      </c>
      <c r="D1572">
        <v>845</v>
      </c>
      <c r="E1572">
        <v>0</v>
      </c>
      <c r="F1572">
        <v>30380708779</v>
      </c>
      <c r="G1572">
        <v>43084659.630000003</v>
      </c>
      <c r="H1572">
        <v>30192277447.810001</v>
      </c>
      <c r="I1572">
        <v>30276330702.439999</v>
      </c>
      <c r="J1572">
        <v>5.5923E-2</v>
      </c>
      <c r="K1572">
        <v>2.3942999999999999E-2</v>
      </c>
      <c r="M1572" t="s">
        <v>2</v>
      </c>
      <c r="N1572">
        <v>5000</v>
      </c>
      <c r="O1572">
        <v>10</v>
      </c>
      <c r="P1572">
        <v>66</v>
      </c>
      <c r="Q1572">
        <v>0</v>
      </c>
      <c r="R1572">
        <v>1606675162</v>
      </c>
      <c r="S1572">
        <v>2047678.61</v>
      </c>
      <c r="T1572">
        <v>1603334070.52</v>
      </c>
      <c r="U1572">
        <v>1604591355.79</v>
      </c>
      <c r="V1572">
        <v>9.6179999999999998E-3</v>
      </c>
      <c r="W1572">
        <v>2.7E-4</v>
      </c>
      <c r="Y1572" t="s">
        <v>1</v>
      </c>
      <c r="Z1572">
        <v>7000</v>
      </c>
      <c r="AA1572">
        <v>10</v>
      </c>
      <c r="AB1572">
        <v>435</v>
      </c>
      <c r="AC1572">
        <v>0</v>
      </c>
      <c r="AD1572">
        <v>12726279158</v>
      </c>
      <c r="AE1572">
        <v>11347294.390000001</v>
      </c>
      <c r="AF1572">
        <v>11873529673</v>
      </c>
      <c r="AG1572">
        <v>12608247658.83</v>
      </c>
      <c r="AH1572">
        <v>0.55993300000000001</v>
      </c>
      <c r="AI1572">
        <v>9.6085000000000004E-2</v>
      </c>
    </row>
    <row r="1573" spans="1:35" x14ac:dyDescent="0.35">
      <c r="A1573" t="s">
        <v>2</v>
      </c>
      <c r="B1573">
        <v>4750</v>
      </c>
      <c r="C1573">
        <v>12</v>
      </c>
      <c r="D1573">
        <v>41</v>
      </c>
      <c r="E1573">
        <v>0</v>
      </c>
      <c r="F1573">
        <v>933359747</v>
      </c>
      <c r="G1573">
        <v>1257286.93</v>
      </c>
      <c r="H1573">
        <v>931207724.35000002</v>
      </c>
      <c r="I1573">
        <v>932086707.84000003</v>
      </c>
      <c r="J1573">
        <v>1.1443E-2</v>
      </c>
      <c r="K1573">
        <v>2.03E-4</v>
      </c>
      <c r="M1573" t="s">
        <v>3</v>
      </c>
      <c r="N1573">
        <v>6000</v>
      </c>
      <c r="O1573">
        <v>10</v>
      </c>
      <c r="P1573">
        <v>15</v>
      </c>
      <c r="Q1573">
        <v>0</v>
      </c>
      <c r="R1573">
        <v>430818872</v>
      </c>
      <c r="S1573">
        <v>457978.31</v>
      </c>
      <c r="T1573">
        <v>429724453.79000002</v>
      </c>
      <c r="U1573">
        <v>430360878.12</v>
      </c>
      <c r="V1573">
        <v>1.7583999999999999E-2</v>
      </c>
      <c r="W1573">
        <v>0</v>
      </c>
      <c r="Y1573" t="s">
        <v>1</v>
      </c>
      <c r="Z1573">
        <v>4750</v>
      </c>
      <c r="AA1573">
        <v>16</v>
      </c>
      <c r="AB1573">
        <v>563</v>
      </c>
      <c r="AC1573">
        <v>0</v>
      </c>
      <c r="AD1573">
        <v>20008063906</v>
      </c>
      <c r="AE1573">
        <v>27465885.989999998</v>
      </c>
      <c r="AF1573">
        <v>19945328361</v>
      </c>
      <c r="AG1573">
        <v>19945328361</v>
      </c>
      <c r="AH1573">
        <v>2.0948999999999999E-2</v>
      </c>
      <c r="AI1573">
        <v>2.0948999999999999E-2</v>
      </c>
    </row>
    <row r="1574" spans="1:35" x14ac:dyDescent="0.35">
      <c r="A1574" t="s">
        <v>0</v>
      </c>
      <c r="B1574">
        <v>4750</v>
      </c>
      <c r="C1574">
        <v>12</v>
      </c>
      <c r="D1574">
        <v>1244</v>
      </c>
      <c r="E1574">
        <v>0</v>
      </c>
      <c r="F1574">
        <v>42687765258</v>
      </c>
      <c r="G1574">
        <v>57415013.899999999</v>
      </c>
      <c r="H1574">
        <v>42576166233.870003</v>
      </c>
      <c r="I1574">
        <v>42612860365.860001</v>
      </c>
      <c r="J1574">
        <v>1.5126000000000001E-2</v>
      </c>
      <c r="K1574">
        <v>4.9059999999999998E-3</v>
      </c>
      <c r="M1574" t="s">
        <v>3</v>
      </c>
      <c r="N1574">
        <v>5250</v>
      </c>
      <c r="O1574">
        <v>12</v>
      </c>
      <c r="P1574">
        <v>18</v>
      </c>
      <c r="Q1574">
        <v>0</v>
      </c>
      <c r="R1574">
        <v>487862197</v>
      </c>
      <c r="S1574">
        <v>599968.19999999995</v>
      </c>
      <c r="T1574">
        <v>486164427.82999998</v>
      </c>
      <c r="U1574">
        <v>487262173.13999999</v>
      </c>
      <c r="V1574">
        <v>2.6671E-2</v>
      </c>
      <c r="W1574">
        <v>9.9999999999999995E-7</v>
      </c>
      <c r="Y1574" t="s">
        <v>0</v>
      </c>
      <c r="Z1574">
        <v>4250</v>
      </c>
      <c r="AA1574">
        <v>14</v>
      </c>
      <c r="AB1574">
        <v>1222</v>
      </c>
      <c r="AC1574">
        <v>0</v>
      </c>
      <c r="AD1574">
        <v>39251694524</v>
      </c>
      <c r="AE1574">
        <v>58003961.07</v>
      </c>
      <c r="AF1574">
        <v>39190366486</v>
      </c>
      <c r="AG1574">
        <v>39190366486</v>
      </c>
      <c r="AH1574">
        <v>1.016E-3</v>
      </c>
      <c r="AI1574">
        <v>1.016E-3</v>
      </c>
    </row>
    <row r="1575" spans="1:35" x14ac:dyDescent="0.35">
      <c r="A1575" t="s">
        <v>1</v>
      </c>
      <c r="B1575">
        <v>4750</v>
      </c>
      <c r="C1575">
        <v>12</v>
      </c>
      <c r="D1575">
        <v>469</v>
      </c>
      <c r="E1575">
        <v>0</v>
      </c>
      <c r="F1575">
        <v>18326341070</v>
      </c>
      <c r="G1575">
        <v>24655758.789999999</v>
      </c>
      <c r="H1575">
        <v>18232384795.130001</v>
      </c>
      <c r="I1575">
        <v>18279249178.639999</v>
      </c>
      <c r="J1575">
        <v>4.4445999999999999E-2</v>
      </c>
      <c r="K1575">
        <v>1.4593E-2</v>
      </c>
      <c r="M1575" t="s">
        <v>2</v>
      </c>
      <c r="N1575">
        <v>8250</v>
      </c>
      <c r="O1575">
        <v>14</v>
      </c>
      <c r="P1575">
        <v>3</v>
      </c>
      <c r="Q1575">
        <v>0</v>
      </c>
      <c r="R1575">
        <v>34732718</v>
      </c>
      <c r="S1575">
        <v>24553.42</v>
      </c>
      <c r="T1575">
        <v>33555563.079999998</v>
      </c>
      <c r="U1575">
        <v>33924997.07</v>
      </c>
      <c r="V1575">
        <v>0.333007</v>
      </c>
      <c r="W1575">
        <v>0.239423</v>
      </c>
      <c r="Y1575" t="s">
        <v>2</v>
      </c>
      <c r="Z1575">
        <v>4250</v>
      </c>
      <c r="AA1575">
        <v>14</v>
      </c>
      <c r="AB1575">
        <v>43</v>
      </c>
      <c r="AC1575">
        <v>0</v>
      </c>
      <c r="AD1575">
        <v>961098943</v>
      </c>
      <c r="AE1575">
        <v>1427157.63</v>
      </c>
      <c r="AF1575">
        <v>959746744</v>
      </c>
      <c r="AG1575">
        <v>959746744</v>
      </c>
      <c r="AH1575">
        <v>-9.3599999999999998E-4</v>
      </c>
      <c r="AI1575">
        <v>-9.3599999999999998E-4</v>
      </c>
    </row>
    <row r="1576" spans="1:35" x14ac:dyDescent="0.35">
      <c r="A1576" t="s">
        <v>1</v>
      </c>
      <c r="B1576">
        <v>4250</v>
      </c>
      <c r="C1576">
        <v>12</v>
      </c>
      <c r="D1576">
        <v>294</v>
      </c>
      <c r="E1576">
        <v>0</v>
      </c>
      <c r="F1576">
        <v>10005985952</v>
      </c>
      <c r="G1576">
        <v>14672508.32</v>
      </c>
      <c r="H1576">
        <v>9956654437.9899998</v>
      </c>
      <c r="I1576">
        <v>9970142972.1299992</v>
      </c>
      <c r="J1576">
        <v>4.0783E-2</v>
      </c>
      <c r="K1576">
        <v>2.5096E-2</v>
      </c>
      <c r="M1576" t="s">
        <v>3</v>
      </c>
      <c r="N1576">
        <v>6000</v>
      </c>
      <c r="O1576">
        <v>8</v>
      </c>
      <c r="P1576">
        <v>15</v>
      </c>
      <c r="Q1576">
        <v>0</v>
      </c>
      <c r="R1576">
        <v>353985335</v>
      </c>
      <c r="S1576">
        <v>374570.46</v>
      </c>
      <c r="T1576">
        <v>353358391.77999997</v>
      </c>
      <c r="U1576">
        <v>353609369.20999998</v>
      </c>
      <c r="V1576">
        <v>8.5220000000000001E-3</v>
      </c>
      <c r="W1576">
        <v>4.6999999999999997E-5</v>
      </c>
      <c r="Y1576" t="s">
        <v>1</v>
      </c>
      <c r="Z1576">
        <v>4250</v>
      </c>
      <c r="AA1576">
        <v>14</v>
      </c>
      <c r="AB1576">
        <v>463</v>
      </c>
      <c r="AC1576">
        <v>0</v>
      </c>
      <c r="AD1576">
        <v>16504901613</v>
      </c>
      <c r="AE1576">
        <v>24417555.690000001</v>
      </c>
      <c r="AF1576">
        <v>16404803705</v>
      </c>
      <c r="AG1576">
        <v>16404803705</v>
      </c>
      <c r="AH1576">
        <v>5.3657000000000003E-2</v>
      </c>
      <c r="AI1576">
        <v>5.3657000000000003E-2</v>
      </c>
    </row>
    <row r="1577" spans="1:35" x14ac:dyDescent="0.35">
      <c r="A1577" t="s">
        <v>0</v>
      </c>
      <c r="B1577">
        <v>4250</v>
      </c>
      <c r="C1577">
        <v>12</v>
      </c>
      <c r="D1577">
        <v>696</v>
      </c>
      <c r="E1577">
        <v>0</v>
      </c>
      <c r="F1577">
        <v>24031489379</v>
      </c>
      <c r="G1577">
        <v>35200890.780000001</v>
      </c>
      <c r="H1577">
        <v>23980184700.560001</v>
      </c>
      <c r="I1577">
        <v>23990446884.279999</v>
      </c>
      <c r="J1577">
        <v>8.012E-3</v>
      </c>
      <c r="K1577">
        <v>2.9129999999999998E-3</v>
      </c>
      <c r="M1577" t="s">
        <v>3</v>
      </c>
      <c r="N1577">
        <v>6000</v>
      </c>
      <c r="O1577">
        <v>12</v>
      </c>
      <c r="P1577">
        <v>45</v>
      </c>
      <c r="Q1577">
        <v>0</v>
      </c>
      <c r="R1577">
        <v>1132425256</v>
      </c>
      <c r="S1577">
        <v>1217131.95</v>
      </c>
      <c r="T1577">
        <v>1127124254.71</v>
      </c>
      <c r="U1577">
        <v>1131208100.72</v>
      </c>
      <c r="V1577">
        <v>4.2428E-2</v>
      </c>
      <c r="W1577">
        <v>0</v>
      </c>
      <c r="Y1577" t="s">
        <v>2</v>
      </c>
      <c r="Z1577">
        <v>4750</v>
      </c>
      <c r="AA1577">
        <v>14</v>
      </c>
      <c r="AB1577">
        <v>47</v>
      </c>
      <c r="AC1577">
        <v>0</v>
      </c>
      <c r="AD1577">
        <v>1259037931</v>
      </c>
      <c r="AE1577">
        <v>1707120.92</v>
      </c>
      <c r="AF1577">
        <v>1257296326</v>
      </c>
      <c r="AG1577">
        <v>1257296326</v>
      </c>
      <c r="AH1577">
        <v>3.2899999999999997E-4</v>
      </c>
      <c r="AI1577">
        <v>3.2899999999999997E-4</v>
      </c>
    </row>
    <row r="1578" spans="1:35" x14ac:dyDescent="0.35">
      <c r="A1578" t="s">
        <v>1</v>
      </c>
      <c r="B1578">
        <v>5000</v>
      </c>
      <c r="C1578">
        <v>12</v>
      </c>
      <c r="D1578">
        <v>2066</v>
      </c>
      <c r="E1578">
        <v>0</v>
      </c>
      <c r="F1578">
        <v>79959882179</v>
      </c>
      <c r="G1578">
        <v>102956632.05</v>
      </c>
      <c r="H1578">
        <v>79486054228.119995</v>
      </c>
      <c r="I1578">
        <v>79747459653.649994</v>
      </c>
      <c r="J1578">
        <v>5.4260000000000003E-2</v>
      </c>
      <c r="K1578">
        <v>1.6305E-2</v>
      </c>
      <c r="M1578" t="s">
        <v>0</v>
      </c>
      <c r="N1578">
        <v>8250</v>
      </c>
      <c r="O1578">
        <v>12</v>
      </c>
      <c r="P1578">
        <v>225</v>
      </c>
      <c r="Q1578">
        <v>0</v>
      </c>
      <c r="R1578">
        <v>6502730482</v>
      </c>
      <c r="S1578">
        <v>4534882.7</v>
      </c>
      <c r="T1578">
        <v>6307664682.5</v>
      </c>
      <c r="U1578">
        <v>6456024774.3199997</v>
      </c>
      <c r="V1578">
        <v>0.300126</v>
      </c>
      <c r="W1578">
        <v>7.5105000000000005E-2</v>
      </c>
      <c r="Y1578" t="s">
        <v>0</v>
      </c>
      <c r="Z1578">
        <v>4250</v>
      </c>
      <c r="AA1578">
        <v>12</v>
      </c>
      <c r="AB1578">
        <v>1245</v>
      </c>
      <c r="AC1578">
        <v>0</v>
      </c>
      <c r="AD1578">
        <v>42861297000</v>
      </c>
      <c r="AE1578">
        <v>62803584.340000004</v>
      </c>
      <c r="AF1578">
        <v>42796227893</v>
      </c>
      <c r="AG1578">
        <v>42796227893</v>
      </c>
      <c r="AH1578">
        <v>6.3400000000000001E-4</v>
      </c>
      <c r="AI1578">
        <v>6.3400000000000001E-4</v>
      </c>
    </row>
    <row r="1579" spans="1:35" x14ac:dyDescent="0.35">
      <c r="A1579" t="s">
        <v>0</v>
      </c>
      <c r="B1579">
        <v>5250</v>
      </c>
      <c r="C1579">
        <v>12</v>
      </c>
      <c r="D1579">
        <v>2331</v>
      </c>
      <c r="E1579">
        <v>0</v>
      </c>
      <c r="F1579">
        <v>79951156590</v>
      </c>
      <c r="G1579">
        <v>98494238.870000005</v>
      </c>
      <c r="H1579">
        <v>79421077571.669998</v>
      </c>
      <c r="I1579">
        <v>79735058941.449997</v>
      </c>
      <c r="J1579">
        <v>6.2887999999999999E-2</v>
      </c>
      <c r="K1579">
        <v>1.7509E-2</v>
      </c>
      <c r="M1579" t="s">
        <v>1</v>
      </c>
      <c r="N1579">
        <v>8250</v>
      </c>
      <c r="O1579">
        <v>12</v>
      </c>
      <c r="P1579">
        <v>19</v>
      </c>
      <c r="Q1579">
        <v>0</v>
      </c>
      <c r="R1579">
        <v>413731116</v>
      </c>
      <c r="S1579">
        <v>288657.08</v>
      </c>
      <c r="T1579">
        <v>371991631.82999998</v>
      </c>
      <c r="U1579">
        <v>397192105.22000003</v>
      </c>
      <c r="V1579">
        <v>0.71827700000000005</v>
      </c>
      <c r="W1579">
        <v>0.38173400000000002</v>
      </c>
      <c r="Y1579" t="s">
        <v>1</v>
      </c>
      <c r="Z1579">
        <v>4250</v>
      </c>
      <c r="AA1579">
        <v>12</v>
      </c>
      <c r="AB1579">
        <v>435</v>
      </c>
      <c r="AC1579">
        <v>0</v>
      </c>
      <c r="AD1579">
        <v>14932495600</v>
      </c>
      <c r="AE1579">
        <v>21896499.690000001</v>
      </c>
      <c r="AF1579">
        <v>14907489205</v>
      </c>
      <c r="AG1579">
        <v>14907489205</v>
      </c>
      <c r="AH1579">
        <v>2.496E-3</v>
      </c>
      <c r="AI1579">
        <v>2.496E-3</v>
      </c>
    </row>
    <row r="1580" spans="1:35" x14ac:dyDescent="0.35">
      <c r="A1580" t="s">
        <v>2</v>
      </c>
      <c r="B1580">
        <v>5000</v>
      </c>
      <c r="C1580">
        <v>12</v>
      </c>
      <c r="D1580">
        <v>115</v>
      </c>
      <c r="E1580">
        <v>0</v>
      </c>
      <c r="F1580">
        <v>2968861979</v>
      </c>
      <c r="G1580">
        <v>3816540.72</v>
      </c>
      <c r="H1580">
        <v>2960426098.5799999</v>
      </c>
      <c r="I1580">
        <v>2963449273.4299998</v>
      </c>
      <c r="J1580">
        <v>1.8512000000000001E-2</v>
      </c>
      <c r="K1580">
        <v>6.4330000000000003E-3</v>
      </c>
      <c r="M1580" t="s">
        <v>2</v>
      </c>
      <c r="N1580">
        <v>8000</v>
      </c>
      <c r="O1580">
        <v>14</v>
      </c>
      <c r="P1580">
        <v>4</v>
      </c>
      <c r="Q1580">
        <v>0</v>
      </c>
      <c r="R1580">
        <v>73669046</v>
      </c>
      <c r="S1580">
        <v>54896.19</v>
      </c>
      <c r="T1580">
        <v>72445797.930000007</v>
      </c>
      <c r="U1580">
        <v>72853401.079999998</v>
      </c>
      <c r="V1580">
        <v>0.17455999999999999</v>
      </c>
      <c r="W1580">
        <v>0.117117</v>
      </c>
      <c r="Y1580" t="s">
        <v>2</v>
      </c>
      <c r="Z1580">
        <v>4250</v>
      </c>
      <c r="AA1580">
        <v>12</v>
      </c>
      <c r="AB1580">
        <v>40</v>
      </c>
      <c r="AC1580">
        <v>0</v>
      </c>
      <c r="AD1580">
        <v>943273828</v>
      </c>
      <c r="AE1580">
        <v>1383214.72</v>
      </c>
      <c r="AF1580">
        <v>941684772</v>
      </c>
      <c r="AG1580">
        <v>941684772</v>
      </c>
      <c r="AH1580">
        <v>2.6159999999999998E-3</v>
      </c>
      <c r="AI1580">
        <v>2.6159999999999998E-3</v>
      </c>
    </row>
    <row r="1581" spans="1:35" x14ac:dyDescent="0.35">
      <c r="A1581" t="s">
        <v>1</v>
      </c>
      <c r="B1581">
        <v>5250</v>
      </c>
      <c r="C1581">
        <v>12</v>
      </c>
      <c r="D1581">
        <v>1814</v>
      </c>
      <c r="E1581">
        <v>0</v>
      </c>
      <c r="F1581">
        <v>72242585454</v>
      </c>
      <c r="G1581">
        <v>88968162.769999996</v>
      </c>
      <c r="H1581">
        <v>71329469457.229996</v>
      </c>
      <c r="I1581">
        <v>72005678903.279999</v>
      </c>
      <c r="J1581">
        <v>0.12862599999999999</v>
      </c>
      <c r="K1581">
        <v>2.4299000000000001E-2</v>
      </c>
      <c r="M1581" t="s">
        <v>1</v>
      </c>
      <c r="N1581">
        <v>8000</v>
      </c>
      <c r="O1581">
        <v>12</v>
      </c>
      <c r="P1581">
        <v>98</v>
      </c>
      <c r="Q1581">
        <v>0</v>
      </c>
      <c r="R1581">
        <v>2036187398</v>
      </c>
      <c r="S1581">
        <v>1499545.17</v>
      </c>
      <c r="T1581">
        <v>1829421213.52</v>
      </c>
      <c r="U1581">
        <v>2013588629.6600001</v>
      </c>
      <c r="V1581">
        <v>0.72060299999999999</v>
      </c>
      <c r="W1581">
        <v>0.11749800000000001</v>
      </c>
      <c r="Y1581" t="s">
        <v>1</v>
      </c>
      <c r="Z1581">
        <v>4500</v>
      </c>
      <c r="AA1581">
        <v>12</v>
      </c>
      <c r="AB1581">
        <v>920</v>
      </c>
      <c r="AC1581">
        <v>0</v>
      </c>
      <c r="AD1581">
        <v>31976947820</v>
      </c>
      <c r="AE1581">
        <v>44804352.43</v>
      </c>
      <c r="AF1581">
        <v>31903967523</v>
      </c>
      <c r="AG1581">
        <v>31903967523</v>
      </c>
      <c r="AH1581">
        <v>1.0522999999999999E-2</v>
      </c>
      <c r="AI1581">
        <v>1.0522999999999999E-2</v>
      </c>
    </row>
    <row r="1582" spans="1:35" x14ac:dyDescent="0.35">
      <c r="A1582" t="s">
        <v>1</v>
      </c>
      <c r="B1582">
        <v>5000</v>
      </c>
      <c r="C1582">
        <v>10</v>
      </c>
      <c r="D1582">
        <v>745</v>
      </c>
      <c r="E1582">
        <v>0</v>
      </c>
      <c r="F1582">
        <v>28940501427</v>
      </c>
      <c r="G1582">
        <v>36869858.659999996</v>
      </c>
      <c r="H1582">
        <v>28833906616.740002</v>
      </c>
      <c r="I1582">
        <v>28888318248.790001</v>
      </c>
      <c r="J1582">
        <v>2.8531000000000001E-2</v>
      </c>
      <c r="K1582">
        <v>6.3309999999999998E-3</v>
      </c>
      <c r="M1582" t="s">
        <v>0</v>
      </c>
      <c r="N1582">
        <v>8500</v>
      </c>
      <c r="O1582">
        <v>14</v>
      </c>
      <c r="P1582">
        <v>10</v>
      </c>
      <c r="Q1582">
        <v>0</v>
      </c>
      <c r="R1582">
        <v>277625481</v>
      </c>
      <c r="S1582">
        <v>188535.51</v>
      </c>
      <c r="T1582">
        <v>263873599.91</v>
      </c>
      <c r="U1582">
        <v>269846038.83999997</v>
      </c>
      <c r="V1582">
        <v>0.45177099999999998</v>
      </c>
      <c r="W1582">
        <v>0.28299800000000003</v>
      </c>
      <c r="Y1582" t="s">
        <v>0</v>
      </c>
      <c r="Z1582">
        <v>4750</v>
      </c>
      <c r="AA1582">
        <v>12</v>
      </c>
      <c r="AB1582">
        <v>1536</v>
      </c>
      <c r="AC1582">
        <v>0</v>
      </c>
      <c r="AD1582">
        <v>53984523627</v>
      </c>
      <c r="AE1582">
        <v>72658147.459999993</v>
      </c>
      <c r="AF1582">
        <v>53908845491</v>
      </c>
      <c r="AG1582">
        <v>53908845491</v>
      </c>
      <c r="AH1582">
        <v>6.7100000000000005E-4</v>
      </c>
      <c r="AI1582">
        <v>6.7100000000000005E-4</v>
      </c>
    </row>
    <row r="1583" spans="1:35" x14ac:dyDescent="0.35">
      <c r="A1583" t="s">
        <v>0</v>
      </c>
      <c r="B1583">
        <v>4750</v>
      </c>
      <c r="C1583">
        <v>10</v>
      </c>
      <c r="D1583">
        <v>802</v>
      </c>
      <c r="E1583">
        <v>0</v>
      </c>
      <c r="F1583">
        <v>26517805294</v>
      </c>
      <c r="G1583">
        <v>35393177.380000003</v>
      </c>
      <c r="H1583">
        <v>26457113142.639999</v>
      </c>
      <c r="I1583">
        <v>26469991855.41</v>
      </c>
      <c r="J1583">
        <v>1.1389E-2</v>
      </c>
      <c r="K1583">
        <v>5.6059999999999999E-3</v>
      </c>
      <c r="M1583" t="s">
        <v>0</v>
      </c>
      <c r="N1583">
        <v>9000</v>
      </c>
      <c r="O1583">
        <v>14</v>
      </c>
      <c r="P1583">
        <v>37</v>
      </c>
      <c r="Q1583">
        <v>0</v>
      </c>
      <c r="R1583">
        <v>849535436</v>
      </c>
      <c r="S1583">
        <v>549910.68000000005</v>
      </c>
      <c r="T1583">
        <v>825542630.12</v>
      </c>
      <c r="U1583">
        <v>845299549.84000003</v>
      </c>
      <c r="V1583">
        <v>0.28522999999999998</v>
      </c>
      <c r="W1583">
        <v>5.0840999999999997E-2</v>
      </c>
      <c r="Y1583" t="s">
        <v>2</v>
      </c>
      <c r="Z1583">
        <v>4750</v>
      </c>
      <c r="AA1583">
        <v>12</v>
      </c>
      <c r="AB1583">
        <v>31</v>
      </c>
      <c r="AC1583">
        <v>0</v>
      </c>
      <c r="AD1583">
        <v>702325873</v>
      </c>
      <c r="AE1583">
        <v>941780.86</v>
      </c>
      <c r="AF1583">
        <v>701453877</v>
      </c>
      <c r="AG1583">
        <v>701453877</v>
      </c>
      <c r="AH1583">
        <v>-1.193E-3</v>
      </c>
      <c r="AI1583">
        <v>-1.193E-3</v>
      </c>
    </row>
    <row r="1584" spans="1:35" x14ac:dyDescent="0.35">
      <c r="A1584" t="s">
        <v>2</v>
      </c>
      <c r="B1584">
        <v>5000</v>
      </c>
      <c r="C1584">
        <v>10</v>
      </c>
      <c r="D1584">
        <v>63</v>
      </c>
      <c r="E1584">
        <v>0</v>
      </c>
      <c r="F1584">
        <v>1670645638</v>
      </c>
      <c r="G1584">
        <v>2128198.23</v>
      </c>
      <c r="H1584">
        <v>1667108243.0999999</v>
      </c>
      <c r="I1584">
        <v>1668002345.52</v>
      </c>
      <c r="J1584">
        <v>1.0075000000000001E-2</v>
      </c>
      <c r="K1584">
        <v>3.6939999999999998E-3</v>
      </c>
      <c r="M1584" t="s">
        <v>2</v>
      </c>
      <c r="N1584">
        <v>7250</v>
      </c>
      <c r="O1584">
        <v>9</v>
      </c>
      <c r="P1584">
        <v>181</v>
      </c>
      <c r="Q1584">
        <v>0</v>
      </c>
      <c r="R1584">
        <v>2693847236</v>
      </c>
      <c r="S1584">
        <v>2260996.5099999998</v>
      </c>
      <c r="T1584">
        <v>2673032035.96</v>
      </c>
      <c r="U1584">
        <v>2687694075.71</v>
      </c>
      <c r="V1584">
        <v>7.9590999999999995E-2</v>
      </c>
      <c r="W1584">
        <v>1.7201000000000001E-2</v>
      </c>
      <c r="Y1584" t="s">
        <v>1</v>
      </c>
      <c r="Z1584">
        <v>4750</v>
      </c>
      <c r="AA1584">
        <v>12</v>
      </c>
      <c r="AB1584">
        <v>905</v>
      </c>
      <c r="AC1584">
        <v>0</v>
      </c>
      <c r="AD1584">
        <v>37030252789</v>
      </c>
      <c r="AE1584">
        <v>49808191.030000001</v>
      </c>
      <c r="AF1584">
        <v>36728912365</v>
      </c>
      <c r="AG1584">
        <v>36892355291.980003</v>
      </c>
      <c r="AH1584">
        <v>7.8534000000000007E-2</v>
      </c>
      <c r="AI1584">
        <v>2.8176E-2</v>
      </c>
    </row>
    <row r="1585" spans="1:35" x14ac:dyDescent="0.35">
      <c r="A1585" t="s">
        <v>0</v>
      </c>
      <c r="B1585">
        <v>5250</v>
      </c>
      <c r="C1585">
        <v>10</v>
      </c>
      <c r="D1585">
        <v>784</v>
      </c>
      <c r="E1585">
        <v>0</v>
      </c>
      <c r="F1585">
        <v>27469665068</v>
      </c>
      <c r="G1585">
        <v>33515695.460000001</v>
      </c>
      <c r="H1585">
        <v>27383629462.869999</v>
      </c>
      <c r="I1585">
        <v>27423888923.349998</v>
      </c>
      <c r="J1585">
        <v>2.2703000000000001E-2</v>
      </c>
      <c r="K1585">
        <v>5.3429999999999997E-3</v>
      </c>
      <c r="M1585" t="s">
        <v>2</v>
      </c>
      <c r="N1585">
        <v>7500</v>
      </c>
      <c r="O1585">
        <v>12</v>
      </c>
      <c r="P1585">
        <v>136</v>
      </c>
      <c r="Q1585">
        <v>0</v>
      </c>
      <c r="R1585">
        <v>2135814873</v>
      </c>
      <c r="S1585">
        <v>1760812.92</v>
      </c>
      <c r="T1585">
        <v>2081202663.8800001</v>
      </c>
      <c r="U1585">
        <v>2097036385.0699999</v>
      </c>
      <c r="V1585">
        <v>0.259685</v>
      </c>
      <c r="W1585">
        <v>0.18925800000000001</v>
      </c>
      <c r="Y1585" t="s">
        <v>2</v>
      </c>
      <c r="Z1585">
        <v>5000</v>
      </c>
      <c r="AA1585">
        <v>10</v>
      </c>
      <c r="AB1585">
        <v>50</v>
      </c>
      <c r="AC1585">
        <v>0</v>
      </c>
      <c r="AD1585">
        <v>1265180416</v>
      </c>
      <c r="AE1585">
        <v>1613721.16</v>
      </c>
      <c r="AF1585">
        <v>1263738139</v>
      </c>
      <c r="AG1585">
        <v>1263738139</v>
      </c>
      <c r="AH1585">
        <v>-1.627E-3</v>
      </c>
      <c r="AI1585">
        <v>-1.627E-3</v>
      </c>
    </row>
    <row r="1586" spans="1:35" x14ac:dyDescent="0.35">
      <c r="A1586" t="s">
        <v>2</v>
      </c>
      <c r="B1586">
        <v>5250</v>
      </c>
      <c r="C1586">
        <v>10</v>
      </c>
      <c r="D1586">
        <v>14</v>
      </c>
      <c r="E1586">
        <v>0</v>
      </c>
      <c r="F1586">
        <v>337198995</v>
      </c>
      <c r="G1586">
        <v>410844.61</v>
      </c>
      <c r="H1586">
        <v>336645514.75999999</v>
      </c>
      <c r="I1586">
        <v>336787792.31999999</v>
      </c>
      <c r="J1586">
        <v>5.0639999999999999E-3</v>
      </c>
      <c r="K1586">
        <v>1.2999999999999999E-5</v>
      </c>
      <c r="M1586" t="s">
        <v>2</v>
      </c>
      <c r="N1586">
        <v>7750</v>
      </c>
      <c r="O1586">
        <v>12</v>
      </c>
      <c r="P1586">
        <v>21</v>
      </c>
      <c r="Q1586">
        <v>0</v>
      </c>
      <c r="R1586">
        <v>214007762</v>
      </c>
      <c r="S1586">
        <v>166453.5</v>
      </c>
      <c r="T1586">
        <v>211886785.50999999</v>
      </c>
      <c r="U1586">
        <v>213645333.11000001</v>
      </c>
      <c r="V1586">
        <v>0.104255</v>
      </c>
      <c r="W1586">
        <v>1.0933999999999999E-2</v>
      </c>
      <c r="Y1586" t="s">
        <v>0</v>
      </c>
      <c r="Z1586">
        <v>4750</v>
      </c>
      <c r="AA1586">
        <v>10</v>
      </c>
      <c r="AB1586">
        <v>568</v>
      </c>
      <c r="AC1586">
        <v>0</v>
      </c>
      <c r="AD1586">
        <v>19154520785</v>
      </c>
      <c r="AE1586">
        <v>25540606.670000002</v>
      </c>
      <c r="AF1586">
        <v>19128177824</v>
      </c>
      <c r="AG1586">
        <v>19128177824</v>
      </c>
      <c r="AH1586">
        <v>5.0299999999999997E-4</v>
      </c>
      <c r="AI1586">
        <v>5.0299999999999997E-4</v>
      </c>
    </row>
    <row r="1587" spans="1:35" x14ac:dyDescent="0.35">
      <c r="A1587" t="s">
        <v>1</v>
      </c>
      <c r="B1587">
        <v>5250</v>
      </c>
      <c r="C1587">
        <v>10</v>
      </c>
      <c r="D1587">
        <v>329</v>
      </c>
      <c r="E1587">
        <v>0</v>
      </c>
      <c r="F1587">
        <v>12976743040</v>
      </c>
      <c r="G1587">
        <v>15822736.539999999</v>
      </c>
      <c r="H1587">
        <v>12901637309.52</v>
      </c>
      <c r="I1587">
        <v>12953617743.08</v>
      </c>
      <c r="J1587">
        <v>5.3463999999999998E-2</v>
      </c>
      <c r="K1587">
        <v>6.7320000000000001E-3</v>
      </c>
      <c r="M1587" t="s">
        <v>1</v>
      </c>
      <c r="N1587">
        <v>7500</v>
      </c>
      <c r="O1587">
        <v>5</v>
      </c>
      <c r="P1587">
        <v>1433</v>
      </c>
      <c r="Q1587">
        <v>0</v>
      </c>
      <c r="R1587">
        <v>46715900000</v>
      </c>
      <c r="S1587">
        <v>36174964.729999997</v>
      </c>
      <c r="T1587">
        <v>46542024431.139999</v>
      </c>
      <c r="U1587">
        <v>46642409974.580002</v>
      </c>
      <c r="V1587">
        <v>3.4804000000000002E-2</v>
      </c>
      <c r="W1587">
        <v>9.5429999999999994E-3</v>
      </c>
      <c r="Y1587" t="s">
        <v>1</v>
      </c>
      <c r="Z1587">
        <v>4750</v>
      </c>
      <c r="AA1587">
        <v>10</v>
      </c>
      <c r="AB1587">
        <v>187</v>
      </c>
      <c r="AC1587">
        <v>0</v>
      </c>
      <c r="AD1587">
        <v>7216101610</v>
      </c>
      <c r="AE1587">
        <v>9622329.6099999994</v>
      </c>
      <c r="AF1587">
        <v>7137498636</v>
      </c>
      <c r="AG1587">
        <v>7205959446.0699997</v>
      </c>
      <c r="AH1587">
        <v>0.10886800000000001</v>
      </c>
      <c r="AI1587">
        <v>8.6399999999999997E-4</v>
      </c>
    </row>
    <row r="1588" spans="1:35" x14ac:dyDescent="0.35">
      <c r="A1588" t="s">
        <v>2</v>
      </c>
      <c r="B1588">
        <v>5750</v>
      </c>
      <c r="C1588">
        <v>10</v>
      </c>
      <c r="D1588">
        <v>71</v>
      </c>
      <c r="E1588">
        <v>0</v>
      </c>
      <c r="F1588">
        <v>1526368624</v>
      </c>
      <c r="G1588">
        <v>1697724.83</v>
      </c>
      <c r="H1588">
        <v>1522231729.01</v>
      </c>
      <c r="I1588">
        <v>1524001520.25</v>
      </c>
      <c r="J1588">
        <v>1.9009000000000002E-2</v>
      </c>
      <c r="K1588">
        <v>5.2500000000000003E-3</v>
      </c>
      <c r="M1588" t="s">
        <v>3</v>
      </c>
      <c r="N1588">
        <v>6500</v>
      </c>
      <c r="O1588">
        <v>10</v>
      </c>
      <c r="P1588">
        <v>17</v>
      </c>
      <c r="Q1588">
        <v>0</v>
      </c>
      <c r="R1588">
        <v>343003281</v>
      </c>
      <c r="S1588">
        <v>334917.40000000002</v>
      </c>
      <c r="T1588">
        <v>340545688.76999998</v>
      </c>
      <c r="U1588">
        <v>342276803.55000001</v>
      </c>
      <c r="V1588">
        <v>7.1786000000000003E-2</v>
      </c>
      <c r="W1588">
        <v>1.3613E-2</v>
      </c>
      <c r="Y1588" t="s">
        <v>2</v>
      </c>
      <c r="Z1588">
        <v>4750</v>
      </c>
      <c r="AA1588">
        <v>10</v>
      </c>
      <c r="AB1588">
        <v>27</v>
      </c>
      <c r="AC1588">
        <v>0</v>
      </c>
      <c r="AD1588">
        <v>622240289</v>
      </c>
      <c r="AE1588">
        <v>833100.18</v>
      </c>
      <c r="AF1588">
        <v>621437982</v>
      </c>
      <c r="AG1588">
        <v>621437982</v>
      </c>
      <c r="AH1588">
        <v>-5.9400000000000002E-4</v>
      </c>
      <c r="AI1588">
        <v>-5.9400000000000002E-4</v>
      </c>
    </row>
    <row r="1589" spans="1:35" x14ac:dyDescent="0.35">
      <c r="A1589" t="s">
        <v>2</v>
      </c>
      <c r="B1589">
        <v>4750</v>
      </c>
      <c r="C1589">
        <v>10</v>
      </c>
      <c r="D1589">
        <v>26</v>
      </c>
      <c r="E1589">
        <v>0</v>
      </c>
      <c r="F1589">
        <v>650174875</v>
      </c>
      <c r="G1589">
        <v>866031.33</v>
      </c>
      <c r="H1589">
        <v>648902274.82000005</v>
      </c>
      <c r="I1589">
        <v>649260578.47000003</v>
      </c>
      <c r="J1589">
        <v>7.4780000000000003E-3</v>
      </c>
      <c r="K1589">
        <v>8.8999999999999995E-4</v>
      </c>
      <c r="M1589" t="s">
        <v>1</v>
      </c>
      <c r="N1589">
        <v>7000</v>
      </c>
      <c r="O1589">
        <v>8</v>
      </c>
      <c r="P1589">
        <v>595</v>
      </c>
      <c r="Q1589">
        <v>0</v>
      </c>
      <c r="R1589">
        <v>17674575935</v>
      </c>
      <c r="S1589">
        <v>15533058.08</v>
      </c>
      <c r="T1589">
        <v>14866506407.23</v>
      </c>
      <c r="U1589">
        <v>17586614020.290001</v>
      </c>
      <c r="V1589">
        <v>0.87301200000000001</v>
      </c>
      <c r="W1589">
        <v>4.8082E-2</v>
      </c>
      <c r="Y1589" t="s">
        <v>1</v>
      </c>
      <c r="Z1589">
        <v>5000</v>
      </c>
      <c r="AA1589">
        <v>10</v>
      </c>
      <c r="AB1589">
        <v>649</v>
      </c>
      <c r="AC1589">
        <v>0</v>
      </c>
      <c r="AD1589">
        <v>24808069661</v>
      </c>
      <c r="AE1589">
        <v>31683757.77</v>
      </c>
      <c r="AF1589">
        <v>24739278129</v>
      </c>
      <c r="AG1589">
        <v>24773268439.189999</v>
      </c>
      <c r="AH1589">
        <v>1.7802999999999999E-2</v>
      </c>
      <c r="AI1589">
        <v>1.5070000000000001E-3</v>
      </c>
    </row>
    <row r="1590" spans="1:35" x14ac:dyDescent="0.35">
      <c r="A1590" t="s">
        <v>2</v>
      </c>
      <c r="B1590">
        <v>5500</v>
      </c>
      <c r="C1590">
        <v>10</v>
      </c>
      <c r="D1590">
        <v>52</v>
      </c>
      <c r="E1590">
        <v>0</v>
      </c>
      <c r="F1590">
        <v>1164841293</v>
      </c>
      <c r="G1590">
        <v>1357071.71</v>
      </c>
      <c r="H1590">
        <v>1162095785.6199999</v>
      </c>
      <c r="I1590">
        <v>1163483192.8199999</v>
      </c>
      <c r="J1590">
        <v>1.421E-2</v>
      </c>
      <c r="K1590">
        <v>1.1E-5</v>
      </c>
      <c r="M1590" t="s">
        <v>1</v>
      </c>
      <c r="N1590">
        <v>4750</v>
      </c>
      <c r="O1590">
        <v>14</v>
      </c>
      <c r="P1590">
        <v>566</v>
      </c>
      <c r="Q1590">
        <v>0</v>
      </c>
      <c r="R1590">
        <v>20185604737</v>
      </c>
      <c r="S1590">
        <v>27416658.629999999</v>
      </c>
      <c r="T1590">
        <v>20056053481.549999</v>
      </c>
      <c r="U1590">
        <v>20110900357.830002</v>
      </c>
      <c r="V1590">
        <v>5.9055999999999997E-2</v>
      </c>
      <c r="W1590">
        <v>2.7751999999999999E-2</v>
      </c>
      <c r="Y1590" t="s">
        <v>0</v>
      </c>
      <c r="Z1590">
        <v>5250</v>
      </c>
      <c r="AA1590">
        <v>10</v>
      </c>
      <c r="AB1590">
        <v>804</v>
      </c>
      <c r="AC1590">
        <v>0</v>
      </c>
      <c r="AD1590">
        <v>27444455224</v>
      </c>
      <c r="AE1590">
        <v>33492949.969999999</v>
      </c>
      <c r="AF1590">
        <v>27355354743</v>
      </c>
      <c r="AG1590">
        <v>27410221432.700001</v>
      </c>
      <c r="AH1590">
        <v>2.4045E-2</v>
      </c>
      <c r="AI1590">
        <v>3.2400000000000001E-4</v>
      </c>
    </row>
    <row r="1591" spans="1:35" x14ac:dyDescent="0.35">
      <c r="A1591" t="s">
        <v>0</v>
      </c>
      <c r="B1591">
        <v>4750</v>
      </c>
      <c r="C1591">
        <v>9</v>
      </c>
      <c r="D1591">
        <v>778</v>
      </c>
      <c r="E1591">
        <v>0</v>
      </c>
      <c r="F1591">
        <v>26871851820</v>
      </c>
      <c r="G1591">
        <v>35635607.229999997</v>
      </c>
      <c r="H1591">
        <v>26814342841.110001</v>
      </c>
      <c r="I1591">
        <v>26827201159.240002</v>
      </c>
      <c r="J1591">
        <v>9.724E-3</v>
      </c>
      <c r="K1591">
        <v>4.0179999999999999E-3</v>
      </c>
      <c r="M1591" t="s">
        <v>0</v>
      </c>
      <c r="N1591">
        <v>4250</v>
      </c>
      <c r="O1591">
        <v>12</v>
      </c>
      <c r="P1591">
        <v>1222</v>
      </c>
      <c r="Q1591">
        <v>0</v>
      </c>
      <c r="R1591">
        <v>39371890344</v>
      </c>
      <c r="S1591">
        <v>57604305.780000001</v>
      </c>
      <c r="T1591">
        <v>39292213550.190002</v>
      </c>
      <c r="U1591">
        <v>39310846032.709999</v>
      </c>
      <c r="V1591">
        <v>6.7070000000000003E-3</v>
      </c>
      <c r="W1591">
        <v>1.0480000000000001E-3</v>
      </c>
      <c r="Y1591" t="s">
        <v>1</v>
      </c>
      <c r="Z1591">
        <v>5250</v>
      </c>
      <c r="AA1591">
        <v>10</v>
      </c>
      <c r="AB1591">
        <v>500</v>
      </c>
      <c r="AC1591">
        <v>0</v>
      </c>
      <c r="AD1591">
        <v>20567070957</v>
      </c>
      <c r="AE1591">
        <v>25084220.059999999</v>
      </c>
      <c r="AF1591">
        <v>20438544168</v>
      </c>
      <c r="AG1591">
        <v>20535477094.549999</v>
      </c>
      <c r="AH1591">
        <v>5.8712E-2</v>
      </c>
      <c r="AI1591">
        <v>3.7910000000000001E-3</v>
      </c>
    </row>
    <row r="1592" spans="1:35" x14ac:dyDescent="0.35">
      <c r="A1592" t="s">
        <v>1</v>
      </c>
      <c r="B1592">
        <v>4750</v>
      </c>
      <c r="C1592">
        <v>9</v>
      </c>
      <c r="D1592">
        <v>269</v>
      </c>
      <c r="E1592">
        <v>0</v>
      </c>
      <c r="F1592">
        <v>10375866615</v>
      </c>
      <c r="G1592">
        <v>13742149.08</v>
      </c>
      <c r="H1592">
        <v>10337500292.43</v>
      </c>
      <c r="I1592">
        <v>10353656771.23</v>
      </c>
      <c r="J1592">
        <v>2.811E-2</v>
      </c>
      <c r="K1592">
        <v>9.7490000000000007E-3</v>
      </c>
      <c r="M1592" t="s">
        <v>2</v>
      </c>
      <c r="N1592">
        <v>4250</v>
      </c>
      <c r="O1592">
        <v>12</v>
      </c>
      <c r="P1592">
        <v>43</v>
      </c>
      <c r="Q1592">
        <v>0</v>
      </c>
      <c r="R1592">
        <v>963895276</v>
      </c>
      <c r="S1592">
        <v>1417110.36</v>
      </c>
      <c r="T1592">
        <v>961866255.35000002</v>
      </c>
      <c r="U1592">
        <v>962464049.71000004</v>
      </c>
      <c r="V1592">
        <v>7.5909999999999997E-3</v>
      </c>
      <c r="W1592">
        <v>1.76E-4</v>
      </c>
      <c r="Y1592" t="s">
        <v>0</v>
      </c>
      <c r="Z1592">
        <v>5500</v>
      </c>
      <c r="AA1592">
        <v>10</v>
      </c>
      <c r="AB1592">
        <v>1361</v>
      </c>
      <c r="AC1592">
        <v>0</v>
      </c>
      <c r="AD1592">
        <v>44851860791</v>
      </c>
      <c r="AE1592">
        <v>52409487.710000001</v>
      </c>
      <c r="AF1592">
        <v>44587203122</v>
      </c>
      <c r="AG1592">
        <v>44771007711.760002</v>
      </c>
      <c r="AH1592">
        <v>5.5331999999999999E-2</v>
      </c>
      <c r="AI1592">
        <v>7.5839999999999996E-3</v>
      </c>
    </row>
    <row r="1593" spans="1:35" x14ac:dyDescent="0.35">
      <c r="A1593" t="s">
        <v>0</v>
      </c>
      <c r="B1593">
        <v>5250</v>
      </c>
      <c r="C1593">
        <v>9</v>
      </c>
      <c r="D1593">
        <v>1262</v>
      </c>
      <c r="E1593">
        <v>0</v>
      </c>
      <c r="F1593">
        <v>44699162373</v>
      </c>
      <c r="G1593">
        <v>54328572.549999997</v>
      </c>
      <c r="H1593">
        <v>44538875727.209999</v>
      </c>
      <c r="I1593">
        <v>44614170802.699997</v>
      </c>
      <c r="J1593">
        <v>2.8077999999999999E-2</v>
      </c>
      <c r="K1593">
        <v>8.201E-3</v>
      </c>
      <c r="M1593" t="s">
        <v>1</v>
      </c>
      <c r="N1593">
        <v>4250</v>
      </c>
      <c r="O1593">
        <v>12</v>
      </c>
      <c r="P1593">
        <v>469</v>
      </c>
      <c r="Q1593">
        <v>0</v>
      </c>
      <c r="R1593">
        <v>16738076047</v>
      </c>
      <c r="S1593">
        <v>24545629.050000001</v>
      </c>
      <c r="T1593">
        <v>16635557481.700001</v>
      </c>
      <c r="U1593">
        <v>16659738323.65</v>
      </c>
      <c r="V1593">
        <v>5.4490999999999998E-2</v>
      </c>
      <c r="W1593">
        <v>3.7891000000000001E-2</v>
      </c>
      <c r="Y1593" t="s">
        <v>2</v>
      </c>
      <c r="Z1593">
        <v>5250</v>
      </c>
      <c r="AA1593">
        <v>10</v>
      </c>
      <c r="AB1593">
        <v>17</v>
      </c>
      <c r="AC1593">
        <v>0</v>
      </c>
      <c r="AD1593">
        <v>375342960</v>
      </c>
      <c r="AE1593">
        <v>458679.61</v>
      </c>
      <c r="AF1593">
        <v>374881610</v>
      </c>
      <c r="AG1593">
        <v>374881610</v>
      </c>
      <c r="AH1593">
        <v>8.5000000000000006E-5</v>
      </c>
      <c r="AI1593">
        <v>8.5000000000000006E-5</v>
      </c>
    </row>
    <row r="1594" spans="1:35" x14ac:dyDescent="0.35">
      <c r="A1594" t="s">
        <v>2</v>
      </c>
      <c r="B1594">
        <v>5250</v>
      </c>
      <c r="C1594">
        <v>9</v>
      </c>
      <c r="D1594">
        <v>35</v>
      </c>
      <c r="E1594">
        <v>0</v>
      </c>
      <c r="F1594">
        <v>837199870</v>
      </c>
      <c r="G1594">
        <v>1014824.18</v>
      </c>
      <c r="H1594">
        <v>835736963.40999997</v>
      </c>
      <c r="I1594">
        <v>836182991.86000001</v>
      </c>
      <c r="J1594">
        <v>6.404E-3</v>
      </c>
      <c r="K1594">
        <v>2.9E-5</v>
      </c>
      <c r="M1594" t="s">
        <v>2</v>
      </c>
      <c r="N1594">
        <v>4750</v>
      </c>
      <c r="O1594">
        <v>12</v>
      </c>
      <c r="P1594">
        <v>47</v>
      </c>
      <c r="Q1594">
        <v>0</v>
      </c>
      <c r="R1594">
        <v>1262411518</v>
      </c>
      <c r="S1594">
        <v>1693718.43</v>
      </c>
      <c r="T1594">
        <v>1259451681.8299999</v>
      </c>
      <c r="U1594">
        <v>1260714595.8399999</v>
      </c>
      <c r="V1594">
        <v>1.1969E-2</v>
      </c>
      <c r="W1594">
        <v>3.0000000000000001E-5</v>
      </c>
      <c r="Y1594" t="s">
        <v>1</v>
      </c>
      <c r="Z1594">
        <v>5000</v>
      </c>
      <c r="AA1594">
        <v>9</v>
      </c>
      <c r="AB1594">
        <v>747</v>
      </c>
      <c r="AC1594">
        <v>0</v>
      </c>
      <c r="AD1594">
        <v>29040799914</v>
      </c>
      <c r="AE1594">
        <v>36797964.670000002</v>
      </c>
      <c r="AF1594">
        <v>28940501427</v>
      </c>
      <c r="AG1594">
        <v>29000641002.549999</v>
      </c>
      <c r="AH1594">
        <v>2.5926000000000001E-2</v>
      </c>
      <c r="AI1594">
        <v>1.3879999999999999E-3</v>
      </c>
    </row>
    <row r="1595" spans="1:35" x14ac:dyDescent="0.35">
      <c r="A1595" t="s">
        <v>1</v>
      </c>
      <c r="B1595">
        <v>5250</v>
      </c>
      <c r="C1595">
        <v>9</v>
      </c>
      <c r="D1595">
        <v>673</v>
      </c>
      <c r="E1595">
        <v>0</v>
      </c>
      <c r="F1595">
        <v>27135715058</v>
      </c>
      <c r="G1595">
        <v>32938932.32</v>
      </c>
      <c r="H1595">
        <v>26925217166.189999</v>
      </c>
      <c r="I1595">
        <v>27071160009.77</v>
      </c>
      <c r="J1595">
        <v>7.5755000000000003E-2</v>
      </c>
      <c r="K1595">
        <v>1.3892E-2</v>
      </c>
      <c r="M1595" t="s">
        <v>0</v>
      </c>
      <c r="N1595">
        <v>4250</v>
      </c>
      <c r="O1595">
        <v>10</v>
      </c>
      <c r="P1595">
        <v>844</v>
      </c>
      <c r="Q1595">
        <v>0</v>
      </c>
      <c r="R1595">
        <v>28838698835</v>
      </c>
      <c r="S1595">
        <v>41919000.340000004</v>
      </c>
      <c r="T1595">
        <v>28786561850.189999</v>
      </c>
      <c r="U1595">
        <v>28795283709.98</v>
      </c>
      <c r="V1595">
        <v>4.2440000000000004E-3</v>
      </c>
      <c r="W1595">
        <v>6.2200000000000005E-4</v>
      </c>
      <c r="Y1595" t="s">
        <v>0</v>
      </c>
      <c r="Z1595">
        <v>4750</v>
      </c>
      <c r="AA1595">
        <v>9</v>
      </c>
      <c r="AB1595">
        <v>802</v>
      </c>
      <c r="AC1595">
        <v>0</v>
      </c>
      <c r="AD1595">
        <v>26555202961</v>
      </c>
      <c r="AE1595">
        <v>35257578.170000002</v>
      </c>
      <c r="AF1595">
        <v>26517805294</v>
      </c>
      <c r="AG1595">
        <v>26517805294</v>
      </c>
      <c r="AH1595">
        <v>9.6699999999999998E-4</v>
      </c>
      <c r="AI1595">
        <v>9.6699999999999998E-4</v>
      </c>
    </row>
    <row r="1596" spans="1:35" x14ac:dyDescent="0.35">
      <c r="A1596" t="s">
        <v>2</v>
      </c>
      <c r="B1596">
        <v>8250</v>
      </c>
      <c r="C1596">
        <v>16</v>
      </c>
      <c r="D1596">
        <v>2</v>
      </c>
      <c r="E1596">
        <v>0</v>
      </c>
      <c r="F1596">
        <v>27084425</v>
      </c>
      <c r="G1596">
        <v>19388.97</v>
      </c>
      <c r="H1596">
        <v>26635614.5</v>
      </c>
      <c r="I1596">
        <v>27064982.420000002</v>
      </c>
      <c r="J1596">
        <v>0.174514</v>
      </c>
      <c r="K1596">
        <v>2.4000000000000001E-5</v>
      </c>
      <c r="M1596" t="s">
        <v>2</v>
      </c>
      <c r="N1596">
        <v>4500</v>
      </c>
      <c r="O1596">
        <v>10</v>
      </c>
      <c r="P1596">
        <v>25</v>
      </c>
      <c r="Q1596">
        <v>0</v>
      </c>
      <c r="R1596">
        <v>611947320</v>
      </c>
      <c r="S1596">
        <v>854297.38</v>
      </c>
      <c r="T1596">
        <v>610604171.67999995</v>
      </c>
      <c r="U1596">
        <v>611049303.74000001</v>
      </c>
      <c r="V1596">
        <v>9.5440000000000004E-3</v>
      </c>
      <c r="W1596">
        <v>8.5700000000000001E-4</v>
      </c>
      <c r="Y1596" t="s">
        <v>2</v>
      </c>
      <c r="Z1596">
        <v>5000</v>
      </c>
      <c r="AA1596">
        <v>9</v>
      </c>
      <c r="AB1596">
        <v>63</v>
      </c>
      <c r="AC1596">
        <v>0</v>
      </c>
      <c r="AD1596">
        <v>1672666660</v>
      </c>
      <c r="AE1596">
        <v>2119288.91</v>
      </c>
      <c r="AF1596">
        <v>1670645638</v>
      </c>
      <c r="AG1596">
        <v>1670645638</v>
      </c>
      <c r="AH1596">
        <v>-7.0500000000000001E-4</v>
      </c>
      <c r="AI1596">
        <v>-7.0500000000000001E-4</v>
      </c>
    </row>
    <row r="1597" spans="1:35" x14ac:dyDescent="0.35">
      <c r="A1597" t="s">
        <v>2</v>
      </c>
      <c r="B1597">
        <v>7500</v>
      </c>
      <c r="C1597">
        <v>14</v>
      </c>
      <c r="D1597">
        <v>52</v>
      </c>
      <c r="E1597">
        <v>0</v>
      </c>
      <c r="F1597">
        <v>778035801</v>
      </c>
      <c r="G1597">
        <v>652702.53</v>
      </c>
      <c r="H1597">
        <v>752863501.17999995</v>
      </c>
      <c r="I1597">
        <v>760921168.37</v>
      </c>
      <c r="J1597">
        <v>0.31904900000000003</v>
      </c>
      <c r="K1597">
        <v>0.22634099999999999</v>
      </c>
      <c r="M1597" t="s">
        <v>1</v>
      </c>
      <c r="N1597">
        <v>4250</v>
      </c>
      <c r="O1597">
        <v>10</v>
      </c>
      <c r="P1597">
        <v>261</v>
      </c>
      <c r="Q1597">
        <v>0</v>
      </c>
      <c r="R1597">
        <v>9110388924</v>
      </c>
      <c r="S1597">
        <v>13245904.75</v>
      </c>
      <c r="T1597">
        <v>9061297751.75</v>
      </c>
      <c r="U1597">
        <v>9072876307.1200008</v>
      </c>
      <c r="V1597">
        <v>4.6205999999999997E-2</v>
      </c>
      <c r="W1597">
        <v>3.1498999999999999E-2</v>
      </c>
      <c r="Y1597" t="s">
        <v>0</v>
      </c>
      <c r="Z1597">
        <v>5250</v>
      </c>
      <c r="AA1597">
        <v>9</v>
      </c>
      <c r="AB1597">
        <v>786</v>
      </c>
      <c r="AC1597">
        <v>0</v>
      </c>
      <c r="AD1597">
        <v>27545726659</v>
      </c>
      <c r="AE1597">
        <v>33422097.649999999</v>
      </c>
      <c r="AF1597">
        <v>27469665068</v>
      </c>
      <c r="AG1597">
        <v>27506349681.740002</v>
      </c>
      <c r="AH1597">
        <v>1.8418E-2</v>
      </c>
      <c r="AI1597">
        <v>2.591E-3</v>
      </c>
    </row>
    <row r="1598" spans="1:35" x14ac:dyDescent="0.35">
      <c r="A1598" t="s">
        <v>0</v>
      </c>
      <c r="B1598">
        <v>8000</v>
      </c>
      <c r="C1598">
        <v>14</v>
      </c>
      <c r="D1598">
        <v>139</v>
      </c>
      <c r="E1598">
        <v>0</v>
      </c>
      <c r="F1598">
        <v>3825733195</v>
      </c>
      <c r="G1598">
        <v>2882574.15</v>
      </c>
      <c r="H1598">
        <v>3722112978.1700001</v>
      </c>
      <c r="I1598">
        <v>3787790595.9499998</v>
      </c>
      <c r="J1598">
        <v>0.27400600000000003</v>
      </c>
      <c r="K1598">
        <v>0.10459400000000001</v>
      </c>
      <c r="M1598" t="s">
        <v>0</v>
      </c>
      <c r="N1598">
        <v>4500</v>
      </c>
      <c r="O1598">
        <v>10</v>
      </c>
      <c r="P1598">
        <v>1037</v>
      </c>
      <c r="Q1598">
        <v>0</v>
      </c>
      <c r="R1598">
        <v>35302639781</v>
      </c>
      <c r="S1598">
        <v>49133668.579999998</v>
      </c>
      <c r="T1598">
        <v>35231497379.75</v>
      </c>
      <c r="U1598">
        <v>35251260010.269997</v>
      </c>
      <c r="V1598">
        <v>7.456E-3</v>
      </c>
      <c r="W1598">
        <v>7.6300000000000001E-4</v>
      </c>
      <c r="Y1598" t="s">
        <v>2</v>
      </c>
      <c r="Z1598">
        <v>5250</v>
      </c>
      <c r="AA1598">
        <v>9</v>
      </c>
      <c r="AB1598">
        <v>14</v>
      </c>
      <c r="AC1598">
        <v>0</v>
      </c>
      <c r="AD1598">
        <v>337626823</v>
      </c>
      <c r="AE1598">
        <v>409084.41</v>
      </c>
      <c r="AF1598">
        <v>337198995</v>
      </c>
      <c r="AG1598">
        <v>337198995</v>
      </c>
      <c r="AH1598">
        <v>6.6600000000000003E-4</v>
      </c>
      <c r="AI1598">
        <v>6.6600000000000003E-4</v>
      </c>
    </row>
    <row r="1599" spans="1:35" x14ac:dyDescent="0.35">
      <c r="A1599" t="s">
        <v>3</v>
      </c>
      <c r="B1599">
        <v>6000</v>
      </c>
      <c r="C1599">
        <v>18</v>
      </c>
      <c r="D1599">
        <v>5</v>
      </c>
      <c r="E1599">
        <v>0</v>
      </c>
      <c r="F1599">
        <v>110174264</v>
      </c>
      <c r="G1599">
        <v>124091.42</v>
      </c>
      <c r="H1599">
        <v>109206385.05</v>
      </c>
      <c r="I1599">
        <v>110050170.42</v>
      </c>
      <c r="J1599">
        <v>8.813E-2</v>
      </c>
      <c r="K1599">
        <v>0</v>
      </c>
      <c r="M1599" t="s">
        <v>2</v>
      </c>
      <c r="N1599">
        <v>4250</v>
      </c>
      <c r="O1599">
        <v>10</v>
      </c>
      <c r="P1599">
        <v>25</v>
      </c>
      <c r="Q1599">
        <v>0</v>
      </c>
      <c r="R1599">
        <v>590358411</v>
      </c>
      <c r="S1599">
        <v>857708.56</v>
      </c>
      <c r="T1599">
        <v>589283832.10000002</v>
      </c>
      <c r="U1599">
        <v>589497082.97000003</v>
      </c>
      <c r="V1599">
        <v>4.3990000000000001E-3</v>
      </c>
      <c r="W1599">
        <v>7.3999999999999996E-5</v>
      </c>
      <c r="Y1599" t="s">
        <v>1</v>
      </c>
      <c r="Z1599">
        <v>5250</v>
      </c>
      <c r="AA1599">
        <v>9</v>
      </c>
      <c r="AB1599">
        <v>329</v>
      </c>
      <c r="AC1599">
        <v>0</v>
      </c>
      <c r="AD1599">
        <v>12993885263</v>
      </c>
      <c r="AE1599">
        <v>15755830.779999999</v>
      </c>
      <c r="AF1599">
        <v>12976743040</v>
      </c>
      <c r="AG1599">
        <v>12976743040</v>
      </c>
      <c r="AH1599">
        <v>1.2800000000000001E-3</v>
      </c>
      <c r="AI1599">
        <v>1.2800000000000001E-3</v>
      </c>
    </row>
    <row r="1600" spans="1:35" x14ac:dyDescent="0.35">
      <c r="A1600" t="s">
        <v>0</v>
      </c>
      <c r="B1600">
        <v>8500</v>
      </c>
      <c r="C1600">
        <v>16</v>
      </c>
      <c r="D1600">
        <v>7</v>
      </c>
      <c r="E1600">
        <v>0</v>
      </c>
      <c r="F1600">
        <v>177148521</v>
      </c>
      <c r="G1600">
        <v>122373.83</v>
      </c>
      <c r="H1600">
        <v>170812792.03</v>
      </c>
      <c r="I1600">
        <v>176094350.66</v>
      </c>
      <c r="J1600">
        <v>0.34848200000000001</v>
      </c>
      <c r="K1600">
        <v>6.1324999999999998E-2</v>
      </c>
      <c r="M1600" t="s">
        <v>1</v>
      </c>
      <c r="N1600">
        <v>4500</v>
      </c>
      <c r="O1600">
        <v>10</v>
      </c>
      <c r="P1600">
        <v>422</v>
      </c>
      <c r="Q1600">
        <v>0</v>
      </c>
      <c r="R1600">
        <v>14832764990</v>
      </c>
      <c r="S1600">
        <v>20642416.699999999</v>
      </c>
      <c r="T1600">
        <v>14773564947.02</v>
      </c>
      <c r="U1600">
        <v>14799104206.040001</v>
      </c>
      <c r="V1600">
        <v>3.0752000000000002E-2</v>
      </c>
      <c r="W1600">
        <v>1.0481000000000001E-2</v>
      </c>
      <c r="Y1600" t="s">
        <v>2</v>
      </c>
      <c r="Z1600">
        <v>5750</v>
      </c>
      <c r="AA1600">
        <v>9</v>
      </c>
      <c r="AB1600">
        <v>71</v>
      </c>
      <c r="AC1600">
        <v>0</v>
      </c>
      <c r="AD1600">
        <v>1528654396</v>
      </c>
      <c r="AE1600">
        <v>1690328.38</v>
      </c>
      <c r="AF1600">
        <v>1526368624</v>
      </c>
      <c r="AG1600">
        <v>1526368624</v>
      </c>
      <c r="AH1600">
        <v>4.6639999999999997E-3</v>
      </c>
      <c r="AI1600">
        <v>4.6639999999999997E-3</v>
      </c>
    </row>
    <row r="1601" spans="1:35" x14ac:dyDescent="0.35">
      <c r="A1601" t="s">
        <v>0</v>
      </c>
      <c r="B1601">
        <v>9000</v>
      </c>
      <c r="C1601">
        <v>16</v>
      </c>
      <c r="D1601">
        <v>26</v>
      </c>
      <c r="E1601">
        <v>0</v>
      </c>
      <c r="F1601">
        <v>610706334</v>
      </c>
      <c r="G1601">
        <v>403220.13</v>
      </c>
      <c r="H1601">
        <v>594117862.63</v>
      </c>
      <c r="I1601">
        <v>604464587.10000002</v>
      </c>
      <c r="J1601">
        <v>0.275534</v>
      </c>
      <c r="K1601">
        <v>0.108879</v>
      </c>
      <c r="M1601" t="s">
        <v>0</v>
      </c>
      <c r="N1601">
        <v>4750</v>
      </c>
      <c r="O1601">
        <v>10</v>
      </c>
      <c r="P1601">
        <v>863</v>
      </c>
      <c r="Q1601">
        <v>0</v>
      </c>
      <c r="R1601">
        <v>30529407358</v>
      </c>
      <c r="S1601">
        <v>40760283.909999996</v>
      </c>
      <c r="T1601">
        <v>30431161302.630001</v>
      </c>
      <c r="U1601">
        <v>30481542311.310001</v>
      </c>
      <c r="V1601">
        <v>2.2363000000000001E-2</v>
      </c>
      <c r="W1601">
        <v>2.7889999999999998E-3</v>
      </c>
      <c r="Y1601" t="s">
        <v>2</v>
      </c>
      <c r="Z1601">
        <v>4750</v>
      </c>
      <c r="AA1601">
        <v>9</v>
      </c>
      <c r="AB1601">
        <v>26</v>
      </c>
      <c r="AC1601">
        <v>0</v>
      </c>
      <c r="AD1601">
        <v>651037936</v>
      </c>
      <c r="AE1601">
        <v>862636.29</v>
      </c>
      <c r="AF1601">
        <v>650174875</v>
      </c>
      <c r="AG1601">
        <v>650174875</v>
      </c>
      <c r="AH1601">
        <v>7.9999999999999996E-6</v>
      </c>
      <c r="AI1601">
        <v>7.9999999999999996E-6</v>
      </c>
    </row>
    <row r="1602" spans="1:35" x14ac:dyDescent="0.35">
      <c r="A1602" t="s">
        <v>3</v>
      </c>
      <c r="B1602">
        <v>7250</v>
      </c>
      <c r="C1602">
        <v>16</v>
      </c>
      <c r="D1602">
        <v>11</v>
      </c>
      <c r="E1602">
        <v>0</v>
      </c>
      <c r="F1602">
        <v>269051640</v>
      </c>
      <c r="G1602">
        <v>238820.55</v>
      </c>
      <c r="H1602">
        <v>267153435.83000001</v>
      </c>
      <c r="I1602">
        <v>268812652.49000001</v>
      </c>
      <c r="J1602">
        <v>7.1551000000000003E-2</v>
      </c>
      <c r="K1602">
        <v>6.9999999999999999E-6</v>
      </c>
      <c r="M1602" t="s">
        <v>2</v>
      </c>
      <c r="N1602">
        <v>4750</v>
      </c>
      <c r="O1602">
        <v>10</v>
      </c>
      <c r="P1602">
        <v>17</v>
      </c>
      <c r="Q1602">
        <v>0</v>
      </c>
      <c r="R1602">
        <v>391098433</v>
      </c>
      <c r="S1602">
        <v>518525.68</v>
      </c>
      <c r="T1602">
        <v>390183900.31</v>
      </c>
      <c r="U1602">
        <v>390540442.75</v>
      </c>
      <c r="V1602">
        <v>1.2083E-2</v>
      </c>
      <c r="W1602">
        <v>1.2099999999999999E-3</v>
      </c>
      <c r="Y1602" t="s">
        <v>2</v>
      </c>
      <c r="Z1602">
        <v>5500</v>
      </c>
      <c r="AA1602">
        <v>9</v>
      </c>
      <c r="AB1602">
        <v>52</v>
      </c>
      <c r="AC1602">
        <v>0</v>
      </c>
      <c r="AD1602">
        <v>1166232061</v>
      </c>
      <c r="AE1602">
        <v>1350960.75</v>
      </c>
      <c r="AF1602">
        <v>1164841293</v>
      </c>
      <c r="AG1602">
        <v>1164841293</v>
      </c>
      <c r="AH1602">
        <v>4.0999999999999999E-4</v>
      </c>
      <c r="AI1602">
        <v>4.0999999999999999E-4</v>
      </c>
    </row>
    <row r="1603" spans="1:35" x14ac:dyDescent="0.35">
      <c r="A1603" t="s">
        <v>1</v>
      </c>
      <c r="B1603">
        <v>7750</v>
      </c>
      <c r="C1603">
        <v>14</v>
      </c>
      <c r="D1603">
        <v>212</v>
      </c>
      <c r="E1603">
        <v>0</v>
      </c>
      <c r="F1603">
        <v>5983272528</v>
      </c>
      <c r="G1603">
        <v>4684568.2699999996</v>
      </c>
      <c r="H1603">
        <v>5404997110.6999998</v>
      </c>
      <c r="I1603">
        <v>5745840365.0900002</v>
      </c>
      <c r="J1603">
        <v>0.70160299999999998</v>
      </c>
      <c r="K1603">
        <v>0.37880999999999998</v>
      </c>
      <c r="M1603" t="s">
        <v>1</v>
      </c>
      <c r="N1603">
        <v>4750</v>
      </c>
      <c r="O1603">
        <v>10</v>
      </c>
      <c r="P1603">
        <v>625</v>
      </c>
      <c r="Q1603">
        <v>0</v>
      </c>
      <c r="R1603">
        <v>26114135805</v>
      </c>
      <c r="S1603">
        <v>34798176.590000004</v>
      </c>
      <c r="T1603">
        <v>25921624985.919998</v>
      </c>
      <c r="U1603">
        <v>26051670534.16</v>
      </c>
      <c r="V1603">
        <v>7.0112999999999995E-2</v>
      </c>
      <c r="W1603">
        <v>1.264E-2</v>
      </c>
      <c r="Y1603" t="s">
        <v>0</v>
      </c>
      <c r="Z1603">
        <v>4750</v>
      </c>
      <c r="AA1603">
        <v>8</v>
      </c>
      <c r="AB1603">
        <v>779</v>
      </c>
      <c r="AC1603">
        <v>0</v>
      </c>
      <c r="AD1603">
        <v>26964134767</v>
      </c>
      <c r="AE1603">
        <v>35570512.369999997</v>
      </c>
      <c r="AF1603">
        <v>26925751820</v>
      </c>
      <c r="AG1603">
        <v>26925751820</v>
      </c>
      <c r="AH1603">
        <v>1.2509999999999999E-3</v>
      </c>
      <c r="AI1603">
        <v>1.2509999999999999E-3</v>
      </c>
    </row>
    <row r="1604" spans="1:35" x14ac:dyDescent="0.35">
      <c r="A1604" t="s">
        <v>2</v>
      </c>
      <c r="B1604">
        <v>7000</v>
      </c>
      <c r="C1604">
        <v>12</v>
      </c>
      <c r="D1604">
        <v>441</v>
      </c>
      <c r="E1604">
        <v>0</v>
      </c>
      <c r="F1604">
        <v>7068382476</v>
      </c>
      <c r="G1604">
        <v>6343554.0700000003</v>
      </c>
      <c r="H1604">
        <v>6981379069.9700003</v>
      </c>
      <c r="I1604">
        <v>7029354300.75</v>
      </c>
      <c r="J1604">
        <v>0.128661</v>
      </c>
      <c r="K1604">
        <v>5.4099000000000001E-2</v>
      </c>
      <c r="M1604" t="s">
        <v>2</v>
      </c>
      <c r="N1604">
        <v>4750</v>
      </c>
      <c r="O1604">
        <v>9</v>
      </c>
      <c r="P1604">
        <v>14</v>
      </c>
      <c r="Q1604">
        <v>0</v>
      </c>
      <c r="R1604">
        <v>313144888</v>
      </c>
      <c r="S1604">
        <v>415929.61</v>
      </c>
      <c r="T1604">
        <v>312579875.5</v>
      </c>
      <c r="U1604">
        <v>312728402.08999997</v>
      </c>
      <c r="V1604">
        <v>5.6979999999999999E-3</v>
      </c>
      <c r="W1604">
        <v>2.0999999999999999E-5</v>
      </c>
      <c r="Y1604" t="s">
        <v>1</v>
      </c>
      <c r="Z1604">
        <v>4750</v>
      </c>
      <c r="AA1604">
        <v>8</v>
      </c>
      <c r="AB1604">
        <v>270</v>
      </c>
      <c r="AC1604">
        <v>0</v>
      </c>
      <c r="AD1604">
        <v>10417621477</v>
      </c>
      <c r="AE1604">
        <v>13725046.73</v>
      </c>
      <c r="AF1604">
        <v>10375866615</v>
      </c>
      <c r="AG1604">
        <v>10400539673.24</v>
      </c>
      <c r="AH1604">
        <v>3.1814000000000002E-2</v>
      </c>
      <c r="AI1604">
        <v>3.8600000000000001E-3</v>
      </c>
    </row>
    <row r="1605" spans="1:35" x14ac:dyDescent="0.35">
      <c r="A1605" t="s">
        <v>0</v>
      </c>
      <c r="B1605">
        <v>5250</v>
      </c>
      <c r="C1605">
        <v>7</v>
      </c>
      <c r="D1605">
        <v>986</v>
      </c>
      <c r="E1605">
        <v>0</v>
      </c>
      <c r="F1605">
        <v>35686183025</v>
      </c>
      <c r="G1605">
        <v>42858351.43</v>
      </c>
      <c r="H1605">
        <v>35554628993.739998</v>
      </c>
      <c r="I1605">
        <v>35620101249.199997</v>
      </c>
      <c r="J1605">
        <v>2.9420999999999999E-2</v>
      </c>
      <c r="K1605">
        <v>7.7809999999999997E-3</v>
      </c>
      <c r="M1605" t="s">
        <v>0</v>
      </c>
      <c r="N1605">
        <v>4750</v>
      </c>
      <c r="O1605">
        <v>9</v>
      </c>
      <c r="P1605">
        <v>676</v>
      </c>
      <c r="Q1605">
        <v>0</v>
      </c>
      <c r="R1605">
        <v>23657323685</v>
      </c>
      <c r="S1605">
        <v>31407609.280000001</v>
      </c>
      <c r="T1605">
        <v>23600252273.189999</v>
      </c>
      <c r="U1605">
        <v>23619291344.029999</v>
      </c>
      <c r="V1605">
        <v>1.294E-2</v>
      </c>
      <c r="W1605">
        <v>3.3549999999999999E-3</v>
      </c>
      <c r="Y1605" t="s">
        <v>0</v>
      </c>
      <c r="Z1605">
        <v>5250</v>
      </c>
      <c r="AA1605">
        <v>8</v>
      </c>
      <c r="AB1605">
        <v>1265</v>
      </c>
      <c r="AC1605">
        <v>0</v>
      </c>
      <c r="AD1605">
        <v>44837757299</v>
      </c>
      <c r="AE1605">
        <v>54195833.259999998</v>
      </c>
      <c r="AF1605">
        <v>44725362373</v>
      </c>
      <c r="AG1605">
        <v>44775589451.669998</v>
      </c>
      <c r="AH1605">
        <v>1.5465E-2</v>
      </c>
      <c r="AI1605">
        <v>2.1310000000000001E-3</v>
      </c>
    </row>
    <row r="1606" spans="1:35" x14ac:dyDescent="0.35">
      <c r="A1606" t="s">
        <v>2</v>
      </c>
      <c r="B1606">
        <v>5250</v>
      </c>
      <c r="C1606">
        <v>6</v>
      </c>
      <c r="D1606">
        <v>14</v>
      </c>
      <c r="E1606">
        <v>0</v>
      </c>
      <c r="F1606">
        <v>296185797</v>
      </c>
      <c r="G1606">
        <v>353884.09</v>
      </c>
      <c r="H1606">
        <v>295705814.81999999</v>
      </c>
      <c r="I1606">
        <v>295829781.04000002</v>
      </c>
      <c r="J1606">
        <v>5.097E-3</v>
      </c>
      <c r="K1606">
        <v>8.6000000000000003E-5</v>
      </c>
      <c r="M1606" t="s">
        <v>1</v>
      </c>
      <c r="N1606">
        <v>4750</v>
      </c>
      <c r="O1606">
        <v>9</v>
      </c>
      <c r="P1606">
        <v>293</v>
      </c>
      <c r="Q1606">
        <v>0</v>
      </c>
      <c r="R1606">
        <v>11484268479</v>
      </c>
      <c r="S1606">
        <v>15244266.890000001</v>
      </c>
      <c r="T1606">
        <v>11416096911.27</v>
      </c>
      <c r="U1606">
        <v>11445550660.66</v>
      </c>
      <c r="V1606">
        <v>5.3924E-2</v>
      </c>
      <c r="W1606">
        <v>2.4254000000000001E-2</v>
      </c>
      <c r="Y1606" t="s">
        <v>2</v>
      </c>
      <c r="Z1606">
        <v>5250</v>
      </c>
      <c r="AA1606">
        <v>8</v>
      </c>
      <c r="AB1606">
        <v>35</v>
      </c>
      <c r="AC1606">
        <v>0</v>
      </c>
      <c r="AD1606">
        <v>838196278</v>
      </c>
      <c r="AE1606">
        <v>1010407.3</v>
      </c>
      <c r="AF1606">
        <v>837199870</v>
      </c>
      <c r="AG1606">
        <v>837199870</v>
      </c>
      <c r="AH1606">
        <v>-2.0000000000000001E-4</v>
      </c>
      <c r="AI1606">
        <v>-2.0000000000000001E-4</v>
      </c>
    </row>
    <row r="1607" spans="1:35" x14ac:dyDescent="0.35">
      <c r="A1607" t="s">
        <v>0</v>
      </c>
      <c r="B1607">
        <v>5250</v>
      </c>
      <c r="C1607">
        <v>6</v>
      </c>
      <c r="D1607">
        <v>644</v>
      </c>
      <c r="E1607">
        <v>0</v>
      </c>
      <c r="F1607">
        <v>22471238047</v>
      </c>
      <c r="G1607">
        <v>26865727.170000002</v>
      </c>
      <c r="H1607">
        <v>22409521189.68</v>
      </c>
      <c r="I1607">
        <v>22440097772.529999</v>
      </c>
      <c r="J1607">
        <v>1.8453000000000001E-2</v>
      </c>
      <c r="K1607">
        <v>2.2799999999999999E-3</v>
      </c>
      <c r="M1607" t="s">
        <v>1</v>
      </c>
      <c r="N1607">
        <v>4250</v>
      </c>
      <c r="O1607">
        <v>9</v>
      </c>
      <c r="P1607">
        <v>177</v>
      </c>
      <c r="Q1607">
        <v>0</v>
      </c>
      <c r="R1607">
        <v>6015775027</v>
      </c>
      <c r="S1607">
        <v>8714458.3900000006</v>
      </c>
      <c r="T1607">
        <v>5991309580.6999998</v>
      </c>
      <c r="U1607">
        <v>5999601952.1300001</v>
      </c>
      <c r="V1607">
        <v>3.0970999999999999E-2</v>
      </c>
      <c r="W1607">
        <v>1.4777E-2</v>
      </c>
      <c r="Y1607" t="s">
        <v>1</v>
      </c>
      <c r="Z1607">
        <v>5250</v>
      </c>
      <c r="AA1607">
        <v>8</v>
      </c>
      <c r="AB1607">
        <v>675</v>
      </c>
      <c r="AC1607">
        <v>0</v>
      </c>
      <c r="AD1607">
        <v>27235170933</v>
      </c>
      <c r="AE1607">
        <v>32877180.34</v>
      </c>
      <c r="AF1607">
        <v>27135715058</v>
      </c>
      <c r="AG1607">
        <v>27162886105.23</v>
      </c>
      <c r="AH1607">
        <v>2.8944000000000001E-2</v>
      </c>
      <c r="AI1607">
        <v>1.7226000000000002E-2</v>
      </c>
    </row>
    <row r="1608" spans="1:35" x14ac:dyDescent="0.35">
      <c r="A1608" t="s">
        <v>2</v>
      </c>
      <c r="B1608">
        <v>5750</v>
      </c>
      <c r="C1608">
        <v>9</v>
      </c>
      <c r="D1608">
        <v>114</v>
      </c>
      <c r="E1608">
        <v>0</v>
      </c>
      <c r="F1608">
        <v>2660331184</v>
      </c>
      <c r="G1608">
        <v>2957898.66</v>
      </c>
      <c r="H1608">
        <v>2653788451.9499998</v>
      </c>
      <c r="I1608">
        <v>2656734115.5599999</v>
      </c>
      <c r="J1608">
        <v>1.6050999999999999E-2</v>
      </c>
      <c r="K1608">
        <v>2.879E-3</v>
      </c>
      <c r="M1608" t="s">
        <v>0</v>
      </c>
      <c r="N1608">
        <v>4250</v>
      </c>
      <c r="O1608">
        <v>9</v>
      </c>
      <c r="P1608">
        <v>403</v>
      </c>
      <c r="Q1608">
        <v>0</v>
      </c>
      <c r="R1608">
        <v>14238478990</v>
      </c>
      <c r="S1608">
        <v>20578115.460000001</v>
      </c>
      <c r="T1608">
        <v>14212477929.99</v>
      </c>
      <c r="U1608">
        <v>14217317648.719999</v>
      </c>
      <c r="V1608">
        <v>4.561E-3</v>
      </c>
      <c r="W1608">
        <v>4.9100000000000001E-4</v>
      </c>
      <c r="Y1608" t="s">
        <v>3</v>
      </c>
      <c r="Z1608">
        <v>6500</v>
      </c>
      <c r="AA1608">
        <v>14</v>
      </c>
      <c r="AB1608">
        <v>29</v>
      </c>
      <c r="AC1608">
        <v>0</v>
      </c>
      <c r="AD1608">
        <v>724296695</v>
      </c>
      <c r="AE1608">
        <v>722295.16</v>
      </c>
      <c r="AF1608">
        <v>723468656</v>
      </c>
      <c r="AG1608">
        <v>723468656</v>
      </c>
      <c r="AH1608">
        <v>1.751E-3</v>
      </c>
      <c r="AI1608">
        <v>1.751E-3</v>
      </c>
    </row>
    <row r="1609" spans="1:35" x14ac:dyDescent="0.35">
      <c r="A1609" t="s">
        <v>2</v>
      </c>
      <c r="B1609">
        <v>7000</v>
      </c>
      <c r="C1609">
        <v>5</v>
      </c>
      <c r="D1609">
        <v>899</v>
      </c>
      <c r="E1609">
        <v>0</v>
      </c>
      <c r="F1609">
        <v>14847200000</v>
      </c>
      <c r="G1609">
        <v>12686414.32</v>
      </c>
      <c r="H1609">
        <v>14823764195.15</v>
      </c>
      <c r="I1609">
        <v>14831566026.620001</v>
      </c>
      <c r="J1609">
        <v>8.6540000000000002E-3</v>
      </c>
      <c r="K1609">
        <v>2.3800000000000002E-3</v>
      </c>
      <c r="M1609" t="s">
        <v>1</v>
      </c>
      <c r="N1609">
        <v>5000</v>
      </c>
      <c r="O1609">
        <v>9</v>
      </c>
      <c r="P1609">
        <v>1427</v>
      </c>
      <c r="Q1609">
        <v>0</v>
      </c>
      <c r="R1609">
        <v>55728754045</v>
      </c>
      <c r="S1609">
        <v>70689493.590000004</v>
      </c>
      <c r="T1609">
        <v>55433149195.699997</v>
      </c>
      <c r="U1609">
        <v>55613243406.629997</v>
      </c>
      <c r="V1609">
        <v>4.7370000000000002E-2</v>
      </c>
      <c r="W1609">
        <v>9.6089999999999995E-3</v>
      </c>
      <c r="Y1609" t="s">
        <v>0</v>
      </c>
      <c r="Z1609">
        <v>8000</v>
      </c>
      <c r="AA1609">
        <v>14</v>
      </c>
      <c r="AB1609">
        <v>130</v>
      </c>
      <c r="AC1609">
        <v>0</v>
      </c>
      <c r="AD1609">
        <v>3549709962</v>
      </c>
      <c r="AE1609">
        <v>2675604.0699999998</v>
      </c>
      <c r="AF1609">
        <v>3529186483</v>
      </c>
      <c r="AG1609">
        <v>3547159770.5300002</v>
      </c>
      <c r="AH1609">
        <v>5.8694999999999997E-2</v>
      </c>
      <c r="AI1609">
        <v>-4.2400000000000001E-4</v>
      </c>
    </row>
    <row r="1610" spans="1:35" x14ac:dyDescent="0.35">
      <c r="A1610" t="s">
        <v>1</v>
      </c>
      <c r="B1610">
        <v>8000</v>
      </c>
      <c r="C1610">
        <v>14</v>
      </c>
      <c r="D1610">
        <v>12</v>
      </c>
      <c r="E1610">
        <v>0</v>
      </c>
      <c r="F1610">
        <v>334164733</v>
      </c>
      <c r="G1610">
        <v>249180.11</v>
      </c>
      <c r="H1610">
        <v>303902102.13</v>
      </c>
      <c r="I1610">
        <v>332617264.60000002</v>
      </c>
      <c r="J1610">
        <v>0.67674299999999998</v>
      </c>
      <c r="K1610">
        <v>4.5638999999999999E-2</v>
      </c>
      <c r="M1610" t="s">
        <v>0</v>
      </c>
      <c r="N1610">
        <v>5250</v>
      </c>
      <c r="O1610">
        <v>9</v>
      </c>
      <c r="P1610">
        <v>1543</v>
      </c>
      <c r="Q1610">
        <v>0</v>
      </c>
      <c r="R1610">
        <v>53257711768</v>
      </c>
      <c r="S1610">
        <v>64652364.759999998</v>
      </c>
      <c r="T1610">
        <v>52975504808.32</v>
      </c>
      <c r="U1610">
        <v>53141919177.220001</v>
      </c>
      <c r="V1610">
        <v>4.7933000000000003E-2</v>
      </c>
      <c r="W1610">
        <v>1.1462E-2</v>
      </c>
      <c r="Y1610" t="s">
        <v>0</v>
      </c>
      <c r="Z1610">
        <v>8000</v>
      </c>
      <c r="AA1610">
        <v>12</v>
      </c>
      <c r="AB1610">
        <v>210</v>
      </c>
      <c r="AC1610">
        <v>0</v>
      </c>
      <c r="AD1610">
        <v>5834428588</v>
      </c>
      <c r="AE1610">
        <v>4314945.4400000004</v>
      </c>
      <c r="AF1610">
        <v>5585067612</v>
      </c>
      <c r="AG1610">
        <v>5686838691.7600002</v>
      </c>
      <c r="AH1610">
        <v>0.40243400000000001</v>
      </c>
      <c r="AI1610">
        <v>0.25796599999999997</v>
      </c>
    </row>
    <row r="1611" spans="1:35" x14ac:dyDescent="0.35">
      <c r="A1611" t="s">
        <v>0</v>
      </c>
      <c r="B1611">
        <v>4000</v>
      </c>
      <c r="C1611">
        <v>14</v>
      </c>
      <c r="D1611">
        <v>3316</v>
      </c>
      <c r="E1611">
        <v>0</v>
      </c>
      <c r="F1611">
        <v>110044006935</v>
      </c>
      <c r="G1611">
        <v>169846023.62</v>
      </c>
      <c r="H1611">
        <v>109798195028.11</v>
      </c>
      <c r="I1611">
        <v>109853847871.28</v>
      </c>
      <c r="J1611">
        <v>8.2520000000000007E-3</v>
      </c>
      <c r="K1611">
        <v>2.2130000000000001E-3</v>
      </c>
      <c r="M1611" t="s">
        <v>2</v>
      </c>
      <c r="N1611">
        <v>5000</v>
      </c>
      <c r="O1611">
        <v>8</v>
      </c>
      <c r="P1611">
        <v>50</v>
      </c>
      <c r="Q1611">
        <v>0</v>
      </c>
      <c r="R1611">
        <v>1268542896</v>
      </c>
      <c r="S1611">
        <v>1600639.08</v>
      </c>
      <c r="T1611">
        <v>1266018535.6600001</v>
      </c>
      <c r="U1611">
        <v>1266617647.8</v>
      </c>
      <c r="V1611">
        <v>8.7030000000000007E-3</v>
      </c>
      <c r="W1611">
        <v>3.0660000000000001E-3</v>
      </c>
      <c r="Y1611" t="s">
        <v>3</v>
      </c>
      <c r="Z1611">
        <v>5750</v>
      </c>
      <c r="AA1611">
        <v>16</v>
      </c>
      <c r="AB1611">
        <v>8</v>
      </c>
      <c r="AC1611">
        <v>0</v>
      </c>
      <c r="AD1611">
        <v>246094875</v>
      </c>
      <c r="AE1611">
        <v>282150.21000000002</v>
      </c>
      <c r="AF1611">
        <v>245643809</v>
      </c>
      <c r="AG1611">
        <v>245643809</v>
      </c>
      <c r="AH1611">
        <v>8.2059999999999998E-3</v>
      </c>
      <c r="AI1611">
        <v>8.2059999999999998E-3</v>
      </c>
    </row>
    <row r="1612" spans="1:35" x14ac:dyDescent="0.35">
      <c r="A1612" t="s">
        <v>2</v>
      </c>
      <c r="B1612">
        <v>4000</v>
      </c>
      <c r="C1612">
        <v>14</v>
      </c>
      <c r="D1612">
        <v>116</v>
      </c>
      <c r="E1612">
        <v>0</v>
      </c>
      <c r="F1612">
        <v>3277958694</v>
      </c>
      <c r="G1612">
        <v>5056622.8099999996</v>
      </c>
      <c r="H1612">
        <v>3271350812.29</v>
      </c>
      <c r="I1612">
        <v>3272827753.27</v>
      </c>
      <c r="J1612">
        <v>5.6639999999999998E-3</v>
      </c>
      <c r="K1612">
        <v>2.72E-4</v>
      </c>
      <c r="M1612" t="s">
        <v>0</v>
      </c>
      <c r="N1612">
        <v>4750</v>
      </c>
      <c r="O1612">
        <v>8</v>
      </c>
      <c r="P1612">
        <v>569</v>
      </c>
      <c r="Q1612">
        <v>0</v>
      </c>
      <c r="R1612">
        <v>19232532704</v>
      </c>
      <c r="S1612">
        <v>25376699.48</v>
      </c>
      <c r="T1612">
        <v>19195410178.470001</v>
      </c>
      <c r="U1612">
        <v>19205116470.860001</v>
      </c>
      <c r="V1612">
        <v>7.3039999999999997E-3</v>
      </c>
      <c r="W1612">
        <v>1.2719999999999999E-3</v>
      </c>
      <c r="Y1612" t="s">
        <v>1</v>
      </c>
      <c r="Z1612">
        <v>7500</v>
      </c>
      <c r="AA1612">
        <v>12</v>
      </c>
      <c r="AB1612">
        <v>341</v>
      </c>
      <c r="AC1612">
        <v>0</v>
      </c>
      <c r="AD1612">
        <v>8443385374</v>
      </c>
      <c r="AE1612">
        <v>6877369.1900000004</v>
      </c>
      <c r="AF1612">
        <v>7851679481</v>
      </c>
      <c r="AG1612">
        <v>8323680786.2799997</v>
      </c>
      <c r="AH1612">
        <v>0.57741500000000001</v>
      </c>
      <c r="AI1612">
        <v>0.14907799999999999</v>
      </c>
    </row>
    <row r="1613" spans="1:35" x14ac:dyDescent="0.35">
      <c r="A1613" t="s">
        <v>1</v>
      </c>
      <c r="B1613">
        <v>4000</v>
      </c>
      <c r="C1613">
        <v>14</v>
      </c>
      <c r="D1613">
        <v>1050</v>
      </c>
      <c r="E1613">
        <v>0</v>
      </c>
      <c r="F1613">
        <v>37635335430</v>
      </c>
      <c r="G1613">
        <v>58118614.409999996</v>
      </c>
      <c r="H1613">
        <v>37458675169.669998</v>
      </c>
      <c r="I1613">
        <v>37506569921.43</v>
      </c>
      <c r="J1613">
        <v>3.7149000000000001E-2</v>
      </c>
      <c r="K1613">
        <v>2.2294999999999999E-2</v>
      </c>
      <c r="M1613" t="s">
        <v>1</v>
      </c>
      <c r="N1613">
        <v>4750</v>
      </c>
      <c r="O1613">
        <v>8</v>
      </c>
      <c r="P1613">
        <v>187</v>
      </c>
      <c r="Q1613">
        <v>0</v>
      </c>
      <c r="R1613">
        <v>7235972470</v>
      </c>
      <c r="S1613">
        <v>9548071.3499999996</v>
      </c>
      <c r="T1613">
        <v>7208429948.9200001</v>
      </c>
      <c r="U1613">
        <v>7221052661.9799995</v>
      </c>
      <c r="V1613">
        <v>2.9437000000000001E-2</v>
      </c>
      <c r="W1613">
        <v>8.8719999999999997E-3</v>
      </c>
      <c r="Y1613" t="s">
        <v>1</v>
      </c>
      <c r="Z1613">
        <v>7750</v>
      </c>
      <c r="AA1613">
        <v>12</v>
      </c>
      <c r="AB1613">
        <v>343</v>
      </c>
      <c r="AC1613">
        <v>0</v>
      </c>
      <c r="AD1613">
        <v>9848313175</v>
      </c>
      <c r="AE1613">
        <v>7597821.7199999997</v>
      </c>
      <c r="AF1613">
        <v>8999713155</v>
      </c>
      <c r="AG1613">
        <v>9593597523.0699997</v>
      </c>
      <c r="AH1613">
        <v>0.65739000000000003</v>
      </c>
      <c r="AI1613">
        <v>0.26284099999999999</v>
      </c>
    </row>
    <row r="1614" spans="1:35" x14ac:dyDescent="0.35">
      <c r="A1614" t="s">
        <v>0</v>
      </c>
      <c r="B1614">
        <v>4000</v>
      </c>
      <c r="C1614">
        <v>12</v>
      </c>
      <c r="D1614">
        <v>2226</v>
      </c>
      <c r="E1614">
        <v>0</v>
      </c>
      <c r="F1614">
        <v>74427783868</v>
      </c>
      <c r="G1614">
        <v>113736431.63</v>
      </c>
      <c r="H1614">
        <v>74273255080.610001</v>
      </c>
      <c r="I1614">
        <v>74301749358.270004</v>
      </c>
      <c r="J1614">
        <v>6.5570000000000003E-3</v>
      </c>
      <c r="K1614">
        <v>1.9810000000000001E-3</v>
      </c>
      <c r="M1614" t="s">
        <v>2</v>
      </c>
      <c r="N1614">
        <v>4750</v>
      </c>
      <c r="O1614">
        <v>8</v>
      </c>
      <c r="P1614">
        <v>28</v>
      </c>
      <c r="Q1614">
        <v>0</v>
      </c>
      <c r="R1614">
        <v>641588979</v>
      </c>
      <c r="S1614">
        <v>850351.44</v>
      </c>
      <c r="T1614">
        <v>640420909.29999995</v>
      </c>
      <c r="U1614">
        <v>640735902.85000002</v>
      </c>
      <c r="V1614">
        <v>5.9259999999999998E-3</v>
      </c>
      <c r="W1614">
        <v>5.1E-5</v>
      </c>
      <c r="Y1614" t="s">
        <v>0</v>
      </c>
      <c r="Z1614">
        <v>5250</v>
      </c>
      <c r="AA1614">
        <v>6</v>
      </c>
      <c r="AB1614">
        <v>983</v>
      </c>
      <c r="AC1614">
        <v>0</v>
      </c>
      <c r="AD1614">
        <v>35703725267</v>
      </c>
      <c r="AE1614">
        <v>42641808.420000002</v>
      </c>
      <c r="AF1614">
        <v>35605683025</v>
      </c>
      <c r="AG1614">
        <v>35605683025</v>
      </c>
      <c r="AH1614">
        <v>1.8461999999999999E-2</v>
      </c>
      <c r="AI1614">
        <v>1.8461999999999999E-2</v>
      </c>
    </row>
    <row r="1615" spans="1:35" x14ac:dyDescent="0.35">
      <c r="A1615" t="s">
        <v>2</v>
      </c>
      <c r="B1615">
        <v>4250</v>
      </c>
      <c r="C1615">
        <v>12</v>
      </c>
      <c r="D1615">
        <v>27</v>
      </c>
      <c r="E1615">
        <v>0</v>
      </c>
      <c r="F1615">
        <v>676585623</v>
      </c>
      <c r="G1615">
        <v>991105.54</v>
      </c>
      <c r="H1615">
        <v>675075856.69000006</v>
      </c>
      <c r="I1615">
        <v>675534300.10000002</v>
      </c>
      <c r="J1615">
        <v>9.1599999999999997E-3</v>
      </c>
      <c r="K1615">
        <v>1.067E-3</v>
      </c>
      <c r="M1615" t="s">
        <v>1</v>
      </c>
      <c r="N1615">
        <v>5000</v>
      </c>
      <c r="O1615">
        <v>8</v>
      </c>
      <c r="P1615">
        <v>650</v>
      </c>
      <c r="Q1615">
        <v>0</v>
      </c>
      <c r="R1615">
        <v>24905156593</v>
      </c>
      <c r="S1615">
        <v>31466264.16</v>
      </c>
      <c r="T1615">
        <v>24803067161.82</v>
      </c>
      <c r="U1615">
        <v>24866053500.360001</v>
      </c>
      <c r="V1615">
        <v>3.3501999999999997E-2</v>
      </c>
      <c r="W1615">
        <v>3.673E-3</v>
      </c>
      <c r="Y1615" t="s">
        <v>2</v>
      </c>
      <c r="Z1615">
        <v>5250</v>
      </c>
      <c r="AA1615">
        <v>5</v>
      </c>
      <c r="AB1615">
        <v>185</v>
      </c>
      <c r="AC1615">
        <v>0</v>
      </c>
      <c r="AD1615">
        <v>4659800000</v>
      </c>
      <c r="AE1615">
        <v>5411863</v>
      </c>
      <c r="AF1615">
        <v>4658685797</v>
      </c>
      <c r="AG1615">
        <v>4658685797</v>
      </c>
      <c r="AH1615">
        <v>-1.1124E-2</v>
      </c>
      <c r="AI1615">
        <v>-1.1124E-2</v>
      </c>
    </row>
    <row r="1616" spans="1:35" x14ac:dyDescent="0.35">
      <c r="A1616" t="s">
        <v>1</v>
      </c>
      <c r="B1616">
        <v>4750</v>
      </c>
      <c r="C1616">
        <v>10</v>
      </c>
      <c r="D1616">
        <v>238</v>
      </c>
      <c r="E1616">
        <v>0</v>
      </c>
      <c r="F1616">
        <v>8789656885</v>
      </c>
      <c r="G1616">
        <v>11722610.34</v>
      </c>
      <c r="H1616">
        <v>8756761713.7600002</v>
      </c>
      <c r="I1616">
        <v>8770092239.0499992</v>
      </c>
      <c r="J1616">
        <v>2.8525999999999999E-2</v>
      </c>
      <c r="K1616">
        <v>1.0654E-2</v>
      </c>
      <c r="M1616" t="s">
        <v>0</v>
      </c>
      <c r="N1616">
        <v>5250</v>
      </c>
      <c r="O1616">
        <v>8</v>
      </c>
      <c r="P1616">
        <v>808</v>
      </c>
      <c r="Q1616">
        <v>0</v>
      </c>
      <c r="R1616">
        <v>27650718814</v>
      </c>
      <c r="S1616">
        <v>33378389.52</v>
      </c>
      <c r="T1616">
        <v>27525219134.25</v>
      </c>
      <c r="U1616">
        <v>27601251219.330002</v>
      </c>
      <c r="V1616">
        <v>3.9254999999999998E-2</v>
      </c>
      <c r="W1616">
        <v>6.96E-3</v>
      </c>
      <c r="Y1616" t="s">
        <v>0</v>
      </c>
      <c r="Z1616">
        <v>5250</v>
      </c>
      <c r="AA1616">
        <v>5</v>
      </c>
      <c r="AB1616">
        <v>11556</v>
      </c>
      <c r="AC1616">
        <v>0</v>
      </c>
      <c r="AD1616">
        <v>413538200000</v>
      </c>
      <c r="AE1616">
        <v>481925278.69</v>
      </c>
      <c r="AF1616">
        <v>413349938047</v>
      </c>
      <c r="AG1616">
        <v>413371712341.07001</v>
      </c>
      <c r="AH1616">
        <v>-8.5550000000000001E-3</v>
      </c>
      <c r="AI1616">
        <v>-9.1920000000000005E-3</v>
      </c>
    </row>
    <row r="1617" spans="1:35" x14ac:dyDescent="0.35">
      <c r="A1617" t="s">
        <v>0</v>
      </c>
      <c r="B1617">
        <v>5500</v>
      </c>
      <c r="C1617">
        <v>10</v>
      </c>
      <c r="D1617">
        <v>1312</v>
      </c>
      <c r="E1617">
        <v>0</v>
      </c>
      <c r="F1617">
        <v>43406060874</v>
      </c>
      <c r="G1617">
        <v>50680098.759999998</v>
      </c>
      <c r="H1617">
        <v>43217071261.989998</v>
      </c>
      <c r="I1617">
        <v>43322810673.779999</v>
      </c>
      <c r="J1617">
        <v>3.7574000000000003E-2</v>
      </c>
      <c r="K1617">
        <v>8.9669999999999993E-3</v>
      </c>
      <c r="M1617" t="s">
        <v>1</v>
      </c>
      <c r="N1617">
        <v>5250</v>
      </c>
      <c r="O1617">
        <v>8</v>
      </c>
      <c r="P1617">
        <v>508</v>
      </c>
      <c r="Q1617">
        <v>0</v>
      </c>
      <c r="R1617">
        <v>20985142776</v>
      </c>
      <c r="S1617">
        <v>25308881.829999998</v>
      </c>
      <c r="T1617">
        <v>20818665891.700001</v>
      </c>
      <c r="U1617">
        <v>20946994245.099998</v>
      </c>
      <c r="V1617">
        <v>7.7803999999999998E-2</v>
      </c>
      <c r="W1617">
        <v>7.3169999999999997E-3</v>
      </c>
      <c r="Y1617" t="s">
        <v>2</v>
      </c>
      <c r="Z1617">
        <v>5750</v>
      </c>
      <c r="AA1617">
        <v>8</v>
      </c>
      <c r="AB1617">
        <v>114</v>
      </c>
      <c r="AC1617">
        <v>0</v>
      </c>
      <c r="AD1617">
        <v>2663507302</v>
      </c>
      <c r="AE1617">
        <v>2944165.39</v>
      </c>
      <c r="AF1617">
        <v>2660331184</v>
      </c>
      <c r="AG1617">
        <v>2660331184</v>
      </c>
      <c r="AH1617">
        <v>1.0449999999999999E-3</v>
      </c>
      <c r="AI1617">
        <v>1.0449999999999999E-3</v>
      </c>
    </row>
    <row r="1618" spans="1:35" x14ac:dyDescent="0.35">
      <c r="A1618" t="s">
        <v>2</v>
      </c>
      <c r="B1618">
        <v>4750</v>
      </c>
      <c r="C1618">
        <v>9</v>
      </c>
      <c r="D1618">
        <v>28</v>
      </c>
      <c r="E1618">
        <v>0</v>
      </c>
      <c r="F1618">
        <v>681729448</v>
      </c>
      <c r="G1618">
        <v>902738.34</v>
      </c>
      <c r="H1618">
        <v>680381371.85000002</v>
      </c>
      <c r="I1618">
        <v>680706233.90999997</v>
      </c>
      <c r="J1618">
        <v>7.8110000000000002E-3</v>
      </c>
      <c r="K1618">
        <v>2.1189999999999998E-3</v>
      </c>
      <c r="M1618" t="s">
        <v>0</v>
      </c>
      <c r="N1618">
        <v>5500</v>
      </c>
      <c r="O1618">
        <v>8</v>
      </c>
      <c r="P1618">
        <v>1380</v>
      </c>
      <c r="Q1618">
        <v>0</v>
      </c>
      <c r="R1618">
        <v>45467802365</v>
      </c>
      <c r="S1618">
        <v>52541438.659999996</v>
      </c>
      <c r="T1618">
        <v>45227035381.470001</v>
      </c>
      <c r="U1618">
        <v>45378032040.82</v>
      </c>
      <c r="V1618">
        <v>4.8561E-2</v>
      </c>
      <c r="W1618">
        <v>9.7809999999999998E-3</v>
      </c>
      <c r="Y1618" t="s">
        <v>0</v>
      </c>
      <c r="Z1618">
        <v>4000</v>
      </c>
      <c r="AA1618">
        <v>14</v>
      </c>
      <c r="AB1618">
        <v>2449</v>
      </c>
      <c r="AC1618">
        <v>0</v>
      </c>
      <c r="AD1618">
        <v>79469470684</v>
      </c>
      <c r="AE1618">
        <v>122661375.36</v>
      </c>
      <c r="AF1618">
        <v>79337830570</v>
      </c>
      <c r="AG1618">
        <v>79337830570</v>
      </c>
      <c r="AH1618">
        <v>1.3550000000000001E-3</v>
      </c>
      <c r="AI1618">
        <v>1.3550000000000001E-3</v>
      </c>
    </row>
    <row r="1619" spans="1:35" x14ac:dyDescent="0.35">
      <c r="A1619" t="s">
        <v>1</v>
      </c>
      <c r="B1619">
        <v>5500</v>
      </c>
      <c r="C1619">
        <v>9</v>
      </c>
      <c r="D1619">
        <v>1681</v>
      </c>
      <c r="E1619">
        <v>0</v>
      </c>
      <c r="F1619">
        <v>71621226747</v>
      </c>
      <c r="G1619">
        <v>83120841.719999999</v>
      </c>
      <c r="H1619">
        <v>70559901540.779999</v>
      </c>
      <c r="I1619">
        <v>71470169247.720001</v>
      </c>
      <c r="J1619">
        <v>0.15212800000000001</v>
      </c>
      <c r="K1619">
        <v>1.1323E-2</v>
      </c>
      <c r="M1619" t="s">
        <v>2</v>
      </c>
      <c r="N1619">
        <v>5250</v>
      </c>
      <c r="O1619">
        <v>8</v>
      </c>
      <c r="P1619">
        <v>17</v>
      </c>
      <c r="Q1619">
        <v>0</v>
      </c>
      <c r="R1619">
        <v>376230964</v>
      </c>
      <c r="S1619">
        <v>454690</v>
      </c>
      <c r="T1619">
        <v>375479649.94</v>
      </c>
      <c r="U1619">
        <v>375774560.08999997</v>
      </c>
      <c r="V1619">
        <v>9.4199999999999996E-3</v>
      </c>
      <c r="W1619">
        <v>5.5000000000000002E-5</v>
      </c>
      <c r="Y1619" t="s">
        <v>1</v>
      </c>
      <c r="Z1619">
        <v>4500</v>
      </c>
      <c r="AA1619">
        <v>14</v>
      </c>
      <c r="AB1619">
        <v>744</v>
      </c>
      <c r="AC1619">
        <v>0</v>
      </c>
      <c r="AD1619">
        <v>27702871160</v>
      </c>
      <c r="AE1619">
        <v>39264029.869999997</v>
      </c>
      <c r="AF1619">
        <v>27456995484</v>
      </c>
      <c r="AG1619">
        <v>27536235085.98</v>
      </c>
      <c r="AH1619">
        <v>8.5916000000000006E-2</v>
      </c>
      <c r="AI1619">
        <v>5.3799E-2</v>
      </c>
    </row>
    <row r="1620" spans="1:35" x14ac:dyDescent="0.35">
      <c r="A1620" t="s">
        <v>2</v>
      </c>
      <c r="B1620">
        <v>5500</v>
      </c>
      <c r="C1620">
        <v>9</v>
      </c>
      <c r="D1620">
        <v>89</v>
      </c>
      <c r="E1620">
        <v>0</v>
      </c>
      <c r="F1620">
        <v>2023639730</v>
      </c>
      <c r="G1620">
        <v>2342489.7200000002</v>
      </c>
      <c r="H1620">
        <v>2019283199.03</v>
      </c>
      <c r="I1620">
        <v>2021288613.6600001</v>
      </c>
      <c r="J1620">
        <v>1.1878E-2</v>
      </c>
      <c r="K1620">
        <v>5.1E-5</v>
      </c>
      <c r="M1620" t="s">
        <v>1</v>
      </c>
      <c r="N1620">
        <v>5000</v>
      </c>
      <c r="O1620">
        <v>7</v>
      </c>
      <c r="P1620">
        <v>749</v>
      </c>
      <c r="Q1620">
        <v>0</v>
      </c>
      <c r="R1620">
        <v>29226193290</v>
      </c>
      <c r="S1620">
        <v>36636101.100000001</v>
      </c>
      <c r="T1620">
        <v>29111721044.669998</v>
      </c>
      <c r="U1620">
        <v>29182615078.630001</v>
      </c>
      <c r="V1620">
        <v>3.1495000000000002E-2</v>
      </c>
      <c r="W1620">
        <v>2.8470000000000001E-3</v>
      </c>
      <c r="Y1620" t="s">
        <v>0</v>
      </c>
      <c r="Z1620">
        <v>4000</v>
      </c>
      <c r="AA1620">
        <v>12</v>
      </c>
      <c r="AB1620">
        <v>3297</v>
      </c>
      <c r="AC1620">
        <v>0</v>
      </c>
      <c r="AD1620">
        <v>111404657168</v>
      </c>
      <c r="AE1620">
        <v>170332195.61000001</v>
      </c>
      <c r="AF1620">
        <v>111145169997</v>
      </c>
      <c r="AG1620">
        <v>111212648470.10001</v>
      </c>
      <c r="AH1620">
        <v>9.5610000000000001E-3</v>
      </c>
      <c r="AI1620">
        <v>2.3319999999999999E-3</v>
      </c>
    </row>
    <row r="1621" spans="1:35" x14ac:dyDescent="0.35">
      <c r="A1621" t="s">
        <v>0</v>
      </c>
      <c r="B1621">
        <v>4750</v>
      </c>
      <c r="C1621">
        <v>8</v>
      </c>
      <c r="D1621">
        <v>840</v>
      </c>
      <c r="E1621">
        <v>0</v>
      </c>
      <c r="F1621">
        <v>28337861716</v>
      </c>
      <c r="G1621">
        <v>37441738.880000003</v>
      </c>
      <c r="H1621">
        <v>28277157752.950001</v>
      </c>
      <c r="I1621">
        <v>28290002215.470001</v>
      </c>
      <c r="J1621">
        <v>9.8060000000000005E-3</v>
      </c>
      <c r="K1621">
        <v>4.4029999999999998E-3</v>
      </c>
      <c r="M1621" t="s">
        <v>0</v>
      </c>
      <c r="N1621">
        <v>4750</v>
      </c>
      <c r="O1621">
        <v>7</v>
      </c>
      <c r="P1621">
        <v>803</v>
      </c>
      <c r="Q1621">
        <v>0</v>
      </c>
      <c r="R1621">
        <v>26674367472</v>
      </c>
      <c r="S1621">
        <v>35046391.310000002</v>
      </c>
      <c r="T1621">
        <v>26626655088.18</v>
      </c>
      <c r="U1621">
        <v>26635671528.790001</v>
      </c>
      <c r="V1621">
        <v>5.6829999999999997E-3</v>
      </c>
      <c r="W1621">
        <v>1.6410000000000001E-3</v>
      </c>
      <c r="Y1621" t="s">
        <v>2</v>
      </c>
      <c r="Z1621">
        <v>4000</v>
      </c>
      <c r="AA1621">
        <v>12</v>
      </c>
      <c r="AB1621">
        <v>105</v>
      </c>
      <c r="AC1621">
        <v>0</v>
      </c>
      <c r="AD1621">
        <v>2962024052</v>
      </c>
      <c r="AE1621">
        <v>4523964.6399999997</v>
      </c>
      <c r="AF1621">
        <v>2957270539</v>
      </c>
      <c r="AG1621">
        <v>2957270539</v>
      </c>
      <c r="AH1621">
        <v>9.3000000000000005E-4</v>
      </c>
      <c r="AI1621">
        <v>9.3000000000000005E-4</v>
      </c>
    </row>
    <row r="1622" spans="1:35" x14ac:dyDescent="0.35">
      <c r="A1622" t="s">
        <v>2</v>
      </c>
      <c r="B1622">
        <v>4750</v>
      </c>
      <c r="C1622">
        <v>8</v>
      </c>
      <c r="D1622">
        <v>26</v>
      </c>
      <c r="E1622">
        <v>0</v>
      </c>
      <c r="F1622">
        <v>647219729</v>
      </c>
      <c r="G1622">
        <v>854974.56</v>
      </c>
      <c r="H1622">
        <v>645589372.23000002</v>
      </c>
      <c r="I1622">
        <v>645797355.47000003</v>
      </c>
      <c r="J1622">
        <v>1.4282E-2</v>
      </c>
      <c r="K1622">
        <v>1.0468999999999999E-2</v>
      </c>
      <c r="M1622" t="s">
        <v>2</v>
      </c>
      <c r="N1622">
        <v>5000</v>
      </c>
      <c r="O1622">
        <v>7</v>
      </c>
      <c r="P1622">
        <v>63</v>
      </c>
      <c r="Q1622">
        <v>0</v>
      </c>
      <c r="R1622">
        <v>1677246238</v>
      </c>
      <c r="S1622">
        <v>2102286.5699999998</v>
      </c>
      <c r="T1622">
        <v>1674379756.9200001</v>
      </c>
      <c r="U1622">
        <v>1675097023.54</v>
      </c>
      <c r="V1622">
        <v>5.4539999999999996E-3</v>
      </c>
      <c r="W1622">
        <v>3.3599999999999998E-4</v>
      </c>
      <c r="Y1622" t="s">
        <v>1</v>
      </c>
      <c r="Z1622">
        <v>4000</v>
      </c>
      <c r="AA1622">
        <v>12</v>
      </c>
      <c r="AB1622">
        <v>996</v>
      </c>
      <c r="AC1622">
        <v>0</v>
      </c>
      <c r="AD1622">
        <v>35978580540</v>
      </c>
      <c r="AE1622">
        <v>54998161.450000003</v>
      </c>
      <c r="AF1622">
        <v>35902375248</v>
      </c>
      <c r="AG1622">
        <v>35910268692.290001</v>
      </c>
      <c r="AH1622">
        <v>7.0499999999999998E-3</v>
      </c>
      <c r="AI1622">
        <v>4.4320000000000002E-3</v>
      </c>
    </row>
    <row r="1623" spans="1:35" x14ac:dyDescent="0.35">
      <c r="A1623" t="s">
        <v>1</v>
      </c>
      <c r="B1623">
        <v>4750</v>
      </c>
      <c r="C1623">
        <v>8</v>
      </c>
      <c r="D1623">
        <v>268</v>
      </c>
      <c r="E1623">
        <v>0</v>
      </c>
      <c r="F1623">
        <v>10433289789</v>
      </c>
      <c r="G1623">
        <v>13774902.449999999</v>
      </c>
      <c r="H1623">
        <v>10402658151.09</v>
      </c>
      <c r="I1623">
        <v>10417720314.860001</v>
      </c>
      <c r="J1623">
        <v>1.9217000000000001E-2</v>
      </c>
      <c r="K1623">
        <v>2.062E-3</v>
      </c>
      <c r="M1623" t="s">
        <v>0</v>
      </c>
      <c r="N1623">
        <v>5250</v>
      </c>
      <c r="O1623">
        <v>7</v>
      </c>
      <c r="P1623">
        <v>785</v>
      </c>
      <c r="Q1623">
        <v>0</v>
      </c>
      <c r="R1623">
        <v>27590907740</v>
      </c>
      <c r="S1623">
        <v>33108263.43</v>
      </c>
      <c r="T1623">
        <v>27518340084.169998</v>
      </c>
      <c r="U1623">
        <v>27550153749.869999</v>
      </c>
      <c r="V1623">
        <v>1.7028000000000001E-2</v>
      </c>
      <c r="W1623">
        <v>3.32E-3</v>
      </c>
      <c r="Y1623" t="s">
        <v>2</v>
      </c>
      <c r="Z1623">
        <v>5500</v>
      </c>
      <c r="AA1623">
        <v>10</v>
      </c>
      <c r="AB1623">
        <v>51</v>
      </c>
      <c r="AC1623">
        <v>0</v>
      </c>
      <c r="AD1623">
        <v>1164598473</v>
      </c>
      <c r="AE1623">
        <v>1355242.89</v>
      </c>
      <c r="AF1623">
        <v>1163337761</v>
      </c>
      <c r="AG1623">
        <v>1163337761</v>
      </c>
      <c r="AH1623">
        <v>-9.7400000000000004E-4</v>
      </c>
      <c r="AI1623">
        <v>-9.7400000000000004E-4</v>
      </c>
    </row>
    <row r="1624" spans="1:35" x14ac:dyDescent="0.35">
      <c r="A1624" t="s">
        <v>0</v>
      </c>
      <c r="B1624">
        <v>5000</v>
      </c>
      <c r="C1624">
        <v>8</v>
      </c>
      <c r="D1624">
        <v>2480</v>
      </c>
      <c r="E1624">
        <v>0</v>
      </c>
      <c r="F1624">
        <v>88807022208</v>
      </c>
      <c r="G1624">
        <v>112093136.01000001</v>
      </c>
      <c r="H1624">
        <v>88605630022.839996</v>
      </c>
      <c r="I1624">
        <v>88660883336.949997</v>
      </c>
      <c r="J1624">
        <v>1.2E-2</v>
      </c>
      <c r="K1624">
        <v>4.5909999999999996E-3</v>
      </c>
      <c r="M1624" t="s">
        <v>2</v>
      </c>
      <c r="N1624">
        <v>5250</v>
      </c>
      <c r="O1624">
        <v>7</v>
      </c>
      <c r="P1624">
        <v>14</v>
      </c>
      <c r="Q1624">
        <v>0</v>
      </c>
      <c r="R1624">
        <v>338383274</v>
      </c>
      <c r="S1624">
        <v>405473.56</v>
      </c>
      <c r="T1624">
        <v>337850777.86000001</v>
      </c>
      <c r="U1624">
        <v>337977376.32999998</v>
      </c>
      <c r="V1624">
        <v>4.4949999999999999E-3</v>
      </c>
      <c r="W1624">
        <v>1.5E-5</v>
      </c>
      <c r="Y1624" t="s">
        <v>1</v>
      </c>
      <c r="Z1624">
        <v>4750</v>
      </c>
      <c r="AA1624">
        <v>9</v>
      </c>
      <c r="AB1624">
        <v>238</v>
      </c>
      <c r="AC1624">
        <v>0</v>
      </c>
      <c r="AD1624">
        <v>8802943382</v>
      </c>
      <c r="AE1624">
        <v>11678841.75</v>
      </c>
      <c r="AF1624">
        <v>8789656885</v>
      </c>
      <c r="AG1624">
        <v>8789656885</v>
      </c>
      <c r="AH1624">
        <v>2.189E-3</v>
      </c>
      <c r="AI1624">
        <v>2.189E-3</v>
      </c>
    </row>
    <row r="1625" spans="1:35" x14ac:dyDescent="0.35">
      <c r="A1625" t="s">
        <v>1</v>
      </c>
      <c r="B1625">
        <v>5000</v>
      </c>
      <c r="C1625">
        <v>8</v>
      </c>
      <c r="D1625">
        <v>958</v>
      </c>
      <c r="E1625">
        <v>0</v>
      </c>
      <c r="F1625">
        <v>38036466318</v>
      </c>
      <c r="G1625">
        <v>48008457.229999997</v>
      </c>
      <c r="H1625">
        <v>37888964925.599998</v>
      </c>
      <c r="I1625">
        <v>37970472378.529999</v>
      </c>
      <c r="J1625">
        <v>3.0941E-2</v>
      </c>
      <c r="K1625">
        <v>5.659E-3</v>
      </c>
      <c r="M1625" t="s">
        <v>1</v>
      </c>
      <c r="N1625">
        <v>5250</v>
      </c>
      <c r="O1625">
        <v>7</v>
      </c>
      <c r="P1625">
        <v>332</v>
      </c>
      <c r="Q1625">
        <v>0</v>
      </c>
      <c r="R1625">
        <v>13189501731</v>
      </c>
      <c r="S1625">
        <v>15831894.24</v>
      </c>
      <c r="T1625">
        <v>13111629975.48</v>
      </c>
      <c r="U1625">
        <v>13171711416.209999</v>
      </c>
      <c r="V1625">
        <v>5.5007E-2</v>
      </c>
      <c r="W1625">
        <v>1.7799999999999999E-3</v>
      </c>
      <c r="Y1625" t="s">
        <v>0</v>
      </c>
      <c r="Z1625">
        <v>5500</v>
      </c>
      <c r="AA1625">
        <v>9</v>
      </c>
      <c r="AB1625">
        <v>1312</v>
      </c>
      <c r="AC1625">
        <v>0</v>
      </c>
      <c r="AD1625">
        <v>43461465788</v>
      </c>
      <c r="AE1625">
        <v>50456286.07</v>
      </c>
      <c r="AF1625">
        <v>43406060874</v>
      </c>
      <c r="AG1625">
        <v>43406060874</v>
      </c>
      <c r="AH1625">
        <v>1.3649999999999999E-3</v>
      </c>
      <c r="AI1625">
        <v>1.3649999999999999E-3</v>
      </c>
    </row>
    <row r="1626" spans="1:35" x14ac:dyDescent="0.35">
      <c r="A1626" t="s">
        <v>2</v>
      </c>
      <c r="B1626">
        <v>5000</v>
      </c>
      <c r="C1626">
        <v>8</v>
      </c>
      <c r="D1626">
        <v>58</v>
      </c>
      <c r="E1626">
        <v>0</v>
      </c>
      <c r="F1626">
        <v>1539166571</v>
      </c>
      <c r="G1626">
        <v>1944225.1</v>
      </c>
      <c r="H1626">
        <v>1536407785.4100001</v>
      </c>
      <c r="I1626">
        <v>1537063963.0799999</v>
      </c>
      <c r="J1626">
        <v>6.332E-3</v>
      </c>
      <c r="K1626">
        <v>1.2340000000000001E-3</v>
      </c>
      <c r="M1626" t="s">
        <v>2</v>
      </c>
      <c r="N1626">
        <v>5750</v>
      </c>
      <c r="O1626">
        <v>7</v>
      </c>
      <c r="P1626">
        <v>71</v>
      </c>
      <c r="Q1626">
        <v>0</v>
      </c>
      <c r="R1626">
        <v>1532717780</v>
      </c>
      <c r="S1626">
        <v>1675098.18</v>
      </c>
      <c r="T1626">
        <v>1527926654.6700001</v>
      </c>
      <c r="U1626">
        <v>1529272479.3900001</v>
      </c>
      <c r="V1626">
        <v>2.4125000000000001E-2</v>
      </c>
      <c r="W1626">
        <v>1.3772E-2</v>
      </c>
      <c r="Y1626" t="s">
        <v>2</v>
      </c>
      <c r="Z1626">
        <v>4750</v>
      </c>
      <c r="AA1626">
        <v>8</v>
      </c>
      <c r="AB1626">
        <v>28</v>
      </c>
      <c r="AC1626">
        <v>0</v>
      </c>
      <c r="AD1626">
        <v>682782285</v>
      </c>
      <c r="AE1626">
        <v>899396.9</v>
      </c>
      <c r="AF1626">
        <v>681729448</v>
      </c>
      <c r="AG1626">
        <v>681729448</v>
      </c>
      <c r="AH1626">
        <v>2.6930000000000001E-3</v>
      </c>
      <c r="AI1626">
        <v>2.6930000000000001E-3</v>
      </c>
    </row>
    <row r="1627" spans="1:35" x14ac:dyDescent="0.35">
      <c r="A1627" t="s">
        <v>2</v>
      </c>
      <c r="B1627">
        <v>5500</v>
      </c>
      <c r="C1627">
        <v>8</v>
      </c>
      <c r="D1627">
        <v>103</v>
      </c>
      <c r="E1627">
        <v>0</v>
      </c>
      <c r="F1627">
        <v>2340260270</v>
      </c>
      <c r="G1627">
        <v>2695692.03</v>
      </c>
      <c r="H1627">
        <v>2335273788.3400002</v>
      </c>
      <c r="I1627">
        <v>2337114418.27</v>
      </c>
      <c r="J1627">
        <v>1.1683000000000001E-2</v>
      </c>
      <c r="K1627">
        <v>2.3059999999999999E-3</v>
      </c>
      <c r="M1627" t="s">
        <v>2</v>
      </c>
      <c r="N1627">
        <v>4750</v>
      </c>
      <c r="O1627">
        <v>7</v>
      </c>
      <c r="P1627">
        <v>26</v>
      </c>
      <c r="Q1627">
        <v>0</v>
      </c>
      <c r="R1627">
        <v>653161840</v>
      </c>
      <c r="S1627">
        <v>856417.79</v>
      </c>
      <c r="T1627">
        <v>651786696.65999997</v>
      </c>
      <c r="U1627">
        <v>652125379.53999996</v>
      </c>
      <c r="V1627">
        <v>9.4889999999999992E-3</v>
      </c>
      <c r="W1627">
        <v>3.3029999999999999E-3</v>
      </c>
      <c r="Y1627" t="s">
        <v>1</v>
      </c>
      <c r="Z1627">
        <v>5500</v>
      </c>
      <c r="AA1627">
        <v>8</v>
      </c>
      <c r="AB1627">
        <v>1693</v>
      </c>
      <c r="AC1627">
        <v>0</v>
      </c>
      <c r="AD1627">
        <v>72384642448</v>
      </c>
      <c r="AE1627">
        <v>83528632.340000004</v>
      </c>
      <c r="AF1627">
        <v>71621226747</v>
      </c>
      <c r="AG1627">
        <v>72250371570.429993</v>
      </c>
      <c r="AH1627">
        <v>0.107068</v>
      </c>
      <c r="AI1627">
        <v>8.3800000000000003E-3</v>
      </c>
    </row>
    <row r="1628" spans="1:35" x14ac:dyDescent="0.35">
      <c r="A1628" t="s">
        <v>2</v>
      </c>
      <c r="B1628">
        <v>5000</v>
      </c>
      <c r="C1628">
        <v>7</v>
      </c>
      <c r="D1628">
        <v>53</v>
      </c>
      <c r="E1628">
        <v>0</v>
      </c>
      <c r="F1628">
        <v>1456067897</v>
      </c>
      <c r="G1628">
        <v>1830633.42</v>
      </c>
      <c r="H1628">
        <v>1452258376.74</v>
      </c>
      <c r="I1628">
        <v>1452770491.1099999</v>
      </c>
      <c r="J1628">
        <v>1.6187E-2</v>
      </c>
      <c r="K1628">
        <v>1.2021E-2</v>
      </c>
      <c r="M1628" t="s">
        <v>2</v>
      </c>
      <c r="N1628">
        <v>5500</v>
      </c>
      <c r="O1628">
        <v>7</v>
      </c>
      <c r="P1628">
        <v>52</v>
      </c>
      <c r="Q1628">
        <v>0</v>
      </c>
      <c r="R1628">
        <v>1168980259</v>
      </c>
      <c r="S1628">
        <v>1338802.8799999999</v>
      </c>
      <c r="T1628">
        <v>1166654765.45</v>
      </c>
      <c r="U1628">
        <v>1167616776.9000001</v>
      </c>
      <c r="V1628">
        <v>1.0082000000000001E-2</v>
      </c>
      <c r="W1628">
        <v>2.5300000000000002E-4</v>
      </c>
      <c r="Y1628" t="s">
        <v>2</v>
      </c>
      <c r="Z1628">
        <v>5500</v>
      </c>
      <c r="AA1628">
        <v>8</v>
      </c>
      <c r="AB1628">
        <v>89</v>
      </c>
      <c r="AC1628">
        <v>0</v>
      </c>
      <c r="AD1628">
        <v>2026427486</v>
      </c>
      <c r="AE1628">
        <v>2332375.62</v>
      </c>
      <c r="AF1628">
        <v>2023639730</v>
      </c>
      <c r="AG1628">
        <v>2023639730</v>
      </c>
      <c r="AH1628">
        <v>2.6930000000000001E-3</v>
      </c>
      <c r="AI1628">
        <v>2.6930000000000001E-3</v>
      </c>
    </row>
    <row r="1629" spans="1:35" x14ac:dyDescent="0.35">
      <c r="A1629" t="s">
        <v>0</v>
      </c>
      <c r="B1629">
        <v>5000</v>
      </c>
      <c r="C1629">
        <v>7</v>
      </c>
      <c r="D1629">
        <v>2774</v>
      </c>
      <c r="E1629">
        <v>0</v>
      </c>
      <c r="F1629">
        <v>98590683181</v>
      </c>
      <c r="G1629">
        <v>123794199.86</v>
      </c>
      <c r="H1629">
        <v>98383903403.369995</v>
      </c>
      <c r="I1629">
        <v>98439924083.580002</v>
      </c>
      <c r="J1629">
        <v>1.0054E-2</v>
      </c>
      <c r="K1629">
        <v>3.277E-3</v>
      </c>
      <c r="M1629" t="s">
        <v>0</v>
      </c>
      <c r="N1629">
        <v>4750</v>
      </c>
      <c r="O1629">
        <v>6</v>
      </c>
      <c r="P1629">
        <v>778</v>
      </c>
      <c r="Q1629">
        <v>0</v>
      </c>
      <c r="R1629">
        <v>26993238390</v>
      </c>
      <c r="S1629">
        <v>35238949.189999998</v>
      </c>
      <c r="T1629">
        <v>26943022597.360001</v>
      </c>
      <c r="U1629">
        <v>26954264655.07</v>
      </c>
      <c r="V1629">
        <v>6.6379999999999998E-3</v>
      </c>
      <c r="W1629">
        <v>1.6590000000000001E-3</v>
      </c>
      <c r="Y1629" t="s">
        <v>0</v>
      </c>
      <c r="Z1629">
        <v>4750</v>
      </c>
      <c r="AA1629">
        <v>7</v>
      </c>
      <c r="AB1629">
        <v>839</v>
      </c>
      <c r="AC1629">
        <v>0</v>
      </c>
      <c r="AD1629">
        <v>28328702281</v>
      </c>
      <c r="AE1629">
        <v>37234791.979999997</v>
      </c>
      <c r="AF1629">
        <v>28283961716</v>
      </c>
      <c r="AG1629">
        <v>28283961716</v>
      </c>
      <c r="AH1629">
        <v>3.1749999999999999E-3</v>
      </c>
      <c r="AI1629">
        <v>3.1749999999999999E-3</v>
      </c>
    </row>
    <row r="1630" spans="1:35" x14ac:dyDescent="0.35">
      <c r="A1630" t="s">
        <v>1</v>
      </c>
      <c r="B1630">
        <v>5000</v>
      </c>
      <c r="C1630">
        <v>7</v>
      </c>
      <c r="D1630">
        <v>1041</v>
      </c>
      <c r="E1630">
        <v>0</v>
      </c>
      <c r="F1630">
        <v>40418163538</v>
      </c>
      <c r="G1630">
        <v>50724039.409999996</v>
      </c>
      <c r="H1630">
        <v>40247176629.019997</v>
      </c>
      <c r="I1630">
        <v>40337668776.360001</v>
      </c>
      <c r="J1630">
        <v>3.5126999999999999E-2</v>
      </c>
      <c r="K1630">
        <v>8.8030000000000001E-3</v>
      </c>
      <c r="M1630" t="s">
        <v>1</v>
      </c>
      <c r="N1630">
        <v>4750</v>
      </c>
      <c r="O1630">
        <v>6</v>
      </c>
      <c r="P1630">
        <v>271</v>
      </c>
      <c r="Q1630">
        <v>0</v>
      </c>
      <c r="R1630">
        <v>10457444573</v>
      </c>
      <c r="S1630">
        <v>13634002.609999999</v>
      </c>
      <c r="T1630">
        <v>10427750090.219999</v>
      </c>
      <c r="U1630">
        <v>10437785890.43</v>
      </c>
      <c r="V1630">
        <v>1.8275E-2</v>
      </c>
      <c r="W1630">
        <v>6.8919999999999997E-3</v>
      </c>
      <c r="Y1630" t="s">
        <v>2</v>
      </c>
      <c r="Z1630">
        <v>4750</v>
      </c>
      <c r="AA1630">
        <v>7</v>
      </c>
      <c r="AB1630">
        <v>26</v>
      </c>
      <c r="AC1630">
        <v>0</v>
      </c>
      <c r="AD1630">
        <v>648106394</v>
      </c>
      <c r="AE1630">
        <v>851676.28</v>
      </c>
      <c r="AF1630">
        <v>647219729</v>
      </c>
      <c r="AG1630">
        <v>647219729</v>
      </c>
      <c r="AH1630">
        <v>6.4800000000000003E-4</v>
      </c>
      <c r="AI1630">
        <v>6.4800000000000003E-4</v>
      </c>
    </row>
    <row r="1631" spans="1:35" x14ac:dyDescent="0.35">
      <c r="A1631" t="s">
        <v>0</v>
      </c>
      <c r="B1631">
        <v>5250</v>
      </c>
      <c r="C1631">
        <v>5</v>
      </c>
      <c r="D1631">
        <v>10908</v>
      </c>
      <c r="E1631">
        <v>0</v>
      </c>
      <c r="F1631">
        <v>390833800000</v>
      </c>
      <c r="G1631">
        <v>456681889.69</v>
      </c>
      <c r="H1631">
        <v>390150465284.81</v>
      </c>
      <c r="I1631">
        <v>390341013774.46002</v>
      </c>
      <c r="J1631">
        <v>6.9369999999999996E-3</v>
      </c>
      <c r="K1631">
        <v>1.108E-3</v>
      </c>
      <c r="M1631" t="s">
        <v>0</v>
      </c>
      <c r="N1631">
        <v>5250</v>
      </c>
      <c r="O1631">
        <v>6</v>
      </c>
      <c r="P1631">
        <v>1268</v>
      </c>
      <c r="Q1631">
        <v>0</v>
      </c>
      <c r="R1631">
        <v>45115922616</v>
      </c>
      <c r="S1631">
        <v>53930146.380000003</v>
      </c>
      <c r="T1631">
        <v>44982672398.239998</v>
      </c>
      <c r="U1631">
        <v>45046158566.93</v>
      </c>
      <c r="V1631">
        <v>2.0895E-2</v>
      </c>
      <c r="W1631">
        <v>4.2030000000000001E-3</v>
      </c>
      <c r="Y1631" t="s">
        <v>1</v>
      </c>
      <c r="Z1631">
        <v>4750</v>
      </c>
      <c r="AA1631">
        <v>7</v>
      </c>
      <c r="AB1631">
        <v>268</v>
      </c>
      <c r="AC1631">
        <v>0</v>
      </c>
      <c r="AD1631">
        <v>10460059015</v>
      </c>
      <c r="AE1631">
        <v>13738033.640000001</v>
      </c>
      <c r="AF1631">
        <v>10433289789</v>
      </c>
      <c r="AG1631">
        <v>10433289789</v>
      </c>
      <c r="AH1631">
        <v>1.4848E-2</v>
      </c>
      <c r="AI1631">
        <v>1.4848E-2</v>
      </c>
    </row>
    <row r="1632" spans="1:35" x14ac:dyDescent="0.35">
      <c r="A1632" t="s">
        <v>2</v>
      </c>
      <c r="B1632">
        <v>5000</v>
      </c>
      <c r="C1632">
        <v>5</v>
      </c>
      <c r="D1632">
        <v>289</v>
      </c>
      <c r="E1632">
        <v>0</v>
      </c>
      <c r="F1632">
        <v>8247900000</v>
      </c>
      <c r="G1632">
        <v>10119605.800000001</v>
      </c>
      <c r="H1632">
        <v>8235729851.0900002</v>
      </c>
      <c r="I1632">
        <v>8237373067.46</v>
      </c>
      <c r="J1632">
        <v>2.9789999999999999E-3</v>
      </c>
      <c r="K1632">
        <v>5.9199999999999997E-4</v>
      </c>
      <c r="M1632" t="s">
        <v>2</v>
      </c>
      <c r="N1632">
        <v>5250</v>
      </c>
      <c r="O1632">
        <v>6</v>
      </c>
      <c r="P1632">
        <v>35</v>
      </c>
      <c r="Q1632">
        <v>0</v>
      </c>
      <c r="R1632">
        <v>841628419</v>
      </c>
      <c r="S1632">
        <v>1003363.82</v>
      </c>
      <c r="T1632">
        <v>840256347.02999997</v>
      </c>
      <c r="U1632">
        <v>840591765.38999999</v>
      </c>
      <c r="V1632">
        <v>5.2440000000000004E-3</v>
      </c>
      <c r="W1632">
        <v>4.75E-4</v>
      </c>
      <c r="Y1632" t="s">
        <v>0</v>
      </c>
      <c r="Z1632">
        <v>5000</v>
      </c>
      <c r="AA1632">
        <v>7</v>
      </c>
      <c r="AB1632">
        <v>2486</v>
      </c>
      <c r="AC1632">
        <v>0</v>
      </c>
      <c r="AD1632">
        <v>89240556464</v>
      </c>
      <c r="AE1632">
        <v>112034372.76000001</v>
      </c>
      <c r="AF1632">
        <v>88971422208</v>
      </c>
      <c r="AG1632">
        <v>89073705630</v>
      </c>
      <c r="AH1632">
        <v>2.0922E-2</v>
      </c>
      <c r="AI1632">
        <v>7.3460000000000001E-3</v>
      </c>
    </row>
    <row r="1633" spans="1:35" x14ac:dyDescent="0.35">
      <c r="A1633" t="s">
        <v>0</v>
      </c>
      <c r="B1633">
        <v>5000</v>
      </c>
      <c r="C1633">
        <v>5</v>
      </c>
      <c r="D1633">
        <v>13676</v>
      </c>
      <c r="E1633">
        <v>0</v>
      </c>
      <c r="F1633">
        <v>487930000000</v>
      </c>
      <c r="G1633">
        <v>598182213.83000004</v>
      </c>
      <c r="H1633">
        <v>487172156307.20001</v>
      </c>
      <c r="I1633">
        <v>487294183077.21997</v>
      </c>
      <c r="J1633">
        <v>3.9199999999999999E-3</v>
      </c>
      <c r="K1633">
        <v>9.2500000000000004E-4</v>
      </c>
      <c r="M1633" t="s">
        <v>1</v>
      </c>
      <c r="N1633">
        <v>5250</v>
      </c>
      <c r="O1633">
        <v>6</v>
      </c>
      <c r="P1633">
        <v>683</v>
      </c>
      <c r="Q1633">
        <v>0</v>
      </c>
      <c r="R1633">
        <v>27694407289</v>
      </c>
      <c r="S1633">
        <v>33060814.350000001</v>
      </c>
      <c r="T1633">
        <v>27596232441.639999</v>
      </c>
      <c r="U1633">
        <v>27643006336.5</v>
      </c>
      <c r="V1633">
        <v>2.7851999999999998E-2</v>
      </c>
      <c r="W1633">
        <v>7.9179999999999997E-3</v>
      </c>
      <c r="Y1633" t="s">
        <v>1</v>
      </c>
      <c r="Z1633">
        <v>5000</v>
      </c>
      <c r="AA1633">
        <v>7</v>
      </c>
      <c r="AB1633">
        <v>959</v>
      </c>
      <c r="AC1633">
        <v>0</v>
      </c>
      <c r="AD1633">
        <v>38208366098</v>
      </c>
      <c r="AE1633">
        <v>47965700.329999998</v>
      </c>
      <c r="AF1633">
        <v>38036466318</v>
      </c>
      <c r="AG1633">
        <v>38085483505.730003</v>
      </c>
      <c r="AH1633">
        <v>3.8237E-2</v>
      </c>
      <c r="AI1633">
        <v>2.3276999999999999E-2</v>
      </c>
    </row>
    <row r="1634" spans="1:35" x14ac:dyDescent="0.35">
      <c r="A1634" t="s">
        <v>0</v>
      </c>
      <c r="B1634">
        <v>4750</v>
      </c>
      <c r="C1634">
        <v>5</v>
      </c>
      <c r="D1634">
        <v>4776</v>
      </c>
      <c r="E1634">
        <v>0</v>
      </c>
      <c r="F1634">
        <v>160527300000</v>
      </c>
      <c r="G1634">
        <v>205891805.81999999</v>
      </c>
      <c r="H1634">
        <v>160270315388.42999</v>
      </c>
      <c r="I1634">
        <v>160310861243.63</v>
      </c>
      <c r="J1634">
        <v>3.813E-3</v>
      </c>
      <c r="K1634">
        <v>7.8799999999999996E-4</v>
      </c>
      <c r="M1634" t="s">
        <v>3</v>
      </c>
      <c r="N1634">
        <v>6500</v>
      </c>
      <c r="O1634">
        <v>12</v>
      </c>
      <c r="P1634">
        <v>29</v>
      </c>
      <c r="Q1634">
        <v>0</v>
      </c>
      <c r="R1634">
        <v>726054590</v>
      </c>
      <c r="S1634">
        <v>714929.09</v>
      </c>
      <c r="T1634">
        <v>721468733.66999996</v>
      </c>
      <c r="U1634">
        <v>725270184.03999996</v>
      </c>
      <c r="V1634">
        <v>6.2134000000000002E-2</v>
      </c>
      <c r="W1634">
        <v>1.1479999999999999E-3</v>
      </c>
      <c r="Y1634" t="s">
        <v>2</v>
      </c>
      <c r="Z1634">
        <v>5000</v>
      </c>
      <c r="AA1634">
        <v>7</v>
      </c>
      <c r="AB1634">
        <v>58</v>
      </c>
      <c r="AC1634">
        <v>0</v>
      </c>
      <c r="AD1634">
        <v>1542190316</v>
      </c>
      <c r="AE1634">
        <v>1937590.94</v>
      </c>
      <c r="AF1634">
        <v>1539166571</v>
      </c>
      <c r="AG1634">
        <v>1539166571</v>
      </c>
      <c r="AH1634">
        <v>8.4189999999999994E-3</v>
      </c>
      <c r="AI1634">
        <v>8.4189999999999994E-3</v>
      </c>
    </row>
    <row r="1635" spans="1:35" x14ac:dyDescent="0.35">
      <c r="A1635" t="s">
        <v>0</v>
      </c>
      <c r="B1635">
        <v>4750</v>
      </c>
      <c r="C1635">
        <v>7</v>
      </c>
      <c r="D1635">
        <v>1048</v>
      </c>
      <c r="E1635">
        <v>0</v>
      </c>
      <c r="F1635">
        <v>34916810338</v>
      </c>
      <c r="G1635">
        <v>45903060.810000002</v>
      </c>
      <c r="H1635">
        <v>34847367667.82</v>
      </c>
      <c r="I1635">
        <v>34862673044.110001</v>
      </c>
      <c r="J1635">
        <v>8.0599999999999995E-3</v>
      </c>
      <c r="K1635">
        <v>2.826E-3</v>
      </c>
      <c r="M1635" t="s">
        <v>0</v>
      </c>
      <c r="N1635">
        <v>8000</v>
      </c>
      <c r="O1635">
        <v>12</v>
      </c>
      <c r="P1635">
        <v>135</v>
      </c>
      <c r="Q1635">
        <v>0</v>
      </c>
      <c r="R1635">
        <v>3689836499</v>
      </c>
      <c r="S1635">
        <v>2741057.03</v>
      </c>
      <c r="T1635">
        <v>3559056087.9099998</v>
      </c>
      <c r="U1635">
        <v>3641490735.1100001</v>
      </c>
      <c r="V1635">
        <v>0.345447</v>
      </c>
      <c r="W1635">
        <v>0.13863700000000001</v>
      </c>
      <c r="Y1635" t="s">
        <v>2</v>
      </c>
      <c r="Z1635">
        <v>5500</v>
      </c>
      <c r="AA1635">
        <v>7</v>
      </c>
      <c r="AB1635">
        <v>103</v>
      </c>
      <c r="AC1635">
        <v>0</v>
      </c>
      <c r="AD1635">
        <v>2344345842</v>
      </c>
      <c r="AE1635">
        <v>2685075.18</v>
      </c>
      <c r="AF1635">
        <v>2340260270</v>
      </c>
      <c r="AG1635">
        <v>2340260270</v>
      </c>
      <c r="AH1635">
        <v>7.1450000000000003E-3</v>
      </c>
      <c r="AI1635">
        <v>7.1450000000000003E-3</v>
      </c>
    </row>
    <row r="1636" spans="1:35" x14ac:dyDescent="0.35">
      <c r="A1636" t="s">
        <v>2</v>
      </c>
      <c r="B1636">
        <v>4750</v>
      </c>
      <c r="C1636">
        <v>5</v>
      </c>
      <c r="D1636">
        <v>98</v>
      </c>
      <c r="E1636">
        <v>0</v>
      </c>
      <c r="F1636">
        <v>2326000000</v>
      </c>
      <c r="G1636">
        <v>2988379.7</v>
      </c>
      <c r="H1636">
        <v>2322251468.1700001</v>
      </c>
      <c r="I1636">
        <v>2322964689.4499998</v>
      </c>
      <c r="J1636">
        <v>3.9150000000000001E-3</v>
      </c>
      <c r="K1636">
        <v>2.42E-4</v>
      </c>
      <c r="M1636" t="s">
        <v>0</v>
      </c>
      <c r="N1636">
        <v>8000</v>
      </c>
      <c r="O1636">
        <v>10</v>
      </c>
      <c r="P1636">
        <v>83</v>
      </c>
      <c r="Q1636">
        <v>0</v>
      </c>
      <c r="R1636">
        <v>2275537974</v>
      </c>
      <c r="S1636">
        <v>1670627.15</v>
      </c>
      <c r="T1636">
        <v>2210058947.0300002</v>
      </c>
      <c r="U1636">
        <v>2246245288.5900002</v>
      </c>
      <c r="V1636">
        <v>0.28915400000000002</v>
      </c>
      <c r="W1636">
        <v>0.136322</v>
      </c>
      <c r="Y1636" t="s">
        <v>2</v>
      </c>
      <c r="Z1636">
        <v>5000</v>
      </c>
      <c r="AA1636">
        <v>6</v>
      </c>
      <c r="AB1636">
        <v>53</v>
      </c>
      <c r="AC1636">
        <v>0</v>
      </c>
      <c r="AD1636">
        <v>1461813870</v>
      </c>
      <c r="AE1636">
        <v>1828022.69</v>
      </c>
      <c r="AF1636">
        <v>1456067897</v>
      </c>
      <c r="AG1636">
        <v>1456067897</v>
      </c>
      <c r="AH1636">
        <v>3.1691999999999998E-2</v>
      </c>
      <c r="AI1636">
        <v>3.1691999999999998E-2</v>
      </c>
    </row>
    <row r="1637" spans="1:35" x14ac:dyDescent="0.35">
      <c r="A1637" t="s">
        <v>3</v>
      </c>
      <c r="B1637">
        <v>6750</v>
      </c>
      <c r="C1637">
        <v>12</v>
      </c>
      <c r="D1637">
        <v>36</v>
      </c>
      <c r="E1637">
        <v>0</v>
      </c>
      <c r="F1637">
        <v>1059005257</v>
      </c>
      <c r="G1637">
        <v>997859.65</v>
      </c>
      <c r="H1637">
        <v>1055189119.04</v>
      </c>
      <c r="I1637">
        <v>1058007389.3</v>
      </c>
      <c r="J1637">
        <v>3.1472E-2</v>
      </c>
      <c r="K1637">
        <v>0</v>
      </c>
      <c r="M1637" t="s">
        <v>3</v>
      </c>
      <c r="N1637">
        <v>5750</v>
      </c>
      <c r="O1637">
        <v>14</v>
      </c>
      <c r="P1637">
        <v>8</v>
      </c>
      <c r="Q1637">
        <v>0</v>
      </c>
      <c r="R1637">
        <v>247001200</v>
      </c>
      <c r="S1637">
        <v>279869.27</v>
      </c>
      <c r="T1637">
        <v>245956301.99000001</v>
      </c>
      <c r="U1637">
        <v>246721327.83000001</v>
      </c>
      <c r="V1637">
        <v>3.6540999999999997E-2</v>
      </c>
      <c r="W1637">
        <v>0</v>
      </c>
      <c r="Y1637" t="s">
        <v>0</v>
      </c>
      <c r="Z1637">
        <v>5000</v>
      </c>
      <c r="AA1637">
        <v>6</v>
      </c>
      <c r="AB1637">
        <v>2770</v>
      </c>
      <c r="AC1637">
        <v>0</v>
      </c>
      <c r="AD1637">
        <v>98689037016</v>
      </c>
      <c r="AE1637">
        <v>123254774.98999999</v>
      </c>
      <c r="AF1637">
        <v>98327183181</v>
      </c>
      <c r="AG1637">
        <v>98362476546.880005</v>
      </c>
      <c r="AH1637">
        <v>2.8629999999999999E-2</v>
      </c>
      <c r="AI1637">
        <v>2.4442999999999999E-2</v>
      </c>
    </row>
    <row r="1638" spans="1:35" x14ac:dyDescent="0.35">
      <c r="A1638" t="s">
        <v>0</v>
      </c>
      <c r="B1638">
        <v>4500</v>
      </c>
      <c r="C1638">
        <v>20</v>
      </c>
      <c r="D1638">
        <v>451</v>
      </c>
      <c r="E1638">
        <v>0</v>
      </c>
      <c r="F1638">
        <v>13917333245</v>
      </c>
      <c r="G1638">
        <v>20327403.059999999</v>
      </c>
      <c r="H1638">
        <v>13874530449.790001</v>
      </c>
      <c r="I1638">
        <v>13886038751.67</v>
      </c>
      <c r="J1638">
        <v>1.9207999999999999E-2</v>
      </c>
      <c r="K1638">
        <v>9.4149999999999998E-3</v>
      </c>
      <c r="M1638" t="s">
        <v>1</v>
      </c>
      <c r="N1638">
        <v>7250</v>
      </c>
      <c r="O1638">
        <v>9</v>
      </c>
      <c r="P1638">
        <v>884</v>
      </c>
      <c r="Q1638">
        <v>0</v>
      </c>
      <c r="R1638">
        <v>24510502920</v>
      </c>
      <c r="S1638">
        <v>20644603.75</v>
      </c>
      <c r="T1638">
        <v>21532517628.959999</v>
      </c>
      <c r="U1638">
        <v>24274446754.240002</v>
      </c>
      <c r="V1638">
        <v>0.78625</v>
      </c>
      <c r="W1638">
        <v>0.100511</v>
      </c>
      <c r="Y1638" t="s">
        <v>1</v>
      </c>
      <c r="Z1638">
        <v>5000</v>
      </c>
      <c r="AA1638">
        <v>6</v>
      </c>
      <c r="AB1638">
        <v>1043</v>
      </c>
      <c r="AC1638">
        <v>0</v>
      </c>
      <c r="AD1638">
        <v>40675436544</v>
      </c>
      <c r="AE1638">
        <v>50774016.939999998</v>
      </c>
      <c r="AF1638">
        <v>40484463538</v>
      </c>
      <c r="AG1638">
        <v>40484463538</v>
      </c>
      <c r="AH1638">
        <v>4.0585999999999997E-2</v>
      </c>
      <c r="AI1638">
        <v>4.0585999999999997E-2</v>
      </c>
    </row>
    <row r="1639" spans="1:35" x14ac:dyDescent="0.35">
      <c r="A1639" t="s">
        <v>0</v>
      </c>
      <c r="B1639">
        <v>4500</v>
      </c>
      <c r="C1639">
        <v>18</v>
      </c>
      <c r="D1639">
        <v>811</v>
      </c>
      <c r="E1639">
        <v>0</v>
      </c>
      <c r="F1639">
        <v>25114583457</v>
      </c>
      <c r="G1639">
        <v>36246516.130000003</v>
      </c>
      <c r="H1639">
        <v>25041417598.43</v>
      </c>
      <c r="I1639">
        <v>25063601475.299999</v>
      </c>
      <c r="J1639">
        <v>1.7499000000000001E-2</v>
      </c>
      <c r="K1639">
        <v>7.0179999999999999E-3</v>
      </c>
      <c r="M1639" t="s">
        <v>1</v>
      </c>
      <c r="N1639">
        <v>7500</v>
      </c>
      <c r="O1639">
        <v>10</v>
      </c>
      <c r="P1639">
        <v>167</v>
      </c>
      <c r="Q1639">
        <v>0</v>
      </c>
      <c r="R1639">
        <v>3813966796</v>
      </c>
      <c r="S1639">
        <v>3078513.08</v>
      </c>
      <c r="T1639">
        <v>3428445067.5599999</v>
      </c>
      <c r="U1639">
        <v>3791400506.2800002</v>
      </c>
      <c r="V1639">
        <v>0.71860199999999996</v>
      </c>
      <c r="W1639">
        <v>5.9621E-2</v>
      </c>
      <c r="Y1639" t="s">
        <v>0</v>
      </c>
      <c r="Z1639">
        <v>4750</v>
      </c>
      <c r="AA1639">
        <v>5</v>
      </c>
      <c r="AB1639">
        <v>5566</v>
      </c>
      <c r="AC1639">
        <v>0</v>
      </c>
      <c r="AD1639">
        <v>186913100000</v>
      </c>
      <c r="AE1639">
        <v>239303355.63999999</v>
      </c>
      <c r="AF1639">
        <v>186721636226</v>
      </c>
      <c r="AG1639">
        <v>186739013480.07001</v>
      </c>
      <c r="AH1639">
        <v>-3.0760000000000002E-3</v>
      </c>
      <c r="AI1639">
        <v>-4.1949999999999999E-3</v>
      </c>
    </row>
    <row r="1640" spans="1:35" x14ac:dyDescent="0.35">
      <c r="A1640" t="s">
        <v>0</v>
      </c>
      <c r="B1640">
        <v>8250</v>
      </c>
      <c r="C1640">
        <v>14</v>
      </c>
      <c r="D1640">
        <v>202</v>
      </c>
      <c r="E1640">
        <v>0</v>
      </c>
      <c r="F1640">
        <v>6174673548</v>
      </c>
      <c r="G1640">
        <v>4375106.57</v>
      </c>
      <c r="H1640">
        <v>6038857229.6999998</v>
      </c>
      <c r="I1640">
        <v>6148559013.8900003</v>
      </c>
      <c r="J1640">
        <v>0.22756199999999999</v>
      </c>
      <c r="K1640">
        <v>4.1439999999999998E-2</v>
      </c>
      <c r="M1640" t="s">
        <v>1</v>
      </c>
      <c r="N1640">
        <v>5250</v>
      </c>
      <c r="O1640">
        <v>9</v>
      </c>
      <c r="P1640">
        <v>1335</v>
      </c>
      <c r="Q1640">
        <v>0</v>
      </c>
      <c r="R1640">
        <v>52687232848</v>
      </c>
      <c r="S1640">
        <v>63911034.549999997</v>
      </c>
      <c r="T1640">
        <v>52136145195.139999</v>
      </c>
      <c r="U1640">
        <v>52529594305.150002</v>
      </c>
      <c r="V1640">
        <v>0.105486</v>
      </c>
      <c r="W1640">
        <v>2.1139999999999999E-2</v>
      </c>
      <c r="Y1640" t="s">
        <v>0</v>
      </c>
      <c r="Z1640">
        <v>4750</v>
      </c>
      <c r="AA1640">
        <v>6</v>
      </c>
      <c r="AB1640">
        <v>1048</v>
      </c>
      <c r="AC1640">
        <v>0</v>
      </c>
      <c r="AD1640">
        <v>35030555944</v>
      </c>
      <c r="AE1640">
        <v>45812684.880000003</v>
      </c>
      <c r="AF1640">
        <v>34916810338</v>
      </c>
      <c r="AG1640">
        <v>34916810338</v>
      </c>
      <c r="AH1640">
        <v>2.3023999999999999E-2</v>
      </c>
      <c r="AI1640">
        <v>2.3023999999999999E-2</v>
      </c>
    </row>
    <row r="1641" spans="1:35" x14ac:dyDescent="0.35">
      <c r="A1641" t="s">
        <v>1</v>
      </c>
      <c r="B1641">
        <v>7750</v>
      </c>
      <c r="C1641">
        <v>7</v>
      </c>
      <c r="D1641">
        <v>406</v>
      </c>
      <c r="E1641">
        <v>0</v>
      </c>
      <c r="F1641">
        <v>13112856526</v>
      </c>
      <c r="G1641">
        <v>9850973.8300000001</v>
      </c>
      <c r="H1641">
        <v>7652345581.8599997</v>
      </c>
      <c r="I1641">
        <v>13015445485.74</v>
      </c>
      <c r="J1641">
        <v>0.99841599999999997</v>
      </c>
      <c r="K1641">
        <v>7.7251E-2</v>
      </c>
      <c r="M1641" t="s">
        <v>1</v>
      </c>
      <c r="N1641">
        <v>7750</v>
      </c>
      <c r="O1641">
        <v>10</v>
      </c>
      <c r="P1641">
        <v>154</v>
      </c>
      <c r="Q1641">
        <v>0</v>
      </c>
      <c r="R1641">
        <v>4979027944</v>
      </c>
      <c r="S1641">
        <v>3815063.27</v>
      </c>
      <c r="T1641">
        <v>4456709618.1000004</v>
      </c>
      <c r="U1641">
        <v>4802337358.8299999</v>
      </c>
      <c r="V1641">
        <v>0.73276300000000005</v>
      </c>
      <c r="W1641">
        <v>0.345611</v>
      </c>
      <c r="Y1641" t="s">
        <v>2</v>
      </c>
      <c r="Z1641">
        <v>4750</v>
      </c>
      <c r="AA1641">
        <v>5</v>
      </c>
      <c r="AB1641">
        <v>115</v>
      </c>
      <c r="AC1641">
        <v>0</v>
      </c>
      <c r="AD1641">
        <v>2770400000</v>
      </c>
      <c r="AE1641">
        <v>3557078.47</v>
      </c>
      <c r="AF1641">
        <v>2768162564</v>
      </c>
      <c r="AG1641">
        <v>2768162564</v>
      </c>
      <c r="AH1641">
        <v>-5.731E-3</v>
      </c>
      <c r="AI1641">
        <v>-5.731E-3</v>
      </c>
    </row>
    <row r="1642" spans="1:35" x14ac:dyDescent="0.35">
      <c r="A1642" t="s">
        <v>1</v>
      </c>
      <c r="B1642">
        <v>7750</v>
      </c>
      <c r="C1642">
        <v>6</v>
      </c>
      <c r="D1642">
        <v>551</v>
      </c>
      <c r="E1642">
        <v>0</v>
      </c>
      <c r="F1642">
        <v>17022093896</v>
      </c>
      <c r="G1642">
        <v>12812171.210000001</v>
      </c>
      <c r="H1642">
        <v>16494516212.209999</v>
      </c>
      <c r="I1642">
        <v>16920156401.709999</v>
      </c>
      <c r="J1642">
        <v>0.308224</v>
      </c>
      <c r="K1642">
        <v>6.1052000000000002E-2</v>
      </c>
      <c r="M1642" t="s">
        <v>2</v>
      </c>
      <c r="N1642">
        <v>7000</v>
      </c>
      <c r="O1642">
        <v>9</v>
      </c>
      <c r="P1642">
        <v>234</v>
      </c>
      <c r="Q1642">
        <v>0</v>
      </c>
      <c r="R1642">
        <v>3734715185</v>
      </c>
      <c r="S1642">
        <v>3299977.6</v>
      </c>
      <c r="T1642">
        <v>3707881708.4099998</v>
      </c>
      <c r="U1642">
        <v>3724353742.8800001</v>
      </c>
      <c r="V1642">
        <v>7.3049000000000003E-2</v>
      </c>
      <c r="W1642">
        <v>2.2454999999999999E-2</v>
      </c>
      <c r="Y1642" t="s">
        <v>0</v>
      </c>
      <c r="Z1642">
        <v>4500</v>
      </c>
      <c r="AA1642">
        <v>18</v>
      </c>
      <c r="AB1642">
        <v>520</v>
      </c>
      <c r="AC1642">
        <v>0</v>
      </c>
      <c r="AD1642">
        <v>16065660000</v>
      </c>
      <c r="AE1642">
        <v>23215538.379999999</v>
      </c>
      <c r="AF1642">
        <v>16041056636</v>
      </c>
      <c r="AG1642">
        <v>16041056636</v>
      </c>
      <c r="AH1642">
        <v>1.036E-3</v>
      </c>
      <c r="AI1642">
        <v>1.036E-3</v>
      </c>
    </row>
    <row r="1643" spans="1:35" x14ac:dyDescent="0.35">
      <c r="A1643" t="s">
        <v>2</v>
      </c>
      <c r="B1643">
        <v>7000</v>
      </c>
      <c r="C1643">
        <v>10</v>
      </c>
      <c r="D1643">
        <v>228</v>
      </c>
      <c r="E1643">
        <v>0</v>
      </c>
      <c r="F1643">
        <v>3941295879</v>
      </c>
      <c r="G1643">
        <v>3505467.74</v>
      </c>
      <c r="H1643">
        <v>3904392946</v>
      </c>
      <c r="I1643">
        <v>3924223575.8499999</v>
      </c>
      <c r="J1643">
        <v>9.7076999999999997E-2</v>
      </c>
      <c r="K1643">
        <v>4.0534000000000001E-2</v>
      </c>
      <c r="M1643" t="s">
        <v>2</v>
      </c>
      <c r="N1643">
        <v>5750</v>
      </c>
      <c r="O1643">
        <v>6</v>
      </c>
      <c r="P1643">
        <v>114</v>
      </c>
      <c r="Q1643">
        <v>0</v>
      </c>
      <c r="R1643">
        <v>2673794678</v>
      </c>
      <c r="S1643">
        <v>2921245.37</v>
      </c>
      <c r="T1643">
        <v>2668706045.6100001</v>
      </c>
      <c r="U1643">
        <v>2670286822.3099999</v>
      </c>
      <c r="V1643">
        <v>9.6839999999999999E-3</v>
      </c>
      <c r="W1643">
        <v>2.63E-3</v>
      </c>
      <c r="Y1643" t="s">
        <v>0</v>
      </c>
      <c r="Z1643">
        <v>4750</v>
      </c>
      <c r="AA1643">
        <v>18</v>
      </c>
      <c r="AB1643">
        <v>886</v>
      </c>
      <c r="AC1643">
        <v>0</v>
      </c>
      <c r="AD1643">
        <v>27436301912</v>
      </c>
      <c r="AE1643">
        <v>38014045</v>
      </c>
      <c r="AF1643">
        <v>27397127292</v>
      </c>
      <c r="AG1643">
        <v>27397127292</v>
      </c>
      <c r="AH1643">
        <v>5.0699999999999996E-4</v>
      </c>
      <c r="AI1643">
        <v>5.0699999999999996E-4</v>
      </c>
    </row>
    <row r="1644" spans="1:35" x14ac:dyDescent="0.35">
      <c r="A1644" t="s">
        <v>1</v>
      </c>
      <c r="B1644">
        <v>7000</v>
      </c>
      <c r="C1644">
        <v>9</v>
      </c>
      <c r="D1644">
        <v>529</v>
      </c>
      <c r="E1644">
        <v>0</v>
      </c>
      <c r="F1644">
        <v>14889256805</v>
      </c>
      <c r="G1644">
        <v>13091991.33</v>
      </c>
      <c r="H1644">
        <v>13169678054.620001</v>
      </c>
      <c r="I1644">
        <v>14805970318.91</v>
      </c>
      <c r="J1644">
        <v>0.76793800000000001</v>
      </c>
      <c r="K1644">
        <v>5.5128999999999997E-2</v>
      </c>
      <c r="M1644" t="s">
        <v>0</v>
      </c>
      <c r="N1644">
        <v>4000</v>
      </c>
      <c r="O1644">
        <v>12</v>
      </c>
      <c r="P1644">
        <v>2450</v>
      </c>
      <c r="Q1644">
        <v>0</v>
      </c>
      <c r="R1644">
        <v>79765748872</v>
      </c>
      <c r="S1644">
        <v>121932405.95</v>
      </c>
      <c r="T1644">
        <v>79600830610.690002</v>
      </c>
      <c r="U1644">
        <v>79638495478.479996</v>
      </c>
      <c r="V1644">
        <v>6.4479999999999997E-3</v>
      </c>
      <c r="W1644">
        <v>8.0000000000000004E-4</v>
      </c>
      <c r="Y1644" t="s">
        <v>1</v>
      </c>
      <c r="Z1644">
        <v>7750</v>
      </c>
      <c r="AA1644">
        <v>6</v>
      </c>
      <c r="AB1644">
        <v>432</v>
      </c>
      <c r="AC1644">
        <v>0</v>
      </c>
      <c r="AD1644">
        <v>14077671103</v>
      </c>
      <c r="AE1644">
        <v>10525760.93</v>
      </c>
      <c r="AF1644">
        <v>13096556526</v>
      </c>
      <c r="AG1644">
        <v>14020556276.07</v>
      </c>
      <c r="AH1644">
        <v>0.57567100000000004</v>
      </c>
      <c r="AI1644">
        <v>3.8997999999999998E-2</v>
      </c>
    </row>
    <row r="1645" spans="1:35" x14ac:dyDescent="0.35">
      <c r="A1645" t="s">
        <v>3</v>
      </c>
      <c r="B1645">
        <v>5250</v>
      </c>
      <c r="C1645">
        <v>16</v>
      </c>
      <c r="D1645">
        <v>7</v>
      </c>
      <c r="E1645">
        <v>0</v>
      </c>
      <c r="F1645">
        <v>154791411</v>
      </c>
      <c r="G1645">
        <v>193296.87</v>
      </c>
      <c r="H1645">
        <v>154080802.96000001</v>
      </c>
      <c r="I1645">
        <v>154598109.53</v>
      </c>
      <c r="J1645">
        <v>3.9375E-2</v>
      </c>
      <c r="K1645">
        <v>0</v>
      </c>
      <c r="M1645" t="s">
        <v>1</v>
      </c>
      <c r="N1645">
        <v>4500</v>
      </c>
      <c r="O1645">
        <v>12</v>
      </c>
      <c r="P1645">
        <v>744</v>
      </c>
      <c r="Q1645">
        <v>0</v>
      </c>
      <c r="R1645">
        <v>27788521337</v>
      </c>
      <c r="S1645">
        <v>38983551.509999998</v>
      </c>
      <c r="T1645">
        <v>27658173767.48</v>
      </c>
      <c r="U1645">
        <v>27720964416.73</v>
      </c>
      <c r="V1645">
        <v>3.8747999999999998E-2</v>
      </c>
      <c r="W1645">
        <v>1.2269E-2</v>
      </c>
      <c r="Y1645" t="s">
        <v>1</v>
      </c>
      <c r="Z1645">
        <v>7750</v>
      </c>
      <c r="AA1645">
        <v>5</v>
      </c>
      <c r="AB1645">
        <v>2539</v>
      </c>
      <c r="AC1645">
        <v>0</v>
      </c>
      <c r="AD1645">
        <v>80211000000</v>
      </c>
      <c r="AE1645">
        <v>58519604.649999999</v>
      </c>
      <c r="AF1645">
        <v>79973293896</v>
      </c>
      <c r="AG1645">
        <v>80009167316.75</v>
      </c>
      <c r="AH1645">
        <v>2.648E-2</v>
      </c>
      <c r="AI1645">
        <v>2.1231E-2</v>
      </c>
    </row>
    <row r="1646" spans="1:35" x14ac:dyDescent="0.35">
      <c r="A1646" t="s">
        <v>3</v>
      </c>
      <c r="B1646">
        <v>7250</v>
      </c>
      <c r="C1646">
        <v>14</v>
      </c>
      <c r="D1646">
        <v>4</v>
      </c>
      <c r="E1646">
        <v>0</v>
      </c>
      <c r="F1646">
        <v>129280408</v>
      </c>
      <c r="G1646">
        <v>113346.34</v>
      </c>
      <c r="H1646">
        <v>128699749.48</v>
      </c>
      <c r="I1646">
        <v>129167061.5</v>
      </c>
      <c r="J1646">
        <v>4.2525E-2</v>
      </c>
      <c r="K1646">
        <v>0</v>
      </c>
      <c r="M1646" t="s">
        <v>0</v>
      </c>
      <c r="N1646">
        <v>4000</v>
      </c>
      <c r="O1646">
        <v>10</v>
      </c>
      <c r="P1646">
        <v>1930</v>
      </c>
      <c r="Q1646">
        <v>0</v>
      </c>
      <c r="R1646">
        <v>64929534585</v>
      </c>
      <c r="S1646">
        <v>98538240.159999996</v>
      </c>
      <c r="T1646">
        <v>64808130629.279999</v>
      </c>
      <c r="U1646">
        <v>64828881750.290001</v>
      </c>
      <c r="V1646">
        <v>4.2180000000000004E-3</v>
      </c>
      <c r="W1646">
        <v>3.9100000000000002E-4</v>
      </c>
      <c r="Y1646" t="s">
        <v>2</v>
      </c>
      <c r="Z1646">
        <v>7250</v>
      </c>
      <c r="AA1646">
        <v>10</v>
      </c>
      <c r="AB1646">
        <v>163</v>
      </c>
      <c r="AC1646">
        <v>0</v>
      </c>
      <c r="AD1646">
        <v>2410246331</v>
      </c>
      <c r="AE1646">
        <v>2033660.6</v>
      </c>
      <c r="AF1646">
        <v>2408522403</v>
      </c>
      <c r="AG1646">
        <v>2408522403</v>
      </c>
      <c r="AH1646">
        <v>-1.5430000000000001E-3</v>
      </c>
      <c r="AI1646">
        <v>-1.5430000000000001E-3</v>
      </c>
    </row>
    <row r="1647" spans="1:35" x14ac:dyDescent="0.35">
      <c r="A1647" t="s">
        <v>3</v>
      </c>
      <c r="B1647">
        <v>7000</v>
      </c>
      <c r="C1647">
        <v>10</v>
      </c>
      <c r="D1647">
        <v>6</v>
      </c>
      <c r="E1647">
        <v>0</v>
      </c>
      <c r="F1647">
        <v>146902870</v>
      </c>
      <c r="G1647">
        <v>130895.5</v>
      </c>
      <c r="H1647">
        <v>146585164.05000001</v>
      </c>
      <c r="I1647">
        <v>146771659.75</v>
      </c>
      <c r="J1647">
        <v>1.5154000000000001E-2</v>
      </c>
      <c r="K1647">
        <v>2.5999999999999998E-5</v>
      </c>
      <c r="M1647" t="s">
        <v>2</v>
      </c>
      <c r="N1647">
        <v>4000</v>
      </c>
      <c r="O1647">
        <v>10</v>
      </c>
      <c r="P1647">
        <v>58</v>
      </c>
      <c r="Q1647">
        <v>0</v>
      </c>
      <c r="R1647">
        <v>1631784981</v>
      </c>
      <c r="S1647">
        <v>2474520.92</v>
      </c>
      <c r="T1647">
        <v>1627705184.8599999</v>
      </c>
      <c r="U1647">
        <v>1628419490.6700001</v>
      </c>
      <c r="V1647">
        <v>1.1741E-2</v>
      </c>
      <c r="W1647">
        <v>6.5319999999999996E-3</v>
      </c>
      <c r="Y1647" t="s">
        <v>2</v>
      </c>
      <c r="Z1647">
        <v>7000</v>
      </c>
      <c r="AA1647">
        <v>9</v>
      </c>
      <c r="AB1647">
        <v>229</v>
      </c>
      <c r="AC1647">
        <v>0</v>
      </c>
      <c r="AD1647">
        <v>3966333213</v>
      </c>
      <c r="AE1647">
        <v>3504119.56</v>
      </c>
      <c r="AF1647">
        <v>3941295879</v>
      </c>
      <c r="AG1647">
        <v>3963130767.1999998</v>
      </c>
      <c r="AH1647">
        <v>6.3237000000000002E-2</v>
      </c>
      <c r="AI1647">
        <v>-9.1299999999999997E-4</v>
      </c>
    </row>
    <row r="1648" spans="1:35" x14ac:dyDescent="0.35">
      <c r="A1648" t="s">
        <v>3</v>
      </c>
      <c r="B1648">
        <v>6500</v>
      </c>
      <c r="C1648">
        <v>12</v>
      </c>
      <c r="D1648">
        <v>43</v>
      </c>
      <c r="E1648">
        <v>0</v>
      </c>
      <c r="F1648">
        <v>1218576270</v>
      </c>
      <c r="G1648">
        <v>1194991</v>
      </c>
      <c r="H1648">
        <v>1213349206.45</v>
      </c>
      <c r="I1648">
        <v>1217381007.05</v>
      </c>
      <c r="J1648">
        <v>3.8990999999999998E-2</v>
      </c>
      <c r="K1648">
        <v>3.0000000000000001E-6</v>
      </c>
      <c r="M1648" t="s">
        <v>1</v>
      </c>
      <c r="N1648">
        <v>4000</v>
      </c>
      <c r="O1648">
        <v>10</v>
      </c>
      <c r="P1648">
        <v>557</v>
      </c>
      <c r="Q1648">
        <v>0</v>
      </c>
      <c r="R1648">
        <v>20341071869</v>
      </c>
      <c r="S1648">
        <v>30881922.870000001</v>
      </c>
      <c r="T1648">
        <v>20279352349.91</v>
      </c>
      <c r="U1648">
        <v>20296465058.810001</v>
      </c>
      <c r="V1648">
        <v>1.8041000000000001E-2</v>
      </c>
      <c r="W1648">
        <v>8.0669999999999995E-3</v>
      </c>
      <c r="Y1648" t="s">
        <v>2</v>
      </c>
      <c r="Z1648">
        <v>7000</v>
      </c>
      <c r="AA1648">
        <v>10</v>
      </c>
      <c r="AB1648">
        <v>210</v>
      </c>
      <c r="AC1648">
        <v>0</v>
      </c>
      <c r="AD1648">
        <v>3403429045</v>
      </c>
      <c r="AE1648">
        <v>3019050.8</v>
      </c>
      <c r="AF1648">
        <v>3353418060</v>
      </c>
      <c r="AG1648">
        <v>3379716374.3499999</v>
      </c>
      <c r="AH1648">
        <v>0.153666</v>
      </c>
      <c r="AI1648">
        <v>7.0571999999999996E-2</v>
      </c>
    </row>
    <row r="1649" spans="1:35" x14ac:dyDescent="0.35">
      <c r="A1649" t="s">
        <v>0</v>
      </c>
      <c r="B1649">
        <v>8000</v>
      </c>
      <c r="C1649">
        <v>12</v>
      </c>
      <c r="D1649">
        <v>203</v>
      </c>
      <c r="E1649">
        <v>0</v>
      </c>
      <c r="F1649">
        <v>5757533884</v>
      </c>
      <c r="G1649">
        <v>4257533.78</v>
      </c>
      <c r="H1649">
        <v>5611337074.7399998</v>
      </c>
      <c r="I1649">
        <v>5709929939.21</v>
      </c>
      <c r="J1649">
        <v>0.25884200000000002</v>
      </c>
      <c r="K1649">
        <v>8.6694999999999994E-2</v>
      </c>
      <c r="M1649" t="s">
        <v>0</v>
      </c>
      <c r="N1649">
        <v>4000</v>
      </c>
      <c r="O1649">
        <v>9</v>
      </c>
      <c r="P1649">
        <v>1368</v>
      </c>
      <c r="Q1649">
        <v>0</v>
      </c>
      <c r="R1649">
        <v>46873357383</v>
      </c>
      <c r="S1649">
        <v>70759578.579999998</v>
      </c>
      <c r="T1649">
        <v>46785021820.690002</v>
      </c>
      <c r="U1649">
        <v>46801741569.589996</v>
      </c>
      <c r="V1649">
        <v>4.4900000000000001E-3</v>
      </c>
      <c r="W1649">
        <v>2.1900000000000001E-4</v>
      </c>
      <c r="Y1649" t="s">
        <v>1</v>
      </c>
      <c r="Z1649">
        <v>7000</v>
      </c>
      <c r="AA1649">
        <v>8</v>
      </c>
      <c r="AB1649">
        <v>619</v>
      </c>
      <c r="AC1649">
        <v>0</v>
      </c>
      <c r="AD1649">
        <v>17723679004</v>
      </c>
      <c r="AE1649">
        <v>15484360.84</v>
      </c>
      <c r="AF1649">
        <v>14868056805</v>
      </c>
      <c r="AG1649">
        <v>17535689183.040001</v>
      </c>
      <c r="AH1649">
        <v>0.87702199999999997</v>
      </c>
      <c r="AI1649">
        <v>0.11074299999999999</v>
      </c>
    </row>
    <row r="1650" spans="1:35" x14ac:dyDescent="0.35">
      <c r="A1650" t="s">
        <v>0</v>
      </c>
      <c r="B1650">
        <v>8250</v>
      </c>
      <c r="C1650">
        <v>12</v>
      </c>
      <c r="D1650">
        <v>296</v>
      </c>
      <c r="E1650">
        <v>0</v>
      </c>
      <c r="F1650">
        <v>8956039657</v>
      </c>
      <c r="G1650">
        <v>6269437.9900000002</v>
      </c>
      <c r="H1650">
        <v>8741476471.3799992</v>
      </c>
      <c r="I1650">
        <v>8907373027.8700008</v>
      </c>
      <c r="J1650">
        <v>0.24601700000000001</v>
      </c>
      <c r="K1650">
        <v>5.5350999999999997E-2</v>
      </c>
      <c r="M1650" t="s">
        <v>2</v>
      </c>
      <c r="N1650">
        <v>4250</v>
      </c>
      <c r="O1650">
        <v>9</v>
      </c>
      <c r="P1650">
        <v>15</v>
      </c>
      <c r="Q1650">
        <v>0</v>
      </c>
      <c r="R1650">
        <v>355984647</v>
      </c>
      <c r="S1650">
        <v>516281.75</v>
      </c>
      <c r="T1650">
        <v>355271838.24000001</v>
      </c>
      <c r="U1650">
        <v>355464974.01999998</v>
      </c>
      <c r="V1650">
        <v>6.6049999999999998E-3</v>
      </c>
      <c r="W1650">
        <v>1.1400000000000001E-4</v>
      </c>
      <c r="Y1650" t="s">
        <v>0</v>
      </c>
      <c r="Z1650">
        <v>9000</v>
      </c>
      <c r="AA1650">
        <v>14</v>
      </c>
      <c r="AB1650">
        <v>6</v>
      </c>
      <c r="AC1650">
        <v>0</v>
      </c>
      <c r="AD1650">
        <v>192489432</v>
      </c>
      <c r="AE1650">
        <v>124216.64</v>
      </c>
      <c r="AF1650">
        <v>192341995</v>
      </c>
      <c r="AG1650">
        <v>192341995</v>
      </c>
      <c r="AH1650">
        <v>1.4469999999999999E-3</v>
      </c>
      <c r="AI1650">
        <v>1.4469999999999999E-3</v>
      </c>
    </row>
    <row r="1651" spans="1:35" x14ac:dyDescent="0.35">
      <c r="A1651" t="s">
        <v>0</v>
      </c>
      <c r="B1651">
        <v>8000</v>
      </c>
      <c r="C1651">
        <v>10</v>
      </c>
      <c r="D1651">
        <v>76</v>
      </c>
      <c r="E1651">
        <v>0</v>
      </c>
      <c r="F1651">
        <v>2345394943</v>
      </c>
      <c r="G1651">
        <v>1714749.22</v>
      </c>
      <c r="H1651">
        <v>2294150433.1199999</v>
      </c>
      <c r="I1651">
        <v>2336101628.4699998</v>
      </c>
      <c r="J1651">
        <v>0.22595799999999999</v>
      </c>
      <c r="K1651">
        <v>3.8093000000000002E-2</v>
      </c>
      <c r="M1651" t="s">
        <v>2</v>
      </c>
      <c r="N1651">
        <v>5500</v>
      </c>
      <c r="O1651">
        <v>8</v>
      </c>
      <c r="P1651">
        <v>51</v>
      </c>
      <c r="Q1651">
        <v>0</v>
      </c>
      <c r="R1651">
        <v>1167513488</v>
      </c>
      <c r="S1651">
        <v>1343204.52</v>
      </c>
      <c r="T1651">
        <v>1165197094.48</v>
      </c>
      <c r="U1651">
        <v>1166031522.49</v>
      </c>
      <c r="V1651">
        <v>9.9570000000000006E-3</v>
      </c>
      <c r="W1651">
        <v>1.4250000000000001E-3</v>
      </c>
      <c r="Y1651" t="s">
        <v>0</v>
      </c>
      <c r="Z1651">
        <v>8500</v>
      </c>
      <c r="AA1651">
        <v>14</v>
      </c>
      <c r="AB1651">
        <v>2</v>
      </c>
      <c r="AC1651">
        <v>0</v>
      </c>
      <c r="AD1651">
        <v>65139103</v>
      </c>
      <c r="AE1651">
        <v>44038.75</v>
      </c>
      <c r="AF1651">
        <v>65092913</v>
      </c>
      <c r="AG1651">
        <v>65092913</v>
      </c>
      <c r="AH1651">
        <v>3.9599999999999998E-4</v>
      </c>
      <c r="AI1651">
        <v>3.9599999999999998E-4</v>
      </c>
    </row>
    <row r="1652" spans="1:35" x14ac:dyDescent="0.35">
      <c r="A1652" t="s">
        <v>0</v>
      </c>
      <c r="B1652">
        <v>8250</v>
      </c>
      <c r="C1652">
        <v>10</v>
      </c>
      <c r="D1652">
        <v>110</v>
      </c>
      <c r="E1652">
        <v>0</v>
      </c>
      <c r="F1652">
        <v>3449973321</v>
      </c>
      <c r="G1652">
        <v>2392608.5299999998</v>
      </c>
      <c r="H1652">
        <v>3383503100.1900001</v>
      </c>
      <c r="I1652">
        <v>3443034432.1900001</v>
      </c>
      <c r="J1652">
        <v>0.20146500000000001</v>
      </c>
      <c r="K1652">
        <v>1.5699000000000001E-2</v>
      </c>
      <c r="M1652" t="s">
        <v>1</v>
      </c>
      <c r="N1652">
        <v>4750</v>
      </c>
      <c r="O1652">
        <v>7</v>
      </c>
      <c r="P1652">
        <v>238</v>
      </c>
      <c r="Q1652">
        <v>0</v>
      </c>
      <c r="R1652">
        <v>8828582041</v>
      </c>
      <c r="S1652">
        <v>11590749.84</v>
      </c>
      <c r="T1652">
        <v>8798921712.5400009</v>
      </c>
      <c r="U1652">
        <v>8815005559.3299999</v>
      </c>
      <c r="V1652">
        <v>2.4285999999999999E-2</v>
      </c>
      <c r="W1652">
        <v>2.696E-3</v>
      </c>
      <c r="Y1652" t="s">
        <v>3</v>
      </c>
      <c r="Z1652">
        <v>7250</v>
      </c>
      <c r="AA1652">
        <v>14</v>
      </c>
      <c r="AB1652">
        <v>9</v>
      </c>
      <c r="AC1652">
        <v>0</v>
      </c>
      <c r="AD1652">
        <v>261658592</v>
      </c>
      <c r="AE1652">
        <v>229525.72</v>
      </c>
      <c r="AF1652">
        <v>232201407</v>
      </c>
      <c r="AG1652">
        <v>261425782.69</v>
      </c>
      <c r="AH1652">
        <v>0.75861699999999999</v>
      </c>
      <c r="AI1652">
        <v>1.5100000000000001E-4</v>
      </c>
    </row>
    <row r="1653" spans="1:35" x14ac:dyDescent="0.35">
      <c r="A1653" t="s">
        <v>2</v>
      </c>
      <c r="B1653">
        <v>7750</v>
      </c>
      <c r="C1653">
        <v>12</v>
      </c>
      <c r="D1653">
        <v>30</v>
      </c>
      <c r="E1653">
        <v>0</v>
      </c>
      <c r="F1653">
        <v>415260507</v>
      </c>
      <c r="G1653">
        <v>322740.11</v>
      </c>
      <c r="H1653">
        <v>410243187</v>
      </c>
      <c r="I1653">
        <v>414504126.06</v>
      </c>
      <c r="J1653">
        <v>0.12753600000000001</v>
      </c>
      <c r="K1653">
        <v>1.2459E-2</v>
      </c>
      <c r="M1653" t="s">
        <v>0</v>
      </c>
      <c r="N1653">
        <v>5500</v>
      </c>
      <c r="O1653">
        <v>7</v>
      </c>
      <c r="P1653">
        <v>1323</v>
      </c>
      <c r="Q1653">
        <v>0</v>
      </c>
      <c r="R1653">
        <v>43922698413</v>
      </c>
      <c r="S1653">
        <v>50421271.159999996</v>
      </c>
      <c r="T1653">
        <v>43776883703.080002</v>
      </c>
      <c r="U1653">
        <v>43859757743.82</v>
      </c>
      <c r="V1653">
        <v>2.5753000000000002E-2</v>
      </c>
      <c r="W1653">
        <v>3.4150000000000001E-3</v>
      </c>
      <c r="Y1653" t="s">
        <v>3</v>
      </c>
      <c r="Z1653">
        <v>6000</v>
      </c>
      <c r="AA1653">
        <v>16</v>
      </c>
      <c r="AB1653">
        <v>3</v>
      </c>
      <c r="AC1653">
        <v>0</v>
      </c>
      <c r="AD1653">
        <v>69602262</v>
      </c>
      <c r="AE1653">
        <v>77785.919999999998</v>
      </c>
      <c r="AF1653">
        <v>69524211</v>
      </c>
      <c r="AG1653">
        <v>69524211</v>
      </c>
      <c r="AH1653">
        <v>4.6E-5</v>
      </c>
      <c r="AI1653">
        <v>4.6E-5</v>
      </c>
    </row>
    <row r="1654" spans="1:35" x14ac:dyDescent="0.35">
      <c r="A1654" t="s">
        <v>2</v>
      </c>
      <c r="B1654">
        <v>7250</v>
      </c>
      <c r="C1654">
        <v>9</v>
      </c>
      <c r="D1654">
        <v>250</v>
      </c>
      <c r="E1654">
        <v>0</v>
      </c>
      <c r="F1654">
        <v>3920245469</v>
      </c>
      <c r="G1654">
        <v>3291142.5</v>
      </c>
      <c r="H1654">
        <v>3890820788.9400001</v>
      </c>
      <c r="I1654">
        <v>3908046840.8600001</v>
      </c>
      <c r="J1654">
        <v>7.7127000000000001E-2</v>
      </c>
      <c r="K1654">
        <v>2.6928000000000001E-2</v>
      </c>
      <c r="M1654" t="s">
        <v>2</v>
      </c>
      <c r="N1654">
        <v>4750</v>
      </c>
      <c r="O1654">
        <v>6</v>
      </c>
      <c r="P1654">
        <v>28</v>
      </c>
      <c r="Q1654">
        <v>0</v>
      </c>
      <c r="R1654">
        <v>685823509</v>
      </c>
      <c r="S1654">
        <v>893990.15</v>
      </c>
      <c r="T1654">
        <v>684781368.78999996</v>
      </c>
      <c r="U1654">
        <v>684921949.80999994</v>
      </c>
      <c r="V1654">
        <v>2.5890000000000002E-3</v>
      </c>
      <c r="W1654">
        <v>1.3200000000000001E-4</v>
      </c>
      <c r="Y1654" t="s">
        <v>3</v>
      </c>
      <c r="Z1654">
        <v>5500</v>
      </c>
      <c r="AA1654">
        <v>16</v>
      </c>
      <c r="AB1654">
        <v>2</v>
      </c>
      <c r="AC1654">
        <v>0</v>
      </c>
      <c r="AD1654">
        <v>75715002</v>
      </c>
      <c r="AE1654">
        <v>91516.800000000003</v>
      </c>
      <c r="AF1654">
        <v>75623137</v>
      </c>
      <c r="AG1654">
        <v>75623137</v>
      </c>
      <c r="AH1654">
        <v>5.5000000000000002E-5</v>
      </c>
      <c r="AI1654">
        <v>5.5000000000000002E-5</v>
      </c>
    </row>
    <row r="1655" spans="1:35" x14ac:dyDescent="0.35">
      <c r="A1655" t="s">
        <v>2</v>
      </c>
      <c r="B1655">
        <v>7000</v>
      </c>
      <c r="C1655">
        <v>7</v>
      </c>
      <c r="D1655">
        <v>259</v>
      </c>
      <c r="E1655">
        <v>0</v>
      </c>
      <c r="F1655">
        <v>4603825316</v>
      </c>
      <c r="G1655">
        <v>4013819.25</v>
      </c>
      <c r="H1655">
        <v>4577797332.5200005</v>
      </c>
      <c r="I1655">
        <v>4598266169.0100002</v>
      </c>
      <c r="J1655">
        <v>5.5895E-2</v>
      </c>
      <c r="K1655">
        <v>4.0210000000000003E-3</v>
      </c>
      <c r="M1655" t="s">
        <v>1</v>
      </c>
      <c r="N1655">
        <v>5500</v>
      </c>
      <c r="O1655">
        <v>6</v>
      </c>
      <c r="P1655">
        <v>1720</v>
      </c>
      <c r="Q1655">
        <v>0</v>
      </c>
      <c r="R1655">
        <v>73699166255</v>
      </c>
      <c r="S1655">
        <v>84080796.109999999</v>
      </c>
      <c r="T1655">
        <v>73407842520.669998</v>
      </c>
      <c r="U1655">
        <v>73581895245.380005</v>
      </c>
      <c r="V1655">
        <v>3.3227E-2</v>
      </c>
      <c r="W1655">
        <v>5.391E-3</v>
      </c>
      <c r="Y1655" t="s">
        <v>3</v>
      </c>
      <c r="Z1655">
        <v>7000</v>
      </c>
      <c r="AA1655">
        <v>14</v>
      </c>
      <c r="AB1655">
        <v>4</v>
      </c>
      <c r="AC1655">
        <v>0</v>
      </c>
      <c r="AD1655">
        <v>99115453</v>
      </c>
      <c r="AE1655">
        <v>89472.49</v>
      </c>
      <c r="AF1655">
        <v>99015317</v>
      </c>
      <c r="AG1655">
        <v>99015317</v>
      </c>
      <c r="AH1655">
        <v>1.2899999999999999E-3</v>
      </c>
      <c r="AI1655">
        <v>1.2899999999999999E-3</v>
      </c>
    </row>
    <row r="1656" spans="1:35" x14ac:dyDescent="0.35">
      <c r="A1656" t="s">
        <v>1</v>
      </c>
      <c r="B1656">
        <v>8250</v>
      </c>
      <c r="C1656">
        <v>14</v>
      </c>
      <c r="D1656">
        <v>3</v>
      </c>
      <c r="E1656">
        <v>0</v>
      </c>
      <c r="F1656">
        <v>52383680</v>
      </c>
      <c r="G1656">
        <v>37249.879999999997</v>
      </c>
      <c r="H1656">
        <v>45837686</v>
      </c>
      <c r="I1656">
        <v>51616514.75</v>
      </c>
      <c r="J1656">
        <v>0.79650500000000002</v>
      </c>
      <c r="K1656">
        <v>0.154971</v>
      </c>
      <c r="M1656" t="s">
        <v>2</v>
      </c>
      <c r="N1656">
        <v>5500</v>
      </c>
      <c r="O1656">
        <v>6</v>
      </c>
      <c r="P1656">
        <v>90</v>
      </c>
      <c r="Q1656">
        <v>0</v>
      </c>
      <c r="R1656">
        <v>2056611975</v>
      </c>
      <c r="S1656">
        <v>2340742.11</v>
      </c>
      <c r="T1656">
        <v>2052971566.05</v>
      </c>
      <c r="U1656">
        <v>2054220934.1199999</v>
      </c>
      <c r="V1656">
        <v>7.5570000000000003E-3</v>
      </c>
      <c r="W1656">
        <v>2.9300000000000002E-4</v>
      </c>
      <c r="Y1656" t="s">
        <v>3</v>
      </c>
      <c r="Z1656">
        <v>7000</v>
      </c>
      <c r="AA1656">
        <v>9</v>
      </c>
      <c r="AB1656">
        <v>6</v>
      </c>
      <c r="AC1656">
        <v>0</v>
      </c>
      <c r="AD1656">
        <v>147079935</v>
      </c>
      <c r="AE1656">
        <v>130186.58</v>
      </c>
      <c r="AF1656">
        <v>146902870</v>
      </c>
      <c r="AG1656">
        <v>146902870</v>
      </c>
      <c r="AH1656">
        <v>3.8180000000000002E-3</v>
      </c>
      <c r="AI1656">
        <v>3.8180000000000002E-3</v>
      </c>
    </row>
    <row r="1657" spans="1:35" x14ac:dyDescent="0.35">
      <c r="A1657" t="s">
        <v>1</v>
      </c>
      <c r="B1657">
        <v>7750</v>
      </c>
      <c r="C1657">
        <v>12</v>
      </c>
      <c r="D1657">
        <v>355</v>
      </c>
      <c r="E1657">
        <v>0</v>
      </c>
      <c r="F1657">
        <v>9418148443</v>
      </c>
      <c r="G1657">
        <v>7261424.4400000004</v>
      </c>
      <c r="H1657">
        <v>8604924130.7299995</v>
      </c>
      <c r="I1657">
        <v>9142183627.9699993</v>
      </c>
      <c r="J1657">
        <v>0.65819799999999995</v>
      </c>
      <c r="K1657">
        <v>0.293437</v>
      </c>
      <c r="M1657" t="s">
        <v>0</v>
      </c>
      <c r="N1657">
        <v>4750</v>
      </c>
      <c r="O1657">
        <v>5</v>
      </c>
      <c r="P1657">
        <v>4775</v>
      </c>
      <c r="Q1657">
        <v>0</v>
      </c>
      <c r="R1657">
        <v>159355300000</v>
      </c>
      <c r="S1657">
        <v>204836471.78999999</v>
      </c>
      <c r="T1657">
        <v>159082039525.32001</v>
      </c>
      <c r="U1657">
        <v>159133403415.04999</v>
      </c>
      <c r="V1657">
        <v>5.1399999999999996E-3</v>
      </c>
      <c r="W1657">
        <v>1.284E-3</v>
      </c>
      <c r="Y1657" t="s">
        <v>3</v>
      </c>
      <c r="Z1657">
        <v>6500</v>
      </c>
      <c r="AA1657">
        <v>10</v>
      </c>
      <c r="AB1657">
        <v>16</v>
      </c>
      <c r="AC1657">
        <v>0</v>
      </c>
      <c r="AD1657">
        <v>499498009</v>
      </c>
      <c r="AE1657">
        <v>482501.01</v>
      </c>
      <c r="AF1657">
        <v>498964979</v>
      </c>
      <c r="AG1657">
        <v>498964979</v>
      </c>
      <c r="AH1657">
        <v>1.2130000000000001E-3</v>
      </c>
      <c r="AI1657">
        <v>1.2130000000000001E-3</v>
      </c>
    </row>
    <row r="1658" spans="1:35" x14ac:dyDescent="0.35">
      <c r="A1658" t="s">
        <v>1</v>
      </c>
      <c r="B1658">
        <v>7500</v>
      </c>
      <c r="C1658">
        <v>12</v>
      </c>
      <c r="D1658">
        <v>371</v>
      </c>
      <c r="E1658">
        <v>0</v>
      </c>
      <c r="F1658">
        <v>9608196206</v>
      </c>
      <c r="G1658">
        <v>7860971.2300000004</v>
      </c>
      <c r="H1658">
        <v>8686735377.0499992</v>
      </c>
      <c r="I1658">
        <v>9463757109.1700001</v>
      </c>
      <c r="J1658">
        <v>0.69849799999999995</v>
      </c>
      <c r="K1658">
        <v>0.15785299999999999</v>
      </c>
      <c r="M1658" t="s">
        <v>2</v>
      </c>
      <c r="N1658">
        <v>4750</v>
      </c>
      <c r="O1658">
        <v>5</v>
      </c>
      <c r="P1658">
        <v>109</v>
      </c>
      <c r="Q1658">
        <v>0</v>
      </c>
      <c r="R1658">
        <v>2663400000</v>
      </c>
      <c r="S1658">
        <v>3435203.28</v>
      </c>
      <c r="T1658">
        <v>2659008963.9899998</v>
      </c>
      <c r="U1658">
        <v>2659816705.9499998</v>
      </c>
      <c r="V1658">
        <v>4.2979999999999997E-3</v>
      </c>
      <c r="W1658">
        <v>6.6699999999999995E-4</v>
      </c>
      <c r="Y1658" t="s">
        <v>2</v>
      </c>
      <c r="Z1658">
        <v>7500</v>
      </c>
      <c r="AA1658">
        <v>12</v>
      </c>
      <c r="AB1658">
        <v>20</v>
      </c>
      <c r="AC1658">
        <v>0</v>
      </c>
      <c r="AD1658">
        <v>307572992</v>
      </c>
      <c r="AE1658">
        <v>250904.11</v>
      </c>
      <c r="AF1658">
        <v>307363540</v>
      </c>
      <c r="AG1658">
        <v>307363540</v>
      </c>
      <c r="AH1658">
        <v>-1.6180000000000001E-3</v>
      </c>
      <c r="AI1658">
        <v>-1.6180000000000001E-3</v>
      </c>
    </row>
    <row r="1659" spans="1:35" x14ac:dyDescent="0.35">
      <c r="A1659" t="s">
        <v>2</v>
      </c>
      <c r="B1659">
        <v>7250</v>
      </c>
      <c r="C1659">
        <v>10</v>
      </c>
      <c r="D1659">
        <v>274</v>
      </c>
      <c r="E1659">
        <v>0</v>
      </c>
      <c r="F1659">
        <v>4044242602</v>
      </c>
      <c r="G1659">
        <v>3407185.86</v>
      </c>
      <c r="H1659">
        <v>4009702684.21</v>
      </c>
      <c r="I1659">
        <v>4026285158.8299999</v>
      </c>
      <c r="J1659">
        <v>8.8564000000000004E-2</v>
      </c>
      <c r="K1659">
        <v>4.2328999999999999E-2</v>
      </c>
      <c r="M1659" t="s">
        <v>1</v>
      </c>
      <c r="N1659">
        <v>4750</v>
      </c>
      <c r="O1659">
        <v>5</v>
      </c>
      <c r="P1659">
        <v>1605</v>
      </c>
      <c r="Q1659">
        <v>0</v>
      </c>
      <c r="R1659">
        <v>63322100000</v>
      </c>
      <c r="S1659">
        <v>81309846.430000007</v>
      </c>
      <c r="T1659">
        <v>63167122467.099998</v>
      </c>
      <c r="U1659">
        <v>63232328355.43</v>
      </c>
      <c r="V1659">
        <v>1.3872000000000001E-2</v>
      </c>
      <c r="W1659">
        <v>1.6019999999999999E-3</v>
      </c>
      <c r="Y1659" t="s">
        <v>0</v>
      </c>
      <c r="Z1659">
        <v>8250</v>
      </c>
      <c r="AA1659">
        <v>10</v>
      </c>
      <c r="AB1659">
        <v>124</v>
      </c>
      <c r="AC1659">
        <v>0</v>
      </c>
      <c r="AD1659">
        <v>3605177572</v>
      </c>
      <c r="AE1659">
        <v>2498730.4300000002</v>
      </c>
      <c r="AF1659">
        <v>3542240390</v>
      </c>
      <c r="AG1659">
        <v>3542240390</v>
      </c>
      <c r="AH1659">
        <v>0.18362200000000001</v>
      </c>
      <c r="AI1659">
        <v>0.18362200000000001</v>
      </c>
    </row>
    <row r="1660" spans="1:35" x14ac:dyDescent="0.35">
      <c r="A1660" t="s">
        <v>2</v>
      </c>
      <c r="B1660">
        <v>8000</v>
      </c>
      <c r="C1660">
        <v>16</v>
      </c>
      <c r="D1660">
        <v>1</v>
      </c>
      <c r="E1660">
        <v>0</v>
      </c>
      <c r="F1660">
        <v>22030741</v>
      </c>
      <c r="G1660">
        <v>16659.95</v>
      </c>
      <c r="H1660">
        <v>21793405.030000001</v>
      </c>
      <c r="I1660">
        <v>22013983.329999998</v>
      </c>
      <c r="J1660">
        <v>0.11379499999999999</v>
      </c>
      <c r="K1660">
        <v>5.3000000000000001E-5</v>
      </c>
      <c r="M1660" t="s">
        <v>3</v>
      </c>
      <c r="N1660">
        <v>6000</v>
      </c>
      <c r="O1660">
        <v>9</v>
      </c>
      <c r="P1660">
        <v>16</v>
      </c>
      <c r="Q1660">
        <v>0</v>
      </c>
      <c r="R1660">
        <v>406447139</v>
      </c>
      <c r="S1660">
        <v>430852.02</v>
      </c>
      <c r="T1660">
        <v>405491987.68000001</v>
      </c>
      <c r="U1660">
        <v>406016256.12</v>
      </c>
      <c r="V1660">
        <v>1.537E-2</v>
      </c>
      <c r="W1660">
        <v>9.9999999999999995E-7</v>
      </c>
      <c r="Y1660" t="s">
        <v>0</v>
      </c>
      <c r="Z1660">
        <v>8000</v>
      </c>
      <c r="AA1660">
        <v>9</v>
      </c>
      <c r="AB1660">
        <v>76</v>
      </c>
      <c r="AC1660">
        <v>0</v>
      </c>
      <c r="AD1660">
        <v>2346975518</v>
      </c>
      <c r="AE1660">
        <v>1703393.66</v>
      </c>
      <c r="AF1660">
        <v>2345394943</v>
      </c>
      <c r="AG1660">
        <v>2345394943</v>
      </c>
      <c r="AH1660">
        <v>-6.2799999999999998E-4</v>
      </c>
      <c r="AI1660">
        <v>-6.2799999999999998E-4</v>
      </c>
    </row>
    <row r="1661" spans="1:35" x14ac:dyDescent="0.35">
      <c r="A1661" t="s">
        <v>1</v>
      </c>
      <c r="B1661">
        <v>7500</v>
      </c>
      <c r="C1661">
        <v>10</v>
      </c>
      <c r="D1661">
        <v>260</v>
      </c>
      <c r="E1661">
        <v>0</v>
      </c>
      <c r="F1661">
        <v>6942254917</v>
      </c>
      <c r="G1661">
        <v>5601196.9000000004</v>
      </c>
      <c r="H1661">
        <v>6303651838.0299997</v>
      </c>
      <c r="I1661">
        <v>6859863151.3900003</v>
      </c>
      <c r="J1661">
        <v>0.68251099999999998</v>
      </c>
      <c r="K1661">
        <v>0.12495100000000001</v>
      </c>
      <c r="M1661" t="s">
        <v>3</v>
      </c>
      <c r="N1661">
        <v>6750</v>
      </c>
      <c r="O1661">
        <v>9</v>
      </c>
      <c r="P1661">
        <v>15</v>
      </c>
      <c r="Q1661">
        <v>0</v>
      </c>
      <c r="R1661">
        <v>431710686</v>
      </c>
      <c r="S1661">
        <v>402377.2</v>
      </c>
      <c r="T1661">
        <v>430652113.48000002</v>
      </c>
      <c r="U1661">
        <v>431308292.57999998</v>
      </c>
      <c r="V1661">
        <v>1.8088E-2</v>
      </c>
      <c r="W1661">
        <v>0</v>
      </c>
      <c r="Y1661" t="s">
        <v>0</v>
      </c>
      <c r="Z1661">
        <v>8000</v>
      </c>
      <c r="AA1661">
        <v>10</v>
      </c>
      <c r="AB1661">
        <v>77</v>
      </c>
      <c r="AC1661">
        <v>0</v>
      </c>
      <c r="AD1661">
        <v>2216971060</v>
      </c>
      <c r="AE1661">
        <v>1617785.11</v>
      </c>
      <c r="AF1661">
        <v>2183169961</v>
      </c>
      <c r="AG1661">
        <v>2215480973.4699998</v>
      </c>
      <c r="AH1661">
        <v>0.160944</v>
      </c>
      <c r="AI1661">
        <v>-6.9099999999999999E-4</v>
      </c>
    </row>
    <row r="1662" spans="1:35" x14ac:dyDescent="0.35">
      <c r="A1662" t="s">
        <v>3</v>
      </c>
      <c r="B1662">
        <v>7000</v>
      </c>
      <c r="C1662">
        <v>12</v>
      </c>
      <c r="D1662">
        <v>14</v>
      </c>
      <c r="E1662">
        <v>0</v>
      </c>
      <c r="F1662">
        <v>369635824</v>
      </c>
      <c r="G1662">
        <v>331946.59000000003</v>
      </c>
      <c r="H1662">
        <v>367723114.05000001</v>
      </c>
      <c r="I1662">
        <v>369302995.69</v>
      </c>
      <c r="J1662">
        <v>5.0127999999999999E-2</v>
      </c>
      <c r="K1662">
        <v>2.9E-5</v>
      </c>
      <c r="M1662" t="s">
        <v>0</v>
      </c>
      <c r="N1662">
        <v>4500</v>
      </c>
      <c r="O1662">
        <v>16</v>
      </c>
      <c r="P1662">
        <v>521</v>
      </c>
      <c r="Q1662">
        <v>0</v>
      </c>
      <c r="R1662">
        <v>16144572873</v>
      </c>
      <c r="S1662">
        <v>23090023.32</v>
      </c>
      <c r="T1662">
        <v>16106899147.76</v>
      </c>
      <c r="U1662">
        <v>16118734386.91</v>
      </c>
      <c r="V1662">
        <v>1.0786E-2</v>
      </c>
      <c r="W1662">
        <v>2.0409999999999998E-3</v>
      </c>
      <c r="Y1662" t="s">
        <v>0</v>
      </c>
      <c r="Z1662">
        <v>8250</v>
      </c>
      <c r="AA1662">
        <v>12</v>
      </c>
      <c r="AB1662">
        <v>276</v>
      </c>
      <c r="AC1662">
        <v>0</v>
      </c>
      <c r="AD1662">
        <v>8551470784</v>
      </c>
      <c r="AE1662">
        <v>5964284.6799999997</v>
      </c>
      <c r="AF1662">
        <v>8346612559</v>
      </c>
      <c r="AG1662">
        <v>8405240356.1499996</v>
      </c>
      <c r="AH1662">
        <v>0.246027</v>
      </c>
      <c r="AI1662">
        <v>0.18001</v>
      </c>
    </row>
    <row r="1663" spans="1:35" x14ac:dyDescent="0.35">
      <c r="A1663" t="s">
        <v>3</v>
      </c>
      <c r="B1663">
        <v>7250</v>
      </c>
      <c r="C1663">
        <v>12</v>
      </c>
      <c r="D1663">
        <v>4</v>
      </c>
      <c r="E1663">
        <v>0</v>
      </c>
      <c r="F1663">
        <v>76022935</v>
      </c>
      <c r="G1663">
        <v>65393.59</v>
      </c>
      <c r="H1663">
        <v>75792940.480000004</v>
      </c>
      <c r="I1663">
        <v>75957540.310000002</v>
      </c>
      <c r="J1663">
        <v>2.5675E-2</v>
      </c>
      <c r="K1663">
        <v>0</v>
      </c>
      <c r="M1663" t="s">
        <v>0</v>
      </c>
      <c r="N1663">
        <v>4750</v>
      </c>
      <c r="O1663">
        <v>16</v>
      </c>
      <c r="P1663">
        <v>887</v>
      </c>
      <c r="Q1663">
        <v>0</v>
      </c>
      <c r="R1663">
        <v>27533828650</v>
      </c>
      <c r="S1663">
        <v>37746207.68</v>
      </c>
      <c r="T1663">
        <v>27463218318.779999</v>
      </c>
      <c r="U1663">
        <v>27484285955.650002</v>
      </c>
      <c r="V1663">
        <v>1.4229E-2</v>
      </c>
      <c r="W1663">
        <v>5.1289999999999999E-3</v>
      </c>
      <c r="Y1663" t="s">
        <v>0</v>
      </c>
      <c r="Z1663">
        <v>8250</v>
      </c>
      <c r="AA1663">
        <v>9</v>
      </c>
      <c r="AB1663">
        <v>111</v>
      </c>
      <c r="AC1663">
        <v>0</v>
      </c>
      <c r="AD1663">
        <v>3480649118</v>
      </c>
      <c r="AE1663">
        <v>2395667.4900000002</v>
      </c>
      <c r="AF1663">
        <v>3449973321</v>
      </c>
      <c r="AG1663">
        <v>3449973321</v>
      </c>
      <c r="AH1663">
        <v>9.3257999999999994E-2</v>
      </c>
      <c r="AI1663">
        <v>9.3257999999999994E-2</v>
      </c>
    </row>
    <row r="1664" spans="1:35" x14ac:dyDescent="0.35">
      <c r="A1664" t="s">
        <v>1</v>
      </c>
      <c r="B1664">
        <v>4500</v>
      </c>
      <c r="C1664">
        <v>16</v>
      </c>
      <c r="D1664">
        <v>583</v>
      </c>
      <c r="E1664">
        <v>0</v>
      </c>
      <c r="F1664">
        <v>20918037986</v>
      </c>
      <c r="G1664">
        <v>29944073.850000001</v>
      </c>
      <c r="H1664">
        <v>20806139029.299999</v>
      </c>
      <c r="I1664">
        <v>20857165830.119999</v>
      </c>
      <c r="J1664">
        <v>4.6015E-2</v>
      </c>
      <c r="K1664">
        <v>1.7599E-2</v>
      </c>
      <c r="M1664" t="s">
        <v>1</v>
      </c>
      <c r="N1664">
        <v>7750</v>
      </c>
      <c r="O1664">
        <v>5</v>
      </c>
      <c r="P1664">
        <v>2592</v>
      </c>
      <c r="Q1664">
        <v>0</v>
      </c>
      <c r="R1664">
        <v>83085800000</v>
      </c>
      <c r="S1664">
        <v>60682816.990000002</v>
      </c>
      <c r="T1664">
        <v>82828100580.610001</v>
      </c>
      <c r="U1664">
        <v>82971956743.850006</v>
      </c>
      <c r="V1664">
        <v>2.8087000000000001E-2</v>
      </c>
      <c r="W1664">
        <v>7.6509999999999998E-3</v>
      </c>
      <c r="Y1664" t="s">
        <v>2</v>
      </c>
      <c r="Z1664">
        <v>7750</v>
      </c>
      <c r="AA1664">
        <v>12</v>
      </c>
      <c r="AB1664">
        <v>25</v>
      </c>
      <c r="AC1664">
        <v>0</v>
      </c>
      <c r="AD1664">
        <v>367490729</v>
      </c>
      <c r="AE1664">
        <v>284485.76000000001</v>
      </c>
      <c r="AF1664">
        <v>367293947</v>
      </c>
      <c r="AG1664">
        <v>367293947</v>
      </c>
      <c r="AH1664">
        <v>-2.8679999999999999E-3</v>
      </c>
      <c r="AI1664">
        <v>-2.8679999999999999E-3</v>
      </c>
    </row>
    <row r="1665" spans="1:35" x14ac:dyDescent="0.35">
      <c r="A1665" t="s">
        <v>3</v>
      </c>
      <c r="B1665">
        <v>7500</v>
      </c>
      <c r="C1665">
        <v>12</v>
      </c>
      <c r="D1665">
        <v>1</v>
      </c>
      <c r="E1665">
        <v>0</v>
      </c>
      <c r="F1665">
        <v>18761744</v>
      </c>
      <c r="G1665">
        <v>15144.49</v>
      </c>
      <c r="H1665">
        <v>18663142.109999999</v>
      </c>
      <c r="I1665">
        <v>18746599.48</v>
      </c>
      <c r="J1665">
        <v>5.2093E-2</v>
      </c>
      <c r="K1665">
        <v>0</v>
      </c>
      <c r="M1665" t="s">
        <v>2</v>
      </c>
      <c r="N1665">
        <v>7250</v>
      </c>
      <c r="O1665">
        <v>8</v>
      </c>
      <c r="P1665">
        <v>164</v>
      </c>
      <c r="Q1665">
        <v>0</v>
      </c>
      <c r="R1665">
        <v>2442249769</v>
      </c>
      <c r="S1665">
        <v>2033097.57</v>
      </c>
      <c r="T1665">
        <v>2422016327.79</v>
      </c>
      <c r="U1665">
        <v>2433962560.2800002</v>
      </c>
      <c r="V1665">
        <v>8.5851999999999998E-2</v>
      </c>
      <c r="W1665">
        <v>3.0300000000000001E-2</v>
      </c>
      <c r="Y1665" t="s">
        <v>2</v>
      </c>
      <c r="Z1665">
        <v>7250</v>
      </c>
      <c r="AA1665">
        <v>8</v>
      </c>
      <c r="AB1665">
        <v>250</v>
      </c>
      <c r="AC1665">
        <v>0</v>
      </c>
      <c r="AD1665">
        <v>3922800652</v>
      </c>
      <c r="AE1665">
        <v>3270948.98</v>
      </c>
      <c r="AF1665">
        <v>3920245469</v>
      </c>
      <c r="AG1665">
        <v>3920245469</v>
      </c>
      <c r="AH1665">
        <v>-2.1919999999999999E-3</v>
      </c>
      <c r="AI1665">
        <v>-2.1919999999999999E-3</v>
      </c>
    </row>
    <row r="1666" spans="1:35" x14ac:dyDescent="0.35">
      <c r="A1666" t="s">
        <v>3</v>
      </c>
      <c r="B1666">
        <v>6500</v>
      </c>
      <c r="C1666">
        <v>10</v>
      </c>
      <c r="D1666">
        <v>32</v>
      </c>
      <c r="E1666">
        <v>0</v>
      </c>
      <c r="F1666">
        <v>911265920</v>
      </c>
      <c r="G1666">
        <v>889035.65</v>
      </c>
      <c r="H1666">
        <v>909371021.86000001</v>
      </c>
      <c r="I1666">
        <v>910376875.13999999</v>
      </c>
      <c r="J1666">
        <v>1.3166000000000001E-2</v>
      </c>
      <c r="K1666">
        <v>0</v>
      </c>
      <c r="M1666" t="s">
        <v>2</v>
      </c>
      <c r="N1666">
        <v>7000</v>
      </c>
      <c r="O1666">
        <v>7</v>
      </c>
      <c r="P1666">
        <v>230</v>
      </c>
      <c r="Q1666">
        <v>0</v>
      </c>
      <c r="R1666">
        <v>4008739761</v>
      </c>
      <c r="S1666">
        <v>3495234.97</v>
      </c>
      <c r="T1666">
        <v>3982515647.1199999</v>
      </c>
      <c r="U1666">
        <v>4000655217.7800002</v>
      </c>
      <c r="V1666">
        <v>6.5956000000000001E-2</v>
      </c>
      <c r="W1666">
        <v>1.3651999999999999E-2</v>
      </c>
      <c r="Y1666" t="s">
        <v>2</v>
      </c>
      <c r="Z1666">
        <v>7000</v>
      </c>
      <c r="AA1666">
        <v>6</v>
      </c>
      <c r="AB1666">
        <v>259</v>
      </c>
      <c r="AC1666">
        <v>0</v>
      </c>
      <c r="AD1666">
        <v>4611860705</v>
      </c>
      <c r="AE1666">
        <v>3994291.3</v>
      </c>
      <c r="AF1666">
        <v>4603825316</v>
      </c>
      <c r="AG1666">
        <v>4603825316</v>
      </c>
      <c r="AH1666">
        <v>1.0463999999999999E-2</v>
      </c>
      <c r="AI1666">
        <v>1.0463999999999999E-2</v>
      </c>
    </row>
    <row r="1667" spans="1:35" x14ac:dyDescent="0.35">
      <c r="A1667" t="s">
        <v>3</v>
      </c>
      <c r="B1667">
        <v>7250</v>
      </c>
      <c r="C1667">
        <v>10</v>
      </c>
      <c r="D1667">
        <v>6</v>
      </c>
      <c r="E1667">
        <v>0</v>
      </c>
      <c r="F1667">
        <v>140739987</v>
      </c>
      <c r="G1667">
        <v>119048.56</v>
      </c>
      <c r="H1667">
        <v>140448246.71000001</v>
      </c>
      <c r="I1667">
        <v>140620935.69</v>
      </c>
      <c r="J1667">
        <v>1.4625000000000001E-2</v>
      </c>
      <c r="K1667">
        <v>0</v>
      </c>
      <c r="M1667" t="s">
        <v>2</v>
      </c>
      <c r="N1667">
        <v>7000</v>
      </c>
      <c r="O1667">
        <v>8</v>
      </c>
      <c r="P1667">
        <v>213</v>
      </c>
      <c r="Q1667">
        <v>0</v>
      </c>
      <c r="R1667">
        <v>3466601325</v>
      </c>
      <c r="S1667">
        <v>3035128.67</v>
      </c>
      <c r="T1667">
        <v>3441274796.8299999</v>
      </c>
      <c r="U1667">
        <v>3455210102.9299998</v>
      </c>
      <c r="V1667">
        <v>7.4493000000000004E-2</v>
      </c>
      <c r="W1667">
        <v>2.8545000000000001E-2</v>
      </c>
      <c r="Y1667" t="s">
        <v>3</v>
      </c>
      <c r="Z1667">
        <v>5750</v>
      </c>
      <c r="AA1667">
        <v>12</v>
      </c>
      <c r="AB1667">
        <v>23</v>
      </c>
      <c r="AC1667">
        <v>0</v>
      </c>
      <c r="AD1667">
        <v>639822108</v>
      </c>
      <c r="AE1667">
        <v>723967.4</v>
      </c>
      <c r="AF1667">
        <v>639039514</v>
      </c>
      <c r="AG1667">
        <v>639039514</v>
      </c>
      <c r="AH1667">
        <v>1.0989999999999999E-3</v>
      </c>
      <c r="AI1667">
        <v>1.0989999999999999E-3</v>
      </c>
    </row>
    <row r="1668" spans="1:35" x14ac:dyDescent="0.35">
      <c r="A1668" t="s">
        <v>3</v>
      </c>
      <c r="B1668">
        <v>6000</v>
      </c>
      <c r="C1668">
        <v>9</v>
      </c>
      <c r="D1668">
        <v>10</v>
      </c>
      <c r="E1668">
        <v>0</v>
      </c>
      <c r="F1668">
        <v>251682575</v>
      </c>
      <c r="G1668">
        <v>266403.09000000003</v>
      </c>
      <c r="H1668">
        <v>251050160.55000001</v>
      </c>
      <c r="I1668">
        <v>251415894.99000001</v>
      </c>
      <c r="J1668">
        <v>1.7312000000000001E-2</v>
      </c>
      <c r="K1668">
        <v>1.2999999999999999E-5</v>
      </c>
      <c r="M1668" t="s">
        <v>1</v>
      </c>
      <c r="N1668">
        <v>7000</v>
      </c>
      <c r="O1668">
        <v>6</v>
      </c>
      <c r="P1668">
        <v>925</v>
      </c>
      <c r="Q1668">
        <v>0</v>
      </c>
      <c r="R1668">
        <v>27860297443</v>
      </c>
      <c r="S1668">
        <v>24059337.25</v>
      </c>
      <c r="T1668">
        <v>27124486810</v>
      </c>
      <c r="U1668">
        <v>27788070915.759998</v>
      </c>
      <c r="V1668">
        <v>0.26695600000000003</v>
      </c>
      <c r="W1668">
        <v>2.0549999999999999E-2</v>
      </c>
      <c r="Y1668" t="s">
        <v>3</v>
      </c>
      <c r="Z1668">
        <v>7250</v>
      </c>
      <c r="AA1668">
        <v>12</v>
      </c>
      <c r="AB1668">
        <v>4</v>
      </c>
      <c r="AC1668">
        <v>0</v>
      </c>
      <c r="AD1668">
        <v>105190847</v>
      </c>
      <c r="AE1668">
        <v>90889.95</v>
      </c>
      <c r="AF1668">
        <v>105047009</v>
      </c>
      <c r="AG1668">
        <v>105047009</v>
      </c>
      <c r="AH1668">
        <v>6.0239999999999998E-3</v>
      </c>
      <c r="AI1668">
        <v>6.0239999999999998E-3</v>
      </c>
    </row>
    <row r="1669" spans="1:35" x14ac:dyDescent="0.35">
      <c r="A1669" t="s">
        <v>3</v>
      </c>
      <c r="B1669">
        <v>6250</v>
      </c>
      <c r="C1669">
        <v>9</v>
      </c>
      <c r="D1669">
        <v>25</v>
      </c>
      <c r="E1669">
        <v>0</v>
      </c>
      <c r="F1669">
        <v>737799265</v>
      </c>
      <c r="G1669">
        <v>744940.53</v>
      </c>
      <c r="H1669">
        <v>736061283.89999998</v>
      </c>
      <c r="I1669">
        <v>737054318.09000003</v>
      </c>
      <c r="J1669">
        <v>1.6032000000000001E-2</v>
      </c>
      <c r="K1669">
        <v>0</v>
      </c>
      <c r="M1669" t="s">
        <v>0</v>
      </c>
      <c r="N1669">
        <v>9000</v>
      </c>
      <c r="O1669">
        <v>12</v>
      </c>
      <c r="P1669">
        <v>6</v>
      </c>
      <c r="Q1669">
        <v>0</v>
      </c>
      <c r="R1669">
        <v>192757216</v>
      </c>
      <c r="S1669">
        <v>122443.47</v>
      </c>
      <c r="T1669">
        <v>188024491.22</v>
      </c>
      <c r="U1669">
        <v>192626449.13</v>
      </c>
      <c r="V1669">
        <v>0.25210900000000003</v>
      </c>
      <c r="W1669">
        <v>5.1800000000000001E-4</v>
      </c>
      <c r="Y1669" t="s">
        <v>1</v>
      </c>
      <c r="Z1669">
        <v>7750</v>
      </c>
      <c r="AA1669">
        <v>10</v>
      </c>
      <c r="AB1669">
        <v>169</v>
      </c>
      <c r="AC1669">
        <v>0</v>
      </c>
      <c r="AD1669">
        <v>4500294500</v>
      </c>
      <c r="AE1669">
        <v>3433046.03</v>
      </c>
      <c r="AF1669">
        <v>4053815466</v>
      </c>
      <c r="AG1669">
        <v>4355781755.0699997</v>
      </c>
      <c r="AH1669">
        <v>0.71167100000000005</v>
      </c>
      <c r="AI1669">
        <v>0.31764900000000001</v>
      </c>
    </row>
    <row r="1670" spans="1:35" x14ac:dyDescent="0.35">
      <c r="A1670" t="s">
        <v>3</v>
      </c>
      <c r="B1670">
        <v>6250</v>
      </c>
      <c r="C1670">
        <v>8</v>
      </c>
      <c r="D1670">
        <v>39</v>
      </c>
      <c r="E1670">
        <v>0</v>
      </c>
      <c r="F1670">
        <v>1226782789</v>
      </c>
      <c r="G1670">
        <v>1232145.58</v>
      </c>
      <c r="H1670">
        <v>1223706835.3099999</v>
      </c>
      <c r="I1670">
        <v>1225550637.97</v>
      </c>
      <c r="J1670">
        <v>1.7887E-2</v>
      </c>
      <c r="K1670">
        <v>0</v>
      </c>
      <c r="M1670" t="s">
        <v>0</v>
      </c>
      <c r="N1670">
        <v>8500</v>
      </c>
      <c r="O1670">
        <v>12</v>
      </c>
      <c r="P1670">
        <v>2</v>
      </c>
      <c r="Q1670">
        <v>0</v>
      </c>
      <c r="R1670">
        <v>65230511</v>
      </c>
      <c r="S1670">
        <v>43425.08</v>
      </c>
      <c r="T1670">
        <v>61721478.119999997</v>
      </c>
      <c r="U1670">
        <v>65186847.420000002</v>
      </c>
      <c r="V1670">
        <v>0.48061199999999998</v>
      </c>
      <c r="W1670">
        <v>4.3999999999999999E-5</v>
      </c>
      <c r="Y1670" t="s">
        <v>1</v>
      </c>
      <c r="Z1670">
        <v>7500</v>
      </c>
      <c r="AA1670">
        <v>10</v>
      </c>
      <c r="AB1670">
        <v>208</v>
      </c>
      <c r="AC1670">
        <v>0</v>
      </c>
      <c r="AD1670">
        <v>5528100397</v>
      </c>
      <c r="AE1670">
        <v>4490039.75</v>
      </c>
      <c r="AF1670">
        <v>4799863622</v>
      </c>
      <c r="AG1670">
        <v>5367892444.9799995</v>
      </c>
      <c r="AH1670">
        <v>0.81434399999999996</v>
      </c>
      <c r="AI1670">
        <v>0.29027199999999997</v>
      </c>
    </row>
    <row r="1671" spans="1:35" x14ac:dyDescent="0.35">
      <c r="A1671" t="s">
        <v>3</v>
      </c>
      <c r="B1671">
        <v>6500</v>
      </c>
      <c r="C1671">
        <v>9</v>
      </c>
      <c r="D1671">
        <v>35</v>
      </c>
      <c r="E1671">
        <v>0</v>
      </c>
      <c r="F1671">
        <v>1040159483</v>
      </c>
      <c r="G1671">
        <v>1012170.22</v>
      </c>
      <c r="H1671">
        <v>1037666468.65</v>
      </c>
      <c r="I1671">
        <v>1039147302.77</v>
      </c>
      <c r="J1671">
        <v>1.6951000000000001E-2</v>
      </c>
      <c r="K1671">
        <v>0</v>
      </c>
      <c r="M1671" t="s">
        <v>3</v>
      </c>
      <c r="N1671">
        <v>7250</v>
      </c>
      <c r="O1671">
        <v>12</v>
      </c>
      <c r="P1671">
        <v>9</v>
      </c>
      <c r="Q1671">
        <v>0</v>
      </c>
      <c r="R1671">
        <v>262126016</v>
      </c>
      <c r="S1671">
        <v>226835.28</v>
      </c>
      <c r="T1671">
        <v>261260953.69999999</v>
      </c>
      <c r="U1671">
        <v>261899172.47</v>
      </c>
      <c r="V1671">
        <v>2.8830000000000001E-2</v>
      </c>
      <c r="W1671">
        <v>0</v>
      </c>
      <c r="Y1671" t="s">
        <v>2</v>
      </c>
      <c r="Z1671">
        <v>7750</v>
      </c>
      <c r="AA1671">
        <v>10</v>
      </c>
      <c r="AB1671">
        <v>10</v>
      </c>
      <c r="AC1671">
        <v>0</v>
      </c>
      <c r="AD1671">
        <v>104033805</v>
      </c>
      <c r="AE1671">
        <v>79652.429999999993</v>
      </c>
      <c r="AF1671">
        <v>96958809</v>
      </c>
      <c r="AG1671">
        <v>103970744.31</v>
      </c>
      <c r="AH1671">
        <v>0.56625599999999998</v>
      </c>
      <c r="AI1671">
        <v>-1.915E-3</v>
      </c>
    </row>
    <row r="1672" spans="1:35" x14ac:dyDescent="0.35">
      <c r="A1672" t="s">
        <v>1</v>
      </c>
      <c r="B1672">
        <v>7250</v>
      </c>
      <c r="C1672">
        <v>9</v>
      </c>
      <c r="D1672">
        <v>823</v>
      </c>
      <c r="E1672">
        <v>0</v>
      </c>
      <c r="F1672">
        <v>22352500471</v>
      </c>
      <c r="G1672">
        <v>18903475.870000001</v>
      </c>
      <c r="H1672">
        <v>19793337742.490002</v>
      </c>
      <c r="I1672">
        <v>22111142146.630001</v>
      </c>
      <c r="J1672">
        <v>0.76488</v>
      </c>
      <c r="K1672">
        <v>0.11310099999999999</v>
      </c>
      <c r="M1672" t="s">
        <v>3</v>
      </c>
      <c r="N1672">
        <v>6000</v>
      </c>
      <c r="O1672">
        <v>14</v>
      </c>
      <c r="P1672">
        <v>3</v>
      </c>
      <c r="Q1672">
        <v>0</v>
      </c>
      <c r="R1672">
        <v>69757225</v>
      </c>
      <c r="S1672">
        <v>77030.399999999994</v>
      </c>
      <c r="T1672">
        <v>69523011.049999997</v>
      </c>
      <c r="U1672">
        <v>69680193.390000001</v>
      </c>
      <c r="V1672">
        <v>2.6707000000000002E-2</v>
      </c>
      <c r="W1672">
        <v>0</v>
      </c>
      <c r="Y1672" t="s">
        <v>2</v>
      </c>
      <c r="Z1672">
        <v>7250</v>
      </c>
      <c r="AA1672">
        <v>9</v>
      </c>
      <c r="AB1672">
        <v>276</v>
      </c>
      <c r="AC1672">
        <v>0</v>
      </c>
      <c r="AD1672">
        <v>4085127926</v>
      </c>
      <c r="AE1672">
        <v>3417956.23</v>
      </c>
      <c r="AF1672">
        <v>4044242602</v>
      </c>
      <c r="AG1672">
        <v>4082372054.5900002</v>
      </c>
      <c r="AH1672">
        <v>0.104674</v>
      </c>
      <c r="AI1672">
        <v>-1.9469999999999999E-3</v>
      </c>
    </row>
    <row r="1673" spans="1:35" x14ac:dyDescent="0.35">
      <c r="A1673" t="s">
        <v>3</v>
      </c>
      <c r="B1673">
        <v>5000</v>
      </c>
      <c r="C1673">
        <v>14</v>
      </c>
      <c r="D1673">
        <v>4</v>
      </c>
      <c r="E1673">
        <v>0</v>
      </c>
      <c r="F1673">
        <v>109226512</v>
      </c>
      <c r="G1673">
        <v>141790.39000000001</v>
      </c>
      <c r="H1673">
        <v>108900076.16</v>
      </c>
      <c r="I1673">
        <v>109084721.48</v>
      </c>
      <c r="J1673">
        <v>2.0098000000000001E-2</v>
      </c>
      <c r="K1673">
        <v>0</v>
      </c>
      <c r="M1673" t="s">
        <v>3</v>
      </c>
      <c r="N1673">
        <v>5500</v>
      </c>
      <c r="O1673">
        <v>14</v>
      </c>
      <c r="P1673">
        <v>2</v>
      </c>
      <c r="Q1673">
        <v>0</v>
      </c>
      <c r="R1673">
        <v>75897494</v>
      </c>
      <c r="S1673">
        <v>90695.9</v>
      </c>
      <c r="T1673">
        <v>75783736.769999996</v>
      </c>
      <c r="U1673">
        <v>75806796.299999997</v>
      </c>
      <c r="V1673">
        <v>3.64E-3</v>
      </c>
      <c r="W1673">
        <v>0</v>
      </c>
      <c r="Y1673" t="s">
        <v>2</v>
      </c>
      <c r="Z1673">
        <v>8250</v>
      </c>
      <c r="AA1673">
        <v>14</v>
      </c>
      <c r="AB1673">
        <v>1</v>
      </c>
      <c r="AC1673">
        <v>0</v>
      </c>
      <c r="AD1673">
        <v>17011362</v>
      </c>
      <c r="AE1673">
        <v>12052.15</v>
      </c>
      <c r="AF1673">
        <v>16999310</v>
      </c>
      <c r="AG1673">
        <v>16999310</v>
      </c>
      <c r="AH1673">
        <v>0</v>
      </c>
      <c r="AI1673">
        <v>0</v>
      </c>
    </row>
    <row r="1674" spans="1:35" x14ac:dyDescent="0.35">
      <c r="A1674" t="s">
        <v>1</v>
      </c>
      <c r="B1674">
        <v>7750</v>
      </c>
      <c r="C1674">
        <v>10</v>
      </c>
      <c r="D1674">
        <v>215</v>
      </c>
      <c r="E1674">
        <v>0</v>
      </c>
      <c r="F1674">
        <v>5681081030</v>
      </c>
      <c r="G1674">
        <v>4334688.7699999996</v>
      </c>
      <c r="H1674">
        <v>5245476030.0100002</v>
      </c>
      <c r="I1674">
        <v>5566866938.5500002</v>
      </c>
      <c r="J1674">
        <v>0.61224999999999996</v>
      </c>
      <c r="K1674">
        <v>0.20893</v>
      </c>
      <c r="M1674" t="s">
        <v>3</v>
      </c>
      <c r="N1674">
        <v>7000</v>
      </c>
      <c r="O1674">
        <v>12</v>
      </c>
      <c r="P1674">
        <v>4</v>
      </c>
      <c r="Q1674">
        <v>0</v>
      </c>
      <c r="R1674">
        <v>99373652</v>
      </c>
      <c r="S1674">
        <v>88512.88</v>
      </c>
      <c r="T1674">
        <v>99170152.590000004</v>
      </c>
      <c r="U1674">
        <v>99285134.219999999</v>
      </c>
      <c r="V1674">
        <v>1.3797E-2</v>
      </c>
      <c r="W1674">
        <v>9.9999999999999995E-7</v>
      </c>
      <c r="Y1674" t="s">
        <v>1</v>
      </c>
      <c r="Z1674">
        <v>7500</v>
      </c>
      <c r="AA1674">
        <v>9</v>
      </c>
      <c r="AB1674">
        <v>283</v>
      </c>
      <c r="AC1674">
        <v>0</v>
      </c>
      <c r="AD1674">
        <v>7516081766</v>
      </c>
      <c r="AE1674">
        <v>6035356.9699999997</v>
      </c>
      <c r="AF1674">
        <v>6942254917</v>
      </c>
      <c r="AG1674">
        <v>7374858850.79</v>
      </c>
      <c r="AH1674">
        <v>0.61038300000000001</v>
      </c>
      <c r="AI1674">
        <v>0.195715</v>
      </c>
    </row>
    <row r="1675" spans="1:35" x14ac:dyDescent="0.35">
      <c r="A1675" t="s">
        <v>0</v>
      </c>
      <c r="B1675">
        <v>8250</v>
      </c>
      <c r="C1675">
        <v>9</v>
      </c>
      <c r="D1675">
        <v>81</v>
      </c>
      <c r="E1675">
        <v>0</v>
      </c>
      <c r="F1675">
        <v>2532965854</v>
      </c>
      <c r="G1675">
        <v>1741711.55</v>
      </c>
      <c r="H1675">
        <v>2482924208.79</v>
      </c>
      <c r="I1675">
        <v>2522727866.04</v>
      </c>
      <c r="J1675">
        <v>0.206286</v>
      </c>
      <c r="K1675">
        <v>3.9516999999999997E-2</v>
      </c>
      <c r="M1675" t="s">
        <v>3</v>
      </c>
      <c r="N1675">
        <v>7000</v>
      </c>
      <c r="O1675">
        <v>7</v>
      </c>
      <c r="P1675">
        <v>6</v>
      </c>
      <c r="Q1675">
        <v>0</v>
      </c>
      <c r="R1675">
        <v>147361065</v>
      </c>
      <c r="S1675">
        <v>128719.39</v>
      </c>
      <c r="T1675">
        <v>147209361.44</v>
      </c>
      <c r="U1675">
        <v>147232326.44</v>
      </c>
      <c r="V1675">
        <v>1.8699999999999999E-3</v>
      </c>
      <c r="W1675">
        <v>1.9999999999999999E-6</v>
      </c>
      <c r="Y1675" t="s">
        <v>3</v>
      </c>
      <c r="Z1675">
        <v>6750</v>
      </c>
      <c r="AA1675">
        <v>10</v>
      </c>
      <c r="AB1675">
        <v>22</v>
      </c>
      <c r="AC1675">
        <v>0</v>
      </c>
      <c r="AD1675">
        <v>647639199</v>
      </c>
      <c r="AE1675">
        <v>602952.47</v>
      </c>
      <c r="AF1675">
        <v>647062483</v>
      </c>
      <c r="AG1675">
        <v>647062483</v>
      </c>
      <c r="AH1675">
        <v>-4.86E-4</v>
      </c>
      <c r="AI1675">
        <v>-4.86E-4</v>
      </c>
    </row>
    <row r="1676" spans="1:35" x14ac:dyDescent="0.35">
      <c r="A1676" t="s">
        <v>1</v>
      </c>
      <c r="B1676">
        <v>8250</v>
      </c>
      <c r="C1676">
        <v>12</v>
      </c>
      <c r="D1676">
        <v>1</v>
      </c>
      <c r="E1676">
        <v>0</v>
      </c>
      <c r="F1676">
        <v>19146465</v>
      </c>
      <c r="G1676">
        <v>13692.39</v>
      </c>
      <c r="H1676">
        <v>17765924.27</v>
      </c>
      <c r="I1676">
        <v>19132545.309999999</v>
      </c>
      <c r="J1676">
        <v>0.58884499999999995</v>
      </c>
      <c r="K1676">
        <v>1.4200000000000001E-4</v>
      </c>
      <c r="M1676" t="s">
        <v>3</v>
      </c>
      <c r="N1676">
        <v>6500</v>
      </c>
      <c r="O1676">
        <v>8</v>
      </c>
      <c r="P1676">
        <v>16</v>
      </c>
      <c r="Q1676">
        <v>0</v>
      </c>
      <c r="R1676">
        <v>502063766</v>
      </c>
      <c r="S1676">
        <v>478890.79</v>
      </c>
      <c r="T1676">
        <v>501345489.72000003</v>
      </c>
      <c r="U1676">
        <v>501584865.00999999</v>
      </c>
      <c r="V1676">
        <v>5.7070000000000003E-3</v>
      </c>
      <c r="W1676">
        <v>0</v>
      </c>
      <c r="Y1676" t="s">
        <v>3</v>
      </c>
      <c r="Z1676">
        <v>7000</v>
      </c>
      <c r="AA1676">
        <v>12</v>
      </c>
      <c r="AB1676">
        <v>3</v>
      </c>
      <c r="AC1676">
        <v>0</v>
      </c>
      <c r="AD1676">
        <v>96299977</v>
      </c>
      <c r="AE1676">
        <v>86025.27</v>
      </c>
      <c r="AF1676">
        <v>74240207</v>
      </c>
      <c r="AG1676">
        <v>96213799.519999996</v>
      </c>
      <c r="AH1676">
        <v>0.95531200000000005</v>
      </c>
      <c r="AI1676">
        <v>1.9000000000000001E-5</v>
      </c>
    </row>
    <row r="1677" spans="1:35" x14ac:dyDescent="0.35">
      <c r="A1677" t="s">
        <v>3</v>
      </c>
      <c r="B1677">
        <v>6250</v>
      </c>
      <c r="C1677">
        <v>10</v>
      </c>
      <c r="D1677">
        <v>17</v>
      </c>
      <c r="E1677">
        <v>0</v>
      </c>
      <c r="F1677">
        <v>426302874</v>
      </c>
      <c r="G1677">
        <v>433143.52</v>
      </c>
      <c r="H1677">
        <v>425409511.73000002</v>
      </c>
      <c r="I1677">
        <v>425869726.06999999</v>
      </c>
      <c r="J1677">
        <v>1.2878000000000001E-2</v>
      </c>
      <c r="K1677">
        <v>0</v>
      </c>
      <c r="M1677" t="s">
        <v>2</v>
      </c>
      <c r="N1677">
        <v>7500</v>
      </c>
      <c r="O1677">
        <v>10</v>
      </c>
      <c r="P1677">
        <v>8</v>
      </c>
      <c r="Q1677">
        <v>0</v>
      </c>
      <c r="R1677">
        <v>117267232</v>
      </c>
      <c r="S1677">
        <v>94540.45</v>
      </c>
      <c r="T1677">
        <v>116173311.65000001</v>
      </c>
      <c r="U1677">
        <v>117171507.33</v>
      </c>
      <c r="V1677">
        <v>9.7606999999999999E-2</v>
      </c>
      <c r="W1677">
        <v>1.21E-4</v>
      </c>
      <c r="Y1677" t="s">
        <v>3</v>
      </c>
      <c r="Z1677">
        <v>7250</v>
      </c>
      <c r="AA1677">
        <v>10</v>
      </c>
      <c r="AB1677">
        <v>2</v>
      </c>
      <c r="AC1677">
        <v>0</v>
      </c>
      <c r="AD1677">
        <v>20272670</v>
      </c>
      <c r="AE1677">
        <v>16932.240000000002</v>
      </c>
      <c r="AF1677">
        <v>20255738</v>
      </c>
      <c r="AG1677">
        <v>20255738</v>
      </c>
      <c r="AH1677">
        <v>0</v>
      </c>
      <c r="AI1677">
        <v>0</v>
      </c>
    </row>
    <row r="1678" spans="1:35" x14ac:dyDescent="0.35">
      <c r="A1678" t="s">
        <v>3</v>
      </c>
      <c r="B1678">
        <v>6000</v>
      </c>
      <c r="C1678">
        <v>10</v>
      </c>
      <c r="D1678">
        <v>8</v>
      </c>
      <c r="E1678">
        <v>0</v>
      </c>
      <c r="F1678">
        <v>182934549</v>
      </c>
      <c r="G1678">
        <v>195183.1</v>
      </c>
      <c r="H1678">
        <v>182493727.96000001</v>
      </c>
      <c r="I1678">
        <v>182739365.27000001</v>
      </c>
      <c r="J1678">
        <v>1.5994999999999999E-2</v>
      </c>
      <c r="K1678">
        <v>0</v>
      </c>
      <c r="M1678" t="s">
        <v>0</v>
      </c>
      <c r="N1678">
        <v>8000</v>
      </c>
      <c r="O1678">
        <v>9</v>
      </c>
      <c r="P1678">
        <v>132</v>
      </c>
      <c r="Q1678">
        <v>0</v>
      </c>
      <c r="R1678">
        <v>3727167252</v>
      </c>
      <c r="S1678">
        <v>2704594.83</v>
      </c>
      <c r="T1678">
        <v>3627776022.04</v>
      </c>
      <c r="U1678">
        <v>3685210076.3099999</v>
      </c>
      <c r="V1678">
        <v>0.27050400000000002</v>
      </c>
      <c r="W1678">
        <v>0.119309</v>
      </c>
      <c r="Y1678" t="s">
        <v>3</v>
      </c>
      <c r="Z1678">
        <v>5500</v>
      </c>
      <c r="AA1678">
        <v>12</v>
      </c>
      <c r="AB1678">
        <v>10</v>
      </c>
      <c r="AC1678">
        <v>0</v>
      </c>
      <c r="AD1678">
        <v>295794842</v>
      </c>
      <c r="AE1678">
        <v>350953.31</v>
      </c>
      <c r="AF1678">
        <v>295497560</v>
      </c>
      <c r="AG1678">
        <v>295497560</v>
      </c>
      <c r="AH1678">
        <v>-2.1800000000000001E-3</v>
      </c>
      <c r="AI1678">
        <v>-2.1800000000000001E-3</v>
      </c>
    </row>
    <row r="1679" spans="1:35" x14ac:dyDescent="0.35">
      <c r="A1679" t="s">
        <v>3</v>
      </c>
      <c r="B1679">
        <v>5750</v>
      </c>
      <c r="C1679">
        <v>10</v>
      </c>
      <c r="D1679">
        <v>6</v>
      </c>
      <c r="E1679">
        <v>0</v>
      </c>
      <c r="F1679">
        <v>184840216</v>
      </c>
      <c r="G1679">
        <v>205017.19</v>
      </c>
      <c r="H1679">
        <v>184376217.34999999</v>
      </c>
      <c r="I1679">
        <v>184635196.13999999</v>
      </c>
      <c r="J1679">
        <v>1.6684000000000001E-2</v>
      </c>
      <c r="K1679">
        <v>0</v>
      </c>
      <c r="M1679" t="s">
        <v>0</v>
      </c>
      <c r="N1679">
        <v>8250</v>
      </c>
      <c r="O1679">
        <v>8</v>
      </c>
      <c r="P1679">
        <v>125</v>
      </c>
      <c r="Q1679">
        <v>0</v>
      </c>
      <c r="R1679">
        <v>3626692963</v>
      </c>
      <c r="S1679">
        <v>2476122.7400000002</v>
      </c>
      <c r="T1679">
        <v>3519294712.4299998</v>
      </c>
      <c r="U1679">
        <v>3614090368.4699998</v>
      </c>
      <c r="V1679">
        <v>0.29692200000000002</v>
      </c>
      <c r="W1679">
        <v>3.2996999999999999E-2</v>
      </c>
      <c r="Y1679" t="s">
        <v>3</v>
      </c>
      <c r="Z1679">
        <v>7500</v>
      </c>
      <c r="AA1679">
        <v>12</v>
      </c>
      <c r="AB1679">
        <v>1</v>
      </c>
      <c r="AC1679">
        <v>0</v>
      </c>
      <c r="AD1679">
        <v>18777291</v>
      </c>
      <c r="AE1679">
        <v>15050.83</v>
      </c>
      <c r="AF1679">
        <v>18761744</v>
      </c>
      <c r="AG1679">
        <v>18761744</v>
      </c>
      <c r="AH1679">
        <v>3.1700000000000001E-4</v>
      </c>
      <c r="AI1679">
        <v>3.1700000000000001E-4</v>
      </c>
    </row>
    <row r="1680" spans="1:35" x14ac:dyDescent="0.35">
      <c r="A1680" t="s">
        <v>0</v>
      </c>
      <c r="B1680">
        <v>8000</v>
      </c>
      <c r="C1680">
        <v>9</v>
      </c>
      <c r="D1680">
        <v>86</v>
      </c>
      <c r="E1680">
        <v>0</v>
      </c>
      <c r="F1680">
        <v>2686207791</v>
      </c>
      <c r="G1680">
        <v>1958662.48</v>
      </c>
      <c r="H1680">
        <v>2629584968.4899998</v>
      </c>
      <c r="I1680">
        <v>2670724317.8299999</v>
      </c>
      <c r="J1680">
        <v>0.218639</v>
      </c>
      <c r="K1680">
        <v>5.8774E-2</v>
      </c>
      <c r="M1680" t="s">
        <v>0</v>
      </c>
      <c r="N1680">
        <v>8000</v>
      </c>
      <c r="O1680">
        <v>7</v>
      </c>
      <c r="P1680">
        <v>76</v>
      </c>
      <c r="Q1680">
        <v>0</v>
      </c>
      <c r="R1680">
        <v>2350912754</v>
      </c>
      <c r="S1680">
        <v>1681488.05</v>
      </c>
      <c r="T1680">
        <v>2222871989.0700002</v>
      </c>
      <c r="U1680">
        <v>2346281250.6500001</v>
      </c>
      <c r="V1680">
        <v>0.48468099999999997</v>
      </c>
      <c r="W1680">
        <v>1.4955E-2</v>
      </c>
      <c r="Y1680" t="s">
        <v>3</v>
      </c>
      <c r="Z1680">
        <v>6500</v>
      </c>
      <c r="AA1680">
        <v>9</v>
      </c>
      <c r="AB1680">
        <v>32</v>
      </c>
      <c r="AC1680">
        <v>0</v>
      </c>
      <c r="AD1680">
        <v>912634230</v>
      </c>
      <c r="AE1680">
        <v>884764.07</v>
      </c>
      <c r="AF1680">
        <v>911265920</v>
      </c>
      <c r="AG1680">
        <v>911265920</v>
      </c>
      <c r="AH1680">
        <v>6.3400000000000001E-3</v>
      </c>
      <c r="AI1680">
        <v>6.3400000000000001E-3</v>
      </c>
    </row>
    <row r="1681" spans="1:35" x14ac:dyDescent="0.35">
      <c r="A1681" t="s">
        <v>3</v>
      </c>
      <c r="B1681">
        <v>5000</v>
      </c>
      <c r="C1681">
        <v>12</v>
      </c>
      <c r="D1681">
        <v>3</v>
      </c>
      <c r="E1681">
        <v>0</v>
      </c>
      <c r="F1681">
        <v>62500475</v>
      </c>
      <c r="G1681">
        <v>80748.759999999995</v>
      </c>
      <c r="H1681">
        <v>62268410.770000003</v>
      </c>
      <c r="I1681">
        <v>62419724.710000001</v>
      </c>
      <c r="J1681">
        <v>2.8669E-2</v>
      </c>
      <c r="K1681">
        <v>0</v>
      </c>
      <c r="M1681" t="s">
        <v>0</v>
      </c>
      <c r="N1681">
        <v>8000</v>
      </c>
      <c r="O1681">
        <v>8</v>
      </c>
      <c r="P1681">
        <v>78</v>
      </c>
      <c r="Q1681">
        <v>0</v>
      </c>
      <c r="R1681">
        <v>2235415917</v>
      </c>
      <c r="S1681">
        <v>1607438.29</v>
      </c>
      <c r="T1681">
        <v>2171457514.5100002</v>
      </c>
      <c r="U1681">
        <v>2226564020.6999998</v>
      </c>
      <c r="V1681">
        <v>0.28784799999999999</v>
      </c>
      <c r="W1681">
        <v>3.8203000000000001E-2</v>
      </c>
      <c r="Y1681" t="s">
        <v>3</v>
      </c>
      <c r="Z1681">
        <v>7250</v>
      </c>
      <c r="AA1681">
        <v>9</v>
      </c>
      <c r="AB1681">
        <v>6</v>
      </c>
      <c r="AC1681">
        <v>0</v>
      </c>
      <c r="AD1681">
        <v>140867874</v>
      </c>
      <c r="AE1681">
        <v>118347.93</v>
      </c>
      <c r="AF1681">
        <v>140739987</v>
      </c>
      <c r="AG1681">
        <v>140739987</v>
      </c>
      <c r="AH1681">
        <v>8.12E-4</v>
      </c>
      <c r="AI1681">
        <v>8.12E-4</v>
      </c>
    </row>
    <row r="1682" spans="1:35" x14ac:dyDescent="0.35">
      <c r="A1682" t="s">
        <v>2</v>
      </c>
      <c r="B1682">
        <v>7750</v>
      </c>
      <c r="C1682">
        <v>10</v>
      </c>
      <c r="D1682">
        <v>20</v>
      </c>
      <c r="E1682">
        <v>0</v>
      </c>
      <c r="F1682">
        <v>287259428</v>
      </c>
      <c r="G1682">
        <v>220966.56</v>
      </c>
      <c r="H1682">
        <v>284461882.13</v>
      </c>
      <c r="I1682">
        <v>286138499.81</v>
      </c>
      <c r="J1682">
        <v>0.10248</v>
      </c>
      <c r="K1682">
        <v>3.6954000000000001E-2</v>
      </c>
      <c r="M1682" t="s">
        <v>0</v>
      </c>
      <c r="N1682">
        <v>8250</v>
      </c>
      <c r="O1682">
        <v>9</v>
      </c>
      <c r="P1682">
        <v>181</v>
      </c>
      <c r="Q1682">
        <v>0</v>
      </c>
      <c r="R1682">
        <v>5730698613</v>
      </c>
      <c r="S1682">
        <v>3929294.6</v>
      </c>
      <c r="T1682">
        <v>5587315757.1000004</v>
      </c>
      <c r="U1682">
        <v>5704064954.8199997</v>
      </c>
      <c r="V1682">
        <v>0.25593399999999999</v>
      </c>
      <c r="W1682">
        <v>4.6519999999999999E-2</v>
      </c>
      <c r="Y1682" t="s">
        <v>3</v>
      </c>
      <c r="Z1682">
        <v>6000</v>
      </c>
      <c r="AA1682">
        <v>8</v>
      </c>
      <c r="AB1682">
        <v>10</v>
      </c>
      <c r="AC1682">
        <v>0</v>
      </c>
      <c r="AD1682">
        <v>251935513</v>
      </c>
      <c r="AE1682">
        <v>265073.78000000003</v>
      </c>
      <c r="AF1682">
        <v>251682575</v>
      </c>
      <c r="AG1682">
        <v>251682575</v>
      </c>
      <c r="AH1682">
        <v>-5.7799999999999995E-4</v>
      </c>
      <c r="AI1682">
        <v>-5.7799999999999995E-4</v>
      </c>
    </row>
    <row r="1683" spans="1:35" x14ac:dyDescent="0.35">
      <c r="A1683" t="s">
        <v>1</v>
      </c>
      <c r="B1683">
        <v>7500</v>
      </c>
      <c r="C1683">
        <v>9</v>
      </c>
      <c r="D1683">
        <v>256</v>
      </c>
      <c r="E1683">
        <v>0</v>
      </c>
      <c r="F1683">
        <v>6852638598</v>
      </c>
      <c r="G1683">
        <v>5480220.1500000004</v>
      </c>
      <c r="H1683">
        <v>6061223193.2700005</v>
      </c>
      <c r="I1683">
        <v>6805456396.4200001</v>
      </c>
      <c r="J1683">
        <v>0.76818600000000004</v>
      </c>
      <c r="K1683">
        <v>7.0630999999999999E-2</v>
      </c>
      <c r="M1683" t="s">
        <v>0</v>
      </c>
      <c r="N1683">
        <v>8250</v>
      </c>
      <c r="O1683">
        <v>7</v>
      </c>
      <c r="P1683">
        <v>111</v>
      </c>
      <c r="Q1683">
        <v>0</v>
      </c>
      <c r="R1683">
        <v>3486224439</v>
      </c>
      <c r="S1683">
        <v>2363812.42</v>
      </c>
      <c r="T1683">
        <v>3299632735.7199998</v>
      </c>
      <c r="U1683">
        <v>3479469271.8000002</v>
      </c>
      <c r="V1683">
        <v>0.47873900000000003</v>
      </c>
      <c r="W1683">
        <v>1.5011E-2</v>
      </c>
      <c r="Y1683" t="s">
        <v>3</v>
      </c>
      <c r="Z1683">
        <v>6250</v>
      </c>
      <c r="AA1683">
        <v>8</v>
      </c>
      <c r="AB1683">
        <v>25</v>
      </c>
      <c r="AC1683">
        <v>0</v>
      </c>
      <c r="AD1683">
        <v>740685333</v>
      </c>
      <c r="AE1683">
        <v>743240.03</v>
      </c>
      <c r="AF1683">
        <v>737799265</v>
      </c>
      <c r="AG1683">
        <v>737799265</v>
      </c>
      <c r="AH1683">
        <v>3.4168999999999998E-2</v>
      </c>
      <c r="AI1683">
        <v>3.4168999999999998E-2</v>
      </c>
    </row>
    <row r="1684" spans="1:35" x14ac:dyDescent="0.35">
      <c r="A1684" t="s">
        <v>2</v>
      </c>
      <c r="B1684">
        <v>7000</v>
      </c>
      <c r="C1684">
        <v>8</v>
      </c>
      <c r="D1684">
        <v>175</v>
      </c>
      <c r="E1684">
        <v>0</v>
      </c>
      <c r="F1684">
        <v>2904035417</v>
      </c>
      <c r="G1684">
        <v>2553232.9</v>
      </c>
      <c r="H1684">
        <v>2886501681.6599998</v>
      </c>
      <c r="I1684">
        <v>2898899140.6599998</v>
      </c>
      <c r="J1684">
        <v>6.0176E-2</v>
      </c>
      <c r="K1684">
        <v>1.0621999999999999E-2</v>
      </c>
      <c r="M1684" t="s">
        <v>0</v>
      </c>
      <c r="N1684">
        <v>8250</v>
      </c>
      <c r="O1684">
        <v>10</v>
      </c>
      <c r="P1684">
        <v>98</v>
      </c>
      <c r="Q1684">
        <v>0</v>
      </c>
      <c r="R1684">
        <v>3014729924</v>
      </c>
      <c r="S1684">
        <v>2080363.06</v>
      </c>
      <c r="T1684">
        <v>2946879276.1599998</v>
      </c>
      <c r="U1684">
        <v>3001423380.4899998</v>
      </c>
      <c r="V1684">
        <v>0.23255899999999999</v>
      </c>
      <c r="W1684">
        <v>4.3781E-2</v>
      </c>
      <c r="Y1684" t="s">
        <v>3</v>
      </c>
      <c r="Z1684">
        <v>6250</v>
      </c>
      <c r="AA1684">
        <v>7</v>
      </c>
      <c r="AB1684">
        <v>40</v>
      </c>
      <c r="AC1684">
        <v>0</v>
      </c>
      <c r="AD1684">
        <v>1249406385</v>
      </c>
      <c r="AE1684">
        <v>1246987.17</v>
      </c>
      <c r="AF1684">
        <v>1226782789</v>
      </c>
      <c r="AG1684">
        <v>1247355212.5</v>
      </c>
      <c r="AH1684">
        <v>0.187053</v>
      </c>
      <c r="AI1684">
        <v>7.6969999999999998E-3</v>
      </c>
    </row>
    <row r="1685" spans="1:35" x14ac:dyDescent="0.35">
      <c r="A1685" t="s">
        <v>3</v>
      </c>
      <c r="B1685">
        <v>7000</v>
      </c>
      <c r="C1685">
        <v>8</v>
      </c>
      <c r="D1685">
        <v>3</v>
      </c>
      <c r="E1685">
        <v>0</v>
      </c>
      <c r="F1685">
        <v>141455707</v>
      </c>
      <c r="G1685">
        <v>123671.15</v>
      </c>
      <c r="H1685">
        <v>141205471.11000001</v>
      </c>
      <c r="I1685">
        <v>141332035.75</v>
      </c>
      <c r="J1685">
        <v>1.0684000000000001E-2</v>
      </c>
      <c r="K1685">
        <v>0</v>
      </c>
      <c r="M1685" t="s">
        <v>2</v>
      </c>
      <c r="N1685">
        <v>7500</v>
      </c>
      <c r="O1685">
        <v>9</v>
      </c>
      <c r="P1685">
        <v>12</v>
      </c>
      <c r="Q1685">
        <v>0</v>
      </c>
      <c r="R1685">
        <v>190869197</v>
      </c>
      <c r="S1685">
        <v>153342.44</v>
      </c>
      <c r="T1685">
        <v>189455208.25</v>
      </c>
      <c r="U1685">
        <v>190668353.71000001</v>
      </c>
      <c r="V1685">
        <v>7.6440999999999995E-2</v>
      </c>
      <c r="W1685">
        <v>2.9819999999999998E-3</v>
      </c>
      <c r="Y1685" t="s">
        <v>3</v>
      </c>
      <c r="Z1685">
        <v>6500</v>
      </c>
      <c r="AA1685">
        <v>8</v>
      </c>
      <c r="AB1685">
        <v>36</v>
      </c>
      <c r="AC1685">
        <v>0</v>
      </c>
      <c r="AD1685">
        <v>1064199641</v>
      </c>
      <c r="AE1685">
        <v>1028678.48</v>
      </c>
      <c r="AF1685">
        <v>1063159483</v>
      </c>
      <c r="AG1685">
        <v>1063159483</v>
      </c>
      <c r="AH1685">
        <v>1.2899999999999999E-4</v>
      </c>
      <c r="AI1685">
        <v>1.2899999999999999E-4</v>
      </c>
    </row>
    <row r="1686" spans="1:35" x14ac:dyDescent="0.35">
      <c r="A1686" t="s">
        <v>0</v>
      </c>
      <c r="B1686">
        <v>4250</v>
      </c>
      <c r="C1686">
        <v>6</v>
      </c>
      <c r="D1686">
        <v>355</v>
      </c>
      <c r="E1686">
        <v>0</v>
      </c>
      <c r="F1686">
        <v>11854589489</v>
      </c>
      <c r="G1686">
        <v>16863928.899999999</v>
      </c>
      <c r="H1686">
        <v>11835168855.92</v>
      </c>
      <c r="I1686">
        <v>11837601511.66</v>
      </c>
      <c r="J1686">
        <v>2.5850000000000001E-3</v>
      </c>
      <c r="K1686">
        <v>1.26E-4</v>
      </c>
      <c r="M1686" t="s">
        <v>2</v>
      </c>
      <c r="N1686">
        <v>7750</v>
      </c>
      <c r="O1686">
        <v>9</v>
      </c>
      <c r="P1686">
        <v>21</v>
      </c>
      <c r="Q1686">
        <v>0</v>
      </c>
      <c r="R1686">
        <v>318999160</v>
      </c>
      <c r="S1686">
        <v>243188.98</v>
      </c>
      <c r="T1686">
        <v>316201840.02999997</v>
      </c>
      <c r="U1686">
        <v>318114729.42000002</v>
      </c>
      <c r="V1686">
        <v>9.196E-2</v>
      </c>
      <c r="W1686">
        <v>2.3857E-2</v>
      </c>
      <c r="Y1686" t="s">
        <v>1</v>
      </c>
      <c r="Z1686">
        <v>7250</v>
      </c>
      <c r="AA1686">
        <v>8</v>
      </c>
      <c r="AB1686">
        <v>978</v>
      </c>
      <c r="AC1686">
        <v>0</v>
      </c>
      <c r="AD1686">
        <v>27146004891</v>
      </c>
      <c r="AE1686">
        <v>22800285.219999999</v>
      </c>
      <c r="AF1686">
        <v>22352500471</v>
      </c>
      <c r="AG1686">
        <v>26813230055.869999</v>
      </c>
      <c r="AH1686">
        <v>0.90165399999999996</v>
      </c>
      <c r="AI1686">
        <v>0.12873899999999999</v>
      </c>
    </row>
    <row r="1687" spans="1:35" x14ac:dyDescent="0.35">
      <c r="A1687" t="s">
        <v>1</v>
      </c>
      <c r="B1687">
        <v>4250</v>
      </c>
      <c r="C1687">
        <v>6</v>
      </c>
      <c r="D1687">
        <v>138</v>
      </c>
      <c r="E1687">
        <v>0</v>
      </c>
      <c r="F1687">
        <v>5080708250</v>
      </c>
      <c r="G1687">
        <v>7223970.3899999997</v>
      </c>
      <c r="H1687">
        <v>5070489217.3299999</v>
      </c>
      <c r="I1687">
        <v>5073210812.1700001</v>
      </c>
      <c r="J1687">
        <v>7.051E-3</v>
      </c>
      <c r="K1687">
        <v>6.4599999999999998E-4</v>
      </c>
      <c r="M1687" t="s">
        <v>2</v>
      </c>
      <c r="N1687">
        <v>7250</v>
      </c>
      <c r="O1687">
        <v>6</v>
      </c>
      <c r="P1687">
        <v>253</v>
      </c>
      <c r="Q1687">
        <v>0</v>
      </c>
      <c r="R1687">
        <v>3977748333</v>
      </c>
      <c r="S1687">
        <v>3272193.27</v>
      </c>
      <c r="T1687">
        <v>3953946807.9299998</v>
      </c>
      <c r="U1687">
        <v>3966765368.48</v>
      </c>
      <c r="V1687">
        <v>6.0204000000000001E-2</v>
      </c>
      <c r="W1687">
        <v>2.3015000000000001E-2</v>
      </c>
      <c r="Y1687" t="s">
        <v>3</v>
      </c>
      <c r="Z1687">
        <v>5000</v>
      </c>
      <c r="AA1687">
        <v>14</v>
      </c>
      <c r="AB1687">
        <v>2</v>
      </c>
      <c r="AC1687">
        <v>0</v>
      </c>
      <c r="AD1687">
        <v>49370429</v>
      </c>
      <c r="AE1687">
        <v>63635.03</v>
      </c>
      <c r="AF1687">
        <v>49305425</v>
      </c>
      <c r="AG1687">
        <v>49305425</v>
      </c>
      <c r="AH1687">
        <v>3.3300000000000002E-4</v>
      </c>
      <c r="AI1687">
        <v>3.3300000000000002E-4</v>
      </c>
    </row>
    <row r="1688" spans="1:35" x14ac:dyDescent="0.35">
      <c r="A1688" t="s">
        <v>1</v>
      </c>
      <c r="B1688">
        <v>5000</v>
      </c>
      <c r="C1688">
        <v>5</v>
      </c>
      <c r="D1688">
        <v>8417</v>
      </c>
      <c r="E1688">
        <v>0</v>
      </c>
      <c r="F1688">
        <v>352314200000</v>
      </c>
      <c r="G1688">
        <v>430452771.94999999</v>
      </c>
      <c r="H1688">
        <v>351510550152.76001</v>
      </c>
      <c r="I1688">
        <v>351860008399.21002</v>
      </c>
      <c r="J1688">
        <v>1.2637000000000001E-2</v>
      </c>
      <c r="K1688">
        <v>8.0800000000000002E-4</v>
      </c>
      <c r="M1688" t="s">
        <v>3</v>
      </c>
      <c r="N1688">
        <v>5750</v>
      </c>
      <c r="O1688">
        <v>10</v>
      </c>
      <c r="P1688">
        <v>11</v>
      </c>
      <c r="Q1688">
        <v>0</v>
      </c>
      <c r="R1688">
        <v>290326623</v>
      </c>
      <c r="S1688">
        <v>325768.40999999997</v>
      </c>
      <c r="T1688">
        <v>289722141.12</v>
      </c>
      <c r="U1688">
        <v>290000846.29000002</v>
      </c>
      <c r="V1688">
        <v>1.1459E-2</v>
      </c>
      <c r="W1688">
        <v>0</v>
      </c>
      <c r="Y1688" t="s">
        <v>1</v>
      </c>
      <c r="Z1688">
        <v>7750</v>
      </c>
      <c r="AA1688">
        <v>9</v>
      </c>
      <c r="AB1688">
        <v>233</v>
      </c>
      <c r="AC1688">
        <v>0</v>
      </c>
      <c r="AD1688">
        <v>6222356584</v>
      </c>
      <c r="AE1688">
        <v>4716262.37</v>
      </c>
      <c r="AF1688">
        <v>5681081030</v>
      </c>
      <c r="AG1688">
        <v>6123055567.1800003</v>
      </c>
      <c r="AH1688">
        <v>0.66112599999999999</v>
      </c>
      <c r="AI1688">
        <v>0.167906</v>
      </c>
    </row>
    <row r="1689" spans="1:35" x14ac:dyDescent="0.35">
      <c r="A1689" t="s">
        <v>1</v>
      </c>
      <c r="B1689">
        <v>7250</v>
      </c>
      <c r="C1689">
        <v>8</v>
      </c>
      <c r="D1689">
        <v>901</v>
      </c>
      <c r="E1689">
        <v>0</v>
      </c>
      <c r="F1689">
        <v>25252223005</v>
      </c>
      <c r="G1689">
        <v>21142367.489999998</v>
      </c>
      <c r="H1689">
        <v>20713858447.029999</v>
      </c>
      <c r="I1689">
        <v>25041973914.040001</v>
      </c>
      <c r="J1689">
        <v>0.90605899999999995</v>
      </c>
      <c r="K1689">
        <v>8.6253999999999997E-2</v>
      </c>
      <c r="M1689" t="s">
        <v>3</v>
      </c>
      <c r="N1689">
        <v>7250</v>
      </c>
      <c r="O1689">
        <v>10</v>
      </c>
      <c r="P1689">
        <v>2</v>
      </c>
      <c r="Q1689">
        <v>0</v>
      </c>
      <c r="R1689">
        <v>49435532</v>
      </c>
      <c r="S1689">
        <v>42291.23</v>
      </c>
      <c r="T1689">
        <v>49198522.5</v>
      </c>
      <c r="U1689">
        <v>49393239.850000001</v>
      </c>
      <c r="V1689">
        <v>4.6254999999999998E-2</v>
      </c>
      <c r="W1689">
        <v>0</v>
      </c>
      <c r="Y1689" t="s">
        <v>0</v>
      </c>
      <c r="Z1689">
        <v>8250</v>
      </c>
      <c r="AA1689">
        <v>8</v>
      </c>
      <c r="AB1689">
        <v>84</v>
      </c>
      <c r="AC1689">
        <v>0</v>
      </c>
      <c r="AD1689">
        <v>2606532373</v>
      </c>
      <c r="AE1689">
        <v>1779738.84</v>
      </c>
      <c r="AF1689">
        <v>2532965854</v>
      </c>
      <c r="AG1689">
        <v>2532965854</v>
      </c>
      <c r="AH1689">
        <v>0.28475499999999998</v>
      </c>
      <c r="AI1689">
        <v>0.28475499999999998</v>
      </c>
    </row>
    <row r="1690" spans="1:35" x14ac:dyDescent="0.35">
      <c r="A1690" t="s">
        <v>2</v>
      </c>
      <c r="B1690">
        <v>7250</v>
      </c>
      <c r="C1690">
        <v>8</v>
      </c>
      <c r="D1690">
        <v>142</v>
      </c>
      <c r="E1690">
        <v>0</v>
      </c>
      <c r="F1690">
        <v>2169744194</v>
      </c>
      <c r="G1690">
        <v>1807251.37</v>
      </c>
      <c r="H1690">
        <v>2150548791.96</v>
      </c>
      <c r="I1690">
        <v>2161273180.8200002</v>
      </c>
      <c r="J1690">
        <v>9.2039999999999997E-2</v>
      </c>
      <c r="K1690">
        <v>3.6237999999999999E-2</v>
      </c>
      <c r="M1690" t="s">
        <v>1</v>
      </c>
      <c r="N1690">
        <v>7750</v>
      </c>
      <c r="O1690">
        <v>9</v>
      </c>
      <c r="P1690">
        <v>249</v>
      </c>
      <c r="Q1690">
        <v>0</v>
      </c>
      <c r="R1690">
        <v>6890721193</v>
      </c>
      <c r="S1690">
        <v>5215774.18</v>
      </c>
      <c r="T1690">
        <v>6004466243.3900003</v>
      </c>
      <c r="U1690">
        <v>6781488586.6400003</v>
      </c>
      <c r="V1690">
        <v>0.80633900000000003</v>
      </c>
      <c r="W1690">
        <v>0.16683500000000001</v>
      </c>
      <c r="Y1690" t="s">
        <v>1</v>
      </c>
      <c r="Z1690">
        <v>8250</v>
      </c>
      <c r="AA1690">
        <v>12</v>
      </c>
      <c r="AB1690">
        <v>1</v>
      </c>
      <c r="AC1690">
        <v>0</v>
      </c>
      <c r="AD1690">
        <v>19182315</v>
      </c>
      <c r="AE1690">
        <v>13616.1</v>
      </c>
      <c r="AF1690">
        <v>19146465</v>
      </c>
      <c r="AG1690">
        <v>19146465</v>
      </c>
      <c r="AH1690">
        <v>1.3821E-2</v>
      </c>
      <c r="AI1690">
        <v>1.3821E-2</v>
      </c>
    </row>
    <row r="1691" spans="1:35" x14ac:dyDescent="0.35">
      <c r="A1691" t="s">
        <v>2</v>
      </c>
      <c r="B1691">
        <v>7250</v>
      </c>
      <c r="C1691">
        <v>7</v>
      </c>
      <c r="D1691">
        <v>185</v>
      </c>
      <c r="E1691">
        <v>0</v>
      </c>
      <c r="F1691">
        <v>2707694804</v>
      </c>
      <c r="G1691">
        <v>2243468.84</v>
      </c>
      <c r="H1691">
        <v>2690278172.6900001</v>
      </c>
      <c r="I1691">
        <v>2702714215.9299998</v>
      </c>
      <c r="J1691">
        <v>6.5210000000000004E-2</v>
      </c>
      <c r="K1691">
        <v>1.2063000000000001E-2</v>
      </c>
      <c r="M1691" t="s">
        <v>1</v>
      </c>
      <c r="N1691">
        <v>7500</v>
      </c>
      <c r="O1691">
        <v>9</v>
      </c>
      <c r="P1691">
        <v>240</v>
      </c>
      <c r="Q1691">
        <v>0</v>
      </c>
      <c r="R1691">
        <v>6514314272</v>
      </c>
      <c r="S1691">
        <v>5221090.13</v>
      </c>
      <c r="T1691">
        <v>5662388796.0900002</v>
      </c>
      <c r="U1691">
        <v>6459676934.7600002</v>
      </c>
      <c r="V1691">
        <v>0.81190600000000002</v>
      </c>
      <c r="W1691">
        <v>8.7326000000000001E-2</v>
      </c>
      <c r="Y1691" t="s">
        <v>3</v>
      </c>
      <c r="Z1691">
        <v>6250</v>
      </c>
      <c r="AA1691">
        <v>9</v>
      </c>
      <c r="AB1691">
        <v>17</v>
      </c>
      <c r="AC1691">
        <v>0</v>
      </c>
      <c r="AD1691">
        <v>426781101</v>
      </c>
      <c r="AE1691">
        <v>430960.24</v>
      </c>
      <c r="AF1691">
        <v>426302874</v>
      </c>
      <c r="AG1691">
        <v>426302874</v>
      </c>
      <c r="AH1691">
        <v>1.328E-3</v>
      </c>
      <c r="AI1691">
        <v>1.328E-3</v>
      </c>
    </row>
    <row r="1692" spans="1:35" x14ac:dyDescent="0.35">
      <c r="A1692" t="s">
        <v>2</v>
      </c>
      <c r="B1692">
        <v>7250</v>
      </c>
      <c r="C1692">
        <v>6</v>
      </c>
      <c r="D1692">
        <v>257</v>
      </c>
      <c r="E1692">
        <v>0</v>
      </c>
      <c r="F1692">
        <v>3944603971</v>
      </c>
      <c r="G1692">
        <v>3258552.6</v>
      </c>
      <c r="H1692">
        <v>3926274843.4200001</v>
      </c>
      <c r="I1692">
        <v>3936108125.9200001</v>
      </c>
      <c r="J1692">
        <v>4.4894999999999997E-2</v>
      </c>
      <c r="K1692">
        <v>1.5817000000000001E-2</v>
      </c>
      <c r="M1692" t="s">
        <v>1</v>
      </c>
      <c r="N1692">
        <v>7750</v>
      </c>
      <c r="O1692">
        <v>8</v>
      </c>
      <c r="P1692">
        <v>219</v>
      </c>
      <c r="Q1692">
        <v>0</v>
      </c>
      <c r="R1692">
        <v>6222155412</v>
      </c>
      <c r="S1692">
        <v>4696290.2300000004</v>
      </c>
      <c r="T1692">
        <v>5205323352.8900003</v>
      </c>
      <c r="U1692">
        <v>6127473012.5799999</v>
      </c>
      <c r="V1692">
        <v>0.88120900000000002</v>
      </c>
      <c r="W1692">
        <v>0.160387</v>
      </c>
      <c r="Y1692" t="s">
        <v>3</v>
      </c>
      <c r="Z1692">
        <v>6000</v>
      </c>
      <c r="AA1692">
        <v>9</v>
      </c>
      <c r="AB1692">
        <v>8</v>
      </c>
      <c r="AC1692">
        <v>0</v>
      </c>
      <c r="AD1692">
        <v>183197736</v>
      </c>
      <c r="AE1692">
        <v>194293.86</v>
      </c>
      <c r="AF1692">
        <v>182934549</v>
      </c>
      <c r="AG1692">
        <v>182934549</v>
      </c>
      <c r="AH1692">
        <v>4.5030000000000001E-3</v>
      </c>
      <c r="AI1692">
        <v>4.5030000000000001E-3</v>
      </c>
    </row>
    <row r="1693" spans="1:35" x14ac:dyDescent="0.35">
      <c r="A1693" t="s">
        <v>1</v>
      </c>
      <c r="B1693">
        <v>7750</v>
      </c>
      <c r="C1693">
        <v>8</v>
      </c>
      <c r="D1693">
        <v>262</v>
      </c>
      <c r="E1693">
        <v>0</v>
      </c>
      <c r="F1693">
        <v>7594156503</v>
      </c>
      <c r="G1693">
        <v>5724866.1600000001</v>
      </c>
      <c r="H1693">
        <v>6408051184.3500004</v>
      </c>
      <c r="I1693">
        <v>7490142540.3500004</v>
      </c>
      <c r="J1693">
        <v>0.86829199999999995</v>
      </c>
      <c r="K1693">
        <v>0.14471999999999999</v>
      </c>
      <c r="M1693" t="s">
        <v>1</v>
      </c>
      <c r="N1693">
        <v>7500</v>
      </c>
      <c r="O1693">
        <v>8</v>
      </c>
      <c r="P1693">
        <v>249</v>
      </c>
      <c r="Q1693">
        <v>0</v>
      </c>
      <c r="R1693">
        <v>6795672185</v>
      </c>
      <c r="S1693">
        <v>5433719.0499999998</v>
      </c>
      <c r="T1693">
        <v>5756777177.9200001</v>
      </c>
      <c r="U1693">
        <v>6702945849.0200005</v>
      </c>
      <c r="V1693">
        <v>0.86187199999999997</v>
      </c>
      <c r="W1693">
        <v>0.143707</v>
      </c>
      <c r="Y1693" t="s">
        <v>3</v>
      </c>
      <c r="Z1693">
        <v>5750</v>
      </c>
      <c r="AA1693">
        <v>9</v>
      </c>
      <c r="AB1693">
        <v>6</v>
      </c>
      <c r="AC1693">
        <v>0</v>
      </c>
      <c r="AD1693">
        <v>185149051</v>
      </c>
      <c r="AE1693">
        <v>204156.21</v>
      </c>
      <c r="AF1693">
        <v>184840216</v>
      </c>
      <c r="AG1693">
        <v>184840216</v>
      </c>
      <c r="AH1693">
        <v>6.7629999999999999E-3</v>
      </c>
      <c r="AI1693">
        <v>6.7629999999999999E-3</v>
      </c>
    </row>
    <row r="1694" spans="1:35" x14ac:dyDescent="0.35">
      <c r="A1694" t="s">
        <v>1</v>
      </c>
      <c r="B1694">
        <v>7750</v>
      </c>
      <c r="C1694">
        <v>9</v>
      </c>
      <c r="D1694">
        <v>276</v>
      </c>
      <c r="E1694">
        <v>0</v>
      </c>
      <c r="F1694">
        <v>7629668719</v>
      </c>
      <c r="G1694">
        <v>5791461.9100000001</v>
      </c>
      <c r="H1694">
        <v>6820100773.5699997</v>
      </c>
      <c r="I1694">
        <v>7474313318.1999998</v>
      </c>
      <c r="J1694">
        <v>0.73706700000000003</v>
      </c>
      <c r="K1694">
        <v>0.21146000000000001</v>
      </c>
      <c r="M1694" t="s">
        <v>2</v>
      </c>
      <c r="N1694">
        <v>7750</v>
      </c>
      <c r="O1694">
        <v>8</v>
      </c>
      <c r="P1694">
        <v>10</v>
      </c>
      <c r="Q1694">
        <v>0</v>
      </c>
      <c r="R1694">
        <v>104232185</v>
      </c>
      <c r="S1694">
        <v>78671.08</v>
      </c>
      <c r="T1694">
        <v>103777175.2</v>
      </c>
      <c r="U1694">
        <v>104147227.26000001</v>
      </c>
      <c r="V1694">
        <v>4.2477000000000001E-2</v>
      </c>
      <c r="W1694">
        <v>7.2400000000000003E-4</v>
      </c>
      <c r="Y1694" t="s">
        <v>0</v>
      </c>
      <c r="Z1694">
        <v>8000</v>
      </c>
      <c r="AA1694">
        <v>8</v>
      </c>
      <c r="AB1694">
        <v>87</v>
      </c>
      <c r="AC1694">
        <v>0</v>
      </c>
      <c r="AD1694">
        <v>2720800250</v>
      </c>
      <c r="AE1694">
        <v>1969041.85</v>
      </c>
      <c r="AF1694">
        <v>2686207791</v>
      </c>
      <c r="AG1694">
        <v>2686207791</v>
      </c>
      <c r="AH1694">
        <v>0.134765</v>
      </c>
      <c r="AI1694">
        <v>0.134765</v>
      </c>
    </row>
    <row r="1695" spans="1:35" x14ac:dyDescent="0.35">
      <c r="A1695" t="s">
        <v>3</v>
      </c>
      <c r="B1695">
        <v>5500</v>
      </c>
      <c r="C1695">
        <v>10</v>
      </c>
      <c r="D1695">
        <v>2</v>
      </c>
      <c r="E1695">
        <v>0</v>
      </c>
      <c r="F1695">
        <v>43137740</v>
      </c>
      <c r="G1695">
        <v>50568.52</v>
      </c>
      <c r="H1695">
        <v>43012643.490000002</v>
      </c>
      <c r="I1695">
        <v>43087170.899999999</v>
      </c>
      <c r="J1695">
        <v>2.0535999999999999E-2</v>
      </c>
      <c r="K1695">
        <v>0</v>
      </c>
      <c r="M1695" t="s">
        <v>2</v>
      </c>
      <c r="N1695">
        <v>7250</v>
      </c>
      <c r="O1695">
        <v>7</v>
      </c>
      <c r="P1695">
        <v>277</v>
      </c>
      <c r="Q1695">
        <v>0</v>
      </c>
      <c r="R1695">
        <v>4109226875</v>
      </c>
      <c r="S1695">
        <v>3391453.06</v>
      </c>
      <c r="T1695">
        <v>4073985887.3899999</v>
      </c>
      <c r="U1695">
        <v>4094600324.3000002</v>
      </c>
      <c r="V1695">
        <v>8.9145000000000002E-2</v>
      </c>
      <c r="W1695">
        <v>3.2320000000000002E-2</v>
      </c>
      <c r="Y1695" t="s">
        <v>3</v>
      </c>
      <c r="Z1695">
        <v>5000</v>
      </c>
      <c r="AA1695">
        <v>12</v>
      </c>
      <c r="AB1695">
        <v>5</v>
      </c>
      <c r="AC1695">
        <v>0</v>
      </c>
      <c r="AD1695">
        <v>122581069</v>
      </c>
      <c r="AE1695">
        <v>157990.49</v>
      </c>
      <c r="AF1695">
        <v>122421562</v>
      </c>
      <c r="AG1695">
        <v>122421562</v>
      </c>
      <c r="AH1695">
        <v>1.4799999999999999E-4</v>
      </c>
      <c r="AI1695">
        <v>1.4799999999999999E-4</v>
      </c>
    </row>
    <row r="1696" spans="1:35" x14ac:dyDescent="0.35">
      <c r="A1696" t="s">
        <v>3</v>
      </c>
      <c r="B1696">
        <v>7000</v>
      </c>
      <c r="C1696">
        <v>6</v>
      </c>
      <c r="D1696">
        <v>6</v>
      </c>
      <c r="E1696">
        <v>0</v>
      </c>
      <c r="F1696">
        <v>112207583</v>
      </c>
      <c r="G1696">
        <v>97215.03</v>
      </c>
      <c r="H1696">
        <v>112078508.59</v>
      </c>
      <c r="I1696">
        <v>112110344.08</v>
      </c>
      <c r="J1696">
        <v>3.4020000000000001E-3</v>
      </c>
      <c r="K1696">
        <v>3.0000000000000001E-6</v>
      </c>
      <c r="M1696" t="s">
        <v>1</v>
      </c>
      <c r="N1696">
        <v>8250</v>
      </c>
      <c r="O1696">
        <v>9</v>
      </c>
      <c r="P1696">
        <v>3</v>
      </c>
      <c r="Q1696">
        <v>0</v>
      </c>
      <c r="R1696">
        <v>67443975</v>
      </c>
      <c r="S1696">
        <v>56357.440000000002</v>
      </c>
      <c r="T1696">
        <v>60780925.659999996</v>
      </c>
      <c r="U1696">
        <v>64437497.18</v>
      </c>
      <c r="V1696">
        <v>0.709785</v>
      </c>
      <c r="W1696">
        <v>0.41534199999999999</v>
      </c>
      <c r="Y1696" t="s">
        <v>2</v>
      </c>
      <c r="Z1696">
        <v>7750</v>
      </c>
      <c r="AA1696">
        <v>9</v>
      </c>
      <c r="AB1696">
        <v>21</v>
      </c>
      <c r="AC1696">
        <v>0</v>
      </c>
      <c r="AD1696">
        <v>303893046</v>
      </c>
      <c r="AE1696">
        <v>232378.01</v>
      </c>
      <c r="AF1696">
        <v>287259428</v>
      </c>
      <c r="AG1696">
        <v>303683658.80000001</v>
      </c>
      <c r="AH1696">
        <v>0.486126</v>
      </c>
      <c r="AI1696">
        <v>-9.0799999999999995E-4</v>
      </c>
    </row>
    <row r="1697" spans="1:35" x14ac:dyDescent="0.35">
      <c r="A1697" t="s">
        <v>3</v>
      </c>
      <c r="B1697">
        <v>6750</v>
      </c>
      <c r="C1697">
        <v>7</v>
      </c>
      <c r="D1697">
        <v>32</v>
      </c>
      <c r="E1697">
        <v>0</v>
      </c>
      <c r="F1697">
        <v>910004184</v>
      </c>
      <c r="G1697">
        <v>827925.48</v>
      </c>
      <c r="H1697">
        <v>908146234.59000003</v>
      </c>
      <c r="I1697">
        <v>909169122.33000004</v>
      </c>
      <c r="J1697">
        <v>1.3498E-2</v>
      </c>
      <c r="K1697">
        <v>9.3999999999999994E-5</v>
      </c>
      <c r="M1697" t="s">
        <v>1</v>
      </c>
      <c r="N1697">
        <v>8000</v>
      </c>
      <c r="O1697">
        <v>8</v>
      </c>
      <c r="P1697">
        <v>4</v>
      </c>
      <c r="Q1697">
        <v>0</v>
      </c>
      <c r="R1697">
        <v>67862845</v>
      </c>
      <c r="S1697">
        <v>48433.91</v>
      </c>
      <c r="T1697">
        <v>55459953.479999997</v>
      </c>
      <c r="U1697">
        <v>67814148.739999995</v>
      </c>
      <c r="V1697">
        <v>0.91031499999999999</v>
      </c>
      <c r="W1697">
        <v>4.6E-5</v>
      </c>
      <c r="Y1697" t="s">
        <v>1</v>
      </c>
      <c r="Z1697">
        <v>7500</v>
      </c>
      <c r="AA1697">
        <v>8</v>
      </c>
      <c r="AB1697">
        <v>299</v>
      </c>
      <c r="AC1697">
        <v>0</v>
      </c>
      <c r="AD1697">
        <v>8118668682</v>
      </c>
      <c r="AE1697">
        <v>6447062.5300000003</v>
      </c>
      <c r="AF1697">
        <v>6852638598</v>
      </c>
      <c r="AG1697">
        <v>8079434194.1000004</v>
      </c>
      <c r="AH1697">
        <v>0.86775599999999997</v>
      </c>
      <c r="AI1697">
        <v>4.7399999999999998E-2</v>
      </c>
    </row>
    <row r="1698" spans="1:35" x14ac:dyDescent="0.35">
      <c r="A1698" t="s">
        <v>3</v>
      </c>
      <c r="B1698">
        <v>6750</v>
      </c>
      <c r="C1698">
        <v>8</v>
      </c>
      <c r="D1698">
        <v>29</v>
      </c>
      <c r="E1698">
        <v>0</v>
      </c>
      <c r="F1698">
        <v>853759590</v>
      </c>
      <c r="G1698">
        <v>782387.04</v>
      </c>
      <c r="H1698">
        <v>850877377.41999996</v>
      </c>
      <c r="I1698">
        <v>851810831.97000003</v>
      </c>
      <c r="J1698">
        <v>2.9118000000000002E-2</v>
      </c>
      <c r="K1698">
        <v>1.6271000000000001E-2</v>
      </c>
      <c r="M1698" t="s">
        <v>2</v>
      </c>
      <c r="N1698">
        <v>8250</v>
      </c>
      <c r="O1698">
        <v>12</v>
      </c>
      <c r="P1698">
        <v>1</v>
      </c>
      <c r="Q1698">
        <v>0</v>
      </c>
      <c r="R1698">
        <v>17023332</v>
      </c>
      <c r="S1698">
        <v>11879.83</v>
      </c>
      <c r="T1698">
        <v>16882095.84</v>
      </c>
      <c r="U1698">
        <v>17011425.010000002</v>
      </c>
      <c r="V1698">
        <v>8.7469000000000005E-2</v>
      </c>
      <c r="W1698">
        <v>1.9000000000000001E-5</v>
      </c>
      <c r="Y1698" t="s">
        <v>2</v>
      </c>
      <c r="Z1698">
        <v>7000</v>
      </c>
      <c r="AA1698">
        <v>7</v>
      </c>
      <c r="AB1698">
        <v>175</v>
      </c>
      <c r="AC1698">
        <v>0</v>
      </c>
      <c r="AD1698">
        <v>2911732671</v>
      </c>
      <c r="AE1698">
        <v>2543148.4300000002</v>
      </c>
      <c r="AF1698">
        <v>2884135417</v>
      </c>
      <c r="AG1698">
        <v>2908769944.8800001</v>
      </c>
      <c r="AH1698">
        <v>9.8504999999999995E-2</v>
      </c>
      <c r="AI1698">
        <v>1.7279999999999999E-3</v>
      </c>
    </row>
    <row r="1699" spans="1:35" x14ac:dyDescent="0.35">
      <c r="A1699" t="s">
        <v>3</v>
      </c>
      <c r="B1699">
        <v>5500</v>
      </c>
      <c r="C1699">
        <v>12</v>
      </c>
      <c r="D1699">
        <v>7</v>
      </c>
      <c r="E1699">
        <v>0</v>
      </c>
      <c r="F1699">
        <v>196157428</v>
      </c>
      <c r="G1699">
        <v>230467.99</v>
      </c>
      <c r="H1699">
        <v>195121548.94</v>
      </c>
      <c r="I1699">
        <v>195926959.03999999</v>
      </c>
      <c r="J1699">
        <v>4.8174000000000002E-2</v>
      </c>
      <c r="K1699">
        <v>0</v>
      </c>
      <c r="M1699" t="s">
        <v>1</v>
      </c>
      <c r="N1699">
        <v>7500</v>
      </c>
      <c r="O1699">
        <v>7</v>
      </c>
      <c r="P1699">
        <v>571</v>
      </c>
      <c r="Q1699">
        <v>0</v>
      </c>
      <c r="R1699">
        <v>16544303244</v>
      </c>
      <c r="S1699">
        <v>13094550.189999999</v>
      </c>
      <c r="T1699">
        <v>9016372950.7399998</v>
      </c>
      <c r="U1699">
        <v>16471908518.440001</v>
      </c>
      <c r="V1699">
        <v>0.99930200000000002</v>
      </c>
      <c r="W1699">
        <v>4.2174000000000003E-2</v>
      </c>
      <c r="Y1699" t="s">
        <v>3</v>
      </c>
      <c r="Z1699">
        <v>7000</v>
      </c>
      <c r="AA1699">
        <v>7</v>
      </c>
      <c r="AB1699">
        <v>3</v>
      </c>
      <c r="AC1699">
        <v>0</v>
      </c>
      <c r="AD1699">
        <v>141586124</v>
      </c>
      <c r="AE1699">
        <v>122966.34</v>
      </c>
      <c r="AF1699">
        <v>141455707</v>
      </c>
      <c r="AG1699">
        <v>141455707</v>
      </c>
      <c r="AH1699">
        <v>6.3100000000000005E-4</v>
      </c>
      <c r="AI1699">
        <v>6.3100000000000005E-4</v>
      </c>
    </row>
    <row r="1700" spans="1:35" x14ac:dyDescent="0.35">
      <c r="A1700" t="s">
        <v>2</v>
      </c>
      <c r="B1700">
        <v>7500</v>
      </c>
      <c r="C1700">
        <v>9</v>
      </c>
      <c r="D1700">
        <v>56</v>
      </c>
      <c r="E1700">
        <v>0</v>
      </c>
      <c r="F1700">
        <v>832508613</v>
      </c>
      <c r="G1700">
        <v>671781.21</v>
      </c>
      <c r="H1700">
        <v>820549451.15999997</v>
      </c>
      <c r="I1700">
        <v>824975009.75999999</v>
      </c>
      <c r="J1700">
        <v>0.15109900000000001</v>
      </c>
      <c r="K1700">
        <v>9.4545000000000004E-2</v>
      </c>
      <c r="M1700" t="s">
        <v>3</v>
      </c>
      <c r="N1700">
        <v>6500</v>
      </c>
      <c r="O1700">
        <v>9</v>
      </c>
      <c r="P1700">
        <v>27</v>
      </c>
      <c r="Q1700">
        <v>0</v>
      </c>
      <c r="R1700">
        <v>722368268</v>
      </c>
      <c r="S1700">
        <v>699262.23</v>
      </c>
      <c r="T1700">
        <v>720369326.70000005</v>
      </c>
      <c r="U1700">
        <v>721668965.83000004</v>
      </c>
      <c r="V1700">
        <v>2.1378000000000001E-2</v>
      </c>
      <c r="W1700">
        <v>9.9999999999999995E-7</v>
      </c>
      <c r="Y1700" t="s">
        <v>0</v>
      </c>
      <c r="Z1700">
        <v>4250</v>
      </c>
      <c r="AA1700">
        <v>5</v>
      </c>
      <c r="AB1700">
        <v>2265</v>
      </c>
      <c r="AC1700">
        <v>0</v>
      </c>
      <c r="AD1700">
        <v>74533300000</v>
      </c>
      <c r="AE1700">
        <v>104139625.42</v>
      </c>
      <c r="AF1700">
        <v>74434889489</v>
      </c>
      <c r="AG1700">
        <v>74466246228.210007</v>
      </c>
      <c r="AH1700">
        <v>-9.2299999999999999E-4</v>
      </c>
      <c r="AI1700">
        <v>-5.9870000000000001E-3</v>
      </c>
    </row>
    <row r="1701" spans="1:35" x14ac:dyDescent="0.35">
      <c r="A1701" t="s">
        <v>2</v>
      </c>
      <c r="B1701">
        <v>7750</v>
      </c>
      <c r="C1701">
        <v>9</v>
      </c>
      <c r="D1701">
        <v>17</v>
      </c>
      <c r="E1701">
        <v>0</v>
      </c>
      <c r="F1701">
        <v>255617921</v>
      </c>
      <c r="G1701">
        <v>195174.5</v>
      </c>
      <c r="H1701">
        <v>252509031.91</v>
      </c>
      <c r="I1701">
        <v>254394957.06999999</v>
      </c>
      <c r="J1701">
        <v>0.128527</v>
      </c>
      <c r="K1701">
        <v>4.7197000000000003E-2</v>
      </c>
      <c r="M1701" t="s">
        <v>3</v>
      </c>
      <c r="N1701">
        <v>6750</v>
      </c>
      <c r="O1701">
        <v>8</v>
      </c>
      <c r="P1701">
        <v>21</v>
      </c>
      <c r="Q1701">
        <v>0</v>
      </c>
      <c r="R1701">
        <v>630589393</v>
      </c>
      <c r="S1701">
        <v>579351.80000000005</v>
      </c>
      <c r="T1701">
        <v>629880817.63999999</v>
      </c>
      <c r="U1701">
        <v>630010025.52999997</v>
      </c>
      <c r="V1701">
        <v>2.4559999999999998E-3</v>
      </c>
      <c r="W1701">
        <v>0</v>
      </c>
      <c r="Y1701" t="s">
        <v>1</v>
      </c>
      <c r="Z1701">
        <v>4250</v>
      </c>
      <c r="AA1701">
        <v>5</v>
      </c>
      <c r="AB1701">
        <v>979</v>
      </c>
      <c r="AC1701">
        <v>0</v>
      </c>
      <c r="AD1701">
        <v>36641900000</v>
      </c>
      <c r="AE1701">
        <v>51210258.399999999</v>
      </c>
      <c r="AF1701">
        <v>36588208250</v>
      </c>
      <c r="AG1701">
        <v>36612473073.889999</v>
      </c>
      <c r="AH1701">
        <v>8.12E-4</v>
      </c>
      <c r="AI1701">
        <v>-7.1570000000000002E-3</v>
      </c>
    </row>
    <row r="1702" spans="1:35" x14ac:dyDescent="0.35">
      <c r="A1702" t="s">
        <v>3</v>
      </c>
      <c r="B1702">
        <v>7000</v>
      </c>
      <c r="C1702">
        <v>9</v>
      </c>
      <c r="D1702">
        <v>8</v>
      </c>
      <c r="E1702">
        <v>0</v>
      </c>
      <c r="F1702">
        <v>124600412</v>
      </c>
      <c r="G1702">
        <v>110804.1</v>
      </c>
      <c r="H1702">
        <v>124233783.84999999</v>
      </c>
      <c r="I1702">
        <v>124485629.72</v>
      </c>
      <c r="J1702">
        <v>2.4362000000000002E-2</v>
      </c>
      <c r="K1702">
        <v>3.8299999999999999E-4</v>
      </c>
      <c r="M1702" t="s">
        <v>3</v>
      </c>
      <c r="N1702">
        <v>7000</v>
      </c>
      <c r="O1702">
        <v>9</v>
      </c>
      <c r="P1702">
        <v>3</v>
      </c>
      <c r="Q1702">
        <v>0</v>
      </c>
      <c r="R1702">
        <v>96470966</v>
      </c>
      <c r="S1702">
        <v>85040.21</v>
      </c>
      <c r="T1702">
        <v>96291263.049999997</v>
      </c>
      <c r="U1702">
        <v>96385924.799999997</v>
      </c>
      <c r="V1702">
        <v>1.1712E-2</v>
      </c>
      <c r="W1702">
        <v>0</v>
      </c>
      <c r="Y1702" t="s">
        <v>1</v>
      </c>
      <c r="Z1702">
        <v>7250</v>
      </c>
      <c r="AA1702">
        <v>7</v>
      </c>
      <c r="AB1702">
        <v>1362</v>
      </c>
      <c r="AC1702">
        <v>0</v>
      </c>
      <c r="AD1702">
        <v>40672556255</v>
      </c>
      <c r="AE1702">
        <v>33820506.880000003</v>
      </c>
      <c r="AF1702">
        <v>25297523005</v>
      </c>
      <c r="AG1702">
        <v>40191863358.330002</v>
      </c>
      <c r="AH1702">
        <v>0.99659399999999998</v>
      </c>
      <c r="AI1702">
        <v>0.12416199999999999</v>
      </c>
    </row>
    <row r="1703" spans="1:35" x14ac:dyDescent="0.35">
      <c r="A1703" t="s">
        <v>2</v>
      </c>
      <c r="B1703">
        <v>7750</v>
      </c>
      <c r="C1703">
        <v>8</v>
      </c>
      <c r="D1703">
        <v>12</v>
      </c>
      <c r="E1703">
        <v>0</v>
      </c>
      <c r="F1703">
        <v>153886191</v>
      </c>
      <c r="G1703">
        <v>117441.64</v>
      </c>
      <c r="H1703">
        <v>152391402.36000001</v>
      </c>
      <c r="I1703">
        <v>153651267.19999999</v>
      </c>
      <c r="J1703">
        <v>0.102272</v>
      </c>
      <c r="K1703">
        <v>9.1229999999999992E-3</v>
      </c>
      <c r="M1703" t="s">
        <v>3</v>
      </c>
      <c r="N1703">
        <v>7250</v>
      </c>
      <c r="O1703">
        <v>8</v>
      </c>
      <c r="P1703">
        <v>2</v>
      </c>
      <c r="Q1703">
        <v>0</v>
      </c>
      <c r="R1703">
        <v>20294754</v>
      </c>
      <c r="S1703">
        <v>16720.02</v>
      </c>
      <c r="T1703">
        <v>20267202.879999999</v>
      </c>
      <c r="U1703">
        <v>20278029.059999999</v>
      </c>
      <c r="V1703">
        <v>6.3860000000000002E-3</v>
      </c>
      <c r="W1703">
        <v>3.0000000000000001E-6</v>
      </c>
      <c r="Y1703" t="s">
        <v>2</v>
      </c>
      <c r="Z1703">
        <v>7250</v>
      </c>
      <c r="AA1703">
        <v>7</v>
      </c>
      <c r="AB1703">
        <v>143</v>
      </c>
      <c r="AC1703">
        <v>0</v>
      </c>
      <c r="AD1703">
        <v>2188139480</v>
      </c>
      <c r="AE1703">
        <v>1810062.97</v>
      </c>
      <c r="AF1703">
        <v>2169744194</v>
      </c>
      <c r="AG1703">
        <v>2186550492.1199999</v>
      </c>
      <c r="AH1703">
        <v>8.7258000000000002E-2</v>
      </c>
      <c r="AI1703">
        <v>-1.2130000000000001E-3</v>
      </c>
    </row>
    <row r="1704" spans="1:35" x14ac:dyDescent="0.35">
      <c r="A1704" t="s">
        <v>2</v>
      </c>
      <c r="B1704">
        <v>7750</v>
      </c>
      <c r="C1704">
        <v>7</v>
      </c>
      <c r="D1704">
        <v>9</v>
      </c>
      <c r="E1704">
        <v>0</v>
      </c>
      <c r="F1704">
        <v>149925299</v>
      </c>
      <c r="G1704">
        <v>113244.27</v>
      </c>
      <c r="H1704">
        <v>148748860.12</v>
      </c>
      <c r="I1704">
        <v>149692970.72999999</v>
      </c>
      <c r="J1704">
        <v>8.1855999999999998E-2</v>
      </c>
      <c r="K1704">
        <v>9.4900000000000002E-3</v>
      </c>
      <c r="M1704" t="s">
        <v>3</v>
      </c>
      <c r="N1704">
        <v>5500</v>
      </c>
      <c r="O1704">
        <v>10</v>
      </c>
      <c r="P1704">
        <v>7</v>
      </c>
      <c r="Q1704">
        <v>0</v>
      </c>
      <c r="R1704">
        <v>184101825</v>
      </c>
      <c r="S1704">
        <v>217206.91</v>
      </c>
      <c r="T1704">
        <v>183531994.27000001</v>
      </c>
      <c r="U1704">
        <v>183884607.33000001</v>
      </c>
      <c r="V1704">
        <v>2.2744E-2</v>
      </c>
      <c r="W1704">
        <v>9.9999999999999995E-7</v>
      </c>
      <c r="Y1704" t="s">
        <v>2</v>
      </c>
      <c r="Z1704">
        <v>7250</v>
      </c>
      <c r="AA1704">
        <v>6</v>
      </c>
      <c r="AB1704">
        <v>188</v>
      </c>
      <c r="AC1704">
        <v>0</v>
      </c>
      <c r="AD1704">
        <v>2757015120</v>
      </c>
      <c r="AE1704">
        <v>2268722.7799999998</v>
      </c>
      <c r="AF1704">
        <v>2724494804</v>
      </c>
      <c r="AG1704">
        <v>2739461613.0799999</v>
      </c>
      <c r="AH1704">
        <v>0.12400799999999999</v>
      </c>
      <c r="AI1704">
        <v>6.4535999999999996E-2</v>
      </c>
    </row>
    <row r="1705" spans="1:35" x14ac:dyDescent="0.35">
      <c r="A1705" t="s">
        <v>1</v>
      </c>
      <c r="B1705">
        <v>5000</v>
      </c>
      <c r="C1705">
        <v>9</v>
      </c>
      <c r="D1705">
        <v>1051</v>
      </c>
      <c r="E1705">
        <v>0</v>
      </c>
      <c r="F1705">
        <v>38853340036</v>
      </c>
      <c r="G1705">
        <v>49235448.43</v>
      </c>
      <c r="H1705">
        <v>38714358739.760002</v>
      </c>
      <c r="I1705">
        <v>38783243821.199997</v>
      </c>
      <c r="J1705">
        <v>2.7369000000000001E-2</v>
      </c>
      <c r="K1705">
        <v>6.424E-3</v>
      </c>
      <c r="M1705" t="s">
        <v>3</v>
      </c>
      <c r="N1705">
        <v>5750</v>
      </c>
      <c r="O1705">
        <v>9</v>
      </c>
      <c r="P1705">
        <v>12</v>
      </c>
      <c r="Q1705">
        <v>0</v>
      </c>
      <c r="R1705">
        <v>350982516</v>
      </c>
      <c r="S1705">
        <v>391453.63</v>
      </c>
      <c r="T1705">
        <v>349892028.66000003</v>
      </c>
      <c r="U1705">
        <v>350591036.31</v>
      </c>
      <c r="V1705">
        <v>2.3640000000000001E-2</v>
      </c>
      <c r="W1705">
        <v>9.9999999999999995E-7</v>
      </c>
      <c r="Y1705" t="s">
        <v>2</v>
      </c>
      <c r="Z1705">
        <v>7250</v>
      </c>
      <c r="AA1705">
        <v>5</v>
      </c>
      <c r="AB1705">
        <v>1040</v>
      </c>
      <c r="AC1705">
        <v>0</v>
      </c>
      <c r="AD1705">
        <v>15522400000</v>
      </c>
      <c r="AE1705">
        <v>12644945.199999999</v>
      </c>
      <c r="AF1705">
        <v>15516703971</v>
      </c>
      <c r="AG1705">
        <v>15516703971</v>
      </c>
      <c r="AH1705">
        <v>-5.385E-3</v>
      </c>
      <c r="AI1705">
        <v>-5.385E-3</v>
      </c>
    </row>
    <row r="1706" spans="1:35" x14ac:dyDescent="0.35">
      <c r="A1706" t="s">
        <v>1</v>
      </c>
      <c r="B1706">
        <v>7500</v>
      </c>
      <c r="C1706">
        <v>8</v>
      </c>
      <c r="D1706">
        <v>172</v>
      </c>
      <c r="E1706">
        <v>0</v>
      </c>
      <c r="F1706">
        <v>5080238777</v>
      </c>
      <c r="G1706">
        <v>4047395.87</v>
      </c>
      <c r="H1706">
        <v>4245795644.5700002</v>
      </c>
      <c r="I1706">
        <v>5046036146.3199997</v>
      </c>
      <c r="J1706">
        <v>0.88254699999999997</v>
      </c>
      <c r="K1706">
        <v>6.8948999999999996E-2</v>
      </c>
      <c r="M1706" t="s">
        <v>2</v>
      </c>
      <c r="N1706">
        <v>5000</v>
      </c>
      <c r="O1706">
        <v>9</v>
      </c>
      <c r="P1706">
        <v>65</v>
      </c>
      <c r="Q1706">
        <v>0</v>
      </c>
      <c r="R1706">
        <v>1712089416</v>
      </c>
      <c r="S1706">
        <v>2169388.54</v>
      </c>
      <c r="T1706">
        <v>1707895584.48</v>
      </c>
      <c r="U1706">
        <v>1709031984.79</v>
      </c>
      <c r="V1706">
        <v>1.4097E-2</v>
      </c>
      <c r="W1706">
        <v>6.2069999999999998E-3</v>
      </c>
      <c r="Y1706" t="s">
        <v>1</v>
      </c>
      <c r="Z1706">
        <v>7750</v>
      </c>
      <c r="AA1706">
        <v>8</v>
      </c>
      <c r="AB1706">
        <v>318</v>
      </c>
      <c r="AC1706">
        <v>0</v>
      </c>
      <c r="AD1706">
        <v>9302115315</v>
      </c>
      <c r="AE1706">
        <v>7012993.9699999997</v>
      </c>
      <c r="AF1706">
        <v>7629668719</v>
      </c>
      <c r="AG1706">
        <v>9191744748.8199997</v>
      </c>
      <c r="AH1706">
        <v>0.90627100000000005</v>
      </c>
      <c r="AI1706">
        <v>0.12548000000000001</v>
      </c>
    </row>
    <row r="1707" spans="1:35" x14ac:dyDescent="0.35">
      <c r="A1707" t="s">
        <v>2</v>
      </c>
      <c r="B1707">
        <v>7250</v>
      </c>
      <c r="C1707">
        <v>5</v>
      </c>
      <c r="D1707">
        <v>784</v>
      </c>
      <c r="E1707">
        <v>0</v>
      </c>
      <c r="F1707">
        <v>11588900000</v>
      </c>
      <c r="G1707">
        <v>9474296.6899999995</v>
      </c>
      <c r="H1707">
        <v>11562541591.34</v>
      </c>
      <c r="I1707">
        <v>11572593448.860001</v>
      </c>
      <c r="J1707">
        <v>1.7343999999999998E-2</v>
      </c>
      <c r="K1707">
        <v>7.0520000000000001E-3</v>
      </c>
      <c r="M1707" t="s">
        <v>3</v>
      </c>
      <c r="N1707">
        <v>7500</v>
      </c>
      <c r="O1707">
        <v>9</v>
      </c>
      <c r="P1707">
        <v>1</v>
      </c>
      <c r="Q1707">
        <v>0</v>
      </c>
      <c r="R1707">
        <v>18808095</v>
      </c>
      <c r="S1707">
        <v>14865.22</v>
      </c>
      <c r="T1707">
        <v>18779980.370000001</v>
      </c>
      <c r="U1707">
        <v>18793225.800000001</v>
      </c>
      <c r="V1707">
        <v>8.4209999999999997E-3</v>
      </c>
      <c r="W1707">
        <v>3.0000000000000001E-6</v>
      </c>
      <c r="Y1707" t="s">
        <v>1</v>
      </c>
      <c r="Z1707">
        <v>7750</v>
      </c>
      <c r="AA1707">
        <v>7</v>
      </c>
      <c r="AB1707">
        <v>432</v>
      </c>
      <c r="AC1707">
        <v>0</v>
      </c>
      <c r="AD1707">
        <v>13158268773</v>
      </c>
      <c r="AE1707">
        <v>9876427.0199999996</v>
      </c>
      <c r="AF1707">
        <v>7610456503</v>
      </c>
      <c r="AG1707">
        <v>13078168552.98</v>
      </c>
      <c r="AH1707">
        <v>0.99857700000000005</v>
      </c>
      <c r="AI1707">
        <v>6.2196000000000001E-2</v>
      </c>
    </row>
    <row r="1708" spans="1:35" x14ac:dyDescent="0.35">
      <c r="A1708" t="s">
        <v>3</v>
      </c>
      <c r="B1708">
        <v>6500</v>
      </c>
      <c r="C1708">
        <v>5</v>
      </c>
      <c r="D1708">
        <v>122</v>
      </c>
      <c r="E1708">
        <v>0</v>
      </c>
      <c r="F1708">
        <v>3496100000</v>
      </c>
      <c r="G1708">
        <v>3267677.26</v>
      </c>
      <c r="H1708">
        <v>3492455331.3499999</v>
      </c>
      <c r="I1708">
        <v>3492832251.6599998</v>
      </c>
      <c r="J1708">
        <v>1.2930000000000001E-3</v>
      </c>
      <c r="K1708">
        <v>0</v>
      </c>
      <c r="M1708" t="s">
        <v>3</v>
      </c>
      <c r="N1708">
        <v>6500</v>
      </c>
      <c r="O1708">
        <v>7</v>
      </c>
      <c r="P1708">
        <v>32</v>
      </c>
      <c r="Q1708">
        <v>0</v>
      </c>
      <c r="R1708">
        <v>917403959</v>
      </c>
      <c r="S1708">
        <v>878250.21</v>
      </c>
      <c r="T1708">
        <v>915913661.22000003</v>
      </c>
      <c r="U1708">
        <v>916525677.76999998</v>
      </c>
      <c r="V1708">
        <v>7.9769999999999997E-3</v>
      </c>
      <c r="W1708">
        <v>0</v>
      </c>
      <c r="Y1708" t="s">
        <v>3</v>
      </c>
      <c r="Z1708">
        <v>5500</v>
      </c>
      <c r="AA1708">
        <v>9</v>
      </c>
      <c r="AB1708">
        <v>2</v>
      </c>
      <c r="AC1708">
        <v>0</v>
      </c>
      <c r="AD1708">
        <v>43188221</v>
      </c>
      <c r="AE1708">
        <v>50340.66</v>
      </c>
      <c r="AF1708">
        <v>43137740</v>
      </c>
      <c r="AG1708">
        <v>43137740</v>
      </c>
      <c r="AH1708">
        <v>3.8999999999999999E-5</v>
      </c>
      <c r="AI1708">
        <v>3.8999999999999999E-5</v>
      </c>
    </row>
    <row r="1709" spans="1:35" x14ac:dyDescent="0.35">
      <c r="A1709" t="s">
        <v>1</v>
      </c>
      <c r="B1709">
        <v>4750</v>
      </c>
      <c r="C1709">
        <v>5</v>
      </c>
      <c r="D1709">
        <v>2159</v>
      </c>
      <c r="E1709">
        <v>0</v>
      </c>
      <c r="F1709">
        <v>87686500000</v>
      </c>
      <c r="G1709">
        <v>112104180.68000001</v>
      </c>
      <c r="H1709">
        <v>87487950541.139999</v>
      </c>
      <c r="I1709">
        <v>87563236119.970001</v>
      </c>
      <c r="J1709">
        <v>1.1766E-2</v>
      </c>
      <c r="K1709">
        <v>1.526E-3</v>
      </c>
      <c r="M1709" t="s">
        <v>3</v>
      </c>
      <c r="N1709">
        <v>7250</v>
      </c>
      <c r="O1709">
        <v>7</v>
      </c>
      <c r="P1709">
        <v>7</v>
      </c>
      <c r="Q1709">
        <v>0</v>
      </c>
      <c r="R1709">
        <v>181240741</v>
      </c>
      <c r="S1709">
        <v>149791.74</v>
      </c>
      <c r="T1709">
        <v>180966394.69999999</v>
      </c>
      <c r="U1709">
        <v>181090947.69</v>
      </c>
      <c r="V1709">
        <v>8.2159999999999993E-3</v>
      </c>
      <c r="W1709">
        <v>0</v>
      </c>
      <c r="Y1709" t="s">
        <v>3</v>
      </c>
      <c r="Z1709">
        <v>7000</v>
      </c>
      <c r="AA1709">
        <v>5</v>
      </c>
      <c r="AB1709">
        <v>14</v>
      </c>
      <c r="AC1709">
        <v>0</v>
      </c>
      <c r="AD1709">
        <v>336200000</v>
      </c>
      <c r="AE1709">
        <v>285530.71999999997</v>
      </c>
      <c r="AF1709">
        <v>335707583</v>
      </c>
      <c r="AG1709">
        <v>335707583</v>
      </c>
      <c r="AH1709">
        <v>7.3590000000000001E-3</v>
      </c>
      <c r="AI1709">
        <v>7.3590000000000001E-3</v>
      </c>
    </row>
    <row r="1710" spans="1:35" x14ac:dyDescent="0.35">
      <c r="A1710" t="s">
        <v>3</v>
      </c>
      <c r="B1710">
        <v>7250</v>
      </c>
      <c r="C1710">
        <v>5</v>
      </c>
      <c r="D1710">
        <v>9</v>
      </c>
      <c r="E1710">
        <v>0</v>
      </c>
      <c r="F1710">
        <v>244700000</v>
      </c>
      <c r="G1710">
        <v>198362.18</v>
      </c>
      <c r="H1710">
        <v>244459590.38</v>
      </c>
      <c r="I1710">
        <v>244501636.46000001</v>
      </c>
      <c r="J1710">
        <v>2.0600000000000002E-3</v>
      </c>
      <c r="K1710">
        <v>0</v>
      </c>
      <c r="M1710" t="s">
        <v>3</v>
      </c>
      <c r="N1710">
        <v>6000</v>
      </c>
      <c r="O1710">
        <v>6</v>
      </c>
      <c r="P1710">
        <v>10</v>
      </c>
      <c r="Q1710">
        <v>0</v>
      </c>
      <c r="R1710">
        <v>252897890</v>
      </c>
      <c r="S1710">
        <v>262911.62</v>
      </c>
      <c r="T1710">
        <v>252561824.90000001</v>
      </c>
      <c r="U1710">
        <v>252634024.68000001</v>
      </c>
      <c r="V1710">
        <v>3.4659999999999999E-3</v>
      </c>
      <c r="W1710">
        <v>4.5000000000000003E-5</v>
      </c>
      <c r="Y1710" t="s">
        <v>3</v>
      </c>
      <c r="Z1710">
        <v>6750</v>
      </c>
      <c r="AA1710">
        <v>6</v>
      </c>
      <c r="AB1710">
        <v>32</v>
      </c>
      <c r="AC1710">
        <v>0</v>
      </c>
      <c r="AD1710">
        <v>911898095</v>
      </c>
      <c r="AE1710">
        <v>824293.6</v>
      </c>
      <c r="AF1710">
        <v>910004184</v>
      </c>
      <c r="AG1710">
        <v>910004184</v>
      </c>
      <c r="AH1710">
        <v>1.3984999999999999E-2</v>
      </c>
      <c r="AI1710">
        <v>1.3984999999999999E-2</v>
      </c>
    </row>
    <row r="1711" spans="1:35" x14ac:dyDescent="0.35">
      <c r="A1711" t="s">
        <v>1</v>
      </c>
      <c r="B1711">
        <v>7500</v>
      </c>
      <c r="C1711">
        <v>6</v>
      </c>
      <c r="D1711">
        <v>403</v>
      </c>
      <c r="E1711">
        <v>0</v>
      </c>
      <c r="F1711">
        <v>12559834326</v>
      </c>
      <c r="G1711">
        <v>9945450.4399999995</v>
      </c>
      <c r="H1711">
        <v>12167408656.51</v>
      </c>
      <c r="I1711">
        <v>12447709515.09</v>
      </c>
      <c r="J1711">
        <v>0.310033</v>
      </c>
      <c r="K1711">
        <v>9.3372999999999998E-2</v>
      </c>
      <c r="M1711" t="s">
        <v>3</v>
      </c>
      <c r="N1711">
        <v>6250</v>
      </c>
      <c r="O1711">
        <v>6</v>
      </c>
      <c r="P1711">
        <v>25</v>
      </c>
      <c r="Q1711">
        <v>0</v>
      </c>
      <c r="R1711">
        <v>744660728</v>
      </c>
      <c r="S1711">
        <v>738062.77</v>
      </c>
      <c r="T1711">
        <v>743838906.72000003</v>
      </c>
      <c r="U1711">
        <v>743922583.66999996</v>
      </c>
      <c r="V1711">
        <v>1.3489999999999999E-3</v>
      </c>
      <c r="W1711">
        <v>9.9999999999999995E-7</v>
      </c>
      <c r="Y1711" t="s">
        <v>3</v>
      </c>
      <c r="Z1711">
        <v>6750</v>
      </c>
      <c r="AA1711">
        <v>7</v>
      </c>
      <c r="AB1711">
        <v>29</v>
      </c>
      <c r="AC1711">
        <v>0</v>
      </c>
      <c r="AD1711">
        <v>854602283</v>
      </c>
      <c r="AE1711">
        <v>778102.8</v>
      </c>
      <c r="AF1711">
        <v>853759590</v>
      </c>
      <c r="AG1711">
        <v>853759590</v>
      </c>
      <c r="AH1711">
        <v>9.0700000000000004E-4</v>
      </c>
      <c r="AI1711">
        <v>9.0700000000000004E-4</v>
      </c>
    </row>
    <row r="1712" spans="1:35" x14ac:dyDescent="0.35">
      <c r="A1712" t="s">
        <v>3</v>
      </c>
      <c r="B1712">
        <v>7000</v>
      </c>
      <c r="C1712">
        <v>7</v>
      </c>
      <c r="D1712">
        <v>8</v>
      </c>
      <c r="E1712">
        <v>0</v>
      </c>
      <c r="F1712">
        <v>239696276</v>
      </c>
      <c r="G1712">
        <v>208986.18</v>
      </c>
      <c r="H1712">
        <v>239301248.93000001</v>
      </c>
      <c r="I1712">
        <v>239487288.47</v>
      </c>
      <c r="J1712">
        <v>9.2739999999999993E-3</v>
      </c>
      <c r="K1712">
        <v>0</v>
      </c>
      <c r="M1712" t="s">
        <v>3</v>
      </c>
      <c r="N1712">
        <v>6500</v>
      </c>
      <c r="O1712">
        <v>6</v>
      </c>
      <c r="P1712">
        <v>35</v>
      </c>
      <c r="Q1712">
        <v>0</v>
      </c>
      <c r="R1712">
        <v>1043955540</v>
      </c>
      <c r="S1712">
        <v>996819.03</v>
      </c>
      <c r="T1712">
        <v>1042686330.14</v>
      </c>
      <c r="U1712">
        <v>1042958639.3</v>
      </c>
      <c r="V1712">
        <v>3.127E-3</v>
      </c>
      <c r="W1712">
        <v>9.9999999999999995E-7</v>
      </c>
      <c r="Y1712" t="s">
        <v>3</v>
      </c>
      <c r="Z1712">
        <v>7000</v>
      </c>
      <c r="AA1712">
        <v>10</v>
      </c>
      <c r="AB1712">
        <v>12</v>
      </c>
      <c r="AC1712">
        <v>0</v>
      </c>
      <c r="AD1712">
        <v>295695260</v>
      </c>
      <c r="AE1712">
        <v>263916.99</v>
      </c>
      <c r="AF1712">
        <v>295395617</v>
      </c>
      <c r="AG1712">
        <v>295395617</v>
      </c>
      <c r="AH1712">
        <v>1.449E-3</v>
      </c>
      <c r="AI1712">
        <v>1.449E-3</v>
      </c>
    </row>
    <row r="1713" spans="1:35" x14ac:dyDescent="0.35">
      <c r="A1713" t="s">
        <v>1</v>
      </c>
      <c r="B1713">
        <v>7500</v>
      </c>
      <c r="C1713">
        <v>7</v>
      </c>
      <c r="D1713">
        <v>219</v>
      </c>
      <c r="E1713">
        <v>0</v>
      </c>
      <c r="F1713">
        <v>7510410407</v>
      </c>
      <c r="G1713">
        <v>6016544.5199999996</v>
      </c>
      <c r="H1713">
        <v>4221961853.3600001</v>
      </c>
      <c r="I1713">
        <v>7460939875.9200001</v>
      </c>
      <c r="J1713">
        <v>0.99898699999999996</v>
      </c>
      <c r="K1713">
        <v>6.7263000000000003E-2</v>
      </c>
      <c r="M1713" t="s">
        <v>1</v>
      </c>
      <c r="N1713">
        <v>7250</v>
      </c>
      <c r="O1713">
        <v>6</v>
      </c>
      <c r="P1713">
        <v>1461</v>
      </c>
      <c r="Q1713">
        <v>0</v>
      </c>
      <c r="R1713">
        <v>43703502804</v>
      </c>
      <c r="S1713">
        <v>36195953.310000002</v>
      </c>
      <c r="T1713">
        <v>42361478773.019997</v>
      </c>
      <c r="U1713">
        <v>43494109093.540001</v>
      </c>
      <c r="V1713">
        <v>0.30512</v>
      </c>
      <c r="W1713">
        <v>4.6532999999999998E-2</v>
      </c>
      <c r="Y1713" t="s">
        <v>2</v>
      </c>
      <c r="Z1713">
        <v>7500</v>
      </c>
      <c r="AA1713">
        <v>8</v>
      </c>
      <c r="AB1713">
        <v>58</v>
      </c>
      <c r="AC1713">
        <v>0</v>
      </c>
      <c r="AD1713">
        <v>865561376</v>
      </c>
      <c r="AE1713">
        <v>693337.48</v>
      </c>
      <c r="AF1713">
        <v>832508613</v>
      </c>
      <c r="AG1713">
        <v>851852161.53999996</v>
      </c>
      <c r="AH1713">
        <v>0.36696299999999998</v>
      </c>
      <c r="AI1713">
        <v>0.16624900000000001</v>
      </c>
    </row>
    <row r="1714" spans="1:35" x14ac:dyDescent="0.35">
      <c r="A1714" t="s">
        <v>2</v>
      </c>
      <c r="B1714">
        <v>7500</v>
      </c>
      <c r="C1714">
        <v>7</v>
      </c>
      <c r="D1714">
        <v>81</v>
      </c>
      <c r="E1714">
        <v>0</v>
      </c>
      <c r="F1714">
        <v>1205879350</v>
      </c>
      <c r="G1714">
        <v>956675.64</v>
      </c>
      <c r="H1714">
        <v>1197704355.24</v>
      </c>
      <c r="I1714">
        <v>1201982935.24</v>
      </c>
      <c r="J1714">
        <v>6.9513000000000005E-2</v>
      </c>
      <c r="K1714">
        <v>2.8864999999999998E-2</v>
      </c>
      <c r="M1714" t="s">
        <v>3</v>
      </c>
      <c r="N1714">
        <v>5000</v>
      </c>
      <c r="O1714">
        <v>12</v>
      </c>
      <c r="P1714">
        <v>2</v>
      </c>
      <c r="Q1714">
        <v>0</v>
      </c>
      <c r="R1714">
        <v>49499629</v>
      </c>
      <c r="S1714">
        <v>63111.5</v>
      </c>
      <c r="T1714">
        <v>49329827.990000002</v>
      </c>
      <c r="U1714">
        <v>49436517.310000002</v>
      </c>
      <c r="V1714">
        <v>2.5559999999999999E-2</v>
      </c>
      <c r="W1714">
        <v>0</v>
      </c>
      <c r="Y1714" t="s">
        <v>2</v>
      </c>
      <c r="Z1714">
        <v>7750</v>
      </c>
      <c r="AA1714">
        <v>8</v>
      </c>
      <c r="AB1714">
        <v>17</v>
      </c>
      <c r="AC1714">
        <v>0</v>
      </c>
      <c r="AD1714">
        <v>255751236</v>
      </c>
      <c r="AE1714">
        <v>193888.26</v>
      </c>
      <c r="AF1714">
        <v>255617921</v>
      </c>
      <c r="AG1714">
        <v>255617921</v>
      </c>
      <c r="AH1714">
        <v>-2.846E-3</v>
      </c>
      <c r="AI1714">
        <v>-2.846E-3</v>
      </c>
    </row>
    <row r="1715" spans="1:35" x14ac:dyDescent="0.35">
      <c r="A1715" t="s">
        <v>3</v>
      </c>
      <c r="B1715">
        <v>6000</v>
      </c>
      <c r="C1715">
        <v>7</v>
      </c>
      <c r="D1715">
        <v>14</v>
      </c>
      <c r="E1715">
        <v>0</v>
      </c>
      <c r="F1715">
        <v>401898561</v>
      </c>
      <c r="G1715">
        <v>421322.52</v>
      </c>
      <c r="H1715">
        <v>400742782.68000001</v>
      </c>
      <c r="I1715">
        <v>401477061.64999998</v>
      </c>
      <c r="J1715">
        <v>2.1711000000000001E-2</v>
      </c>
      <c r="K1715">
        <v>5.0000000000000004E-6</v>
      </c>
      <c r="M1715" t="s">
        <v>1</v>
      </c>
      <c r="N1715">
        <v>7750</v>
      </c>
      <c r="O1715">
        <v>7</v>
      </c>
      <c r="P1715">
        <v>506</v>
      </c>
      <c r="Q1715">
        <v>0</v>
      </c>
      <c r="R1715">
        <v>14906531257</v>
      </c>
      <c r="S1715">
        <v>11157946.93</v>
      </c>
      <c r="T1715">
        <v>8465665173.0200005</v>
      </c>
      <c r="U1715">
        <v>14803739850.98</v>
      </c>
      <c r="V1715">
        <v>0.99885599999999997</v>
      </c>
      <c r="W1715">
        <v>7.1322999999999998E-2</v>
      </c>
      <c r="Y1715" t="s">
        <v>3</v>
      </c>
      <c r="Z1715">
        <v>7000</v>
      </c>
      <c r="AA1715">
        <v>8</v>
      </c>
      <c r="AB1715">
        <v>8</v>
      </c>
      <c r="AC1715">
        <v>0</v>
      </c>
      <c r="AD1715">
        <v>124705535</v>
      </c>
      <c r="AE1715">
        <v>110167.56</v>
      </c>
      <c r="AF1715">
        <v>124600412</v>
      </c>
      <c r="AG1715">
        <v>124600412</v>
      </c>
      <c r="AH1715">
        <v>-4.86E-4</v>
      </c>
      <c r="AI1715">
        <v>-4.86E-4</v>
      </c>
    </row>
    <row r="1716" spans="1:35" x14ac:dyDescent="0.35">
      <c r="A1716" t="s">
        <v>2</v>
      </c>
      <c r="B1716">
        <v>7500</v>
      </c>
      <c r="C1716">
        <v>8</v>
      </c>
      <c r="D1716">
        <v>133</v>
      </c>
      <c r="E1716">
        <v>0</v>
      </c>
      <c r="F1716">
        <v>1857171912</v>
      </c>
      <c r="G1716">
        <v>1476524.64</v>
      </c>
      <c r="H1716">
        <v>1833629491.1199999</v>
      </c>
      <c r="I1716">
        <v>1842578869.01</v>
      </c>
      <c r="J1716">
        <v>0.13361999999999999</v>
      </c>
      <c r="K1716">
        <v>8.1535999999999997E-2</v>
      </c>
      <c r="M1716" t="s">
        <v>0</v>
      </c>
      <c r="N1716">
        <v>8250</v>
      </c>
      <c r="O1716">
        <v>6</v>
      </c>
      <c r="P1716">
        <v>85</v>
      </c>
      <c r="Q1716">
        <v>0</v>
      </c>
      <c r="R1716">
        <v>2634281300</v>
      </c>
      <c r="S1716">
        <v>1772154.74</v>
      </c>
      <c r="T1716">
        <v>2535957935.3200002</v>
      </c>
      <c r="U1716">
        <v>2622760710.4499998</v>
      </c>
      <c r="V1716">
        <v>0.361149</v>
      </c>
      <c r="W1716">
        <v>4.3513999999999997E-2</v>
      </c>
      <c r="Y1716" t="s">
        <v>2</v>
      </c>
      <c r="Z1716">
        <v>7750</v>
      </c>
      <c r="AA1716">
        <v>7</v>
      </c>
      <c r="AB1716">
        <v>12</v>
      </c>
      <c r="AC1716">
        <v>0</v>
      </c>
      <c r="AD1716">
        <v>153904288</v>
      </c>
      <c r="AE1716">
        <v>116624.1</v>
      </c>
      <c r="AF1716">
        <v>153886191</v>
      </c>
      <c r="AG1716">
        <v>153886191</v>
      </c>
      <c r="AH1716">
        <v>-7.7089999999999997E-3</v>
      </c>
      <c r="AI1716">
        <v>-7.7089999999999997E-3</v>
      </c>
    </row>
    <row r="1717" spans="1:35" x14ac:dyDescent="0.35">
      <c r="A1717" t="s">
        <v>3</v>
      </c>
      <c r="B1717">
        <v>5750</v>
      </c>
      <c r="C1717">
        <v>8</v>
      </c>
      <c r="D1717">
        <v>9</v>
      </c>
      <c r="E1717">
        <v>0</v>
      </c>
      <c r="F1717">
        <v>226447605</v>
      </c>
      <c r="G1717">
        <v>249143.6</v>
      </c>
      <c r="H1717">
        <v>225933514.88</v>
      </c>
      <c r="I1717">
        <v>226198460.19999999</v>
      </c>
      <c r="J1717">
        <v>1.3950000000000001E-2</v>
      </c>
      <c r="K1717">
        <v>0</v>
      </c>
      <c r="M1717" t="s">
        <v>3</v>
      </c>
      <c r="N1717">
        <v>6250</v>
      </c>
      <c r="O1717">
        <v>7</v>
      </c>
      <c r="P1717">
        <v>17</v>
      </c>
      <c r="Q1717">
        <v>0</v>
      </c>
      <c r="R1717">
        <v>430411044</v>
      </c>
      <c r="S1717">
        <v>429343.3</v>
      </c>
      <c r="T1717">
        <v>429885483.88</v>
      </c>
      <c r="U1717">
        <v>429981695.37</v>
      </c>
      <c r="V1717">
        <v>2.679E-3</v>
      </c>
      <c r="W1717">
        <v>0</v>
      </c>
      <c r="Y1717" t="s">
        <v>2</v>
      </c>
      <c r="Z1717">
        <v>7750</v>
      </c>
      <c r="AA1717">
        <v>6</v>
      </c>
      <c r="AB1717">
        <v>10</v>
      </c>
      <c r="AC1717">
        <v>0</v>
      </c>
      <c r="AD1717">
        <v>162148408</v>
      </c>
      <c r="AE1717">
        <v>121670.54</v>
      </c>
      <c r="AF1717">
        <v>149925299</v>
      </c>
      <c r="AG1717">
        <v>162016161.81999999</v>
      </c>
      <c r="AH1717">
        <v>0.60574700000000004</v>
      </c>
      <c r="AI1717">
        <v>7.8200000000000003E-4</v>
      </c>
    </row>
    <row r="1718" spans="1:35" x14ac:dyDescent="0.35">
      <c r="A1718" t="s">
        <v>3</v>
      </c>
      <c r="B1718">
        <v>5500</v>
      </c>
      <c r="C1718">
        <v>8</v>
      </c>
      <c r="D1718">
        <v>6</v>
      </c>
      <c r="E1718">
        <v>0</v>
      </c>
      <c r="F1718">
        <v>127112613</v>
      </c>
      <c r="G1718">
        <v>146534.12</v>
      </c>
      <c r="H1718">
        <v>126762682.91</v>
      </c>
      <c r="I1718">
        <v>126966076.06999999</v>
      </c>
      <c r="J1718">
        <v>1.9033000000000001E-2</v>
      </c>
      <c r="K1718">
        <v>0</v>
      </c>
      <c r="M1718" t="s">
        <v>3</v>
      </c>
      <c r="N1718">
        <v>6000</v>
      </c>
      <c r="O1718">
        <v>7</v>
      </c>
      <c r="P1718">
        <v>8</v>
      </c>
      <c r="Q1718">
        <v>0</v>
      </c>
      <c r="R1718">
        <v>183692442</v>
      </c>
      <c r="S1718">
        <v>192495.84</v>
      </c>
      <c r="T1718">
        <v>183436440.16999999</v>
      </c>
      <c r="U1718">
        <v>183499942.13999999</v>
      </c>
      <c r="V1718">
        <v>4.1409999999999997E-3</v>
      </c>
      <c r="W1718">
        <v>0</v>
      </c>
      <c r="Y1718" t="s">
        <v>1</v>
      </c>
      <c r="Z1718">
        <v>5000</v>
      </c>
      <c r="AA1718">
        <v>8</v>
      </c>
      <c r="AB1718">
        <v>1051</v>
      </c>
      <c r="AC1718">
        <v>0</v>
      </c>
      <c r="AD1718">
        <v>38908547332</v>
      </c>
      <c r="AE1718">
        <v>49039992.159999996</v>
      </c>
      <c r="AF1718">
        <v>38853340036</v>
      </c>
      <c r="AG1718">
        <v>38853340036</v>
      </c>
      <c r="AH1718">
        <v>1.9E-3</v>
      </c>
      <c r="AI1718">
        <v>1.9E-3</v>
      </c>
    </row>
    <row r="1719" spans="1:35" x14ac:dyDescent="0.35">
      <c r="A1719" t="s">
        <v>2</v>
      </c>
      <c r="B1719">
        <v>5000</v>
      </c>
      <c r="C1719">
        <v>9</v>
      </c>
      <c r="D1719">
        <v>80</v>
      </c>
      <c r="E1719">
        <v>0</v>
      </c>
      <c r="F1719">
        <v>2151520647</v>
      </c>
      <c r="G1719">
        <v>2725929.27</v>
      </c>
      <c r="H1719">
        <v>2147575807.6799998</v>
      </c>
      <c r="I1719">
        <v>2148514083.4699998</v>
      </c>
      <c r="J1719">
        <v>6.777E-3</v>
      </c>
      <c r="K1719">
        <v>1.5640000000000001E-3</v>
      </c>
      <c r="M1719" t="s">
        <v>3</v>
      </c>
      <c r="N1719">
        <v>5750</v>
      </c>
      <c r="O1719">
        <v>7</v>
      </c>
      <c r="P1719">
        <v>6</v>
      </c>
      <c r="Q1719">
        <v>0</v>
      </c>
      <c r="R1719">
        <v>185736922</v>
      </c>
      <c r="S1719">
        <v>202416.03</v>
      </c>
      <c r="T1719">
        <v>185506661</v>
      </c>
      <c r="U1719">
        <v>185534503.38999999</v>
      </c>
      <c r="V1719">
        <v>1.7979999999999999E-3</v>
      </c>
      <c r="W1719">
        <v>0</v>
      </c>
      <c r="Y1719" t="s">
        <v>1</v>
      </c>
      <c r="Z1719">
        <v>7500</v>
      </c>
      <c r="AA1719">
        <v>7</v>
      </c>
      <c r="AB1719">
        <v>302</v>
      </c>
      <c r="AC1719">
        <v>0</v>
      </c>
      <c r="AD1719">
        <v>9620522328</v>
      </c>
      <c r="AE1719">
        <v>7601942.4199999999</v>
      </c>
      <c r="AF1719">
        <v>5080238777</v>
      </c>
      <c r="AG1719">
        <v>9612209168.5</v>
      </c>
      <c r="AH1719">
        <v>0.99952099999999999</v>
      </c>
      <c r="AI1719">
        <v>8.8699999999999998E-4</v>
      </c>
    </row>
    <row r="1720" spans="1:35" x14ac:dyDescent="0.35">
      <c r="A1720" t="s">
        <v>1</v>
      </c>
      <c r="B1720">
        <v>8250</v>
      </c>
      <c r="C1720">
        <v>10</v>
      </c>
      <c r="D1720">
        <v>2</v>
      </c>
      <c r="E1720">
        <v>0</v>
      </c>
      <c r="F1720">
        <v>48081639</v>
      </c>
      <c r="G1720">
        <v>33876.160000000003</v>
      </c>
      <c r="H1720">
        <v>44843290.600000001</v>
      </c>
      <c r="I1720">
        <v>45693777.75</v>
      </c>
      <c r="J1720">
        <v>0.56292699999999996</v>
      </c>
      <c r="K1720">
        <v>0.45248500000000003</v>
      </c>
      <c r="M1720" t="s">
        <v>0</v>
      </c>
      <c r="N1720">
        <v>8000</v>
      </c>
      <c r="O1720">
        <v>6</v>
      </c>
      <c r="P1720">
        <v>88</v>
      </c>
      <c r="Q1720">
        <v>0</v>
      </c>
      <c r="R1720">
        <v>2742124794</v>
      </c>
      <c r="S1720">
        <v>1955810.89</v>
      </c>
      <c r="T1720">
        <v>2648772947.73</v>
      </c>
      <c r="U1720">
        <v>2736069149.4200001</v>
      </c>
      <c r="V1720">
        <v>0.33421099999999998</v>
      </c>
      <c r="W1720">
        <v>1.7794999999999998E-2</v>
      </c>
      <c r="Y1720" t="s">
        <v>1</v>
      </c>
      <c r="Z1720">
        <v>4750</v>
      </c>
      <c r="AA1720">
        <v>5</v>
      </c>
      <c r="AB1720">
        <v>2420</v>
      </c>
      <c r="AC1720">
        <v>0</v>
      </c>
      <c r="AD1720">
        <v>98276400000</v>
      </c>
      <c r="AE1720">
        <v>125428282.2</v>
      </c>
      <c r="AF1720">
        <v>98159448786</v>
      </c>
      <c r="AG1720">
        <v>98190709406.220001</v>
      </c>
      <c r="AH1720">
        <v>-1.036E-3</v>
      </c>
      <c r="AI1720">
        <v>-4.8630000000000001E-3</v>
      </c>
    </row>
    <row r="1721" spans="1:35" x14ac:dyDescent="0.35">
      <c r="A1721" t="s">
        <v>0</v>
      </c>
      <c r="B1721">
        <v>8000</v>
      </c>
      <c r="C1721">
        <v>8</v>
      </c>
      <c r="D1721">
        <v>85</v>
      </c>
      <c r="E1721">
        <v>0</v>
      </c>
      <c r="F1721">
        <v>2754149429</v>
      </c>
      <c r="G1721">
        <v>1997523.5</v>
      </c>
      <c r="H1721">
        <v>2669423990.0599999</v>
      </c>
      <c r="I1721">
        <v>2735418118.1900001</v>
      </c>
      <c r="J1721">
        <v>0.30647999999999997</v>
      </c>
      <c r="K1721">
        <v>7.0522000000000001E-2</v>
      </c>
      <c r="M1721" t="s">
        <v>3</v>
      </c>
      <c r="N1721">
        <v>5000</v>
      </c>
      <c r="O1721">
        <v>10</v>
      </c>
      <c r="P1721">
        <v>2</v>
      </c>
      <c r="Q1721">
        <v>0</v>
      </c>
      <c r="R1721">
        <v>60183903</v>
      </c>
      <c r="S1721">
        <v>76975.899999999994</v>
      </c>
      <c r="T1721">
        <v>60081111.149999999</v>
      </c>
      <c r="U1721">
        <v>60106922.549999997</v>
      </c>
      <c r="V1721">
        <v>5.1349999999999998E-3</v>
      </c>
      <c r="W1721">
        <v>9.9999999999999995E-7</v>
      </c>
      <c r="Y1721" t="s">
        <v>3</v>
      </c>
      <c r="Z1721">
        <v>7250</v>
      </c>
      <c r="AA1721">
        <v>5</v>
      </c>
      <c r="AB1721">
        <v>11</v>
      </c>
      <c r="AC1721">
        <v>0</v>
      </c>
      <c r="AD1721">
        <v>283300000</v>
      </c>
      <c r="AE1721">
        <v>228977.11</v>
      </c>
      <c r="AF1721">
        <v>283212625</v>
      </c>
      <c r="AG1721">
        <v>283212625</v>
      </c>
      <c r="AH1721">
        <v>-6.0140000000000002E-3</v>
      </c>
      <c r="AI1721">
        <v>-6.0140000000000002E-3</v>
      </c>
    </row>
    <row r="1722" spans="1:35" x14ac:dyDescent="0.35">
      <c r="A1722" t="s">
        <v>2</v>
      </c>
      <c r="B1722">
        <v>7500</v>
      </c>
      <c r="C1722">
        <v>10</v>
      </c>
      <c r="D1722">
        <v>19</v>
      </c>
      <c r="E1722">
        <v>0</v>
      </c>
      <c r="F1722">
        <v>273140477</v>
      </c>
      <c r="G1722">
        <v>221465.94</v>
      </c>
      <c r="H1722">
        <v>268044577.71000001</v>
      </c>
      <c r="I1722">
        <v>269657914.92000002</v>
      </c>
      <c r="J1722">
        <v>0.19433300000000001</v>
      </c>
      <c r="K1722">
        <v>0.13422799999999999</v>
      </c>
      <c r="M1722" t="s">
        <v>3</v>
      </c>
      <c r="N1722">
        <v>5000</v>
      </c>
      <c r="O1722">
        <v>9</v>
      </c>
      <c r="P1722">
        <v>3</v>
      </c>
      <c r="Q1722">
        <v>0</v>
      </c>
      <c r="R1722">
        <v>62743758</v>
      </c>
      <c r="S1722">
        <v>79760.36</v>
      </c>
      <c r="T1722">
        <v>62605592.850000001</v>
      </c>
      <c r="U1722">
        <v>62663994.899999999</v>
      </c>
      <c r="V1722">
        <v>1.1113E-2</v>
      </c>
      <c r="W1722">
        <v>9.9999999999999995E-7</v>
      </c>
      <c r="Y1722" t="s">
        <v>3</v>
      </c>
      <c r="Z1722">
        <v>7000</v>
      </c>
      <c r="AA1722">
        <v>6</v>
      </c>
      <c r="AB1722">
        <v>8</v>
      </c>
      <c r="AC1722">
        <v>0</v>
      </c>
      <c r="AD1722">
        <v>240479715</v>
      </c>
      <c r="AE1722">
        <v>208290.04</v>
      </c>
      <c r="AF1722">
        <v>239696276</v>
      </c>
      <c r="AG1722">
        <v>239696276</v>
      </c>
      <c r="AH1722">
        <v>2.8326E-2</v>
      </c>
      <c r="AI1722">
        <v>2.8326E-2</v>
      </c>
    </row>
    <row r="1723" spans="1:35" x14ac:dyDescent="0.35">
      <c r="A1723" t="s">
        <v>1</v>
      </c>
      <c r="B1723">
        <v>8000</v>
      </c>
      <c r="C1723">
        <v>10</v>
      </c>
      <c r="D1723">
        <v>1</v>
      </c>
      <c r="E1723">
        <v>0</v>
      </c>
      <c r="F1723">
        <v>25520091</v>
      </c>
      <c r="G1723">
        <v>18463.46</v>
      </c>
      <c r="H1723">
        <v>23317145.370000001</v>
      </c>
      <c r="I1723">
        <v>23404237.23</v>
      </c>
      <c r="J1723">
        <v>0.65830200000000005</v>
      </c>
      <c r="K1723">
        <v>0.64268000000000003</v>
      </c>
      <c r="M1723" t="s">
        <v>2</v>
      </c>
      <c r="N1723">
        <v>7750</v>
      </c>
      <c r="O1723">
        <v>7</v>
      </c>
      <c r="P1723">
        <v>21</v>
      </c>
      <c r="Q1723">
        <v>0</v>
      </c>
      <c r="R1723">
        <v>304430387</v>
      </c>
      <c r="S1723">
        <v>229493.03</v>
      </c>
      <c r="T1723">
        <v>301701183.11000001</v>
      </c>
      <c r="U1723">
        <v>304148118.17000002</v>
      </c>
      <c r="V1723">
        <v>9.4202999999999995E-2</v>
      </c>
      <c r="W1723">
        <v>2.078E-3</v>
      </c>
      <c r="Y1723" t="s">
        <v>1</v>
      </c>
      <c r="Z1723">
        <v>7500</v>
      </c>
      <c r="AA1723">
        <v>6</v>
      </c>
      <c r="AB1723">
        <v>228</v>
      </c>
      <c r="AC1723">
        <v>0</v>
      </c>
      <c r="AD1723">
        <v>7845015154</v>
      </c>
      <c r="AE1723">
        <v>6242071.5899999999</v>
      </c>
      <c r="AF1723">
        <v>7510410407</v>
      </c>
      <c r="AG1723">
        <v>7791436331.1800003</v>
      </c>
      <c r="AH1723">
        <v>0.40135700000000002</v>
      </c>
      <c r="AI1723">
        <v>7.0053000000000004E-2</v>
      </c>
    </row>
    <row r="1724" spans="1:35" x14ac:dyDescent="0.35">
      <c r="A1724" t="s">
        <v>1</v>
      </c>
      <c r="B1724">
        <v>8250</v>
      </c>
      <c r="C1724">
        <v>9</v>
      </c>
      <c r="D1724">
        <v>2</v>
      </c>
      <c r="E1724">
        <v>0</v>
      </c>
      <c r="F1724">
        <v>57813721</v>
      </c>
      <c r="G1724">
        <v>40430.71</v>
      </c>
      <c r="H1724">
        <v>53496467.130000003</v>
      </c>
      <c r="I1724">
        <v>57773157.170000002</v>
      </c>
      <c r="J1724">
        <v>0.60238100000000006</v>
      </c>
      <c r="K1724">
        <v>2.8E-5</v>
      </c>
      <c r="M1724" t="s">
        <v>1</v>
      </c>
      <c r="N1724">
        <v>7500</v>
      </c>
      <c r="O1724">
        <v>6</v>
      </c>
      <c r="P1724">
        <v>603</v>
      </c>
      <c r="Q1724">
        <v>0</v>
      </c>
      <c r="R1724">
        <v>18006254770</v>
      </c>
      <c r="S1724">
        <v>14115390.880000001</v>
      </c>
      <c r="T1724">
        <v>17483313099.970001</v>
      </c>
      <c r="U1724">
        <v>17981961209.860001</v>
      </c>
      <c r="V1724">
        <v>0.29105900000000001</v>
      </c>
      <c r="W1724">
        <v>6.7619999999999998E-3</v>
      </c>
      <c r="Y1724" t="s">
        <v>2</v>
      </c>
      <c r="Z1724">
        <v>7500</v>
      </c>
      <c r="AA1724">
        <v>6</v>
      </c>
      <c r="AB1724">
        <v>81</v>
      </c>
      <c r="AC1724">
        <v>0</v>
      </c>
      <c r="AD1724">
        <v>1206478579</v>
      </c>
      <c r="AE1724">
        <v>950527.72</v>
      </c>
      <c r="AF1724">
        <v>1205879350</v>
      </c>
      <c r="AG1724">
        <v>1205879350</v>
      </c>
      <c r="AH1724">
        <v>-3.5000000000000001E-3</v>
      </c>
      <c r="AI1724">
        <v>-3.5000000000000001E-3</v>
      </c>
    </row>
    <row r="1725" spans="1:35" x14ac:dyDescent="0.35">
      <c r="A1725" t="s">
        <v>3</v>
      </c>
      <c r="B1725">
        <v>6000</v>
      </c>
      <c r="C1725">
        <v>6</v>
      </c>
      <c r="D1725">
        <v>10</v>
      </c>
      <c r="E1725">
        <v>0</v>
      </c>
      <c r="F1725">
        <v>309157980</v>
      </c>
      <c r="G1725">
        <v>322342.37</v>
      </c>
      <c r="H1725">
        <v>308738971.88</v>
      </c>
      <c r="I1725">
        <v>308835636.54000002</v>
      </c>
      <c r="J1725">
        <v>3.7460000000000002E-3</v>
      </c>
      <c r="K1725">
        <v>0</v>
      </c>
      <c r="M1725" t="s">
        <v>3</v>
      </c>
      <c r="N1725">
        <v>7000</v>
      </c>
      <c r="O1725">
        <v>5</v>
      </c>
      <c r="P1725">
        <v>23</v>
      </c>
      <c r="Q1725">
        <v>0</v>
      </c>
      <c r="R1725">
        <v>675700000</v>
      </c>
      <c r="S1725">
        <v>574069.13</v>
      </c>
      <c r="T1725">
        <v>675055971.48000002</v>
      </c>
      <c r="U1725">
        <v>675113092.41999996</v>
      </c>
      <c r="V1725">
        <v>1.242E-3</v>
      </c>
      <c r="W1725">
        <v>2.2800000000000001E-4</v>
      </c>
      <c r="Y1725" t="s">
        <v>3</v>
      </c>
      <c r="Z1725">
        <v>6000</v>
      </c>
      <c r="AA1725">
        <v>6</v>
      </c>
      <c r="AB1725">
        <v>14</v>
      </c>
      <c r="AC1725">
        <v>0</v>
      </c>
      <c r="AD1725">
        <v>403023163</v>
      </c>
      <c r="AE1725">
        <v>419980.78</v>
      </c>
      <c r="AF1725">
        <v>401898561</v>
      </c>
      <c r="AG1725">
        <v>401898561</v>
      </c>
      <c r="AH1725">
        <v>2.078E-2</v>
      </c>
      <c r="AI1725">
        <v>2.078E-2</v>
      </c>
    </row>
    <row r="1726" spans="1:35" x14ac:dyDescent="0.35">
      <c r="A1726" t="s">
        <v>3</v>
      </c>
      <c r="B1726">
        <v>6500</v>
      </c>
      <c r="C1726">
        <v>7</v>
      </c>
      <c r="D1726">
        <v>41</v>
      </c>
      <c r="E1726">
        <v>0</v>
      </c>
      <c r="F1726">
        <v>1293610755</v>
      </c>
      <c r="G1726">
        <v>1237543.83</v>
      </c>
      <c r="H1726">
        <v>1290915672.8800001</v>
      </c>
      <c r="I1726">
        <v>1292373202.0999999</v>
      </c>
      <c r="J1726">
        <v>1.3436999999999999E-2</v>
      </c>
      <c r="K1726">
        <v>0</v>
      </c>
      <c r="M1726" t="s">
        <v>0</v>
      </c>
      <c r="N1726">
        <v>4250</v>
      </c>
      <c r="O1726">
        <v>5</v>
      </c>
      <c r="P1726">
        <v>2089</v>
      </c>
      <c r="Q1726">
        <v>0</v>
      </c>
      <c r="R1726">
        <v>67917300000</v>
      </c>
      <c r="S1726">
        <v>95160247.340000004</v>
      </c>
      <c r="T1726">
        <v>67811852135.129997</v>
      </c>
      <c r="U1726">
        <v>67820890352.43</v>
      </c>
      <c r="V1726">
        <v>1.8159999999999999E-3</v>
      </c>
      <c r="W1726">
        <v>2.2100000000000001E-4</v>
      </c>
      <c r="Y1726" t="s">
        <v>2</v>
      </c>
      <c r="Z1726">
        <v>7500</v>
      </c>
      <c r="AA1726">
        <v>7</v>
      </c>
      <c r="AB1726">
        <v>135</v>
      </c>
      <c r="AC1726">
        <v>0</v>
      </c>
      <c r="AD1726">
        <v>1885038323</v>
      </c>
      <c r="AE1726">
        <v>1488317.68</v>
      </c>
      <c r="AF1726">
        <v>1857171912</v>
      </c>
      <c r="AG1726">
        <v>1857171912</v>
      </c>
      <c r="AH1726">
        <v>0.155581</v>
      </c>
      <c r="AI1726">
        <v>0.155581</v>
      </c>
    </row>
    <row r="1727" spans="1:35" x14ac:dyDescent="0.35">
      <c r="A1727" t="s">
        <v>3</v>
      </c>
      <c r="B1727">
        <v>6500</v>
      </c>
      <c r="C1727">
        <v>8</v>
      </c>
      <c r="D1727">
        <v>29</v>
      </c>
      <c r="E1727">
        <v>0</v>
      </c>
      <c r="F1727">
        <v>829527704</v>
      </c>
      <c r="G1727">
        <v>801349.56</v>
      </c>
      <c r="H1727">
        <v>827066154.08000004</v>
      </c>
      <c r="I1727">
        <v>828726345.09000003</v>
      </c>
      <c r="J1727">
        <v>2.3754000000000001E-2</v>
      </c>
      <c r="K1727">
        <v>0</v>
      </c>
      <c r="M1727" t="s">
        <v>1</v>
      </c>
      <c r="N1727">
        <v>4250</v>
      </c>
      <c r="O1727">
        <v>5</v>
      </c>
      <c r="P1727">
        <v>829</v>
      </c>
      <c r="Q1727">
        <v>0</v>
      </c>
      <c r="R1727">
        <v>31365700000</v>
      </c>
      <c r="S1727">
        <v>43936898.539999999</v>
      </c>
      <c r="T1727">
        <v>31289696837.689999</v>
      </c>
      <c r="U1727">
        <v>31316758295.080002</v>
      </c>
      <c r="V1727">
        <v>1.2199E-2</v>
      </c>
      <c r="W1727">
        <v>1.913E-3</v>
      </c>
      <c r="Y1727" t="s">
        <v>3</v>
      </c>
      <c r="Z1727">
        <v>5750</v>
      </c>
      <c r="AA1727">
        <v>7</v>
      </c>
      <c r="AB1727">
        <v>9</v>
      </c>
      <c r="AC1727">
        <v>0</v>
      </c>
      <c r="AD1727">
        <v>226814130</v>
      </c>
      <c r="AE1727">
        <v>248093.5</v>
      </c>
      <c r="AF1727">
        <v>226447605</v>
      </c>
      <c r="AG1727">
        <v>226447605</v>
      </c>
      <c r="AH1727">
        <v>6.2480000000000001E-3</v>
      </c>
      <c r="AI1727">
        <v>6.2480000000000001E-3</v>
      </c>
    </row>
    <row r="1728" spans="1:35" x14ac:dyDescent="0.35">
      <c r="A1728" t="s">
        <v>0</v>
      </c>
      <c r="B1728">
        <v>8250</v>
      </c>
      <c r="C1728">
        <v>8</v>
      </c>
      <c r="D1728">
        <v>81</v>
      </c>
      <c r="E1728">
        <v>0</v>
      </c>
      <c r="F1728">
        <v>2496552875</v>
      </c>
      <c r="G1728">
        <v>1707181.91</v>
      </c>
      <c r="H1728">
        <v>2427268463.2800002</v>
      </c>
      <c r="I1728">
        <v>2487859122.73</v>
      </c>
      <c r="J1728">
        <v>0.28056999999999999</v>
      </c>
      <c r="K1728">
        <v>3.3070000000000002E-2</v>
      </c>
      <c r="M1728" t="s">
        <v>2</v>
      </c>
      <c r="N1728">
        <v>7250</v>
      </c>
      <c r="O1728">
        <v>5</v>
      </c>
      <c r="P1728">
        <v>1227</v>
      </c>
      <c r="Q1728">
        <v>0</v>
      </c>
      <c r="R1728">
        <v>18434200000</v>
      </c>
      <c r="S1728">
        <v>14887034.23</v>
      </c>
      <c r="T1728">
        <v>18400330926.27</v>
      </c>
      <c r="U1728">
        <v>18415419090.080002</v>
      </c>
      <c r="V1728">
        <v>1.2286999999999999E-2</v>
      </c>
      <c r="W1728">
        <v>2.532E-3</v>
      </c>
      <c r="Y1728" t="s">
        <v>3</v>
      </c>
      <c r="Z1728">
        <v>5500</v>
      </c>
      <c r="AA1728">
        <v>7</v>
      </c>
      <c r="AB1728">
        <v>6</v>
      </c>
      <c r="AC1728">
        <v>0</v>
      </c>
      <c r="AD1728">
        <v>127244219</v>
      </c>
      <c r="AE1728">
        <v>145853.15</v>
      </c>
      <c r="AF1728">
        <v>127112613</v>
      </c>
      <c r="AG1728">
        <v>127112613</v>
      </c>
      <c r="AH1728">
        <v>-1.3439999999999999E-3</v>
      </c>
      <c r="AI1728">
        <v>-1.3439999999999999E-3</v>
      </c>
    </row>
    <row r="1729" spans="1:35" x14ac:dyDescent="0.35">
      <c r="A1729" t="s">
        <v>0</v>
      </c>
      <c r="B1729">
        <v>8250</v>
      </c>
      <c r="C1729">
        <v>7</v>
      </c>
      <c r="D1729">
        <v>98</v>
      </c>
      <c r="E1729">
        <v>0</v>
      </c>
      <c r="F1729">
        <v>2906555093</v>
      </c>
      <c r="G1729">
        <v>1976919.47</v>
      </c>
      <c r="H1729">
        <v>2785510477.4099998</v>
      </c>
      <c r="I1729">
        <v>2898039547.8000002</v>
      </c>
      <c r="J1729">
        <v>0.39464199999999999</v>
      </c>
      <c r="K1729">
        <v>2.6664E-2</v>
      </c>
      <c r="M1729" t="s">
        <v>1</v>
      </c>
      <c r="N1729">
        <v>7750</v>
      </c>
      <c r="O1729">
        <v>6</v>
      </c>
      <c r="P1729">
        <v>618</v>
      </c>
      <c r="Q1729">
        <v>0</v>
      </c>
      <c r="R1729">
        <v>19427909023</v>
      </c>
      <c r="S1729">
        <v>14468075.77</v>
      </c>
      <c r="T1729">
        <v>18815076619.490002</v>
      </c>
      <c r="U1729">
        <v>19346437772.330002</v>
      </c>
      <c r="V1729">
        <v>0.31298700000000002</v>
      </c>
      <c r="W1729">
        <v>4.061E-2</v>
      </c>
      <c r="Y1729" t="s">
        <v>2</v>
      </c>
      <c r="Z1729">
        <v>5000</v>
      </c>
      <c r="AA1729">
        <v>8</v>
      </c>
      <c r="AB1729">
        <v>80</v>
      </c>
      <c r="AC1729">
        <v>0</v>
      </c>
      <c r="AD1729">
        <v>2154536205</v>
      </c>
      <c r="AE1729">
        <v>2715054.46</v>
      </c>
      <c r="AF1729">
        <v>2151520647</v>
      </c>
      <c r="AG1729">
        <v>2151520647</v>
      </c>
      <c r="AH1729">
        <v>1.6720000000000001E-3</v>
      </c>
      <c r="AI1729">
        <v>1.6720000000000001E-3</v>
      </c>
    </row>
    <row r="1730" spans="1:35" x14ac:dyDescent="0.35">
      <c r="A1730" t="s">
        <v>3</v>
      </c>
      <c r="B1730">
        <v>5750</v>
      </c>
      <c r="C1730">
        <v>9</v>
      </c>
      <c r="D1730">
        <v>7</v>
      </c>
      <c r="E1730">
        <v>0</v>
      </c>
      <c r="F1730">
        <v>211679300</v>
      </c>
      <c r="G1730">
        <v>234776.81</v>
      </c>
      <c r="H1730">
        <v>211149675.69</v>
      </c>
      <c r="I1730">
        <v>211444522.13999999</v>
      </c>
      <c r="J1730">
        <v>1.6587000000000001E-2</v>
      </c>
      <c r="K1730">
        <v>0</v>
      </c>
      <c r="M1730" t="s">
        <v>3</v>
      </c>
      <c r="N1730">
        <v>5500</v>
      </c>
      <c r="O1730">
        <v>7</v>
      </c>
      <c r="P1730">
        <v>2</v>
      </c>
      <c r="Q1730">
        <v>0</v>
      </c>
      <c r="R1730">
        <v>43262819</v>
      </c>
      <c r="S1730">
        <v>49858.07</v>
      </c>
      <c r="T1730">
        <v>43204311.340000004</v>
      </c>
      <c r="U1730">
        <v>43212960.619999997</v>
      </c>
      <c r="V1730">
        <v>2.3969999999999998E-3</v>
      </c>
      <c r="W1730">
        <v>0</v>
      </c>
      <c r="Y1730" t="s">
        <v>1</v>
      </c>
      <c r="Z1730">
        <v>8250</v>
      </c>
      <c r="AA1730">
        <v>9</v>
      </c>
      <c r="AB1730">
        <v>2</v>
      </c>
      <c r="AC1730">
        <v>0</v>
      </c>
      <c r="AD1730">
        <v>48096345</v>
      </c>
      <c r="AE1730">
        <v>33635.08</v>
      </c>
      <c r="AF1730">
        <v>48081639</v>
      </c>
      <c r="AG1730">
        <v>48081639</v>
      </c>
      <c r="AH1730">
        <v>-4.7330000000000002E-3</v>
      </c>
      <c r="AI1730">
        <v>-4.7330000000000002E-3</v>
      </c>
    </row>
    <row r="1731" spans="1:35" x14ac:dyDescent="0.35">
      <c r="A1731" t="s">
        <v>2</v>
      </c>
      <c r="B1731">
        <v>5500</v>
      </c>
      <c r="C1731">
        <v>6</v>
      </c>
      <c r="D1731">
        <v>38</v>
      </c>
      <c r="E1731">
        <v>0</v>
      </c>
      <c r="F1731">
        <v>968288874</v>
      </c>
      <c r="G1731">
        <v>1103818.1599999999</v>
      </c>
      <c r="H1731">
        <v>966633545.95000005</v>
      </c>
      <c r="I1731">
        <v>967175967.49000001</v>
      </c>
      <c r="J1731">
        <v>6.8129999999999996E-3</v>
      </c>
      <c r="K1731">
        <v>1.13E-4</v>
      </c>
      <c r="M1731" t="s">
        <v>3</v>
      </c>
      <c r="N1731">
        <v>7000</v>
      </c>
      <c r="O1731">
        <v>8</v>
      </c>
      <c r="P1731">
        <v>12</v>
      </c>
      <c r="Q1731">
        <v>0</v>
      </c>
      <c r="R1731">
        <v>296267001</v>
      </c>
      <c r="S1731">
        <v>260950.39</v>
      </c>
      <c r="T1731">
        <v>295749671.44</v>
      </c>
      <c r="U1731">
        <v>295919512.11000001</v>
      </c>
      <c r="V1731">
        <v>1.0335E-2</v>
      </c>
      <c r="W1731">
        <v>3.5000000000000001E-3</v>
      </c>
      <c r="Y1731" t="s">
        <v>0</v>
      </c>
      <c r="Z1731">
        <v>8000</v>
      </c>
      <c r="AA1731">
        <v>7</v>
      </c>
      <c r="AB1731">
        <v>85</v>
      </c>
      <c r="AC1731">
        <v>0</v>
      </c>
      <c r="AD1731">
        <v>2756412712</v>
      </c>
      <c r="AE1731">
        <v>1984655.06</v>
      </c>
      <c r="AF1731">
        <v>2754149429</v>
      </c>
      <c r="AG1731">
        <v>2754149429</v>
      </c>
      <c r="AH1731">
        <v>1.212E-3</v>
      </c>
      <c r="AI1731">
        <v>1.212E-3</v>
      </c>
    </row>
    <row r="1732" spans="1:35" x14ac:dyDescent="0.35">
      <c r="A1732" t="s">
        <v>2</v>
      </c>
      <c r="B1732">
        <v>7750</v>
      </c>
      <c r="C1732">
        <v>6</v>
      </c>
      <c r="D1732">
        <v>10</v>
      </c>
      <c r="E1732">
        <v>0</v>
      </c>
      <c r="F1732">
        <v>179020859</v>
      </c>
      <c r="G1732">
        <v>134195.32</v>
      </c>
      <c r="H1732">
        <v>178453955.36000001</v>
      </c>
      <c r="I1732">
        <v>178883196.19999999</v>
      </c>
      <c r="J1732">
        <v>2.8622000000000002E-2</v>
      </c>
      <c r="K1732">
        <v>2.32E-4</v>
      </c>
      <c r="M1732" t="s">
        <v>3</v>
      </c>
      <c r="N1732">
        <v>5500</v>
      </c>
      <c r="O1732">
        <v>9</v>
      </c>
      <c r="P1732">
        <v>3</v>
      </c>
      <c r="Q1732">
        <v>0</v>
      </c>
      <c r="R1732">
        <v>112599358</v>
      </c>
      <c r="S1732">
        <v>130839.85</v>
      </c>
      <c r="T1732">
        <v>112355282.27</v>
      </c>
      <c r="U1732">
        <v>112468514.48</v>
      </c>
      <c r="V1732">
        <v>1.2001E-2</v>
      </c>
      <c r="W1732">
        <v>0</v>
      </c>
      <c r="Y1732" t="s">
        <v>2</v>
      </c>
      <c r="Z1732">
        <v>7500</v>
      </c>
      <c r="AA1732">
        <v>9</v>
      </c>
      <c r="AB1732">
        <v>19</v>
      </c>
      <c r="AC1732">
        <v>0</v>
      </c>
      <c r="AD1732">
        <v>273240088</v>
      </c>
      <c r="AE1732">
        <v>220010.95</v>
      </c>
      <c r="AF1732">
        <v>273140477</v>
      </c>
      <c r="AG1732">
        <v>273140477</v>
      </c>
      <c r="AH1732">
        <v>-5.3E-3</v>
      </c>
      <c r="AI1732">
        <v>-5.3E-3</v>
      </c>
    </row>
    <row r="1733" spans="1:35" x14ac:dyDescent="0.35">
      <c r="A1733" t="s">
        <v>0</v>
      </c>
      <c r="B1733">
        <v>8250</v>
      </c>
      <c r="C1733">
        <v>6</v>
      </c>
      <c r="D1733">
        <v>121</v>
      </c>
      <c r="E1733">
        <v>0</v>
      </c>
      <c r="F1733">
        <v>3856256548</v>
      </c>
      <c r="G1733">
        <v>2597770.52</v>
      </c>
      <c r="H1733">
        <v>3714399815.8299999</v>
      </c>
      <c r="I1733">
        <v>3843402644.5700002</v>
      </c>
      <c r="J1733">
        <v>0.35684399999999999</v>
      </c>
      <c r="K1733">
        <v>3.1453000000000002E-2</v>
      </c>
      <c r="M1733" t="s">
        <v>2</v>
      </c>
      <c r="N1733">
        <v>7500</v>
      </c>
      <c r="O1733">
        <v>6</v>
      </c>
      <c r="P1733">
        <v>59</v>
      </c>
      <c r="Q1733">
        <v>0</v>
      </c>
      <c r="R1733">
        <v>878768943</v>
      </c>
      <c r="S1733">
        <v>694256.97</v>
      </c>
      <c r="T1733">
        <v>871021741.07000005</v>
      </c>
      <c r="U1733">
        <v>873494035.09000003</v>
      </c>
      <c r="V1733">
        <v>9.2172000000000004E-2</v>
      </c>
      <c r="W1733">
        <v>6.0788000000000002E-2</v>
      </c>
      <c r="Y1733" t="s">
        <v>1</v>
      </c>
      <c r="Z1733">
        <v>8000</v>
      </c>
      <c r="AA1733">
        <v>9</v>
      </c>
      <c r="AB1733">
        <v>2</v>
      </c>
      <c r="AC1733">
        <v>0</v>
      </c>
      <c r="AD1733">
        <v>55780234</v>
      </c>
      <c r="AE1733">
        <v>40017.85</v>
      </c>
      <c r="AF1733">
        <v>25520091</v>
      </c>
      <c r="AG1733">
        <v>55758544.32</v>
      </c>
      <c r="AH1733">
        <v>0.99991399999999997</v>
      </c>
      <c r="AI1733">
        <v>-3.9500000000000004E-3</v>
      </c>
    </row>
    <row r="1734" spans="1:35" x14ac:dyDescent="0.35">
      <c r="A1734" t="s">
        <v>0</v>
      </c>
      <c r="B1734">
        <v>9000</v>
      </c>
      <c r="C1734">
        <v>6</v>
      </c>
      <c r="D1734">
        <v>2</v>
      </c>
      <c r="E1734">
        <v>0</v>
      </c>
      <c r="F1734">
        <v>54867663</v>
      </c>
      <c r="G1734">
        <v>33090.25</v>
      </c>
      <c r="H1734">
        <v>54434825.909999996</v>
      </c>
      <c r="I1734">
        <v>54833859.299999997</v>
      </c>
      <c r="J1734">
        <v>8.4007999999999999E-2</v>
      </c>
      <c r="K1734">
        <v>1.56E-4</v>
      </c>
      <c r="M1734" t="s">
        <v>2</v>
      </c>
      <c r="N1734">
        <v>7750</v>
      </c>
      <c r="O1734">
        <v>6</v>
      </c>
      <c r="P1734">
        <v>17</v>
      </c>
      <c r="Q1734">
        <v>0</v>
      </c>
      <c r="R1734">
        <v>255959979</v>
      </c>
      <c r="S1734">
        <v>191301.12</v>
      </c>
      <c r="T1734">
        <v>254587958.68000001</v>
      </c>
      <c r="U1734">
        <v>255602867.08000001</v>
      </c>
      <c r="V1734">
        <v>5.3971999999999999E-2</v>
      </c>
      <c r="W1734">
        <v>7.7460000000000003E-3</v>
      </c>
      <c r="Y1734" t="s">
        <v>1</v>
      </c>
      <c r="Z1734">
        <v>8250</v>
      </c>
      <c r="AA1734">
        <v>8</v>
      </c>
      <c r="AB1734">
        <v>2</v>
      </c>
      <c r="AC1734">
        <v>0</v>
      </c>
      <c r="AD1734">
        <v>57854134</v>
      </c>
      <c r="AE1734">
        <v>40158.980000000003</v>
      </c>
      <c r="AF1734">
        <v>57813721</v>
      </c>
      <c r="AG1734">
        <v>57813721</v>
      </c>
      <c r="AH1734">
        <v>5.3000000000000001E-5</v>
      </c>
      <c r="AI1734">
        <v>5.3000000000000001E-5</v>
      </c>
    </row>
    <row r="1735" spans="1:35" x14ac:dyDescent="0.35">
      <c r="A1735" t="s">
        <v>0</v>
      </c>
      <c r="B1735">
        <v>8500</v>
      </c>
      <c r="C1735">
        <v>6</v>
      </c>
      <c r="D1735">
        <v>3</v>
      </c>
      <c r="E1735">
        <v>0</v>
      </c>
      <c r="F1735">
        <v>101032081</v>
      </c>
      <c r="G1735">
        <v>65021.94</v>
      </c>
      <c r="H1735">
        <v>99324661.079999998</v>
      </c>
      <c r="I1735">
        <v>100964635.61</v>
      </c>
      <c r="J1735">
        <v>0.17854400000000001</v>
      </c>
      <c r="K1735">
        <v>2.8800000000000001E-4</v>
      </c>
      <c r="M1735" t="s">
        <v>3</v>
      </c>
      <c r="N1735">
        <v>7000</v>
      </c>
      <c r="O1735">
        <v>6</v>
      </c>
      <c r="P1735">
        <v>8</v>
      </c>
      <c r="Q1735">
        <v>0</v>
      </c>
      <c r="R1735">
        <v>124887568</v>
      </c>
      <c r="S1735">
        <v>108881.99</v>
      </c>
      <c r="T1735">
        <v>124754737.89</v>
      </c>
      <c r="U1735">
        <v>124778078.48999999</v>
      </c>
      <c r="V1735">
        <v>2.2989999999999998E-3</v>
      </c>
      <c r="W1735">
        <v>5.8E-5</v>
      </c>
      <c r="Y1735" t="s">
        <v>3</v>
      </c>
      <c r="Z1735">
        <v>6500</v>
      </c>
      <c r="AA1735">
        <v>6</v>
      </c>
      <c r="AB1735">
        <v>41</v>
      </c>
      <c r="AC1735">
        <v>0</v>
      </c>
      <c r="AD1735">
        <v>1296915815</v>
      </c>
      <c r="AE1735">
        <v>1232912.8600000001</v>
      </c>
      <c r="AF1735">
        <v>1293610755</v>
      </c>
      <c r="AG1735">
        <v>1293610755</v>
      </c>
      <c r="AH1735">
        <v>1.9005000000000001E-2</v>
      </c>
      <c r="AI1735">
        <v>1.9005000000000001E-2</v>
      </c>
    </row>
    <row r="1736" spans="1:35" x14ac:dyDescent="0.35">
      <c r="A1736" t="s">
        <v>1</v>
      </c>
      <c r="B1736">
        <v>4750</v>
      </c>
      <c r="C1736">
        <v>7</v>
      </c>
      <c r="D1736">
        <v>318</v>
      </c>
      <c r="E1736">
        <v>0</v>
      </c>
      <c r="F1736">
        <v>12625484420</v>
      </c>
      <c r="G1736">
        <v>16590073.16</v>
      </c>
      <c r="H1736">
        <v>12586436293.290001</v>
      </c>
      <c r="I1736">
        <v>12606399199.09</v>
      </c>
      <c r="J1736">
        <v>2.1138000000000001E-2</v>
      </c>
      <c r="K1736">
        <v>2.369E-3</v>
      </c>
      <c r="M1736" t="s">
        <v>2</v>
      </c>
      <c r="N1736">
        <v>7750</v>
      </c>
      <c r="O1736">
        <v>5</v>
      </c>
      <c r="P1736">
        <v>69</v>
      </c>
      <c r="Q1736">
        <v>0</v>
      </c>
      <c r="R1736">
        <v>1043100000</v>
      </c>
      <c r="S1736">
        <v>761575.45</v>
      </c>
      <c r="T1736">
        <v>1042042750.26</v>
      </c>
      <c r="U1736">
        <v>1042324652.1900001</v>
      </c>
      <c r="V1736">
        <v>3.3960000000000001E-3</v>
      </c>
      <c r="W1736">
        <v>1.5799999999999999E-4</v>
      </c>
      <c r="Y1736" t="s">
        <v>3</v>
      </c>
      <c r="Z1736">
        <v>6500</v>
      </c>
      <c r="AA1736">
        <v>7</v>
      </c>
      <c r="AB1736">
        <v>28</v>
      </c>
      <c r="AC1736">
        <v>0</v>
      </c>
      <c r="AD1736">
        <v>807248623</v>
      </c>
      <c r="AE1736">
        <v>775281.45</v>
      </c>
      <c r="AF1736">
        <v>806527704</v>
      </c>
      <c r="AG1736">
        <v>806527704</v>
      </c>
      <c r="AH1736">
        <v>-8.0800000000000002E-4</v>
      </c>
      <c r="AI1736">
        <v>-8.0800000000000002E-4</v>
      </c>
    </row>
    <row r="1737" spans="1:35" x14ac:dyDescent="0.35">
      <c r="A1737" t="s">
        <v>2</v>
      </c>
      <c r="B1737">
        <v>4750</v>
      </c>
      <c r="C1737">
        <v>7</v>
      </c>
      <c r="D1737">
        <v>19</v>
      </c>
      <c r="E1737">
        <v>0</v>
      </c>
      <c r="F1737">
        <v>445284656</v>
      </c>
      <c r="G1737">
        <v>585446.37</v>
      </c>
      <c r="H1737">
        <v>444513358.81</v>
      </c>
      <c r="I1737">
        <v>444690632.92000002</v>
      </c>
      <c r="J1737">
        <v>4.9969999999999997E-3</v>
      </c>
      <c r="K1737">
        <v>2.31E-4</v>
      </c>
      <c r="M1737" t="s">
        <v>1</v>
      </c>
      <c r="N1737">
        <v>5000</v>
      </c>
      <c r="O1737">
        <v>6</v>
      </c>
      <c r="P1737">
        <v>1051</v>
      </c>
      <c r="Q1737">
        <v>0</v>
      </c>
      <c r="R1737">
        <v>39117556741</v>
      </c>
      <c r="S1737">
        <v>48775137.600000001</v>
      </c>
      <c r="T1737">
        <v>39018062101.629997</v>
      </c>
      <c r="U1737">
        <v>39060509055.93</v>
      </c>
      <c r="V1737">
        <v>1.5448999999999999E-2</v>
      </c>
      <c r="W1737">
        <v>2.5349999999999999E-3</v>
      </c>
      <c r="Y1737" t="s">
        <v>0</v>
      </c>
      <c r="Z1737">
        <v>8250</v>
      </c>
      <c r="AA1737">
        <v>7</v>
      </c>
      <c r="AB1737">
        <v>82</v>
      </c>
      <c r="AC1737">
        <v>0</v>
      </c>
      <c r="AD1737">
        <v>2521610480</v>
      </c>
      <c r="AE1737">
        <v>1711279.95</v>
      </c>
      <c r="AF1737">
        <v>2496552875</v>
      </c>
      <c r="AG1737">
        <v>2496552875</v>
      </c>
      <c r="AH1737">
        <v>0.105615</v>
      </c>
      <c r="AI1737">
        <v>0.105615</v>
      </c>
    </row>
    <row r="1738" spans="1:35" x14ac:dyDescent="0.35">
      <c r="A1738" t="s">
        <v>2</v>
      </c>
      <c r="B1738">
        <v>5250</v>
      </c>
      <c r="C1738">
        <v>7</v>
      </c>
      <c r="D1738">
        <v>23</v>
      </c>
      <c r="E1738">
        <v>0</v>
      </c>
      <c r="F1738">
        <v>562087231</v>
      </c>
      <c r="G1738">
        <v>674568.71</v>
      </c>
      <c r="H1738">
        <v>561187953.69000006</v>
      </c>
      <c r="I1738">
        <v>561410682.94000006</v>
      </c>
      <c r="J1738">
        <v>4.7869999999999996E-3</v>
      </c>
      <c r="K1738">
        <v>4.1999999999999998E-5</v>
      </c>
      <c r="M1738" t="s">
        <v>3</v>
      </c>
      <c r="N1738">
        <v>7250</v>
      </c>
      <c r="O1738">
        <v>5</v>
      </c>
      <c r="P1738">
        <v>11</v>
      </c>
      <c r="Q1738">
        <v>0</v>
      </c>
      <c r="R1738">
        <v>300400000</v>
      </c>
      <c r="S1738">
        <v>240672.55</v>
      </c>
      <c r="T1738">
        <v>300077804.31</v>
      </c>
      <c r="U1738">
        <v>300097864.22000003</v>
      </c>
      <c r="V1738">
        <v>3.2520000000000001E-3</v>
      </c>
      <c r="W1738">
        <v>2.4520000000000002E-3</v>
      </c>
      <c r="Y1738" t="s">
        <v>0</v>
      </c>
      <c r="Z1738">
        <v>8250</v>
      </c>
      <c r="AA1738">
        <v>6</v>
      </c>
      <c r="AB1738">
        <v>99</v>
      </c>
      <c r="AC1738">
        <v>0</v>
      </c>
      <c r="AD1738">
        <v>2918332345</v>
      </c>
      <c r="AE1738">
        <v>1970055.02</v>
      </c>
      <c r="AF1738">
        <v>2906555093</v>
      </c>
      <c r="AG1738">
        <v>2906555093</v>
      </c>
      <c r="AH1738">
        <v>3.959E-2</v>
      </c>
      <c r="AI1738">
        <v>3.959E-2</v>
      </c>
    </row>
    <row r="1739" spans="1:35" x14ac:dyDescent="0.35">
      <c r="A1739" t="s">
        <v>0</v>
      </c>
      <c r="B1739">
        <v>4750</v>
      </c>
      <c r="C1739">
        <v>6</v>
      </c>
      <c r="D1739">
        <v>789</v>
      </c>
      <c r="E1739">
        <v>0</v>
      </c>
      <c r="F1739">
        <v>26194336226</v>
      </c>
      <c r="G1739">
        <v>34190148.369999997</v>
      </c>
      <c r="H1739">
        <v>26142328488.950001</v>
      </c>
      <c r="I1739">
        <v>26154712427.82</v>
      </c>
      <c r="J1739">
        <v>8.1320000000000003E-3</v>
      </c>
      <c r="K1739">
        <v>2.4859999999999999E-3</v>
      </c>
      <c r="M1739" t="s">
        <v>3</v>
      </c>
      <c r="N1739">
        <v>5500</v>
      </c>
      <c r="O1739">
        <v>5</v>
      </c>
      <c r="P1739">
        <v>12</v>
      </c>
      <c r="Q1739">
        <v>0</v>
      </c>
      <c r="R1739">
        <v>315000000</v>
      </c>
      <c r="S1739">
        <v>354045.51</v>
      </c>
      <c r="T1739">
        <v>314635508.25999999</v>
      </c>
      <c r="U1739">
        <v>314645557.91000003</v>
      </c>
      <c r="V1739">
        <v>3.9800000000000002E-4</v>
      </c>
      <c r="W1739">
        <v>1.5E-5</v>
      </c>
      <c r="Y1739" t="s">
        <v>3</v>
      </c>
      <c r="Z1739">
        <v>5750</v>
      </c>
      <c r="AA1739">
        <v>8</v>
      </c>
      <c r="AB1739">
        <v>7</v>
      </c>
      <c r="AC1739">
        <v>0</v>
      </c>
      <c r="AD1739">
        <v>211847462</v>
      </c>
      <c r="AE1739">
        <v>233594.14</v>
      </c>
      <c r="AF1739">
        <v>211679300</v>
      </c>
      <c r="AG1739">
        <v>211679300</v>
      </c>
      <c r="AH1739">
        <v>-3.7130000000000002E-3</v>
      </c>
      <c r="AI1739">
        <v>-3.7130000000000002E-3</v>
      </c>
    </row>
    <row r="1740" spans="1:35" x14ac:dyDescent="0.35">
      <c r="A1740" t="s">
        <v>2</v>
      </c>
      <c r="B1740">
        <v>4750</v>
      </c>
      <c r="C1740">
        <v>6</v>
      </c>
      <c r="D1740">
        <v>17</v>
      </c>
      <c r="E1740">
        <v>0</v>
      </c>
      <c r="F1740">
        <v>442162564</v>
      </c>
      <c r="G1740">
        <v>578279</v>
      </c>
      <c r="H1740">
        <v>441445062.44</v>
      </c>
      <c r="I1740">
        <v>441578992.36000001</v>
      </c>
      <c r="J1740">
        <v>3.7720000000000002E-3</v>
      </c>
      <c r="K1740">
        <v>1.44E-4</v>
      </c>
      <c r="M1740" t="s">
        <v>2</v>
      </c>
      <c r="N1740">
        <v>5000</v>
      </c>
      <c r="O1740">
        <v>6</v>
      </c>
      <c r="P1740">
        <v>81</v>
      </c>
      <c r="Q1740">
        <v>0</v>
      </c>
      <c r="R1740">
        <v>2181442827</v>
      </c>
      <c r="S1740">
        <v>2719398.81</v>
      </c>
      <c r="T1740">
        <v>2177786494.9299998</v>
      </c>
      <c r="U1740">
        <v>2178510725.8899999</v>
      </c>
      <c r="V1740">
        <v>5.1419999999999999E-3</v>
      </c>
      <c r="W1740">
        <v>1.1689999999999999E-3</v>
      </c>
      <c r="Y1740" t="s">
        <v>2</v>
      </c>
      <c r="Z1740">
        <v>7750</v>
      </c>
      <c r="AA1740">
        <v>5</v>
      </c>
      <c r="AB1740">
        <v>56</v>
      </c>
      <c r="AC1740">
        <v>0</v>
      </c>
      <c r="AD1740">
        <v>853000000</v>
      </c>
      <c r="AE1740">
        <v>626295.98</v>
      </c>
      <c r="AF1740">
        <v>852720859</v>
      </c>
      <c r="AG1740">
        <v>852720859</v>
      </c>
      <c r="AH1740">
        <v>-4.895E-3</v>
      </c>
      <c r="AI1740">
        <v>-4.895E-3</v>
      </c>
    </row>
    <row r="1741" spans="1:35" x14ac:dyDescent="0.35">
      <c r="A1741" t="s">
        <v>1</v>
      </c>
      <c r="B1741">
        <v>4750</v>
      </c>
      <c r="C1741">
        <v>6</v>
      </c>
      <c r="D1741">
        <v>258</v>
      </c>
      <c r="E1741">
        <v>0</v>
      </c>
      <c r="F1741">
        <v>10415248786</v>
      </c>
      <c r="G1741">
        <v>13610673.189999999</v>
      </c>
      <c r="H1741">
        <v>10388141819.5</v>
      </c>
      <c r="I1741">
        <v>10398259113.48</v>
      </c>
      <c r="J1741">
        <v>1.5439E-2</v>
      </c>
      <c r="K1741">
        <v>3.8860000000000001E-3</v>
      </c>
      <c r="M1741" t="s">
        <v>1</v>
      </c>
      <c r="N1741">
        <v>8000</v>
      </c>
      <c r="O1741">
        <v>7</v>
      </c>
      <c r="P1741">
        <v>7</v>
      </c>
      <c r="Q1741">
        <v>0</v>
      </c>
      <c r="R1741">
        <v>177238635</v>
      </c>
      <c r="S1741">
        <v>126370.99</v>
      </c>
      <c r="T1741">
        <v>104151073.52</v>
      </c>
      <c r="U1741">
        <v>177108603.33000001</v>
      </c>
      <c r="V1741">
        <v>0.99827999999999995</v>
      </c>
      <c r="W1741">
        <v>2.4800000000000001E-4</v>
      </c>
      <c r="Y1741" t="s">
        <v>0</v>
      </c>
      <c r="Z1741">
        <v>8250</v>
      </c>
      <c r="AA1741">
        <v>5</v>
      </c>
      <c r="AB1741">
        <v>635</v>
      </c>
      <c r="AC1741">
        <v>0</v>
      </c>
      <c r="AD1741">
        <v>19245900000</v>
      </c>
      <c r="AE1741">
        <v>12655938.51</v>
      </c>
      <c r="AF1741">
        <v>19222856548</v>
      </c>
      <c r="AG1741">
        <v>19239845093.119999</v>
      </c>
      <c r="AH1741">
        <v>6.4580000000000002E-3</v>
      </c>
      <c r="AI1741">
        <v>-4.1240000000000001E-3</v>
      </c>
    </row>
    <row r="1742" spans="1:35" x14ac:dyDescent="0.35">
      <c r="A1742" t="s">
        <v>2</v>
      </c>
      <c r="B1742">
        <v>5250</v>
      </c>
      <c r="C1742">
        <v>5</v>
      </c>
      <c r="D1742">
        <v>171</v>
      </c>
      <c r="E1742">
        <v>0</v>
      </c>
      <c r="F1742">
        <v>4362500000</v>
      </c>
      <c r="G1742">
        <v>5071164.28</v>
      </c>
      <c r="H1742">
        <v>4356319784.6199999</v>
      </c>
      <c r="I1742">
        <v>4357215854.5799999</v>
      </c>
      <c r="J1742">
        <v>3.0460000000000001E-3</v>
      </c>
      <c r="K1742">
        <v>5.8600000000000004E-4</v>
      </c>
      <c r="M1742" t="s">
        <v>1</v>
      </c>
      <c r="N1742">
        <v>8250</v>
      </c>
      <c r="O1742">
        <v>7</v>
      </c>
      <c r="P1742">
        <v>3</v>
      </c>
      <c r="Q1742">
        <v>0</v>
      </c>
      <c r="R1742">
        <v>74454336</v>
      </c>
      <c r="S1742">
        <v>51298.93</v>
      </c>
      <c r="T1742">
        <v>61199955.259999998</v>
      </c>
      <c r="U1742">
        <v>74228580.040000007</v>
      </c>
      <c r="V1742">
        <v>0.90390499999999996</v>
      </c>
      <c r="W1742">
        <v>2.7758000000000001E-2</v>
      </c>
      <c r="Y1742" t="s">
        <v>0</v>
      </c>
      <c r="Z1742">
        <v>9000</v>
      </c>
      <c r="AA1742">
        <v>5</v>
      </c>
      <c r="AB1742">
        <v>12</v>
      </c>
      <c r="AC1742">
        <v>0</v>
      </c>
      <c r="AD1742">
        <v>417800000</v>
      </c>
      <c r="AE1742">
        <v>245150.64</v>
      </c>
      <c r="AF1742">
        <v>417767663</v>
      </c>
      <c r="AG1742">
        <v>417767663</v>
      </c>
      <c r="AH1742">
        <v>-6.13E-3</v>
      </c>
      <c r="AI1742">
        <v>-6.13E-3</v>
      </c>
    </row>
    <row r="1743" spans="1:35" x14ac:dyDescent="0.35">
      <c r="A1743" t="s">
        <v>2</v>
      </c>
      <c r="B1743">
        <v>7750</v>
      </c>
      <c r="C1743">
        <v>5</v>
      </c>
      <c r="D1743">
        <v>46</v>
      </c>
      <c r="E1743">
        <v>0</v>
      </c>
      <c r="F1743">
        <v>673700000</v>
      </c>
      <c r="G1743">
        <v>496146.03</v>
      </c>
      <c r="H1743">
        <v>672316819.13</v>
      </c>
      <c r="I1743">
        <v>672814720.07000005</v>
      </c>
      <c r="J1743">
        <v>1.5685999999999999E-2</v>
      </c>
      <c r="K1743">
        <v>6.9090000000000002E-3</v>
      </c>
      <c r="M1743" t="s">
        <v>2</v>
      </c>
      <c r="N1743">
        <v>7500</v>
      </c>
      <c r="O1743">
        <v>7</v>
      </c>
      <c r="P1743">
        <v>19</v>
      </c>
      <c r="Q1743">
        <v>0</v>
      </c>
      <c r="R1743">
        <v>273564154</v>
      </c>
      <c r="S1743">
        <v>217233.69</v>
      </c>
      <c r="T1743">
        <v>270708214.85000002</v>
      </c>
      <c r="U1743">
        <v>272085908.22000003</v>
      </c>
      <c r="V1743">
        <v>0.109801</v>
      </c>
      <c r="W1743">
        <v>5.3934000000000003E-2</v>
      </c>
      <c r="Y1743" t="s">
        <v>0</v>
      </c>
      <c r="Z1743">
        <v>8500</v>
      </c>
      <c r="AA1743">
        <v>5</v>
      </c>
      <c r="AB1743">
        <v>14</v>
      </c>
      <c r="AC1743">
        <v>0</v>
      </c>
      <c r="AD1743">
        <v>485900000</v>
      </c>
      <c r="AE1743">
        <v>307706.53000000003</v>
      </c>
      <c r="AF1743">
        <v>485632081</v>
      </c>
      <c r="AG1743">
        <v>485632081</v>
      </c>
      <c r="AH1743">
        <v>-9.8299999999999993E-4</v>
      </c>
      <c r="AI1743">
        <v>-9.8299999999999993E-4</v>
      </c>
    </row>
    <row r="1744" spans="1:35" x14ac:dyDescent="0.35">
      <c r="A1744" t="s">
        <v>1</v>
      </c>
      <c r="B1744">
        <v>7750</v>
      </c>
      <c r="C1744">
        <v>5</v>
      </c>
      <c r="D1744">
        <v>1982</v>
      </c>
      <c r="E1744">
        <v>0</v>
      </c>
      <c r="F1744">
        <v>62951200000</v>
      </c>
      <c r="G1744">
        <v>45913865.399999999</v>
      </c>
      <c r="H1744">
        <v>62688384963.519997</v>
      </c>
      <c r="I1744">
        <v>62802796529.050003</v>
      </c>
      <c r="J1744">
        <v>4.0571999999999997E-2</v>
      </c>
      <c r="K1744">
        <v>1.9362999999999998E-2</v>
      </c>
      <c r="M1744" t="s">
        <v>1</v>
      </c>
      <c r="N1744">
        <v>8250</v>
      </c>
      <c r="O1744">
        <v>6</v>
      </c>
      <c r="P1744">
        <v>4</v>
      </c>
      <c r="Q1744">
        <v>0</v>
      </c>
      <c r="R1744">
        <v>131563369</v>
      </c>
      <c r="S1744">
        <v>89975.76</v>
      </c>
      <c r="T1744">
        <v>127772614.65000001</v>
      </c>
      <c r="U1744">
        <v>131473001.19</v>
      </c>
      <c r="V1744">
        <v>0.28992800000000002</v>
      </c>
      <c r="W1744">
        <v>3.6000000000000001E-5</v>
      </c>
      <c r="Y1744" t="s">
        <v>1</v>
      </c>
      <c r="Z1744">
        <v>4750</v>
      </c>
      <c r="AA1744">
        <v>6</v>
      </c>
      <c r="AB1744">
        <v>318</v>
      </c>
      <c r="AC1744">
        <v>0</v>
      </c>
      <c r="AD1744">
        <v>12677475524</v>
      </c>
      <c r="AE1744">
        <v>16571532.949999999</v>
      </c>
      <c r="AF1744">
        <v>12625484420</v>
      </c>
      <c r="AG1744">
        <v>12625484420</v>
      </c>
      <c r="AH1744">
        <v>3.3015999999999997E-2</v>
      </c>
      <c r="AI1744">
        <v>3.3015999999999997E-2</v>
      </c>
    </row>
    <row r="1745" spans="1:35" x14ac:dyDescent="0.35">
      <c r="A1745" t="s">
        <v>1</v>
      </c>
      <c r="B1745">
        <v>8250</v>
      </c>
      <c r="C1745">
        <v>7</v>
      </c>
      <c r="D1745">
        <v>5</v>
      </c>
      <c r="E1745">
        <v>0</v>
      </c>
      <c r="F1745">
        <v>129838818</v>
      </c>
      <c r="G1745">
        <v>91145.04</v>
      </c>
      <c r="H1745">
        <v>61862032.32</v>
      </c>
      <c r="I1745">
        <v>129704324.56</v>
      </c>
      <c r="J1745">
        <v>0.999861</v>
      </c>
      <c r="K1745">
        <v>3.999E-3</v>
      </c>
      <c r="M1745" t="s">
        <v>0</v>
      </c>
      <c r="N1745">
        <v>8250</v>
      </c>
      <c r="O1745">
        <v>5</v>
      </c>
      <c r="P1745">
        <v>625</v>
      </c>
      <c r="Q1745">
        <v>0</v>
      </c>
      <c r="R1745">
        <v>18803400000</v>
      </c>
      <c r="S1745">
        <v>12378848.300000001</v>
      </c>
      <c r="T1745">
        <v>18770149122.41</v>
      </c>
      <c r="U1745">
        <v>18785839759.220001</v>
      </c>
      <c r="V1745">
        <v>1.3239000000000001E-2</v>
      </c>
      <c r="W1745">
        <v>3.3019999999999998E-3</v>
      </c>
      <c r="Y1745" t="s">
        <v>2</v>
      </c>
      <c r="Z1745">
        <v>4750</v>
      </c>
      <c r="AA1745">
        <v>6</v>
      </c>
      <c r="AB1745">
        <v>19</v>
      </c>
      <c r="AC1745">
        <v>0</v>
      </c>
      <c r="AD1745">
        <v>446716170</v>
      </c>
      <c r="AE1745">
        <v>584270.52</v>
      </c>
      <c r="AF1745">
        <v>445284656</v>
      </c>
      <c r="AG1745">
        <v>445284656</v>
      </c>
      <c r="AH1745">
        <v>2.2523000000000001E-2</v>
      </c>
      <c r="AI1745">
        <v>2.2523000000000001E-2</v>
      </c>
    </row>
    <row r="1746" spans="1:35" x14ac:dyDescent="0.35">
      <c r="A1746" t="s">
        <v>1</v>
      </c>
      <c r="B1746">
        <v>8000</v>
      </c>
      <c r="C1746">
        <v>7</v>
      </c>
      <c r="D1746">
        <v>13</v>
      </c>
      <c r="E1746">
        <v>0</v>
      </c>
      <c r="F1746">
        <v>429945294</v>
      </c>
      <c r="G1746">
        <v>308008.78000000003</v>
      </c>
      <c r="H1746">
        <v>249202127.59999999</v>
      </c>
      <c r="I1746">
        <v>429058302.68000001</v>
      </c>
      <c r="J1746">
        <v>0.99854100000000001</v>
      </c>
      <c r="K1746">
        <v>1.6041E-2</v>
      </c>
      <c r="M1746" t="s">
        <v>3</v>
      </c>
      <c r="N1746">
        <v>5750</v>
      </c>
      <c r="O1746">
        <v>6</v>
      </c>
      <c r="P1746">
        <v>7</v>
      </c>
      <c r="Q1746">
        <v>0</v>
      </c>
      <c r="R1746">
        <v>213261281</v>
      </c>
      <c r="S1746">
        <v>232414.41</v>
      </c>
      <c r="T1746">
        <v>212969048.08000001</v>
      </c>
      <c r="U1746">
        <v>213028865.41</v>
      </c>
      <c r="V1746">
        <v>3.3609999999999998E-3</v>
      </c>
      <c r="W1746">
        <v>0</v>
      </c>
      <c r="Y1746" t="s">
        <v>2</v>
      </c>
      <c r="Z1746">
        <v>5250</v>
      </c>
      <c r="AA1746">
        <v>6</v>
      </c>
      <c r="AB1746">
        <v>23</v>
      </c>
      <c r="AC1746">
        <v>0</v>
      </c>
      <c r="AD1746">
        <v>563581119</v>
      </c>
      <c r="AE1746">
        <v>672631.32</v>
      </c>
      <c r="AF1746">
        <v>562087231</v>
      </c>
      <c r="AG1746">
        <v>562087231</v>
      </c>
      <c r="AH1746">
        <v>1.7347000000000001E-2</v>
      </c>
      <c r="AI1746">
        <v>1.7347000000000001E-2</v>
      </c>
    </row>
    <row r="1747" spans="1:35" x14ac:dyDescent="0.35">
      <c r="A1747" t="s">
        <v>0</v>
      </c>
      <c r="B1747">
        <v>3750</v>
      </c>
      <c r="C1747">
        <v>12</v>
      </c>
      <c r="D1747">
        <v>200</v>
      </c>
      <c r="E1747">
        <v>0</v>
      </c>
      <c r="F1747">
        <v>6596621790</v>
      </c>
      <c r="G1747">
        <v>10493954.57</v>
      </c>
      <c r="H1747">
        <v>6583536454.75</v>
      </c>
      <c r="I1747">
        <v>6585795120.6300001</v>
      </c>
      <c r="J1747">
        <v>4.7039999999999998E-3</v>
      </c>
      <c r="K1747">
        <v>6.0499999999999996E-4</v>
      </c>
      <c r="M1747" t="s">
        <v>0</v>
      </c>
      <c r="N1747">
        <v>9000</v>
      </c>
      <c r="O1747">
        <v>5</v>
      </c>
      <c r="P1747">
        <v>6</v>
      </c>
      <c r="Q1747">
        <v>0</v>
      </c>
      <c r="R1747">
        <v>198700000</v>
      </c>
      <c r="S1747">
        <v>115812.51</v>
      </c>
      <c r="T1747">
        <v>198552904.93000001</v>
      </c>
      <c r="U1747">
        <v>198582552.63999999</v>
      </c>
      <c r="V1747">
        <v>1.8879999999999999E-3</v>
      </c>
      <c r="W1747">
        <v>9.8999999999999994E-5</v>
      </c>
      <c r="Y1747" t="s">
        <v>1</v>
      </c>
      <c r="Z1747">
        <v>8250</v>
      </c>
      <c r="AA1747">
        <v>6</v>
      </c>
      <c r="AB1747">
        <v>5</v>
      </c>
      <c r="AC1747">
        <v>0</v>
      </c>
      <c r="AD1747">
        <v>129868519</v>
      </c>
      <c r="AE1747">
        <v>90490.09</v>
      </c>
      <c r="AF1747">
        <v>129838818</v>
      </c>
      <c r="AG1747">
        <v>129838818</v>
      </c>
      <c r="AH1747">
        <v>-5.6309999999999997E-3</v>
      </c>
      <c r="AI1747">
        <v>-5.6309999999999997E-3</v>
      </c>
    </row>
    <row r="1748" spans="1:35" x14ac:dyDescent="0.35">
      <c r="A1748" t="s">
        <v>0</v>
      </c>
      <c r="B1748">
        <v>4000</v>
      </c>
      <c r="C1748">
        <v>10</v>
      </c>
      <c r="D1748">
        <v>650</v>
      </c>
      <c r="E1748">
        <v>0</v>
      </c>
      <c r="F1748">
        <v>21472957394</v>
      </c>
      <c r="G1748">
        <v>32527210.949999999</v>
      </c>
      <c r="H1748">
        <v>21432207800.32</v>
      </c>
      <c r="I1748">
        <v>21438286954.029999</v>
      </c>
      <c r="J1748">
        <v>4.5849999999999997E-3</v>
      </c>
      <c r="K1748">
        <v>1.1969999999999999E-3</v>
      </c>
      <c r="M1748" t="s">
        <v>0</v>
      </c>
      <c r="N1748">
        <v>8500</v>
      </c>
      <c r="O1748">
        <v>5</v>
      </c>
      <c r="P1748">
        <v>9</v>
      </c>
      <c r="Q1748">
        <v>0</v>
      </c>
      <c r="R1748">
        <v>327800000</v>
      </c>
      <c r="S1748">
        <v>205896.22</v>
      </c>
      <c r="T1748">
        <v>327462376.68000001</v>
      </c>
      <c r="U1748">
        <v>327590535.56</v>
      </c>
      <c r="V1748">
        <v>4.8120000000000003E-3</v>
      </c>
      <c r="W1748">
        <v>1.3100000000000001E-4</v>
      </c>
      <c r="Y1748" t="s">
        <v>1</v>
      </c>
      <c r="Z1748">
        <v>8000</v>
      </c>
      <c r="AA1748">
        <v>6</v>
      </c>
      <c r="AB1748">
        <v>13</v>
      </c>
      <c r="AC1748">
        <v>0</v>
      </c>
      <c r="AD1748">
        <v>430228012</v>
      </c>
      <c r="AE1748">
        <v>305960.45</v>
      </c>
      <c r="AF1748">
        <v>429945294</v>
      </c>
      <c r="AG1748">
        <v>429945294</v>
      </c>
      <c r="AH1748">
        <v>-6.4800000000000003E-4</v>
      </c>
      <c r="AI1748">
        <v>-6.4800000000000003E-4</v>
      </c>
    </row>
    <row r="1749" spans="1:35" x14ac:dyDescent="0.35">
      <c r="A1749" t="s">
        <v>1</v>
      </c>
      <c r="B1749">
        <v>4000</v>
      </c>
      <c r="C1749">
        <v>9</v>
      </c>
      <c r="D1749">
        <v>141</v>
      </c>
      <c r="E1749">
        <v>0</v>
      </c>
      <c r="F1749">
        <v>5756484664</v>
      </c>
      <c r="G1749">
        <v>8693113.1999999993</v>
      </c>
      <c r="H1749">
        <v>5739298918.4700003</v>
      </c>
      <c r="I1749">
        <v>5744720621.3000002</v>
      </c>
      <c r="J1749">
        <v>1.7561E-2</v>
      </c>
      <c r="K1749">
        <v>6.3829999999999998E-3</v>
      </c>
      <c r="M1749" t="s">
        <v>1</v>
      </c>
      <c r="N1749">
        <v>8250</v>
      </c>
      <c r="O1749">
        <v>5</v>
      </c>
      <c r="P1749">
        <v>43</v>
      </c>
      <c r="Q1749">
        <v>0</v>
      </c>
      <c r="R1749">
        <v>1275400000</v>
      </c>
      <c r="S1749">
        <v>873325.13</v>
      </c>
      <c r="T1749">
        <v>1272610120.0799999</v>
      </c>
      <c r="U1749">
        <v>1274479701.01</v>
      </c>
      <c r="V1749">
        <v>1.7884000000000001E-2</v>
      </c>
      <c r="W1749">
        <v>4.4200000000000001E-4</v>
      </c>
      <c r="Y1749" t="s">
        <v>0</v>
      </c>
      <c r="Z1749">
        <v>3750</v>
      </c>
      <c r="AA1749">
        <v>10</v>
      </c>
      <c r="AB1749">
        <v>74</v>
      </c>
      <c r="AC1749">
        <v>0</v>
      </c>
      <c r="AD1749">
        <v>2375600134</v>
      </c>
      <c r="AE1749">
        <v>3749925.01</v>
      </c>
      <c r="AF1749">
        <v>2371860839</v>
      </c>
      <c r="AG1749">
        <v>2371860839</v>
      </c>
      <c r="AH1749">
        <v>-5.3999999999999998E-5</v>
      </c>
      <c r="AI1749">
        <v>-5.3999999999999998E-5</v>
      </c>
    </row>
    <row r="1750" spans="1:35" x14ac:dyDescent="0.35">
      <c r="A1750" t="s">
        <v>2</v>
      </c>
      <c r="B1750">
        <v>4000</v>
      </c>
      <c r="C1750">
        <v>9</v>
      </c>
      <c r="D1750">
        <v>23</v>
      </c>
      <c r="E1750">
        <v>0</v>
      </c>
      <c r="F1750">
        <v>642643365</v>
      </c>
      <c r="G1750">
        <v>969282.02</v>
      </c>
      <c r="H1750">
        <v>641326459.88999999</v>
      </c>
      <c r="I1750">
        <v>641576819.79999995</v>
      </c>
      <c r="J1750">
        <v>6.4720000000000003E-3</v>
      </c>
      <c r="K1750">
        <v>1.815E-3</v>
      </c>
      <c r="M1750" t="s">
        <v>1</v>
      </c>
      <c r="N1750">
        <v>8000</v>
      </c>
      <c r="O1750">
        <v>5</v>
      </c>
      <c r="P1750">
        <v>76</v>
      </c>
      <c r="Q1750">
        <v>0</v>
      </c>
      <c r="R1750">
        <v>2176800000</v>
      </c>
      <c r="S1750">
        <v>1511794.81</v>
      </c>
      <c r="T1750">
        <v>2170654958.8899999</v>
      </c>
      <c r="U1750">
        <v>2173369191.73</v>
      </c>
      <c r="V1750">
        <v>2.5245E-2</v>
      </c>
      <c r="W1750">
        <v>1.0527999999999999E-2</v>
      </c>
      <c r="Y1750" t="s">
        <v>0</v>
      </c>
      <c r="Z1750">
        <v>4000</v>
      </c>
      <c r="AA1750">
        <v>9</v>
      </c>
      <c r="AB1750">
        <v>650</v>
      </c>
      <c r="AC1750">
        <v>0</v>
      </c>
      <c r="AD1750">
        <v>21507919974</v>
      </c>
      <c r="AE1750">
        <v>32423299.719999999</v>
      </c>
      <c r="AF1750">
        <v>21472957394</v>
      </c>
      <c r="AG1750">
        <v>21472957394</v>
      </c>
      <c r="AH1750">
        <v>1.4159999999999999E-3</v>
      </c>
      <c r="AI1750">
        <v>1.4159999999999999E-3</v>
      </c>
    </row>
    <row r="1751" spans="1:35" x14ac:dyDescent="0.35">
      <c r="A1751" t="s">
        <v>0</v>
      </c>
      <c r="B1751">
        <v>4000</v>
      </c>
      <c r="C1751">
        <v>9</v>
      </c>
      <c r="D1751">
        <v>494</v>
      </c>
      <c r="E1751">
        <v>0</v>
      </c>
      <c r="F1751">
        <v>18178224770</v>
      </c>
      <c r="G1751">
        <v>27396989.510000002</v>
      </c>
      <c r="H1751">
        <v>18143489485.939999</v>
      </c>
      <c r="I1751">
        <v>18149253612.700001</v>
      </c>
      <c r="J1751">
        <v>4.8329999999999996E-3</v>
      </c>
      <c r="K1751">
        <v>1.039E-3</v>
      </c>
      <c r="M1751" t="s">
        <v>0</v>
      </c>
      <c r="N1751">
        <v>3750</v>
      </c>
      <c r="O1751">
        <v>8</v>
      </c>
      <c r="P1751">
        <v>74</v>
      </c>
      <c r="Q1751">
        <v>0</v>
      </c>
      <c r="R1751">
        <v>2383523450</v>
      </c>
      <c r="S1751">
        <v>3727326.24</v>
      </c>
      <c r="T1751">
        <v>2378677990.8899999</v>
      </c>
      <c r="U1751">
        <v>2379786589.75</v>
      </c>
      <c r="V1751">
        <v>5.6150000000000002E-3</v>
      </c>
      <c r="W1751">
        <v>4.8000000000000001E-5</v>
      </c>
      <c r="Y1751" t="s">
        <v>1</v>
      </c>
      <c r="Z1751">
        <v>4000</v>
      </c>
      <c r="AA1751">
        <v>8</v>
      </c>
      <c r="AB1751">
        <v>141</v>
      </c>
      <c r="AC1751">
        <v>0</v>
      </c>
      <c r="AD1751">
        <v>5765722092</v>
      </c>
      <c r="AE1751">
        <v>8665202.8900000006</v>
      </c>
      <c r="AF1751">
        <v>5756484664</v>
      </c>
      <c r="AG1751">
        <v>5756484664</v>
      </c>
      <c r="AH1751">
        <v>1.1900000000000001E-3</v>
      </c>
      <c r="AI1751">
        <v>1.1900000000000001E-3</v>
      </c>
    </row>
    <row r="1752" spans="1:35" x14ac:dyDescent="0.35">
      <c r="A1752" t="s">
        <v>1</v>
      </c>
      <c r="B1752">
        <v>8000</v>
      </c>
      <c r="C1752">
        <v>6</v>
      </c>
      <c r="D1752">
        <v>21</v>
      </c>
      <c r="E1752">
        <v>0</v>
      </c>
      <c r="F1752">
        <v>507413938</v>
      </c>
      <c r="G1752">
        <v>360618.59</v>
      </c>
      <c r="H1752">
        <v>491935936.38</v>
      </c>
      <c r="I1752">
        <v>501877260.27999997</v>
      </c>
      <c r="J1752">
        <v>0.30437900000000001</v>
      </c>
      <c r="K1752">
        <v>0.115771</v>
      </c>
      <c r="M1752" t="s">
        <v>0</v>
      </c>
      <c r="N1752">
        <v>4000</v>
      </c>
      <c r="O1752">
        <v>7</v>
      </c>
      <c r="P1752">
        <v>650</v>
      </c>
      <c r="Q1752">
        <v>0</v>
      </c>
      <c r="R1752">
        <v>21579056472</v>
      </c>
      <c r="S1752">
        <v>32218737.27</v>
      </c>
      <c r="T1752">
        <v>21540903474.5</v>
      </c>
      <c r="U1752">
        <v>21546173097.349998</v>
      </c>
      <c r="V1752">
        <v>3.2950000000000002E-3</v>
      </c>
      <c r="W1752">
        <v>3.6999999999999999E-4</v>
      </c>
      <c r="Y1752" t="s">
        <v>2</v>
      </c>
      <c r="Z1752">
        <v>4000</v>
      </c>
      <c r="AA1752">
        <v>8</v>
      </c>
      <c r="AB1752">
        <v>23</v>
      </c>
      <c r="AC1752">
        <v>0</v>
      </c>
      <c r="AD1752">
        <v>643541990</v>
      </c>
      <c r="AE1752">
        <v>965972.86</v>
      </c>
      <c r="AF1752">
        <v>642643365</v>
      </c>
      <c r="AG1752">
        <v>642643365</v>
      </c>
      <c r="AH1752">
        <v>-1.2570000000000001E-3</v>
      </c>
      <c r="AI1752">
        <v>-1.2570000000000001E-3</v>
      </c>
    </row>
    <row r="1753" spans="1:35" x14ac:dyDescent="0.35">
      <c r="A1753" t="s">
        <v>1</v>
      </c>
      <c r="B1753">
        <v>8250</v>
      </c>
      <c r="C1753">
        <v>6</v>
      </c>
      <c r="D1753">
        <v>6</v>
      </c>
      <c r="E1753">
        <v>0</v>
      </c>
      <c r="F1753">
        <v>167604871</v>
      </c>
      <c r="G1753">
        <v>115518.23</v>
      </c>
      <c r="H1753">
        <v>164895719.80000001</v>
      </c>
      <c r="I1753">
        <v>167443073.97999999</v>
      </c>
      <c r="J1753">
        <v>0.170679</v>
      </c>
      <c r="K1753">
        <v>3.3080000000000002E-3</v>
      </c>
      <c r="M1753" t="s">
        <v>1</v>
      </c>
      <c r="N1753">
        <v>4000</v>
      </c>
      <c r="O1753">
        <v>6</v>
      </c>
      <c r="P1753">
        <v>141</v>
      </c>
      <c r="Q1753">
        <v>0</v>
      </c>
      <c r="R1753">
        <v>5793255980</v>
      </c>
      <c r="S1753">
        <v>8623236.6400000006</v>
      </c>
      <c r="T1753">
        <v>5780539918.9200001</v>
      </c>
      <c r="U1753">
        <v>5782841724.3299999</v>
      </c>
      <c r="V1753">
        <v>8.4449999999999994E-3</v>
      </c>
      <c r="W1753">
        <v>3.7039999999999998E-3</v>
      </c>
      <c r="Y1753" t="s">
        <v>0</v>
      </c>
      <c r="Z1753">
        <v>4000</v>
      </c>
      <c r="AA1753">
        <v>8</v>
      </c>
      <c r="AB1753">
        <v>494</v>
      </c>
      <c r="AC1753">
        <v>0</v>
      </c>
      <c r="AD1753">
        <v>18206164207</v>
      </c>
      <c r="AE1753">
        <v>27307162.550000001</v>
      </c>
      <c r="AF1753">
        <v>18178224770</v>
      </c>
      <c r="AG1753">
        <v>18178224770</v>
      </c>
      <c r="AH1753">
        <v>4.17E-4</v>
      </c>
      <c r="AI1753">
        <v>4.17E-4</v>
      </c>
    </row>
    <row r="1754" spans="1:35" x14ac:dyDescent="0.35">
      <c r="A1754" t="s">
        <v>3</v>
      </c>
      <c r="B1754">
        <v>7250</v>
      </c>
      <c r="C1754">
        <v>8</v>
      </c>
      <c r="D1754">
        <v>2</v>
      </c>
      <c r="E1754">
        <v>0</v>
      </c>
      <c r="F1754">
        <v>36945278</v>
      </c>
      <c r="G1754">
        <v>30933.4</v>
      </c>
      <c r="H1754">
        <v>36681041.469999999</v>
      </c>
      <c r="I1754">
        <v>36800083.909999996</v>
      </c>
      <c r="J1754">
        <v>7.3201000000000002E-2</v>
      </c>
      <c r="K1754">
        <v>3.6488E-2</v>
      </c>
      <c r="M1754" t="s">
        <v>2</v>
      </c>
      <c r="N1754">
        <v>4000</v>
      </c>
      <c r="O1754">
        <v>6</v>
      </c>
      <c r="P1754">
        <v>23</v>
      </c>
      <c r="Q1754">
        <v>0</v>
      </c>
      <c r="R1754">
        <v>647656453</v>
      </c>
      <c r="S1754">
        <v>962850.4</v>
      </c>
      <c r="T1754">
        <v>646550138.72000003</v>
      </c>
      <c r="U1754">
        <v>646655616.72000003</v>
      </c>
      <c r="V1754">
        <v>2.6549999999999998E-3</v>
      </c>
      <c r="W1754">
        <v>7.0399999999999998E-4</v>
      </c>
      <c r="Y1754" t="s">
        <v>1</v>
      </c>
      <c r="Z1754">
        <v>8000</v>
      </c>
      <c r="AA1754">
        <v>5</v>
      </c>
      <c r="AB1754">
        <v>62</v>
      </c>
      <c r="AC1754">
        <v>0</v>
      </c>
      <c r="AD1754">
        <v>1723500000</v>
      </c>
      <c r="AE1754">
        <v>1209765.33</v>
      </c>
      <c r="AF1754">
        <v>1722413938</v>
      </c>
      <c r="AG1754">
        <v>1722413938</v>
      </c>
      <c r="AH1754">
        <v>-8.6200000000000003E-4</v>
      </c>
      <c r="AI1754">
        <v>-8.6200000000000003E-4</v>
      </c>
    </row>
    <row r="1755" spans="1:35" x14ac:dyDescent="0.35">
      <c r="A1755" t="s">
        <v>3</v>
      </c>
      <c r="B1755">
        <v>5750</v>
      </c>
      <c r="C1755">
        <v>7</v>
      </c>
      <c r="D1755">
        <v>7</v>
      </c>
      <c r="E1755">
        <v>0</v>
      </c>
      <c r="F1755">
        <v>212409813</v>
      </c>
      <c r="G1755">
        <v>231438.92</v>
      </c>
      <c r="H1755">
        <v>212047822.46000001</v>
      </c>
      <c r="I1755">
        <v>212178373.55000001</v>
      </c>
      <c r="J1755">
        <v>7.3509999999999999E-3</v>
      </c>
      <c r="K1755">
        <v>0</v>
      </c>
      <c r="M1755" t="s">
        <v>0</v>
      </c>
      <c r="N1755">
        <v>4000</v>
      </c>
      <c r="O1755">
        <v>6</v>
      </c>
      <c r="P1755">
        <v>494</v>
      </c>
      <c r="Q1755">
        <v>0</v>
      </c>
      <c r="R1755">
        <v>18306797993</v>
      </c>
      <c r="S1755">
        <v>27195246.300000001</v>
      </c>
      <c r="T1755">
        <v>18276077256.84</v>
      </c>
      <c r="U1755">
        <v>18279061682.900002</v>
      </c>
      <c r="V1755">
        <v>2.3080000000000002E-3</v>
      </c>
      <c r="W1755">
        <v>3.5500000000000001E-4</v>
      </c>
      <c r="Y1755" t="s">
        <v>1</v>
      </c>
      <c r="Z1755">
        <v>8250</v>
      </c>
      <c r="AA1755">
        <v>5</v>
      </c>
      <c r="AB1755">
        <v>41</v>
      </c>
      <c r="AC1755">
        <v>0</v>
      </c>
      <c r="AD1755">
        <v>1249800000</v>
      </c>
      <c r="AE1755">
        <v>863739.1</v>
      </c>
      <c r="AF1755">
        <v>1249304871</v>
      </c>
      <c r="AG1755">
        <v>1249304871</v>
      </c>
      <c r="AH1755">
        <v>-3.545E-3</v>
      </c>
      <c r="AI1755">
        <v>-3.545E-3</v>
      </c>
    </row>
    <row r="1756" spans="1:35" x14ac:dyDescent="0.35">
      <c r="A1756" t="s">
        <v>1</v>
      </c>
      <c r="B1756">
        <v>4000</v>
      </c>
      <c r="C1756">
        <v>7</v>
      </c>
      <c r="D1756">
        <v>493</v>
      </c>
      <c r="E1756">
        <v>0</v>
      </c>
      <c r="F1756">
        <v>19142912923</v>
      </c>
      <c r="G1756">
        <v>28608679.649999999</v>
      </c>
      <c r="H1756">
        <v>19087450866.400002</v>
      </c>
      <c r="I1756">
        <v>19103014182.099998</v>
      </c>
      <c r="J1756">
        <v>1.6704E-2</v>
      </c>
      <c r="K1756">
        <v>7.0540000000000004E-3</v>
      </c>
      <c r="M1756" t="s">
        <v>1</v>
      </c>
      <c r="N1756">
        <v>4000</v>
      </c>
      <c r="O1756">
        <v>5</v>
      </c>
      <c r="P1756">
        <v>3264</v>
      </c>
      <c r="Q1756">
        <v>0</v>
      </c>
      <c r="R1756">
        <v>123152900000</v>
      </c>
      <c r="S1756">
        <v>179731451.34</v>
      </c>
      <c r="T1756">
        <v>122904394346.8</v>
      </c>
      <c r="U1756">
        <v>122970040841.81</v>
      </c>
      <c r="V1756">
        <v>6.6810000000000003E-3</v>
      </c>
      <c r="W1756">
        <v>3.0499999999999999E-4</v>
      </c>
      <c r="Y1756" t="s">
        <v>3</v>
      </c>
      <c r="Z1756">
        <v>7250</v>
      </c>
      <c r="AA1756">
        <v>7</v>
      </c>
      <c r="AB1756">
        <v>2</v>
      </c>
      <c r="AC1756">
        <v>0</v>
      </c>
      <c r="AD1756">
        <v>36975690</v>
      </c>
      <c r="AE1756">
        <v>30749.5</v>
      </c>
      <c r="AF1756">
        <v>36945278</v>
      </c>
      <c r="AG1756">
        <v>36945278</v>
      </c>
      <c r="AH1756">
        <v>-1.1E-4</v>
      </c>
      <c r="AI1756">
        <v>-1.1E-4</v>
      </c>
    </row>
    <row r="1757" spans="1:35" x14ac:dyDescent="0.35">
      <c r="A1757" t="s">
        <v>0</v>
      </c>
      <c r="B1757">
        <v>4000</v>
      </c>
      <c r="C1757">
        <v>7</v>
      </c>
      <c r="D1757">
        <v>1866</v>
      </c>
      <c r="E1757">
        <v>0</v>
      </c>
      <c r="F1757">
        <v>65205970205</v>
      </c>
      <c r="G1757">
        <v>97383937.930000007</v>
      </c>
      <c r="H1757">
        <v>65085310163.669998</v>
      </c>
      <c r="I1757">
        <v>65101933234.580002</v>
      </c>
      <c r="J1757">
        <v>4.2750000000000002E-3</v>
      </c>
      <c r="K1757">
        <v>1.224E-3</v>
      </c>
      <c r="M1757" t="s">
        <v>0</v>
      </c>
      <c r="N1757">
        <v>4000</v>
      </c>
      <c r="O1757">
        <v>5</v>
      </c>
      <c r="P1757">
        <v>9987</v>
      </c>
      <c r="Q1757">
        <v>0</v>
      </c>
      <c r="R1757">
        <v>354166900000</v>
      </c>
      <c r="S1757">
        <v>517017129.98000002</v>
      </c>
      <c r="T1757">
        <v>353603161559.04999</v>
      </c>
      <c r="U1757">
        <v>353647637513.47998</v>
      </c>
      <c r="V1757">
        <v>1.5820000000000001E-3</v>
      </c>
      <c r="W1757">
        <v>7.6000000000000004E-5</v>
      </c>
      <c r="Y1757" t="s">
        <v>3</v>
      </c>
      <c r="Z1757">
        <v>5750</v>
      </c>
      <c r="AA1757">
        <v>6</v>
      </c>
      <c r="AB1757">
        <v>7</v>
      </c>
      <c r="AC1757">
        <v>0</v>
      </c>
      <c r="AD1757">
        <v>213212246</v>
      </c>
      <c r="AE1757">
        <v>230956.55</v>
      </c>
      <c r="AF1757">
        <v>212409813</v>
      </c>
      <c r="AG1757">
        <v>212409813</v>
      </c>
      <c r="AH1757">
        <v>3.1694E-2</v>
      </c>
      <c r="AI1757">
        <v>3.1694E-2</v>
      </c>
    </row>
    <row r="1758" spans="1:35" x14ac:dyDescent="0.35">
      <c r="A1758" t="s">
        <v>3</v>
      </c>
      <c r="B1758">
        <v>7000</v>
      </c>
      <c r="C1758">
        <v>5</v>
      </c>
      <c r="D1758">
        <v>8</v>
      </c>
      <c r="E1758">
        <v>0</v>
      </c>
      <c r="F1758">
        <v>223500000</v>
      </c>
      <c r="G1758">
        <v>189628.77</v>
      </c>
      <c r="H1758">
        <v>223282538.55000001</v>
      </c>
      <c r="I1758">
        <v>223310369.94</v>
      </c>
      <c r="J1758">
        <v>1.493E-3</v>
      </c>
      <c r="K1758">
        <v>0</v>
      </c>
      <c r="M1758" t="s">
        <v>1</v>
      </c>
      <c r="N1758">
        <v>4500</v>
      </c>
      <c r="O1758">
        <v>5</v>
      </c>
      <c r="P1758">
        <v>1566</v>
      </c>
      <c r="Q1758">
        <v>0</v>
      </c>
      <c r="R1758">
        <v>59129200000</v>
      </c>
      <c r="S1758">
        <v>79312276.840000004</v>
      </c>
      <c r="T1758">
        <v>58985296382.139999</v>
      </c>
      <c r="U1758">
        <v>59045628369.529999</v>
      </c>
      <c r="V1758">
        <v>1.303E-2</v>
      </c>
      <c r="W1758">
        <v>8.6399999999999997E-4</v>
      </c>
      <c r="Y1758" t="s">
        <v>1</v>
      </c>
      <c r="Z1758">
        <v>4000</v>
      </c>
      <c r="AA1758">
        <v>6</v>
      </c>
      <c r="AB1758">
        <v>493</v>
      </c>
      <c r="AC1758">
        <v>0</v>
      </c>
      <c r="AD1758">
        <v>19203577740</v>
      </c>
      <c r="AE1758">
        <v>28561786.850000001</v>
      </c>
      <c r="AF1758">
        <v>19142912923</v>
      </c>
      <c r="AG1758">
        <v>19142912923</v>
      </c>
      <c r="AH1758">
        <v>1.9876999999999999E-2</v>
      </c>
      <c r="AI1758">
        <v>1.9876999999999999E-2</v>
      </c>
    </row>
    <row r="1759" spans="1:35" x14ac:dyDescent="0.35">
      <c r="A1759" t="s">
        <v>1</v>
      </c>
      <c r="B1759">
        <v>8250</v>
      </c>
      <c r="C1759">
        <v>8</v>
      </c>
      <c r="D1759">
        <v>1</v>
      </c>
      <c r="E1759">
        <v>0</v>
      </c>
      <c r="F1759">
        <v>39365178</v>
      </c>
      <c r="G1759">
        <v>27325.02</v>
      </c>
      <c r="H1759">
        <v>35948953.990000002</v>
      </c>
      <c r="I1759">
        <v>39321563.729999997</v>
      </c>
      <c r="J1759">
        <v>0.660493</v>
      </c>
      <c r="K1759">
        <v>4.9540000000000001E-3</v>
      </c>
      <c r="M1759" t="s">
        <v>2</v>
      </c>
      <c r="N1759">
        <v>3500</v>
      </c>
      <c r="O1759">
        <v>5</v>
      </c>
      <c r="P1759">
        <v>35</v>
      </c>
      <c r="Q1759">
        <v>0</v>
      </c>
      <c r="R1759">
        <v>841900000</v>
      </c>
      <c r="S1759">
        <v>1360541</v>
      </c>
      <c r="T1759">
        <v>840156858.75</v>
      </c>
      <c r="U1759">
        <v>840531145.07000005</v>
      </c>
      <c r="V1759">
        <v>5.4400000000000004E-3</v>
      </c>
      <c r="W1759">
        <v>1.18E-4</v>
      </c>
      <c r="Y1759" t="s">
        <v>0</v>
      </c>
      <c r="Z1759">
        <v>4000</v>
      </c>
      <c r="AA1759">
        <v>6</v>
      </c>
      <c r="AB1759">
        <v>1866</v>
      </c>
      <c r="AC1759">
        <v>0</v>
      </c>
      <c r="AD1759">
        <v>65410102583</v>
      </c>
      <c r="AE1759">
        <v>97220600.430000007</v>
      </c>
      <c r="AF1759">
        <v>65205970205</v>
      </c>
      <c r="AG1759">
        <v>65205970205</v>
      </c>
      <c r="AH1759">
        <v>1.9438E-2</v>
      </c>
      <c r="AI1759">
        <v>1.9438E-2</v>
      </c>
    </row>
    <row r="1760" spans="1:35" x14ac:dyDescent="0.35">
      <c r="A1760" t="s">
        <v>0</v>
      </c>
      <c r="B1760">
        <v>8250</v>
      </c>
      <c r="C1760">
        <v>5</v>
      </c>
      <c r="D1760">
        <v>513</v>
      </c>
      <c r="E1760">
        <v>0</v>
      </c>
      <c r="F1760">
        <v>15366600000</v>
      </c>
      <c r="G1760">
        <v>10130247.630000001</v>
      </c>
      <c r="H1760">
        <v>15336819560.059999</v>
      </c>
      <c r="I1760">
        <v>15350628515.41</v>
      </c>
      <c r="J1760">
        <v>1.5238E-2</v>
      </c>
      <c r="K1760">
        <v>4.5519999999999996E-3</v>
      </c>
      <c r="M1760" t="s">
        <v>0</v>
      </c>
      <c r="N1760">
        <v>4500</v>
      </c>
      <c r="O1760">
        <v>5</v>
      </c>
      <c r="P1760">
        <v>4182</v>
      </c>
      <c r="Q1760">
        <v>0</v>
      </c>
      <c r="R1760">
        <v>143824900000</v>
      </c>
      <c r="S1760">
        <v>192995410.28999999</v>
      </c>
      <c r="T1760">
        <v>143595831830.78</v>
      </c>
      <c r="U1760">
        <v>143627043066.10001</v>
      </c>
      <c r="V1760">
        <v>3.006E-3</v>
      </c>
      <c r="W1760">
        <v>4.06E-4</v>
      </c>
      <c r="Y1760" t="s">
        <v>1</v>
      </c>
      <c r="Z1760">
        <v>4500</v>
      </c>
      <c r="AA1760">
        <v>5</v>
      </c>
      <c r="AB1760">
        <v>1633</v>
      </c>
      <c r="AC1760">
        <v>0</v>
      </c>
      <c r="AD1760">
        <v>62463600000</v>
      </c>
      <c r="AE1760">
        <v>83579259.409999996</v>
      </c>
      <c r="AF1760">
        <v>62290580211</v>
      </c>
      <c r="AG1760">
        <v>62338016702.309998</v>
      </c>
      <c r="AH1760">
        <v>1.7048000000000001E-2</v>
      </c>
      <c r="AI1760">
        <v>8.0400000000000003E-3</v>
      </c>
    </row>
    <row r="1761" spans="1:35" x14ac:dyDescent="0.35">
      <c r="A1761" t="s">
        <v>3</v>
      </c>
      <c r="B1761">
        <v>5750</v>
      </c>
      <c r="C1761">
        <v>6</v>
      </c>
      <c r="D1761">
        <v>5</v>
      </c>
      <c r="E1761">
        <v>0</v>
      </c>
      <c r="F1761">
        <v>120797528</v>
      </c>
      <c r="G1761">
        <v>130617.87</v>
      </c>
      <c r="H1761">
        <v>120628158.02</v>
      </c>
      <c r="I1761">
        <v>120666909.8</v>
      </c>
      <c r="J1761">
        <v>3.8430000000000001E-3</v>
      </c>
      <c r="K1761">
        <v>0</v>
      </c>
      <c r="M1761" t="s">
        <v>2</v>
      </c>
      <c r="N1761">
        <v>4250</v>
      </c>
      <c r="O1761">
        <v>5</v>
      </c>
      <c r="P1761">
        <v>68</v>
      </c>
      <c r="Q1761">
        <v>0</v>
      </c>
      <c r="R1761">
        <v>1880200000</v>
      </c>
      <c r="S1761">
        <v>2646171.2999999998</v>
      </c>
      <c r="T1761">
        <v>1876970449.7</v>
      </c>
      <c r="U1761">
        <v>1877436454.1500001</v>
      </c>
      <c r="V1761">
        <v>3.7169999999999998E-3</v>
      </c>
      <c r="W1761">
        <v>7.4899999999999999E-4</v>
      </c>
      <c r="Y1761" t="s">
        <v>1</v>
      </c>
      <c r="Z1761">
        <v>8250</v>
      </c>
      <c r="AA1761">
        <v>7</v>
      </c>
      <c r="AB1761">
        <v>1</v>
      </c>
      <c r="AC1761">
        <v>0</v>
      </c>
      <c r="AD1761">
        <v>39365178</v>
      </c>
      <c r="AE1761">
        <v>27122.55</v>
      </c>
      <c r="AF1761">
        <v>39365178</v>
      </c>
      <c r="AG1761">
        <v>39365178</v>
      </c>
      <c r="AH1761">
        <v>-8.2990000000000008E-3</v>
      </c>
      <c r="AI1761">
        <v>-8.2990000000000008E-3</v>
      </c>
    </row>
    <row r="1762" spans="1:35" x14ac:dyDescent="0.35">
      <c r="A1762" t="s">
        <v>1</v>
      </c>
      <c r="B1762">
        <v>4250</v>
      </c>
      <c r="C1762">
        <v>7</v>
      </c>
      <c r="D1762">
        <v>171</v>
      </c>
      <c r="E1762">
        <v>0</v>
      </c>
      <c r="F1762">
        <v>6506529626</v>
      </c>
      <c r="G1762">
        <v>9314797.7699999996</v>
      </c>
      <c r="H1762">
        <v>6490243423.1700001</v>
      </c>
      <c r="I1762">
        <v>6496371748.3199997</v>
      </c>
      <c r="J1762">
        <v>1.2782E-2</v>
      </c>
      <c r="K1762">
        <v>1.554E-3</v>
      </c>
      <c r="M1762" t="s">
        <v>3</v>
      </c>
      <c r="N1762">
        <v>7750</v>
      </c>
      <c r="O1762">
        <v>5</v>
      </c>
      <c r="P1762">
        <v>2</v>
      </c>
      <c r="Q1762">
        <v>0</v>
      </c>
      <c r="R1762">
        <v>72100000</v>
      </c>
      <c r="S1762">
        <v>53107.21</v>
      </c>
      <c r="T1762">
        <v>72044385.489999995</v>
      </c>
      <c r="U1762">
        <v>72046892.780000001</v>
      </c>
      <c r="V1762">
        <v>4.17E-4</v>
      </c>
      <c r="W1762">
        <v>0</v>
      </c>
      <c r="Y1762" t="s">
        <v>1</v>
      </c>
      <c r="Z1762">
        <v>4250</v>
      </c>
      <c r="AA1762">
        <v>6</v>
      </c>
      <c r="AB1762">
        <v>171</v>
      </c>
      <c r="AC1762">
        <v>0</v>
      </c>
      <c r="AD1762">
        <v>6528299648</v>
      </c>
      <c r="AE1762">
        <v>9299849.9399999995</v>
      </c>
      <c r="AF1762">
        <v>6506529626</v>
      </c>
      <c r="AG1762">
        <v>6506529626</v>
      </c>
      <c r="AH1762">
        <v>2.2682999999999998E-2</v>
      </c>
      <c r="AI1762">
        <v>2.2682999999999998E-2</v>
      </c>
    </row>
    <row r="1763" spans="1:35" x14ac:dyDescent="0.35">
      <c r="A1763" t="s">
        <v>0</v>
      </c>
      <c r="B1763">
        <v>4250</v>
      </c>
      <c r="C1763">
        <v>7</v>
      </c>
      <c r="D1763">
        <v>540</v>
      </c>
      <c r="E1763">
        <v>0</v>
      </c>
      <c r="F1763">
        <v>17131851853</v>
      </c>
      <c r="G1763">
        <v>24488759.829999998</v>
      </c>
      <c r="H1763">
        <v>17101904642.049999</v>
      </c>
      <c r="I1763">
        <v>17106043011.690001</v>
      </c>
      <c r="J1763">
        <v>3.8170000000000001E-3</v>
      </c>
      <c r="K1763">
        <v>9.2400000000000002E-4</v>
      </c>
      <c r="M1763" t="s">
        <v>1</v>
      </c>
      <c r="N1763">
        <v>5750</v>
      </c>
      <c r="O1763">
        <v>168</v>
      </c>
      <c r="P1763">
        <v>2</v>
      </c>
      <c r="Q1763">
        <v>0</v>
      </c>
      <c r="R1763">
        <v>21477592</v>
      </c>
      <c r="S1763">
        <v>59086.39</v>
      </c>
      <c r="T1763">
        <v>21084765.809999999</v>
      </c>
      <c r="U1763">
        <v>21418503.609999999</v>
      </c>
      <c r="V1763">
        <v>0.17132900000000001</v>
      </c>
      <c r="W1763">
        <v>9.9999999999999995E-7</v>
      </c>
      <c r="Y1763" t="s">
        <v>0</v>
      </c>
      <c r="Z1763">
        <v>4250</v>
      </c>
      <c r="AA1763">
        <v>6</v>
      </c>
      <c r="AB1763">
        <v>540</v>
      </c>
      <c r="AC1763">
        <v>0</v>
      </c>
      <c r="AD1763">
        <v>17213072197</v>
      </c>
      <c r="AE1763">
        <v>24483388.719999999</v>
      </c>
      <c r="AF1763">
        <v>17131851853</v>
      </c>
      <c r="AG1763">
        <v>17131851853</v>
      </c>
      <c r="AH1763">
        <v>3.8844999999999998E-2</v>
      </c>
      <c r="AI1763">
        <v>3.8844999999999998E-2</v>
      </c>
    </row>
    <row r="1764" spans="1:35" x14ac:dyDescent="0.35">
      <c r="A1764" t="s">
        <v>3</v>
      </c>
      <c r="B1764">
        <v>7250</v>
      </c>
      <c r="C1764">
        <v>7</v>
      </c>
      <c r="D1764">
        <v>1</v>
      </c>
      <c r="E1764">
        <v>0</v>
      </c>
      <c r="F1764">
        <v>19600524</v>
      </c>
      <c r="G1764">
        <v>16037.97</v>
      </c>
      <c r="H1764">
        <v>19555696.27</v>
      </c>
      <c r="I1764">
        <v>19584484.420000002</v>
      </c>
      <c r="J1764">
        <v>1.7484E-2</v>
      </c>
      <c r="K1764">
        <v>9.9999999999999995E-7</v>
      </c>
      <c r="M1764" t="s">
        <v>3</v>
      </c>
      <c r="N1764">
        <v>2750</v>
      </c>
      <c r="O1764">
        <v>168</v>
      </c>
      <c r="P1764">
        <v>1</v>
      </c>
      <c r="Q1764">
        <v>0</v>
      </c>
      <c r="R1764">
        <v>21847311</v>
      </c>
      <c r="S1764">
        <v>82101.100000000006</v>
      </c>
      <c r="T1764">
        <v>21745731.219999999</v>
      </c>
      <c r="U1764">
        <v>21765209.850000001</v>
      </c>
      <c r="V1764">
        <v>1.0647E-2</v>
      </c>
      <c r="W1764">
        <v>0</v>
      </c>
      <c r="Y1764" t="s">
        <v>3</v>
      </c>
      <c r="Z1764">
        <v>7250</v>
      </c>
      <c r="AA1764">
        <v>6</v>
      </c>
      <c r="AB1764">
        <v>1</v>
      </c>
      <c r="AC1764">
        <v>0</v>
      </c>
      <c r="AD1764">
        <v>19700000</v>
      </c>
      <c r="AE1764">
        <v>16009.54</v>
      </c>
      <c r="AF1764">
        <v>19600524</v>
      </c>
      <c r="AG1764">
        <v>19600524</v>
      </c>
      <c r="AH1764">
        <v>4.9674000000000003E-2</v>
      </c>
      <c r="AI1764">
        <v>4.9674000000000003E-2</v>
      </c>
    </row>
    <row r="1765" spans="1:35" x14ac:dyDescent="0.35">
      <c r="A1765" t="s">
        <v>2</v>
      </c>
      <c r="B1765">
        <v>3500</v>
      </c>
      <c r="C1765">
        <v>6</v>
      </c>
      <c r="D1765">
        <v>6</v>
      </c>
      <c r="E1765">
        <v>0</v>
      </c>
      <c r="F1765">
        <v>89184807</v>
      </c>
      <c r="G1765">
        <v>145906.17000000001</v>
      </c>
      <c r="H1765">
        <v>88933239.280000001</v>
      </c>
      <c r="I1765">
        <v>89037961</v>
      </c>
      <c r="J1765">
        <v>1.4125E-2</v>
      </c>
      <c r="K1765">
        <v>1.26E-4</v>
      </c>
      <c r="M1765" t="s">
        <v>2</v>
      </c>
      <c r="N1765">
        <v>6000</v>
      </c>
      <c r="O1765">
        <v>168</v>
      </c>
      <c r="P1765">
        <v>2</v>
      </c>
      <c r="Q1765">
        <v>0</v>
      </c>
      <c r="R1765">
        <v>15043483</v>
      </c>
      <c r="S1765">
        <v>60833.15</v>
      </c>
      <c r="T1765">
        <v>14892982.029999999</v>
      </c>
      <c r="U1765">
        <v>14982560.380000001</v>
      </c>
      <c r="V1765">
        <v>6.9227999999999998E-2</v>
      </c>
      <c r="W1765">
        <v>7.1000000000000005E-5</v>
      </c>
      <c r="Y1765" t="s">
        <v>2</v>
      </c>
      <c r="Z1765">
        <v>3500</v>
      </c>
      <c r="AA1765">
        <v>5</v>
      </c>
      <c r="AB1765">
        <v>39</v>
      </c>
      <c r="AC1765">
        <v>0</v>
      </c>
      <c r="AD1765">
        <v>1080600000</v>
      </c>
      <c r="AE1765">
        <v>1726938.94</v>
      </c>
      <c r="AF1765">
        <v>1080184807</v>
      </c>
      <c r="AG1765">
        <v>1080184807</v>
      </c>
      <c r="AH1765">
        <v>-1.4664999999999999E-2</v>
      </c>
      <c r="AI1765">
        <v>-1.4664999999999999E-2</v>
      </c>
    </row>
    <row r="1766" spans="1:35" x14ac:dyDescent="0.35">
      <c r="A1766" t="s">
        <v>3</v>
      </c>
      <c r="B1766">
        <v>5500</v>
      </c>
      <c r="C1766">
        <v>5</v>
      </c>
      <c r="D1766">
        <v>22</v>
      </c>
      <c r="E1766">
        <v>0</v>
      </c>
      <c r="F1766">
        <v>707800000</v>
      </c>
      <c r="G1766">
        <v>790696.89</v>
      </c>
      <c r="H1766">
        <v>706964344.21000004</v>
      </c>
      <c r="I1766">
        <v>707009302.87</v>
      </c>
      <c r="J1766">
        <v>7.6199999999999998E-4</v>
      </c>
      <c r="K1766">
        <v>0</v>
      </c>
      <c r="M1766" t="s">
        <v>1</v>
      </c>
      <c r="N1766">
        <v>5750</v>
      </c>
      <c r="O1766">
        <v>144</v>
      </c>
      <c r="P1766">
        <v>10</v>
      </c>
      <c r="Q1766">
        <v>0</v>
      </c>
      <c r="R1766">
        <v>64147242</v>
      </c>
      <c r="S1766">
        <v>159703.47</v>
      </c>
      <c r="T1766">
        <v>63437132.770000003</v>
      </c>
      <c r="U1766">
        <v>63987530.770000003</v>
      </c>
      <c r="V1766">
        <v>9.8240999999999995E-2</v>
      </c>
      <c r="W1766">
        <v>9.9999999999999995E-7</v>
      </c>
      <c r="Y1766" t="s">
        <v>0</v>
      </c>
      <c r="Z1766">
        <v>4500</v>
      </c>
      <c r="AA1766">
        <v>5</v>
      </c>
      <c r="AB1766">
        <v>3617</v>
      </c>
      <c r="AC1766">
        <v>0</v>
      </c>
      <c r="AD1766">
        <v>125011300000</v>
      </c>
      <c r="AE1766">
        <v>167451592.41999999</v>
      </c>
      <c r="AF1766">
        <v>124835073412</v>
      </c>
      <c r="AG1766">
        <v>124835073412</v>
      </c>
      <c r="AH1766">
        <v>8.4199999999999998E-4</v>
      </c>
      <c r="AI1766">
        <v>8.4199999999999998E-4</v>
      </c>
    </row>
    <row r="1767" spans="1:35" x14ac:dyDescent="0.35">
      <c r="A1767" t="s">
        <v>3</v>
      </c>
      <c r="B1767">
        <v>7250</v>
      </c>
      <c r="C1767">
        <v>6</v>
      </c>
      <c r="D1767">
        <v>2</v>
      </c>
      <c r="E1767">
        <v>0</v>
      </c>
      <c r="F1767">
        <v>38512625</v>
      </c>
      <c r="G1767">
        <v>32067.74</v>
      </c>
      <c r="H1767">
        <v>38469460.189999998</v>
      </c>
      <c r="I1767">
        <v>38480556.759999998</v>
      </c>
      <c r="J1767">
        <v>3.4520000000000002E-3</v>
      </c>
      <c r="K1767">
        <v>0</v>
      </c>
      <c r="M1767" t="s">
        <v>0</v>
      </c>
      <c r="N1767">
        <v>6750</v>
      </c>
      <c r="O1767">
        <v>168</v>
      </c>
      <c r="P1767">
        <v>1</v>
      </c>
      <c r="Q1767">
        <v>0</v>
      </c>
      <c r="R1767">
        <v>7336772</v>
      </c>
      <c r="S1767">
        <v>17636.080000000002</v>
      </c>
      <c r="T1767">
        <v>7257465.3799999999</v>
      </c>
      <c r="U1767">
        <v>7319120.1200000001</v>
      </c>
      <c r="V1767">
        <v>9.6333000000000002E-2</v>
      </c>
      <c r="W1767">
        <v>2.5999999999999998E-5</v>
      </c>
      <c r="Y1767" t="s">
        <v>2</v>
      </c>
      <c r="Z1767">
        <v>4250</v>
      </c>
      <c r="AA1767">
        <v>5</v>
      </c>
      <c r="AB1767">
        <v>67</v>
      </c>
      <c r="AC1767">
        <v>0</v>
      </c>
      <c r="AD1767">
        <v>1889800000</v>
      </c>
      <c r="AE1767">
        <v>2659191.44</v>
      </c>
      <c r="AF1767">
        <v>1888460924</v>
      </c>
      <c r="AG1767">
        <v>1888460924</v>
      </c>
      <c r="AH1767">
        <v>-8.4150000000000006E-3</v>
      </c>
      <c r="AI1767">
        <v>-8.4150000000000006E-3</v>
      </c>
    </row>
    <row r="1768" spans="1:35" x14ac:dyDescent="0.35">
      <c r="A1768" t="s">
        <v>0</v>
      </c>
      <c r="B1768">
        <v>4500</v>
      </c>
      <c r="C1768">
        <v>5</v>
      </c>
      <c r="D1768">
        <v>2875</v>
      </c>
      <c r="E1768">
        <v>0</v>
      </c>
      <c r="F1768">
        <v>98677300000</v>
      </c>
      <c r="G1768">
        <v>132351539.42</v>
      </c>
      <c r="H1768">
        <v>98522754368.600006</v>
      </c>
      <c r="I1768">
        <v>98540650891.289993</v>
      </c>
      <c r="J1768">
        <v>2.696E-3</v>
      </c>
      <c r="K1768">
        <v>5.22E-4</v>
      </c>
      <c r="M1768" t="s">
        <v>0</v>
      </c>
      <c r="N1768">
        <v>6500</v>
      </c>
      <c r="O1768">
        <v>144</v>
      </c>
      <c r="P1768">
        <v>6</v>
      </c>
      <c r="Q1768">
        <v>0</v>
      </c>
      <c r="R1768">
        <v>41157178</v>
      </c>
      <c r="S1768">
        <v>95424.58</v>
      </c>
      <c r="T1768">
        <v>40794091.619999997</v>
      </c>
      <c r="U1768">
        <v>41060793.140000001</v>
      </c>
      <c r="V1768">
        <v>7.5309000000000001E-2</v>
      </c>
      <c r="W1768">
        <v>2.7999999999999998E-4</v>
      </c>
      <c r="Y1768" t="s">
        <v>0</v>
      </c>
      <c r="Z1768">
        <v>4000</v>
      </c>
      <c r="AA1768">
        <v>5</v>
      </c>
      <c r="AB1768">
        <v>12216</v>
      </c>
      <c r="AC1768">
        <v>0</v>
      </c>
      <c r="AD1768">
        <v>429391800000</v>
      </c>
      <c r="AE1768">
        <v>626910336.25</v>
      </c>
      <c r="AF1768">
        <v>428762578837</v>
      </c>
      <c r="AG1768">
        <v>428843660354.71002</v>
      </c>
      <c r="AH1768">
        <v>6.4999999999999994E-5</v>
      </c>
      <c r="AI1768">
        <v>-2.2039999999999998E-3</v>
      </c>
    </row>
    <row r="1769" spans="1:35" x14ac:dyDescent="0.35">
      <c r="A1769" t="s">
        <v>2</v>
      </c>
      <c r="B1769">
        <v>4250</v>
      </c>
      <c r="C1769">
        <v>5</v>
      </c>
      <c r="D1769">
        <v>53</v>
      </c>
      <c r="E1769">
        <v>0</v>
      </c>
      <c r="F1769">
        <v>1469400000</v>
      </c>
      <c r="G1769">
        <v>2070900.54</v>
      </c>
      <c r="H1769">
        <v>1466430037.5899999</v>
      </c>
      <c r="I1769">
        <v>1466703226.3</v>
      </c>
      <c r="J1769">
        <v>7.3179999999999999E-3</v>
      </c>
      <c r="K1769">
        <v>5.0990000000000002E-3</v>
      </c>
      <c r="M1769" t="s">
        <v>0</v>
      </c>
      <c r="N1769">
        <v>6750</v>
      </c>
      <c r="O1769">
        <v>144</v>
      </c>
      <c r="P1769">
        <v>13</v>
      </c>
      <c r="Q1769">
        <v>0</v>
      </c>
      <c r="R1769">
        <v>95962223</v>
      </c>
      <c r="S1769">
        <v>214801.67</v>
      </c>
      <c r="T1769">
        <v>94905321.829999998</v>
      </c>
      <c r="U1769">
        <v>95747101.129999995</v>
      </c>
      <c r="V1769">
        <v>0.100367</v>
      </c>
      <c r="W1769">
        <v>4.0000000000000003E-5</v>
      </c>
      <c r="Y1769" t="s">
        <v>3</v>
      </c>
      <c r="Z1769">
        <v>7750</v>
      </c>
      <c r="AA1769">
        <v>5</v>
      </c>
      <c r="AB1769">
        <v>2</v>
      </c>
      <c r="AC1769">
        <v>0</v>
      </c>
      <c r="AD1769">
        <v>72100000</v>
      </c>
      <c r="AE1769">
        <v>53863.86</v>
      </c>
      <c r="AF1769">
        <v>72100000</v>
      </c>
      <c r="AG1769">
        <v>72100000</v>
      </c>
      <c r="AH1769">
        <v>-9.0019999999999996E-3</v>
      </c>
      <c r="AI1769">
        <v>-9.0019999999999996E-3</v>
      </c>
    </row>
    <row r="1770" spans="1:35" x14ac:dyDescent="0.35">
      <c r="A1770" t="s">
        <v>0</v>
      </c>
      <c r="B1770">
        <v>4000</v>
      </c>
      <c r="C1770">
        <v>5</v>
      </c>
      <c r="D1770">
        <v>10485</v>
      </c>
      <c r="E1770">
        <v>0</v>
      </c>
      <c r="F1770">
        <v>366039300000</v>
      </c>
      <c r="G1770">
        <v>535302884.30000001</v>
      </c>
      <c r="H1770">
        <v>365443288769.95001</v>
      </c>
      <c r="I1770">
        <v>365495582566.19</v>
      </c>
      <c r="J1770">
        <v>1.9880000000000002E-3</v>
      </c>
      <c r="K1770">
        <v>2.7599999999999999E-4</v>
      </c>
      <c r="M1770" t="s">
        <v>3</v>
      </c>
      <c r="N1770">
        <v>3250</v>
      </c>
      <c r="O1770">
        <v>144</v>
      </c>
      <c r="P1770">
        <v>26</v>
      </c>
      <c r="Q1770">
        <v>0</v>
      </c>
      <c r="R1770">
        <v>384028600</v>
      </c>
      <c r="S1770">
        <v>1197376.1100000001</v>
      </c>
      <c r="T1770">
        <v>381956324.10000002</v>
      </c>
      <c r="U1770">
        <v>382831222.76999998</v>
      </c>
      <c r="V1770">
        <v>2.6998999999999999E-2</v>
      </c>
      <c r="W1770">
        <v>0</v>
      </c>
      <c r="Y1770" t="s">
        <v>0</v>
      </c>
      <c r="Z1770">
        <v>4000</v>
      </c>
      <c r="AA1770">
        <v>7</v>
      </c>
      <c r="AB1770">
        <v>1048</v>
      </c>
      <c r="AC1770">
        <v>0</v>
      </c>
      <c r="AD1770">
        <v>37556250014</v>
      </c>
      <c r="AE1770">
        <v>56065827.590000004</v>
      </c>
      <c r="AF1770">
        <v>37497848383</v>
      </c>
      <c r="AG1770">
        <v>37497848383</v>
      </c>
      <c r="AH1770">
        <v>7.4600000000000003E-4</v>
      </c>
      <c r="AI1770">
        <v>7.4600000000000003E-4</v>
      </c>
    </row>
    <row r="1771" spans="1:35" x14ac:dyDescent="0.35">
      <c r="A1771" t="s">
        <v>0</v>
      </c>
      <c r="B1771">
        <v>8500</v>
      </c>
      <c r="C1771">
        <v>5</v>
      </c>
      <c r="D1771">
        <v>11</v>
      </c>
      <c r="E1771">
        <v>0</v>
      </c>
      <c r="F1771">
        <v>384600000</v>
      </c>
      <c r="G1771">
        <v>244408.05</v>
      </c>
      <c r="H1771">
        <v>383738421.70999998</v>
      </c>
      <c r="I1771">
        <v>384208683.50999999</v>
      </c>
      <c r="J1771">
        <v>1.9087E-2</v>
      </c>
      <c r="K1771">
        <v>4.5739999999999999E-3</v>
      </c>
      <c r="M1771" t="s">
        <v>0</v>
      </c>
      <c r="N1771">
        <v>6250</v>
      </c>
      <c r="O1771">
        <v>144</v>
      </c>
      <c r="P1771">
        <v>3</v>
      </c>
      <c r="Q1771">
        <v>0</v>
      </c>
      <c r="R1771">
        <v>15523742</v>
      </c>
      <c r="S1771">
        <v>35933.949999999997</v>
      </c>
      <c r="T1771">
        <v>15253252.369999999</v>
      </c>
      <c r="U1771">
        <v>15319393.560000001</v>
      </c>
      <c r="V1771">
        <v>0.16697999999999999</v>
      </c>
      <c r="W1771">
        <v>0.122692</v>
      </c>
      <c r="Y1771" t="s">
        <v>1</v>
      </c>
      <c r="Z1771">
        <v>4000</v>
      </c>
      <c r="AA1771">
        <v>5</v>
      </c>
      <c r="AB1771">
        <v>4225</v>
      </c>
      <c r="AC1771">
        <v>0</v>
      </c>
      <c r="AD1771">
        <v>157651300000</v>
      </c>
      <c r="AE1771">
        <v>230222701.91999999</v>
      </c>
      <c r="AF1771">
        <v>157189080329</v>
      </c>
      <c r="AG1771">
        <v>157379199818.01001</v>
      </c>
      <c r="AH1771">
        <v>1.7517000000000001E-2</v>
      </c>
      <c r="AI1771">
        <v>3.1830000000000001E-3</v>
      </c>
    </row>
    <row r="1772" spans="1:35" x14ac:dyDescent="0.35">
      <c r="A1772" t="s">
        <v>0</v>
      </c>
      <c r="B1772">
        <v>9000</v>
      </c>
      <c r="C1772">
        <v>5</v>
      </c>
      <c r="D1772">
        <v>10</v>
      </c>
      <c r="E1772">
        <v>0</v>
      </c>
      <c r="F1772">
        <v>362900000</v>
      </c>
      <c r="G1772">
        <v>213679.63</v>
      </c>
      <c r="H1772">
        <v>362517001.19</v>
      </c>
      <c r="I1772">
        <v>362685738.16000003</v>
      </c>
      <c r="J1772">
        <v>5.5849999999999997E-3</v>
      </c>
      <c r="K1772">
        <v>1.9000000000000001E-5</v>
      </c>
      <c r="M1772" t="s">
        <v>3</v>
      </c>
      <c r="N1772">
        <v>5500</v>
      </c>
      <c r="O1772">
        <v>144</v>
      </c>
      <c r="P1772">
        <v>1</v>
      </c>
      <c r="Q1772">
        <v>0</v>
      </c>
      <c r="R1772">
        <v>8477305</v>
      </c>
      <c r="S1772">
        <v>22237.34</v>
      </c>
      <c r="T1772">
        <v>8447501.8699999992</v>
      </c>
      <c r="U1772">
        <v>8455067.6500000004</v>
      </c>
      <c r="V1772">
        <v>1.0657E-2</v>
      </c>
      <c r="W1772">
        <v>0</v>
      </c>
      <c r="Y1772" t="s">
        <v>3</v>
      </c>
      <c r="Z1772">
        <v>5500</v>
      </c>
      <c r="AA1772">
        <v>5</v>
      </c>
      <c r="AB1772">
        <v>24</v>
      </c>
      <c r="AC1772">
        <v>0</v>
      </c>
      <c r="AD1772">
        <v>749400000</v>
      </c>
      <c r="AE1772">
        <v>836778.49</v>
      </c>
      <c r="AF1772">
        <v>749134819</v>
      </c>
      <c r="AG1772">
        <v>749134819</v>
      </c>
      <c r="AH1772">
        <v>-9.1909999999999995E-3</v>
      </c>
      <c r="AI1772">
        <v>-9.1909999999999995E-3</v>
      </c>
    </row>
    <row r="1773" spans="1:35" x14ac:dyDescent="0.35">
      <c r="A1773" t="s">
        <v>1</v>
      </c>
      <c r="B1773">
        <v>8250</v>
      </c>
      <c r="C1773">
        <v>5</v>
      </c>
      <c r="D1773">
        <v>35</v>
      </c>
      <c r="E1773">
        <v>0</v>
      </c>
      <c r="F1773">
        <v>1081700000</v>
      </c>
      <c r="G1773">
        <v>754342.45</v>
      </c>
      <c r="H1773">
        <v>1078335140.72</v>
      </c>
      <c r="I1773">
        <v>1080329143.3399999</v>
      </c>
      <c r="J1773">
        <v>2.8579E-2</v>
      </c>
      <c r="K1773">
        <v>6.8180000000000003E-3</v>
      </c>
      <c r="M1773" t="s">
        <v>2</v>
      </c>
      <c r="N1773">
        <v>5500</v>
      </c>
      <c r="O1773">
        <v>144</v>
      </c>
      <c r="P1773">
        <v>1</v>
      </c>
      <c r="Q1773">
        <v>0</v>
      </c>
      <c r="R1773">
        <v>5726673</v>
      </c>
      <c r="S1773">
        <v>15240.14</v>
      </c>
      <c r="T1773">
        <v>5701141.2300000004</v>
      </c>
      <c r="U1773">
        <v>5711427.2999999998</v>
      </c>
      <c r="V1773">
        <v>2.1354000000000001E-2</v>
      </c>
      <c r="W1773">
        <v>1.2E-5</v>
      </c>
      <c r="Y1773" t="s">
        <v>1</v>
      </c>
      <c r="Z1773">
        <v>3750</v>
      </c>
      <c r="AA1773">
        <v>5</v>
      </c>
      <c r="AB1773">
        <v>320</v>
      </c>
      <c r="AC1773">
        <v>0</v>
      </c>
      <c r="AD1773">
        <v>12493700000</v>
      </c>
      <c r="AE1773">
        <v>19028183.510000002</v>
      </c>
      <c r="AF1773">
        <v>12487354126</v>
      </c>
      <c r="AG1773">
        <v>12487354126</v>
      </c>
      <c r="AH1773">
        <v>-1.2248999999999999E-2</v>
      </c>
      <c r="AI1773">
        <v>-1.2248999999999999E-2</v>
      </c>
    </row>
    <row r="1774" spans="1:35" x14ac:dyDescent="0.35">
      <c r="A1774" t="s">
        <v>1</v>
      </c>
      <c r="B1774">
        <v>8000</v>
      </c>
      <c r="C1774">
        <v>5</v>
      </c>
      <c r="D1774">
        <v>41</v>
      </c>
      <c r="E1774">
        <v>0</v>
      </c>
      <c r="F1774">
        <v>1215000000</v>
      </c>
      <c r="G1774">
        <v>856986.94</v>
      </c>
      <c r="H1774">
        <v>1207247598.4400001</v>
      </c>
      <c r="I1774">
        <v>1209601538.3499999</v>
      </c>
      <c r="J1774">
        <v>6.6017000000000006E-2</v>
      </c>
      <c r="K1774">
        <v>4.3943000000000003E-2</v>
      </c>
      <c r="M1774" t="s">
        <v>1</v>
      </c>
      <c r="N1774">
        <v>6000</v>
      </c>
      <c r="O1774">
        <v>144</v>
      </c>
      <c r="P1774">
        <v>2</v>
      </c>
      <c r="Q1774">
        <v>0</v>
      </c>
      <c r="R1774">
        <v>18254590</v>
      </c>
      <c r="S1774">
        <v>45399.4</v>
      </c>
      <c r="T1774">
        <v>18104429.710000001</v>
      </c>
      <c r="U1774">
        <v>18209189.34</v>
      </c>
      <c r="V1774">
        <v>6.6734000000000002E-2</v>
      </c>
      <c r="W1774">
        <v>9.9999999999999995E-7</v>
      </c>
      <c r="Y1774" t="s">
        <v>0</v>
      </c>
      <c r="Z1774">
        <v>4500</v>
      </c>
      <c r="AA1774">
        <v>8</v>
      </c>
      <c r="AB1774">
        <v>932</v>
      </c>
      <c r="AC1774">
        <v>0</v>
      </c>
      <c r="AD1774">
        <v>31022201319</v>
      </c>
      <c r="AE1774">
        <v>42651183.780000001</v>
      </c>
      <c r="AF1774">
        <v>30977654356</v>
      </c>
      <c r="AG1774">
        <v>30977654356</v>
      </c>
      <c r="AH1774">
        <v>7.3300000000000004E-4</v>
      </c>
      <c r="AI1774">
        <v>7.3300000000000004E-4</v>
      </c>
    </row>
    <row r="1775" spans="1:35" x14ac:dyDescent="0.35">
      <c r="A1775" t="s">
        <v>3</v>
      </c>
      <c r="B1775">
        <v>7750</v>
      </c>
      <c r="C1775">
        <v>5</v>
      </c>
      <c r="D1775">
        <v>1</v>
      </c>
      <c r="E1775">
        <v>0</v>
      </c>
      <c r="F1775">
        <v>37300000</v>
      </c>
      <c r="G1775">
        <v>27967.83</v>
      </c>
      <c r="H1775">
        <v>37268379.869999997</v>
      </c>
      <c r="I1775">
        <v>37272032.159999996</v>
      </c>
      <c r="J1775">
        <v>1.1739999999999999E-3</v>
      </c>
      <c r="K1775">
        <v>0</v>
      </c>
      <c r="M1775" t="s">
        <v>0</v>
      </c>
      <c r="N1775">
        <v>2250</v>
      </c>
      <c r="O1775">
        <v>144</v>
      </c>
      <c r="P1775">
        <v>15</v>
      </c>
      <c r="Q1775">
        <v>0</v>
      </c>
      <c r="R1775">
        <v>160908803</v>
      </c>
      <c r="S1775">
        <v>579680.1</v>
      </c>
      <c r="T1775">
        <v>159946372.71000001</v>
      </c>
      <c r="U1775">
        <v>160328906.11000001</v>
      </c>
      <c r="V1775">
        <v>2.8174000000000001E-2</v>
      </c>
      <c r="W1775">
        <v>1.5999999999999999E-5</v>
      </c>
      <c r="Y1775" t="s">
        <v>2</v>
      </c>
      <c r="Z1775">
        <v>3750</v>
      </c>
      <c r="AA1775">
        <v>5</v>
      </c>
      <c r="AB1775">
        <v>32</v>
      </c>
      <c r="AC1775">
        <v>0</v>
      </c>
      <c r="AD1775">
        <v>916500000</v>
      </c>
      <c r="AE1775">
        <v>1403196.07</v>
      </c>
      <c r="AF1775">
        <v>915299884</v>
      </c>
      <c r="AG1775">
        <v>915299884</v>
      </c>
      <c r="AH1775">
        <v>-2.6619999999999999E-3</v>
      </c>
      <c r="AI1775">
        <v>-2.6619999999999999E-3</v>
      </c>
    </row>
    <row r="1776" spans="1:35" x14ac:dyDescent="0.35">
      <c r="A1776" t="s">
        <v>0</v>
      </c>
      <c r="B1776">
        <v>4000</v>
      </c>
      <c r="C1776">
        <v>8</v>
      </c>
      <c r="D1776">
        <v>1048</v>
      </c>
      <c r="E1776">
        <v>0</v>
      </c>
      <c r="F1776">
        <v>37497848383</v>
      </c>
      <c r="G1776">
        <v>56248688.689999998</v>
      </c>
      <c r="H1776">
        <v>37426946416.459999</v>
      </c>
      <c r="I1776">
        <v>37438409586.419998</v>
      </c>
      <c r="J1776">
        <v>4.679E-3</v>
      </c>
      <c r="K1776">
        <v>1.0200000000000001E-3</v>
      </c>
      <c r="M1776" t="s">
        <v>0</v>
      </c>
      <c r="N1776">
        <v>7000</v>
      </c>
      <c r="O1776">
        <v>144</v>
      </c>
      <c r="P1776">
        <v>1</v>
      </c>
      <c r="Q1776">
        <v>0</v>
      </c>
      <c r="R1776">
        <v>16207003</v>
      </c>
      <c r="S1776">
        <v>35037.58</v>
      </c>
      <c r="T1776">
        <v>15881388.35</v>
      </c>
      <c r="U1776">
        <v>16171791.199999999</v>
      </c>
      <c r="V1776">
        <v>0.19515199999999999</v>
      </c>
      <c r="W1776">
        <v>1.2899999999999999E-4</v>
      </c>
      <c r="Y1776" t="s">
        <v>2</v>
      </c>
      <c r="Z1776">
        <v>3000</v>
      </c>
      <c r="AA1776">
        <v>5</v>
      </c>
      <c r="AB1776">
        <v>2</v>
      </c>
      <c r="AC1776">
        <v>0</v>
      </c>
      <c r="AD1776">
        <v>30700000</v>
      </c>
      <c r="AE1776">
        <v>52102.13</v>
      </c>
      <c r="AF1776">
        <v>30700000</v>
      </c>
      <c r="AG1776">
        <v>30700000</v>
      </c>
      <c r="AH1776">
        <v>-2.0556999999999999E-2</v>
      </c>
      <c r="AI1776">
        <v>-2.0556999999999999E-2</v>
      </c>
    </row>
    <row r="1777" spans="1:35" x14ac:dyDescent="0.35">
      <c r="A1777" t="s">
        <v>1</v>
      </c>
      <c r="B1777">
        <v>4000</v>
      </c>
      <c r="C1777">
        <v>6</v>
      </c>
      <c r="D1777">
        <v>633</v>
      </c>
      <c r="E1777">
        <v>0</v>
      </c>
      <c r="F1777">
        <v>24083180329</v>
      </c>
      <c r="G1777">
        <v>35810093.270000003</v>
      </c>
      <c r="H1777">
        <v>24029968929.040001</v>
      </c>
      <c r="I1777">
        <v>24039836752.369999</v>
      </c>
      <c r="J1777">
        <v>8.6359999999999996E-3</v>
      </c>
      <c r="K1777">
        <v>3.7469999999999999E-3</v>
      </c>
      <c r="M1777" t="s">
        <v>2</v>
      </c>
      <c r="N1777">
        <v>7250</v>
      </c>
      <c r="O1777">
        <v>144</v>
      </c>
      <c r="P1777">
        <v>1</v>
      </c>
      <c r="Q1777">
        <v>0</v>
      </c>
      <c r="R1777">
        <v>6251187</v>
      </c>
      <c r="S1777">
        <v>12808.75</v>
      </c>
      <c r="T1777">
        <v>6228536.7400000002</v>
      </c>
      <c r="U1777">
        <v>6238376.4500000002</v>
      </c>
      <c r="V1777">
        <v>1.8728999999999999E-2</v>
      </c>
      <c r="W1777">
        <v>3.0000000000000001E-6</v>
      </c>
      <c r="Y1777" t="s">
        <v>1</v>
      </c>
      <c r="Z1777">
        <v>5750</v>
      </c>
      <c r="AA1777">
        <v>168</v>
      </c>
      <c r="AB1777">
        <v>5</v>
      </c>
      <c r="AC1777">
        <v>0</v>
      </c>
      <c r="AD1777">
        <v>41732860</v>
      </c>
      <c r="AE1777">
        <v>114115.94</v>
      </c>
      <c r="AF1777">
        <v>41619720</v>
      </c>
      <c r="AG1777">
        <v>41619720</v>
      </c>
      <c r="AH1777">
        <v>-2.81E-4</v>
      </c>
      <c r="AI1777">
        <v>-2.81E-4</v>
      </c>
    </row>
    <row r="1778" spans="1:35" x14ac:dyDescent="0.35">
      <c r="A1778" t="s">
        <v>3</v>
      </c>
      <c r="B1778">
        <v>5250</v>
      </c>
      <c r="C1778">
        <v>5</v>
      </c>
      <c r="D1778">
        <v>12</v>
      </c>
      <c r="E1778">
        <v>0</v>
      </c>
      <c r="F1778">
        <v>378900000</v>
      </c>
      <c r="G1778">
        <v>439473.82</v>
      </c>
      <c r="H1778">
        <v>378432730.95999998</v>
      </c>
      <c r="I1778">
        <v>378460526.08999997</v>
      </c>
      <c r="J1778">
        <v>8.8000000000000003E-4</v>
      </c>
      <c r="K1778">
        <v>0</v>
      </c>
      <c r="M1778" t="s">
        <v>1</v>
      </c>
      <c r="N1778">
        <v>5750</v>
      </c>
      <c r="O1778">
        <v>120</v>
      </c>
      <c r="P1778">
        <v>2</v>
      </c>
      <c r="Q1778">
        <v>0</v>
      </c>
      <c r="R1778">
        <v>12583645</v>
      </c>
      <c r="S1778">
        <v>28196.39</v>
      </c>
      <c r="T1778">
        <v>12457295.640000001</v>
      </c>
      <c r="U1778">
        <v>12555443.199999999</v>
      </c>
      <c r="V1778">
        <v>8.9688000000000004E-2</v>
      </c>
      <c r="W1778">
        <v>5.0000000000000004E-6</v>
      </c>
      <c r="Y1778" t="s">
        <v>1</v>
      </c>
      <c r="Z1778">
        <v>3000</v>
      </c>
      <c r="AA1778">
        <v>216</v>
      </c>
      <c r="AB1778">
        <v>1</v>
      </c>
      <c r="AC1778">
        <v>0</v>
      </c>
      <c r="AD1778">
        <v>8731949</v>
      </c>
      <c r="AE1778">
        <v>42193.88</v>
      </c>
      <c r="AF1778">
        <v>8669933</v>
      </c>
      <c r="AG1778">
        <v>8669933</v>
      </c>
      <c r="AH1778">
        <v>2.6903E-2</v>
      </c>
      <c r="AI1778">
        <v>2.6903E-2</v>
      </c>
    </row>
    <row r="1779" spans="1:35" x14ac:dyDescent="0.35">
      <c r="A1779" t="s">
        <v>3</v>
      </c>
      <c r="B1779">
        <v>7750</v>
      </c>
      <c r="C1779">
        <v>6</v>
      </c>
      <c r="D1779">
        <v>1</v>
      </c>
      <c r="E1779">
        <v>0</v>
      </c>
      <c r="F1779">
        <v>34800000</v>
      </c>
      <c r="G1779">
        <v>26278.82</v>
      </c>
      <c r="H1779">
        <v>34763967.619999997</v>
      </c>
      <c r="I1779">
        <v>34773721.170000002</v>
      </c>
      <c r="J1779">
        <v>3.3579999999999999E-3</v>
      </c>
      <c r="K1779">
        <v>0</v>
      </c>
      <c r="M1779" t="s">
        <v>0</v>
      </c>
      <c r="N1779">
        <v>6000</v>
      </c>
      <c r="O1779">
        <v>120</v>
      </c>
      <c r="P1779">
        <v>13</v>
      </c>
      <c r="Q1779">
        <v>0</v>
      </c>
      <c r="R1779">
        <v>92254651</v>
      </c>
      <c r="S1779">
        <v>192694.58</v>
      </c>
      <c r="T1779">
        <v>91572939.450000003</v>
      </c>
      <c r="U1779">
        <v>92061932.310000002</v>
      </c>
      <c r="V1779">
        <v>6.1787000000000002E-2</v>
      </c>
      <c r="W1779">
        <v>3.0000000000000001E-6</v>
      </c>
      <c r="Y1779" t="s">
        <v>3</v>
      </c>
      <c r="Z1779">
        <v>2750</v>
      </c>
      <c r="AA1779">
        <v>168</v>
      </c>
      <c r="AB1779">
        <v>1</v>
      </c>
      <c r="AC1779">
        <v>0</v>
      </c>
      <c r="AD1779">
        <v>21680892</v>
      </c>
      <c r="AE1779">
        <v>82470.11</v>
      </c>
      <c r="AF1779">
        <v>21597396</v>
      </c>
      <c r="AG1779">
        <v>21597396</v>
      </c>
      <c r="AH1779">
        <v>5.6800000000000004E-4</v>
      </c>
      <c r="AI1779">
        <v>5.6800000000000004E-4</v>
      </c>
    </row>
    <row r="1780" spans="1:35" x14ac:dyDescent="0.35">
      <c r="A1780" t="s">
        <v>1</v>
      </c>
      <c r="B1780">
        <v>3750</v>
      </c>
      <c r="C1780">
        <v>5</v>
      </c>
      <c r="D1780">
        <v>291</v>
      </c>
      <c r="E1780">
        <v>0</v>
      </c>
      <c r="F1780">
        <v>11345600000</v>
      </c>
      <c r="G1780">
        <v>17332730.690000001</v>
      </c>
      <c r="H1780">
        <v>11312538023.24</v>
      </c>
      <c r="I1780">
        <v>11325311015.700001</v>
      </c>
      <c r="J1780">
        <v>1.651E-2</v>
      </c>
      <c r="K1780">
        <v>3.1220000000000002E-3</v>
      </c>
      <c r="M1780" t="s">
        <v>2</v>
      </c>
      <c r="N1780">
        <v>4250</v>
      </c>
      <c r="O1780">
        <v>240</v>
      </c>
      <c r="P1780">
        <v>1</v>
      </c>
      <c r="Q1780">
        <v>0</v>
      </c>
      <c r="R1780">
        <v>8223056</v>
      </c>
      <c r="S1780">
        <v>49916.09</v>
      </c>
      <c r="T1780">
        <v>8165720.1500000004</v>
      </c>
      <c r="U1780">
        <v>8173139.8099999996</v>
      </c>
      <c r="V1780">
        <v>1.0774000000000001E-2</v>
      </c>
      <c r="W1780">
        <v>0</v>
      </c>
      <c r="Y1780" t="s">
        <v>3</v>
      </c>
      <c r="Z1780">
        <v>5250</v>
      </c>
      <c r="AA1780">
        <v>168</v>
      </c>
      <c r="AB1780">
        <v>6</v>
      </c>
      <c r="AC1780">
        <v>0</v>
      </c>
      <c r="AD1780">
        <v>51992623</v>
      </c>
      <c r="AE1780">
        <v>147855.97</v>
      </c>
      <c r="AF1780">
        <v>51901090</v>
      </c>
      <c r="AG1780">
        <v>51901090</v>
      </c>
      <c r="AH1780">
        <v>-1.3077E-2</v>
      </c>
      <c r="AI1780">
        <v>-1.3077E-2</v>
      </c>
    </row>
    <row r="1781" spans="1:35" x14ac:dyDescent="0.35">
      <c r="A1781" t="s">
        <v>0</v>
      </c>
      <c r="B1781">
        <v>4000</v>
      </c>
      <c r="C1781">
        <v>6</v>
      </c>
      <c r="D1781">
        <v>1727</v>
      </c>
      <c r="E1781">
        <v>0</v>
      </c>
      <c r="F1781">
        <v>62723278837</v>
      </c>
      <c r="G1781">
        <v>93191407.680000007</v>
      </c>
      <c r="H1781">
        <v>62615698199.910004</v>
      </c>
      <c r="I1781">
        <v>62628143078.349998</v>
      </c>
      <c r="J1781">
        <v>2.7490000000000001E-3</v>
      </c>
      <c r="K1781">
        <v>3.7199999999999999E-4</v>
      </c>
      <c r="M1781" t="s">
        <v>0</v>
      </c>
      <c r="N1781">
        <v>2000</v>
      </c>
      <c r="O1781">
        <v>120</v>
      </c>
      <c r="P1781">
        <v>4</v>
      </c>
      <c r="Q1781">
        <v>0</v>
      </c>
      <c r="R1781">
        <v>55085078</v>
      </c>
      <c r="S1781">
        <v>182371.39</v>
      </c>
      <c r="T1781">
        <v>54658433.200000003</v>
      </c>
      <c r="U1781">
        <v>54902550.619999997</v>
      </c>
      <c r="V1781">
        <v>5.1935000000000002E-2</v>
      </c>
      <c r="W1781">
        <v>3.4E-5</v>
      </c>
      <c r="Y1781" t="s">
        <v>0</v>
      </c>
      <c r="Z1781">
        <v>6750</v>
      </c>
      <c r="AA1781">
        <v>168</v>
      </c>
      <c r="AB1781">
        <v>3</v>
      </c>
      <c r="AC1781">
        <v>0</v>
      </c>
      <c r="AD1781">
        <v>17992865</v>
      </c>
      <c r="AE1781">
        <v>43741.94</v>
      </c>
      <c r="AF1781">
        <v>17942064</v>
      </c>
      <c r="AG1781">
        <v>17942064</v>
      </c>
      <c r="AH1781">
        <v>4.6979999999999999E-3</v>
      </c>
      <c r="AI1781">
        <v>4.6979999999999999E-3</v>
      </c>
    </row>
    <row r="1782" spans="1:35" x14ac:dyDescent="0.35">
      <c r="A1782" t="s">
        <v>0</v>
      </c>
      <c r="B1782">
        <v>4500</v>
      </c>
      <c r="C1782">
        <v>9</v>
      </c>
      <c r="D1782">
        <v>932</v>
      </c>
      <c r="E1782">
        <v>0</v>
      </c>
      <c r="F1782">
        <v>30977654356</v>
      </c>
      <c r="G1782">
        <v>42808025.469999999</v>
      </c>
      <c r="H1782">
        <v>30920748816.73</v>
      </c>
      <c r="I1782">
        <v>30929783707.84</v>
      </c>
      <c r="J1782">
        <v>5.4469999999999996E-3</v>
      </c>
      <c r="K1782">
        <v>1.9589999999999998E-3</v>
      </c>
      <c r="M1782" t="s">
        <v>0</v>
      </c>
      <c r="N1782">
        <v>6500</v>
      </c>
      <c r="O1782">
        <v>120</v>
      </c>
      <c r="P1782">
        <v>1</v>
      </c>
      <c r="Q1782">
        <v>0</v>
      </c>
      <c r="R1782">
        <v>3839733</v>
      </c>
      <c r="S1782">
        <v>7545.13</v>
      </c>
      <c r="T1782">
        <v>3789153.81</v>
      </c>
      <c r="U1782">
        <v>3831973.47</v>
      </c>
      <c r="V1782">
        <v>0.126503</v>
      </c>
      <c r="W1782">
        <v>6.7000000000000002E-4</v>
      </c>
      <c r="Y1782" t="s">
        <v>3</v>
      </c>
      <c r="Z1782">
        <v>3250</v>
      </c>
      <c r="AA1782">
        <v>144</v>
      </c>
      <c r="AB1782">
        <v>24</v>
      </c>
      <c r="AC1782">
        <v>0</v>
      </c>
      <c r="AD1782">
        <v>352749751</v>
      </c>
      <c r="AE1782">
        <v>1104990.17</v>
      </c>
      <c r="AF1782">
        <v>351135465</v>
      </c>
      <c r="AG1782">
        <v>351135465</v>
      </c>
      <c r="AH1782">
        <v>1.7188999999999999E-2</v>
      </c>
      <c r="AI1782">
        <v>1.7188999999999999E-2</v>
      </c>
    </row>
    <row r="1783" spans="1:35" x14ac:dyDescent="0.35">
      <c r="A1783" t="s">
        <v>2</v>
      </c>
      <c r="B1783">
        <v>3750</v>
      </c>
      <c r="C1783">
        <v>5</v>
      </c>
      <c r="D1783">
        <v>25</v>
      </c>
      <c r="E1783">
        <v>0</v>
      </c>
      <c r="F1783">
        <v>710800000</v>
      </c>
      <c r="G1783">
        <v>1087230.33</v>
      </c>
      <c r="H1783">
        <v>709176577.71000004</v>
      </c>
      <c r="I1783">
        <v>709683901.45000005</v>
      </c>
      <c r="J1783">
        <v>9.0150000000000004E-3</v>
      </c>
      <c r="K1783">
        <v>4.8700000000000002E-4</v>
      </c>
      <c r="M1783" t="s">
        <v>1</v>
      </c>
      <c r="N1783">
        <v>6250</v>
      </c>
      <c r="O1783">
        <v>120</v>
      </c>
      <c r="P1783">
        <v>2</v>
      </c>
      <c r="Q1783">
        <v>0</v>
      </c>
      <c r="R1783">
        <v>14032998</v>
      </c>
      <c r="S1783">
        <v>28473.65</v>
      </c>
      <c r="T1783">
        <v>13873640.539999999</v>
      </c>
      <c r="U1783">
        <v>14004521.369999999</v>
      </c>
      <c r="V1783">
        <v>0.10635600000000001</v>
      </c>
      <c r="W1783">
        <v>3.0000000000000001E-6</v>
      </c>
      <c r="Y1783" t="s">
        <v>0</v>
      </c>
      <c r="Z1783">
        <v>6500</v>
      </c>
      <c r="AA1783">
        <v>144</v>
      </c>
      <c r="AB1783">
        <v>4</v>
      </c>
      <c r="AC1783">
        <v>0</v>
      </c>
      <c r="AD1783">
        <v>30996526</v>
      </c>
      <c r="AE1783">
        <v>71671.820000000007</v>
      </c>
      <c r="AF1783">
        <v>30868845</v>
      </c>
      <c r="AG1783">
        <v>30868845</v>
      </c>
      <c r="AH1783">
        <v>2.1468999999999999E-2</v>
      </c>
      <c r="AI1783">
        <v>2.1468999999999999E-2</v>
      </c>
    </row>
    <row r="1784" spans="1:35" x14ac:dyDescent="0.35">
      <c r="A1784" t="s">
        <v>2</v>
      </c>
      <c r="B1784">
        <v>3000</v>
      </c>
      <c r="C1784">
        <v>5</v>
      </c>
      <c r="D1784">
        <v>2</v>
      </c>
      <c r="E1784">
        <v>0</v>
      </c>
      <c r="F1784">
        <v>30700000</v>
      </c>
      <c r="G1784">
        <v>52321.21</v>
      </c>
      <c r="H1784">
        <v>30613567.940000001</v>
      </c>
      <c r="I1784">
        <v>30647509.079999998</v>
      </c>
      <c r="J1784">
        <v>1.3252E-2</v>
      </c>
      <c r="K1784">
        <v>6.6000000000000005E-5</v>
      </c>
      <c r="M1784" t="s">
        <v>3</v>
      </c>
      <c r="N1784">
        <v>3000</v>
      </c>
      <c r="O1784">
        <v>120</v>
      </c>
      <c r="P1784">
        <v>1</v>
      </c>
      <c r="Q1784">
        <v>0</v>
      </c>
      <c r="R1784">
        <v>16427589</v>
      </c>
      <c r="S1784">
        <v>47126.83</v>
      </c>
      <c r="T1784">
        <v>16297544.27</v>
      </c>
      <c r="U1784">
        <v>16380462.15</v>
      </c>
      <c r="V1784">
        <v>5.8916000000000003E-2</v>
      </c>
      <c r="W1784">
        <v>0</v>
      </c>
      <c r="Y1784" t="s">
        <v>3</v>
      </c>
      <c r="Z1784">
        <v>5500</v>
      </c>
      <c r="AA1784">
        <v>144</v>
      </c>
      <c r="AB1784">
        <v>1</v>
      </c>
      <c r="AC1784">
        <v>0</v>
      </c>
      <c r="AD1784">
        <v>8432022</v>
      </c>
      <c r="AE1784">
        <v>22439.77</v>
      </c>
      <c r="AF1784">
        <v>8386532</v>
      </c>
      <c r="AG1784">
        <v>8386532</v>
      </c>
      <c r="AH1784">
        <v>3.2315000000000003E-2</v>
      </c>
      <c r="AI1784">
        <v>3.2315000000000003E-2</v>
      </c>
    </row>
    <row r="1785" spans="1:35" x14ac:dyDescent="0.35">
      <c r="A1785" t="s">
        <v>1</v>
      </c>
      <c r="B1785">
        <v>4000</v>
      </c>
      <c r="C1785">
        <v>5</v>
      </c>
      <c r="D1785">
        <v>3587</v>
      </c>
      <c r="E1785">
        <v>0</v>
      </c>
      <c r="F1785">
        <v>133105900000</v>
      </c>
      <c r="G1785">
        <v>194642066.06</v>
      </c>
      <c r="H1785">
        <v>132819341989.37</v>
      </c>
      <c r="I1785">
        <v>132906133665.85001</v>
      </c>
      <c r="J1785">
        <v>8.2550000000000002E-3</v>
      </c>
      <c r="K1785">
        <v>4.6200000000000001E-4</v>
      </c>
      <c r="M1785" t="s">
        <v>3</v>
      </c>
      <c r="N1785">
        <v>6250</v>
      </c>
      <c r="O1785">
        <v>192</v>
      </c>
      <c r="P1785">
        <v>2</v>
      </c>
      <c r="Q1785">
        <v>0</v>
      </c>
      <c r="R1785">
        <v>10553953</v>
      </c>
      <c r="S1785">
        <v>39186.870000000003</v>
      </c>
      <c r="T1785">
        <v>10461002.08</v>
      </c>
      <c r="U1785">
        <v>10514762.300000001</v>
      </c>
      <c r="V1785">
        <v>5.9447E-2</v>
      </c>
      <c r="W1785">
        <v>3.9999999999999998E-6</v>
      </c>
      <c r="Y1785" t="s">
        <v>2</v>
      </c>
      <c r="Z1785">
        <v>5500</v>
      </c>
      <c r="AA1785">
        <v>144</v>
      </c>
      <c r="AB1785">
        <v>1</v>
      </c>
      <c r="AC1785">
        <v>0</v>
      </c>
      <c r="AD1785">
        <v>5711222</v>
      </c>
      <c r="AE1785">
        <v>15420.93</v>
      </c>
      <c r="AF1785">
        <v>5695700</v>
      </c>
      <c r="AG1785">
        <v>5695700</v>
      </c>
      <c r="AH1785">
        <v>2.12E-4</v>
      </c>
      <c r="AI1785">
        <v>2.12E-4</v>
      </c>
    </row>
    <row r="1786" spans="1:35" x14ac:dyDescent="0.35">
      <c r="A1786" t="s">
        <v>2</v>
      </c>
      <c r="B1786">
        <v>4000</v>
      </c>
      <c r="C1786">
        <v>5</v>
      </c>
      <c r="D1786">
        <v>385</v>
      </c>
      <c r="E1786">
        <v>0</v>
      </c>
      <c r="F1786">
        <v>11456700000</v>
      </c>
      <c r="G1786">
        <v>16765023.310000001</v>
      </c>
      <c r="H1786">
        <v>11438225073.09</v>
      </c>
      <c r="I1786">
        <v>11439780161.84</v>
      </c>
      <c r="J1786">
        <v>1.7899999999999999E-3</v>
      </c>
      <c r="K1786">
        <v>1.6200000000000001E-4</v>
      </c>
      <c r="M1786" t="s">
        <v>3</v>
      </c>
      <c r="N1786">
        <v>3000</v>
      </c>
      <c r="O1786">
        <v>108</v>
      </c>
      <c r="P1786">
        <v>4</v>
      </c>
      <c r="Q1786">
        <v>0</v>
      </c>
      <c r="R1786">
        <v>70756766</v>
      </c>
      <c r="S1786">
        <v>200412.04</v>
      </c>
      <c r="T1786">
        <v>70379381.950000003</v>
      </c>
      <c r="U1786">
        <v>70556353.920000002</v>
      </c>
      <c r="V1786">
        <v>2.9603999999999998E-2</v>
      </c>
      <c r="W1786">
        <v>0</v>
      </c>
      <c r="Y1786" t="s">
        <v>0</v>
      </c>
      <c r="Z1786">
        <v>6750</v>
      </c>
      <c r="AA1786">
        <v>144</v>
      </c>
      <c r="AB1786">
        <v>11</v>
      </c>
      <c r="AC1786">
        <v>0</v>
      </c>
      <c r="AD1786">
        <v>84838385</v>
      </c>
      <c r="AE1786">
        <v>191315.69</v>
      </c>
      <c r="AF1786">
        <v>79419899</v>
      </c>
      <c r="AG1786">
        <v>84604785.609999999</v>
      </c>
      <c r="AH1786">
        <v>0.53378899999999996</v>
      </c>
      <c r="AI1786">
        <v>5.9639999999999997E-3</v>
      </c>
    </row>
    <row r="1787" spans="1:35" x14ac:dyDescent="0.35">
      <c r="A1787" t="s">
        <v>2</v>
      </c>
      <c r="B1787">
        <v>3250</v>
      </c>
      <c r="C1787">
        <v>5</v>
      </c>
      <c r="D1787">
        <v>13</v>
      </c>
      <c r="E1787">
        <v>0</v>
      </c>
      <c r="F1787">
        <v>345200000</v>
      </c>
      <c r="G1787">
        <v>577887.31999999995</v>
      </c>
      <c r="H1787">
        <v>344439956.13</v>
      </c>
      <c r="I1787">
        <v>344609109.61000001</v>
      </c>
      <c r="J1787">
        <v>6.3140000000000002E-3</v>
      </c>
      <c r="K1787">
        <v>4.5199999999999998E-4</v>
      </c>
      <c r="M1787" t="s">
        <v>0</v>
      </c>
      <c r="N1787">
        <v>8250</v>
      </c>
      <c r="O1787">
        <v>240</v>
      </c>
      <c r="P1787">
        <v>1</v>
      </c>
      <c r="Q1787">
        <v>0</v>
      </c>
      <c r="R1787">
        <v>3682877</v>
      </c>
      <c r="S1787">
        <v>15386.07</v>
      </c>
      <c r="T1787">
        <v>3641563.36</v>
      </c>
      <c r="U1787">
        <v>3667484.06</v>
      </c>
      <c r="V1787">
        <v>8.1284999999999996E-2</v>
      </c>
      <c r="W1787">
        <v>2.1999999999999999E-5</v>
      </c>
      <c r="Y1787" t="s">
        <v>1</v>
      </c>
      <c r="Z1787">
        <v>5750</v>
      </c>
      <c r="AA1787">
        <v>144</v>
      </c>
      <c r="AB1787">
        <v>8</v>
      </c>
      <c r="AC1787">
        <v>0</v>
      </c>
      <c r="AD1787">
        <v>50131645</v>
      </c>
      <c r="AE1787">
        <v>122055.35</v>
      </c>
      <c r="AF1787">
        <v>49987620</v>
      </c>
      <c r="AG1787">
        <v>49987620</v>
      </c>
      <c r="AH1787">
        <v>5.2459999999999998E-3</v>
      </c>
      <c r="AI1787">
        <v>5.2459999999999998E-3</v>
      </c>
    </row>
    <row r="1788" spans="1:35" x14ac:dyDescent="0.35">
      <c r="A1788" t="s">
        <v>1</v>
      </c>
      <c r="B1788">
        <v>5750</v>
      </c>
      <c r="C1788">
        <v>168</v>
      </c>
      <c r="D1788">
        <v>5</v>
      </c>
      <c r="E1788">
        <v>0</v>
      </c>
      <c r="F1788">
        <v>41619720</v>
      </c>
      <c r="G1788">
        <v>114664.14</v>
      </c>
      <c r="H1788">
        <v>41144070.509999998</v>
      </c>
      <c r="I1788">
        <v>41505052.920000002</v>
      </c>
      <c r="J1788">
        <v>9.9256999999999998E-2</v>
      </c>
      <c r="K1788">
        <v>9.9999999999999995E-7</v>
      </c>
      <c r="M1788" t="s">
        <v>0</v>
      </c>
      <c r="N1788">
        <v>2250</v>
      </c>
      <c r="O1788">
        <v>120</v>
      </c>
      <c r="P1788">
        <v>6</v>
      </c>
      <c r="Q1788">
        <v>0</v>
      </c>
      <c r="R1788">
        <v>51229251</v>
      </c>
      <c r="S1788">
        <v>164050.70000000001</v>
      </c>
      <c r="T1788">
        <v>50830624.700000003</v>
      </c>
      <c r="U1788">
        <v>51065083.560000002</v>
      </c>
      <c r="V1788">
        <v>5.3584E-2</v>
      </c>
      <c r="W1788">
        <v>2.6999999999999999E-5</v>
      </c>
      <c r="Y1788" t="s">
        <v>1</v>
      </c>
      <c r="Z1788">
        <v>2500</v>
      </c>
      <c r="AA1788">
        <v>144</v>
      </c>
      <c r="AB1788">
        <v>10</v>
      </c>
      <c r="AC1788">
        <v>0</v>
      </c>
      <c r="AD1788">
        <v>110611309</v>
      </c>
      <c r="AE1788">
        <v>398929.31</v>
      </c>
      <c r="AF1788">
        <v>110203053</v>
      </c>
      <c r="AG1788">
        <v>110203053</v>
      </c>
      <c r="AH1788">
        <v>1.011E-3</v>
      </c>
      <c r="AI1788">
        <v>1.011E-3</v>
      </c>
    </row>
    <row r="1789" spans="1:35" x14ac:dyDescent="0.35">
      <c r="A1789" t="s">
        <v>1</v>
      </c>
      <c r="B1789">
        <v>3000</v>
      </c>
      <c r="C1789">
        <v>216</v>
      </c>
      <c r="D1789">
        <v>1</v>
      </c>
      <c r="E1789">
        <v>0</v>
      </c>
      <c r="F1789">
        <v>8669933</v>
      </c>
      <c r="G1789">
        <v>42202.87</v>
      </c>
      <c r="H1789">
        <v>8611408.8200000003</v>
      </c>
      <c r="I1789">
        <v>8627729</v>
      </c>
      <c r="J1789">
        <v>2.2357999999999999E-2</v>
      </c>
      <c r="K1789">
        <v>1.9999999999999999E-6</v>
      </c>
      <c r="M1789" t="s">
        <v>0</v>
      </c>
      <c r="N1789">
        <v>6000</v>
      </c>
      <c r="O1789">
        <v>108</v>
      </c>
      <c r="P1789">
        <v>16</v>
      </c>
      <c r="Q1789">
        <v>0</v>
      </c>
      <c r="R1789">
        <v>134335133</v>
      </c>
      <c r="S1789">
        <v>255559</v>
      </c>
      <c r="T1789">
        <v>133291901.73</v>
      </c>
      <c r="U1789">
        <v>134076545.22</v>
      </c>
      <c r="V1789">
        <v>6.8136000000000002E-2</v>
      </c>
      <c r="W1789">
        <v>2.7099999999999997E-4</v>
      </c>
      <c r="Y1789" t="s">
        <v>1</v>
      </c>
      <c r="Z1789">
        <v>6000</v>
      </c>
      <c r="AA1789">
        <v>144</v>
      </c>
      <c r="AB1789">
        <v>2</v>
      </c>
      <c r="AC1789">
        <v>0</v>
      </c>
      <c r="AD1789">
        <v>18162893</v>
      </c>
      <c r="AE1789">
        <v>45843.31</v>
      </c>
      <c r="AF1789">
        <v>18116707</v>
      </c>
      <c r="AG1789">
        <v>18116707</v>
      </c>
      <c r="AH1789">
        <v>2.2599999999999999E-4</v>
      </c>
      <c r="AI1789">
        <v>2.2599999999999999E-4</v>
      </c>
    </row>
    <row r="1790" spans="1:35" x14ac:dyDescent="0.35">
      <c r="A1790" t="s">
        <v>3</v>
      </c>
      <c r="B1790">
        <v>2750</v>
      </c>
      <c r="C1790">
        <v>168</v>
      </c>
      <c r="D1790">
        <v>1</v>
      </c>
      <c r="E1790">
        <v>0</v>
      </c>
      <c r="F1790">
        <v>21597396</v>
      </c>
      <c r="G1790">
        <v>82655.179999999993</v>
      </c>
      <c r="H1790">
        <v>21494744.960000001</v>
      </c>
      <c r="I1790">
        <v>21514740.809999999</v>
      </c>
      <c r="J1790">
        <v>1.1054E-2</v>
      </c>
      <c r="K1790">
        <v>0</v>
      </c>
      <c r="M1790" t="s">
        <v>2</v>
      </c>
      <c r="N1790">
        <v>2250</v>
      </c>
      <c r="O1790">
        <v>108</v>
      </c>
      <c r="P1790">
        <v>1</v>
      </c>
      <c r="Q1790">
        <v>0</v>
      </c>
      <c r="R1790">
        <v>4391788</v>
      </c>
      <c r="S1790">
        <v>13448.09</v>
      </c>
      <c r="T1790">
        <v>4364899.97</v>
      </c>
      <c r="U1790">
        <v>4378339.8099999996</v>
      </c>
      <c r="V1790">
        <v>3.6110999999999997E-2</v>
      </c>
      <c r="W1790">
        <v>0</v>
      </c>
      <c r="Y1790" t="s">
        <v>0</v>
      </c>
      <c r="Z1790">
        <v>2250</v>
      </c>
      <c r="AA1790">
        <v>144</v>
      </c>
      <c r="AB1790">
        <v>11</v>
      </c>
      <c r="AC1790">
        <v>0</v>
      </c>
      <c r="AD1790">
        <v>109298930</v>
      </c>
      <c r="AE1790">
        <v>389684.46</v>
      </c>
      <c r="AF1790">
        <v>108800133</v>
      </c>
      <c r="AG1790">
        <v>108800133</v>
      </c>
      <c r="AH1790">
        <v>1.1913999999999999E-2</v>
      </c>
      <c r="AI1790">
        <v>1.1913999999999999E-2</v>
      </c>
    </row>
    <row r="1791" spans="1:35" x14ac:dyDescent="0.35">
      <c r="A1791" t="s">
        <v>3</v>
      </c>
      <c r="B1791">
        <v>5250</v>
      </c>
      <c r="C1791">
        <v>168</v>
      </c>
      <c r="D1791">
        <v>6</v>
      </c>
      <c r="E1791">
        <v>0</v>
      </c>
      <c r="F1791">
        <v>51901090</v>
      </c>
      <c r="G1791">
        <v>148654.44</v>
      </c>
      <c r="H1791">
        <v>51147312.630000003</v>
      </c>
      <c r="I1791">
        <v>51480742.090000004</v>
      </c>
      <c r="J1791">
        <v>0.13127800000000001</v>
      </c>
      <c r="K1791">
        <v>6.1040999999999998E-2</v>
      </c>
      <c r="M1791" t="s">
        <v>2</v>
      </c>
      <c r="N1791">
        <v>5500</v>
      </c>
      <c r="O1791">
        <v>108</v>
      </c>
      <c r="P1791">
        <v>2</v>
      </c>
      <c r="Q1791">
        <v>0</v>
      </c>
      <c r="R1791">
        <v>26957588</v>
      </c>
      <c r="S1791">
        <v>56325.73</v>
      </c>
      <c r="T1791">
        <v>26801506.940000001</v>
      </c>
      <c r="U1791">
        <v>26901259.850000001</v>
      </c>
      <c r="V1791">
        <v>4.3513000000000003E-2</v>
      </c>
      <c r="W1791">
        <v>9.9999999999999995E-7</v>
      </c>
      <c r="Y1791" t="s">
        <v>0</v>
      </c>
      <c r="Z1791">
        <v>7000</v>
      </c>
      <c r="AA1791">
        <v>144</v>
      </c>
      <c r="AB1791">
        <v>1</v>
      </c>
      <c r="AC1791">
        <v>0</v>
      </c>
      <c r="AD1791">
        <v>16135273</v>
      </c>
      <c r="AE1791">
        <v>35435.54</v>
      </c>
      <c r="AF1791">
        <v>16099101</v>
      </c>
      <c r="AG1791">
        <v>16099101</v>
      </c>
      <c r="AH1791">
        <v>5.4799999999999998E-4</v>
      </c>
      <c r="AI1791">
        <v>5.4799999999999998E-4</v>
      </c>
    </row>
    <row r="1792" spans="1:35" x14ac:dyDescent="0.35">
      <c r="A1792" t="s">
        <v>0</v>
      </c>
      <c r="B1792">
        <v>6750</v>
      </c>
      <c r="C1792">
        <v>168</v>
      </c>
      <c r="D1792">
        <v>3</v>
      </c>
      <c r="E1792">
        <v>0</v>
      </c>
      <c r="F1792">
        <v>17942064</v>
      </c>
      <c r="G1792">
        <v>43970.74</v>
      </c>
      <c r="H1792">
        <v>17792490.210000001</v>
      </c>
      <c r="I1792">
        <v>17898058.329999998</v>
      </c>
      <c r="J1792">
        <v>6.8387000000000003E-2</v>
      </c>
      <c r="K1792">
        <v>2.3E-5</v>
      </c>
      <c r="M1792" t="s">
        <v>1</v>
      </c>
      <c r="N1792">
        <v>5750</v>
      </c>
      <c r="O1792">
        <v>108</v>
      </c>
      <c r="P1792">
        <v>2</v>
      </c>
      <c r="Q1792">
        <v>0</v>
      </c>
      <c r="R1792">
        <v>8595095</v>
      </c>
      <c r="S1792">
        <v>17151.580000000002</v>
      </c>
      <c r="T1792">
        <v>8499946.6500000004</v>
      </c>
      <c r="U1792">
        <v>8577939.9000000004</v>
      </c>
      <c r="V1792">
        <v>0.103621</v>
      </c>
      <c r="W1792">
        <v>5.0000000000000004E-6</v>
      </c>
      <c r="Y1792" t="s">
        <v>2</v>
      </c>
      <c r="Z1792">
        <v>7250</v>
      </c>
      <c r="AA1792">
        <v>144</v>
      </c>
      <c r="AB1792">
        <v>1</v>
      </c>
      <c r="AC1792">
        <v>0</v>
      </c>
      <c r="AD1792">
        <v>6212520</v>
      </c>
      <c r="AE1792">
        <v>12936.97</v>
      </c>
      <c r="AF1792">
        <v>6212520</v>
      </c>
      <c r="AG1792">
        <v>6212520</v>
      </c>
      <c r="AH1792">
        <v>-2.5277000000000001E-2</v>
      </c>
      <c r="AI1792">
        <v>-2.5277000000000001E-2</v>
      </c>
    </row>
    <row r="1793" spans="1:35" x14ac:dyDescent="0.35">
      <c r="A1793" t="s">
        <v>2</v>
      </c>
      <c r="B1793">
        <v>5250</v>
      </c>
      <c r="C1793">
        <v>144</v>
      </c>
      <c r="D1793">
        <v>8</v>
      </c>
      <c r="E1793">
        <v>0</v>
      </c>
      <c r="F1793">
        <v>52542160</v>
      </c>
      <c r="G1793">
        <v>137481.85</v>
      </c>
      <c r="H1793">
        <v>52143584.68</v>
      </c>
      <c r="I1793">
        <v>52404580.689999998</v>
      </c>
      <c r="J1793">
        <v>5.8028000000000003E-2</v>
      </c>
      <c r="K1793">
        <v>2.1999999999999999E-5</v>
      </c>
      <c r="M1793" t="s">
        <v>0</v>
      </c>
      <c r="N1793">
        <v>6500</v>
      </c>
      <c r="O1793">
        <v>108</v>
      </c>
      <c r="P1793">
        <v>1</v>
      </c>
      <c r="Q1793">
        <v>0</v>
      </c>
      <c r="R1793">
        <v>8081750</v>
      </c>
      <c r="S1793">
        <v>14552.57</v>
      </c>
      <c r="T1793">
        <v>7994336.8300000001</v>
      </c>
      <c r="U1793">
        <v>8067188.9500000002</v>
      </c>
      <c r="V1793">
        <v>0.102979</v>
      </c>
      <c r="W1793">
        <v>1.2999999999999999E-5</v>
      </c>
      <c r="Y1793" t="s">
        <v>0</v>
      </c>
      <c r="Z1793">
        <v>2500</v>
      </c>
      <c r="AA1793">
        <v>192</v>
      </c>
      <c r="AB1793">
        <v>2</v>
      </c>
      <c r="AC1793">
        <v>0</v>
      </c>
      <c r="AD1793">
        <v>17901696</v>
      </c>
      <c r="AE1793">
        <v>77888.399999999994</v>
      </c>
      <c r="AF1793">
        <v>17773134</v>
      </c>
      <c r="AG1793">
        <v>17773134</v>
      </c>
      <c r="AH1793">
        <v>3.3444000000000002E-2</v>
      </c>
      <c r="AI1793">
        <v>3.3444000000000002E-2</v>
      </c>
    </row>
    <row r="1794" spans="1:35" x14ac:dyDescent="0.35">
      <c r="A1794" t="s">
        <v>3</v>
      </c>
      <c r="B1794">
        <v>5500</v>
      </c>
      <c r="C1794">
        <v>144</v>
      </c>
      <c r="D1794">
        <v>1</v>
      </c>
      <c r="E1794">
        <v>0</v>
      </c>
      <c r="F1794">
        <v>8386532</v>
      </c>
      <c r="G1794">
        <v>22480.83</v>
      </c>
      <c r="H1794">
        <v>8357642.1699999999</v>
      </c>
      <c r="I1794">
        <v>8364051.1699999999</v>
      </c>
      <c r="J1794">
        <v>9.1319999999999995E-3</v>
      </c>
      <c r="K1794">
        <v>0</v>
      </c>
      <c r="M1794" t="s">
        <v>1</v>
      </c>
      <c r="N1794">
        <v>2000</v>
      </c>
      <c r="O1794">
        <v>108</v>
      </c>
      <c r="P1794">
        <v>7</v>
      </c>
      <c r="Q1794">
        <v>0</v>
      </c>
      <c r="R1794">
        <v>107932293</v>
      </c>
      <c r="S1794">
        <v>379301.04</v>
      </c>
      <c r="T1794">
        <v>106636034.62</v>
      </c>
      <c r="U1794">
        <v>107509799.11</v>
      </c>
      <c r="V1794">
        <v>9.7317000000000001E-2</v>
      </c>
      <c r="W1794">
        <v>4.7920000000000003E-3</v>
      </c>
      <c r="Y1794" t="s">
        <v>0</v>
      </c>
      <c r="Z1794">
        <v>5750</v>
      </c>
      <c r="AA1794">
        <v>120</v>
      </c>
      <c r="AB1794">
        <v>35</v>
      </c>
      <c r="AC1794">
        <v>0</v>
      </c>
      <c r="AD1794">
        <v>301167069</v>
      </c>
      <c r="AE1794">
        <v>650488.99</v>
      </c>
      <c r="AF1794">
        <v>300516587</v>
      </c>
      <c r="AG1794">
        <v>300516587</v>
      </c>
      <c r="AH1794">
        <v>0</v>
      </c>
      <c r="AI1794">
        <v>0</v>
      </c>
    </row>
    <row r="1795" spans="1:35" x14ac:dyDescent="0.35">
      <c r="A1795" t="s">
        <v>3</v>
      </c>
      <c r="B1795">
        <v>3250</v>
      </c>
      <c r="C1795">
        <v>144</v>
      </c>
      <c r="D1795">
        <v>23</v>
      </c>
      <c r="E1795">
        <v>0</v>
      </c>
      <c r="F1795">
        <v>339486157</v>
      </c>
      <c r="G1795">
        <v>1066395.69</v>
      </c>
      <c r="H1795">
        <v>337569074.43000001</v>
      </c>
      <c r="I1795">
        <v>338419760.25999999</v>
      </c>
      <c r="J1795">
        <v>2.9659000000000001E-2</v>
      </c>
      <c r="K1795">
        <v>0</v>
      </c>
      <c r="M1795" t="s">
        <v>3</v>
      </c>
      <c r="N1795">
        <v>3500</v>
      </c>
      <c r="O1795">
        <v>96</v>
      </c>
      <c r="P1795">
        <v>8</v>
      </c>
      <c r="Q1795">
        <v>0</v>
      </c>
      <c r="R1795">
        <v>127219422</v>
      </c>
      <c r="S1795">
        <v>317601.25</v>
      </c>
      <c r="T1795">
        <v>126399372.37</v>
      </c>
      <c r="U1795">
        <v>126901819.89</v>
      </c>
      <c r="V1795">
        <v>4.6378000000000003E-2</v>
      </c>
      <c r="W1795">
        <v>0</v>
      </c>
      <c r="Y1795" t="s">
        <v>1</v>
      </c>
      <c r="Z1795">
        <v>5750</v>
      </c>
      <c r="AA1795">
        <v>120</v>
      </c>
      <c r="AB1795">
        <v>1</v>
      </c>
      <c r="AC1795">
        <v>0</v>
      </c>
      <c r="AD1795">
        <v>5788623</v>
      </c>
      <c r="AE1795">
        <v>13004.44</v>
      </c>
      <c r="AF1795">
        <v>5775519</v>
      </c>
      <c r="AG1795">
        <v>5775519</v>
      </c>
      <c r="AH1795">
        <v>2.0599999999999999E-4</v>
      </c>
      <c r="AI1795">
        <v>2.0599999999999999E-4</v>
      </c>
    </row>
    <row r="1796" spans="1:35" x14ac:dyDescent="0.35">
      <c r="A1796" t="s">
        <v>2</v>
      </c>
      <c r="B1796">
        <v>5500</v>
      </c>
      <c r="C1796">
        <v>144</v>
      </c>
      <c r="D1796">
        <v>1</v>
      </c>
      <c r="E1796">
        <v>0</v>
      </c>
      <c r="F1796">
        <v>5695700</v>
      </c>
      <c r="G1796">
        <v>15491.34</v>
      </c>
      <c r="H1796">
        <v>5670613.4500000002</v>
      </c>
      <c r="I1796">
        <v>5680186.3899999997</v>
      </c>
      <c r="J1796">
        <v>2.0029000000000002E-2</v>
      </c>
      <c r="K1796">
        <v>4.6999999999999997E-5</v>
      </c>
      <c r="M1796" t="s">
        <v>0</v>
      </c>
      <c r="N1796">
        <v>6750</v>
      </c>
      <c r="O1796">
        <v>120</v>
      </c>
      <c r="P1796">
        <v>1</v>
      </c>
      <c r="Q1796">
        <v>0</v>
      </c>
      <c r="R1796">
        <v>23635472</v>
      </c>
      <c r="S1796">
        <v>47482.12</v>
      </c>
      <c r="T1796">
        <v>23458793.620000001</v>
      </c>
      <c r="U1796">
        <v>23587730.640000001</v>
      </c>
      <c r="V1796">
        <v>6.3658000000000006E-2</v>
      </c>
      <c r="W1796">
        <v>1.3200000000000001E-4</v>
      </c>
      <c r="Y1796" t="s">
        <v>0</v>
      </c>
      <c r="Z1796">
        <v>6000</v>
      </c>
      <c r="AA1796">
        <v>120</v>
      </c>
      <c r="AB1796">
        <v>13</v>
      </c>
      <c r="AC1796">
        <v>0</v>
      </c>
      <c r="AD1796">
        <v>91844488</v>
      </c>
      <c r="AE1796">
        <v>194539.16</v>
      </c>
      <c r="AF1796">
        <v>91650456</v>
      </c>
      <c r="AG1796">
        <v>91650456</v>
      </c>
      <c r="AH1796">
        <v>-6.6000000000000005E-5</v>
      </c>
      <c r="AI1796">
        <v>-6.6000000000000005E-5</v>
      </c>
    </row>
    <row r="1797" spans="1:35" x14ac:dyDescent="0.35">
      <c r="A1797" t="s">
        <v>0</v>
      </c>
      <c r="B1797">
        <v>6750</v>
      </c>
      <c r="C1797">
        <v>144</v>
      </c>
      <c r="D1797">
        <v>10</v>
      </c>
      <c r="E1797">
        <v>0</v>
      </c>
      <c r="F1797">
        <v>79419899</v>
      </c>
      <c r="G1797">
        <v>180413.18</v>
      </c>
      <c r="H1797">
        <v>78804517.010000005</v>
      </c>
      <c r="I1797">
        <v>79239234.469999999</v>
      </c>
      <c r="J1797">
        <v>6.3778000000000001E-2</v>
      </c>
      <c r="K1797">
        <v>3.8000000000000002E-5</v>
      </c>
      <c r="M1797" t="s">
        <v>1</v>
      </c>
      <c r="N1797">
        <v>2750</v>
      </c>
      <c r="O1797">
        <v>96</v>
      </c>
      <c r="P1797">
        <v>15</v>
      </c>
      <c r="Q1797">
        <v>0</v>
      </c>
      <c r="R1797">
        <v>301854485</v>
      </c>
      <c r="S1797">
        <v>823525.23</v>
      </c>
      <c r="T1797">
        <v>299515453.37</v>
      </c>
      <c r="U1797">
        <v>301029704.13999999</v>
      </c>
      <c r="V1797">
        <v>5.8611999999999997E-2</v>
      </c>
      <c r="W1797">
        <v>5.0000000000000002E-5</v>
      </c>
      <c r="Y1797" t="s">
        <v>0</v>
      </c>
      <c r="Z1797">
        <v>6250</v>
      </c>
      <c r="AA1797">
        <v>120</v>
      </c>
      <c r="AB1797">
        <v>3</v>
      </c>
      <c r="AC1797">
        <v>0</v>
      </c>
      <c r="AD1797">
        <v>21683909</v>
      </c>
      <c r="AE1797">
        <v>45262.080000000002</v>
      </c>
      <c r="AF1797">
        <v>21636316</v>
      </c>
      <c r="AG1797">
        <v>21636316</v>
      </c>
      <c r="AH1797">
        <v>1.289E-3</v>
      </c>
      <c r="AI1797">
        <v>1.289E-3</v>
      </c>
    </row>
    <row r="1798" spans="1:35" x14ac:dyDescent="0.35">
      <c r="A1798" t="s">
        <v>1</v>
      </c>
      <c r="B1798">
        <v>5750</v>
      </c>
      <c r="C1798">
        <v>144</v>
      </c>
      <c r="D1798">
        <v>8</v>
      </c>
      <c r="E1798">
        <v>0</v>
      </c>
      <c r="F1798">
        <v>49987620</v>
      </c>
      <c r="G1798">
        <v>122577.79</v>
      </c>
      <c r="H1798">
        <v>49383992.490000002</v>
      </c>
      <c r="I1798">
        <v>49863249.719999999</v>
      </c>
      <c r="J1798">
        <v>0.10956</v>
      </c>
      <c r="K1798">
        <v>4.2999999999999999E-4</v>
      </c>
      <c r="M1798" t="s">
        <v>1</v>
      </c>
      <c r="N1798">
        <v>2000</v>
      </c>
      <c r="O1798">
        <v>96</v>
      </c>
      <c r="P1798">
        <v>4</v>
      </c>
      <c r="Q1798">
        <v>0</v>
      </c>
      <c r="R1798">
        <v>27671761</v>
      </c>
      <c r="S1798">
        <v>93617.47</v>
      </c>
      <c r="T1798">
        <v>27303267.449999999</v>
      </c>
      <c r="U1798">
        <v>27578135.879999999</v>
      </c>
      <c r="V1798">
        <v>0.1129</v>
      </c>
      <c r="W1798">
        <v>3.0000000000000001E-6</v>
      </c>
      <c r="Y1798" t="s">
        <v>2</v>
      </c>
      <c r="Z1798">
        <v>4250</v>
      </c>
      <c r="AA1798">
        <v>240</v>
      </c>
      <c r="AB1798">
        <v>1</v>
      </c>
      <c r="AC1798">
        <v>0</v>
      </c>
      <c r="AD1798">
        <v>8172615</v>
      </c>
      <c r="AE1798">
        <v>50577.04</v>
      </c>
      <c r="AF1798">
        <v>8121996</v>
      </c>
      <c r="AG1798">
        <v>8121996</v>
      </c>
      <c r="AH1798">
        <v>6.2000000000000003E-5</v>
      </c>
      <c r="AI1798">
        <v>6.2000000000000003E-5</v>
      </c>
    </row>
    <row r="1799" spans="1:35" x14ac:dyDescent="0.35">
      <c r="A1799" t="s">
        <v>1</v>
      </c>
      <c r="B1799">
        <v>2500</v>
      </c>
      <c r="C1799">
        <v>144</v>
      </c>
      <c r="D1799">
        <v>10</v>
      </c>
      <c r="E1799">
        <v>0</v>
      </c>
      <c r="F1799">
        <v>110203053</v>
      </c>
      <c r="G1799">
        <v>399745.78</v>
      </c>
      <c r="H1799">
        <v>108890423.40000001</v>
      </c>
      <c r="I1799">
        <v>109435988.87</v>
      </c>
      <c r="J1799">
        <v>9.4997999999999999E-2</v>
      </c>
      <c r="K1799">
        <v>3.9272000000000001E-2</v>
      </c>
      <c r="M1799" t="s">
        <v>0</v>
      </c>
      <c r="N1799">
        <v>7000</v>
      </c>
      <c r="O1799">
        <v>96</v>
      </c>
      <c r="P1799">
        <v>8</v>
      </c>
      <c r="Q1799">
        <v>0</v>
      </c>
      <c r="R1799">
        <v>106536097</v>
      </c>
      <c r="S1799">
        <v>162350.87</v>
      </c>
      <c r="T1799">
        <v>104499096.31999999</v>
      </c>
      <c r="U1799">
        <v>105457212.94</v>
      </c>
      <c r="V1799">
        <v>0.19187299999999999</v>
      </c>
      <c r="W1799">
        <v>9.8488999999999993E-2</v>
      </c>
      <c r="Y1799" t="s">
        <v>0</v>
      </c>
      <c r="Z1799">
        <v>2000</v>
      </c>
      <c r="AA1799">
        <v>120</v>
      </c>
      <c r="AB1799">
        <v>4</v>
      </c>
      <c r="AC1799">
        <v>0</v>
      </c>
      <c r="AD1799">
        <v>54718284</v>
      </c>
      <c r="AE1799">
        <v>182960.2</v>
      </c>
      <c r="AF1799">
        <v>54534438</v>
      </c>
      <c r="AG1799">
        <v>54534438</v>
      </c>
      <c r="AH1799">
        <v>1.94E-4</v>
      </c>
      <c r="AI1799">
        <v>1.94E-4</v>
      </c>
    </row>
    <row r="1800" spans="1:35" x14ac:dyDescent="0.35">
      <c r="A1800" t="s">
        <v>1</v>
      </c>
      <c r="B1800">
        <v>6000</v>
      </c>
      <c r="C1800">
        <v>144</v>
      </c>
      <c r="D1800">
        <v>2</v>
      </c>
      <c r="E1800">
        <v>0</v>
      </c>
      <c r="F1800">
        <v>18116707</v>
      </c>
      <c r="G1800">
        <v>46066.879999999997</v>
      </c>
      <c r="H1800">
        <v>17987752.100000001</v>
      </c>
      <c r="I1800">
        <v>18070639.629999999</v>
      </c>
      <c r="J1800">
        <v>5.3541999999999999E-2</v>
      </c>
      <c r="K1800">
        <v>0</v>
      </c>
      <c r="M1800" t="s">
        <v>0</v>
      </c>
      <c r="N1800">
        <v>7250</v>
      </c>
      <c r="O1800">
        <v>96</v>
      </c>
      <c r="P1800">
        <v>12</v>
      </c>
      <c r="Q1800">
        <v>0</v>
      </c>
      <c r="R1800">
        <v>182604534</v>
      </c>
      <c r="S1800">
        <v>267384.68</v>
      </c>
      <c r="T1800">
        <v>180579045.97999999</v>
      </c>
      <c r="U1800">
        <v>181770569.13</v>
      </c>
      <c r="V1800">
        <v>0.109609</v>
      </c>
      <c r="W1800">
        <v>3.6603999999999998E-2</v>
      </c>
      <c r="Y1800" t="s">
        <v>0</v>
      </c>
      <c r="Z1800">
        <v>6500</v>
      </c>
      <c r="AA1800">
        <v>120</v>
      </c>
      <c r="AB1800">
        <v>1</v>
      </c>
      <c r="AC1800">
        <v>0</v>
      </c>
      <c r="AD1800">
        <v>3794317</v>
      </c>
      <c r="AE1800">
        <v>7566.69</v>
      </c>
      <c r="AF1800">
        <v>3782809</v>
      </c>
      <c r="AG1800">
        <v>3782809</v>
      </c>
      <c r="AH1800">
        <v>1.2394000000000001E-2</v>
      </c>
      <c r="AI1800">
        <v>1.2394000000000001E-2</v>
      </c>
    </row>
    <row r="1801" spans="1:35" x14ac:dyDescent="0.35">
      <c r="A1801" t="s">
        <v>0</v>
      </c>
      <c r="B1801">
        <v>2500</v>
      </c>
      <c r="C1801">
        <v>144</v>
      </c>
      <c r="D1801">
        <v>19</v>
      </c>
      <c r="E1801">
        <v>0</v>
      </c>
      <c r="F1801">
        <v>179530958</v>
      </c>
      <c r="G1801">
        <v>617549.89</v>
      </c>
      <c r="H1801">
        <v>178295682.25999999</v>
      </c>
      <c r="I1801">
        <v>178860134.81999999</v>
      </c>
      <c r="J1801">
        <v>4.0516999999999997E-2</v>
      </c>
      <c r="K1801">
        <v>3.555E-3</v>
      </c>
      <c r="M1801" t="s">
        <v>2</v>
      </c>
      <c r="N1801">
        <v>6000</v>
      </c>
      <c r="O1801">
        <v>96</v>
      </c>
      <c r="P1801">
        <v>1</v>
      </c>
      <c r="Q1801">
        <v>0</v>
      </c>
      <c r="R1801">
        <v>4847173</v>
      </c>
      <c r="S1801">
        <v>8551.5</v>
      </c>
      <c r="T1801">
        <v>4802595.93</v>
      </c>
      <c r="U1801">
        <v>4838620.03</v>
      </c>
      <c r="V1801">
        <v>8.5629999999999998E-2</v>
      </c>
      <c r="W1801">
        <v>3.9999999999999998E-6</v>
      </c>
      <c r="Y1801" t="s">
        <v>1</v>
      </c>
      <c r="Z1801">
        <v>6250</v>
      </c>
      <c r="AA1801">
        <v>120</v>
      </c>
      <c r="AB1801">
        <v>2</v>
      </c>
      <c r="AC1801">
        <v>0</v>
      </c>
      <c r="AD1801">
        <v>13974401</v>
      </c>
      <c r="AE1801">
        <v>28765.35</v>
      </c>
      <c r="AF1801">
        <v>13944875</v>
      </c>
      <c r="AG1801">
        <v>13944875</v>
      </c>
      <c r="AH1801">
        <v>6.5300000000000004E-4</v>
      </c>
      <c r="AI1801">
        <v>6.5300000000000004E-4</v>
      </c>
    </row>
    <row r="1802" spans="1:35" x14ac:dyDescent="0.35">
      <c r="A1802" t="s">
        <v>0</v>
      </c>
      <c r="B1802">
        <v>7000</v>
      </c>
      <c r="C1802">
        <v>144</v>
      </c>
      <c r="D1802">
        <v>1</v>
      </c>
      <c r="E1802">
        <v>0</v>
      </c>
      <c r="F1802">
        <v>16099101</v>
      </c>
      <c r="G1802">
        <v>35636.19</v>
      </c>
      <c r="H1802">
        <v>15925594.99</v>
      </c>
      <c r="I1802">
        <v>16062984.23</v>
      </c>
      <c r="J1802">
        <v>9.8060999999999995E-2</v>
      </c>
      <c r="K1802">
        <v>3.5799999999999997E-4</v>
      </c>
      <c r="M1802" t="s">
        <v>0</v>
      </c>
      <c r="N1802">
        <v>7000</v>
      </c>
      <c r="O1802">
        <v>84</v>
      </c>
      <c r="P1802">
        <v>10</v>
      </c>
      <c r="Q1802">
        <v>0</v>
      </c>
      <c r="R1802">
        <v>97283320</v>
      </c>
      <c r="S1802">
        <v>141795.47</v>
      </c>
      <c r="T1802">
        <v>96190169.159999996</v>
      </c>
      <c r="U1802">
        <v>96696821.680000007</v>
      </c>
      <c r="V1802">
        <v>0.11124000000000001</v>
      </c>
      <c r="W1802">
        <v>5.3496000000000002E-2</v>
      </c>
      <c r="Y1802" t="s">
        <v>3</v>
      </c>
      <c r="Z1802">
        <v>3000</v>
      </c>
      <c r="AA1802">
        <v>120</v>
      </c>
      <c r="AB1802">
        <v>4</v>
      </c>
      <c r="AC1802">
        <v>0</v>
      </c>
      <c r="AD1802">
        <v>62462940</v>
      </c>
      <c r="AE1802">
        <v>180018.33</v>
      </c>
      <c r="AF1802">
        <v>62272979</v>
      </c>
      <c r="AG1802">
        <v>62272979</v>
      </c>
      <c r="AH1802">
        <v>1.908E-3</v>
      </c>
      <c r="AI1802">
        <v>1.908E-3</v>
      </c>
    </row>
    <row r="1803" spans="1:35" x14ac:dyDescent="0.35">
      <c r="A1803" t="s">
        <v>2</v>
      </c>
      <c r="B1803">
        <v>7250</v>
      </c>
      <c r="C1803">
        <v>144</v>
      </c>
      <c r="D1803">
        <v>1</v>
      </c>
      <c r="E1803">
        <v>0</v>
      </c>
      <c r="F1803">
        <v>6212520</v>
      </c>
      <c r="G1803">
        <v>13042.29</v>
      </c>
      <c r="H1803">
        <v>6176174.5499999998</v>
      </c>
      <c r="I1803">
        <v>6199266.8300000001</v>
      </c>
      <c r="J1803">
        <v>4.4095000000000002E-2</v>
      </c>
      <c r="K1803">
        <v>4.0700000000000003E-4</v>
      </c>
      <c r="M1803" t="s">
        <v>0</v>
      </c>
      <c r="N1803">
        <v>7250</v>
      </c>
      <c r="O1803">
        <v>84</v>
      </c>
      <c r="P1803">
        <v>13</v>
      </c>
      <c r="Q1803">
        <v>0</v>
      </c>
      <c r="R1803">
        <v>163411831</v>
      </c>
      <c r="S1803">
        <v>228772.06</v>
      </c>
      <c r="T1803">
        <v>161856988.69999999</v>
      </c>
      <c r="U1803">
        <v>163024938.40000001</v>
      </c>
      <c r="V1803">
        <v>9.3147999999999995E-2</v>
      </c>
      <c r="W1803">
        <v>1.155E-2</v>
      </c>
      <c r="Y1803" t="s">
        <v>3</v>
      </c>
      <c r="Z1803">
        <v>6250</v>
      </c>
      <c r="AA1803">
        <v>192</v>
      </c>
      <c r="AB1803">
        <v>1</v>
      </c>
      <c r="AC1803">
        <v>0</v>
      </c>
      <c r="AD1803">
        <v>5803083</v>
      </c>
      <c r="AE1803">
        <v>21756.62</v>
      </c>
      <c r="AF1803">
        <v>5780925</v>
      </c>
      <c r="AG1803">
        <v>5780925</v>
      </c>
      <c r="AH1803">
        <v>8.3000000000000001E-4</v>
      </c>
      <c r="AI1803">
        <v>8.3000000000000001E-4</v>
      </c>
    </row>
    <row r="1804" spans="1:35" x14ac:dyDescent="0.35">
      <c r="A1804" t="s">
        <v>0</v>
      </c>
      <c r="B1804">
        <v>2500</v>
      </c>
      <c r="C1804">
        <v>192</v>
      </c>
      <c r="D1804">
        <v>2</v>
      </c>
      <c r="E1804">
        <v>0</v>
      </c>
      <c r="F1804">
        <v>17773134</v>
      </c>
      <c r="G1804">
        <v>77816.070000000007</v>
      </c>
      <c r="H1804">
        <v>17672958.510000002</v>
      </c>
      <c r="I1804">
        <v>17695225.5</v>
      </c>
      <c r="J1804">
        <v>1.4992999999999999E-2</v>
      </c>
      <c r="K1804">
        <v>6.2000000000000003E-5</v>
      </c>
      <c r="M1804" t="s">
        <v>3</v>
      </c>
      <c r="N1804">
        <v>6250</v>
      </c>
      <c r="O1804">
        <v>84</v>
      </c>
      <c r="P1804">
        <v>4</v>
      </c>
      <c r="Q1804">
        <v>0</v>
      </c>
      <c r="R1804">
        <v>41827381</v>
      </c>
      <c r="S1804">
        <v>68153.62</v>
      </c>
      <c r="T1804">
        <v>41573210.280000001</v>
      </c>
      <c r="U1804">
        <v>41759060.140000001</v>
      </c>
      <c r="V1804">
        <v>5.2081000000000002E-2</v>
      </c>
      <c r="W1804">
        <v>4.8000000000000001E-5</v>
      </c>
      <c r="Y1804" t="s">
        <v>0</v>
      </c>
      <c r="Z1804">
        <v>2250</v>
      </c>
      <c r="AA1804">
        <v>120</v>
      </c>
      <c r="AB1804">
        <v>7</v>
      </c>
      <c r="AC1804">
        <v>0</v>
      </c>
      <c r="AD1804">
        <v>54244105</v>
      </c>
      <c r="AE1804">
        <v>175244.7</v>
      </c>
      <c r="AF1804">
        <v>54036800</v>
      </c>
      <c r="AG1804">
        <v>54036800</v>
      </c>
      <c r="AH1804">
        <v>7.0689999999999998E-3</v>
      </c>
      <c r="AI1804">
        <v>7.0689999999999998E-3</v>
      </c>
    </row>
    <row r="1805" spans="1:35" x14ac:dyDescent="0.35">
      <c r="A1805" t="s">
        <v>0</v>
      </c>
      <c r="B1805">
        <v>6500</v>
      </c>
      <c r="C1805">
        <v>144</v>
      </c>
      <c r="D1805">
        <v>2</v>
      </c>
      <c r="E1805">
        <v>0</v>
      </c>
      <c r="F1805">
        <v>14157464</v>
      </c>
      <c r="G1805">
        <v>30686.799999999999</v>
      </c>
      <c r="H1805">
        <v>14006196.83</v>
      </c>
      <c r="I1805">
        <v>14126615.27</v>
      </c>
      <c r="J1805">
        <v>9.7550999999999999E-2</v>
      </c>
      <c r="K1805">
        <v>1.37E-4</v>
      </c>
      <c r="M1805" t="s">
        <v>3</v>
      </c>
      <c r="N1805">
        <v>6000</v>
      </c>
      <c r="O1805">
        <v>84</v>
      </c>
      <c r="P1805">
        <v>5</v>
      </c>
      <c r="Q1805">
        <v>0</v>
      </c>
      <c r="R1805">
        <v>50204827</v>
      </c>
      <c r="S1805">
        <v>82563.53</v>
      </c>
      <c r="T1805">
        <v>49939383.960000001</v>
      </c>
      <c r="U1805">
        <v>50122111.25</v>
      </c>
      <c r="V1805">
        <v>4.2847000000000003E-2</v>
      </c>
      <c r="W1805">
        <v>3.6000000000000001E-5</v>
      </c>
      <c r="Y1805" t="s">
        <v>3</v>
      </c>
      <c r="Z1805">
        <v>3250</v>
      </c>
      <c r="AA1805">
        <v>108</v>
      </c>
      <c r="AB1805">
        <v>103</v>
      </c>
      <c r="AC1805">
        <v>0</v>
      </c>
      <c r="AD1805">
        <v>1545658568</v>
      </c>
      <c r="AE1805">
        <v>4269260.6500000004</v>
      </c>
      <c r="AF1805">
        <v>1540561099</v>
      </c>
      <c r="AG1805">
        <v>1540561099</v>
      </c>
      <c r="AH1805">
        <v>6.411E-3</v>
      </c>
      <c r="AI1805">
        <v>6.411E-3</v>
      </c>
    </row>
    <row r="1806" spans="1:35" x14ac:dyDescent="0.35">
      <c r="A1806" t="s">
        <v>2</v>
      </c>
      <c r="B1806">
        <v>4000</v>
      </c>
      <c r="C1806">
        <v>216</v>
      </c>
      <c r="D1806">
        <v>1</v>
      </c>
      <c r="E1806">
        <v>0</v>
      </c>
      <c r="F1806">
        <v>5946194</v>
      </c>
      <c r="G1806">
        <v>26668.18</v>
      </c>
      <c r="H1806">
        <v>5886243.0999999996</v>
      </c>
      <c r="I1806">
        <v>5919524.3600000003</v>
      </c>
      <c r="J1806">
        <v>6.5138000000000001E-2</v>
      </c>
      <c r="K1806">
        <v>3.0000000000000001E-6</v>
      </c>
      <c r="M1806" t="s">
        <v>0</v>
      </c>
      <c r="N1806">
        <v>2250</v>
      </c>
      <c r="O1806">
        <v>84</v>
      </c>
      <c r="P1806">
        <v>3</v>
      </c>
      <c r="Q1806">
        <v>0</v>
      </c>
      <c r="R1806">
        <v>28163903</v>
      </c>
      <c r="S1806">
        <v>77192.929999999993</v>
      </c>
      <c r="T1806">
        <v>27939511.75</v>
      </c>
      <c r="U1806">
        <v>28077824.52</v>
      </c>
      <c r="V1806">
        <v>6.0946E-2</v>
      </c>
      <c r="W1806">
        <v>3.7789999999999998E-3</v>
      </c>
      <c r="Y1806" t="s">
        <v>3</v>
      </c>
      <c r="Z1806">
        <v>3000</v>
      </c>
      <c r="AA1806">
        <v>108</v>
      </c>
      <c r="AB1806">
        <v>1</v>
      </c>
      <c r="AC1806">
        <v>0</v>
      </c>
      <c r="AD1806">
        <v>24205985</v>
      </c>
      <c r="AE1806">
        <v>68702.570000000007</v>
      </c>
      <c r="AF1806">
        <v>24137264</v>
      </c>
      <c r="AG1806">
        <v>24137264</v>
      </c>
      <c r="AH1806">
        <v>9.0000000000000002E-6</v>
      </c>
      <c r="AI1806">
        <v>9.0000000000000002E-6</v>
      </c>
    </row>
    <row r="1807" spans="1:35" x14ac:dyDescent="0.35">
      <c r="A1807" t="s">
        <v>0</v>
      </c>
      <c r="B1807">
        <v>5750</v>
      </c>
      <c r="C1807">
        <v>120</v>
      </c>
      <c r="D1807">
        <v>34</v>
      </c>
      <c r="E1807">
        <v>0</v>
      </c>
      <c r="F1807">
        <v>313550608</v>
      </c>
      <c r="G1807">
        <v>676170.47</v>
      </c>
      <c r="H1807">
        <v>309662617.56999999</v>
      </c>
      <c r="I1807">
        <v>312030304.92000002</v>
      </c>
      <c r="J1807">
        <v>0.116227</v>
      </c>
      <c r="K1807">
        <v>3.1831999999999999E-2</v>
      </c>
      <c r="M1807" t="s">
        <v>1</v>
      </c>
      <c r="N1807">
        <v>2250</v>
      </c>
      <c r="O1807">
        <v>84</v>
      </c>
      <c r="P1807">
        <v>2</v>
      </c>
      <c r="Q1807">
        <v>0</v>
      </c>
      <c r="R1807">
        <v>35023005</v>
      </c>
      <c r="S1807">
        <v>94219.37</v>
      </c>
      <c r="T1807">
        <v>34757327.57</v>
      </c>
      <c r="U1807">
        <v>34928750.649999999</v>
      </c>
      <c r="V1807">
        <v>5.7190999999999999E-2</v>
      </c>
      <c r="W1807">
        <v>1.2E-5</v>
      </c>
      <c r="Y1807" t="s">
        <v>0</v>
      </c>
      <c r="Z1807">
        <v>6000</v>
      </c>
      <c r="AA1807">
        <v>108</v>
      </c>
      <c r="AB1807">
        <v>21</v>
      </c>
      <c r="AC1807">
        <v>0</v>
      </c>
      <c r="AD1807">
        <v>189415262</v>
      </c>
      <c r="AE1807">
        <v>362794.45</v>
      </c>
      <c r="AF1807">
        <v>170288081</v>
      </c>
      <c r="AG1807">
        <v>188824572.87</v>
      </c>
      <c r="AH1807">
        <v>0.71402900000000002</v>
      </c>
      <c r="AI1807">
        <v>1.4343E-2</v>
      </c>
    </row>
    <row r="1808" spans="1:35" x14ac:dyDescent="0.35">
      <c r="A1808" t="s">
        <v>1</v>
      </c>
      <c r="B1808">
        <v>5750</v>
      </c>
      <c r="C1808">
        <v>120</v>
      </c>
      <c r="D1808">
        <v>1</v>
      </c>
      <c r="E1808">
        <v>0</v>
      </c>
      <c r="F1808">
        <v>5775519</v>
      </c>
      <c r="G1808">
        <v>13065.17</v>
      </c>
      <c r="H1808">
        <v>5719852.6600000001</v>
      </c>
      <c r="I1808">
        <v>5762453.6200000001</v>
      </c>
      <c r="J1808">
        <v>8.5010000000000002E-2</v>
      </c>
      <c r="K1808">
        <v>0</v>
      </c>
      <c r="M1808" t="s">
        <v>0</v>
      </c>
      <c r="N1808">
        <v>2500</v>
      </c>
      <c r="O1808">
        <v>84</v>
      </c>
      <c r="P1808">
        <v>3</v>
      </c>
      <c r="Q1808">
        <v>0</v>
      </c>
      <c r="R1808">
        <v>54041161</v>
      </c>
      <c r="S1808">
        <v>141074.74</v>
      </c>
      <c r="T1808">
        <v>53743760.420000002</v>
      </c>
      <c r="U1808">
        <v>53899972.189999998</v>
      </c>
      <c r="V1808">
        <v>3.4166000000000002E-2</v>
      </c>
      <c r="W1808">
        <v>2.5000000000000001E-5</v>
      </c>
      <c r="Y1808" t="s">
        <v>0</v>
      </c>
      <c r="Z1808">
        <v>6250</v>
      </c>
      <c r="AA1808">
        <v>108</v>
      </c>
      <c r="AB1808">
        <v>47</v>
      </c>
      <c r="AC1808">
        <v>0</v>
      </c>
      <c r="AD1808">
        <v>555888305</v>
      </c>
      <c r="AE1808">
        <v>1022051.88</v>
      </c>
      <c r="AF1808">
        <v>553974214</v>
      </c>
      <c r="AG1808">
        <v>553974214</v>
      </c>
      <c r="AH1808">
        <v>1.9087E-2</v>
      </c>
      <c r="AI1808">
        <v>1.9087E-2</v>
      </c>
    </row>
    <row r="1809" spans="1:35" x14ac:dyDescent="0.35">
      <c r="A1809" t="s">
        <v>0</v>
      </c>
      <c r="B1809">
        <v>6000</v>
      </c>
      <c r="C1809">
        <v>120</v>
      </c>
      <c r="D1809">
        <v>13</v>
      </c>
      <c r="E1809">
        <v>0</v>
      </c>
      <c r="F1809">
        <v>91650456</v>
      </c>
      <c r="G1809">
        <v>195495.23</v>
      </c>
      <c r="H1809">
        <v>90943760.030000001</v>
      </c>
      <c r="I1809">
        <v>91454889.090000004</v>
      </c>
      <c r="J1809">
        <v>6.4917000000000002E-2</v>
      </c>
      <c r="K1809">
        <v>9.0000000000000002E-6</v>
      </c>
      <c r="M1809" t="s">
        <v>1</v>
      </c>
      <c r="N1809">
        <v>2500</v>
      </c>
      <c r="O1809">
        <v>84</v>
      </c>
      <c r="P1809">
        <v>1</v>
      </c>
      <c r="Q1809">
        <v>0</v>
      </c>
      <c r="R1809">
        <v>11792816</v>
      </c>
      <c r="S1809">
        <v>30839.52</v>
      </c>
      <c r="T1809">
        <v>11678076.060000001</v>
      </c>
      <c r="U1809">
        <v>11761969.26</v>
      </c>
      <c r="V1809">
        <v>8.2112000000000004E-2</v>
      </c>
      <c r="W1809">
        <v>6.9999999999999999E-6</v>
      </c>
      <c r="Y1809" t="s">
        <v>2</v>
      </c>
      <c r="Z1809">
        <v>2250</v>
      </c>
      <c r="AA1809">
        <v>108</v>
      </c>
      <c r="AB1809">
        <v>1</v>
      </c>
      <c r="AC1809">
        <v>0</v>
      </c>
      <c r="AD1809">
        <v>4364732</v>
      </c>
      <c r="AE1809">
        <v>13498.15</v>
      </c>
      <c r="AF1809">
        <v>4351166</v>
      </c>
      <c r="AG1809">
        <v>4351166</v>
      </c>
      <c r="AH1809">
        <v>1.8699999999999999E-4</v>
      </c>
      <c r="AI1809">
        <v>1.8699999999999999E-4</v>
      </c>
    </row>
    <row r="1810" spans="1:35" x14ac:dyDescent="0.35">
      <c r="A1810" t="s">
        <v>0</v>
      </c>
      <c r="B1810">
        <v>6250</v>
      </c>
      <c r="C1810">
        <v>120</v>
      </c>
      <c r="D1810">
        <v>3</v>
      </c>
      <c r="E1810">
        <v>0</v>
      </c>
      <c r="F1810">
        <v>21636316</v>
      </c>
      <c r="G1810">
        <v>45488.25</v>
      </c>
      <c r="H1810">
        <v>21460628.780000001</v>
      </c>
      <c r="I1810">
        <v>21590799.59</v>
      </c>
      <c r="J1810">
        <v>6.9869000000000001E-2</v>
      </c>
      <c r="K1810">
        <v>1.5999999999999999E-5</v>
      </c>
      <c r="M1810" t="s">
        <v>1</v>
      </c>
      <c r="N1810">
        <v>2000</v>
      </c>
      <c r="O1810">
        <v>84</v>
      </c>
      <c r="P1810">
        <v>3</v>
      </c>
      <c r="Q1810">
        <v>0</v>
      </c>
      <c r="R1810">
        <v>49923738</v>
      </c>
      <c r="S1810">
        <v>152419.1</v>
      </c>
      <c r="T1810">
        <v>49602947.420000002</v>
      </c>
      <c r="U1810">
        <v>49771297.079999998</v>
      </c>
      <c r="V1810">
        <v>3.9729E-2</v>
      </c>
      <c r="W1810">
        <v>5.0000000000000004E-6</v>
      </c>
      <c r="Y1810" t="s">
        <v>2</v>
      </c>
      <c r="Z1810">
        <v>5500</v>
      </c>
      <c r="AA1810">
        <v>108</v>
      </c>
      <c r="AB1810">
        <v>2</v>
      </c>
      <c r="AC1810">
        <v>0</v>
      </c>
      <c r="AD1810">
        <v>26839113</v>
      </c>
      <c r="AE1810">
        <v>56819.89</v>
      </c>
      <c r="AF1810">
        <v>26822023</v>
      </c>
      <c r="AG1810">
        <v>26822023</v>
      </c>
      <c r="AH1810">
        <v>-1.7909000000000001E-2</v>
      </c>
      <c r="AI1810">
        <v>-1.7909000000000001E-2</v>
      </c>
    </row>
    <row r="1811" spans="1:35" x14ac:dyDescent="0.35">
      <c r="A1811" t="s">
        <v>2</v>
      </c>
      <c r="B1811">
        <v>4250</v>
      </c>
      <c r="C1811">
        <v>240</v>
      </c>
      <c r="D1811">
        <v>1</v>
      </c>
      <c r="E1811">
        <v>0</v>
      </c>
      <c r="F1811">
        <v>8121996</v>
      </c>
      <c r="G1811">
        <v>50755.91</v>
      </c>
      <c r="H1811">
        <v>8059700.4900000002</v>
      </c>
      <c r="I1811">
        <v>8071236.3300000001</v>
      </c>
      <c r="J1811">
        <v>1.6917000000000001E-2</v>
      </c>
      <c r="K1811">
        <v>6.0000000000000002E-6</v>
      </c>
      <c r="M1811" t="s">
        <v>0</v>
      </c>
      <c r="N1811">
        <v>2000</v>
      </c>
      <c r="O1811">
        <v>84</v>
      </c>
      <c r="P1811">
        <v>5</v>
      </c>
      <c r="Q1811">
        <v>0</v>
      </c>
      <c r="R1811">
        <v>65347631</v>
      </c>
      <c r="S1811">
        <v>182607.93</v>
      </c>
      <c r="T1811">
        <v>64719889.329999998</v>
      </c>
      <c r="U1811">
        <v>65163544.200000003</v>
      </c>
      <c r="V1811">
        <v>7.8746999999999998E-2</v>
      </c>
      <c r="W1811">
        <v>2.72E-4</v>
      </c>
      <c r="Y1811" t="s">
        <v>0</v>
      </c>
      <c r="Z1811">
        <v>6500</v>
      </c>
      <c r="AA1811">
        <v>108</v>
      </c>
      <c r="AB1811">
        <v>3</v>
      </c>
      <c r="AC1811">
        <v>0</v>
      </c>
      <c r="AD1811">
        <v>19268110</v>
      </c>
      <c r="AE1811">
        <v>34522.26</v>
      </c>
      <c r="AF1811">
        <v>19233655</v>
      </c>
      <c r="AG1811">
        <v>19233655</v>
      </c>
      <c r="AH1811">
        <v>-4.1999999999999998E-5</v>
      </c>
      <c r="AI1811">
        <v>-4.1999999999999998E-5</v>
      </c>
    </row>
    <row r="1812" spans="1:35" x14ac:dyDescent="0.35">
      <c r="A1812" t="s">
        <v>0</v>
      </c>
      <c r="B1812">
        <v>2000</v>
      </c>
      <c r="C1812">
        <v>120</v>
      </c>
      <c r="D1812">
        <v>5</v>
      </c>
      <c r="E1812">
        <v>0</v>
      </c>
      <c r="F1812">
        <v>58360975</v>
      </c>
      <c r="G1812">
        <v>195545.86</v>
      </c>
      <c r="H1812">
        <v>58011732.109999999</v>
      </c>
      <c r="I1812">
        <v>58165419.07</v>
      </c>
      <c r="J1812">
        <v>3.1149E-2</v>
      </c>
      <c r="K1812">
        <v>1.9999999999999999E-6</v>
      </c>
      <c r="M1812" t="s">
        <v>2</v>
      </c>
      <c r="N1812">
        <v>2500</v>
      </c>
      <c r="O1812">
        <v>84</v>
      </c>
      <c r="P1812">
        <v>1</v>
      </c>
      <c r="Q1812">
        <v>0</v>
      </c>
      <c r="R1812">
        <v>12843357</v>
      </c>
      <c r="S1812">
        <v>35144.42</v>
      </c>
      <c r="T1812">
        <v>12729439.4</v>
      </c>
      <c r="U1812">
        <v>12808211.449999999</v>
      </c>
      <c r="V1812">
        <v>7.1167999999999995E-2</v>
      </c>
      <c r="W1812">
        <v>9.9999999999999995E-7</v>
      </c>
      <c r="Y1812" t="s">
        <v>1</v>
      </c>
      <c r="Z1812">
        <v>2000</v>
      </c>
      <c r="AA1812">
        <v>108</v>
      </c>
      <c r="AB1812">
        <v>6</v>
      </c>
      <c r="AC1812">
        <v>0</v>
      </c>
      <c r="AD1812">
        <v>95398771</v>
      </c>
      <c r="AE1812">
        <v>338052.74</v>
      </c>
      <c r="AF1812">
        <v>94986981</v>
      </c>
      <c r="AG1812">
        <v>94986981</v>
      </c>
      <c r="AH1812">
        <v>9.2359999999999994E-3</v>
      </c>
      <c r="AI1812">
        <v>9.2359999999999994E-3</v>
      </c>
    </row>
    <row r="1813" spans="1:35" x14ac:dyDescent="0.35">
      <c r="A1813" t="s">
        <v>0</v>
      </c>
      <c r="B1813">
        <v>6500</v>
      </c>
      <c r="C1813">
        <v>120</v>
      </c>
      <c r="D1813">
        <v>1</v>
      </c>
      <c r="E1813">
        <v>0</v>
      </c>
      <c r="F1813">
        <v>3782809</v>
      </c>
      <c r="G1813">
        <v>7599.76</v>
      </c>
      <c r="H1813">
        <v>3758473</v>
      </c>
      <c r="I1813">
        <v>3775208.97</v>
      </c>
      <c r="J1813">
        <v>5.1818000000000003E-2</v>
      </c>
      <c r="K1813">
        <v>9.9999999999999995E-7</v>
      </c>
      <c r="M1813" t="s">
        <v>0</v>
      </c>
      <c r="N1813">
        <v>6500</v>
      </c>
      <c r="O1813">
        <v>72</v>
      </c>
      <c r="P1813">
        <v>9</v>
      </c>
      <c r="Q1813">
        <v>0</v>
      </c>
      <c r="R1813">
        <v>105661507</v>
      </c>
      <c r="S1813">
        <v>153219.64000000001</v>
      </c>
      <c r="T1813">
        <v>104269231.95999999</v>
      </c>
      <c r="U1813">
        <v>104858530.19</v>
      </c>
      <c r="V1813">
        <v>0.131989</v>
      </c>
      <c r="W1813">
        <v>7.1347999999999995E-2</v>
      </c>
      <c r="Y1813" t="s">
        <v>0</v>
      </c>
      <c r="Z1813">
        <v>6750</v>
      </c>
      <c r="AA1813">
        <v>120</v>
      </c>
      <c r="AB1813">
        <v>1</v>
      </c>
      <c r="AC1813">
        <v>0</v>
      </c>
      <c r="AD1813">
        <v>23540240</v>
      </c>
      <c r="AE1813">
        <v>48017.79</v>
      </c>
      <c r="AF1813">
        <v>23492222</v>
      </c>
      <c r="AG1813">
        <v>23492222</v>
      </c>
      <c r="AH1813">
        <v>0</v>
      </c>
      <c r="AI1813">
        <v>0</v>
      </c>
    </row>
    <row r="1814" spans="1:35" x14ac:dyDescent="0.35">
      <c r="A1814" t="s">
        <v>1</v>
      </c>
      <c r="B1814">
        <v>6250</v>
      </c>
      <c r="C1814">
        <v>120</v>
      </c>
      <c r="D1814">
        <v>2</v>
      </c>
      <c r="E1814">
        <v>0</v>
      </c>
      <c r="F1814">
        <v>13944875</v>
      </c>
      <c r="G1814">
        <v>28912.29</v>
      </c>
      <c r="H1814">
        <v>13806849.970000001</v>
      </c>
      <c r="I1814">
        <v>13915953.609999999</v>
      </c>
      <c r="J1814">
        <v>8.9957999999999996E-2</v>
      </c>
      <c r="K1814">
        <v>7.9999999999999996E-6</v>
      </c>
      <c r="M1814" t="s">
        <v>0</v>
      </c>
      <c r="N1814">
        <v>6750</v>
      </c>
      <c r="O1814">
        <v>72</v>
      </c>
      <c r="P1814">
        <v>2</v>
      </c>
      <c r="Q1814">
        <v>0</v>
      </c>
      <c r="R1814">
        <v>17037697</v>
      </c>
      <c r="S1814">
        <v>23849.279999999999</v>
      </c>
      <c r="T1814">
        <v>16867774.359999999</v>
      </c>
      <c r="U1814">
        <v>17013817.719999999</v>
      </c>
      <c r="V1814">
        <v>9.8167000000000004E-2</v>
      </c>
      <c r="W1814">
        <v>2.0999999999999999E-5</v>
      </c>
      <c r="Y1814" t="s">
        <v>3</v>
      </c>
      <c r="Z1814">
        <v>3500</v>
      </c>
      <c r="AA1814">
        <v>96</v>
      </c>
      <c r="AB1814">
        <v>3</v>
      </c>
      <c r="AC1814">
        <v>0</v>
      </c>
      <c r="AD1814">
        <v>60187214</v>
      </c>
      <c r="AE1814">
        <v>150652.35999999999</v>
      </c>
      <c r="AF1814">
        <v>60017753</v>
      </c>
      <c r="AG1814">
        <v>60017753</v>
      </c>
      <c r="AH1814">
        <v>3.7439999999999999E-3</v>
      </c>
      <c r="AI1814">
        <v>3.7439999999999999E-3</v>
      </c>
    </row>
    <row r="1815" spans="1:35" x14ac:dyDescent="0.35">
      <c r="A1815" t="s">
        <v>3</v>
      </c>
      <c r="B1815">
        <v>3000</v>
      </c>
      <c r="C1815">
        <v>120</v>
      </c>
      <c r="D1815">
        <v>4</v>
      </c>
      <c r="E1815">
        <v>0</v>
      </c>
      <c r="F1815">
        <v>62272979</v>
      </c>
      <c r="G1815">
        <v>180439.4</v>
      </c>
      <c r="H1815">
        <v>61977967.770000003</v>
      </c>
      <c r="I1815">
        <v>62092539.479999997</v>
      </c>
      <c r="J1815">
        <v>2.1856E-2</v>
      </c>
      <c r="K1815">
        <v>0</v>
      </c>
      <c r="M1815" t="s">
        <v>3</v>
      </c>
      <c r="N1815">
        <v>5750</v>
      </c>
      <c r="O1815">
        <v>72</v>
      </c>
      <c r="P1815">
        <v>2</v>
      </c>
      <c r="Q1815">
        <v>0</v>
      </c>
      <c r="R1815">
        <v>17655649</v>
      </c>
      <c r="S1815">
        <v>28587.15</v>
      </c>
      <c r="T1815">
        <v>17558712.34</v>
      </c>
      <c r="U1815">
        <v>17627061.48</v>
      </c>
      <c r="V1815">
        <v>4.5478999999999999E-2</v>
      </c>
      <c r="W1815">
        <v>0</v>
      </c>
      <c r="Y1815" t="s">
        <v>1</v>
      </c>
      <c r="Z1815">
        <v>2500</v>
      </c>
      <c r="AA1815">
        <v>108</v>
      </c>
      <c r="AB1815">
        <v>1</v>
      </c>
      <c r="AC1815">
        <v>0</v>
      </c>
      <c r="AD1815">
        <v>12298415</v>
      </c>
      <c r="AE1815">
        <v>36596.28</v>
      </c>
      <c r="AF1815">
        <v>12243328</v>
      </c>
      <c r="AG1815">
        <v>12243328</v>
      </c>
      <c r="AH1815">
        <v>1.7894E-2</v>
      </c>
      <c r="AI1815">
        <v>1.7894E-2</v>
      </c>
    </row>
    <row r="1816" spans="1:35" x14ac:dyDescent="0.35">
      <c r="A1816" t="s">
        <v>3</v>
      </c>
      <c r="B1816">
        <v>6250</v>
      </c>
      <c r="C1816">
        <v>192</v>
      </c>
      <c r="D1816">
        <v>1</v>
      </c>
      <c r="E1816">
        <v>0</v>
      </c>
      <c r="F1816">
        <v>5780925</v>
      </c>
      <c r="G1816">
        <v>21865.7</v>
      </c>
      <c r="H1816">
        <v>5743230.8300000001</v>
      </c>
      <c r="I1816">
        <v>5759057.9400000004</v>
      </c>
      <c r="J1816">
        <v>3.2365999999999999E-2</v>
      </c>
      <c r="K1816">
        <v>3.0000000000000001E-6</v>
      </c>
      <c r="M1816" t="s">
        <v>3</v>
      </c>
      <c r="N1816">
        <v>5500</v>
      </c>
      <c r="O1816">
        <v>72</v>
      </c>
      <c r="P1816">
        <v>1</v>
      </c>
      <c r="Q1816">
        <v>0</v>
      </c>
      <c r="R1816">
        <v>5669101</v>
      </c>
      <c r="S1816">
        <v>9276.32</v>
      </c>
      <c r="T1816">
        <v>5649823.0700000003</v>
      </c>
      <c r="U1816">
        <v>5659824.6799999997</v>
      </c>
      <c r="V1816">
        <v>2.0967E-2</v>
      </c>
      <c r="W1816">
        <v>0</v>
      </c>
      <c r="Y1816" t="s">
        <v>1</v>
      </c>
      <c r="Z1816">
        <v>2750</v>
      </c>
      <c r="AA1816">
        <v>96</v>
      </c>
      <c r="AB1816">
        <v>6</v>
      </c>
      <c r="AC1816">
        <v>0</v>
      </c>
      <c r="AD1816">
        <v>98104834</v>
      </c>
      <c r="AE1816">
        <v>266464.61</v>
      </c>
      <c r="AF1816">
        <v>97833015</v>
      </c>
      <c r="AG1816">
        <v>97833015</v>
      </c>
      <c r="AH1816">
        <v>6.5499999999999998E-4</v>
      </c>
      <c r="AI1816">
        <v>6.5499999999999998E-4</v>
      </c>
    </row>
    <row r="1817" spans="1:35" x14ac:dyDescent="0.35">
      <c r="A1817" t="s">
        <v>0</v>
      </c>
      <c r="B1817">
        <v>2250</v>
      </c>
      <c r="C1817">
        <v>120</v>
      </c>
      <c r="D1817">
        <v>6</v>
      </c>
      <c r="E1817">
        <v>0</v>
      </c>
      <c r="F1817">
        <v>48064866</v>
      </c>
      <c r="G1817">
        <v>155636.98000000001</v>
      </c>
      <c r="H1817">
        <v>47662805.469999999</v>
      </c>
      <c r="I1817">
        <v>47818154.18</v>
      </c>
      <c r="J1817">
        <v>5.9817000000000002E-2</v>
      </c>
      <c r="K1817">
        <v>2.2502999999999999E-2</v>
      </c>
      <c r="M1817" t="s">
        <v>0</v>
      </c>
      <c r="N1817">
        <v>7000</v>
      </c>
      <c r="O1817">
        <v>72</v>
      </c>
      <c r="P1817">
        <v>1</v>
      </c>
      <c r="Q1817">
        <v>0</v>
      </c>
      <c r="R1817">
        <v>5788352</v>
      </c>
      <c r="S1817">
        <v>7562.05</v>
      </c>
      <c r="T1817">
        <v>5672019.1900000004</v>
      </c>
      <c r="U1817">
        <v>5780764.2599999998</v>
      </c>
      <c r="V1817">
        <v>0.20358999999999999</v>
      </c>
      <c r="W1817">
        <v>5.3000000000000001E-5</v>
      </c>
      <c r="Y1817" t="s">
        <v>1</v>
      </c>
      <c r="Z1817">
        <v>2000</v>
      </c>
      <c r="AA1817">
        <v>96</v>
      </c>
      <c r="AB1817">
        <v>2</v>
      </c>
      <c r="AC1817">
        <v>0</v>
      </c>
      <c r="AD1817">
        <v>17846744</v>
      </c>
      <c r="AE1817">
        <v>60471.6</v>
      </c>
      <c r="AF1817">
        <v>17785990</v>
      </c>
      <c r="AG1817">
        <v>17785990</v>
      </c>
      <c r="AH1817">
        <v>1.9000000000000001E-4</v>
      </c>
      <c r="AI1817">
        <v>1.9000000000000001E-4</v>
      </c>
    </row>
    <row r="1818" spans="1:35" x14ac:dyDescent="0.35">
      <c r="A1818" t="s">
        <v>0</v>
      </c>
      <c r="B1818">
        <v>2250</v>
      </c>
      <c r="C1818">
        <v>144</v>
      </c>
      <c r="D1818">
        <v>10</v>
      </c>
      <c r="E1818">
        <v>0</v>
      </c>
      <c r="F1818">
        <v>85024677</v>
      </c>
      <c r="G1818">
        <v>297343.28000000003</v>
      </c>
      <c r="H1818">
        <v>84505275.030000001</v>
      </c>
      <c r="I1818">
        <v>84726711.590000004</v>
      </c>
      <c r="J1818">
        <v>3.0894000000000001E-2</v>
      </c>
      <c r="K1818">
        <v>8.7999999999999998E-5</v>
      </c>
      <c r="M1818" t="s">
        <v>1</v>
      </c>
      <c r="N1818">
        <v>6250</v>
      </c>
      <c r="O1818">
        <v>72</v>
      </c>
      <c r="P1818">
        <v>2</v>
      </c>
      <c r="Q1818">
        <v>0</v>
      </c>
      <c r="R1818">
        <v>19940725</v>
      </c>
      <c r="S1818">
        <v>29080.85</v>
      </c>
      <c r="T1818">
        <v>19781291.879999999</v>
      </c>
      <c r="U1818">
        <v>19911631.609999999</v>
      </c>
      <c r="V1818">
        <v>7.5684000000000001E-2</v>
      </c>
      <c r="W1818">
        <v>7.9999999999999996E-6</v>
      </c>
      <c r="Y1818" t="s">
        <v>2</v>
      </c>
      <c r="Z1818">
        <v>5500</v>
      </c>
      <c r="AA1818">
        <v>168</v>
      </c>
      <c r="AB1818">
        <v>2</v>
      </c>
      <c r="AC1818">
        <v>0</v>
      </c>
      <c r="AD1818">
        <v>16951593</v>
      </c>
      <c r="AE1818">
        <v>68499.39</v>
      </c>
      <c r="AF1818">
        <v>16907378</v>
      </c>
      <c r="AG1818">
        <v>16907378</v>
      </c>
      <c r="AH1818">
        <v>-1.7326999999999999E-2</v>
      </c>
      <c r="AI1818">
        <v>-1.7326999999999999E-2</v>
      </c>
    </row>
    <row r="1819" spans="1:35" x14ac:dyDescent="0.35">
      <c r="A1819" t="s">
        <v>3</v>
      </c>
      <c r="B1819">
        <v>3250</v>
      </c>
      <c r="C1819">
        <v>108</v>
      </c>
      <c r="D1819">
        <v>49</v>
      </c>
      <c r="E1819">
        <v>0</v>
      </c>
      <c r="F1819">
        <v>747676384</v>
      </c>
      <c r="G1819">
        <v>2068479.58</v>
      </c>
      <c r="H1819">
        <v>743636759.70000005</v>
      </c>
      <c r="I1819">
        <v>745607883.16999996</v>
      </c>
      <c r="J1819">
        <v>3.1182000000000001E-2</v>
      </c>
      <c r="K1819">
        <v>0</v>
      </c>
      <c r="M1819" t="s">
        <v>0</v>
      </c>
      <c r="N1819">
        <v>2500</v>
      </c>
      <c r="O1819">
        <v>96</v>
      </c>
      <c r="P1819">
        <v>3</v>
      </c>
      <c r="Q1819">
        <v>0</v>
      </c>
      <c r="R1819">
        <v>23620092</v>
      </c>
      <c r="S1819">
        <v>64610.62</v>
      </c>
      <c r="T1819">
        <v>23453339.350000001</v>
      </c>
      <c r="U1819">
        <v>23555343.100000001</v>
      </c>
      <c r="V1819">
        <v>5.0675999999999999E-2</v>
      </c>
      <c r="W1819">
        <v>6.9999999999999994E-5</v>
      </c>
      <c r="Y1819" t="s">
        <v>0</v>
      </c>
      <c r="Z1819">
        <v>7000</v>
      </c>
      <c r="AA1819">
        <v>96</v>
      </c>
      <c r="AB1819">
        <v>12</v>
      </c>
      <c r="AC1819">
        <v>0</v>
      </c>
      <c r="AD1819">
        <v>140641212</v>
      </c>
      <c r="AE1819">
        <v>215006.66</v>
      </c>
      <c r="AF1819">
        <v>140395724</v>
      </c>
      <c r="AG1819">
        <v>140395724</v>
      </c>
      <c r="AH1819">
        <v>2.598E-3</v>
      </c>
      <c r="AI1819">
        <v>2.598E-3</v>
      </c>
    </row>
    <row r="1820" spans="1:35" x14ac:dyDescent="0.35">
      <c r="A1820" t="s">
        <v>3</v>
      </c>
      <c r="B1820">
        <v>3000</v>
      </c>
      <c r="C1820">
        <v>108</v>
      </c>
      <c r="D1820">
        <v>1</v>
      </c>
      <c r="E1820">
        <v>0</v>
      </c>
      <c r="F1820">
        <v>24137264</v>
      </c>
      <c r="G1820">
        <v>68874.27</v>
      </c>
      <c r="H1820">
        <v>24046396.73</v>
      </c>
      <c r="I1820">
        <v>24068389.68</v>
      </c>
      <c r="J1820">
        <v>1.0879E-2</v>
      </c>
      <c r="K1820">
        <v>0</v>
      </c>
      <c r="M1820" t="s">
        <v>0</v>
      </c>
      <c r="N1820">
        <v>2250</v>
      </c>
      <c r="O1820">
        <v>108</v>
      </c>
      <c r="P1820">
        <v>5</v>
      </c>
      <c r="Q1820">
        <v>0</v>
      </c>
      <c r="R1820">
        <v>44098006</v>
      </c>
      <c r="S1820">
        <v>134860.97</v>
      </c>
      <c r="T1820">
        <v>43567798.130000003</v>
      </c>
      <c r="U1820">
        <v>43890444.799999997</v>
      </c>
      <c r="V1820">
        <v>0.102433</v>
      </c>
      <c r="W1820">
        <v>1.9605000000000001E-2</v>
      </c>
      <c r="Y1820" t="s">
        <v>0</v>
      </c>
      <c r="Z1820">
        <v>7250</v>
      </c>
      <c r="AA1820">
        <v>96</v>
      </c>
      <c r="AB1820">
        <v>12</v>
      </c>
      <c r="AC1820">
        <v>0</v>
      </c>
      <c r="AD1820">
        <v>180085164</v>
      </c>
      <c r="AE1820">
        <v>267367.57</v>
      </c>
      <c r="AF1820">
        <v>179922217</v>
      </c>
      <c r="AG1820">
        <v>179922217</v>
      </c>
      <c r="AH1820">
        <v>-6.9800000000000001E-3</v>
      </c>
      <c r="AI1820">
        <v>-6.9800000000000001E-3</v>
      </c>
    </row>
    <row r="1821" spans="1:35" x14ac:dyDescent="0.35">
      <c r="A1821" t="s">
        <v>3</v>
      </c>
      <c r="B1821">
        <v>3500</v>
      </c>
      <c r="C1821">
        <v>108</v>
      </c>
      <c r="D1821">
        <v>37</v>
      </c>
      <c r="E1821">
        <v>0</v>
      </c>
      <c r="F1821">
        <v>510531109</v>
      </c>
      <c r="G1821">
        <v>1364639.94</v>
      </c>
      <c r="H1821">
        <v>507765192.25999999</v>
      </c>
      <c r="I1821">
        <v>509166350.75999999</v>
      </c>
      <c r="J1821">
        <v>3.2444000000000001E-2</v>
      </c>
      <c r="K1821">
        <v>3.0000000000000001E-6</v>
      </c>
      <c r="M1821" t="s">
        <v>2</v>
      </c>
      <c r="N1821">
        <v>6000</v>
      </c>
      <c r="O1821">
        <v>72</v>
      </c>
      <c r="P1821">
        <v>3</v>
      </c>
      <c r="Q1821">
        <v>0</v>
      </c>
      <c r="R1821">
        <v>25080348</v>
      </c>
      <c r="S1821">
        <v>37446.269999999997</v>
      </c>
      <c r="T1821">
        <v>24939565.84</v>
      </c>
      <c r="U1821">
        <v>25042441.34</v>
      </c>
      <c r="V1821">
        <v>4.8336999999999998E-2</v>
      </c>
      <c r="W1821">
        <v>2.2000000000000001E-4</v>
      </c>
      <c r="Y1821" t="s">
        <v>2</v>
      </c>
      <c r="Z1821">
        <v>6000</v>
      </c>
      <c r="AA1821">
        <v>96</v>
      </c>
      <c r="AB1821">
        <v>1</v>
      </c>
      <c r="AC1821">
        <v>0</v>
      </c>
      <c r="AD1821">
        <v>4820886</v>
      </c>
      <c r="AE1821">
        <v>8619.09</v>
      </c>
      <c r="AF1821">
        <v>4811625</v>
      </c>
      <c r="AG1821">
        <v>4811625</v>
      </c>
      <c r="AH1821">
        <v>1.5969999999999999E-3</v>
      </c>
      <c r="AI1821">
        <v>1.5969999999999999E-3</v>
      </c>
    </row>
    <row r="1822" spans="1:35" x14ac:dyDescent="0.35">
      <c r="A1822" t="s">
        <v>0</v>
      </c>
      <c r="B1822">
        <v>6000</v>
      </c>
      <c r="C1822">
        <v>108</v>
      </c>
      <c r="D1822">
        <v>21</v>
      </c>
      <c r="E1822">
        <v>0</v>
      </c>
      <c r="F1822">
        <v>187378374</v>
      </c>
      <c r="G1822">
        <v>360430.18</v>
      </c>
      <c r="H1822">
        <v>185574679.34</v>
      </c>
      <c r="I1822">
        <v>186772945.19</v>
      </c>
      <c r="J1822">
        <v>8.8611999999999996E-2</v>
      </c>
      <c r="K1822">
        <v>1.5578E-2</v>
      </c>
      <c r="M1822" t="s">
        <v>0</v>
      </c>
      <c r="N1822">
        <v>2250</v>
      </c>
      <c r="O1822">
        <v>96</v>
      </c>
      <c r="P1822">
        <v>1</v>
      </c>
      <c r="Q1822">
        <v>0</v>
      </c>
      <c r="R1822">
        <v>11932776</v>
      </c>
      <c r="S1822">
        <v>33829.14</v>
      </c>
      <c r="T1822">
        <v>11799702.1</v>
      </c>
      <c r="U1822">
        <v>11877779.93</v>
      </c>
      <c r="V1822">
        <v>9.5363000000000003E-2</v>
      </c>
      <c r="W1822">
        <v>2.1080000000000002E-2</v>
      </c>
      <c r="Y1822" t="s">
        <v>3</v>
      </c>
      <c r="Z1822">
        <v>6250</v>
      </c>
      <c r="AA1822">
        <v>84</v>
      </c>
      <c r="AB1822">
        <v>4</v>
      </c>
      <c r="AC1822">
        <v>0</v>
      </c>
      <c r="AD1822">
        <v>41683846</v>
      </c>
      <c r="AE1822">
        <v>68839.78</v>
      </c>
      <c r="AF1822">
        <v>41618247</v>
      </c>
      <c r="AG1822">
        <v>41618247</v>
      </c>
      <c r="AH1822">
        <v>-9.3300000000000002E-4</v>
      </c>
      <c r="AI1822">
        <v>-9.3300000000000002E-4</v>
      </c>
    </row>
    <row r="1823" spans="1:35" x14ac:dyDescent="0.35">
      <c r="A1823" t="s">
        <v>0</v>
      </c>
      <c r="B1823">
        <v>6250</v>
      </c>
      <c r="C1823">
        <v>108</v>
      </c>
      <c r="D1823">
        <v>60</v>
      </c>
      <c r="E1823">
        <v>0</v>
      </c>
      <c r="F1823">
        <v>702319966</v>
      </c>
      <c r="G1823">
        <v>1290879.17</v>
      </c>
      <c r="H1823">
        <v>691637604.57000005</v>
      </c>
      <c r="I1823">
        <v>699534388.79999995</v>
      </c>
      <c r="J1823">
        <v>0.149174</v>
      </c>
      <c r="K1823">
        <v>2.5242000000000001E-2</v>
      </c>
      <c r="M1823" t="s">
        <v>2</v>
      </c>
      <c r="N1823">
        <v>2750</v>
      </c>
      <c r="O1823">
        <v>96</v>
      </c>
      <c r="P1823">
        <v>1</v>
      </c>
      <c r="Q1823">
        <v>0</v>
      </c>
      <c r="R1823">
        <v>9189014</v>
      </c>
      <c r="S1823">
        <v>26704.17</v>
      </c>
      <c r="T1823">
        <v>9092736.8699999992</v>
      </c>
      <c r="U1823">
        <v>9162306.8300000001</v>
      </c>
      <c r="V1823">
        <v>8.7165999999999993E-2</v>
      </c>
      <c r="W1823">
        <v>3.9999999999999998E-6</v>
      </c>
      <c r="Y1823" t="s">
        <v>3</v>
      </c>
      <c r="Z1823">
        <v>6000</v>
      </c>
      <c r="AA1823">
        <v>84</v>
      </c>
      <c r="AB1823">
        <v>5</v>
      </c>
      <c r="AC1823">
        <v>0</v>
      </c>
      <c r="AD1823">
        <v>50009529</v>
      </c>
      <c r="AE1823">
        <v>83336.490000000005</v>
      </c>
      <c r="AF1823">
        <v>49922860</v>
      </c>
      <c r="AG1823">
        <v>49922860</v>
      </c>
      <c r="AH1823">
        <v>7.9900000000000001E-4</v>
      </c>
      <c r="AI1823">
        <v>7.9900000000000001E-4</v>
      </c>
    </row>
    <row r="1824" spans="1:35" x14ac:dyDescent="0.35">
      <c r="A1824" t="s">
        <v>2</v>
      </c>
      <c r="B1824">
        <v>2250</v>
      </c>
      <c r="C1824">
        <v>108</v>
      </c>
      <c r="D1824">
        <v>1</v>
      </c>
      <c r="E1824">
        <v>0</v>
      </c>
      <c r="F1824">
        <v>4351166</v>
      </c>
      <c r="G1824">
        <v>13523.25</v>
      </c>
      <c r="H1824">
        <v>4322354.5999999996</v>
      </c>
      <c r="I1824">
        <v>4337642.6399999997</v>
      </c>
      <c r="J1824">
        <v>4.1357999999999999E-2</v>
      </c>
      <c r="K1824">
        <v>0</v>
      </c>
      <c r="M1824" t="s">
        <v>0</v>
      </c>
      <c r="N1824">
        <v>6250</v>
      </c>
      <c r="O1824">
        <v>60</v>
      </c>
      <c r="P1824">
        <v>13</v>
      </c>
      <c r="Q1824">
        <v>0</v>
      </c>
      <c r="R1824">
        <v>189083624</v>
      </c>
      <c r="S1824">
        <v>259420.52</v>
      </c>
      <c r="T1824">
        <v>187696921.52000001</v>
      </c>
      <c r="U1824">
        <v>188732274.56</v>
      </c>
      <c r="V1824">
        <v>6.9241999999999998E-2</v>
      </c>
      <c r="W1824">
        <v>5.8190000000000004E-3</v>
      </c>
      <c r="Y1824" t="s">
        <v>0</v>
      </c>
      <c r="Z1824">
        <v>7250</v>
      </c>
      <c r="AA1824">
        <v>84</v>
      </c>
      <c r="AB1824">
        <v>12</v>
      </c>
      <c r="AC1824">
        <v>0</v>
      </c>
      <c r="AD1824">
        <v>150949343</v>
      </c>
      <c r="AE1824">
        <v>213955.1</v>
      </c>
      <c r="AF1824">
        <v>150747251</v>
      </c>
      <c r="AG1824">
        <v>150747251</v>
      </c>
      <c r="AH1824">
        <v>-9.4300000000000004E-4</v>
      </c>
      <c r="AI1824">
        <v>-9.4300000000000004E-4</v>
      </c>
    </row>
    <row r="1825" spans="1:35" x14ac:dyDescent="0.35">
      <c r="A1825" t="s">
        <v>2</v>
      </c>
      <c r="B1825">
        <v>5500</v>
      </c>
      <c r="C1825">
        <v>108</v>
      </c>
      <c r="D1825">
        <v>2</v>
      </c>
      <c r="E1825">
        <v>0</v>
      </c>
      <c r="F1825">
        <v>26822023</v>
      </c>
      <c r="G1825">
        <v>57159.96</v>
      </c>
      <c r="H1825">
        <v>26638207.73</v>
      </c>
      <c r="I1825">
        <v>26764839.870000001</v>
      </c>
      <c r="J1825">
        <v>5.5216000000000001E-2</v>
      </c>
      <c r="K1825">
        <v>1.0000000000000001E-5</v>
      </c>
      <c r="M1825" t="s">
        <v>1</v>
      </c>
      <c r="N1825">
        <v>6250</v>
      </c>
      <c r="O1825">
        <v>60</v>
      </c>
      <c r="P1825">
        <v>2</v>
      </c>
      <c r="Q1825">
        <v>0</v>
      </c>
      <c r="R1825">
        <v>23715945</v>
      </c>
      <c r="S1825">
        <v>32272.880000000001</v>
      </c>
      <c r="T1825">
        <v>23453295.890000001</v>
      </c>
      <c r="U1825">
        <v>23683092.030000001</v>
      </c>
      <c r="V1825">
        <v>0.110537</v>
      </c>
      <c r="W1825">
        <v>2.9300000000000002E-4</v>
      </c>
      <c r="Y1825" t="s">
        <v>0</v>
      </c>
      <c r="Z1825">
        <v>7000</v>
      </c>
      <c r="AA1825">
        <v>84</v>
      </c>
      <c r="AB1825">
        <v>5</v>
      </c>
      <c r="AC1825">
        <v>0</v>
      </c>
      <c r="AD1825">
        <v>43673139</v>
      </c>
      <c r="AE1825">
        <v>63407.62</v>
      </c>
      <c r="AF1825">
        <v>43592437</v>
      </c>
      <c r="AG1825">
        <v>43592437</v>
      </c>
      <c r="AH1825">
        <v>4.7419999999999997E-3</v>
      </c>
      <c r="AI1825">
        <v>4.7419999999999997E-3</v>
      </c>
    </row>
    <row r="1826" spans="1:35" x14ac:dyDescent="0.35">
      <c r="A1826" t="s">
        <v>0</v>
      </c>
      <c r="B1826">
        <v>6500</v>
      </c>
      <c r="C1826">
        <v>108</v>
      </c>
      <c r="D1826">
        <v>3</v>
      </c>
      <c r="E1826">
        <v>0</v>
      </c>
      <c r="F1826">
        <v>19233655</v>
      </c>
      <c r="G1826">
        <v>34707.32</v>
      </c>
      <c r="H1826">
        <v>18926729.469999999</v>
      </c>
      <c r="I1826">
        <v>19197943.989999998</v>
      </c>
      <c r="J1826">
        <v>0.157222</v>
      </c>
      <c r="K1826">
        <v>6.2600000000000004E-4</v>
      </c>
      <c r="M1826" t="s">
        <v>2</v>
      </c>
      <c r="N1826">
        <v>2000</v>
      </c>
      <c r="O1826">
        <v>144</v>
      </c>
      <c r="P1826">
        <v>2</v>
      </c>
      <c r="Q1826">
        <v>0</v>
      </c>
      <c r="R1826">
        <v>15171199</v>
      </c>
      <c r="S1826">
        <v>58309.96</v>
      </c>
      <c r="T1826">
        <v>15058849.039999999</v>
      </c>
      <c r="U1826">
        <v>15112830.15</v>
      </c>
      <c r="V1826">
        <v>4.1917000000000003E-2</v>
      </c>
      <c r="W1826">
        <v>4.6999999999999997E-5</v>
      </c>
      <c r="Y1826" t="s">
        <v>0</v>
      </c>
      <c r="Z1826">
        <v>2250</v>
      </c>
      <c r="AA1826">
        <v>84</v>
      </c>
      <c r="AB1826">
        <v>3</v>
      </c>
      <c r="AC1826">
        <v>0</v>
      </c>
      <c r="AD1826">
        <v>28060853</v>
      </c>
      <c r="AE1826">
        <v>77620.78</v>
      </c>
      <c r="AF1826">
        <v>28009183</v>
      </c>
      <c r="AG1826">
        <v>28009183</v>
      </c>
      <c r="AH1826">
        <v>-1.1154000000000001E-2</v>
      </c>
      <c r="AI1826">
        <v>-1.1154000000000001E-2</v>
      </c>
    </row>
    <row r="1827" spans="1:35" x14ac:dyDescent="0.35">
      <c r="A1827" t="s">
        <v>1</v>
      </c>
      <c r="B1827">
        <v>2000</v>
      </c>
      <c r="C1827">
        <v>108</v>
      </c>
      <c r="D1827">
        <v>7</v>
      </c>
      <c r="E1827">
        <v>0</v>
      </c>
      <c r="F1827">
        <v>99360782</v>
      </c>
      <c r="G1827">
        <v>352022.69</v>
      </c>
      <c r="H1827">
        <v>98521173.200000003</v>
      </c>
      <c r="I1827">
        <v>99004347.219999999</v>
      </c>
      <c r="J1827">
        <v>5.7322999999999999E-2</v>
      </c>
      <c r="K1827">
        <v>5.3300000000000005E-4</v>
      </c>
      <c r="M1827" t="s">
        <v>1</v>
      </c>
      <c r="N1827">
        <v>2000</v>
      </c>
      <c r="O1827">
        <v>72</v>
      </c>
      <c r="P1827">
        <v>2</v>
      </c>
      <c r="Q1827">
        <v>0</v>
      </c>
      <c r="R1827">
        <v>59559042</v>
      </c>
      <c r="S1827">
        <v>158050.66</v>
      </c>
      <c r="T1827">
        <v>59302958.170000002</v>
      </c>
      <c r="U1827">
        <v>59400981.140000001</v>
      </c>
      <c r="V1827">
        <v>1.9574000000000001E-2</v>
      </c>
      <c r="W1827">
        <v>1.9999999999999999E-6</v>
      </c>
      <c r="Y1827" t="s">
        <v>1</v>
      </c>
      <c r="Z1827">
        <v>2250</v>
      </c>
      <c r="AA1827">
        <v>84</v>
      </c>
      <c r="AB1827">
        <v>2</v>
      </c>
      <c r="AC1827">
        <v>0</v>
      </c>
      <c r="AD1827">
        <v>34912068</v>
      </c>
      <c r="AE1827">
        <v>94786.25</v>
      </c>
      <c r="AF1827">
        <v>34739773</v>
      </c>
      <c r="AG1827">
        <v>34739773</v>
      </c>
      <c r="AH1827">
        <v>2.6318000000000001E-2</v>
      </c>
      <c r="AI1827">
        <v>2.6318000000000001E-2</v>
      </c>
    </row>
    <row r="1828" spans="1:35" x14ac:dyDescent="0.35">
      <c r="A1828" t="s">
        <v>0</v>
      </c>
      <c r="B1828">
        <v>6750</v>
      </c>
      <c r="C1828">
        <v>120</v>
      </c>
      <c r="D1828">
        <v>1</v>
      </c>
      <c r="E1828">
        <v>0</v>
      </c>
      <c r="F1828">
        <v>23492222</v>
      </c>
      <c r="G1828">
        <v>48287.89</v>
      </c>
      <c r="H1828">
        <v>23330182.050000001</v>
      </c>
      <c r="I1828">
        <v>23436276.82</v>
      </c>
      <c r="J1828">
        <v>5.6583000000000001E-2</v>
      </c>
      <c r="K1828">
        <v>3.9039999999999999E-3</v>
      </c>
      <c r="M1828" t="s">
        <v>0</v>
      </c>
      <c r="N1828">
        <v>2000</v>
      </c>
      <c r="O1828">
        <v>60</v>
      </c>
      <c r="P1828">
        <v>256</v>
      </c>
      <c r="Q1828">
        <v>0</v>
      </c>
      <c r="R1828">
        <v>6429294512</v>
      </c>
      <c r="S1828">
        <v>16429111.25</v>
      </c>
      <c r="T1828">
        <v>6390864068.8000002</v>
      </c>
      <c r="U1828">
        <v>6412552006.9300003</v>
      </c>
      <c r="V1828">
        <v>4.0300000000000002E-2</v>
      </c>
      <c r="W1828">
        <v>5.8500000000000002E-4</v>
      </c>
      <c r="Y1828" t="s">
        <v>1</v>
      </c>
      <c r="Z1828">
        <v>2500</v>
      </c>
      <c r="AA1828">
        <v>84</v>
      </c>
      <c r="AB1828">
        <v>1</v>
      </c>
      <c r="AC1828">
        <v>0</v>
      </c>
      <c r="AD1828">
        <v>11731057</v>
      </c>
      <c r="AE1828">
        <v>30961.66</v>
      </c>
      <c r="AF1828">
        <v>11700086</v>
      </c>
      <c r="AG1828">
        <v>11700086</v>
      </c>
      <c r="AH1828">
        <v>1.0000000000000001E-5</v>
      </c>
      <c r="AI1828">
        <v>1.0000000000000001E-5</v>
      </c>
    </row>
    <row r="1829" spans="1:35" x14ac:dyDescent="0.35">
      <c r="A1829" t="s">
        <v>1</v>
      </c>
      <c r="B1829">
        <v>2500</v>
      </c>
      <c r="C1829">
        <v>108</v>
      </c>
      <c r="D1829">
        <v>1</v>
      </c>
      <c r="E1829">
        <v>0</v>
      </c>
      <c r="F1829">
        <v>12243328</v>
      </c>
      <c r="G1829">
        <v>36617.22</v>
      </c>
      <c r="H1829">
        <v>12139349.710000001</v>
      </c>
      <c r="I1829">
        <v>12206704.41</v>
      </c>
      <c r="J1829">
        <v>6.4061000000000007E-2</v>
      </c>
      <c r="K1829">
        <v>6.0000000000000002E-6</v>
      </c>
      <c r="M1829" t="s">
        <v>1</v>
      </c>
      <c r="N1829">
        <v>2000</v>
      </c>
      <c r="O1829">
        <v>60</v>
      </c>
      <c r="P1829">
        <v>4919</v>
      </c>
      <c r="Q1829">
        <v>0</v>
      </c>
      <c r="R1829">
        <v>140783368238</v>
      </c>
      <c r="S1829">
        <v>362478983.24000001</v>
      </c>
      <c r="T1829">
        <v>139842016691.38</v>
      </c>
      <c r="U1829">
        <v>140410713934.85999</v>
      </c>
      <c r="V1829">
        <v>4.8240999999999999E-2</v>
      </c>
      <c r="W1829">
        <v>8.6700000000000004E-4</v>
      </c>
      <c r="Y1829" t="s">
        <v>1</v>
      </c>
      <c r="Z1829">
        <v>2000</v>
      </c>
      <c r="AA1829">
        <v>84</v>
      </c>
      <c r="AB1829">
        <v>2</v>
      </c>
      <c r="AC1829">
        <v>0</v>
      </c>
      <c r="AD1829">
        <v>40516096</v>
      </c>
      <c r="AE1829">
        <v>120925.16</v>
      </c>
      <c r="AF1829">
        <v>40394190</v>
      </c>
      <c r="AG1829">
        <v>40394190</v>
      </c>
      <c r="AH1829">
        <v>2.9E-4</v>
      </c>
      <c r="AI1829">
        <v>2.9E-4</v>
      </c>
    </row>
    <row r="1830" spans="1:35" x14ac:dyDescent="0.35">
      <c r="A1830" t="s">
        <v>1</v>
      </c>
      <c r="B1830">
        <v>2750</v>
      </c>
      <c r="C1830">
        <v>96</v>
      </c>
      <c r="D1830">
        <v>5</v>
      </c>
      <c r="E1830">
        <v>0</v>
      </c>
      <c r="F1830">
        <v>74432896</v>
      </c>
      <c r="G1830">
        <v>202123.21</v>
      </c>
      <c r="H1830">
        <v>73790647.010000005</v>
      </c>
      <c r="I1830">
        <v>74230750.879999995</v>
      </c>
      <c r="J1830">
        <v>6.8694000000000005E-2</v>
      </c>
      <c r="K1830">
        <v>3.9999999999999998E-6</v>
      </c>
      <c r="M1830" t="s">
        <v>0</v>
      </c>
      <c r="N1830">
        <v>2000</v>
      </c>
      <c r="O1830">
        <v>108</v>
      </c>
      <c r="P1830">
        <v>3</v>
      </c>
      <c r="Q1830">
        <v>0</v>
      </c>
      <c r="R1830">
        <v>20392249</v>
      </c>
      <c r="S1830">
        <v>63651.91</v>
      </c>
      <c r="T1830">
        <v>20241563.719999999</v>
      </c>
      <c r="U1830">
        <v>20328592.370000001</v>
      </c>
      <c r="V1830">
        <v>5.0029999999999998E-2</v>
      </c>
      <c r="W1830">
        <v>3.0000000000000001E-6</v>
      </c>
      <c r="Y1830" t="s">
        <v>0</v>
      </c>
      <c r="Z1830">
        <v>2000</v>
      </c>
      <c r="AA1830">
        <v>84</v>
      </c>
      <c r="AB1830">
        <v>7</v>
      </c>
      <c r="AC1830">
        <v>0</v>
      </c>
      <c r="AD1830">
        <v>88401113</v>
      </c>
      <c r="AE1830">
        <v>247021.77</v>
      </c>
      <c r="AF1830">
        <v>88152254</v>
      </c>
      <c r="AG1830">
        <v>88152254</v>
      </c>
      <c r="AH1830">
        <v>2.4899999999999998E-4</v>
      </c>
      <c r="AI1830">
        <v>2.4899999999999998E-4</v>
      </c>
    </row>
    <row r="1831" spans="1:35" x14ac:dyDescent="0.35">
      <c r="A1831" t="s">
        <v>3</v>
      </c>
      <c r="B1831">
        <v>3500</v>
      </c>
      <c r="C1831">
        <v>96</v>
      </c>
      <c r="D1831">
        <v>2</v>
      </c>
      <c r="E1831">
        <v>0</v>
      </c>
      <c r="F1831">
        <v>51575703</v>
      </c>
      <c r="G1831">
        <v>129653.07</v>
      </c>
      <c r="H1831">
        <v>51395056.359999999</v>
      </c>
      <c r="I1831">
        <v>51446049.880000003</v>
      </c>
      <c r="J1831">
        <v>1.18E-2</v>
      </c>
      <c r="K1831">
        <v>0</v>
      </c>
      <c r="M1831" t="s">
        <v>0</v>
      </c>
      <c r="N1831">
        <v>2000</v>
      </c>
      <c r="O1831">
        <v>72</v>
      </c>
      <c r="P1831">
        <v>13</v>
      </c>
      <c r="Q1831">
        <v>0</v>
      </c>
      <c r="R1831">
        <v>244361585</v>
      </c>
      <c r="S1831">
        <v>645027.03</v>
      </c>
      <c r="T1831">
        <v>243157319.44999999</v>
      </c>
      <c r="U1831">
        <v>243716518.34</v>
      </c>
      <c r="V1831">
        <v>2.7119999999999998E-2</v>
      </c>
      <c r="W1831">
        <v>1.9999999999999999E-6</v>
      </c>
      <c r="Y1831" t="s">
        <v>3</v>
      </c>
      <c r="Z1831">
        <v>5750</v>
      </c>
      <c r="AA1831">
        <v>72</v>
      </c>
      <c r="AB1831">
        <v>2</v>
      </c>
      <c r="AC1831">
        <v>0</v>
      </c>
      <c r="AD1831">
        <v>17615366</v>
      </c>
      <c r="AE1831">
        <v>28883.85</v>
      </c>
      <c r="AF1831">
        <v>17567860</v>
      </c>
      <c r="AG1831">
        <v>17567860</v>
      </c>
      <c r="AH1831">
        <v>1.2612E-2</v>
      </c>
      <c r="AI1831">
        <v>1.2612E-2</v>
      </c>
    </row>
    <row r="1832" spans="1:35" x14ac:dyDescent="0.35">
      <c r="A1832" t="s">
        <v>2</v>
      </c>
      <c r="B1832">
        <v>5500</v>
      </c>
      <c r="C1832">
        <v>168</v>
      </c>
      <c r="D1832">
        <v>2</v>
      </c>
      <c r="E1832">
        <v>0</v>
      </c>
      <c r="F1832">
        <v>16907378</v>
      </c>
      <c r="G1832">
        <v>68909.59</v>
      </c>
      <c r="H1832">
        <v>16647189.85</v>
      </c>
      <c r="I1832">
        <v>16774386.460000001</v>
      </c>
      <c r="J1832">
        <v>0.12762299999999999</v>
      </c>
      <c r="K1832">
        <v>4.4546000000000002E-2</v>
      </c>
      <c r="M1832" t="s">
        <v>2</v>
      </c>
      <c r="N1832">
        <v>2000</v>
      </c>
      <c r="O1832">
        <v>72</v>
      </c>
      <c r="P1832">
        <v>8</v>
      </c>
      <c r="Q1832">
        <v>0</v>
      </c>
      <c r="R1832">
        <v>91590790</v>
      </c>
      <c r="S1832">
        <v>241417.81</v>
      </c>
      <c r="T1832">
        <v>91048448.079999998</v>
      </c>
      <c r="U1832">
        <v>91347579.900000006</v>
      </c>
      <c r="V1832">
        <v>3.8721999999999999E-2</v>
      </c>
      <c r="W1832">
        <v>2.3499999999999999E-4</v>
      </c>
      <c r="Y1832" t="s">
        <v>0</v>
      </c>
      <c r="Z1832">
        <v>6500</v>
      </c>
      <c r="AA1832">
        <v>72</v>
      </c>
      <c r="AB1832">
        <v>4</v>
      </c>
      <c r="AC1832">
        <v>0</v>
      </c>
      <c r="AD1832">
        <v>47946650</v>
      </c>
      <c r="AE1832">
        <v>69420.240000000005</v>
      </c>
      <c r="AF1832">
        <v>47873611</v>
      </c>
      <c r="AG1832">
        <v>47873611</v>
      </c>
      <c r="AH1832">
        <v>9.0499999999999999E-4</v>
      </c>
      <c r="AI1832">
        <v>9.0499999999999999E-4</v>
      </c>
    </row>
    <row r="1833" spans="1:35" x14ac:dyDescent="0.35">
      <c r="A1833" t="s">
        <v>0</v>
      </c>
      <c r="B1833">
        <v>7000</v>
      </c>
      <c r="C1833">
        <v>96</v>
      </c>
      <c r="D1833">
        <v>12</v>
      </c>
      <c r="E1833">
        <v>0</v>
      </c>
      <c r="F1833">
        <v>140395724</v>
      </c>
      <c r="G1833">
        <v>216194.76</v>
      </c>
      <c r="H1833">
        <v>138190102.74000001</v>
      </c>
      <c r="I1833">
        <v>140175637.65000001</v>
      </c>
      <c r="J1833">
        <v>0.15739600000000001</v>
      </c>
      <c r="K1833">
        <v>3.3300000000000002E-4</v>
      </c>
      <c r="M1833" t="s">
        <v>2</v>
      </c>
      <c r="N1833">
        <v>2000</v>
      </c>
      <c r="O1833">
        <v>60</v>
      </c>
      <c r="P1833">
        <v>43</v>
      </c>
      <c r="Q1833">
        <v>0</v>
      </c>
      <c r="R1833">
        <v>781102584</v>
      </c>
      <c r="S1833">
        <v>1991273.77</v>
      </c>
      <c r="T1833">
        <v>776165431.42999995</v>
      </c>
      <c r="U1833">
        <v>779060408.16999996</v>
      </c>
      <c r="V1833">
        <v>4.4330000000000001E-2</v>
      </c>
      <c r="W1833">
        <v>7.8200000000000003E-4</v>
      </c>
      <c r="Y1833" t="s">
        <v>3</v>
      </c>
      <c r="Z1833">
        <v>5500</v>
      </c>
      <c r="AA1833">
        <v>72</v>
      </c>
      <c r="AB1833">
        <v>1</v>
      </c>
      <c r="AC1833">
        <v>0</v>
      </c>
      <c r="AD1833">
        <v>5649479</v>
      </c>
      <c r="AE1833">
        <v>9359.85</v>
      </c>
      <c r="AF1833">
        <v>5639600</v>
      </c>
      <c r="AG1833">
        <v>5639600</v>
      </c>
      <c r="AH1833">
        <v>1.1019999999999999E-3</v>
      </c>
      <c r="AI1833">
        <v>1.1019999999999999E-3</v>
      </c>
    </row>
    <row r="1834" spans="1:35" x14ac:dyDescent="0.35">
      <c r="A1834" t="s">
        <v>0</v>
      </c>
      <c r="B1834">
        <v>7250</v>
      </c>
      <c r="C1834">
        <v>96</v>
      </c>
      <c r="D1834">
        <v>15</v>
      </c>
      <c r="E1834">
        <v>0</v>
      </c>
      <c r="F1834">
        <v>223325065</v>
      </c>
      <c r="G1834">
        <v>332063.52</v>
      </c>
      <c r="H1834">
        <v>219211208.43000001</v>
      </c>
      <c r="I1834">
        <v>221786841.18000001</v>
      </c>
      <c r="J1834">
        <v>0.185311</v>
      </c>
      <c r="K1834">
        <v>6.2920000000000004E-2</v>
      </c>
      <c r="M1834" t="s">
        <v>0</v>
      </c>
      <c r="N1834">
        <v>2500</v>
      </c>
      <c r="O1834">
        <v>192</v>
      </c>
      <c r="P1834">
        <v>1</v>
      </c>
      <c r="Q1834">
        <v>0</v>
      </c>
      <c r="R1834">
        <v>1586052</v>
      </c>
      <c r="S1834">
        <v>6990.23</v>
      </c>
      <c r="T1834">
        <v>1569612.53</v>
      </c>
      <c r="U1834">
        <v>1579060.33</v>
      </c>
      <c r="V1834">
        <v>6.9195999999999994E-2</v>
      </c>
      <c r="W1834">
        <v>1.1E-5</v>
      </c>
      <c r="Y1834" t="s">
        <v>0</v>
      </c>
      <c r="Z1834">
        <v>7000</v>
      </c>
      <c r="AA1834">
        <v>72</v>
      </c>
      <c r="AB1834">
        <v>1</v>
      </c>
      <c r="AC1834">
        <v>0</v>
      </c>
      <c r="AD1834">
        <v>5773184</v>
      </c>
      <c r="AE1834">
        <v>7650.53</v>
      </c>
      <c r="AF1834">
        <v>5765534</v>
      </c>
      <c r="AG1834">
        <v>5765534</v>
      </c>
      <c r="AH1834">
        <v>-9.9999999999999995E-7</v>
      </c>
      <c r="AI1834">
        <v>-9.9999999999999995E-7</v>
      </c>
    </row>
    <row r="1835" spans="1:35" x14ac:dyDescent="0.35">
      <c r="A1835" t="s">
        <v>2</v>
      </c>
      <c r="B1835">
        <v>6000</v>
      </c>
      <c r="C1835">
        <v>96</v>
      </c>
      <c r="D1835">
        <v>1</v>
      </c>
      <c r="E1835">
        <v>0</v>
      </c>
      <c r="F1835">
        <v>4811625</v>
      </c>
      <c r="G1835">
        <v>8660.1299999999992</v>
      </c>
      <c r="H1835">
        <v>4773294.49</v>
      </c>
      <c r="I1835">
        <v>4802961.92</v>
      </c>
      <c r="J1835">
        <v>7.1538000000000004E-2</v>
      </c>
      <c r="K1835">
        <v>6.9999999999999999E-6</v>
      </c>
      <c r="M1835" t="s">
        <v>1</v>
      </c>
      <c r="N1835">
        <v>2250</v>
      </c>
      <c r="O1835">
        <v>144</v>
      </c>
      <c r="P1835">
        <v>1</v>
      </c>
      <c r="Q1835">
        <v>0</v>
      </c>
      <c r="R1835">
        <v>16745565</v>
      </c>
      <c r="S1835">
        <v>58929.45</v>
      </c>
      <c r="T1835">
        <v>16577614.140000001</v>
      </c>
      <c r="U1835">
        <v>16686633.359999999</v>
      </c>
      <c r="V1835">
        <v>7.5387999999999997E-2</v>
      </c>
      <c r="W1835">
        <v>1.9999999999999999E-6</v>
      </c>
      <c r="Y1835" t="s">
        <v>1</v>
      </c>
      <c r="Z1835">
        <v>6250</v>
      </c>
      <c r="AA1835">
        <v>72</v>
      </c>
      <c r="AB1835">
        <v>2</v>
      </c>
      <c r="AC1835">
        <v>0</v>
      </c>
      <c r="AD1835">
        <v>24279517</v>
      </c>
      <c r="AE1835">
        <v>35170.559999999998</v>
      </c>
      <c r="AF1835">
        <v>24243424</v>
      </c>
      <c r="AG1835">
        <v>24243424</v>
      </c>
      <c r="AH1835">
        <v>4.5600000000000003E-4</v>
      </c>
      <c r="AI1835">
        <v>4.5600000000000003E-4</v>
      </c>
    </row>
    <row r="1836" spans="1:35" x14ac:dyDescent="0.35">
      <c r="A1836" t="s">
        <v>3</v>
      </c>
      <c r="B1836">
        <v>6250</v>
      </c>
      <c r="C1836">
        <v>96</v>
      </c>
      <c r="D1836">
        <v>2</v>
      </c>
      <c r="E1836">
        <v>0</v>
      </c>
      <c r="F1836">
        <v>20232893</v>
      </c>
      <c r="G1836">
        <v>33798.660000000003</v>
      </c>
      <c r="H1836">
        <v>20081163.420000002</v>
      </c>
      <c r="I1836">
        <v>20198710.260000002</v>
      </c>
      <c r="J1836">
        <v>6.7745E-2</v>
      </c>
      <c r="K1836">
        <v>2.2800000000000001E-4</v>
      </c>
      <c r="M1836" t="s">
        <v>1</v>
      </c>
      <c r="N1836">
        <v>5750</v>
      </c>
      <c r="O1836">
        <v>60</v>
      </c>
      <c r="P1836">
        <v>5</v>
      </c>
      <c r="Q1836">
        <v>0</v>
      </c>
      <c r="R1836">
        <v>111366069</v>
      </c>
      <c r="S1836">
        <v>170207.05</v>
      </c>
      <c r="T1836">
        <v>109016378.44</v>
      </c>
      <c r="U1836">
        <v>110176415.44</v>
      </c>
      <c r="V1836">
        <v>0.211146</v>
      </c>
      <c r="W1836">
        <v>0.10448300000000001</v>
      </c>
      <c r="Y1836" t="s">
        <v>0</v>
      </c>
      <c r="Z1836">
        <v>2500</v>
      </c>
      <c r="AA1836">
        <v>96</v>
      </c>
      <c r="AB1836">
        <v>3</v>
      </c>
      <c r="AC1836">
        <v>0</v>
      </c>
      <c r="AD1836">
        <v>23460308</v>
      </c>
      <c r="AE1836">
        <v>64789.36</v>
      </c>
      <c r="AF1836">
        <v>23424409</v>
      </c>
      <c r="AG1836">
        <v>23424409</v>
      </c>
      <c r="AH1836">
        <v>-1.4878000000000001E-2</v>
      </c>
      <c r="AI1836">
        <v>-1.4878000000000001E-2</v>
      </c>
    </row>
    <row r="1837" spans="1:35" x14ac:dyDescent="0.35">
      <c r="A1837" t="s">
        <v>0</v>
      </c>
      <c r="B1837">
        <v>7250</v>
      </c>
      <c r="C1837">
        <v>84</v>
      </c>
      <c r="D1837">
        <v>9</v>
      </c>
      <c r="E1837">
        <v>0</v>
      </c>
      <c r="F1837">
        <v>107344403</v>
      </c>
      <c r="G1837">
        <v>152289.18</v>
      </c>
      <c r="H1837">
        <v>106403890.44</v>
      </c>
      <c r="I1837">
        <v>107178565.69</v>
      </c>
      <c r="J1837">
        <v>8.4641999999999995E-2</v>
      </c>
      <c r="K1837">
        <v>1.513E-3</v>
      </c>
      <c r="M1837" t="s">
        <v>2</v>
      </c>
      <c r="N1837">
        <v>2000</v>
      </c>
      <c r="O1837">
        <v>108</v>
      </c>
      <c r="P1837">
        <v>2</v>
      </c>
      <c r="Q1837">
        <v>0</v>
      </c>
      <c r="R1837">
        <v>20325145</v>
      </c>
      <c r="S1837">
        <v>63935.46</v>
      </c>
      <c r="T1837">
        <v>20173776.300000001</v>
      </c>
      <c r="U1837">
        <v>20261209.469999999</v>
      </c>
      <c r="V1837">
        <v>5.0416999999999997E-2</v>
      </c>
      <c r="W1837">
        <v>0</v>
      </c>
      <c r="Y1837" t="s">
        <v>0</v>
      </c>
      <c r="Z1837">
        <v>2250</v>
      </c>
      <c r="AA1837">
        <v>108</v>
      </c>
      <c r="AB1837">
        <v>4</v>
      </c>
      <c r="AC1837">
        <v>0</v>
      </c>
      <c r="AD1837">
        <v>40409098</v>
      </c>
      <c r="AE1837">
        <v>124531.3</v>
      </c>
      <c r="AF1837">
        <v>35016132</v>
      </c>
      <c r="AG1837">
        <v>35016132</v>
      </c>
      <c r="AH1837">
        <v>0.81294500000000003</v>
      </c>
      <c r="AI1837">
        <v>0.81294500000000003</v>
      </c>
    </row>
    <row r="1838" spans="1:35" x14ac:dyDescent="0.35">
      <c r="A1838" t="s">
        <v>3</v>
      </c>
      <c r="B1838">
        <v>6000</v>
      </c>
      <c r="C1838">
        <v>84</v>
      </c>
      <c r="D1838">
        <v>4</v>
      </c>
      <c r="E1838">
        <v>0</v>
      </c>
      <c r="F1838">
        <v>40025356</v>
      </c>
      <c r="G1838">
        <v>66920.990000000005</v>
      </c>
      <c r="H1838">
        <v>39756223.399999999</v>
      </c>
      <c r="I1838">
        <v>39958422.710000001</v>
      </c>
      <c r="J1838">
        <v>5.8969000000000001E-2</v>
      </c>
      <c r="K1838">
        <v>3.9999999999999998E-6</v>
      </c>
      <c r="M1838" t="s">
        <v>2</v>
      </c>
      <c r="N1838">
        <v>2250</v>
      </c>
      <c r="O1838">
        <v>120</v>
      </c>
      <c r="P1838">
        <v>1</v>
      </c>
      <c r="Q1838">
        <v>0</v>
      </c>
      <c r="R1838">
        <v>18985134</v>
      </c>
      <c r="S1838">
        <v>62419.71</v>
      </c>
      <c r="T1838">
        <v>18800812.649999999</v>
      </c>
      <c r="U1838">
        <v>18922710.149999999</v>
      </c>
      <c r="V1838">
        <v>7.4386999999999995E-2</v>
      </c>
      <c r="W1838">
        <v>3.0000000000000001E-6</v>
      </c>
      <c r="Y1838" t="s">
        <v>2</v>
      </c>
      <c r="Z1838">
        <v>6000</v>
      </c>
      <c r="AA1838">
        <v>72</v>
      </c>
      <c r="AB1838">
        <v>3</v>
      </c>
      <c r="AC1838">
        <v>0</v>
      </c>
      <c r="AD1838">
        <v>24978394</v>
      </c>
      <c r="AE1838">
        <v>37774.74</v>
      </c>
      <c r="AF1838">
        <v>24939532</v>
      </c>
      <c r="AG1838">
        <v>24939532</v>
      </c>
      <c r="AH1838">
        <v>5.22E-4</v>
      </c>
      <c r="AI1838">
        <v>5.22E-4</v>
      </c>
    </row>
    <row r="1839" spans="1:35" x14ac:dyDescent="0.35">
      <c r="A1839" t="s">
        <v>0</v>
      </c>
      <c r="B1839">
        <v>7000</v>
      </c>
      <c r="C1839">
        <v>84</v>
      </c>
      <c r="D1839">
        <v>5</v>
      </c>
      <c r="E1839">
        <v>0</v>
      </c>
      <c r="F1839">
        <v>43592437</v>
      </c>
      <c r="G1839">
        <v>63746.36</v>
      </c>
      <c r="H1839">
        <v>42839748.990000002</v>
      </c>
      <c r="I1839">
        <v>43078370.810000002</v>
      </c>
      <c r="J1839">
        <v>0.17400299999999999</v>
      </c>
      <c r="K1839">
        <v>0.117157</v>
      </c>
      <c r="M1839" t="s">
        <v>1</v>
      </c>
      <c r="N1839">
        <v>2500</v>
      </c>
      <c r="O1839">
        <v>192</v>
      </c>
      <c r="P1839">
        <v>1</v>
      </c>
      <c r="Q1839">
        <v>0</v>
      </c>
      <c r="R1839">
        <v>10801502</v>
      </c>
      <c r="S1839">
        <v>48867.75</v>
      </c>
      <c r="T1839">
        <v>10734737.300000001</v>
      </c>
      <c r="U1839">
        <v>10752633.449999999</v>
      </c>
      <c r="V1839">
        <v>1.9702999999999998E-2</v>
      </c>
      <c r="W1839">
        <v>9.9999999999999995E-7</v>
      </c>
      <c r="Y1839" t="s">
        <v>0</v>
      </c>
      <c r="Z1839">
        <v>2250</v>
      </c>
      <c r="AA1839">
        <v>96</v>
      </c>
      <c r="AB1839">
        <v>1</v>
      </c>
      <c r="AC1839">
        <v>0</v>
      </c>
      <c r="AD1839">
        <v>11899248</v>
      </c>
      <c r="AE1839">
        <v>34053.980000000003</v>
      </c>
      <c r="AF1839">
        <v>11899248</v>
      </c>
      <c r="AG1839">
        <v>11899248</v>
      </c>
      <c r="AH1839">
        <v>-3.4888000000000002E-2</v>
      </c>
      <c r="AI1839">
        <v>-3.4888000000000002E-2</v>
      </c>
    </row>
    <row r="1840" spans="1:35" x14ac:dyDescent="0.35">
      <c r="A1840" t="s">
        <v>0</v>
      </c>
      <c r="B1840">
        <v>2250</v>
      </c>
      <c r="C1840">
        <v>84</v>
      </c>
      <c r="D1840">
        <v>2</v>
      </c>
      <c r="E1840">
        <v>0</v>
      </c>
      <c r="F1840">
        <v>16102194</v>
      </c>
      <c r="G1840">
        <v>44706.16</v>
      </c>
      <c r="H1840">
        <v>15730714.51</v>
      </c>
      <c r="I1840">
        <v>15922547.49</v>
      </c>
      <c r="J1840">
        <v>0.21810099999999999</v>
      </c>
      <c r="K1840">
        <v>9.6055000000000001E-2</v>
      </c>
      <c r="M1840" t="s">
        <v>0</v>
      </c>
      <c r="N1840">
        <v>6000</v>
      </c>
      <c r="O1840">
        <v>60</v>
      </c>
      <c r="P1840">
        <v>4</v>
      </c>
      <c r="Q1840">
        <v>0</v>
      </c>
      <c r="R1840">
        <v>63540334</v>
      </c>
      <c r="S1840">
        <v>91669.46</v>
      </c>
      <c r="T1840">
        <v>63066720.780000001</v>
      </c>
      <c r="U1840">
        <v>63448639.880000003</v>
      </c>
      <c r="V1840">
        <v>6.9794999999999996E-2</v>
      </c>
      <c r="W1840">
        <v>5.0000000000000004E-6</v>
      </c>
      <c r="Y1840" t="s">
        <v>2</v>
      </c>
      <c r="Z1840">
        <v>2000</v>
      </c>
      <c r="AA1840">
        <v>144</v>
      </c>
      <c r="AB1840">
        <v>2</v>
      </c>
      <c r="AC1840">
        <v>0</v>
      </c>
      <c r="AD1840">
        <v>15054319</v>
      </c>
      <c r="AE1840">
        <v>58503.87</v>
      </c>
      <c r="AF1840">
        <v>14995733</v>
      </c>
      <c r="AG1840">
        <v>14995733</v>
      </c>
      <c r="AH1840">
        <v>6.4999999999999994E-5</v>
      </c>
      <c r="AI1840">
        <v>6.4999999999999994E-5</v>
      </c>
    </row>
    <row r="1841" spans="1:35" x14ac:dyDescent="0.35">
      <c r="A1841" t="s">
        <v>3</v>
      </c>
      <c r="B1841">
        <v>6250</v>
      </c>
      <c r="C1841">
        <v>84</v>
      </c>
      <c r="D1841">
        <v>2</v>
      </c>
      <c r="E1841">
        <v>0</v>
      </c>
      <c r="F1841">
        <v>21385354</v>
      </c>
      <c r="G1841">
        <v>35397.93</v>
      </c>
      <c r="H1841">
        <v>21275210.969999999</v>
      </c>
      <c r="I1841">
        <v>21349955.829999998</v>
      </c>
      <c r="J1841">
        <v>4.1145000000000001E-2</v>
      </c>
      <c r="K1841">
        <v>0</v>
      </c>
      <c r="M1841" t="s">
        <v>2</v>
      </c>
      <c r="N1841">
        <v>6250</v>
      </c>
      <c r="O1841">
        <v>60</v>
      </c>
      <c r="P1841">
        <v>1</v>
      </c>
      <c r="Q1841">
        <v>0</v>
      </c>
      <c r="R1841">
        <v>15066085</v>
      </c>
      <c r="S1841">
        <v>20644.080000000002</v>
      </c>
      <c r="T1841">
        <v>14960582.93</v>
      </c>
      <c r="U1841">
        <v>15045437.83</v>
      </c>
      <c r="V1841">
        <v>6.5533999999999995E-2</v>
      </c>
      <c r="W1841">
        <v>1.9999999999999999E-6</v>
      </c>
      <c r="Y1841" t="s">
        <v>1</v>
      </c>
      <c r="Z1841">
        <v>2000</v>
      </c>
      <c r="AA1841">
        <v>72</v>
      </c>
      <c r="AB1841">
        <v>18</v>
      </c>
      <c r="AC1841">
        <v>0</v>
      </c>
      <c r="AD1841">
        <v>448942655</v>
      </c>
      <c r="AE1841">
        <v>1166761.3600000001</v>
      </c>
      <c r="AF1841">
        <v>447813335</v>
      </c>
      <c r="AG1841">
        <v>447813335</v>
      </c>
      <c r="AH1841">
        <v>-1.0009999999999999E-3</v>
      </c>
      <c r="AI1841">
        <v>-1.0009999999999999E-3</v>
      </c>
    </row>
    <row r="1842" spans="1:35" x14ac:dyDescent="0.35">
      <c r="A1842" t="s">
        <v>1</v>
      </c>
      <c r="B1842">
        <v>2250</v>
      </c>
      <c r="C1842">
        <v>84</v>
      </c>
      <c r="D1842">
        <v>2</v>
      </c>
      <c r="E1842">
        <v>0</v>
      </c>
      <c r="F1842">
        <v>34739773</v>
      </c>
      <c r="G1842">
        <v>94752.21</v>
      </c>
      <c r="H1842">
        <v>34442803.93</v>
      </c>
      <c r="I1842">
        <v>34644752.280000001</v>
      </c>
      <c r="J1842">
        <v>6.7656999999999995E-2</v>
      </c>
      <c r="K1842">
        <v>9.2999999999999997E-5</v>
      </c>
      <c r="M1842" t="s">
        <v>3</v>
      </c>
      <c r="N1842">
        <v>5000</v>
      </c>
      <c r="O1842">
        <v>60</v>
      </c>
      <c r="P1842">
        <v>1</v>
      </c>
      <c r="Q1842">
        <v>0</v>
      </c>
      <c r="R1842">
        <v>14192599</v>
      </c>
      <c r="S1842">
        <v>23420.240000000002</v>
      </c>
      <c r="T1842">
        <v>14096848.09</v>
      </c>
      <c r="U1842">
        <v>14169178.710000001</v>
      </c>
      <c r="V1842">
        <v>5.9471000000000003E-2</v>
      </c>
      <c r="W1842">
        <v>0</v>
      </c>
      <c r="Y1842" t="s">
        <v>0</v>
      </c>
      <c r="Z1842">
        <v>2000</v>
      </c>
      <c r="AA1842">
        <v>72</v>
      </c>
      <c r="AB1842">
        <v>53</v>
      </c>
      <c r="AC1842">
        <v>0</v>
      </c>
      <c r="AD1842">
        <v>1094189816</v>
      </c>
      <c r="AE1842">
        <v>2849519.46</v>
      </c>
      <c r="AF1842">
        <v>1091414183</v>
      </c>
      <c r="AG1842">
        <v>1091414183</v>
      </c>
      <c r="AH1842">
        <v>-8.1099999999999998E-4</v>
      </c>
      <c r="AI1842">
        <v>-8.1099999999999998E-4</v>
      </c>
    </row>
    <row r="1843" spans="1:35" x14ac:dyDescent="0.35">
      <c r="A1843" t="s">
        <v>1</v>
      </c>
      <c r="B1843">
        <v>6500</v>
      </c>
      <c r="C1843">
        <v>84</v>
      </c>
      <c r="D1843">
        <v>2</v>
      </c>
      <c r="E1843">
        <v>0</v>
      </c>
      <c r="F1843">
        <v>33822064</v>
      </c>
      <c r="G1843">
        <v>51416</v>
      </c>
      <c r="H1843">
        <v>33197385.210000001</v>
      </c>
      <c r="I1843">
        <v>33770636.950000003</v>
      </c>
      <c r="J1843">
        <v>0.18546299999999999</v>
      </c>
      <c r="K1843">
        <v>3.9999999999999998E-6</v>
      </c>
      <c r="M1843" t="s">
        <v>2</v>
      </c>
      <c r="N1843">
        <v>2000</v>
      </c>
      <c r="O1843">
        <v>192</v>
      </c>
      <c r="P1843">
        <v>3</v>
      </c>
      <c r="Q1843">
        <v>0</v>
      </c>
      <c r="R1843">
        <v>25625383</v>
      </c>
      <c r="S1843">
        <v>149767.35999999999</v>
      </c>
      <c r="T1843">
        <v>25434688.75</v>
      </c>
      <c r="U1843">
        <v>25475612.77</v>
      </c>
      <c r="V1843">
        <v>1.8998000000000001E-2</v>
      </c>
      <c r="W1843">
        <v>9.9999999999999995E-7</v>
      </c>
      <c r="Y1843" t="s">
        <v>0</v>
      </c>
      <c r="Z1843">
        <v>2000</v>
      </c>
      <c r="AA1843">
        <v>108</v>
      </c>
      <c r="AB1843">
        <v>3</v>
      </c>
      <c r="AC1843">
        <v>0</v>
      </c>
      <c r="AD1843">
        <v>20518674</v>
      </c>
      <c r="AE1843">
        <v>64671.69</v>
      </c>
      <c r="AF1843">
        <v>20452665</v>
      </c>
      <c r="AG1843">
        <v>20452665</v>
      </c>
      <c r="AH1843">
        <v>7.8200000000000003E-4</v>
      </c>
      <c r="AI1843">
        <v>7.8200000000000003E-4</v>
      </c>
    </row>
    <row r="1844" spans="1:35" x14ac:dyDescent="0.35">
      <c r="A1844" t="s">
        <v>1</v>
      </c>
      <c r="B1844">
        <v>2500</v>
      </c>
      <c r="C1844">
        <v>84</v>
      </c>
      <c r="D1844">
        <v>1</v>
      </c>
      <c r="E1844">
        <v>0</v>
      </c>
      <c r="F1844">
        <v>11700086</v>
      </c>
      <c r="G1844">
        <v>31022.92</v>
      </c>
      <c r="H1844">
        <v>11599391.550000001</v>
      </c>
      <c r="I1844">
        <v>11669052.57</v>
      </c>
      <c r="J1844">
        <v>6.9163000000000002E-2</v>
      </c>
      <c r="K1844">
        <v>1.1E-5</v>
      </c>
      <c r="M1844" t="s">
        <v>0</v>
      </c>
      <c r="N1844">
        <v>5750</v>
      </c>
      <c r="O1844">
        <v>54</v>
      </c>
      <c r="P1844">
        <v>20</v>
      </c>
      <c r="Q1844">
        <v>0</v>
      </c>
      <c r="R1844">
        <v>295800903</v>
      </c>
      <c r="S1844">
        <v>424882.75</v>
      </c>
      <c r="T1844">
        <v>292568286.73000002</v>
      </c>
      <c r="U1844">
        <v>294433907.06999999</v>
      </c>
      <c r="V1844">
        <v>0.108141</v>
      </c>
      <c r="W1844">
        <v>3.7557E-2</v>
      </c>
      <c r="Y1844" t="s">
        <v>2</v>
      </c>
      <c r="Z1844">
        <v>2000</v>
      </c>
      <c r="AA1844">
        <v>72</v>
      </c>
      <c r="AB1844">
        <v>14</v>
      </c>
      <c r="AC1844">
        <v>0</v>
      </c>
      <c r="AD1844">
        <v>160273338</v>
      </c>
      <c r="AE1844">
        <v>423597.92</v>
      </c>
      <c r="AF1844">
        <v>159883933</v>
      </c>
      <c r="AG1844">
        <v>159883933</v>
      </c>
      <c r="AH1844">
        <v>-2.5630000000000002E-3</v>
      </c>
      <c r="AI1844">
        <v>-2.5630000000000002E-3</v>
      </c>
    </row>
    <row r="1845" spans="1:35" x14ac:dyDescent="0.35">
      <c r="A1845" t="s">
        <v>1</v>
      </c>
      <c r="B1845">
        <v>2000</v>
      </c>
      <c r="C1845">
        <v>84</v>
      </c>
      <c r="D1845">
        <v>2</v>
      </c>
      <c r="E1845">
        <v>0</v>
      </c>
      <c r="F1845">
        <v>40394190</v>
      </c>
      <c r="G1845">
        <v>121123.6</v>
      </c>
      <c r="H1845">
        <v>40134522.600000001</v>
      </c>
      <c r="I1845">
        <v>40273050.43</v>
      </c>
      <c r="J1845">
        <v>4.0390000000000002E-2</v>
      </c>
      <c r="K1845">
        <v>5.0000000000000004E-6</v>
      </c>
      <c r="M1845" t="s">
        <v>3</v>
      </c>
      <c r="N1845">
        <v>4500</v>
      </c>
      <c r="O1845">
        <v>54</v>
      </c>
      <c r="P1845">
        <v>1</v>
      </c>
      <c r="Q1845">
        <v>0</v>
      </c>
      <c r="R1845">
        <v>31125954</v>
      </c>
      <c r="S1845">
        <v>54154.91</v>
      </c>
      <c r="T1845">
        <v>30912276.960000001</v>
      </c>
      <c r="U1845">
        <v>31071794.48</v>
      </c>
      <c r="V1845">
        <v>5.9796000000000002E-2</v>
      </c>
      <c r="W1845">
        <v>1.9999999999999999E-6</v>
      </c>
      <c r="Y1845" t="s">
        <v>1</v>
      </c>
      <c r="Z1845">
        <v>2250</v>
      </c>
      <c r="AA1845">
        <v>144</v>
      </c>
      <c r="AB1845">
        <v>1</v>
      </c>
      <c r="AC1845">
        <v>0</v>
      </c>
      <c r="AD1845">
        <v>16685994</v>
      </c>
      <c r="AE1845">
        <v>59358.39</v>
      </c>
      <c r="AF1845">
        <v>16626311</v>
      </c>
      <c r="AG1845">
        <v>16626311</v>
      </c>
      <c r="AH1845">
        <v>2.33E-4</v>
      </c>
      <c r="AI1845">
        <v>2.33E-4</v>
      </c>
    </row>
    <row r="1846" spans="1:35" x14ac:dyDescent="0.35">
      <c r="A1846" t="s">
        <v>0</v>
      </c>
      <c r="B1846">
        <v>2000</v>
      </c>
      <c r="C1846">
        <v>84</v>
      </c>
      <c r="D1846">
        <v>7</v>
      </c>
      <c r="E1846">
        <v>0</v>
      </c>
      <c r="F1846">
        <v>88152254</v>
      </c>
      <c r="G1846">
        <v>247411.79</v>
      </c>
      <c r="H1846">
        <v>87276737.670000002</v>
      </c>
      <c r="I1846">
        <v>87903555.959999993</v>
      </c>
      <c r="J1846">
        <v>8.2229999999999998E-2</v>
      </c>
      <c r="K1846">
        <v>1.75E-4</v>
      </c>
      <c r="M1846" t="s">
        <v>0</v>
      </c>
      <c r="N1846">
        <v>5500</v>
      </c>
      <c r="O1846">
        <v>54</v>
      </c>
      <c r="P1846">
        <v>12</v>
      </c>
      <c r="Q1846">
        <v>0</v>
      </c>
      <c r="R1846">
        <v>203721593</v>
      </c>
      <c r="S1846">
        <v>304226.46000000002</v>
      </c>
      <c r="T1846">
        <v>202083603.56</v>
      </c>
      <c r="U1846">
        <v>203151824.90000001</v>
      </c>
      <c r="V1846">
        <v>7.5796000000000002E-2</v>
      </c>
      <c r="W1846">
        <v>1.553E-2</v>
      </c>
      <c r="Y1846" t="s">
        <v>3</v>
      </c>
      <c r="Z1846">
        <v>2250</v>
      </c>
      <c r="AA1846">
        <v>72</v>
      </c>
      <c r="AB1846">
        <v>1</v>
      </c>
      <c r="AC1846">
        <v>0</v>
      </c>
      <c r="AD1846">
        <v>23908608</v>
      </c>
      <c r="AE1846">
        <v>59704.04</v>
      </c>
      <c r="AF1846">
        <v>23848819</v>
      </c>
      <c r="AG1846">
        <v>23848819</v>
      </c>
      <c r="AH1846">
        <v>4.3000000000000002E-5</v>
      </c>
      <c r="AI1846">
        <v>4.3000000000000002E-5</v>
      </c>
    </row>
    <row r="1847" spans="1:35" x14ac:dyDescent="0.35">
      <c r="A1847" t="s">
        <v>0</v>
      </c>
      <c r="B1847">
        <v>6500</v>
      </c>
      <c r="C1847">
        <v>72</v>
      </c>
      <c r="D1847">
        <v>4</v>
      </c>
      <c r="E1847">
        <v>0</v>
      </c>
      <c r="F1847">
        <v>47873611</v>
      </c>
      <c r="G1847">
        <v>69784.2</v>
      </c>
      <c r="H1847">
        <v>47425929.130000003</v>
      </c>
      <c r="I1847">
        <v>47803029.469999999</v>
      </c>
      <c r="J1847">
        <v>9.0717999999999993E-2</v>
      </c>
      <c r="K1847">
        <v>2.0000000000000001E-4</v>
      </c>
      <c r="M1847" t="s">
        <v>2</v>
      </c>
      <c r="N1847">
        <v>5500</v>
      </c>
      <c r="O1847">
        <v>54</v>
      </c>
      <c r="P1847">
        <v>16</v>
      </c>
      <c r="Q1847">
        <v>0</v>
      </c>
      <c r="R1847">
        <v>180935471</v>
      </c>
      <c r="S1847">
        <v>302726.53999999998</v>
      </c>
      <c r="T1847">
        <v>179239279.55000001</v>
      </c>
      <c r="U1847">
        <v>180629802.88</v>
      </c>
      <c r="V1847">
        <v>8.8602E-2</v>
      </c>
      <c r="W1847">
        <v>1.95E-4</v>
      </c>
      <c r="Y1847" t="s">
        <v>0</v>
      </c>
      <c r="Z1847">
        <v>2000</v>
      </c>
      <c r="AA1847">
        <v>60</v>
      </c>
      <c r="AB1847">
        <v>292</v>
      </c>
      <c r="AC1847">
        <v>0</v>
      </c>
      <c r="AD1847">
        <v>7586030745</v>
      </c>
      <c r="AE1847">
        <v>19484929.859999999</v>
      </c>
      <c r="AF1847">
        <v>7566662567</v>
      </c>
      <c r="AG1847">
        <v>7566662567</v>
      </c>
      <c r="AH1847">
        <v>-1.85E-4</v>
      </c>
      <c r="AI1847">
        <v>-1.85E-4</v>
      </c>
    </row>
    <row r="1848" spans="1:35" x14ac:dyDescent="0.35">
      <c r="A1848" t="s">
        <v>3</v>
      </c>
      <c r="B1848">
        <v>5500</v>
      </c>
      <c r="C1848">
        <v>72</v>
      </c>
      <c r="D1848">
        <v>1</v>
      </c>
      <c r="E1848">
        <v>0</v>
      </c>
      <c r="F1848">
        <v>5639600</v>
      </c>
      <c r="G1848">
        <v>9401.8799999999992</v>
      </c>
      <c r="H1848">
        <v>5624960.5499999998</v>
      </c>
      <c r="I1848">
        <v>5630198.1200000001</v>
      </c>
      <c r="J1848">
        <v>1.1088000000000001E-2</v>
      </c>
      <c r="K1848">
        <v>0</v>
      </c>
      <c r="M1848" t="s">
        <v>2</v>
      </c>
      <c r="N1848">
        <v>5750</v>
      </c>
      <c r="O1848">
        <v>54</v>
      </c>
      <c r="P1848">
        <v>7</v>
      </c>
      <c r="Q1848">
        <v>0</v>
      </c>
      <c r="R1848">
        <v>73370414</v>
      </c>
      <c r="S1848">
        <v>113551.05</v>
      </c>
      <c r="T1848">
        <v>72103295.640000001</v>
      </c>
      <c r="U1848">
        <v>72574288.799999997</v>
      </c>
      <c r="V1848">
        <v>0.173181</v>
      </c>
      <c r="W1848">
        <v>0.106099</v>
      </c>
      <c r="Y1848" t="s">
        <v>2</v>
      </c>
      <c r="Z1848">
        <v>2000</v>
      </c>
      <c r="AA1848">
        <v>108</v>
      </c>
      <c r="AB1848">
        <v>3</v>
      </c>
      <c r="AC1848">
        <v>0</v>
      </c>
      <c r="AD1848">
        <v>32344867</v>
      </c>
      <c r="AE1848">
        <v>100995.2</v>
      </c>
      <c r="AF1848">
        <v>32244894</v>
      </c>
      <c r="AG1848">
        <v>32244894</v>
      </c>
      <c r="AH1848">
        <v>-3.79E-4</v>
      </c>
      <c r="AI1848">
        <v>-3.79E-4</v>
      </c>
    </row>
    <row r="1849" spans="1:35" x14ac:dyDescent="0.35">
      <c r="A1849" t="s">
        <v>3</v>
      </c>
      <c r="B1849">
        <v>5750</v>
      </c>
      <c r="C1849">
        <v>72</v>
      </c>
      <c r="D1849">
        <v>1</v>
      </c>
      <c r="E1849">
        <v>0</v>
      </c>
      <c r="F1849">
        <v>6614003</v>
      </c>
      <c r="G1849">
        <v>10827.76</v>
      </c>
      <c r="H1849">
        <v>6582181.5899999999</v>
      </c>
      <c r="I1849">
        <v>6603174.9199999999</v>
      </c>
      <c r="J1849">
        <v>3.7430999999999999E-2</v>
      </c>
      <c r="K1849">
        <v>9.9999999999999995E-7</v>
      </c>
      <c r="M1849" t="s">
        <v>0</v>
      </c>
      <c r="N1849">
        <v>6250</v>
      </c>
      <c r="O1849">
        <v>54</v>
      </c>
      <c r="P1849">
        <v>7</v>
      </c>
      <c r="Q1849">
        <v>0</v>
      </c>
      <c r="R1849">
        <v>156850107</v>
      </c>
      <c r="S1849">
        <v>203528.89</v>
      </c>
      <c r="T1849">
        <v>155806448.5</v>
      </c>
      <c r="U1849">
        <v>156642984.22</v>
      </c>
      <c r="V1849">
        <v>6.2414999999999998E-2</v>
      </c>
      <c r="W1849">
        <v>2.7500000000000002E-4</v>
      </c>
      <c r="Y1849" t="s">
        <v>2</v>
      </c>
      <c r="Z1849">
        <v>2250</v>
      </c>
      <c r="AA1849">
        <v>120</v>
      </c>
      <c r="AB1849">
        <v>1</v>
      </c>
      <c r="AC1849">
        <v>0</v>
      </c>
      <c r="AD1849">
        <v>18859764</v>
      </c>
      <c r="AE1849">
        <v>62642.19</v>
      </c>
      <c r="AF1849">
        <v>18859764</v>
      </c>
      <c r="AG1849">
        <v>18859764</v>
      </c>
      <c r="AH1849">
        <v>-4.0593999999999998E-2</v>
      </c>
      <c r="AI1849">
        <v>-4.0593999999999998E-2</v>
      </c>
    </row>
    <row r="1850" spans="1:35" x14ac:dyDescent="0.35">
      <c r="A1850" t="s">
        <v>0</v>
      </c>
      <c r="B1850">
        <v>7000</v>
      </c>
      <c r="C1850">
        <v>72</v>
      </c>
      <c r="D1850">
        <v>1</v>
      </c>
      <c r="E1850">
        <v>0</v>
      </c>
      <c r="F1850">
        <v>5765534</v>
      </c>
      <c r="G1850">
        <v>7695.16</v>
      </c>
      <c r="H1850">
        <v>5665485.21</v>
      </c>
      <c r="I1850">
        <v>5757251.25</v>
      </c>
      <c r="J1850">
        <v>0.17615700000000001</v>
      </c>
      <c r="K1850">
        <v>1.222E-3</v>
      </c>
      <c r="M1850" t="s">
        <v>3</v>
      </c>
      <c r="N1850">
        <v>4750</v>
      </c>
      <c r="O1850">
        <v>54</v>
      </c>
      <c r="P1850">
        <v>2</v>
      </c>
      <c r="Q1850">
        <v>0</v>
      </c>
      <c r="R1850">
        <v>11989768</v>
      </c>
      <c r="S1850">
        <v>20303.54</v>
      </c>
      <c r="T1850">
        <v>11927533.550000001</v>
      </c>
      <c r="U1850">
        <v>11969464.1</v>
      </c>
      <c r="V1850">
        <v>4.1168999999999997E-2</v>
      </c>
      <c r="W1850">
        <v>0</v>
      </c>
      <c r="Y1850" t="s">
        <v>1</v>
      </c>
      <c r="Z1850">
        <v>2500</v>
      </c>
      <c r="AA1850">
        <v>192</v>
      </c>
      <c r="AB1850">
        <v>1</v>
      </c>
      <c r="AC1850">
        <v>0</v>
      </c>
      <c r="AD1850">
        <v>10702793</v>
      </c>
      <c r="AE1850">
        <v>49067.58</v>
      </c>
      <c r="AF1850">
        <v>10653284</v>
      </c>
      <c r="AG1850">
        <v>10653284</v>
      </c>
      <c r="AH1850">
        <v>4.95E-4</v>
      </c>
      <c r="AI1850">
        <v>4.95E-4</v>
      </c>
    </row>
    <row r="1851" spans="1:35" x14ac:dyDescent="0.35">
      <c r="A1851" t="s">
        <v>1</v>
      </c>
      <c r="B1851">
        <v>6250</v>
      </c>
      <c r="C1851">
        <v>72</v>
      </c>
      <c r="D1851">
        <v>2</v>
      </c>
      <c r="E1851">
        <v>0</v>
      </c>
      <c r="F1851">
        <v>24243424</v>
      </c>
      <c r="G1851">
        <v>35352.43</v>
      </c>
      <c r="H1851">
        <v>23947956.440000001</v>
      </c>
      <c r="I1851">
        <v>24208064.899999999</v>
      </c>
      <c r="J1851">
        <v>0.121419</v>
      </c>
      <c r="K1851">
        <v>3.0000000000000001E-6</v>
      </c>
      <c r="M1851" t="s">
        <v>0</v>
      </c>
      <c r="N1851">
        <v>3000</v>
      </c>
      <c r="O1851">
        <v>216</v>
      </c>
      <c r="P1851">
        <v>1</v>
      </c>
      <c r="Q1851">
        <v>0</v>
      </c>
      <c r="R1851">
        <v>8303001</v>
      </c>
      <c r="S1851">
        <v>41950.63</v>
      </c>
      <c r="T1851">
        <v>8236913.5499999998</v>
      </c>
      <c r="U1851">
        <v>8260968.6699999999</v>
      </c>
      <c r="V1851">
        <v>3.4332000000000001E-2</v>
      </c>
      <c r="W1851">
        <v>1.18E-4</v>
      </c>
      <c r="Y1851" t="s">
        <v>1</v>
      </c>
      <c r="Z1851">
        <v>5750</v>
      </c>
      <c r="AA1851">
        <v>60</v>
      </c>
      <c r="AB1851">
        <v>4</v>
      </c>
      <c r="AC1851">
        <v>0</v>
      </c>
      <c r="AD1851">
        <v>106168757</v>
      </c>
      <c r="AE1851">
        <v>160366.29</v>
      </c>
      <c r="AF1851">
        <v>106008346</v>
      </c>
      <c r="AG1851">
        <v>106008346</v>
      </c>
      <c r="AH1851">
        <v>5.0000000000000004E-6</v>
      </c>
      <c r="AI1851">
        <v>5.0000000000000004E-6</v>
      </c>
    </row>
    <row r="1852" spans="1:35" x14ac:dyDescent="0.35">
      <c r="A1852" t="s">
        <v>0</v>
      </c>
      <c r="B1852">
        <v>2500</v>
      </c>
      <c r="C1852">
        <v>96</v>
      </c>
      <c r="D1852">
        <v>2</v>
      </c>
      <c r="E1852">
        <v>0</v>
      </c>
      <c r="F1852">
        <v>21628150</v>
      </c>
      <c r="G1852">
        <v>59787.58</v>
      </c>
      <c r="H1852">
        <v>21476560.75</v>
      </c>
      <c r="I1852">
        <v>21568324.030000001</v>
      </c>
      <c r="J1852">
        <v>4.9762000000000001E-2</v>
      </c>
      <c r="K1852">
        <v>2.0999999999999999E-5</v>
      </c>
      <c r="M1852" t="s">
        <v>1</v>
      </c>
      <c r="N1852">
        <v>2250</v>
      </c>
      <c r="O1852">
        <v>108</v>
      </c>
      <c r="P1852">
        <v>1</v>
      </c>
      <c r="Q1852">
        <v>0</v>
      </c>
      <c r="R1852">
        <v>9848447</v>
      </c>
      <c r="S1852">
        <v>34471.800000000003</v>
      </c>
      <c r="T1852">
        <v>9726280.0999999996</v>
      </c>
      <c r="U1852">
        <v>9800940.4100000001</v>
      </c>
      <c r="V1852">
        <v>0.101773</v>
      </c>
      <c r="W1852">
        <v>1.5767E-2</v>
      </c>
      <c r="Y1852" t="s">
        <v>1</v>
      </c>
      <c r="Z1852">
        <v>5500</v>
      </c>
      <c r="AA1852">
        <v>60</v>
      </c>
      <c r="AB1852">
        <v>1</v>
      </c>
      <c r="AC1852">
        <v>0</v>
      </c>
      <c r="AD1852">
        <v>6074118</v>
      </c>
      <c r="AE1852">
        <v>9641.35</v>
      </c>
      <c r="AF1852">
        <v>6064090</v>
      </c>
      <c r="AG1852">
        <v>6064090</v>
      </c>
      <c r="AH1852">
        <v>7.6400000000000003E-4</v>
      </c>
      <c r="AI1852">
        <v>7.6400000000000003E-4</v>
      </c>
    </row>
    <row r="1853" spans="1:35" x14ac:dyDescent="0.35">
      <c r="A1853" t="s">
        <v>0</v>
      </c>
      <c r="B1853">
        <v>2250</v>
      </c>
      <c r="C1853">
        <v>108</v>
      </c>
      <c r="D1853">
        <v>3</v>
      </c>
      <c r="E1853">
        <v>0</v>
      </c>
      <c r="F1853">
        <v>35016132</v>
      </c>
      <c r="G1853">
        <v>108236.65</v>
      </c>
      <c r="H1853">
        <v>34804576.810000002</v>
      </c>
      <c r="I1853">
        <v>34907867.700000003</v>
      </c>
      <c r="J1853">
        <v>3.4838000000000001E-2</v>
      </c>
      <c r="K1853">
        <v>9.0000000000000002E-6</v>
      </c>
      <c r="M1853" t="s">
        <v>1</v>
      </c>
      <c r="N1853">
        <v>5750</v>
      </c>
      <c r="O1853">
        <v>54</v>
      </c>
      <c r="P1853">
        <v>2</v>
      </c>
      <c r="Q1853">
        <v>0</v>
      </c>
      <c r="R1853">
        <v>37772223</v>
      </c>
      <c r="S1853">
        <v>54119.56</v>
      </c>
      <c r="T1853">
        <v>37475485.420000002</v>
      </c>
      <c r="U1853">
        <v>37717839.880000003</v>
      </c>
      <c r="V1853">
        <v>7.4413000000000007E-2</v>
      </c>
      <c r="W1853">
        <v>8.3999999999999995E-5</v>
      </c>
      <c r="Y1853" t="s">
        <v>2</v>
      </c>
      <c r="Z1853">
        <v>5750</v>
      </c>
      <c r="AA1853">
        <v>60</v>
      </c>
      <c r="AB1853">
        <v>5</v>
      </c>
      <c r="AC1853">
        <v>0</v>
      </c>
      <c r="AD1853">
        <v>48579444</v>
      </c>
      <c r="AE1853">
        <v>75844.759999999995</v>
      </c>
      <c r="AF1853">
        <v>48502657</v>
      </c>
      <c r="AG1853">
        <v>48502657</v>
      </c>
      <c r="AH1853">
        <v>2.33E-4</v>
      </c>
      <c r="AI1853">
        <v>2.33E-4</v>
      </c>
    </row>
    <row r="1854" spans="1:35" x14ac:dyDescent="0.35">
      <c r="A1854" t="s">
        <v>2</v>
      </c>
      <c r="B1854">
        <v>6000</v>
      </c>
      <c r="C1854">
        <v>72</v>
      </c>
      <c r="D1854">
        <v>3</v>
      </c>
      <c r="E1854">
        <v>0</v>
      </c>
      <c r="F1854">
        <v>24939532</v>
      </c>
      <c r="G1854">
        <v>37958.89</v>
      </c>
      <c r="H1854">
        <v>24808741.579999998</v>
      </c>
      <c r="I1854">
        <v>24900573.530000001</v>
      </c>
      <c r="J1854">
        <v>4.3763999999999997E-2</v>
      </c>
      <c r="K1854">
        <v>4.8099999999999998E-4</v>
      </c>
      <c r="M1854" t="s">
        <v>0</v>
      </c>
      <c r="N1854">
        <v>6000</v>
      </c>
      <c r="O1854">
        <v>54</v>
      </c>
      <c r="P1854">
        <v>1</v>
      </c>
      <c r="Q1854">
        <v>0</v>
      </c>
      <c r="R1854">
        <v>13167922</v>
      </c>
      <c r="S1854">
        <v>18186.13</v>
      </c>
      <c r="T1854">
        <v>13078283.99</v>
      </c>
      <c r="U1854">
        <v>13149732.699999999</v>
      </c>
      <c r="V1854">
        <v>6.3205999999999998E-2</v>
      </c>
      <c r="W1854">
        <v>3.0000000000000001E-6</v>
      </c>
      <c r="Y1854" t="s">
        <v>0</v>
      </c>
      <c r="Z1854">
        <v>6000</v>
      </c>
      <c r="AA1854">
        <v>60</v>
      </c>
      <c r="AB1854">
        <v>3</v>
      </c>
      <c r="AC1854">
        <v>0</v>
      </c>
      <c r="AD1854">
        <v>53350053</v>
      </c>
      <c r="AE1854">
        <v>77945.7</v>
      </c>
      <c r="AF1854">
        <v>53301258</v>
      </c>
      <c r="AG1854">
        <v>53301258</v>
      </c>
      <c r="AH1854">
        <v>-6.5770000000000004E-3</v>
      </c>
      <c r="AI1854">
        <v>-6.5770000000000004E-3</v>
      </c>
    </row>
    <row r="1855" spans="1:35" x14ac:dyDescent="0.35">
      <c r="A1855" t="s">
        <v>0</v>
      </c>
      <c r="B1855">
        <v>2250</v>
      </c>
      <c r="C1855">
        <v>96</v>
      </c>
      <c r="D1855">
        <v>2</v>
      </c>
      <c r="E1855">
        <v>0</v>
      </c>
      <c r="F1855">
        <v>23806237</v>
      </c>
      <c r="G1855">
        <v>67345.86</v>
      </c>
      <c r="H1855">
        <v>23409116.399999999</v>
      </c>
      <c r="I1855">
        <v>23487489.57</v>
      </c>
      <c r="J1855">
        <v>0.15413199999999999</v>
      </c>
      <c r="K1855">
        <v>0.119617</v>
      </c>
      <c r="M1855" t="s">
        <v>0</v>
      </c>
      <c r="N1855">
        <v>2000</v>
      </c>
      <c r="O1855">
        <v>48</v>
      </c>
      <c r="P1855">
        <v>140</v>
      </c>
      <c r="Q1855">
        <v>0</v>
      </c>
      <c r="R1855">
        <v>3816261140</v>
      </c>
      <c r="S1855">
        <v>9394258.4000000004</v>
      </c>
      <c r="T1855">
        <v>3793741039.98</v>
      </c>
      <c r="U1855">
        <v>3806668061.4499998</v>
      </c>
      <c r="V1855">
        <v>4.0502000000000003E-2</v>
      </c>
      <c r="W1855">
        <v>6.2500000000000001E-4</v>
      </c>
      <c r="Y1855" t="s">
        <v>0</v>
      </c>
      <c r="Z1855">
        <v>6250</v>
      </c>
      <c r="AA1855">
        <v>60</v>
      </c>
      <c r="AB1855">
        <v>8</v>
      </c>
      <c r="AC1855">
        <v>0</v>
      </c>
      <c r="AD1855">
        <v>103219868</v>
      </c>
      <c r="AE1855">
        <v>142554.81</v>
      </c>
      <c r="AF1855">
        <v>103056903</v>
      </c>
      <c r="AG1855">
        <v>103056903</v>
      </c>
      <c r="AH1855">
        <v>2.3700000000000001E-3</v>
      </c>
      <c r="AI1855">
        <v>2.3700000000000001E-3</v>
      </c>
    </row>
    <row r="1856" spans="1:35" x14ac:dyDescent="0.35">
      <c r="A1856" t="s">
        <v>2</v>
      </c>
      <c r="B1856">
        <v>2000</v>
      </c>
      <c r="C1856">
        <v>144</v>
      </c>
      <c r="D1856">
        <v>2</v>
      </c>
      <c r="E1856">
        <v>0</v>
      </c>
      <c r="F1856">
        <v>14995733</v>
      </c>
      <c r="G1856">
        <v>58601.06</v>
      </c>
      <c r="H1856">
        <v>14871648.640000001</v>
      </c>
      <c r="I1856">
        <v>14936961.76</v>
      </c>
      <c r="J1856">
        <v>5.1160999999999998E-2</v>
      </c>
      <c r="K1856">
        <v>1.36E-4</v>
      </c>
      <c r="M1856" t="s">
        <v>2</v>
      </c>
      <c r="N1856">
        <v>2000</v>
      </c>
      <c r="O1856">
        <v>48</v>
      </c>
      <c r="P1856">
        <v>3</v>
      </c>
      <c r="Q1856">
        <v>0</v>
      </c>
      <c r="R1856">
        <v>53465179</v>
      </c>
      <c r="S1856">
        <v>132023.92000000001</v>
      </c>
      <c r="T1856">
        <v>53176388.810000002</v>
      </c>
      <c r="U1856">
        <v>53333147.950000003</v>
      </c>
      <c r="V1856">
        <v>3.4624000000000002E-2</v>
      </c>
      <c r="W1856">
        <v>1.9999999999999999E-6</v>
      </c>
      <c r="Y1856" t="s">
        <v>2</v>
      </c>
      <c r="Z1856">
        <v>6250</v>
      </c>
      <c r="AA1856">
        <v>60</v>
      </c>
      <c r="AB1856">
        <v>1</v>
      </c>
      <c r="AC1856">
        <v>0</v>
      </c>
      <c r="AD1856">
        <v>15023635</v>
      </c>
      <c r="AE1856">
        <v>20858.22</v>
      </c>
      <c r="AF1856">
        <v>15002244</v>
      </c>
      <c r="AG1856">
        <v>15002244</v>
      </c>
      <c r="AH1856">
        <v>4.2499999999999998E-4</v>
      </c>
      <c r="AI1856">
        <v>4.2499999999999998E-4</v>
      </c>
    </row>
    <row r="1857" spans="1:35" x14ac:dyDescent="0.35">
      <c r="A1857" t="s">
        <v>1</v>
      </c>
      <c r="B1857">
        <v>2000</v>
      </c>
      <c r="C1857">
        <v>72</v>
      </c>
      <c r="D1857">
        <v>70</v>
      </c>
      <c r="E1857">
        <v>0</v>
      </c>
      <c r="F1857">
        <v>1671839112</v>
      </c>
      <c r="G1857">
        <v>4423857.6399999997</v>
      </c>
      <c r="H1857">
        <v>1661419363.8599999</v>
      </c>
      <c r="I1857">
        <v>1667415067.3299999</v>
      </c>
      <c r="J1857">
        <v>4.2197999999999999E-2</v>
      </c>
      <c r="K1857">
        <v>9.9999999999999995E-7</v>
      </c>
      <c r="M1857" t="s">
        <v>3</v>
      </c>
      <c r="N1857">
        <v>2250</v>
      </c>
      <c r="O1857">
        <v>48</v>
      </c>
      <c r="P1857">
        <v>14</v>
      </c>
      <c r="Q1857">
        <v>0</v>
      </c>
      <c r="R1857">
        <v>377845488</v>
      </c>
      <c r="S1857">
        <v>894527.77</v>
      </c>
      <c r="T1857">
        <v>375786740.19</v>
      </c>
      <c r="U1857">
        <v>376886405.91000003</v>
      </c>
      <c r="V1857">
        <v>3.6353999999999997E-2</v>
      </c>
      <c r="W1857">
        <v>2.0479999999999999E-3</v>
      </c>
      <c r="Y1857" t="s">
        <v>2</v>
      </c>
      <c r="Z1857">
        <v>2000</v>
      </c>
      <c r="AA1857">
        <v>60</v>
      </c>
      <c r="AB1857">
        <v>60</v>
      </c>
      <c r="AC1857">
        <v>0</v>
      </c>
      <c r="AD1857">
        <v>1073691689</v>
      </c>
      <c r="AE1857">
        <v>2746714.75</v>
      </c>
      <c r="AF1857">
        <v>1070980076</v>
      </c>
      <c r="AG1857">
        <v>1070980076</v>
      </c>
      <c r="AH1857">
        <v>-3.9199999999999999E-4</v>
      </c>
      <c r="AI1857">
        <v>-3.9199999999999999E-4</v>
      </c>
    </row>
    <row r="1858" spans="1:35" x14ac:dyDescent="0.35">
      <c r="A1858" t="s">
        <v>0</v>
      </c>
      <c r="B1858">
        <v>2000</v>
      </c>
      <c r="C1858">
        <v>72</v>
      </c>
      <c r="D1858">
        <v>75</v>
      </c>
      <c r="E1858">
        <v>0</v>
      </c>
      <c r="F1858">
        <v>1592519542</v>
      </c>
      <c r="G1858">
        <v>4152945.52</v>
      </c>
      <c r="H1858">
        <v>1583072597.0799999</v>
      </c>
      <c r="I1858">
        <v>1588288221.97</v>
      </c>
      <c r="J1858">
        <v>3.9170000000000003E-2</v>
      </c>
      <c r="K1858">
        <v>5.9000000000000003E-4</v>
      </c>
      <c r="M1858" t="s">
        <v>0</v>
      </c>
      <c r="N1858">
        <v>6250</v>
      </c>
      <c r="O1858">
        <v>48</v>
      </c>
      <c r="P1858">
        <v>57</v>
      </c>
      <c r="Q1858">
        <v>0</v>
      </c>
      <c r="R1858">
        <v>1170493227</v>
      </c>
      <c r="S1858">
        <v>1473510.68</v>
      </c>
      <c r="T1858">
        <v>1155459112.26</v>
      </c>
      <c r="U1858">
        <v>1161148987.5899999</v>
      </c>
      <c r="V1858">
        <v>0.130499</v>
      </c>
      <c r="W1858">
        <v>7.7772999999999995E-2</v>
      </c>
      <c r="Y1858" t="s">
        <v>3</v>
      </c>
      <c r="Z1858">
        <v>5000</v>
      </c>
      <c r="AA1858">
        <v>60</v>
      </c>
      <c r="AB1858">
        <v>1</v>
      </c>
      <c r="AC1858">
        <v>0</v>
      </c>
      <c r="AD1858">
        <v>14145663</v>
      </c>
      <c r="AE1858">
        <v>23615.82</v>
      </c>
      <c r="AF1858">
        <v>14122048</v>
      </c>
      <c r="AG1858">
        <v>14122048</v>
      </c>
      <c r="AH1858">
        <v>-9.9999999999999995E-7</v>
      </c>
      <c r="AI1858">
        <v>-9.9999999999999995E-7</v>
      </c>
    </row>
    <row r="1859" spans="1:35" x14ac:dyDescent="0.35">
      <c r="A1859" t="s">
        <v>0</v>
      </c>
      <c r="B1859">
        <v>2000</v>
      </c>
      <c r="C1859">
        <v>108</v>
      </c>
      <c r="D1859">
        <v>2</v>
      </c>
      <c r="E1859">
        <v>0</v>
      </c>
      <c r="F1859">
        <v>16626128</v>
      </c>
      <c r="G1859">
        <v>52484.63</v>
      </c>
      <c r="H1859">
        <v>16533191.18</v>
      </c>
      <c r="I1859">
        <v>16573641.859999999</v>
      </c>
      <c r="J1859">
        <v>2.8809000000000001E-2</v>
      </c>
      <c r="K1859">
        <v>9.9999999999999995E-7</v>
      </c>
      <c r="M1859" t="s">
        <v>1</v>
      </c>
      <c r="N1859">
        <v>5500</v>
      </c>
      <c r="O1859">
        <v>48</v>
      </c>
      <c r="P1859">
        <v>14</v>
      </c>
      <c r="Q1859">
        <v>0</v>
      </c>
      <c r="R1859">
        <v>462445121</v>
      </c>
      <c r="S1859">
        <v>689951.06</v>
      </c>
      <c r="T1859">
        <v>458399825.89999998</v>
      </c>
      <c r="U1859">
        <v>461747884.42000002</v>
      </c>
      <c r="V1859">
        <v>8.3676E-2</v>
      </c>
      <c r="W1859">
        <v>1.8900000000000001E-4</v>
      </c>
      <c r="Y1859" t="s">
        <v>2</v>
      </c>
      <c r="Z1859">
        <v>5500</v>
      </c>
      <c r="AA1859">
        <v>60</v>
      </c>
      <c r="AB1859">
        <v>9</v>
      </c>
      <c r="AC1859">
        <v>0</v>
      </c>
      <c r="AD1859">
        <v>78613908</v>
      </c>
      <c r="AE1859">
        <v>131012.29</v>
      </c>
      <c r="AF1859">
        <v>78421616</v>
      </c>
      <c r="AG1859">
        <v>78421616</v>
      </c>
      <c r="AH1859">
        <v>9.3139999999999994E-3</v>
      </c>
      <c r="AI1859">
        <v>9.3139999999999994E-3</v>
      </c>
    </row>
    <row r="1860" spans="1:35" x14ac:dyDescent="0.35">
      <c r="A1860" t="s">
        <v>2</v>
      </c>
      <c r="B1860">
        <v>2000</v>
      </c>
      <c r="C1860">
        <v>72</v>
      </c>
      <c r="D1860">
        <v>18</v>
      </c>
      <c r="E1860">
        <v>0</v>
      </c>
      <c r="F1860">
        <v>214160579</v>
      </c>
      <c r="G1860">
        <v>566440.46</v>
      </c>
      <c r="H1860">
        <v>212952030.19999999</v>
      </c>
      <c r="I1860">
        <v>213575578.78999999</v>
      </c>
      <c r="J1860">
        <v>3.5392E-2</v>
      </c>
      <c r="K1860">
        <v>1.039E-3</v>
      </c>
      <c r="M1860" t="s">
        <v>2</v>
      </c>
      <c r="N1860">
        <v>7000</v>
      </c>
      <c r="O1860">
        <v>60</v>
      </c>
      <c r="P1860">
        <v>1</v>
      </c>
      <c r="Q1860">
        <v>0</v>
      </c>
      <c r="R1860">
        <v>7332849</v>
      </c>
      <c r="S1860">
        <v>10217.629999999999</v>
      </c>
      <c r="T1860">
        <v>7246995.3700000001</v>
      </c>
      <c r="U1860">
        <v>7322626.9500000002</v>
      </c>
      <c r="V1860">
        <v>0.11699</v>
      </c>
      <c r="W1860">
        <v>6.9999999999999999E-6</v>
      </c>
      <c r="Y1860" t="s">
        <v>2</v>
      </c>
      <c r="Z1860">
        <v>2000</v>
      </c>
      <c r="AA1860">
        <v>192</v>
      </c>
      <c r="AB1860">
        <v>3</v>
      </c>
      <c r="AC1860">
        <v>0</v>
      </c>
      <c r="AD1860">
        <v>26072936</v>
      </c>
      <c r="AE1860">
        <v>149542.75</v>
      </c>
      <c r="AF1860">
        <v>25874439</v>
      </c>
      <c r="AG1860">
        <v>25874439</v>
      </c>
      <c r="AH1860">
        <v>2.23E-2</v>
      </c>
      <c r="AI1860">
        <v>2.23E-2</v>
      </c>
    </row>
    <row r="1861" spans="1:35" x14ac:dyDescent="0.35">
      <c r="A1861" t="s">
        <v>1</v>
      </c>
      <c r="B1861">
        <v>2250</v>
      </c>
      <c r="C1861">
        <v>144</v>
      </c>
      <c r="D1861">
        <v>1</v>
      </c>
      <c r="E1861">
        <v>0</v>
      </c>
      <c r="F1861">
        <v>16626311</v>
      </c>
      <c r="G1861">
        <v>59468.52</v>
      </c>
      <c r="H1861">
        <v>16428003.060000001</v>
      </c>
      <c r="I1861">
        <v>16566810.699999999</v>
      </c>
      <c r="J1861">
        <v>9.5729999999999996E-2</v>
      </c>
      <c r="K1861">
        <v>2.3E-5</v>
      </c>
      <c r="M1861" t="s">
        <v>3</v>
      </c>
      <c r="N1861">
        <v>7750</v>
      </c>
      <c r="O1861">
        <v>240</v>
      </c>
      <c r="P1861">
        <v>1</v>
      </c>
      <c r="Q1861">
        <v>0</v>
      </c>
      <c r="R1861">
        <v>2603508</v>
      </c>
      <c r="S1861">
        <v>11466.8</v>
      </c>
      <c r="T1861">
        <v>2590768.13</v>
      </c>
      <c r="U1861">
        <v>2592040.92</v>
      </c>
      <c r="V1861">
        <v>5.8520000000000004E-3</v>
      </c>
      <c r="W1861">
        <v>9.9999999999999995E-7</v>
      </c>
      <c r="Y1861" t="s">
        <v>1</v>
      </c>
      <c r="Z1861">
        <v>6250</v>
      </c>
      <c r="AA1861">
        <v>60</v>
      </c>
      <c r="AB1861">
        <v>1</v>
      </c>
      <c r="AC1861">
        <v>0</v>
      </c>
      <c r="AD1861">
        <v>14530789</v>
      </c>
      <c r="AE1861">
        <v>19780.47</v>
      </c>
      <c r="AF1861">
        <v>14489941</v>
      </c>
      <c r="AG1861">
        <v>14489941</v>
      </c>
      <c r="AH1861">
        <v>1.7260000000000001E-2</v>
      </c>
      <c r="AI1861">
        <v>1.7260000000000001E-2</v>
      </c>
    </row>
    <row r="1862" spans="1:35" x14ac:dyDescent="0.35">
      <c r="A1862" t="s">
        <v>2</v>
      </c>
      <c r="B1862">
        <v>2000</v>
      </c>
      <c r="C1862">
        <v>120</v>
      </c>
      <c r="D1862">
        <v>1</v>
      </c>
      <c r="E1862">
        <v>0</v>
      </c>
      <c r="F1862">
        <v>6924624</v>
      </c>
      <c r="G1862">
        <v>22241.439999999999</v>
      </c>
      <c r="H1862">
        <v>6895005.79</v>
      </c>
      <c r="I1862">
        <v>6902382.4800000004</v>
      </c>
      <c r="J1862">
        <v>1.2709E-2</v>
      </c>
      <c r="K1862">
        <v>0</v>
      </c>
      <c r="M1862" t="s">
        <v>2</v>
      </c>
      <c r="N1862">
        <v>6250</v>
      </c>
      <c r="O1862">
        <v>48</v>
      </c>
      <c r="P1862">
        <v>2</v>
      </c>
      <c r="Q1862">
        <v>0</v>
      </c>
      <c r="R1862">
        <v>28599412</v>
      </c>
      <c r="S1862">
        <v>35778.79</v>
      </c>
      <c r="T1862">
        <v>27705865.68</v>
      </c>
      <c r="U1862">
        <v>27836484.16</v>
      </c>
      <c r="V1862">
        <v>0.306093</v>
      </c>
      <c r="W1862">
        <v>0.26585599999999998</v>
      </c>
      <c r="Y1862" t="s">
        <v>0</v>
      </c>
      <c r="Z1862">
        <v>2750</v>
      </c>
      <c r="AA1862">
        <v>192</v>
      </c>
      <c r="AB1862">
        <v>1</v>
      </c>
      <c r="AC1862">
        <v>0</v>
      </c>
      <c r="AD1862">
        <v>1276755</v>
      </c>
      <c r="AE1862">
        <v>5392.29</v>
      </c>
      <c r="AF1862">
        <v>1268892</v>
      </c>
      <c r="AG1862">
        <v>1268892</v>
      </c>
      <c r="AH1862">
        <v>2.2976E-2</v>
      </c>
      <c r="AI1862">
        <v>2.2976E-2</v>
      </c>
    </row>
    <row r="1863" spans="1:35" x14ac:dyDescent="0.35">
      <c r="A1863" t="s">
        <v>2</v>
      </c>
      <c r="B1863">
        <v>2250</v>
      </c>
      <c r="C1863">
        <v>120</v>
      </c>
      <c r="D1863">
        <v>1</v>
      </c>
      <c r="E1863">
        <v>0</v>
      </c>
      <c r="F1863">
        <v>18859764</v>
      </c>
      <c r="G1863">
        <v>62963.56</v>
      </c>
      <c r="H1863">
        <v>18768676.18</v>
      </c>
      <c r="I1863">
        <v>18796699.32</v>
      </c>
      <c r="J1863">
        <v>1.7749000000000001E-2</v>
      </c>
      <c r="K1863">
        <v>6.3999999999999997E-5</v>
      </c>
      <c r="M1863" t="s">
        <v>2</v>
      </c>
      <c r="N1863">
        <v>6000</v>
      </c>
      <c r="O1863">
        <v>48</v>
      </c>
      <c r="P1863">
        <v>4</v>
      </c>
      <c r="Q1863">
        <v>0</v>
      </c>
      <c r="R1863">
        <v>42587793</v>
      </c>
      <c r="S1863">
        <v>61305.94</v>
      </c>
      <c r="T1863">
        <v>42233190.159999996</v>
      </c>
      <c r="U1863">
        <v>42520698.039999999</v>
      </c>
      <c r="V1863">
        <v>7.9583000000000001E-2</v>
      </c>
      <c r="W1863">
        <v>1.6299999999999999E-3</v>
      </c>
      <c r="Y1863" t="s">
        <v>2</v>
      </c>
      <c r="Z1863">
        <v>5750</v>
      </c>
      <c r="AA1863">
        <v>54</v>
      </c>
      <c r="AB1863">
        <v>7</v>
      </c>
      <c r="AC1863">
        <v>0</v>
      </c>
      <c r="AD1863">
        <v>75246553</v>
      </c>
      <c r="AE1863">
        <v>117238.91</v>
      </c>
      <c r="AF1863">
        <v>75138259</v>
      </c>
      <c r="AG1863">
        <v>75138259</v>
      </c>
      <c r="AH1863">
        <v>-1.4270000000000001E-3</v>
      </c>
      <c r="AI1863">
        <v>-1.4270000000000001E-3</v>
      </c>
    </row>
    <row r="1864" spans="1:35" x14ac:dyDescent="0.35">
      <c r="A1864" t="s">
        <v>2</v>
      </c>
      <c r="B1864">
        <v>2000</v>
      </c>
      <c r="C1864">
        <v>108</v>
      </c>
      <c r="D1864">
        <v>2</v>
      </c>
      <c r="E1864">
        <v>0</v>
      </c>
      <c r="F1864">
        <v>25320270</v>
      </c>
      <c r="G1864">
        <v>78925.179999999993</v>
      </c>
      <c r="H1864">
        <v>25029227.149999999</v>
      </c>
      <c r="I1864">
        <v>25174220.52</v>
      </c>
      <c r="J1864">
        <v>9.6023999999999998E-2</v>
      </c>
      <c r="K1864">
        <v>3.1351999999999998E-2</v>
      </c>
      <c r="M1864" t="s">
        <v>1</v>
      </c>
      <c r="N1864">
        <v>6250</v>
      </c>
      <c r="O1864">
        <v>48</v>
      </c>
      <c r="P1864">
        <v>1</v>
      </c>
      <c r="Q1864">
        <v>0</v>
      </c>
      <c r="R1864">
        <v>32611442</v>
      </c>
      <c r="S1864">
        <v>41865.730000000003</v>
      </c>
      <c r="T1864">
        <v>31643616.539999999</v>
      </c>
      <c r="U1864">
        <v>32569542.59</v>
      </c>
      <c r="V1864">
        <v>0.292244</v>
      </c>
      <c r="W1864">
        <v>1.2E-5</v>
      </c>
      <c r="Y1864" t="s">
        <v>0</v>
      </c>
      <c r="Z1864">
        <v>6250</v>
      </c>
      <c r="AA1864">
        <v>54</v>
      </c>
      <c r="AB1864">
        <v>17</v>
      </c>
      <c r="AC1864">
        <v>0</v>
      </c>
      <c r="AD1864">
        <v>352109836</v>
      </c>
      <c r="AE1864">
        <v>458788.48</v>
      </c>
      <c r="AF1864">
        <v>327536979</v>
      </c>
      <c r="AG1864">
        <v>351531351.06999999</v>
      </c>
      <c r="AH1864">
        <v>0.57314399999999999</v>
      </c>
      <c r="AI1864">
        <v>4.0720000000000001E-3</v>
      </c>
    </row>
    <row r="1865" spans="1:35" x14ac:dyDescent="0.35">
      <c r="A1865" t="s">
        <v>1</v>
      </c>
      <c r="B1865">
        <v>2500</v>
      </c>
      <c r="C1865">
        <v>192</v>
      </c>
      <c r="D1865">
        <v>1</v>
      </c>
      <c r="E1865">
        <v>0</v>
      </c>
      <c r="F1865">
        <v>10653284</v>
      </c>
      <c r="G1865">
        <v>49167.77</v>
      </c>
      <c r="H1865">
        <v>10539300.279999999</v>
      </c>
      <c r="I1865">
        <v>10604114.42</v>
      </c>
      <c r="J1865">
        <v>7.0614999999999997E-2</v>
      </c>
      <c r="K1865">
        <v>1.9999999999999999E-6</v>
      </c>
      <c r="M1865" t="s">
        <v>2</v>
      </c>
      <c r="N1865">
        <v>7000</v>
      </c>
      <c r="O1865">
        <v>48</v>
      </c>
      <c r="P1865">
        <v>1</v>
      </c>
      <c r="Q1865">
        <v>0</v>
      </c>
      <c r="R1865">
        <v>13382308</v>
      </c>
      <c r="S1865">
        <v>17571.68</v>
      </c>
      <c r="T1865">
        <v>13310118.779999999</v>
      </c>
      <c r="U1865">
        <v>13364659.949999999</v>
      </c>
      <c r="V1865">
        <v>4.7891000000000003E-2</v>
      </c>
      <c r="W1865">
        <v>6.7999999999999999E-5</v>
      </c>
      <c r="Y1865" t="s">
        <v>3</v>
      </c>
      <c r="Z1865">
        <v>4750</v>
      </c>
      <c r="AA1865">
        <v>60</v>
      </c>
      <c r="AB1865">
        <v>1</v>
      </c>
      <c r="AC1865">
        <v>0</v>
      </c>
      <c r="AD1865">
        <v>4474496</v>
      </c>
      <c r="AE1865">
        <v>7767.85</v>
      </c>
      <c r="AF1865">
        <v>4432534</v>
      </c>
      <c r="AG1865">
        <v>4432534</v>
      </c>
      <c r="AH1865">
        <v>8.7945999999999996E-2</v>
      </c>
      <c r="AI1865">
        <v>8.7945999999999996E-2</v>
      </c>
    </row>
    <row r="1866" spans="1:35" x14ac:dyDescent="0.35">
      <c r="A1866" t="s">
        <v>2</v>
      </c>
      <c r="B1866">
        <v>6250</v>
      </c>
      <c r="C1866">
        <v>72</v>
      </c>
      <c r="D1866">
        <v>1</v>
      </c>
      <c r="E1866">
        <v>0</v>
      </c>
      <c r="F1866">
        <v>15002244</v>
      </c>
      <c r="G1866">
        <v>20966.11</v>
      </c>
      <c r="H1866">
        <v>14853578.779999999</v>
      </c>
      <c r="I1866">
        <v>14981276.9</v>
      </c>
      <c r="J1866">
        <v>9.7494999999999998E-2</v>
      </c>
      <c r="K1866">
        <v>9.9999999999999995E-7</v>
      </c>
      <c r="M1866" t="s">
        <v>0</v>
      </c>
      <c r="N1866">
        <v>2250</v>
      </c>
      <c r="O1866">
        <v>42</v>
      </c>
      <c r="P1866">
        <v>191</v>
      </c>
      <c r="Q1866">
        <v>0</v>
      </c>
      <c r="R1866">
        <v>4916982040</v>
      </c>
      <c r="S1866">
        <v>11313615.16</v>
      </c>
      <c r="T1866">
        <v>4881655882.8699999</v>
      </c>
      <c r="U1866">
        <v>4902572828.9799995</v>
      </c>
      <c r="V1866">
        <v>5.7054000000000001E-2</v>
      </c>
      <c r="W1866">
        <v>7.5290000000000001E-3</v>
      </c>
      <c r="Y1866" t="s">
        <v>0</v>
      </c>
      <c r="Z1866">
        <v>3000</v>
      </c>
      <c r="AA1866">
        <v>216</v>
      </c>
      <c r="AB1866">
        <v>1</v>
      </c>
      <c r="AC1866">
        <v>0</v>
      </c>
      <c r="AD1866">
        <v>8219128</v>
      </c>
      <c r="AE1866">
        <v>42161.33</v>
      </c>
      <c r="AF1866">
        <v>8219128</v>
      </c>
      <c r="AG1866">
        <v>8219128</v>
      </c>
      <c r="AH1866">
        <v>-6.3323000000000004E-2</v>
      </c>
      <c r="AI1866">
        <v>-6.3323000000000004E-2</v>
      </c>
    </row>
    <row r="1867" spans="1:35" x14ac:dyDescent="0.35">
      <c r="A1867" t="s">
        <v>0</v>
      </c>
      <c r="B1867">
        <v>2000</v>
      </c>
      <c r="C1867">
        <v>60</v>
      </c>
      <c r="D1867">
        <v>280</v>
      </c>
      <c r="E1867">
        <v>0</v>
      </c>
      <c r="F1867">
        <v>7275423722</v>
      </c>
      <c r="G1867">
        <v>18750526.530000001</v>
      </c>
      <c r="H1867">
        <v>7228911283.9300003</v>
      </c>
      <c r="I1867">
        <v>7255963500.4099998</v>
      </c>
      <c r="J1867">
        <v>4.4840999999999999E-2</v>
      </c>
      <c r="K1867">
        <v>1.17E-3</v>
      </c>
      <c r="M1867" t="s">
        <v>1</v>
      </c>
      <c r="N1867">
        <v>2000</v>
      </c>
      <c r="O1867">
        <v>42</v>
      </c>
      <c r="P1867">
        <v>6</v>
      </c>
      <c r="Q1867">
        <v>0</v>
      </c>
      <c r="R1867">
        <v>207564924</v>
      </c>
      <c r="S1867">
        <v>513397.03</v>
      </c>
      <c r="T1867">
        <v>206154396.18000001</v>
      </c>
      <c r="U1867">
        <v>207051496.31999999</v>
      </c>
      <c r="V1867">
        <v>5.0651000000000002E-2</v>
      </c>
      <c r="W1867">
        <v>1.9999999999999999E-6</v>
      </c>
      <c r="Y1867" t="s">
        <v>3</v>
      </c>
      <c r="Z1867">
        <v>4750</v>
      </c>
      <c r="AA1867">
        <v>54</v>
      </c>
      <c r="AB1867">
        <v>1</v>
      </c>
      <c r="AC1867">
        <v>0</v>
      </c>
      <c r="AD1867">
        <v>7451679</v>
      </c>
      <c r="AE1867">
        <v>12651.78</v>
      </c>
      <c r="AF1867">
        <v>7451679</v>
      </c>
      <c r="AG1867">
        <v>7451679</v>
      </c>
      <c r="AH1867">
        <v>-2.0565E-2</v>
      </c>
      <c r="AI1867">
        <v>-2.0565E-2</v>
      </c>
    </row>
    <row r="1868" spans="1:35" x14ac:dyDescent="0.35">
      <c r="A1868" t="s">
        <v>3</v>
      </c>
      <c r="B1868">
        <v>5000</v>
      </c>
      <c r="C1868">
        <v>60</v>
      </c>
      <c r="D1868">
        <v>1</v>
      </c>
      <c r="E1868">
        <v>0</v>
      </c>
      <c r="F1868">
        <v>14122048</v>
      </c>
      <c r="G1868">
        <v>23714.22</v>
      </c>
      <c r="H1868">
        <v>14036764.619999999</v>
      </c>
      <c r="I1868">
        <v>14098333.77</v>
      </c>
      <c r="J1868">
        <v>5.1081000000000001E-2</v>
      </c>
      <c r="K1868">
        <v>0</v>
      </c>
      <c r="M1868" t="s">
        <v>0</v>
      </c>
      <c r="N1868">
        <v>2000</v>
      </c>
      <c r="O1868">
        <v>216</v>
      </c>
      <c r="P1868">
        <v>1</v>
      </c>
      <c r="Q1868">
        <v>0</v>
      </c>
      <c r="R1868">
        <v>22079063</v>
      </c>
      <c r="S1868">
        <v>123149.75</v>
      </c>
      <c r="T1868">
        <v>21924234.98</v>
      </c>
      <c r="U1868">
        <v>21955913.109999999</v>
      </c>
      <c r="V1868">
        <v>1.7082E-2</v>
      </c>
      <c r="W1868">
        <v>0</v>
      </c>
      <c r="Y1868" t="s">
        <v>1</v>
      </c>
      <c r="Z1868">
        <v>2250</v>
      </c>
      <c r="AA1868">
        <v>108</v>
      </c>
      <c r="AB1868">
        <v>1</v>
      </c>
      <c r="AC1868">
        <v>0</v>
      </c>
      <c r="AD1868">
        <v>9708907</v>
      </c>
      <c r="AE1868">
        <v>34351.64</v>
      </c>
      <c r="AF1868">
        <v>9673858</v>
      </c>
      <c r="AG1868">
        <v>9673858</v>
      </c>
      <c r="AH1868">
        <v>8.6200000000000003E-4</v>
      </c>
      <c r="AI1868">
        <v>8.6200000000000003E-4</v>
      </c>
    </row>
    <row r="1869" spans="1:35" x14ac:dyDescent="0.35">
      <c r="A1869" t="s">
        <v>0</v>
      </c>
      <c r="B1869">
        <v>6250</v>
      </c>
      <c r="C1869">
        <v>60</v>
      </c>
      <c r="D1869">
        <v>6</v>
      </c>
      <c r="E1869">
        <v>0</v>
      </c>
      <c r="F1869">
        <v>77877392</v>
      </c>
      <c r="G1869">
        <v>107090.64</v>
      </c>
      <c r="H1869">
        <v>76721900.989999995</v>
      </c>
      <c r="I1869">
        <v>77770196.030000001</v>
      </c>
      <c r="J1869">
        <v>0.15010599999999999</v>
      </c>
      <c r="K1869">
        <v>1.5999999999999999E-5</v>
      </c>
      <c r="M1869" t="s">
        <v>2</v>
      </c>
      <c r="N1869">
        <v>2500</v>
      </c>
      <c r="O1869">
        <v>42</v>
      </c>
      <c r="P1869">
        <v>58</v>
      </c>
      <c r="Q1869">
        <v>0</v>
      </c>
      <c r="R1869">
        <v>1097880408</v>
      </c>
      <c r="S1869">
        <v>2475028.2200000002</v>
      </c>
      <c r="T1869">
        <v>1089909199.5699999</v>
      </c>
      <c r="U1869">
        <v>1094276675.45</v>
      </c>
      <c r="V1869">
        <v>5.8446999999999999E-2</v>
      </c>
      <c r="W1869">
        <v>1.2267E-2</v>
      </c>
      <c r="Y1869" t="s">
        <v>1</v>
      </c>
      <c r="Z1869">
        <v>5750</v>
      </c>
      <c r="AA1869">
        <v>54</v>
      </c>
      <c r="AB1869">
        <v>1</v>
      </c>
      <c r="AC1869">
        <v>0</v>
      </c>
      <c r="AD1869">
        <v>13373823</v>
      </c>
      <c r="AE1869">
        <v>19336.3</v>
      </c>
      <c r="AF1869">
        <v>13373823</v>
      </c>
      <c r="AG1869">
        <v>13373823</v>
      </c>
      <c r="AH1869">
        <v>-1.7489000000000001E-2</v>
      </c>
      <c r="AI1869">
        <v>-1.7489000000000001E-2</v>
      </c>
    </row>
    <row r="1870" spans="1:35" x14ac:dyDescent="0.35">
      <c r="A1870" t="s">
        <v>0</v>
      </c>
      <c r="B1870">
        <v>6000</v>
      </c>
      <c r="C1870">
        <v>60</v>
      </c>
      <c r="D1870">
        <v>2</v>
      </c>
      <c r="E1870">
        <v>0</v>
      </c>
      <c r="F1870">
        <v>36841292</v>
      </c>
      <c r="G1870">
        <v>54003.12</v>
      </c>
      <c r="H1870">
        <v>36597893.670000002</v>
      </c>
      <c r="I1870">
        <v>36785376.5</v>
      </c>
      <c r="J1870">
        <v>5.9975000000000001E-2</v>
      </c>
      <c r="K1870">
        <v>6.2299999999999996E-4</v>
      </c>
      <c r="M1870" t="s">
        <v>2</v>
      </c>
      <c r="N1870">
        <v>2250</v>
      </c>
      <c r="O1870">
        <v>42</v>
      </c>
      <c r="P1870">
        <v>11</v>
      </c>
      <c r="Q1870">
        <v>0</v>
      </c>
      <c r="R1870">
        <v>247322375</v>
      </c>
      <c r="S1870">
        <v>576923.69999999995</v>
      </c>
      <c r="T1870">
        <v>244803697.81999999</v>
      </c>
      <c r="U1870">
        <v>246240465.06999999</v>
      </c>
      <c r="V1870">
        <v>9.0249999999999997E-2</v>
      </c>
      <c r="W1870">
        <v>2.4228E-2</v>
      </c>
      <c r="Y1870" t="s">
        <v>0</v>
      </c>
      <c r="Z1870">
        <v>6000</v>
      </c>
      <c r="AA1870">
        <v>54</v>
      </c>
      <c r="AB1870">
        <v>1</v>
      </c>
      <c r="AC1870">
        <v>0</v>
      </c>
      <c r="AD1870">
        <v>13131230</v>
      </c>
      <c r="AE1870">
        <v>18364.310000000001</v>
      </c>
      <c r="AF1870">
        <v>13112749</v>
      </c>
      <c r="AG1870">
        <v>13112749</v>
      </c>
      <c r="AH1870">
        <v>1.07E-4</v>
      </c>
      <c r="AI1870">
        <v>1.07E-4</v>
      </c>
    </row>
    <row r="1871" spans="1:35" x14ac:dyDescent="0.35">
      <c r="A1871" t="s">
        <v>2</v>
      </c>
      <c r="B1871">
        <v>5750</v>
      </c>
      <c r="C1871">
        <v>60</v>
      </c>
      <c r="D1871">
        <v>5</v>
      </c>
      <c r="E1871">
        <v>0</v>
      </c>
      <c r="F1871">
        <v>50146834</v>
      </c>
      <c r="G1871">
        <v>78510.570000000007</v>
      </c>
      <c r="H1871">
        <v>49787576.700000003</v>
      </c>
      <c r="I1871">
        <v>50068212.060000002</v>
      </c>
      <c r="J1871">
        <v>6.5151000000000001E-2</v>
      </c>
      <c r="K1871">
        <v>2.6999999999999999E-5</v>
      </c>
      <c r="M1871" t="s">
        <v>3</v>
      </c>
      <c r="N1871">
        <v>2250</v>
      </c>
      <c r="O1871">
        <v>42</v>
      </c>
      <c r="P1871">
        <v>1</v>
      </c>
      <c r="Q1871">
        <v>0</v>
      </c>
      <c r="R1871">
        <v>31420518</v>
      </c>
      <c r="S1871">
        <v>72349.899999999994</v>
      </c>
      <c r="T1871">
        <v>31318755.09</v>
      </c>
      <c r="U1871">
        <v>31348168.100000001</v>
      </c>
      <c r="V1871">
        <v>1.1176E-2</v>
      </c>
      <c r="W1871">
        <v>0</v>
      </c>
      <c r="Y1871" t="s">
        <v>0</v>
      </c>
      <c r="Z1871">
        <v>2000</v>
      </c>
      <c r="AA1871">
        <v>48</v>
      </c>
      <c r="AB1871">
        <v>49</v>
      </c>
      <c r="AC1871">
        <v>0</v>
      </c>
      <c r="AD1871">
        <v>1258807635</v>
      </c>
      <c r="AE1871">
        <v>3105558.31</v>
      </c>
      <c r="AF1871">
        <v>1255806053</v>
      </c>
      <c r="AG1871">
        <v>1255806053</v>
      </c>
      <c r="AH1871">
        <v>-9.9200000000000004E-4</v>
      </c>
      <c r="AI1871">
        <v>-9.9200000000000004E-4</v>
      </c>
    </row>
    <row r="1872" spans="1:35" x14ac:dyDescent="0.35">
      <c r="A1872" t="s">
        <v>2</v>
      </c>
      <c r="B1872">
        <v>2000</v>
      </c>
      <c r="C1872">
        <v>192</v>
      </c>
      <c r="D1872">
        <v>3</v>
      </c>
      <c r="E1872">
        <v>0</v>
      </c>
      <c r="F1872">
        <v>25874439</v>
      </c>
      <c r="G1872">
        <v>149508.78</v>
      </c>
      <c r="H1872">
        <v>25696763.010000002</v>
      </c>
      <c r="I1872">
        <v>25724928.109999999</v>
      </c>
      <c r="J1872">
        <v>1.2985E-2</v>
      </c>
      <c r="K1872">
        <v>9.9999999999999995E-7</v>
      </c>
      <c r="M1872" t="s">
        <v>3</v>
      </c>
      <c r="N1872">
        <v>2500</v>
      </c>
      <c r="O1872">
        <v>42</v>
      </c>
      <c r="P1872">
        <v>1</v>
      </c>
      <c r="Q1872">
        <v>0</v>
      </c>
      <c r="R1872">
        <v>13441712</v>
      </c>
      <c r="S1872">
        <v>30394.47</v>
      </c>
      <c r="T1872">
        <v>13386718.199999999</v>
      </c>
      <c r="U1872">
        <v>13411317.17</v>
      </c>
      <c r="V1872">
        <v>2.1741E-2</v>
      </c>
      <c r="W1872">
        <v>0</v>
      </c>
      <c r="Y1872" t="s">
        <v>3</v>
      </c>
      <c r="Z1872">
        <v>2500</v>
      </c>
      <c r="AA1872">
        <v>48</v>
      </c>
      <c r="AB1872">
        <v>14</v>
      </c>
      <c r="AC1872">
        <v>0</v>
      </c>
      <c r="AD1872">
        <v>290420346</v>
      </c>
      <c r="AE1872">
        <v>665136.06999999995</v>
      </c>
      <c r="AF1872">
        <v>289715170</v>
      </c>
      <c r="AG1872">
        <v>289715170</v>
      </c>
      <c r="AH1872">
        <v>1.653E-3</v>
      </c>
      <c r="AI1872">
        <v>1.653E-3</v>
      </c>
    </row>
    <row r="1873" spans="1:35" x14ac:dyDescent="0.35">
      <c r="A1873" t="s">
        <v>1</v>
      </c>
      <c r="B1873">
        <v>5750</v>
      </c>
      <c r="C1873">
        <v>60</v>
      </c>
      <c r="D1873">
        <v>2</v>
      </c>
      <c r="E1873">
        <v>0</v>
      </c>
      <c r="F1873">
        <v>42795453</v>
      </c>
      <c r="G1873">
        <v>63453.17</v>
      </c>
      <c r="H1873">
        <v>42093343.969999999</v>
      </c>
      <c r="I1873">
        <v>42556198.609999999</v>
      </c>
      <c r="J1873">
        <v>0.16508999999999999</v>
      </c>
      <c r="K1873">
        <v>4.8196999999999997E-2</v>
      </c>
      <c r="M1873" t="s">
        <v>3</v>
      </c>
      <c r="N1873">
        <v>3250</v>
      </c>
      <c r="O1873">
        <v>42</v>
      </c>
      <c r="P1873">
        <v>21</v>
      </c>
      <c r="Q1873">
        <v>0</v>
      </c>
      <c r="R1873">
        <v>462311089</v>
      </c>
      <c r="S1873">
        <v>926878.8</v>
      </c>
      <c r="T1873">
        <v>459032836.76999998</v>
      </c>
      <c r="U1873">
        <v>460674389</v>
      </c>
      <c r="V1873">
        <v>5.9354999999999998E-2</v>
      </c>
      <c r="W1873">
        <v>1.8270000000000002E-2</v>
      </c>
      <c r="Y1873" t="s">
        <v>3</v>
      </c>
      <c r="Z1873">
        <v>2250</v>
      </c>
      <c r="AA1873">
        <v>48</v>
      </c>
      <c r="AB1873">
        <v>10</v>
      </c>
      <c r="AC1873">
        <v>0</v>
      </c>
      <c r="AD1873">
        <v>271161197</v>
      </c>
      <c r="AE1873">
        <v>646892.07999999996</v>
      </c>
      <c r="AF1873">
        <v>270546574</v>
      </c>
      <c r="AG1873">
        <v>270546574</v>
      </c>
      <c r="AH1873">
        <v>-1.4289999999999999E-3</v>
      </c>
      <c r="AI1873">
        <v>-1.4289999999999999E-3</v>
      </c>
    </row>
    <row r="1874" spans="1:35" x14ac:dyDescent="0.35">
      <c r="A1874" t="s">
        <v>1</v>
      </c>
      <c r="B1874">
        <v>6250</v>
      </c>
      <c r="C1874">
        <v>60</v>
      </c>
      <c r="D1874">
        <v>1</v>
      </c>
      <c r="E1874">
        <v>0</v>
      </c>
      <c r="F1874">
        <v>14489941</v>
      </c>
      <c r="G1874">
        <v>19854.63</v>
      </c>
      <c r="H1874">
        <v>14181674.25</v>
      </c>
      <c r="I1874">
        <v>14470083.48</v>
      </c>
      <c r="J1874">
        <v>0.214363</v>
      </c>
      <c r="K1874">
        <v>1.9999999999999999E-6</v>
      </c>
      <c r="M1874" t="s">
        <v>3</v>
      </c>
      <c r="N1874">
        <v>2750</v>
      </c>
      <c r="O1874">
        <v>42</v>
      </c>
      <c r="P1874">
        <v>2</v>
      </c>
      <c r="Q1874">
        <v>0</v>
      </c>
      <c r="R1874">
        <v>38720599</v>
      </c>
      <c r="S1874">
        <v>82870.679999999993</v>
      </c>
      <c r="T1874">
        <v>38582417.43</v>
      </c>
      <c r="U1874">
        <v>38637728.289999999</v>
      </c>
      <c r="V1874">
        <v>1.7007999999999999E-2</v>
      </c>
      <c r="W1874">
        <v>0</v>
      </c>
      <c r="Y1874" t="s">
        <v>1</v>
      </c>
      <c r="Z1874">
        <v>5500</v>
      </c>
      <c r="AA1874">
        <v>54</v>
      </c>
      <c r="AB1874">
        <v>3</v>
      </c>
      <c r="AC1874">
        <v>0</v>
      </c>
      <c r="AD1874">
        <v>102527105</v>
      </c>
      <c r="AE1874">
        <v>157618.35999999999</v>
      </c>
      <c r="AF1874">
        <v>101996104</v>
      </c>
      <c r="AG1874">
        <v>101996104</v>
      </c>
      <c r="AH1874">
        <v>4.2837E-2</v>
      </c>
      <c r="AI1874">
        <v>4.2837E-2</v>
      </c>
    </row>
    <row r="1875" spans="1:35" x14ac:dyDescent="0.35">
      <c r="A1875" t="s">
        <v>0</v>
      </c>
      <c r="B1875">
        <v>2750</v>
      </c>
      <c r="C1875">
        <v>192</v>
      </c>
      <c r="D1875">
        <v>1</v>
      </c>
      <c r="E1875">
        <v>0</v>
      </c>
      <c r="F1875">
        <v>1268892</v>
      </c>
      <c r="G1875">
        <v>5393.59</v>
      </c>
      <c r="H1875">
        <v>1242500.04</v>
      </c>
      <c r="I1875">
        <v>1263498.1399999999</v>
      </c>
      <c r="J1875">
        <v>0.18146899999999999</v>
      </c>
      <c r="K1875">
        <v>3.0000000000000001E-6</v>
      </c>
      <c r="M1875" t="s">
        <v>3</v>
      </c>
      <c r="N1875">
        <v>3000</v>
      </c>
      <c r="O1875">
        <v>42</v>
      </c>
      <c r="P1875">
        <v>6</v>
      </c>
      <c r="Q1875">
        <v>0</v>
      </c>
      <c r="R1875">
        <v>147154642</v>
      </c>
      <c r="S1875">
        <v>303689.82</v>
      </c>
      <c r="T1875">
        <v>146522003.77000001</v>
      </c>
      <c r="U1875">
        <v>146850877.56999999</v>
      </c>
      <c r="V1875">
        <v>2.6497E-2</v>
      </c>
      <c r="W1875">
        <v>6.0000000000000002E-6</v>
      </c>
      <c r="Y1875" t="s">
        <v>2</v>
      </c>
      <c r="Z1875">
        <v>7000</v>
      </c>
      <c r="AA1875">
        <v>60</v>
      </c>
      <c r="AB1875">
        <v>1</v>
      </c>
      <c r="AC1875">
        <v>0</v>
      </c>
      <c r="AD1875">
        <v>7302968</v>
      </c>
      <c r="AE1875">
        <v>10323.92</v>
      </c>
      <c r="AF1875">
        <v>7287897</v>
      </c>
      <c r="AG1875">
        <v>7287897</v>
      </c>
      <c r="AH1875">
        <v>7.7720000000000003E-3</v>
      </c>
      <c r="AI1875">
        <v>7.7720000000000003E-3</v>
      </c>
    </row>
    <row r="1876" spans="1:35" x14ac:dyDescent="0.35">
      <c r="A1876" t="s">
        <v>2</v>
      </c>
      <c r="B1876">
        <v>5500</v>
      </c>
      <c r="C1876">
        <v>60</v>
      </c>
      <c r="D1876">
        <v>10</v>
      </c>
      <c r="E1876">
        <v>0</v>
      </c>
      <c r="F1876">
        <v>88809029</v>
      </c>
      <c r="G1876">
        <v>146683.17000000001</v>
      </c>
      <c r="H1876">
        <v>88127894.939999998</v>
      </c>
      <c r="I1876">
        <v>88618812.319999993</v>
      </c>
      <c r="J1876">
        <v>6.9873000000000005E-2</v>
      </c>
      <c r="K1876">
        <v>5.8659999999999997E-3</v>
      </c>
      <c r="M1876" t="s">
        <v>2</v>
      </c>
      <c r="N1876">
        <v>6500</v>
      </c>
      <c r="O1876">
        <v>48</v>
      </c>
      <c r="P1876">
        <v>4</v>
      </c>
      <c r="Q1876">
        <v>0</v>
      </c>
      <c r="R1876">
        <v>32094035</v>
      </c>
      <c r="S1876">
        <v>46802.26</v>
      </c>
      <c r="T1876">
        <v>31763000.27</v>
      </c>
      <c r="U1876">
        <v>32046558</v>
      </c>
      <c r="V1876">
        <v>0.101248</v>
      </c>
      <c r="W1876">
        <v>2.52E-4</v>
      </c>
      <c r="Y1876" t="s">
        <v>3</v>
      </c>
      <c r="Z1876">
        <v>7750</v>
      </c>
      <c r="AA1876">
        <v>240</v>
      </c>
      <c r="AB1876">
        <v>1</v>
      </c>
      <c r="AC1876">
        <v>0</v>
      </c>
      <c r="AD1876">
        <v>2568088</v>
      </c>
      <c r="AE1876">
        <v>11557.12</v>
      </c>
      <c r="AF1876">
        <v>2550209</v>
      </c>
      <c r="AG1876">
        <v>2550209</v>
      </c>
      <c r="AH1876">
        <v>2.9144E-2</v>
      </c>
      <c r="AI1876">
        <v>2.9144E-2</v>
      </c>
    </row>
    <row r="1877" spans="1:35" x14ac:dyDescent="0.35">
      <c r="A1877" t="s">
        <v>3</v>
      </c>
      <c r="B1877">
        <v>4750</v>
      </c>
      <c r="C1877">
        <v>60</v>
      </c>
      <c r="D1877">
        <v>1</v>
      </c>
      <c r="E1877">
        <v>0</v>
      </c>
      <c r="F1877">
        <v>4432534</v>
      </c>
      <c r="G1877">
        <v>7738.09</v>
      </c>
      <c r="H1877">
        <v>4416250.2</v>
      </c>
      <c r="I1877">
        <v>4424795.9000000004</v>
      </c>
      <c r="J1877">
        <v>2.2891999999999999E-2</v>
      </c>
      <c r="K1877">
        <v>0</v>
      </c>
      <c r="M1877" t="s">
        <v>2</v>
      </c>
      <c r="N1877">
        <v>6750</v>
      </c>
      <c r="O1877">
        <v>48</v>
      </c>
      <c r="P1877">
        <v>3</v>
      </c>
      <c r="Q1877">
        <v>0</v>
      </c>
      <c r="R1877">
        <v>20988568</v>
      </c>
      <c r="S1877">
        <v>27704.43</v>
      </c>
      <c r="T1877">
        <v>20808919.789999999</v>
      </c>
      <c r="U1877">
        <v>20960600.359999999</v>
      </c>
      <c r="V1877">
        <v>8.3495E-2</v>
      </c>
      <c r="W1877">
        <v>1.4999999999999999E-4</v>
      </c>
      <c r="Y1877" t="s">
        <v>2</v>
      </c>
      <c r="Z1877">
        <v>7000</v>
      </c>
      <c r="AA1877">
        <v>54</v>
      </c>
      <c r="AB1877">
        <v>1</v>
      </c>
      <c r="AC1877">
        <v>0</v>
      </c>
      <c r="AD1877">
        <v>13356688</v>
      </c>
      <c r="AE1877">
        <v>17786.419999999998</v>
      </c>
      <c r="AF1877">
        <v>13330922</v>
      </c>
      <c r="AG1877">
        <v>13330922</v>
      </c>
      <c r="AH1877">
        <v>7.1459999999999996E-3</v>
      </c>
      <c r="AI1877">
        <v>7.1459999999999996E-3</v>
      </c>
    </row>
    <row r="1878" spans="1:35" x14ac:dyDescent="0.35">
      <c r="A1878" t="s">
        <v>0</v>
      </c>
      <c r="B1878">
        <v>6250</v>
      </c>
      <c r="C1878">
        <v>54</v>
      </c>
      <c r="D1878">
        <v>23</v>
      </c>
      <c r="E1878">
        <v>0</v>
      </c>
      <c r="F1878">
        <v>478016857</v>
      </c>
      <c r="G1878">
        <v>622902.31999999995</v>
      </c>
      <c r="H1878">
        <v>472146917.69</v>
      </c>
      <c r="I1878">
        <v>474586927.00999999</v>
      </c>
      <c r="J1878">
        <v>0.124052</v>
      </c>
      <c r="K1878">
        <v>6.8235000000000004E-2</v>
      </c>
      <c r="M1878" t="s">
        <v>1</v>
      </c>
      <c r="N1878">
        <v>2750</v>
      </c>
      <c r="O1878">
        <v>36</v>
      </c>
      <c r="P1878">
        <v>112</v>
      </c>
      <c r="Q1878">
        <v>0</v>
      </c>
      <c r="R1878">
        <v>3666982718</v>
      </c>
      <c r="S1878">
        <v>7928003.04</v>
      </c>
      <c r="T1878">
        <v>3621664668.73</v>
      </c>
      <c r="U1878">
        <v>3641935716.6100001</v>
      </c>
      <c r="V1878">
        <v>0.11572300000000001</v>
      </c>
      <c r="W1878">
        <v>5.4605000000000001E-2</v>
      </c>
      <c r="Y1878" t="s">
        <v>0</v>
      </c>
      <c r="Z1878">
        <v>2000</v>
      </c>
      <c r="AA1878">
        <v>216</v>
      </c>
      <c r="AB1878">
        <v>1</v>
      </c>
      <c r="AC1878">
        <v>0</v>
      </c>
      <c r="AD1878">
        <v>21832432</v>
      </c>
      <c r="AE1878">
        <v>123559.87</v>
      </c>
      <c r="AF1878">
        <v>21708808</v>
      </c>
      <c r="AG1878">
        <v>21708808</v>
      </c>
      <c r="AH1878">
        <v>3.4999999999999997E-5</v>
      </c>
      <c r="AI1878">
        <v>3.4999999999999997E-5</v>
      </c>
    </row>
    <row r="1879" spans="1:35" x14ac:dyDescent="0.35">
      <c r="A1879" t="s">
        <v>0</v>
      </c>
      <c r="B1879">
        <v>3000</v>
      </c>
      <c r="C1879">
        <v>216</v>
      </c>
      <c r="D1879">
        <v>1</v>
      </c>
      <c r="E1879">
        <v>0</v>
      </c>
      <c r="F1879">
        <v>8219128</v>
      </c>
      <c r="G1879">
        <v>42484.66</v>
      </c>
      <c r="H1879">
        <v>8084757.0300000003</v>
      </c>
      <c r="I1879">
        <v>8174696.8499999996</v>
      </c>
      <c r="J1879">
        <v>0.12620600000000001</v>
      </c>
      <c r="K1879">
        <v>2.8379999999999998E-3</v>
      </c>
      <c r="M1879" t="s">
        <v>1</v>
      </c>
      <c r="N1879">
        <v>2500</v>
      </c>
      <c r="O1879">
        <v>36</v>
      </c>
      <c r="P1879">
        <v>41</v>
      </c>
      <c r="Q1879">
        <v>0</v>
      </c>
      <c r="R1879">
        <v>1436148953</v>
      </c>
      <c r="S1879">
        <v>3232067.5</v>
      </c>
      <c r="T1879">
        <v>1416660695.5599999</v>
      </c>
      <c r="U1879">
        <v>1423896092.0999999</v>
      </c>
      <c r="V1879">
        <v>0.12768599999999999</v>
      </c>
      <c r="W1879">
        <v>7.2825000000000001E-2</v>
      </c>
      <c r="Y1879" t="s">
        <v>2</v>
      </c>
      <c r="Z1879">
        <v>6500</v>
      </c>
      <c r="AA1879">
        <v>48</v>
      </c>
      <c r="AB1879">
        <v>4</v>
      </c>
      <c r="AC1879">
        <v>0</v>
      </c>
      <c r="AD1879">
        <v>34101079</v>
      </c>
      <c r="AE1879">
        <v>47809.37</v>
      </c>
      <c r="AF1879">
        <v>34046688</v>
      </c>
      <c r="AG1879">
        <v>34046688</v>
      </c>
      <c r="AH1879">
        <v>2.3140000000000001E-3</v>
      </c>
      <c r="AI1879">
        <v>2.3140000000000001E-3</v>
      </c>
    </row>
    <row r="1880" spans="1:35" x14ac:dyDescent="0.35">
      <c r="A1880" t="s">
        <v>3</v>
      </c>
      <c r="B1880">
        <v>4750</v>
      </c>
      <c r="C1880">
        <v>54</v>
      </c>
      <c r="D1880">
        <v>1</v>
      </c>
      <c r="E1880">
        <v>0</v>
      </c>
      <c r="F1880">
        <v>7451679</v>
      </c>
      <c r="G1880">
        <v>12722.14</v>
      </c>
      <c r="H1880">
        <v>7377778.71</v>
      </c>
      <c r="I1880">
        <v>7433454.0099999998</v>
      </c>
      <c r="J1880">
        <v>9.4190999999999997E-2</v>
      </c>
      <c r="K1880">
        <v>8.8260000000000005E-3</v>
      </c>
      <c r="M1880" t="s">
        <v>2</v>
      </c>
      <c r="N1880">
        <v>3000</v>
      </c>
      <c r="O1880">
        <v>36</v>
      </c>
      <c r="P1880">
        <v>38</v>
      </c>
      <c r="Q1880">
        <v>0</v>
      </c>
      <c r="R1880">
        <v>696272530</v>
      </c>
      <c r="S1880">
        <v>1467205.79</v>
      </c>
      <c r="T1880">
        <v>688890314.25999999</v>
      </c>
      <c r="U1880">
        <v>692188875.21000004</v>
      </c>
      <c r="V1880">
        <v>9.7311999999999996E-2</v>
      </c>
      <c r="W1880">
        <v>4.4172999999999997E-2</v>
      </c>
      <c r="Y1880" t="s">
        <v>1</v>
      </c>
      <c r="Z1880">
        <v>2250</v>
      </c>
      <c r="AA1880">
        <v>42</v>
      </c>
      <c r="AB1880">
        <v>123</v>
      </c>
      <c r="AC1880">
        <v>0</v>
      </c>
      <c r="AD1880">
        <v>4187857219</v>
      </c>
      <c r="AE1880">
        <v>9763899.6600000001</v>
      </c>
      <c r="AF1880">
        <v>4177011400</v>
      </c>
      <c r="AG1880">
        <v>4177011400</v>
      </c>
      <c r="AH1880">
        <v>3.0959999999999998E-3</v>
      </c>
      <c r="AI1880">
        <v>3.0959999999999998E-3</v>
      </c>
    </row>
    <row r="1881" spans="1:35" x14ac:dyDescent="0.35">
      <c r="A1881" t="s">
        <v>1</v>
      </c>
      <c r="B1881">
        <v>2000</v>
      </c>
      <c r="C1881">
        <v>96</v>
      </c>
      <c r="D1881">
        <v>1</v>
      </c>
      <c r="E1881">
        <v>0</v>
      </c>
      <c r="F1881">
        <v>13412189</v>
      </c>
      <c r="G1881">
        <v>46912.03</v>
      </c>
      <c r="H1881">
        <v>13329713.119999999</v>
      </c>
      <c r="I1881">
        <v>13365276.76</v>
      </c>
      <c r="J1881">
        <v>3.1358999999999998E-2</v>
      </c>
      <c r="K1881">
        <v>0</v>
      </c>
      <c r="M1881" t="s">
        <v>0</v>
      </c>
      <c r="N1881">
        <v>2750</v>
      </c>
      <c r="O1881">
        <v>36</v>
      </c>
      <c r="P1881">
        <v>26</v>
      </c>
      <c r="Q1881">
        <v>0</v>
      </c>
      <c r="R1881">
        <v>566495446</v>
      </c>
      <c r="S1881">
        <v>1175371.32</v>
      </c>
      <c r="T1881">
        <v>562773827.11000001</v>
      </c>
      <c r="U1881">
        <v>564836062.41999996</v>
      </c>
      <c r="V1881">
        <v>5.2623000000000003E-2</v>
      </c>
      <c r="W1881">
        <v>1.0205000000000001E-2</v>
      </c>
      <c r="Y1881" t="s">
        <v>0</v>
      </c>
      <c r="Z1881">
        <v>2250</v>
      </c>
      <c r="AA1881">
        <v>42</v>
      </c>
      <c r="AB1881">
        <v>23</v>
      </c>
      <c r="AC1881">
        <v>0</v>
      </c>
      <c r="AD1881">
        <v>631991258</v>
      </c>
      <c r="AE1881">
        <v>1460441.42</v>
      </c>
      <c r="AF1881">
        <v>630771712</v>
      </c>
      <c r="AG1881">
        <v>630771712</v>
      </c>
      <c r="AH1881">
        <v>-4.5840000000000004E-3</v>
      </c>
      <c r="AI1881">
        <v>-4.5840000000000004E-3</v>
      </c>
    </row>
    <row r="1882" spans="1:35" x14ac:dyDescent="0.35">
      <c r="A1882" t="s">
        <v>1</v>
      </c>
      <c r="B1882">
        <v>2250</v>
      </c>
      <c r="C1882">
        <v>108</v>
      </c>
      <c r="D1882">
        <v>1</v>
      </c>
      <c r="E1882">
        <v>0</v>
      </c>
      <c r="F1882">
        <v>9673858</v>
      </c>
      <c r="G1882">
        <v>34413.57</v>
      </c>
      <c r="H1882">
        <v>9579102.4600000009</v>
      </c>
      <c r="I1882">
        <v>9639443.2599999998</v>
      </c>
      <c r="J1882">
        <v>7.2335999999999998E-2</v>
      </c>
      <c r="K1882">
        <v>9.9999999999999995E-7</v>
      </c>
      <c r="M1882" t="s">
        <v>2</v>
      </c>
      <c r="N1882">
        <v>3750</v>
      </c>
      <c r="O1882">
        <v>36</v>
      </c>
      <c r="P1882">
        <v>72</v>
      </c>
      <c r="Q1882">
        <v>0</v>
      </c>
      <c r="R1882">
        <v>1101350883</v>
      </c>
      <c r="S1882">
        <v>2081074.46</v>
      </c>
      <c r="T1882">
        <v>1092421286.8</v>
      </c>
      <c r="U1882">
        <v>1097477470.0599999</v>
      </c>
      <c r="V1882">
        <v>7.2120000000000004E-2</v>
      </c>
      <c r="W1882">
        <v>1.9355000000000001E-2</v>
      </c>
      <c r="Y1882" t="s">
        <v>3</v>
      </c>
      <c r="Z1882">
        <v>3250</v>
      </c>
      <c r="AA1882">
        <v>42</v>
      </c>
      <c r="AB1882">
        <v>5</v>
      </c>
      <c r="AC1882">
        <v>0</v>
      </c>
      <c r="AD1882">
        <v>97480384</v>
      </c>
      <c r="AE1882">
        <v>196520.37</v>
      </c>
      <c r="AF1882">
        <v>97322909</v>
      </c>
      <c r="AG1882">
        <v>97322909</v>
      </c>
      <c r="AH1882">
        <v>-4.8170000000000001E-3</v>
      </c>
      <c r="AI1882">
        <v>-4.8170000000000001E-3</v>
      </c>
    </row>
    <row r="1883" spans="1:35" x14ac:dyDescent="0.35">
      <c r="A1883" t="s">
        <v>2</v>
      </c>
      <c r="B1883">
        <v>5750</v>
      </c>
      <c r="C1883">
        <v>54</v>
      </c>
      <c r="D1883">
        <v>6</v>
      </c>
      <c r="E1883">
        <v>0</v>
      </c>
      <c r="F1883">
        <v>68729166</v>
      </c>
      <c r="G1883">
        <v>108315.04</v>
      </c>
      <c r="H1883">
        <v>67505511.870000005</v>
      </c>
      <c r="I1883">
        <v>67804242.420000002</v>
      </c>
      <c r="J1883">
        <v>0.178262</v>
      </c>
      <c r="K1883">
        <v>0.13362099999999999</v>
      </c>
      <c r="M1883" t="s">
        <v>3</v>
      </c>
      <c r="N1883">
        <v>3750</v>
      </c>
      <c r="O1883">
        <v>36</v>
      </c>
      <c r="P1883">
        <v>1</v>
      </c>
      <c r="Q1883">
        <v>0</v>
      </c>
      <c r="R1883">
        <v>34693992</v>
      </c>
      <c r="S1883">
        <v>63241.9</v>
      </c>
      <c r="T1883">
        <v>34604551.990000002</v>
      </c>
      <c r="U1883">
        <v>34630750.100000001</v>
      </c>
      <c r="V1883">
        <v>9.0240000000000008E-3</v>
      </c>
      <c r="W1883">
        <v>0</v>
      </c>
      <c r="Y1883" t="s">
        <v>3</v>
      </c>
      <c r="Z1883">
        <v>3500</v>
      </c>
      <c r="AA1883">
        <v>42</v>
      </c>
      <c r="AB1883">
        <v>4</v>
      </c>
      <c r="AC1883">
        <v>0</v>
      </c>
      <c r="AD1883">
        <v>102290679</v>
      </c>
      <c r="AE1883">
        <v>196501.98</v>
      </c>
      <c r="AF1883">
        <v>102093560</v>
      </c>
      <c r="AG1883">
        <v>102093560</v>
      </c>
      <c r="AH1883">
        <v>7.2000000000000002E-5</v>
      </c>
      <c r="AI1883">
        <v>7.2000000000000002E-5</v>
      </c>
    </row>
    <row r="1884" spans="1:35" x14ac:dyDescent="0.35">
      <c r="A1884" t="s">
        <v>1</v>
      </c>
      <c r="B1884">
        <v>5750</v>
      </c>
      <c r="C1884">
        <v>54</v>
      </c>
      <c r="D1884">
        <v>2</v>
      </c>
      <c r="E1884">
        <v>0</v>
      </c>
      <c r="F1884">
        <v>38751707</v>
      </c>
      <c r="G1884">
        <v>55701.55</v>
      </c>
      <c r="H1884">
        <v>38259727.630000003</v>
      </c>
      <c r="I1884">
        <v>38695974.229999997</v>
      </c>
      <c r="J1884">
        <v>0.12703999999999999</v>
      </c>
      <c r="K1884">
        <v>1.0000000000000001E-5</v>
      </c>
      <c r="M1884" t="s">
        <v>3</v>
      </c>
      <c r="N1884">
        <v>4500</v>
      </c>
      <c r="O1884">
        <v>36</v>
      </c>
      <c r="P1884">
        <v>3</v>
      </c>
      <c r="Q1884">
        <v>0</v>
      </c>
      <c r="R1884">
        <v>94606973</v>
      </c>
      <c r="S1884">
        <v>151149.57999999999</v>
      </c>
      <c r="T1884">
        <v>93835012.549999997</v>
      </c>
      <c r="U1884">
        <v>94264559.049999997</v>
      </c>
      <c r="V1884">
        <v>7.5963000000000003E-2</v>
      </c>
      <c r="W1884">
        <v>2.3991999999999999E-2</v>
      </c>
      <c r="Y1884" t="s">
        <v>3</v>
      </c>
      <c r="Z1884">
        <v>4000</v>
      </c>
      <c r="AA1884">
        <v>42</v>
      </c>
      <c r="AB1884">
        <v>8</v>
      </c>
      <c r="AC1884">
        <v>0</v>
      </c>
      <c r="AD1884">
        <v>198990600</v>
      </c>
      <c r="AE1884">
        <v>354442.42</v>
      </c>
      <c r="AF1884">
        <v>198622564</v>
      </c>
      <c r="AG1884">
        <v>198622564</v>
      </c>
      <c r="AH1884">
        <v>8.1899999999999996E-4</v>
      </c>
      <c r="AI1884">
        <v>8.1899999999999996E-4</v>
      </c>
    </row>
    <row r="1885" spans="1:35" x14ac:dyDescent="0.35">
      <c r="A1885" t="s">
        <v>0</v>
      </c>
      <c r="B1885">
        <v>6000</v>
      </c>
      <c r="C1885">
        <v>54</v>
      </c>
      <c r="D1885">
        <v>1</v>
      </c>
      <c r="E1885">
        <v>0</v>
      </c>
      <c r="F1885">
        <v>13112749</v>
      </c>
      <c r="G1885">
        <v>18454.060000000001</v>
      </c>
      <c r="H1885">
        <v>13017382.390000001</v>
      </c>
      <c r="I1885">
        <v>13094293.949999999</v>
      </c>
      <c r="J1885">
        <v>6.8158999999999997E-2</v>
      </c>
      <c r="K1885">
        <v>9.9999999999999995E-7</v>
      </c>
      <c r="M1885" t="s">
        <v>2</v>
      </c>
      <c r="N1885">
        <v>2750</v>
      </c>
      <c r="O1885">
        <v>36</v>
      </c>
      <c r="P1885">
        <v>46</v>
      </c>
      <c r="Q1885">
        <v>0</v>
      </c>
      <c r="R1885">
        <v>852724381</v>
      </c>
      <c r="S1885">
        <v>1837066.05</v>
      </c>
      <c r="T1885">
        <v>846300935.87</v>
      </c>
      <c r="U1885">
        <v>849604265.91999996</v>
      </c>
      <c r="V1885">
        <v>6.2667E-2</v>
      </c>
      <c r="W1885">
        <v>1.7906999999999999E-2</v>
      </c>
      <c r="Y1885" t="s">
        <v>3</v>
      </c>
      <c r="Z1885">
        <v>3750</v>
      </c>
      <c r="AA1885">
        <v>42</v>
      </c>
      <c r="AB1885">
        <v>10</v>
      </c>
      <c r="AC1885">
        <v>0</v>
      </c>
      <c r="AD1885">
        <v>265691942</v>
      </c>
      <c r="AE1885">
        <v>489493.3</v>
      </c>
      <c r="AF1885">
        <v>265265039</v>
      </c>
      <c r="AG1885">
        <v>265265039</v>
      </c>
      <c r="AH1885">
        <v>-2.8310000000000002E-3</v>
      </c>
      <c r="AI1885">
        <v>-2.8310000000000002E-3</v>
      </c>
    </row>
    <row r="1886" spans="1:35" x14ac:dyDescent="0.35">
      <c r="A1886" t="s">
        <v>1</v>
      </c>
      <c r="B1886">
        <v>5500</v>
      </c>
      <c r="C1886">
        <v>54</v>
      </c>
      <c r="D1886">
        <v>6</v>
      </c>
      <c r="E1886">
        <v>0</v>
      </c>
      <c r="F1886">
        <v>216945932</v>
      </c>
      <c r="G1886">
        <v>332187.68</v>
      </c>
      <c r="H1886">
        <v>215172192.71000001</v>
      </c>
      <c r="I1886">
        <v>216609627.96000001</v>
      </c>
      <c r="J1886">
        <v>7.6886999999999997E-2</v>
      </c>
      <c r="K1886">
        <v>2.2800000000000001E-4</v>
      </c>
      <c r="M1886" t="s">
        <v>1</v>
      </c>
      <c r="N1886">
        <v>2250</v>
      </c>
      <c r="O1886">
        <v>36</v>
      </c>
      <c r="P1886">
        <v>32</v>
      </c>
      <c r="Q1886">
        <v>0</v>
      </c>
      <c r="R1886">
        <v>1008109727</v>
      </c>
      <c r="S1886">
        <v>2353588.12</v>
      </c>
      <c r="T1886">
        <v>998040342.70000005</v>
      </c>
      <c r="U1886">
        <v>1003205822.16</v>
      </c>
      <c r="V1886">
        <v>8.8075000000000001E-2</v>
      </c>
      <c r="W1886">
        <v>2.9939E-2</v>
      </c>
      <c r="Y1886" t="s">
        <v>1</v>
      </c>
      <c r="Z1886">
        <v>6750</v>
      </c>
      <c r="AA1886">
        <v>48</v>
      </c>
      <c r="AB1886">
        <v>1</v>
      </c>
      <c r="AC1886">
        <v>0</v>
      </c>
      <c r="AD1886">
        <v>6929185</v>
      </c>
      <c r="AE1886">
        <v>7924.07</v>
      </c>
      <c r="AF1886">
        <v>6921126</v>
      </c>
      <c r="AG1886">
        <v>6921126</v>
      </c>
      <c r="AH1886">
        <v>2.34E-4</v>
      </c>
      <c r="AI1886">
        <v>2.34E-4</v>
      </c>
    </row>
    <row r="1887" spans="1:35" x14ac:dyDescent="0.35">
      <c r="A1887" t="s">
        <v>2</v>
      </c>
      <c r="B1887">
        <v>7000</v>
      </c>
      <c r="C1887">
        <v>60</v>
      </c>
      <c r="D1887">
        <v>1</v>
      </c>
      <c r="E1887">
        <v>0</v>
      </c>
      <c r="F1887">
        <v>7287897</v>
      </c>
      <c r="G1887">
        <v>10377.379999999999</v>
      </c>
      <c r="H1887">
        <v>7187982.7400000002</v>
      </c>
      <c r="I1887">
        <v>7277483.7300000004</v>
      </c>
      <c r="J1887">
        <v>0.13786300000000001</v>
      </c>
      <c r="K1887">
        <v>5.8999999999999998E-5</v>
      </c>
      <c r="M1887" t="s">
        <v>3</v>
      </c>
      <c r="N1887">
        <v>4250</v>
      </c>
      <c r="O1887">
        <v>36</v>
      </c>
      <c r="P1887">
        <v>20</v>
      </c>
      <c r="Q1887">
        <v>0</v>
      </c>
      <c r="R1887">
        <v>298123997</v>
      </c>
      <c r="S1887">
        <v>487675.25</v>
      </c>
      <c r="T1887">
        <v>297284563.16000003</v>
      </c>
      <c r="U1887">
        <v>297636286.68000001</v>
      </c>
      <c r="V1887">
        <v>1.4067E-2</v>
      </c>
      <c r="W1887">
        <v>9.9999999999999995E-7</v>
      </c>
      <c r="Y1887" t="s">
        <v>2</v>
      </c>
      <c r="Z1887">
        <v>2250</v>
      </c>
      <c r="AA1887">
        <v>42</v>
      </c>
      <c r="AB1887">
        <v>3</v>
      </c>
      <c r="AC1887">
        <v>0</v>
      </c>
      <c r="AD1887">
        <v>68661585</v>
      </c>
      <c r="AE1887">
        <v>162135.1</v>
      </c>
      <c r="AF1887">
        <v>68597678</v>
      </c>
      <c r="AG1887">
        <v>68597678</v>
      </c>
      <c r="AH1887">
        <v>-1.7302999999999999E-2</v>
      </c>
      <c r="AI1887">
        <v>-1.7302999999999999E-2</v>
      </c>
    </row>
    <row r="1888" spans="1:35" x14ac:dyDescent="0.35">
      <c r="A1888" t="s">
        <v>3</v>
      </c>
      <c r="B1888">
        <v>7750</v>
      </c>
      <c r="C1888">
        <v>240</v>
      </c>
      <c r="D1888">
        <v>1</v>
      </c>
      <c r="E1888">
        <v>0</v>
      </c>
      <c r="F1888">
        <v>2550209</v>
      </c>
      <c r="G1888">
        <v>11601.8</v>
      </c>
      <c r="H1888">
        <v>2530249.7000000002</v>
      </c>
      <c r="I1888">
        <v>2538607.0499999998</v>
      </c>
      <c r="J1888">
        <v>3.8625E-2</v>
      </c>
      <c r="K1888">
        <v>9.9999999999999995E-7</v>
      </c>
      <c r="M1888" t="s">
        <v>2</v>
      </c>
      <c r="N1888">
        <v>2250</v>
      </c>
      <c r="O1888">
        <v>36</v>
      </c>
      <c r="P1888">
        <v>3</v>
      </c>
      <c r="Q1888">
        <v>0</v>
      </c>
      <c r="R1888">
        <v>51179899</v>
      </c>
      <c r="S1888">
        <v>119917.41</v>
      </c>
      <c r="T1888">
        <v>50483815.509999998</v>
      </c>
      <c r="U1888">
        <v>51059951.520000003</v>
      </c>
      <c r="V1888">
        <v>0.12703400000000001</v>
      </c>
      <c r="W1888">
        <v>6.9999999999999999E-6</v>
      </c>
      <c r="Y1888" t="s">
        <v>2</v>
      </c>
      <c r="Z1888">
        <v>2500</v>
      </c>
      <c r="AA1888">
        <v>42</v>
      </c>
      <c r="AB1888">
        <v>10</v>
      </c>
      <c r="AC1888">
        <v>0</v>
      </c>
      <c r="AD1888">
        <v>176162040</v>
      </c>
      <c r="AE1888">
        <v>400408.1</v>
      </c>
      <c r="AF1888">
        <v>175836014</v>
      </c>
      <c r="AG1888">
        <v>175836014</v>
      </c>
      <c r="AH1888">
        <v>-5.0790000000000002E-3</v>
      </c>
      <c r="AI1888">
        <v>-5.0790000000000002E-3</v>
      </c>
    </row>
    <row r="1889" spans="1:35" x14ac:dyDescent="0.35">
      <c r="A1889" t="s">
        <v>0</v>
      </c>
      <c r="B1889">
        <v>2000</v>
      </c>
      <c r="C1889">
        <v>48</v>
      </c>
      <c r="D1889">
        <v>22</v>
      </c>
      <c r="E1889">
        <v>0</v>
      </c>
      <c r="F1889">
        <v>536397870</v>
      </c>
      <c r="G1889">
        <v>1322026.57</v>
      </c>
      <c r="H1889">
        <v>533090468.42000002</v>
      </c>
      <c r="I1889">
        <v>535045916.31999999</v>
      </c>
      <c r="J1889">
        <v>4.3522999999999999E-2</v>
      </c>
      <c r="K1889">
        <v>6.69E-4</v>
      </c>
      <c r="M1889" t="s">
        <v>2</v>
      </c>
      <c r="N1889">
        <v>2500</v>
      </c>
      <c r="O1889">
        <v>36</v>
      </c>
      <c r="P1889">
        <v>5</v>
      </c>
      <c r="Q1889">
        <v>0</v>
      </c>
      <c r="R1889">
        <v>88381094</v>
      </c>
      <c r="S1889">
        <v>203549.1</v>
      </c>
      <c r="T1889">
        <v>87416280.450000003</v>
      </c>
      <c r="U1889">
        <v>87921405</v>
      </c>
      <c r="V1889">
        <v>9.8601999999999995E-2</v>
      </c>
      <c r="W1889">
        <v>3.4229000000000002E-2</v>
      </c>
      <c r="Y1889" t="s">
        <v>2</v>
      </c>
      <c r="Z1889">
        <v>6750</v>
      </c>
      <c r="AA1889">
        <v>48</v>
      </c>
      <c r="AB1889">
        <v>3</v>
      </c>
      <c r="AC1889">
        <v>0</v>
      </c>
      <c r="AD1889">
        <v>20919308</v>
      </c>
      <c r="AE1889">
        <v>27996.76</v>
      </c>
      <c r="AF1889">
        <v>20884388</v>
      </c>
      <c r="AG1889">
        <v>20884388</v>
      </c>
      <c r="AH1889">
        <v>3.9639999999999996E-3</v>
      </c>
      <c r="AI1889">
        <v>3.9639999999999996E-3</v>
      </c>
    </row>
    <row r="1890" spans="1:35" x14ac:dyDescent="0.35">
      <c r="A1890" t="s">
        <v>3</v>
      </c>
      <c r="B1890">
        <v>2500</v>
      </c>
      <c r="C1890">
        <v>48</v>
      </c>
      <c r="D1890">
        <v>7</v>
      </c>
      <c r="E1890">
        <v>0</v>
      </c>
      <c r="F1890">
        <v>132832935</v>
      </c>
      <c r="G1890">
        <v>304115.21999999997</v>
      </c>
      <c r="H1890">
        <v>132324706.94</v>
      </c>
      <c r="I1890">
        <v>132528819.56999999</v>
      </c>
      <c r="J1890">
        <v>1.8284000000000002E-2</v>
      </c>
      <c r="K1890">
        <v>0</v>
      </c>
      <c r="M1890" t="s">
        <v>1</v>
      </c>
      <c r="N1890">
        <v>9000</v>
      </c>
      <c r="O1890">
        <v>36</v>
      </c>
      <c r="P1890">
        <v>1</v>
      </c>
      <c r="Q1890">
        <v>0</v>
      </c>
      <c r="R1890">
        <v>24434402</v>
      </c>
      <c r="S1890">
        <v>18257.11</v>
      </c>
      <c r="T1890">
        <v>23076130.260000002</v>
      </c>
      <c r="U1890">
        <v>24416038.359999999</v>
      </c>
      <c r="V1890">
        <v>0.49177399999999999</v>
      </c>
      <c r="W1890">
        <v>5.1999999999999997E-5</v>
      </c>
      <c r="Y1890" t="s">
        <v>1</v>
      </c>
      <c r="Z1890">
        <v>2000</v>
      </c>
      <c r="AA1890">
        <v>42</v>
      </c>
      <c r="AB1890">
        <v>1</v>
      </c>
      <c r="AC1890">
        <v>0</v>
      </c>
      <c r="AD1890">
        <v>24460393</v>
      </c>
      <c r="AE1890">
        <v>64258.84</v>
      </c>
      <c r="AF1890">
        <v>24395407</v>
      </c>
      <c r="AG1890">
        <v>24395407</v>
      </c>
      <c r="AH1890">
        <v>3.57E-4</v>
      </c>
      <c r="AI1890">
        <v>3.57E-4</v>
      </c>
    </row>
    <row r="1891" spans="1:35" x14ac:dyDescent="0.35">
      <c r="A1891" t="s">
        <v>3</v>
      </c>
      <c r="B1891">
        <v>2250</v>
      </c>
      <c r="C1891">
        <v>48</v>
      </c>
      <c r="D1891">
        <v>4</v>
      </c>
      <c r="E1891">
        <v>0</v>
      </c>
      <c r="F1891">
        <v>92209948</v>
      </c>
      <c r="G1891">
        <v>216611</v>
      </c>
      <c r="H1891">
        <v>91658869.519999996</v>
      </c>
      <c r="I1891">
        <v>91993323.599999994</v>
      </c>
      <c r="J1891">
        <v>4.2668999999999999E-2</v>
      </c>
      <c r="K1891">
        <v>1.9999999999999999E-6</v>
      </c>
      <c r="M1891" t="s">
        <v>1</v>
      </c>
      <c r="N1891">
        <v>8250</v>
      </c>
      <c r="O1891">
        <v>36</v>
      </c>
      <c r="P1891">
        <v>8</v>
      </c>
      <c r="Q1891">
        <v>0</v>
      </c>
      <c r="R1891">
        <v>175717076</v>
      </c>
      <c r="S1891">
        <v>147642.46</v>
      </c>
      <c r="T1891">
        <v>156978363.91999999</v>
      </c>
      <c r="U1891">
        <v>158748123.16</v>
      </c>
      <c r="V1891">
        <v>0.73865800000000004</v>
      </c>
      <c r="W1891">
        <v>0.70106299999999999</v>
      </c>
      <c r="Y1891" t="s">
        <v>1</v>
      </c>
      <c r="Z1891">
        <v>2500</v>
      </c>
      <c r="AA1891">
        <v>36</v>
      </c>
      <c r="AB1891">
        <v>16</v>
      </c>
      <c r="AC1891">
        <v>0</v>
      </c>
      <c r="AD1891">
        <v>710434065</v>
      </c>
      <c r="AE1891">
        <v>1589197.38</v>
      </c>
      <c r="AF1891">
        <v>708920107</v>
      </c>
      <c r="AG1891">
        <v>708920107</v>
      </c>
      <c r="AH1891">
        <v>-1.2719999999999999E-3</v>
      </c>
      <c r="AI1891">
        <v>-1.2719999999999999E-3</v>
      </c>
    </row>
    <row r="1892" spans="1:35" x14ac:dyDescent="0.35">
      <c r="A1892" t="s">
        <v>2</v>
      </c>
      <c r="B1892">
        <v>7000</v>
      </c>
      <c r="C1892">
        <v>54</v>
      </c>
      <c r="D1892">
        <v>1</v>
      </c>
      <c r="E1892">
        <v>0</v>
      </c>
      <c r="F1892">
        <v>13330922</v>
      </c>
      <c r="G1892">
        <v>17877.62</v>
      </c>
      <c r="H1892">
        <v>13289465.68</v>
      </c>
      <c r="I1892">
        <v>13312585.98</v>
      </c>
      <c r="J1892">
        <v>2.1018999999999999E-2</v>
      </c>
      <c r="K1892">
        <v>4.1300000000000001E-4</v>
      </c>
      <c r="M1892" t="s">
        <v>3</v>
      </c>
      <c r="N1892">
        <v>4000</v>
      </c>
      <c r="O1892">
        <v>36</v>
      </c>
      <c r="P1892">
        <v>1</v>
      </c>
      <c r="Q1892">
        <v>0</v>
      </c>
      <c r="R1892">
        <v>3140974</v>
      </c>
      <c r="S1892">
        <v>5317.68</v>
      </c>
      <c r="T1892">
        <v>3124624.93</v>
      </c>
      <c r="U1892">
        <v>3135655.74</v>
      </c>
      <c r="V1892">
        <v>4.1340000000000002E-2</v>
      </c>
      <c r="W1892">
        <v>1.9999999999999999E-6</v>
      </c>
      <c r="Y1892" t="s">
        <v>1</v>
      </c>
      <c r="Z1892">
        <v>2750</v>
      </c>
      <c r="AA1892">
        <v>36</v>
      </c>
      <c r="AB1892">
        <v>66</v>
      </c>
      <c r="AC1892">
        <v>0</v>
      </c>
      <c r="AD1892">
        <v>2361583420</v>
      </c>
      <c r="AE1892">
        <v>5125156.6100000003</v>
      </c>
      <c r="AF1892">
        <v>2356253242</v>
      </c>
      <c r="AG1892">
        <v>2356253242</v>
      </c>
      <c r="AH1892">
        <v>1.041E-3</v>
      </c>
      <c r="AI1892">
        <v>1.041E-3</v>
      </c>
    </row>
    <row r="1893" spans="1:35" x14ac:dyDescent="0.35">
      <c r="A1893" t="s">
        <v>0</v>
      </c>
      <c r="B1893">
        <v>2000</v>
      </c>
      <c r="C1893">
        <v>216</v>
      </c>
      <c r="D1893">
        <v>1</v>
      </c>
      <c r="E1893">
        <v>0</v>
      </c>
      <c r="F1893">
        <v>21708808</v>
      </c>
      <c r="G1893">
        <v>123765.44</v>
      </c>
      <c r="H1893">
        <v>21555338.370000001</v>
      </c>
      <c r="I1893">
        <v>21585042.469999999</v>
      </c>
      <c r="J1893">
        <v>1.6296999999999999E-2</v>
      </c>
      <c r="K1893">
        <v>0</v>
      </c>
      <c r="M1893" t="s">
        <v>1</v>
      </c>
      <c r="N1893">
        <v>2000</v>
      </c>
      <c r="O1893">
        <v>36</v>
      </c>
      <c r="P1893">
        <v>1</v>
      </c>
      <c r="Q1893">
        <v>0</v>
      </c>
      <c r="R1893">
        <v>38375315</v>
      </c>
      <c r="S1893">
        <v>90972.76</v>
      </c>
      <c r="T1893">
        <v>38257515.770000003</v>
      </c>
      <c r="U1893">
        <v>38284282.57</v>
      </c>
      <c r="V1893">
        <v>8.3560000000000006E-3</v>
      </c>
      <c r="W1893">
        <v>1.9000000000000001E-5</v>
      </c>
      <c r="Y1893" t="s">
        <v>2</v>
      </c>
      <c r="Z1893">
        <v>2250</v>
      </c>
      <c r="AA1893">
        <v>36</v>
      </c>
      <c r="AB1893">
        <v>4</v>
      </c>
      <c r="AC1893">
        <v>0</v>
      </c>
      <c r="AD1893">
        <v>62936135</v>
      </c>
      <c r="AE1893">
        <v>148811.70000000001</v>
      </c>
      <c r="AF1893">
        <v>62787257</v>
      </c>
      <c r="AG1893">
        <v>62787257</v>
      </c>
      <c r="AH1893">
        <v>1.2999999999999999E-5</v>
      </c>
      <c r="AI1893">
        <v>1.2999999999999999E-5</v>
      </c>
    </row>
    <row r="1894" spans="1:35" x14ac:dyDescent="0.35">
      <c r="A1894" t="s">
        <v>1</v>
      </c>
      <c r="B1894">
        <v>2500</v>
      </c>
      <c r="C1894">
        <v>42</v>
      </c>
      <c r="D1894">
        <v>137</v>
      </c>
      <c r="E1894">
        <v>0</v>
      </c>
      <c r="F1894">
        <v>4075640737</v>
      </c>
      <c r="G1894">
        <v>9226949.3900000006</v>
      </c>
      <c r="H1894">
        <v>4017166943.77</v>
      </c>
      <c r="I1894">
        <v>4042934457.6199999</v>
      </c>
      <c r="J1894">
        <v>0.13574</v>
      </c>
      <c r="K1894">
        <v>6.6982E-2</v>
      </c>
      <c r="M1894" t="s">
        <v>2</v>
      </c>
      <c r="N1894">
        <v>3000</v>
      </c>
      <c r="O1894">
        <v>30</v>
      </c>
      <c r="P1894">
        <v>28</v>
      </c>
      <c r="Q1894">
        <v>0</v>
      </c>
      <c r="R1894">
        <v>512455240</v>
      </c>
      <c r="S1894">
        <v>1048266.1</v>
      </c>
      <c r="T1894">
        <v>508522425.06</v>
      </c>
      <c r="U1894">
        <v>510373592.61000001</v>
      </c>
      <c r="V1894">
        <v>6.5493999999999997E-2</v>
      </c>
      <c r="W1894">
        <v>2.3931999999999998E-2</v>
      </c>
      <c r="Y1894" t="s">
        <v>1</v>
      </c>
      <c r="Z1894">
        <v>2250</v>
      </c>
      <c r="AA1894">
        <v>36</v>
      </c>
      <c r="AB1894">
        <v>21</v>
      </c>
      <c r="AC1894">
        <v>0</v>
      </c>
      <c r="AD1894">
        <v>689943229</v>
      </c>
      <c r="AE1894">
        <v>1611583.17</v>
      </c>
      <c r="AF1894">
        <v>687932392</v>
      </c>
      <c r="AG1894">
        <v>687932392</v>
      </c>
      <c r="AH1894">
        <v>6.9220000000000002E-3</v>
      </c>
      <c r="AI1894">
        <v>6.9220000000000002E-3</v>
      </c>
    </row>
    <row r="1895" spans="1:35" x14ac:dyDescent="0.35">
      <c r="A1895" t="s">
        <v>1</v>
      </c>
      <c r="B1895">
        <v>2250</v>
      </c>
      <c r="C1895">
        <v>42</v>
      </c>
      <c r="D1895">
        <v>82</v>
      </c>
      <c r="E1895">
        <v>0</v>
      </c>
      <c r="F1895">
        <v>2657259261</v>
      </c>
      <c r="G1895">
        <v>6231892.4800000004</v>
      </c>
      <c r="H1895">
        <v>2623238033.54</v>
      </c>
      <c r="I1895">
        <v>2639160378.8800001</v>
      </c>
      <c r="J1895">
        <v>0.118522</v>
      </c>
      <c r="K1895">
        <v>5.2294E-2</v>
      </c>
      <c r="M1895" t="s">
        <v>2</v>
      </c>
      <c r="N1895">
        <v>2750</v>
      </c>
      <c r="O1895">
        <v>30</v>
      </c>
      <c r="P1895">
        <v>28</v>
      </c>
      <c r="Q1895">
        <v>0</v>
      </c>
      <c r="R1895">
        <v>646858984</v>
      </c>
      <c r="S1895">
        <v>1370344.19</v>
      </c>
      <c r="T1895">
        <v>640234263.55999994</v>
      </c>
      <c r="U1895">
        <v>643052708.02999997</v>
      </c>
      <c r="V1895">
        <v>9.3235999999999999E-2</v>
      </c>
      <c r="W1895">
        <v>4.4264999999999999E-2</v>
      </c>
      <c r="Y1895" t="s">
        <v>2</v>
      </c>
      <c r="Z1895">
        <v>2750</v>
      </c>
      <c r="AA1895">
        <v>36</v>
      </c>
      <c r="AB1895">
        <v>43</v>
      </c>
      <c r="AC1895">
        <v>0</v>
      </c>
      <c r="AD1895">
        <v>849805592</v>
      </c>
      <c r="AE1895">
        <v>1825761.21</v>
      </c>
      <c r="AF1895">
        <v>847970560</v>
      </c>
      <c r="AG1895">
        <v>847970560</v>
      </c>
      <c r="AH1895">
        <v>1.3100000000000001E-4</v>
      </c>
      <c r="AI1895">
        <v>1.3100000000000001E-4</v>
      </c>
    </row>
    <row r="1896" spans="1:35" x14ac:dyDescent="0.35">
      <c r="A1896" t="s">
        <v>0</v>
      </c>
      <c r="B1896">
        <v>2250</v>
      </c>
      <c r="C1896">
        <v>42</v>
      </c>
      <c r="D1896">
        <v>12</v>
      </c>
      <c r="E1896">
        <v>0</v>
      </c>
      <c r="F1896">
        <v>263128494</v>
      </c>
      <c r="G1896">
        <v>604689.61</v>
      </c>
      <c r="H1896">
        <v>261535211.97999999</v>
      </c>
      <c r="I1896">
        <v>262387786.66</v>
      </c>
      <c r="J1896">
        <v>4.4165000000000003E-2</v>
      </c>
      <c r="K1896">
        <v>6.1850000000000004E-3</v>
      </c>
      <c r="M1896" t="s">
        <v>1</v>
      </c>
      <c r="N1896">
        <v>3500</v>
      </c>
      <c r="O1896">
        <v>30</v>
      </c>
      <c r="P1896">
        <v>62</v>
      </c>
      <c r="Q1896">
        <v>0</v>
      </c>
      <c r="R1896">
        <v>1667061514</v>
      </c>
      <c r="S1896">
        <v>3147371.2</v>
      </c>
      <c r="T1896">
        <v>1638384501.2</v>
      </c>
      <c r="U1896">
        <v>1648480378.3299999</v>
      </c>
      <c r="V1896">
        <v>0.16905500000000001</v>
      </c>
      <c r="W1896">
        <v>0.105611</v>
      </c>
      <c r="Y1896" t="s">
        <v>2</v>
      </c>
      <c r="Z1896">
        <v>4000</v>
      </c>
      <c r="AA1896">
        <v>36</v>
      </c>
      <c r="AB1896">
        <v>55</v>
      </c>
      <c r="AC1896">
        <v>0</v>
      </c>
      <c r="AD1896">
        <v>1066744485</v>
      </c>
      <c r="AE1896">
        <v>1910419.22</v>
      </c>
      <c r="AF1896">
        <v>1064269806</v>
      </c>
      <c r="AG1896">
        <v>1064269806</v>
      </c>
      <c r="AH1896">
        <v>6.3290000000000004E-3</v>
      </c>
      <c r="AI1896">
        <v>6.3290000000000004E-3</v>
      </c>
    </row>
    <row r="1897" spans="1:35" x14ac:dyDescent="0.35">
      <c r="A1897" t="s">
        <v>2</v>
      </c>
      <c r="B1897">
        <v>3000</v>
      </c>
      <c r="C1897">
        <v>42</v>
      </c>
      <c r="D1897">
        <v>42</v>
      </c>
      <c r="E1897">
        <v>0</v>
      </c>
      <c r="F1897">
        <v>788845723</v>
      </c>
      <c r="G1897">
        <v>1686874.03</v>
      </c>
      <c r="H1897">
        <v>782099706.01999998</v>
      </c>
      <c r="I1897">
        <v>785290073.98000002</v>
      </c>
      <c r="J1897">
        <v>7.4302999999999994E-2</v>
      </c>
      <c r="K1897">
        <v>2.8060000000000002E-2</v>
      </c>
      <c r="M1897" t="s">
        <v>1</v>
      </c>
      <c r="N1897">
        <v>3750</v>
      </c>
      <c r="O1897">
        <v>30</v>
      </c>
      <c r="P1897">
        <v>105</v>
      </c>
      <c r="Q1897">
        <v>0</v>
      </c>
      <c r="R1897">
        <v>3644687627</v>
      </c>
      <c r="S1897">
        <v>6553212.1299999999</v>
      </c>
      <c r="T1897">
        <v>3580639215.71</v>
      </c>
      <c r="U1897">
        <v>3601215685.7399998</v>
      </c>
      <c r="V1897">
        <v>0.17371</v>
      </c>
      <c r="W1897">
        <v>0.115005</v>
      </c>
      <c r="Y1897" t="s">
        <v>2</v>
      </c>
      <c r="Z1897">
        <v>4500</v>
      </c>
      <c r="AA1897">
        <v>36</v>
      </c>
      <c r="AB1897">
        <v>63</v>
      </c>
      <c r="AC1897">
        <v>0</v>
      </c>
      <c r="AD1897">
        <v>1280197268</v>
      </c>
      <c r="AE1897">
        <v>2076808.65</v>
      </c>
      <c r="AF1897">
        <v>1244768538</v>
      </c>
      <c r="AG1897">
        <v>1244768538</v>
      </c>
      <c r="AH1897">
        <v>0.27150200000000002</v>
      </c>
      <c r="AI1897">
        <v>0.27150200000000002</v>
      </c>
    </row>
    <row r="1898" spans="1:35" x14ac:dyDescent="0.35">
      <c r="A1898" t="s">
        <v>3</v>
      </c>
      <c r="B1898">
        <v>3250</v>
      </c>
      <c r="C1898">
        <v>42</v>
      </c>
      <c r="D1898">
        <v>3</v>
      </c>
      <c r="E1898">
        <v>0</v>
      </c>
      <c r="F1898">
        <v>65678337</v>
      </c>
      <c r="G1898">
        <v>132761.85</v>
      </c>
      <c r="H1898">
        <v>65122527.939999998</v>
      </c>
      <c r="I1898">
        <v>65463930.520000003</v>
      </c>
      <c r="J1898">
        <v>7.4614E-2</v>
      </c>
      <c r="K1898">
        <v>1.4815999999999999E-2</v>
      </c>
      <c r="M1898" t="s">
        <v>2</v>
      </c>
      <c r="N1898">
        <v>3500</v>
      </c>
      <c r="O1898">
        <v>30</v>
      </c>
      <c r="P1898">
        <v>31</v>
      </c>
      <c r="Q1898">
        <v>0</v>
      </c>
      <c r="R1898">
        <v>440837638</v>
      </c>
      <c r="S1898">
        <v>844949.31</v>
      </c>
      <c r="T1898">
        <v>436515829.26999998</v>
      </c>
      <c r="U1898">
        <v>438464957.86000001</v>
      </c>
      <c r="V1898">
        <v>9.0644000000000002E-2</v>
      </c>
      <c r="W1898">
        <v>4.0802999999999999E-2</v>
      </c>
      <c r="Y1898" t="s">
        <v>3</v>
      </c>
      <c r="Z1898">
        <v>4250</v>
      </c>
      <c r="AA1898">
        <v>36</v>
      </c>
      <c r="AB1898">
        <v>19</v>
      </c>
      <c r="AC1898">
        <v>0</v>
      </c>
      <c r="AD1898">
        <v>281891959</v>
      </c>
      <c r="AE1898">
        <v>465672.2</v>
      </c>
      <c r="AF1898">
        <v>281424979</v>
      </c>
      <c r="AG1898">
        <v>281424979</v>
      </c>
      <c r="AH1898">
        <v>5.5999999999999999E-5</v>
      </c>
      <c r="AI1898">
        <v>5.5999999999999999E-5</v>
      </c>
    </row>
    <row r="1899" spans="1:35" x14ac:dyDescent="0.35">
      <c r="A1899" t="s">
        <v>3</v>
      </c>
      <c r="B1899">
        <v>4000</v>
      </c>
      <c r="C1899">
        <v>42</v>
      </c>
      <c r="D1899">
        <v>4</v>
      </c>
      <c r="E1899">
        <v>0</v>
      </c>
      <c r="F1899">
        <v>107198576</v>
      </c>
      <c r="G1899">
        <v>192122.75</v>
      </c>
      <c r="H1899">
        <v>106846344.7</v>
      </c>
      <c r="I1899">
        <v>107006452.86</v>
      </c>
      <c r="J1899">
        <v>1.7776E-2</v>
      </c>
      <c r="K1899">
        <v>0</v>
      </c>
      <c r="M1899" t="s">
        <v>2</v>
      </c>
      <c r="N1899">
        <v>3250</v>
      </c>
      <c r="O1899">
        <v>30</v>
      </c>
      <c r="P1899">
        <v>33</v>
      </c>
      <c r="Q1899">
        <v>0</v>
      </c>
      <c r="R1899">
        <v>572449440</v>
      </c>
      <c r="S1899">
        <v>1118082.57</v>
      </c>
      <c r="T1899">
        <v>566597102.02999997</v>
      </c>
      <c r="U1899">
        <v>569186073.34000003</v>
      </c>
      <c r="V1899">
        <v>9.4850000000000004E-2</v>
      </c>
      <c r="W1899">
        <v>4.4054999999999997E-2</v>
      </c>
      <c r="Y1899" t="s">
        <v>3</v>
      </c>
      <c r="Z1899">
        <v>5000</v>
      </c>
      <c r="AA1899">
        <v>36</v>
      </c>
      <c r="AB1899">
        <v>3</v>
      </c>
      <c r="AC1899">
        <v>0</v>
      </c>
      <c r="AD1899">
        <v>54541499</v>
      </c>
      <c r="AE1899">
        <v>79282.38</v>
      </c>
      <c r="AF1899">
        <v>54462105</v>
      </c>
      <c r="AG1899">
        <v>54462105</v>
      </c>
      <c r="AH1899">
        <v>2.5000000000000001E-5</v>
      </c>
      <c r="AI1899">
        <v>2.5000000000000001E-5</v>
      </c>
    </row>
    <row r="1900" spans="1:35" x14ac:dyDescent="0.35">
      <c r="A1900" t="s">
        <v>3</v>
      </c>
      <c r="B1900">
        <v>3750</v>
      </c>
      <c r="C1900">
        <v>42</v>
      </c>
      <c r="D1900">
        <v>4</v>
      </c>
      <c r="E1900">
        <v>0</v>
      </c>
      <c r="F1900">
        <v>95972804</v>
      </c>
      <c r="G1900">
        <v>177000.33</v>
      </c>
      <c r="H1900">
        <v>95593513.700000003</v>
      </c>
      <c r="I1900">
        <v>95795803.650000006</v>
      </c>
      <c r="J1900">
        <v>2.5002E-2</v>
      </c>
      <c r="K1900">
        <v>0</v>
      </c>
      <c r="M1900" t="s">
        <v>2</v>
      </c>
      <c r="N1900">
        <v>3750</v>
      </c>
      <c r="O1900">
        <v>30</v>
      </c>
      <c r="P1900">
        <v>44</v>
      </c>
      <c r="Q1900">
        <v>0</v>
      </c>
      <c r="R1900">
        <v>602511605</v>
      </c>
      <c r="S1900">
        <v>1115869.19</v>
      </c>
      <c r="T1900">
        <v>598319302.11000001</v>
      </c>
      <c r="U1900">
        <v>600788172.10000002</v>
      </c>
      <c r="V1900">
        <v>5.9580000000000001E-2</v>
      </c>
      <c r="W1900">
        <v>1.2034E-2</v>
      </c>
      <c r="Y1900" t="s">
        <v>3</v>
      </c>
      <c r="Z1900">
        <v>5500</v>
      </c>
      <c r="AA1900">
        <v>36</v>
      </c>
      <c r="AB1900">
        <v>7</v>
      </c>
      <c r="AC1900">
        <v>0</v>
      </c>
      <c r="AD1900">
        <v>155139426</v>
      </c>
      <c r="AE1900">
        <v>207131.75</v>
      </c>
      <c r="AF1900">
        <v>154920861</v>
      </c>
      <c r="AG1900">
        <v>154920861</v>
      </c>
      <c r="AH1900">
        <v>8.8400000000000002E-4</v>
      </c>
      <c r="AI1900">
        <v>8.8400000000000002E-4</v>
      </c>
    </row>
    <row r="1901" spans="1:35" x14ac:dyDescent="0.35">
      <c r="A1901" t="s">
        <v>3</v>
      </c>
      <c r="B1901">
        <v>4500</v>
      </c>
      <c r="C1901">
        <v>42</v>
      </c>
      <c r="D1901">
        <v>10</v>
      </c>
      <c r="E1901">
        <v>0</v>
      </c>
      <c r="F1901">
        <v>287740015</v>
      </c>
      <c r="G1901">
        <v>469539.16</v>
      </c>
      <c r="H1901">
        <v>286196386.39999998</v>
      </c>
      <c r="I1901">
        <v>287073245.68000001</v>
      </c>
      <c r="J1901">
        <v>4.3886000000000001E-2</v>
      </c>
      <c r="K1901">
        <v>8.1939999999999999E-3</v>
      </c>
      <c r="M1901" t="s">
        <v>2</v>
      </c>
      <c r="N1901">
        <v>4000</v>
      </c>
      <c r="O1901">
        <v>30</v>
      </c>
      <c r="P1901">
        <v>27</v>
      </c>
      <c r="Q1901">
        <v>0</v>
      </c>
      <c r="R1901">
        <v>438960314</v>
      </c>
      <c r="S1901">
        <v>777770.29</v>
      </c>
      <c r="T1901">
        <v>435870946.51999998</v>
      </c>
      <c r="U1901">
        <v>437505779</v>
      </c>
      <c r="V1901">
        <v>6.1393999999999997E-2</v>
      </c>
      <c r="W1901">
        <v>1.8345E-2</v>
      </c>
      <c r="Y1901" t="s">
        <v>0</v>
      </c>
      <c r="Z1901">
        <v>2750</v>
      </c>
      <c r="AA1901">
        <v>36</v>
      </c>
      <c r="AB1901">
        <v>13</v>
      </c>
      <c r="AC1901">
        <v>0</v>
      </c>
      <c r="AD1901">
        <v>289959576</v>
      </c>
      <c r="AE1901">
        <v>601240.14</v>
      </c>
      <c r="AF1901">
        <v>289282512</v>
      </c>
      <c r="AG1901">
        <v>289282512</v>
      </c>
      <c r="AH1901">
        <v>3.1329999999999999E-3</v>
      </c>
      <c r="AI1901">
        <v>3.1329999999999999E-3</v>
      </c>
    </row>
    <row r="1902" spans="1:35" x14ac:dyDescent="0.35">
      <c r="A1902" t="s">
        <v>2</v>
      </c>
      <c r="B1902">
        <v>2500</v>
      </c>
      <c r="C1902">
        <v>42</v>
      </c>
      <c r="D1902">
        <v>9</v>
      </c>
      <c r="E1902">
        <v>0</v>
      </c>
      <c r="F1902">
        <v>178227189</v>
      </c>
      <c r="G1902">
        <v>409567.27</v>
      </c>
      <c r="H1902">
        <v>176234008.75999999</v>
      </c>
      <c r="I1902">
        <v>177196770.88</v>
      </c>
      <c r="J1902">
        <v>0.101565</v>
      </c>
      <c r="K1902">
        <v>4.1009999999999998E-2</v>
      </c>
      <c r="M1902" t="s">
        <v>2</v>
      </c>
      <c r="N1902">
        <v>4500</v>
      </c>
      <c r="O1902">
        <v>30</v>
      </c>
      <c r="P1902">
        <v>36</v>
      </c>
      <c r="Q1902">
        <v>0</v>
      </c>
      <c r="R1902">
        <v>700002865</v>
      </c>
      <c r="S1902">
        <v>1097599.97</v>
      </c>
      <c r="T1902">
        <v>695347342.99000001</v>
      </c>
      <c r="U1902">
        <v>698332773.46000004</v>
      </c>
      <c r="V1902">
        <v>5.9316000000000001E-2</v>
      </c>
      <c r="W1902">
        <v>9.7699999999999992E-3</v>
      </c>
      <c r="Y1902" t="s">
        <v>0</v>
      </c>
      <c r="Z1902">
        <v>2500</v>
      </c>
      <c r="AA1902">
        <v>36</v>
      </c>
      <c r="AB1902">
        <v>1</v>
      </c>
      <c r="AC1902">
        <v>0</v>
      </c>
      <c r="AD1902">
        <v>17395501</v>
      </c>
      <c r="AE1902">
        <v>37487.33</v>
      </c>
      <c r="AF1902">
        <v>17358014</v>
      </c>
      <c r="AG1902">
        <v>17358014</v>
      </c>
      <c r="AH1902">
        <v>0</v>
      </c>
      <c r="AI1902">
        <v>0</v>
      </c>
    </row>
    <row r="1903" spans="1:35" x14ac:dyDescent="0.35">
      <c r="A1903" t="s">
        <v>3</v>
      </c>
      <c r="B1903">
        <v>3500</v>
      </c>
      <c r="C1903">
        <v>42</v>
      </c>
      <c r="D1903">
        <v>2</v>
      </c>
      <c r="E1903">
        <v>0</v>
      </c>
      <c r="F1903">
        <v>19420453</v>
      </c>
      <c r="G1903">
        <v>37325.14</v>
      </c>
      <c r="H1903">
        <v>19144647.760000002</v>
      </c>
      <c r="I1903">
        <v>19306900.050000001</v>
      </c>
      <c r="J1903">
        <v>0.13780200000000001</v>
      </c>
      <c r="K1903">
        <v>4.6098E-2</v>
      </c>
      <c r="M1903" t="s">
        <v>3</v>
      </c>
      <c r="N1903">
        <v>5500</v>
      </c>
      <c r="O1903">
        <v>30</v>
      </c>
      <c r="P1903">
        <v>10</v>
      </c>
      <c r="Q1903">
        <v>0</v>
      </c>
      <c r="R1903">
        <v>293050130</v>
      </c>
      <c r="S1903">
        <v>377215.85</v>
      </c>
      <c r="T1903">
        <v>291499004.56999999</v>
      </c>
      <c r="U1903">
        <v>292672906.49000001</v>
      </c>
      <c r="V1903">
        <v>4.7024999999999997E-2</v>
      </c>
      <c r="W1903">
        <v>0</v>
      </c>
      <c r="Y1903" t="s">
        <v>2</v>
      </c>
      <c r="Z1903">
        <v>3000</v>
      </c>
      <c r="AA1903">
        <v>36</v>
      </c>
      <c r="AB1903">
        <v>40</v>
      </c>
      <c r="AC1903">
        <v>0</v>
      </c>
      <c r="AD1903">
        <v>727885453</v>
      </c>
      <c r="AE1903">
        <v>1532261.07</v>
      </c>
      <c r="AF1903">
        <v>711551250</v>
      </c>
      <c r="AG1903">
        <v>711551250</v>
      </c>
      <c r="AH1903">
        <v>0.218501</v>
      </c>
      <c r="AI1903">
        <v>0.218501</v>
      </c>
    </row>
    <row r="1904" spans="1:35" x14ac:dyDescent="0.35">
      <c r="A1904" t="s">
        <v>2</v>
      </c>
      <c r="B1904">
        <v>6750</v>
      </c>
      <c r="C1904">
        <v>48</v>
      </c>
      <c r="D1904">
        <v>3</v>
      </c>
      <c r="E1904">
        <v>0</v>
      </c>
      <c r="F1904">
        <v>20884388</v>
      </c>
      <c r="G1904">
        <v>28143.96</v>
      </c>
      <c r="H1904">
        <v>20755390.629999999</v>
      </c>
      <c r="I1904">
        <v>20856103.289999999</v>
      </c>
      <c r="J1904">
        <v>5.6434999999999999E-2</v>
      </c>
      <c r="K1904">
        <v>8.1000000000000004E-5</v>
      </c>
      <c r="M1904" t="s">
        <v>3</v>
      </c>
      <c r="N1904">
        <v>5250</v>
      </c>
      <c r="O1904">
        <v>30</v>
      </c>
      <c r="P1904">
        <v>4</v>
      </c>
      <c r="Q1904">
        <v>0</v>
      </c>
      <c r="R1904">
        <v>96416201</v>
      </c>
      <c r="S1904">
        <v>130315.5</v>
      </c>
      <c r="T1904">
        <v>95828342.180000007</v>
      </c>
      <c r="U1904">
        <v>96285874.319999993</v>
      </c>
      <c r="V1904">
        <v>5.5482999999999998E-2</v>
      </c>
      <c r="W1904">
        <v>9.9999999999999995E-7</v>
      </c>
      <c r="Y1904" t="s">
        <v>2</v>
      </c>
      <c r="Z1904">
        <v>3750</v>
      </c>
      <c r="AA1904">
        <v>36</v>
      </c>
      <c r="AB1904">
        <v>59</v>
      </c>
      <c r="AC1904">
        <v>0</v>
      </c>
      <c r="AD1904">
        <v>792099675</v>
      </c>
      <c r="AE1904">
        <v>1471742.26</v>
      </c>
      <c r="AF1904">
        <v>758444908</v>
      </c>
      <c r="AG1904">
        <v>780720797.38999999</v>
      </c>
      <c r="AH1904">
        <v>0.392098</v>
      </c>
      <c r="AI1904">
        <v>0.140183</v>
      </c>
    </row>
    <row r="1905" spans="1:35" x14ac:dyDescent="0.35">
      <c r="A1905" t="s">
        <v>2</v>
      </c>
      <c r="B1905">
        <v>2250</v>
      </c>
      <c r="C1905">
        <v>42</v>
      </c>
      <c r="D1905">
        <v>4</v>
      </c>
      <c r="E1905">
        <v>0</v>
      </c>
      <c r="F1905">
        <v>87648470</v>
      </c>
      <c r="G1905">
        <v>208432</v>
      </c>
      <c r="H1905">
        <v>87103213.060000002</v>
      </c>
      <c r="I1905">
        <v>87438902.480000004</v>
      </c>
      <c r="J1905">
        <v>4.5152999999999999E-2</v>
      </c>
      <c r="K1905">
        <v>1.55E-4</v>
      </c>
      <c r="M1905" t="s">
        <v>0</v>
      </c>
      <c r="N1905">
        <v>2000</v>
      </c>
      <c r="O1905">
        <v>30</v>
      </c>
      <c r="P1905">
        <v>2</v>
      </c>
      <c r="Q1905">
        <v>0</v>
      </c>
      <c r="R1905">
        <v>72561757</v>
      </c>
      <c r="S1905">
        <v>163238.59</v>
      </c>
      <c r="T1905">
        <v>72252021.650000006</v>
      </c>
      <c r="U1905">
        <v>72398459.540000007</v>
      </c>
      <c r="V1905">
        <v>2.3959999999999999E-2</v>
      </c>
      <c r="W1905">
        <v>1.0000000000000001E-5</v>
      </c>
      <c r="Y1905" t="s">
        <v>1</v>
      </c>
      <c r="Z1905">
        <v>9000</v>
      </c>
      <c r="AA1905">
        <v>36</v>
      </c>
      <c r="AB1905">
        <v>1</v>
      </c>
      <c r="AC1905">
        <v>0</v>
      </c>
      <c r="AD1905">
        <v>24397110</v>
      </c>
      <c r="AE1905">
        <v>18523.84</v>
      </c>
      <c r="AF1905">
        <v>24368260</v>
      </c>
      <c r="AG1905">
        <v>24368260</v>
      </c>
      <c r="AH1905">
        <v>5.0670000000000003E-3</v>
      </c>
      <c r="AI1905">
        <v>5.0670000000000003E-3</v>
      </c>
    </row>
    <row r="1906" spans="1:35" x14ac:dyDescent="0.35">
      <c r="A1906" t="s">
        <v>1</v>
      </c>
      <c r="B1906">
        <v>2750</v>
      </c>
      <c r="C1906">
        <v>36</v>
      </c>
      <c r="D1906">
        <v>50</v>
      </c>
      <c r="E1906">
        <v>0</v>
      </c>
      <c r="F1906">
        <v>1650241867</v>
      </c>
      <c r="G1906">
        <v>3611366.89</v>
      </c>
      <c r="H1906">
        <v>1631901053.95</v>
      </c>
      <c r="I1906">
        <v>1641861366.6400001</v>
      </c>
      <c r="J1906">
        <v>0.102003</v>
      </c>
      <c r="K1906">
        <v>3.4133999999999998E-2</v>
      </c>
      <c r="M1906" t="s">
        <v>2</v>
      </c>
      <c r="N1906">
        <v>2500</v>
      </c>
      <c r="O1906">
        <v>30</v>
      </c>
      <c r="P1906">
        <v>7</v>
      </c>
      <c r="Q1906">
        <v>0</v>
      </c>
      <c r="R1906">
        <v>128649011</v>
      </c>
      <c r="S1906">
        <v>281761.06</v>
      </c>
      <c r="T1906">
        <v>127997657.88</v>
      </c>
      <c r="U1906">
        <v>128315937.59999999</v>
      </c>
      <c r="V1906">
        <v>3.3935E-2</v>
      </c>
      <c r="W1906">
        <v>4.7759999999999999E-3</v>
      </c>
      <c r="Y1906" t="s">
        <v>1</v>
      </c>
      <c r="Z1906">
        <v>8250</v>
      </c>
      <c r="AA1906">
        <v>36</v>
      </c>
      <c r="AB1906">
        <v>7</v>
      </c>
      <c r="AC1906">
        <v>0</v>
      </c>
      <c r="AD1906">
        <v>148104769</v>
      </c>
      <c r="AE1906">
        <v>126064</v>
      </c>
      <c r="AF1906">
        <v>148098327</v>
      </c>
      <c r="AG1906">
        <v>148098327</v>
      </c>
      <c r="AH1906">
        <v>-9.7350000000000006E-3</v>
      </c>
      <c r="AI1906">
        <v>-9.7350000000000006E-3</v>
      </c>
    </row>
    <row r="1907" spans="1:35" x14ac:dyDescent="0.35">
      <c r="A1907" t="s">
        <v>0</v>
      </c>
      <c r="B1907">
        <v>2500</v>
      </c>
      <c r="C1907">
        <v>36</v>
      </c>
      <c r="D1907">
        <v>2</v>
      </c>
      <c r="E1907">
        <v>0</v>
      </c>
      <c r="F1907">
        <v>43059730</v>
      </c>
      <c r="G1907">
        <v>93067.67</v>
      </c>
      <c r="H1907">
        <v>42754690.119999997</v>
      </c>
      <c r="I1907">
        <v>42966583.590000004</v>
      </c>
      <c r="J1907">
        <v>5.7500000000000002E-2</v>
      </c>
      <c r="K1907">
        <v>2.1999999999999999E-5</v>
      </c>
      <c r="M1907" t="s">
        <v>0</v>
      </c>
      <c r="N1907">
        <v>2750</v>
      </c>
      <c r="O1907">
        <v>30</v>
      </c>
      <c r="P1907">
        <v>9</v>
      </c>
      <c r="Q1907">
        <v>0</v>
      </c>
      <c r="R1907">
        <v>266132847</v>
      </c>
      <c r="S1907">
        <v>551800.52</v>
      </c>
      <c r="T1907">
        <v>264930713</v>
      </c>
      <c r="U1907">
        <v>265469323.03999999</v>
      </c>
      <c r="V1907">
        <v>2.8933E-2</v>
      </c>
      <c r="W1907">
        <v>5.0260000000000001E-3</v>
      </c>
      <c r="Y1907" t="s">
        <v>2</v>
      </c>
      <c r="Z1907">
        <v>2500</v>
      </c>
      <c r="AA1907">
        <v>36</v>
      </c>
      <c r="AB1907">
        <v>8</v>
      </c>
      <c r="AC1907">
        <v>0</v>
      </c>
      <c r="AD1907">
        <v>130566286</v>
      </c>
      <c r="AE1907">
        <v>297637.86</v>
      </c>
      <c r="AF1907">
        <v>130320035</v>
      </c>
      <c r="AG1907">
        <v>130320035</v>
      </c>
      <c r="AH1907">
        <v>-4.7330000000000002E-3</v>
      </c>
      <c r="AI1907">
        <v>-4.7330000000000002E-3</v>
      </c>
    </row>
    <row r="1908" spans="1:35" x14ac:dyDescent="0.35">
      <c r="A1908" t="s">
        <v>0</v>
      </c>
      <c r="B1908">
        <v>2750</v>
      </c>
      <c r="C1908">
        <v>36</v>
      </c>
      <c r="D1908">
        <v>13</v>
      </c>
      <c r="E1908">
        <v>0</v>
      </c>
      <c r="F1908">
        <v>340255572</v>
      </c>
      <c r="G1908">
        <v>717941.01</v>
      </c>
      <c r="H1908">
        <v>338559257.57999998</v>
      </c>
      <c r="I1908">
        <v>339325967.49000001</v>
      </c>
      <c r="J1908">
        <v>3.3964000000000001E-2</v>
      </c>
      <c r="K1908">
        <v>7.4390000000000003E-3</v>
      </c>
      <c r="M1908" t="s">
        <v>2</v>
      </c>
      <c r="N1908">
        <v>2250</v>
      </c>
      <c r="O1908">
        <v>30</v>
      </c>
      <c r="P1908">
        <v>1</v>
      </c>
      <c r="Q1908">
        <v>0</v>
      </c>
      <c r="R1908">
        <v>12033993</v>
      </c>
      <c r="S1908">
        <v>28297.64</v>
      </c>
      <c r="T1908">
        <v>11930953.140000001</v>
      </c>
      <c r="U1908">
        <v>12005607.15</v>
      </c>
      <c r="V1908">
        <v>7.2037000000000004E-2</v>
      </c>
      <c r="W1908">
        <v>8.7999999999999998E-5</v>
      </c>
      <c r="Y1908" t="s">
        <v>3</v>
      </c>
      <c r="Z1908">
        <v>4000</v>
      </c>
      <c r="AA1908">
        <v>36</v>
      </c>
      <c r="AB1908">
        <v>1</v>
      </c>
      <c r="AC1908">
        <v>0</v>
      </c>
      <c r="AD1908">
        <v>3130214</v>
      </c>
      <c r="AE1908">
        <v>5353.01</v>
      </c>
      <c r="AF1908">
        <v>3124807</v>
      </c>
      <c r="AG1908">
        <v>3124807</v>
      </c>
      <c r="AH1908">
        <v>2.0699999999999999E-4</v>
      </c>
      <c r="AI1908">
        <v>2.0699999999999999E-4</v>
      </c>
    </row>
    <row r="1909" spans="1:35" x14ac:dyDescent="0.35">
      <c r="A1909" t="s">
        <v>2</v>
      </c>
      <c r="B1909">
        <v>2750</v>
      </c>
      <c r="C1909">
        <v>36</v>
      </c>
      <c r="D1909">
        <v>42</v>
      </c>
      <c r="E1909">
        <v>0</v>
      </c>
      <c r="F1909">
        <v>825919008</v>
      </c>
      <c r="G1909">
        <v>1780169.26</v>
      </c>
      <c r="H1909">
        <v>820505224.47000003</v>
      </c>
      <c r="I1909">
        <v>823451551.44000006</v>
      </c>
      <c r="J1909">
        <v>5.1534999999999997E-2</v>
      </c>
      <c r="K1909">
        <v>9.9399999999999992E-3</v>
      </c>
      <c r="M1909" t="s">
        <v>0</v>
      </c>
      <c r="N1909">
        <v>3250</v>
      </c>
      <c r="O1909">
        <v>30</v>
      </c>
      <c r="P1909">
        <v>22</v>
      </c>
      <c r="Q1909">
        <v>0</v>
      </c>
      <c r="R1909">
        <v>516205774</v>
      </c>
      <c r="S1909">
        <v>967866.8</v>
      </c>
      <c r="T1909">
        <v>512997070.91000003</v>
      </c>
      <c r="U1909">
        <v>514788596.33999997</v>
      </c>
      <c r="V1909">
        <v>5.0866000000000001E-2</v>
      </c>
      <c r="W1909">
        <v>1.0395E-2</v>
      </c>
      <c r="Y1909" t="s">
        <v>1</v>
      </c>
      <c r="Z1909">
        <v>2000</v>
      </c>
      <c r="AA1909">
        <v>36</v>
      </c>
      <c r="AB1909">
        <v>1</v>
      </c>
      <c r="AC1909">
        <v>0</v>
      </c>
      <c r="AD1909">
        <v>38192382</v>
      </c>
      <c r="AE1909">
        <v>91236.25</v>
      </c>
      <c r="AF1909">
        <v>38100715</v>
      </c>
      <c r="AG1909">
        <v>38100715</v>
      </c>
      <c r="AH1909">
        <v>1.35E-4</v>
      </c>
      <c r="AI1909">
        <v>1.35E-4</v>
      </c>
    </row>
    <row r="1910" spans="1:35" x14ac:dyDescent="0.35">
      <c r="A1910" t="s">
        <v>2</v>
      </c>
      <c r="B1910">
        <v>3750</v>
      </c>
      <c r="C1910">
        <v>36</v>
      </c>
      <c r="D1910">
        <v>54</v>
      </c>
      <c r="E1910">
        <v>0</v>
      </c>
      <c r="F1910">
        <v>744945104</v>
      </c>
      <c r="G1910">
        <v>1389531.26</v>
      </c>
      <c r="H1910">
        <v>739121540.00999999</v>
      </c>
      <c r="I1910">
        <v>742574995.49000001</v>
      </c>
      <c r="J1910">
        <v>6.9133E-2</v>
      </c>
      <c r="K1910">
        <v>1.5682000000000001E-2</v>
      </c>
      <c r="M1910" t="s">
        <v>3</v>
      </c>
      <c r="N1910">
        <v>5000</v>
      </c>
      <c r="O1910">
        <v>30</v>
      </c>
      <c r="P1910">
        <v>2</v>
      </c>
      <c r="Q1910">
        <v>0</v>
      </c>
      <c r="R1910">
        <v>25742888</v>
      </c>
      <c r="S1910">
        <v>36719.74</v>
      </c>
      <c r="T1910">
        <v>25686259.550000001</v>
      </c>
      <c r="U1910">
        <v>25706168.18</v>
      </c>
      <c r="V1910">
        <v>9.2409999999999992E-3</v>
      </c>
      <c r="W1910">
        <v>0</v>
      </c>
      <c r="Y1910" t="s">
        <v>3</v>
      </c>
      <c r="Z1910">
        <v>4750</v>
      </c>
      <c r="AA1910">
        <v>36</v>
      </c>
      <c r="AB1910">
        <v>1</v>
      </c>
      <c r="AC1910">
        <v>0</v>
      </c>
      <c r="AD1910">
        <v>19477473</v>
      </c>
      <c r="AE1910">
        <v>29210.51</v>
      </c>
      <c r="AF1910">
        <v>19448053</v>
      </c>
      <c r="AG1910">
        <v>19448053</v>
      </c>
      <c r="AH1910">
        <v>1.2899999999999999E-4</v>
      </c>
      <c r="AI1910">
        <v>1.2899999999999999E-4</v>
      </c>
    </row>
    <row r="1911" spans="1:35" x14ac:dyDescent="0.35">
      <c r="A1911" t="s">
        <v>2</v>
      </c>
      <c r="B1911">
        <v>4000</v>
      </c>
      <c r="C1911">
        <v>36</v>
      </c>
      <c r="D1911">
        <v>50</v>
      </c>
      <c r="E1911">
        <v>0</v>
      </c>
      <c r="F1911">
        <v>868648444</v>
      </c>
      <c r="G1911">
        <v>1569997.02</v>
      </c>
      <c r="H1911">
        <v>860705334.71000004</v>
      </c>
      <c r="I1911">
        <v>864457776.36000001</v>
      </c>
      <c r="J1911">
        <v>8.4574999999999997E-2</v>
      </c>
      <c r="K1911">
        <v>3.5609000000000002E-2</v>
      </c>
      <c r="M1911" t="s">
        <v>2</v>
      </c>
      <c r="N1911">
        <v>7250</v>
      </c>
      <c r="O1911">
        <v>54</v>
      </c>
      <c r="P1911">
        <v>1</v>
      </c>
      <c r="Q1911">
        <v>0</v>
      </c>
      <c r="R1911">
        <v>6658866</v>
      </c>
      <c r="S1911">
        <v>7454.92</v>
      </c>
      <c r="T1911">
        <v>6590307.6500000004</v>
      </c>
      <c r="U1911">
        <v>6607017.54</v>
      </c>
      <c r="V1911">
        <v>0.104724</v>
      </c>
      <c r="W1911">
        <v>7.7132999999999993E-2</v>
      </c>
      <c r="Y1911" t="s">
        <v>0</v>
      </c>
      <c r="Z1911">
        <v>2000</v>
      </c>
      <c r="AA1911">
        <v>36</v>
      </c>
      <c r="AB1911">
        <v>1</v>
      </c>
      <c r="AC1911">
        <v>0</v>
      </c>
      <c r="AD1911">
        <v>19628374</v>
      </c>
      <c r="AE1911">
        <v>45017.19</v>
      </c>
      <c r="AF1911">
        <v>19583357</v>
      </c>
      <c r="AG1911">
        <v>19583357</v>
      </c>
      <c r="AH1911">
        <v>0</v>
      </c>
      <c r="AI1911">
        <v>0</v>
      </c>
    </row>
    <row r="1912" spans="1:35" x14ac:dyDescent="0.35">
      <c r="A1912" t="s">
        <v>2</v>
      </c>
      <c r="B1912">
        <v>4500</v>
      </c>
      <c r="C1912">
        <v>36</v>
      </c>
      <c r="D1912">
        <v>56</v>
      </c>
      <c r="E1912">
        <v>0</v>
      </c>
      <c r="F1912">
        <v>1052251705</v>
      </c>
      <c r="G1912">
        <v>1720726.92</v>
      </c>
      <c r="H1912">
        <v>1044263875.87</v>
      </c>
      <c r="I1912">
        <v>1048950040.52</v>
      </c>
      <c r="J1912">
        <v>6.9175E-2</v>
      </c>
      <c r="K1912">
        <v>1.7881000000000001E-2</v>
      </c>
      <c r="M1912" t="s">
        <v>2</v>
      </c>
      <c r="N1912">
        <v>2000</v>
      </c>
      <c r="O1912">
        <v>96</v>
      </c>
      <c r="P1912">
        <v>1</v>
      </c>
      <c r="Q1912">
        <v>0</v>
      </c>
      <c r="R1912">
        <v>12141782</v>
      </c>
      <c r="S1912">
        <v>36479.85</v>
      </c>
      <c r="T1912">
        <v>11906368.619999999</v>
      </c>
      <c r="U1912">
        <v>12001941.9</v>
      </c>
      <c r="V1912">
        <v>0.17982600000000001</v>
      </c>
      <c r="W1912">
        <v>9.7503999999999993E-2</v>
      </c>
      <c r="Y1912" t="s">
        <v>2</v>
      </c>
      <c r="Z1912">
        <v>7250</v>
      </c>
      <c r="AA1912">
        <v>54</v>
      </c>
      <c r="AB1912">
        <v>1</v>
      </c>
      <c r="AC1912">
        <v>0</v>
      </c>
      <c r="AD1912">
        <v>6617988</v>
      </c>
      <c r="AE1912">
        <v>7514.27</v>
      </c>
      <c r="AF1912">
        <v>6617988</v>
      </c>
      <c r="AG1912">
        <v>6617988</v>
      </c>
      <c r="AH1912">
        <v>-1.3710999999999999E-2</v>
      </c>
      <c r="AI1912">
        <v>-1.3710999999999999E-2</v>
      </c>
    </row>
    <row r="1913" spans="1:35" x14ac:dyDescent="0.35">
      <c r="A1913" t="s">
        <v>1</v>
      </c>
      <c r="B1913">
        <v>9000</v>
      </c>
      <c r="C1913">
        <v>36</v>
      </c>
      <c r="D1913">
        <v>1</v>
      </c>
      <c r="E1913">
        <v>0</v>
      </c>
      <c r="F1913">
        <v>24368260</v>
      </c>
      <c r="G1913">
        <v>18651.009999999998</v>
      </c>
      <c r="H1913">
        <v>22537248.449999999</v>
      </c>
      <c r="I1913">
        <v>24349479.300000001</v>
      </c>
      <c r="J1913">
        <v>0.60442600000000002</v>
      </c>
      <c r="K1913">
        <v>6.3999999999999997E-5</v>
      </c>
      <c r="M1913" t="s">
        <v>0</v>
      </c>
      <c r="N1913">
        <v>2500</v>
      </c>
      <c r="O1913">
        <v>30</v>
      </c>
      <c r="P1913">
        <v>2</v>
      </c>
      <c r="Q1913">
        <v>0</v>
      </c>
      <c r="R1913">
        <v>60961369</v>
      </c>
      <c r="S1913">
        <v>129720.46</v>
      </c>
      <c r="T1913">
        <v>60643501.280000001</v>
      </c>
      <c r="U1913">
        <v>60831243.259999998</v>
      </c>
      <c r="V1913">
        <v>3.6414000000000002E-2</v>
      </c>
      <c r="W1913">
        <v>8.0000000000000007E-5</v>
      </c>
      <c r="Y1913" t="s">
        <v>1</v>
      </c>
      <c r="Z1913">
        <v>4500</v>
      </c>
      <c r="AA1913">
        <v>30</v>
      </c>
      <c r="AB1913">
        <v>510</v>
      </c>
      <c r="AC1913">
        <v>0</v>
      </c>
      <c r="AD1913">
        <v>16918284640</v>
      </c>
      <c r="AE1913">
        <v>25973215.829999998</v>
      </c>
      <c r="AF1913">
        <v>16819931160</v>
      </c>
      <c r="AG1913">
        <v>16860385373.809999</v>
      </c>
      <c r="AH1913">
        <v>5.0147999999999998E-2</v>
      </c>
      <c r="AI1913">
        <v>2.2411E-2</v>
      </c>
    </row>
    <row r="1914" spans="1:35" x14ac:dyDescent="0.35">
      <c r="A1914" t="s">
        <v>1</v>
      </c>
      <c r="B1914">
        <v>8000</v>
      </c>
      <c r="C1914">
        <v>42</v>
      </c>
      <c r="D1914">
        <v>6</v>
      </c>
      <c r="E1914">
        <v>0</v>
      </c>
      <c r="F1914">
        <v>124986866</v>
      </c>
      <c r="G1914">
        <v>110331.69</v>
      </c>
      <c r="H1914">
        <v>116365025.3</v>
      </c>
      <c r="I1914">
        <v>116728682.72</v>
      </c>
      <c r="J1914">
        <v>0.571021</v>
      </c>
      <c r="K1914">
        <v>0.55467</v>
      </c>
      <c r="M1914" t="s">
        <v>0</v>
      </c>
      <c r="N1914">
        <v>9000</v>
      </c>
      <c r="O1914">
        <v>36</v>
      </c>
      <c r="P1914">
        <v>1</v>
      </c>
      <c r="Q1914">
        <v>0</v>
      </c>
      <c r="R1914">
        <v>19768237</v>
      </c>
      <c r="S1914">
        <v>14900.04</v>
      </c>
      <c r="T1914">
        <v>19614561.260000002</v>
      </c>
      <c r="U1914">
        <v>19753213.41</v>
      </c>
      <c r="V1914">
        <v>8.1063999999999997E-2</v>
      </c>
      <c r="W1914">
        <v>7.4999999999999993E-5</v>
      </c>
      <c r="Y1914" t="s">
        <v>0</v>
      </c>
      <c r="Z1914">
        <v>2500</v>
      </c>
      <c r="AA1914">
        <v>30</v>
      </c>
      <c r="AB1914">
        <v>4</v>
      </c>
      <c r="AC1914">
        <v>0</v>
      </c>
      <c r="AD1914">
        <v>124216521</v>
      </c>
      <c r="AE1914">
        <v>264053.74</v>
      </c>
      <c r="AF1914">
        <v>123871945</v>
      </c>
      <c r="AG1914">
        <v>123871945</v>
      </c>
      <c r="AH1914">
        <v>7.7510000000000001E-3</v>
      </c>
      <c r="AI1914">
        <v>7.7510000000000001E-3</v>
      </c>
    </row>
    <row r="1915" spans="1:35" x14ac:dyDescent="0.35">
      <c r="A1915" t="s">
        <v>1</v>
      </c>
      <c r="B1915">
        <v>8250</v>
      </c>
      <c r="C1915">
        <v>42</v>
      </c>
      <c r="D1915">
        <v>1</v>
      </c>
      <c r="E1915">
        <v>0</v>
      </c>
      <c r="F1915">
        <v>20418166</v>
      </c>
      <c r="G1915">
        <v>17627.28</v>
      </c>
      <c r="H1915">
        <v>18261929.640000001</v>
      </c>
      <c r="I1915">
        <v>18269245.91</v>
      </c>
      <c r="J1915">
        <v>0.73491399999999996</v>
      </c>
      <c r="K1915">
        <v>0.73363800000000001</v>
      </c>
      <c r="M1915" t="s">
        <v>1</v>
      </c>
      <c r="N1915">
        <v>9000</v>
      </c>
      <c r="O1915">
        <v>30</v>
      </c>
      <c r="P1915">
        <v>1</v>
      </c>
      <c r="Q1915">
        <v>0</v>
      </c>
      <c r="R1915">
        <v>36856861</v>
      </c>
      <c r="S1915">
        <v>26547.360000000001</v>
      </c>
      <c r="T1915">
        <v>36132715.939999998</v>
      </c>
      <c r="U1915">
        <v>36826889.640000001</v>
      </c>
      <c r="V1915">
        <v>0.20491300000000001</v>
      </c>
      <c r="W1915">
        <v>1.114E-3</v>
      </c>
      <c r="Y1915" t="s">
        <v>0</v>
      </c>
      <c r="Z1915">
        <v>3250</v>
      </c>
      <c r="AA1915">
        <v>30</v>
      </c>
      <c r="AB1915">
        <v>17</v>
      </c>
      <c r="AC1915">
        <v>0</v>
      </c>
      <c r="AD1915">
        <v>337752444</v>
      </c>
      <c r="AE1915">
        <v>636613.21</v>
      </c>
      <c r="AF1915">
        <v>337201986</v>
      </c>
      <c r="AG1915">
        <v>337201986</v>
      </c>
      <c r="AH1915">
        <v>-3.065E-3</v>
      </c>
      <c r="AI1915">
        <v>-3.065E-3</v>
      </c>
    </row>
    <row r="1916" spans="1:35" x14ac:dyDescent="0.35">
      <c r="A1916" t="s">
        <v>1</v>
      </c>
      <c r="B1916">
        <v>8250</v>
      </c>
      <c r="C1916">
        <v>36</v>
      </c>
      <c r="D1916">
        <v>6</v>
      </c>
      <c r="E1916">
        <v>0</v>
      </c>
      <c r="F1916">
        <v>127680161</v>
      </c>
      <c r="G1916">
        <v>109392.88</v>
      </c>
      <c r="H1916">
        <v>120136737.69</v>
      </c>
      <c r="I1916">
        <v>120687353</v>
      </c>
      <c r="J1916">
        <v>0.51317599999999997</v>
      </c>
      <c r="K1916">
        <v>0.48574099999999998</v>
      </c>
      <c r="M1916" t="s">
        <v>0</v>
      </c>
      <c r="N1916">
        <v>2250</v>
      </c>
      <c r="O1916">
        <v>30</v>
      </c>
      <c r="P1916">
        <v>2</v>
      </c>
      <c r="Q1916">
        <v>0</v>
      </c>
      <c r="R1916">
        <v>45029411</v>
      </c>
      <c r="S1916">
        <v>96814.88</v>
      </c>
      <c r="T1916">
        <v>44833620.130000003</v>
      </c>
      <c r="U1916">
        <v>44932570.740000002</v>
      </c>
      <c r="V1916">
        <v>2.606E-2</v>
      </c>
      <c r="W1916">
        <v>6.9999999999999999E-6</v>
      </c>
      <c r="Y1916" t="s">
        <v>0</v>
      </c>
      <c r="Z1916">
        <v>2750</v>
      </c>
      <c r="AA1916">
        <v>30</v>
      </c>
      <c r="AB1916">
        <v>6</v>
      </c>
      <c r="AC1916">
        <v>0</v>
      </c>
      <c r="AD1916">
        <v>218750138</v>
      </c>
      <c r="AE1916">
        <v>469817.28</v>
      </c>
      <c r="AF1916">
        <v>218210389</v>
      </c>
      <c r="AG1916">
        <v>218210389</v>
      </c>
      <c r="AH1916">
        <v>3.8300000000000001E-3</v>
      </c>
      <c r="AI1916">
        <v>3.8300000000000001E-3</v>
      </c>
    </row>
    <row r="1917" spans="1:35" x14ac:dyDescent="0.35">
      <c r="A1917" t="s">
        <v>1</v>
      </c>
      <c r="B1917">
        <v>2250</v>
      </c>
      <c r="C1917">
        <v>36</v>
      </c>
      <c r="D1917">
        <v>20</v>
      </c>
      <c r="E1917">
        <v>0</v>
      </c>
      <c r="F1917">
        <v>680574407</v>
      </c>
      <c r="G1917">
        <v>1605842.17</v>
      </c>
      <c r="H1917">
        <v>675982703.57000005</v>
      </c>
      <c r="I1917">
        <v>678815837.52999997</v>
      </c>
      <c r="J1917">
        <v>5.1395000000000003E-2</v>
      </c>
      <c r="K1917">
        <v>2.6900000000000001E-3</v>
      </c>
      <c r="M1917" t="s">
        <v>1</v>
      </c>
      <c r="N1917">
        <v>4000</v>
      </c>
      <c r="O1917">
        <v>24</v>
      </c>
      <c r="P1917">
        <v>60</v>
      </c>
      <c r="Q1917">
        <v>0</v>
      </c>
      <c r="R1917">
        <v>2107836720</v>
      </c>
      <c r="S1917">
        <v>3452768.12</v>
      </c>
      <c r="T1917">
        <v>2059528862.4200001</v>
      </c>
      <c r="U1917">
        <v>2071565132.0599999</v>
      </c>
      <c r="V1917">
        <v>0.227496</v>
      </c>
      <c r="W1917">
        <v>0.17164099999999999</v>
      </c>
      <c r="Y1917" t="s">
        <v>2</v>
      </c>
      <c r="Z1917">
        <v>3250</v>
      </c>
      <c r="AA1917">
        <v>30</v>
      </c>
      <c r="AB1917">
        <v>31</v>
      </c>
      <c r="AC1917">
        <v>0</v>
      </c>
      <c r="AD1917">
        <v>536320118</v>
      </c>
      <c r="AE1917">
        <v>1022379.09</v>
      </c>
      <c r="AF1917">
        <v>535283572</v>
      </c>
      <c r="AG1917">
        <v>535283572</v>
      </c>
      <c r="AH1917">
        <v>3.1700000000000001E-4</v>
      </c>
      <c r="AI1917">
        <v>3.1700000000000001E-4</v>
      </c>
    </row>
    <row r="1918" spans="1:35" x14ac:dyDescent="0.35">
      <c r="A1918" t="s">
        <v>2</v>
      </c>
      <c r="B1918">
        <v>2500</v>
      </c>
      <c r="C1918">
        <v>36</v>
      </c>
      <c r="D1918">
        <v>8</v>
      </c>
      <c r="E1918">
        <v>0</v>
      </c>
      <c r="F1918">
        <v>128194626</v>
      </c>
      <c r="G1918">
        <v>291183.86</v>
      </c>
      <c r="H1918">
        <v>126912219.56</v>
      </c>
      <c r="I1918">
        <v>127512597.72</v>
      </c>
      <c r="J1918">
        <v>8.8940000000000005E-2</v>
      </c>
      <c r="K1918">
        <v>3.5978999999999997E-2</v>
      </c>
      <c r="M1918" t="s">
        <v>1</v>
      </c>
      <c r="N1918">
        <v>4750</v>
      </c>
      <c r="O1918">
        <v>24</v>
      </c>
      <c r="P1918">
        <v>331</v>
      </c>
      <c r="Q1918">
        <v>0</v>
      </c>
      <c r="R1918">
        <v>11038992862</v>
      </c>
      <c r="S1918">
        <v>15794742.91</v>
      </c>
      <c r="T1918">
        <v>10933884539.129999</v>
      </c>
      <c r="U1918">
        <v>10985921958.91</v>
      </c>
      <c r="V1918">
        <v>9.2882999999999993E-2</v>
      </c>
      <c r="W1918">
        <v>3.9777E-2</v>
      </c>
      <c r="Y1918" t="s">
        <v>1</v>
      </c>
      <c r="Z1918">
        <v>3750</v>
      </c>
      <c r="AA1918">
        <v>30</v>
      </c>
      <c r="AB1918">
        <v>78</v>
      </c>
      <c r="AC1918">
        <v>0</v>
      </c>
      <c r="AD1918">
        <v>2641221052</v>
      </c>
      <c r="AE1918">
        <v>4681140.8</v>
      </c>
      <c r="AF1918">
        <v>2637356287</v>
      </c>
      <c r="AG1918">
        <v>2637356287</v>
      </c>
      <c r="AH1918">
        <v>-3.715E-3</v>
      </c>
      <c r="AI1918">
        <v>-3.715E-3</v>
      </c>
    </row>
    <row r="1919" spans="1:35" x14ac:dyDescent="0.35">
      <c r="A1919" t="s">
        <v>2</v>
      </c>
      <c r="B1919">
        <v>3000</v>
      </c>
      <c r="C1919">
        <v>36</v>
      </c>
      <c r="D1919">
        <v>33</v>
      </c>
      <c r="E1919">
        <v>0</v>
      </c>
      <c r="F1919">
        <v>604595113</v>
      </c>
      <c r="G1919">
        <v>1272720.69</v>
      </c>
      <c r="H1919">
        <v>599358693.02999997</v>
      </c>
      <c r="I1919">
        <v>601402251.90999997</v>
      </c>
      <c r="J1919">
        <v>7.5896000000000005E-2</v>
      </c>
      <c r="K1919">
        <v>3.7451999999999999E-2</v>
      </c>
      <c r="M1919" t="s">
        <v>1</v>
      </c>
      <c r="N1919">
        <v>2250</v>
      </c>
      <c r="O1919">
        <v>24</v>
      </c>
      <c r="P1919">
        <v>19</v>
      </c>
      <c r="Q1919">
        <v>0</v>
      </c>
      <c r="R1919">
        <v>748008667</v>
      </c>
      <c r="S1919">
        <v>1713648.76</v>
      </c>
      <c r="T1919">
        <v>743656896.57000005</v>
      </c>
      <c r="U1919">
        <v>746293338.96000004</v>
      </c>
      <c r="V1919">
        <v>4.1510999999999999E-2</v>
      </c>
      <c r="W1919">
        <v>2.6999999999999999E-5</v>
      </c>
      <c r="Y1919" t="s">
        <v>1</v>
      </c>
      <c r="Z1919">
        <v>3500</v>
      </c>
      <c r="AA1919">
        <v>30</v>
      </c>
      <c r="AB1919">
        <v>43</v>
      </c>
      <c r="AC1919">
        <v>0</v>
      </c>
      <c r="AD1919">
        <v>1212153318</v>
      </c>
      <c r="AE1919">
        <v>2288750.96</v>
      </c>
      <c r="AF1919">
        <v>1208464057</v>
      </c>
      <c r="AG1919">
        <v>1208464057</v>
      </c>
      <c r="AH1919">
        <v>1.3776999999999999E-2</v>
      </c>
      <c r="AI1919">
        <v>1.3776999999999999E-2</v>
      </c>
    </row>
    <row r="1920" spans="1:35" x14ac:dyDescent="0.35">
      <c r="A1920" t="s">
        <v>3</v>
      </c>
      <c r="B1920">
        <v>4000</v>
      </c>
      <c r="C1920">
        <v>36</v>
      </c>
      <c r="D1920">
        <v>1</v>
      </c>
      <c r="E1920">
        <v>0</v>
      </c>
      <c r="F1920">
        <v>3124807</v>
      </c>
      <c r="G1920">
        <v>5370.76</v>
      </c>
      <c r="H1920">
        <v>3112670.91</v>
      </c>
      <c r="I1920">
        <v>3119434.31</v>
      </c>
      <c r="J1920">
        <v>2.5673000000000001E-2</v>
      </c>
      <c r="K1920">
        <v>6.9999999999999999E-6</v>
      </c>
      <c r="M1920" t="s">
        <v>2</v>
      </c>
      <c r="N1920">
        <v>2750</v>
      </c>
      <c r="O1920">
        <v>24</v>
      </c>
      <c r="P1920">
        <v>17</v>
      </c>
      <c r="Q1920">
        <v>0</v>
      </c>
      <c r="R1920">
        <v>297637632</v>
      </c>
      <c r="S1920">
        <v>614518.98</v>
      </c>
      <c r="T1920">
        <v>295160333.56999999</v>
      </c>
      <c r="U1920">
        <v>296068194.98000002</v>
      </c>
      <c r="V1920">
        <v>7.2570999999999997E-2</v>
      </c>
      <c r="W1920">
        <v>3.7828000000000001E-2</v>
      </c>
      <c r="Y1920" t="s">
        <v>0</v>
      </c>
      <c r="Z1920">
        <v>3500</v>
      </c>
      <c r="AA1920">
        <v>30</v>
      </c>
      <c r="AB1920">
        <v>25</v>
      </c>
      <c r="AC1920">
        <v>0</v>
      </c>
      <c r="AD1920">
        <v>653466621</v>
      </c>
      <c r="AE1920">
        <v>1182386.06</v>
      </c>
      <c r="AF1920">
        <v>652248659</v>
      </c>
      <c r="AG1920">
        <v>652248659</v>
      </c>
      <c r="AH1920">
        <v>6.5300000000000004E-4</v>
      </c>
      <c r="AI1920">
        <v>6.5300000000000004E-4</v>
      </c>
    </row>
    <row r="1921" spans="1:35" x14ac:dyDescent="0.35">
      <c r="A1921" t="s">
        <v>3</v>
      </c>
      <c r="B1921">
        <v>5500</v>
      </c>
      <c r="C1921">
        <v>36</v>
      </c>
      <c r="D1921">
        <v>6</v>
      </c>
      <c r="E1921">
        <v>0</v>
      </c>
      <c r="F1921">
        <v>149085866</v>
      </c>
      <c r="G1921">
        <v>197139.33</v>
      </c>
      <c r="H1921">
        <v>148126148.77000001</v>
      </c>
      <c r="I1921">
        <v>148774071.44999999</v>
      </c>
      <c r="J1921">
        <v>5.9683E-2</v>
      </c>
      <c r="K1921">
        <v>9.1900000000000003E-3</v>
      </c>
      <c r="M1921" t="s">
        <v>0</v>
      </c>
      <c r="N1921">
        <v>3500</v>
      </c>
      <c r="O1921">
        <v>24</v>
      </c>
      <c r="P1921">
        <v>8</v>
      </c>
      <c r="Q1921">
        <v>0</v>
      </c>
      <c r="R1921">
        <v>202747025</v>
      </c>
      <c r="S1921">
        <v>359219.49</v>
      </c>
      <c r="T1921">
        <v>201369986.97</v>
      </c>
      <c r="U1921">
        <v>202223857.43000001</v>
      </c>
      <c r="V1921">
        <v>5.8605999999999998E-2</v>
      </c>
      <c r="W1921">
        <v>9.6609999999999994E-3</v>
      </c>
      <c r="Y1921" t="s">
        <v>0</v>
      </c>
      <c r="Z1921">
        <v>3750</v>
      </c>
      <c r="AA1921">
        <v>30</v>
      </c>
      <c r="AB1921">
        <v>62</v>
      </c>
      <c r="AC1921">
        <v>0</v>
      </c>
      <c r="AD1921">
        <v>1989334317</v>
      </c>
      <c r="AE1921">
        <v>3430127.56</v>
      </c>
      <c r="AF1921">
        <v>1986067581</v>
      </c>
      <c r="AG1921">
        <v>1986067581</v>
      </c>
      <c r="AH1921">
        <v>-9.859999999999999E-4</v>
      </c>
      <c r="AI1921">
        <v>-9.859999999999999E-4</v>
      </c>
    </row>
    <row r="1922" spans="1:35" x14ac:dyDescent="0.35">
      <c r="A1922" t="s">
        <v>1</v>
      </c>
      <c r="B1922">
        <v>2000</v>
      </c>
      <c r="C1922">
        <v>36</v>
      </c>
      <c r="D1922">
        <v>1</v>
      </c>
      <c r="E1922">
        <v>0</v>
      </c>
      <c r="F1922">
        <v>38100715</v>
      </c>
      <c r="G1922">
        <v>91368.27</v>
      </c>
      <c r="H1922">
        <v>37946832.479999997</v>
      </c>
      <c r="I1922">
        <v>38009307.57</v>
      </c>
      <c r="J1922">
        <v>1.9512000000000002E-2</v>
      </c>
      <c r="K1922">
        <v>1.2E-5</v>
      </c>
      <c r="M1922" t="s">
        <v>1</v>
      </c>
      <c r="N1922">
        <v>3500</v>
      </c>
      <c r="O1922">
        <v>24</v>
      </c>
      <c r="P1922">
        <v>25</v>
      </c>
      <c r="Q1922">
        <v>0</v>
      </c>
      <c r="R1922">
        <v>797429196</v>
      </c>
      <c r="S1922">
        <v>1485800.46</v>
      </c>
      <c r="T1922">
        <v>784575714.82000005</v>
      </c>
      <c r="U1922">
        <v>789107962.09000003</v>
      </c>
      <c r="V1922">
        <v>0.15826999999999999</v>
      </c>
      <c r="W1922">
        <v>9.8149E-2</v>
      </c>
      <c r="Y1922" t="s">
        <v>2</v>
      </c>
      <c r="Z1922">
        <v>3500</v>
      </c>
      <c r="AA1922">
        <v>30</v>
      </c>
      <c r="AB1922">
        <v>22</v>
      </c>
      <c r="AC1922">
        <v>0</v>
      </c>
      <c r="AD1922">
        <v>294303215</v>
      </c>
      <c r="AE1922">
        <v>555035.73</v>
      </c>
      <c r="AF1922">
        <v>294000836</v>
      </c>
      <c r="AG1922">
        <v>294000836</v>
      </c>
      <c r="AH1922">
        <v>-1.0351000000000001E-2</v>
      </c>
      <c r="AI1922">
        <v>-1.0351000000000001E-2</v>
      </c>
    </row>
    <row r="1923" spans="1:35" x14ac:dyDescent="0.35">
      <c r="A1923" t="s">
        <v>1</v>
      </c>
      <c r="B1923">
        <v>2500</v>
      </c>
      <c r="C1923">
        <v>36</v>
      </c>
      <c r="D1923">
        <v>12</v>
      </c>
      <c r="E1923">
        <v>0</v>
      </c>
      <c r="F1923">
        <v>391276890</v>
      </c>
      <c r="G1923">
        <v>893314.79</v>
      </c>
      <c r="H1923">
        <v>379015123.85000002</v>
      </c>
      <c r="I1923">
        <v>381038085.82999998</v>
      </c>
      <c r="J1923">
        <v>0.29799999999999999</v>
      </c>
      <c r="K1923">
        <v>0.25180599999999997</v>
      </c>
      <c r="M1923" t="s">
        <v>0</v>
      </c>
      <c r="N1923">
        <v>3250</v>
      </c>
      <c r="O1923">
        <v>24</v>
      </c>
      <c r="P1923">
        <v>4</v>
      </c>
      <c r="Q1923">
        <v>0</v>
      </c>
      <c r="R1923">
        <v>86817698</v>
      </c>
      <c r="S1923">
        <v>158442.37</v>
      </c>
      <c r="T1923">
        <v>86305974.430000007</v>
      </c>
      <c r="U1923">
        <v>86649846.370000005</v>
      </c>
      <c r="V1923">
        <v>4.7752999999999997E-2</v>
      </c>
      <c r="W1923">
        <v>1.2999999999999999E-3</v>
      </c>
      <c r="Y1923" t="s">
        <v>0</v>
      </c>
      <c r="Z1923">
        <v>4250</v>
      </c>
      <c r="AA1923">
        <v>30</v>
      </c>
      <c r="AB1923">
        <v>922</v>
      </c>
      <c r="AC1923">
        <v>0</v>
      </c>
      <c r="AD1923">
        <v>25970605212</v>
      </c>
      <c r="AE1923">
        <v>41048875.140000001</v>
      </c>
      <c r="AF1923">
        <v>25883393306</v>
      </c>
      <c r="AG1923">
        <v>25906004891.360001</v>
      </c>
      <c r="AH1923">
        <v>2.1122999999999999E-2</v>
      </c>
      <c r="AI1923">
        <v>1.0828000000000001E-2</v>
      </c>
    </row>
    <row r="1924" spans="1:35" x14ac:dyDescent="0.35">
      <c r="A1924" t="s">
        <v>2</v>
      </c>
      <c r="B1924">
        <v>2250</v>
      </c>
      <c r="C1924">
        <v>36</v>
      </c>
      <c r="D1924">
        <v>2</v>
      </c>
      <c r="E1924">
        <v>0</v>
      </c>
      <c r="F1924">
        <v>26633241</v>
      </c>
      <c r="G1924">
        <v>63280.13</v>
      </c>
      <c r="H1924">
        <v>26414500.949999999</v>
      </c>
      <c r="I1924">
        <v>26569924.27</v>
      </c>
      <c r="J1924">
        <v>6.7838999999999997E-2</v>
      </c>
      <c r="K1924">
        <v>1.5999999999999999E-5</v>
      </c>
      <c r="M1924" t="s">
        <v>2</v>
      </c>
      <c r="N1924">
        <v>3250</v>
      </c>
      <c r="O1924">
        <v>24</v>
      </c>
      <c r="P1924">
        <v>18</v>
      </c>
      <c r="Q1924">
        <v>0</v>
      </c>
      <c r="R1924">
        <v>323293531</v>
      </c>
      <c r="S1924">
        <v>613686.76</v>
      </c>
      <c r="T1924">
        <v>317691296.32999998</v>
      </c>
      <c r="U1924">
        <v>319218840.33999997</v>
      </c>
      <c r="V1924">
        <v>0.17023099999999999</v>
      </c>
      <c r="W1924">
        <v>0.12116499999999999</v>
      </c>
      <c r="Y1924" t="s">
        <v>2</v>
      </c>
      <c r="Z1924">
        <v>4000</v>
      </c>
      <c r="AA1924">
        <v>30</v>
      </c>
      <c r="AB1924">
        <v>23</v>
      </c>
      <c r="AC1924">
        <v>0</v>
      </c>
      <c r="AD1924">
        <v>344528090</v>
      </c>
      <c r="AE1924">
        <v>590600.53</v>
      </c>
      <c r="AF1924">
        <v>343853181</v>
      </c>
      <c r="AG1924">
        <v>343853181</v>
      </c>
      <c r="AH1924">
        <v>2.9329999999999998E-3</v>
      </c>
      <c r="AI1924">
        <v>2.9329999999999998E-3</v>
      </c>
    </row>
    <row r="1925" spans="1:35" x14ac:dyDescent="0.35">
      <c r="A1925" t="s">
        <v>3</v>
      </c>
      <c r="B1925">
        <v>4750</v>
      </c>
      <c r="C1925">
        <v>36</v>
      </c>
      <c r="D1925">
        <v>1</v>
      </c>
      <c r="E1925">
        <v>0</v>
      </c>
      <c r="F1925">
        <v>19448053</v>
      </c>
      <c r="G1925">
        <v>29325.82</v>
      </c>
      <c r="H1925">
        <v>19304382.699999999</v>
      </c>
      <c r="I1925">
        <v>19418727.100000001</v>
      </c>
      <c r="J1925">
        <v>6.8316000000000002E-2</v>
      </c>
      <c r="K1925">
        <v>0</v>
      </c>
      <c r="M1925" t="s">
        <v>0</v>
      </c>
      <c r="N1925">
        <v>3750</v>
      </c>
      <c r="O1925">
        <v>24</v>
      </c>
      <c r="P1925">
        <v>26</v>
      </c>
      <c r="Q1925">
        <v>0</v>
      </c>
      <c r="R1925">
        <v>847608151</v>
      </c>
      <c r="S1925">
        <v>1427539.34</v>
      </c>
      <c r="T1925">
        <v>843190362.83000004</v>
      </c>
      <c r="U1925">
        <v>845939241.19000006</v>
      </c>
      <c r="V1925">
        <v>4.1522999999999997E-2</v>
      </c>
      <c r="W1925">
        <v>3.4120000000000001E-3</v>
      </c>
      <c r="Y1925" t="s">
        <v>2</v>
      </c>
      <c r="Z1925">
        <v>3750</v>
      </c>
      <c r="AA1925">
        <v>30</v>
      </c>
      <c r="AB1925">
        <v>26</v>
      </c>
      <c r="AC1925">
        <v>0</v>
      </c>
      <c r="AD1925">
        <v>456061484</v>
      </c>
      <c r="AE1925">
        <v>820006.97</v>
      </c>
      <c r="AF1925">
        <v>454975133</v>
      </c>
      <c r="AG1925">
        <v>454975133</v>
      </c>
      <c r="AH1925">
        <v>6.986E-3</v>
      </c>
      <c r="AI1925">
        <v>6.986E-3</v>
      </c>
    </row>
    <row r="1926" spans="1:35" x14ac:dyDescent="0.35">
      <c r="A1926" t="s">
        <v>0</v>
      </c>
      <c r="B1926">
        <v>2000</v>
      </c>
      <c r="C1926">
        <v>36</v>
      </c>
      <c r="D1926">
        <v>1</v>
      </c>
      <c r="E1926">
        <v>0</v>
      </c>
      <c r="F1926">
        <v>19583357</v>
      </c>
      <c r="G1926">
        <v>45092.22</v>
      </c>
      <c r="H1926">
        <v>19503715.219999999</v>
      </c>
      <c r="I1926">
        <v>19538257.16</v>
      </c>
      <c r="J1926">
        <v>2.0967E-2</v>
      </c>
      <c r="K1926">
        <v>5.0000000000000004E-6</v>
      </c>
      <c r="M1926" t="s">
        <v>0</v>
      </c>
      <c r="N1926">
        <v>4000</v>
      </c>
      <c r="O1926">
        <v>24</v>
      </c>
      <c r="P1926">
        <v>24</v>
      </c>
      <c r="Q1926">
        <v>0</v>
      </c>
      <c r="R1926">
        <v>757447215</v>
      </c>
      <c r="S1926">
        <v>1224926.6000000001</v>
      </c>
      <c r="T1926">
        <v>754881413.53999996</v>
      </c>
      <c r="U1926">
        <v>756182931.50999999</v>
      </c>
      <c r="V1926">
        <v>2.1037E-2</v>
      </c>
      <c r="W1926">
        <v>6.2299999999999996E-4</v>
      </c>
      <c r="Y1926" t="s">
        <v>2</v>
      </c>
      <c r="Z1926">
        <v>4500</v>
      </c>
      <c r="AA1926">
        <v>30</v>
      </c>
      <c r="AB1926">
        <v>38</v>
      </c>
      <c r="AC1926">
        <v>0</v>
      </c>
      <c r="AD1926">
        <v>721607624</v>
      </c>
      <c r="AE1926">
        <v>1124321.6299999999</v>
      </c>
      <c r="AF1926">
        <v>720488144</v>
      </c>
      <c r="AG1926">
        <v>720488144</v>
      </c>
      <c r="AH1926">
        <v>-8.1000000000000004E-5</v>
      </c>
      <c r="AI1926">
        <v>-8.1000000000000004E-5</v>
      </c>
    </row>
    <row r="1927" spans="1:35" x14ac:dyDescent="0.35">
      <c r="A1927" t="s">
        <v>3</v>
      </c>
      <c r="B1927">
        <v>5000</v>
      </c>
      <c r="C1927">
        <v>36</v>
      </c>
      <c r="D1927">
        <v>2</v>
      </c>
      <c r="E1927">
        <v>0</v>
      </c>
      <c r="F1927">
        <v>25631943</v>
      </c>
      <c r="G1927">
        <v>37172.769999999997</v>
      </c>
      <c r="H1927">
        <v>25560755.879999999</v>
      </c>
      <c r="I1927">
        <v>25594770.190000001</v>
      </c>
      <c r="J1927">
        <v>1.5809E-2</v>
      </c>
      <c r="K1927">
        <v>0</v>
      </c>
      <c r="M1927" t="s">
        <v>2</v>
      </c>
      <c r="N1927">
        <v>4000</v>
      </c>
      <c r="O1927">
        <v>24</v>
      </c>
      <c r="P1927">
        <v>16</v>
      </c>
      <c r="Q1927">
        <v>0</v>
      </c>
      <c r="R1927">
        <v>313187530</v>
      </c>
      <c r="S1927">
        <v>514763.18</v>
      </c>
      <c r="T1927">
        <v>310270712.14999998</v>
      </c>
      <c r="U1927">
        <v>310978194.18000001</v>
      </c>
      <c r="V1927">
        <v>8.8251999999999997E-2</v>
      </c>
      <c r="W1927">
        <v>6.3031000000000004E-2</v>
      </c>
      <c r="Y1927" t="s">
        <v>3</v>
      </c>
      <c r="Z1927">
        <v>5250</v>
      </c>
      <c r="AA1927">
        <v>30</v>
      </c>
      <c r="AB1927">
        <v>3</v>
      </c>
      <c r="AC1927">
        <v>0</v>
      </c>
      <c r="AD1927">
        <v>62063122</v>
      </c>
      <c r="AE1927">
        <v>84645.2</v>
      </c>
      <c r="AF1927">
        <v>61942685</v>
      </c>
      <c r="AG1927">
        <v>61942685</v>
      </c>
      <c r="AH1927">
        <v>6.8979999999999996E-3</v>
      </c>
      <c r="AI1927">
        <v>6.8979999999999996E-3</v>
      </c>
    </row>
    <row r="1928" spans="1:35" x14ac:dyDescent="0.35">
      <c r="A1928" t="s">
        <v>2</v>
      </c>
      <c r="B1928">
        <v>7250</v>
      </c>
      <c r="C1928">
        <v>54</v>
      </c>
      <c r="D1928">
        <v>1</v>
      </c>
      <c r="E1928">
        <v>0</v>
      </c>
      <c r="F1928">
        <v>6617988</v>
      </c>
      <c r="G1928">
        <v>7567.48</v>
      </c>
      <c r="H1928">
        <v>6560483.1600000001</v>
      </c>
      <c r="I1928">
        <v>6610079.04</v>
      </c>
      <c r="J1928">
        <v>8.6883000000000002E-2</v>
      </c>
      <c r="K1928">
        <v>6.1899999999999998E-4</v>
      </c>
      <c r="M1928" t="s">
        <v>1</v>
      </c>
      <c r="N1928">
        <v>4250</v>
      </c>
      <c r="O1928">
        <v>24</v>
      </c>
      <c r="P1928">
        <v>188</v>
      </c>
      <c r="Q1928">
        <v>0</v>
      </c>
      <c r="R1928">
        <v>5948666607</v>
      </c>
      <c r="S1928">
        <v>9260557.3900000006</v>
      </c>
      <c r="T1928">
        <v>5882526007.6099997</v>
      </c>
      <c r="U1928">
        <v>5903959847.7299995</v>
      </c>
      <c r="V1928">
        <v>0.10889600000000001</v>
      </c>
      <c r="W1928">
        <v>6.9207000000000005E-2</v>
      </c>
      <c r="Y1928" t="s">
        <v>3</v>
      </c>
      <c r="Z1928">
        <v>5500</v>
      </c>
      <c r="AA1928">
        <v>30</v>
      </c>
      <c r="AB1928">
        <v>7</v>
      </c>
      <c r="AC1928">
        <v>0</v>
      </c>
      <c r="AD1928">
        <v>219227807</v>
      </c>
      <c r="AE1928">
        <v>284072.46000000002</v>
      </c>
      <c r="AF1928">
        <v>218929045</v>
      </c>
      <c r="AG1928">
        <v>218929045</v>
      </c>
      <c r="AH1928">
        <v>8.0400000000000003E-4</v>
      </c>
      <c r="AI1928">
        <v>8.0400000000000003E-4</v>
      </c>
    </row>
    <row r="1929" spans="1:35" x14ac:dyDescent="0.35">
      <c r="A1929" t="s">
        <v>0</v>
      </c>
      <c r="B1929">
        <v>9000</v>
      </c>
      <c r="C1929">
        <v>36</v>
      </c>
      <c r="D1929">
        <v>1</v>
      </c>
      <c r="E1929">
        <v>0</v>
      </c>
      <c r="F1929">
        <v>13199854</v>
      </c>
      <c r="G1929">
        <v>10095.469999999999</v>
      </c>
      <c r="H1929">
        <v>13158381.9</v>
      </c>
      <c r="I1929">
        <v>13185324.939999999</v>
      </c>
      <c r="J1929">
        <v>2.8154999999999999E-2</v>
      </c>
      <c r="K1929">
        <v>4.0229999999999997E-3</v>
      </c>
      <c r="M1929" t="s">
        <v>1</v>
      </c>
      <c r="N1929">
        <v>3750</v>
      </c>
      <c r="O1929">
        <v>24</v>
      </c>
      <c r="P1929">
        <v>42</v>
      </c>
      <c r="Q1929">
        <v>0</v>
      </c>
      <c r="R1929">
        <v>1368158682</v>
      </c>
      <c r="S1929">
        <v>2386288.88</v>
      </c>
      <c r="T1929">
        <v>1344644965.9300001</v>
      </c>
      <c r="U1929">
        <v>1351523047.97</v>
      </c>
      <c r="V1929">
        <v>0.170351</v>
      </c>
      <c r="W1929">
        <v>0.118063</v>
      </c>
      <c r="Y1929" t="s">
        <v>0</v>
      </c>
      <c r="Z1929">
        <v>9000</v>
      </c>
      <c r="AA1929">
        <v>36</v>
      </c>
      <c r="AB1929">
        <v>1</v>
      </c>
      <c r="AC1929">
        <v>0</v>
      </c>
      <c r="AD1929">
        <v>13209833</v>
      </c>
      <c r="AE1929">
        <v>10023.76</v>
      </c>
      <c r="AF1929">
        <v>13199854</v>
      </c>
      <c r="AG1929">
        <v>13199854</v>
      </c>
      <c r="AH1929">
        <v>-4.1E-5</v>
      </c>
      <c r="AI1929">
        <v>-4.1E-5</v>
      </c>
    </row>
    <row r="1930" spans="1:35" x14ac:dyDescent="0.35">
      <c r="A1930" t="s">
        <v>0</v>
      </c>
      <c r="B1930">
        <v>3250</v>
      </c>
      <c r="C1930">
        <v>30</v>
      </c>
      <c r="D1930">
        <v>14</v>
      </c>
      <c r="E1930">
        <v>0</v>
      </c>
      <c r="F1930">
        <v>289868000</v>
      </c>
      <c r="G1930">
        <v>544632.87</v>
      </c>
      <c r="H1930">
        <v>287772427.41000003</v>
      </c>
      <c r="I1930">
        <v>288868243.19999999</v>
      </c>
      <c r="J1930">
        <v>6.2350000000000003E-2</v>
      </c>
      <c r="K1930">
        <v>1.8679000000000001E-2</v>
      </c>
      <c r="M1930" t="s">
        <v>0</v>
      </c>
      <c r="N1930">
        <v>4750</v>
      </c>
      <c r="O1930">
        <v>24</v>
      </c>
      <c r="P1930">
        <v>904</v>
      </c>
      <c r="Q1930">
        <v>0</v>
      </c>
      <c r="R1930">
        <v>27952371296</v>
      </c>
      <c r="S1930">
        <v>39748952.740000002</v>
      </c>
      <c r="T1930">
        <v>27844611282.98</v>
      </c>
      <c r="U1930">
        <v>27899202981.139999</v>
      </c>
      <c r="V1930">
        <v>2.8809999999999999E-2</v>
      </c>
      <c r="W1930">
        <v>5.7460000000000002E-3</v>
      </c>
      <c r="Y1930" t="s">
        <v>2</v>
      </c>
      <c r="Z1930">
        <v>3000</v>
      </c>
      <c r="AA1930">
        <v>30</v>
      </c>
      <c r="AB1930">
        <v>18</v>
      </c>
      <c r="AC1930">
        <v>0</v>
      </c>
      <c r="AD1930">
        <v>305159933</v>
      </c>
      <c r="AE1930">
        <v>616176.46</v>
      </c>
      <c r="AF1930">
        <v>304270118</v>
      </c>
      <c r="AG1930">
        <v>304270118</v>
      </c>
      <c r="AH1930">
        <v>1.0708000000000001E-2</v>
      </c>
      <c r="AI1930">
        <v>1.0708000000000001E-2</v>
      </c>
    </row>
    <row r="1931" spans="1:35" x14ac:dyDescent="0.35">
      <c r="A1931" t="s">
        <v>2</v>
      </c>
      <c r="B1931">
        <v>3000</v>
      </c>
      <c r="C1931">
        <v>30</v>
      </c>
      <c r="D1931">
        <v>20</v>
      </c>
      <c r="E1931">
        <v>0</v>
      </c>
      <c r="F1931">
        <v>367641802</v>
      </c>
      <c r="G1931">
        <v>747884.41</v>
      </c>
      <c r="H1931">
        <v>365486156.94999999</v>
      </c>
      <c r="I1931">
        <v>366619493.05000001</v>
      </c>
      <c r="J1931">
        <v>4.4993999999999999E-2</v>
      </c>
      <c r="K1931">
        <v>8.9210000000000001E-3</v>
      </c>
      <c r="M1931" t="s">
        <v>0</v>
      </c>
      <c r="N1931">
        <v>4500</v>
      </c>
      <c r="O1931">
        <v>24</v>
      </c>
      <c r="P1931">
        <v>588</v>
      </c>
      <c r="Q1931">
        <v>0</v>
      </c>
      <c r="R1931">
        <v>17107155379</v>
      </c>
      <c r="S1931">
        <v>25405476.91</v>
      </c>
      <c r="T1931">
        <v>17041558453.83</v>
      </c>
      <c r="U1931">
        <v>17073335647.48</v>
      </c>
      <c r="V1931">
        <v>2.7831000000000002E-2</v>
      </c>
      <c r="W1931">
        <v>5.8859999999999997E-3</v>
      </c>
      <c r="Y1931" t="s">
        <v>2</v>
      </c>
      <c r="Z1931">
        <v>2750</v>
      </c>
      <c r="AA1931">
        <v>30</v>
      </c>
      <c r="AB1931">
        <v>25</v>
      </c>
      <c r="AC1931">
        <v>0</v>
      </c>
      <c r="AD1931">
        <v>533380576</v>
      </c>
      <c r="AE1931">
        <v>1123867.81</v>
      </c>
      <c r="AF1931">
        <v>532589250</v>
      </c>
      <c r="AG1931">
        <v>532589250</v>
      </c>
      <c r="AH1931">
        <v>-7.5069999999999998E-3</v>
      </c>
      <c r="AI1931">
        <v>-7.5069999999999998E-3</v>
      </c>
    </row>
    <row r="1932" spans="1:35" x14ac:dyDescent="0.35">
      <c r="A1932" t="s">
        <v>1</v>
      </c>
      <c r="B1932">
        <v>3500</v>
      </c>
      <c r="C1932">
        <v>30</v>
      </c>
      <c r="D1932">
        <v>43</v>
      </c>
      <c r="E1932">
        <v>0</v>
      </c>
      <c r="F1932">
        <v>1288690867</v>
      </c>
      <c r="G1932">
        <v>2434649.64</v>
      </c>
      <c r="H1932">
        <v>1268119504.8900001</v>
      </c>
      <c r="I1932">
        <v>1276420368.8</v>
      </c>
      <c r="J1932">
        <v>0.15640699999999999</v>
      </c>
      <c r="K1932">
        <v>8.7841000000000002E-2</v>
      </c>
      <c r="M1932" t="s">
        <v>1</v>
      </c>
      <c r="N1932">
        <v>4500</v>
      </c>
      <c r="O1932">
        <v>24</v>
      </c>
      <c r="P1932">
        <v>296</v>
      </c>
      <c r="Q1932">
        <v>0</v>
      </c>
      <c r="R1932">
        <v>10208326299</v>
      </c>
      <c r="S1932">
        <v>15320958.41</v>
      </c>
      <c r="T1932">
        <v>10109377986.969999</v>
      </c>
      <c r="U1932">
        <v>10161907605.9</v>
      </c>
      <c r="V1932">
        <v>9.3993999999999994E-2</v>
      </c>
      <c r="W1932">
        <v>3.5949000000000002E-2</v>
      </c>
      <c r="Y1932" t="s">
        <v>0</v>
      </c>
      <c r="Z1932">
        <v>9000</v>
      </c>
      <c r="AA1932">
        <v>42</v>
      </c>
      <c r="AB1932">
        <v>1</v>
      </c>
      <c r="AC1932">
        <v>0</v>
      </c>
      <c r="AD1932">
        <v>19738326</v>
      </c>
      <c r="AE1932">
        <v>15119.12</v>
      </c>
      <c r="AF1932">
        <v>19723206</v>
      </c>
      <c r="AG1932">
        <v>19723206</v>
      </c>
      <c r="AH1932">
        <v>9.9999999999999995E-7</v>
      </c>
      <c r="AI1932">
        <v>9.9999999999999995E-7</v>
      </c>
    </row>
    <row r="1933" spans="1:35" x14ac:dyDescent="0.35">
      <c r="A1933" t="s">
        <v>0</v>
      </c>
      <c r="B1933">
        <v>3500</v>
      </c>
      <c r="C1933">
        <v>30</v>
      </c>
      <c r="D1933">
        <v>17</v>
      </c>
      <c r="E1933">
        <v>0</v>
      </c>
      <c r="F1933">
        <v>431188746</v>
      </c>
      <c r="G1933">
        <v>778972.6</v>
      </c>
      <c r="H1933">
        <v>426439596.97000003</v>
      </c>
      <c r="I1933">
        <v>427895398.07999998</v>
      </c>
      <c r="J1933">
        <v>0.105063</v>
      </c>
      <c r="K1933">
        <v>6.7774000000000001E-2</v>
      </c>
      <c r="M1933" t="s">
        <v>0</v>
      </c>
      <c r="N1933">
        <v>4250</v>
      </c>
      <c r="O1933">
        <v>24</v>
      </c>
      <c r="P1933">
        <v>452</v>
      </c>
      <c r="Q1933">
        <v>0</v>
      </c>
      <c r="R1933">
        <v>12832056202</v>
      </c>
      <c r="S1933">
        <v>19825082.899999999</v>
      </c>
      <c r="T1933">
        <v>12788849648.93</v>
      </c>
      <c r="U1933">
        <v>12806262768.6</v>
      </c>
      <c r="V1933">
        <v>2.1648000000000001E-2</v>
      </c>
      <c r="W1933">
        <v>5.5669999999999999E-3</v>
      </c>
      <c r="Y1933" t="s">
        <v>0</v>
      </c>
      <c r="Z1933">
        <v>2000</v>
      </c>
      <c r="AA1933">
        <v>30</v>
      </c>
      <c r="AB1933">
        <v>1</v>
      </c>
      <c r="AC1933">
        <v>0</v>
      </c>
      <c r="AD1933">
        <v>52486597</v>
      </c>
      <c r="AE1933">
        <v>118494.99</v>
      </c>
      <c r="AF1933">
        <v>52367208</v>
      </c>
      <c r="AG1933">
        <v>52367208</v>
      </c>
      <c r="AH1933">
        <v>2.04E-4</v>
      </c>
      <c r="AI1933">
        <v>2.04E-4</v>
      </c>
    </row>
    <row r="1934" spans="1:35" x14ac:dyDescent="0.35">
      <c r="A1934" t="s">
        <v>2</v>
      </c>
      <c r="B1934">
        <v>3500</v>
      </c>
      <c r="C1934">
        <v>30</v>
      </c>
      <c r="D1934">
        <v>22</v>
      </c>
      <c r="E1934">
        <v>0</v>
      </c>
      <c r="F1934">
        <v>281368417</v>
      </c>
      <c r="G1934">
        <v>530435.04</v>
      </c>
      <c r="H1934">
        <v>277115016.44</v>
      </c>
      <c r="I1934">
        <v>278585250.97000003</v>
      </c>
      <c r="J1934">
        <v>0.14771899999999999</v>
      </c>
      <c r="K1934">
        <v>9.1955999999999996E-2</v>
      </c>
      <c r="M1934" t="s">
        <v>2</v>
      </c>
      <c r="N1934">
        <v>4500</v>
      </c>
      <c r="O1934">
        <v>24</v>
      </c>
      <c r="P1934">
        <v>25</v>
      </c>
      <c r="Q1934">
        <v>0</v>
      </c>
      <c r="R1934">
        <v>497748440</v>
      </c>
      <c r="S1934">
        <v>748997.76</v>
      </c>
      <c r="T1934">
        <v>495338534.00999999</v>
      </c>
      <c r="U1934">
        <v>496585432.99000001</v>
      </c>
      <c r="V1934">
        <v>3.9315000000000003E-2</v>
      </c>
      <c r="W1934">
        <v>9.9360000000000004E-3</v>
      </c>
      <c r="Y1934" t="s">
        <v>2</v>
      </c>
      <c r="Z1934">
        <v>2500</v>
      </c>
      <c r="AA1934">
        <v>30</v>
      </c>
      <c r="AB1934">
        <v>4</v>
      </c>
      <c r="AC1934">
        <v>0</v>
      </c>
      <c r="AD1934">
        <v>67905710</v>
      </c>
      <c r="AE1934">
        <v>148165.79999999999</v>
      </c>
      <c r="AF1934">
        <v>67694576</v>
      </c>
      <c r="AG1934">
        <v>67694576</v>
      </c>
      <c r="AH1934">
        <v>1.1070999999999999E-2</v>
      </c>
      <c r="AI1934">
        <v>1.1070999999999999E-2</v>
      </c>
    </row>
    <row r="1935" spans="1:35" x14ac:dyDescent="0.35">
      <c r="A1935" t="s">
        <v>0</v>
      </c>
      <c r="B1935">
        <v>4250</v>
      </c>
      <c r="C1935">
        <v>30</v>
      </c>
      <c r="D1935">
        <v>944</v>
      </c>
      <c r="E1935">
        <v>0</v>
      </c>
      <c r="F1935">
        <v>26497226485</v>
      </c>
      <c r="G1935">
        <v>41933378.939999998</v>
      </c>
      <c r="H1935">
        <v>26384227448.610001</v>
      </c>
      <c r="I1935">
        <v>26429377039.349998</v>
      </c>
      <c r="J1935">
        <v>3.1713999999999999E-2</v>
      </c>
      <c r="K1935">
        <v>1.1674E-2</v>
      </c>
      <c r="M1935" t="s">
        <v>2</v>
      </c>
      <c r="N1935">
        <v>4750</v>
      </c>
      <c r="O1935">
        <v>24</v>
      </c>
      <c r="P1935">
        <v>24</v>
      </c>
      <c r="Q1935">
        <v>0</v>
      </c>
      <c r="R1935">
        <v>538542603</v>
      </c>
      <c r="S1935">
        <v>770362.92</v>
      </c>
      <c r="T1935">
        <v>535164623.67000002</v>
      </c>
      <c r="U1935">
        <v>536568686</v>
      </c>
      <c r="V1935">
        <v>5.6580999999999999E-2</v>
      </c>
      <c r="W1935">
        <v>2.6491000000000001E-2</v>
      </c>
      <c r="Y1935" t="s">
        <v>1</v>
      </c>
      <c r="Z1935">
        <v>9000</v>
      </c>
      <c r="AA1935">
        <v>30</v>
      </c>
      <c r="AB1935">
        <v>2</v>
      </c>
      <c r="AC1935">
        <v>0</v>
      </c>
      <c r="AD1935">
        <v>77606296</v>
      </c>
      <c r="AE1935">
        <v>56218.5</v>
      </c>
      <c r="AF1935">
        <v>36830523</v>
      </c>
      <c r="AG1935">
        <v>36830523</v>
      </c>
      <c r="AH1935">
        <v>0.99986699999999995</v>
      </c>
      <c r="AI1935">
        <v>0.99986699999999995</v>
      </c>
    </row>
    <row r="1936" spans="1:35" x14ac:dyDescent="0.35">
      <c r="A1936" t="s">
        <v>0</v>
      </c>
      <c r="B1936">
        <v>3750</v>
      </c>
      <c r="C1936">
        <v>30</v>
      </c>
      <c r="D1936">
        <v>46</v>
      </c>
      <c r="E1936">
        <v>0</v>
      </c>
      <c r="F1936">
        <v>1409901444</v>
      </c>
      <c r="G1936">
        <v>2424220.5099999998</v>
      </c>
      <c r="H1936">
        <v>1401414890.9000001</v>
      </c>
      <c r="I1936">
        <v>1405566023.48</v>
      </c>
      <c r="J1936">
        <v>5.0395000000000002E-2</v>
      </c>
      <c r="K1936">
        <v>1.6146000000000001E-2</v>
      </c>
      <c r="M1936" t="s">
        <v>2</v>
      </c>
      <c r="N1936">
        <v>5000</v>
      </c>
      <c r="O1936">
        <v>24</v>
      </c>
      <c r="P1936">
        <v>80</v>
      </c>
      <c r="Q1936">
        <v>0</v>
      </c>
      <c r="R1936">
        <v>2169199207</v>
      </c>
      <c r="S1936">
        <v>2959095.42</v>
      </c>
      <c r="T1936">
        <v>2159705852.4000001</v>
      </c>
      <c r="U1936">
        <v>2165864706.0900002</v>
      </c>
      <c r="V1936">
        <v>3.5555000000000003E-2</v>
      </c>
      <c r="W1936">
        <v>2.075E-3</v>
      </c>
      <c r="Y1936" t="s">
        <v>0</v>
      </c>
      <c r="Z1936">
        <v>2250</v>
      </c>
      <c r="AA1936">
        <v>30</v>
      </c>
      <c r="AB1936">
        <v>3</v>
      </c>
      <c r="AC1936">
        <v>0</v>
      </c>
      <c r="AD1936">
        <v>70880475</v>
      </c>
      <c r="AE1936">
        <v>153117.10999999999</v>
      </c>
      <c r="AF1936">
        <v>70726362</v>
      </c>
      <c r="AG1936">
        <v>70726362</v>
      </c>
      <c r="AH1936">
        <v>1.6899999999999999E-4</v>
      </c>
      <c r="AI1936">
        <v>1.6899999999999999E-4</v>
      </c>
    </row>
    <row r="1937" spans="1:35" x14ac:dyDescent="0.35">
      <c r="A1937" t="s">
        <v>1</v>
      </c>
      <c r="B1937">
        <v>3750</v>
      </c>
      <c r="C1937">
        <v>30</v>
      </c>
      <c r="D1937">
        <v>72</v>
      </c>
      <c r="E1937">
        <v>0</v>
      </c>
      <c r="F1937">
        <v>2327276992</v>
      </c>
      <c r="G1937">
        <v>4140880.27</v>
      </c>
      <c r="H1937">
        <v>2286430530.8299999</v>
      </c>
      <c r="I1937">
        <v>2301013532.23</v>
      </c>
      <c r="J1937">
        <v>0.173678</v>
      </c>
      <c r="K1937">
        <v>0.108291</v>
      </c>
      <c r="M1937" t="s">
        <v>1</v>
      </c>
      <c r="N1937">
        <v>3250</v>
      </c>
      <c r="O1937">
        <v>24</v>
      </c>
      <c r="P1937">
        <v>30</v>
      </c>
      <c r="Q1937">
        <v>0</v>
      </c>
      <c r="R1937">
        <v>1081753084</v>
      </c>
      <c r="S1937">
        <v>2082920.23</v>
      </c>
      <c r="T1937">
        <v>1068370402.89</v>
      </c>
      <c r="U1937">
        <v>1073444037.21</v>
      </c>
      <c r="V1937">
        <v>0.118393</v>
      </c>
      <c r="W1937">
        <v>6.6921999999999995E-2</v>
      </c>
      <c r="Y1937" t="s">
        <v>1</v>
      </c>
      <c r="Z1937">
        <v>3500</v>
      </c>
      <c r="AA1937">
        <v>24</v>
      </c>
      <c r="AB1937">
        <v>23</v>
      </c>
      <c r="AC1937">
        <v>0</v>
      </c>
      <c r="AD1937">
        <v>741749664</v>
      </c>
      <c r="AE1937">
        <v>1395847.2</v>
      </c>
      <c r="AF1937">
        <v>709349851</v>
      </c>
      <c r="AG1937">
        <v>709349851</v>
      </c>
      <c r="AH1937">
        <v>0.40092299999999997</v>
      </c>
      <c r="AI1937">
        <v>0.40092299999999997</v>
      </c>
    </row>
    <row r="1938" spans="1:35" x14ac:dyDescent="0.35">
      <c r="A1938" t="s">
        <v>2</v>
      </c>
      <c r="B1938">
        <v>4000</v>
      </c>
      <c r="C1938">
        <v>30</v>
      </c>
      <c r="D1938">
        <v>21</v>
      </c>
      <c r="E1938">
        <v>0</v>
      </c>
      <c r="F1938">
        <v>377904449</v>
      </c>
      <c r="G1938">
        <v>642139.43000000005</v>
      </c>
      <c r="H1938">
        <v>375636065.20999998</v>
      </c>
      <c r="I1938">
        <v>376741139.07999998</v>
      </c>
      <c r="J1938">
        <v>5.0435000000000001E-2</v>
      </c>
      <c r="K1938">
        <v>1.6424000000000001E-2</v>
      </c>
      <c r="M1938" t="s">
        <v>2</v>
      </c>
      <c r="N1938">
        <v>3000</v>
      </c>
      <c r="O1938">
        <v>24</v>
      </c>
      <c r="P1938">
        <v>13</v>
      </c>
      <c r="Q1938">
        <v>0</v>
      </c>
      <c r="R1938">
        <v>237865803</v>
      </c>
      <c r="S1938">
        <v>475444</v>
      </c>
      <c r="T1938">
        <v>235727287.22999999</v>
      </c>
      <c r="U1938">
        <v>236482236.13</v>
      </c>
      <c r="V1938">
        <v>8.0746999999999999E-2</v>
      </c>
      <c r="W1938">
        <v>4.4864000000000001E-2</v>
      </c>
      <c r="Y1938" t="s">
        <v>2</v>
      </c>
      <c r="Z1938">
        <v>2250</v>
      </c>
      <c r="AA1938">
        <v>24</v>
      </c>
      <c r="AB1938">
        <v>3</v>
      </c>
      <c r="AC1938">
        <v>0</v>
      </c>
      <c r="AD1938">
        <v>64035636</v>
      </c>
      <c r="AE1938">
        <v>147978.25</v>
      </c>
      <c r="AF1938">
        <v>63983540</v>
      </c>
      <c r="AG1938">
        <v>63983540</v>
      </c>
      <c r="AH1938">
        <v>-1.8117000000000001E-2</v>
      </c>
      <c r="AI1938">
        <v>-1.8117000000000001E-2</v>
      </c>
    </row>
    <row r="1939" spans="1:35" x14ac:dyDescent="0.35">
      <c r="A1939" t="s">
        <v>1</v>
      </c>
      <c r="B1939">
        <v>4500</v>
      </c>
      <c r="C1939">
        <v>30</v>
      </c>
      <c r="D1939">
        <v>480</v>
      </c>
      <c r="E1939">
        <v>0</v>
      </c>
      <c r="F1939">
        <v>15676057336</v>
      </c>
      <c r="G1939">
        <v>24059504.77</v>
      </c>
      <c r="H1939">
        <v>15524070290.799999</v>
      </c>
      <c r="I1939">
        <v>15611718037.219999</v>
      </c>
      <c r="J1939">
        <v>9.3649999999999997E-2</v>
      </c>
      <c r="K1939">
        <v>3.0401999999999998E-2</v>
      </c>
      <c r="M1939" t="s">
        <v>2</v>
      </c>
      <c r="N1939">
        <v>3750</v>
      </c>
      <c r="O1939">
        <v>24</v>
      </c>
      <c r="P1939">
        <v>22</v>
      </c>
      <c r="Q1939">
        <v>0</v>
      </c>
      <c r="R1939">
        <v>383973152</v>
      </c>
      <c r="S1939">
        <v>672244.43</v>
      </c>
      <c r="T1939">
        <v>380098924.64999998</v>
      </c>
      <c r="U1939">
        <v>381378295.01999998</v>
      </c>
      <c r="V1939">
        <v>9.5604999999999996E-2</v>
      </c>
      <c r="W1939">
        <v>5.8458000000000003E-2</v>
      </c>
      <c r="Y1939" t="s">
        <v>0</v>
      </c>
      <c r="Z1939">
        <v>3000</v>
      </c>
      <c r="AA1939">
        <v>24</v>
      </c>
      <c r="AB1939">
        <v>3</v>
      </c>
      <c r="AC1939">
        <v>0</v>
      </c>
      <c r="AD1939">
        <v>88410245</v>
      </c>
      <c r="AE1939">
        <v>170704.44</v>
      </c>
      <c r="AF1939">
        <v>88306276</v>
      </c>
      <c r="AG1939">
        <v>88306276</v>
      </c>
      <c r="AH1939">
        <v>-9.0959999999999999E-3</v>
      </c>
      <c r="AI1939">
        <v>-9.0959999999999999E-3</v>
      </c>
    </row>
    <row r="1940" spans="1:35" x14ac:dyDescent="0.35">
      <c r="A1940" t="s">
        <v>2</v>
      </c>
      <c r="B1940">
        <v>4750</v>
      </c>
      <c r="C1940">
        <v>30</v>
      </c>
      <c r="D1940">
        <v>48</v>
      </c>
      <c r="E1940">
        <v>0</v>
      </c>
      <c r="F1940">
        <v>1123437188</v>
      </c>
      <c r="G1940">
        <v>1657942.68</v>
      </c>
      <c r="H1940">
        <v>1114713655.53</v>
      </c>
      <c r="I1940">
        <v>1118786896.3299999</v>
      </c>
      <c r="J1940">
        <v>7.2914000000000007E-2</v>
      </c>
      <c r="K1940">
        <v>3.1498999999999999E-2</v>
      </c>
      <c r="M1940" t="s">
        <v>2</v>
      </c>
      <c r="N1940">
        <v>3500</v>
      </c>
      <c r="O1940">
        <v>24</v>
      </c>
      <c r="P1940">
        <v>22</v>
      </c>
      <c r="Q1940">
        <v>0</v>
      </c>
      <c r="R1940">
        <v>308585519</v>
      </c>
      <c r="S1940">
        <v>572054.75</v>
      </c>
      <c r="T1940">
        <v>306144711.67000002</v>
      </c>
      <c r="U1940">
        <v>307016615.01999998</v>
      </c>
      <c r="V1940">
        <v>7.0297999999999999E-2</v>
      </c>
      <c r="W1940">
        <v>3.8082999999999999E-2</v>
      </c>
      <c r="Y1940" t="s">
        <v>1</v>
      </c>
      <c r="Z1940">
        <v>3250</v>
      </c>
      <c r="AA1940">
        <v>24</v>
      </c>
      <c r="AB1940">
        <v>24</v>
      </c>
      <c r="AC1940">
        <v>0</v>
      </c>
      <c r="AD1940">
        <v>757336106</v>
      </c>
      <c r="AE1940">
        <v>1409145.08</v>
      </c>
      <c r="AF1940">
        <v>756106083</v>
      </c>
      <c r="AG1940">
        <v>756106083</v>
      </c>
      <c r="AH1940">
        <v>-2.8419999999999999E-3</v>
      </c>
      <c r="AI1940">
        <v>-2.8419999999999999E-3</v>
      </c>
    </row>
    <row r="1941" spans="1:35" x14ac:dyDescent="0.35">
      <c r="A1941" t="s">
        <v>2</v>
      </c>
      <c r="B1941">
        <v>4500</v>
      </c>
      <c r="C1941">
        <v>30</v>
      </c>
      <c r="D1941">
        <v>39</v>
      </c>
      <c r="E1941">
        <v>0</v>
      </c>
      <c r="F1941">
        <v>794249797</v>
      </c>
      <c r="G1941">
        <v>1220166.73</v>
      </c>
      <c r="H1941">
        <v>789741193.86000001</v>
      </c>
      <c r="I1941">
        <v>792635240.85000002</v>
      </c>
      <c r="J1941">
        <v>4.8568E-2</v>
      </c>
      <c r="K1941">
        <v>5.9420000000000002E-3</v>
      </c>
      <c r="M1941" t="s">
        <v>2</v>
      </c>
      <c r="N1941">
        <v>4250</v>
      </c>
      <c r="O1941">
        <v>24</v>
      </c>
      <c r="P1941">
        <v>14</v>
      </c>
      <c r="Q1941">
        <v>0</v>
      </c>
      <c r="R1941">
        <v>216342083</v>
      </c>
      <c r="S1941">
        <v>357252.47</v>
      </c>
      <c r="T1941">
        <v>214311156.91999999</v>
      </c>
      <c r="U1941">
        <v>215091131.59999999</v>
      </c>
      <c r="V1941">
        <v>8.8984999999999995E-2</v>
      </c>
      <c r="W1941">
        <v>4.8460999999999997E-2</v>
      </c>
      <c r="Y1941" t="s">
        <v>2</v>
      </c>
      <c r="Z1941">
        <v>3750</v>
      </c>
      <c r="AA1941">
        <v>24</v>
      </c>
      <c r="AB1941">
        <v>19</v>
      </c>
      <c r="AC1941">
        <v>0</v>
      </c>
      <c r="AD1941">
        <v>306037347</v>
      </c>
      <c r="AE1941">
        <v>531755.52000000002</v>
      </c>
      <c r="AF1941">
        <v>305644901</v>
      </c>
      <c r="AG1941">
        <v>305644901</v>
      </c>
      <c r="AH1941">
        <v>-5.476E-3</v>
      </c>
      <c r="AI1941">
        <v>-5.476E-3</v>
      </c>
    </row>
    <row r="1942" spans="1:35" x14ac:dyDescent="0.35">
      <c r="A1942" t="s">
        <v>3</v>
      </c>
      <c r="B1942">
        <v>5500</v>
      </c>
      <c r="C1942">
        <v>30</v>
      </c>
      <c r="D1942">
        <v>6</v>
      </c>
      <c r="E1942">
        <v>0</v>
      </c>
      <c r="F1942">
        <v>188652965</v>
      </c>
      <c r="G1942">
        <v>245130.72</v>
      </c>
      <c r="H1942">
        <v>187617309.63999999</v>
      </c>
      <c r="I1942">
        <v>188407829.16999999</v>
      </c>
      <c r="J1942">
        <v>4.9141999999999998E-2</v>
      </c>
      <c r="K1942">
        <v>0</v>
      </c>
      <c r="M1942" t="s">
        <v>2</v>
      </c>
      <c r="N1942">
        <v>2250</v>
      </c>
      <c r="O1942">
        <v>24</v>
      </c>
      <c r="P1942">
        <v>4</v>
      </c>
      <c r="Q1942">
        <v>0</v>
      </c>
      <c r="R1942">
        <v>86319386</v>
      </c>
      <c r="S1942">
        <v>195815.82</v>
      </c>
      <c r="T1942">
        <v>85822902.159999996</v>
      </c>
      <c r="U1942">
        <v>86086571.969999999</v>
      </c>
      <c r="V1942">
        <v>4.1007000000000002E-2</v>
      </c>
      <c r="W1942">
        <v>5.1310000000000001E-3</v>
      </c>
      <c r="Y1942" t="s">
        <v>0</v>
      </c>
      <c r="Z1942">
        <v>3500</v>
      </c>
      <c r="AA1942">
        <v>24</v>
      </c>
      <c r="AB1942">
        <v>5</v>
      </c>
      <c r="AC1942">
        <v>0</v>
      </c>
      <c r="AD1942">
        <v>144829832</v>
      </c>
      <c r="AE1942">
        <v>254609.99</v>
      </c>
      <c r="AF1942">
        <v>144575575</v>
      </c>
      <c r="AG1942">
        <v>144575575</v>
      </c>
      <c r="AH1942">
        <v>-2.9E-5</v>
      </c>
      <c r="AI1942">
        <v>-2.9E-5</v>
      </c>
    </row>
    <row r="1943" spans="1:35" x14ac:dyDescent="0.35">
      <c r="A1943" t="s">
        <v>0</v>
      </c>
      <c r="B1943">
        <v>9000</v>
      </c>
      <c r="C1943">
        <v>42</v>
      </c>
      <c r="D1943">
        <v>1</v>
      </c>
      <c r="E1943">
        <v>0</v>
      </c>
      <c r="F1943">
        <v>19723206</v>
      </c>
      <c r="G1943">
        <v>15229.87</v>
      </c>
      <c r="H1943">
        <v>19539614.219999999</v>
      </c>
      <c r="I1943">
        <v>19707837.309999999</v>
      </c>
      <c r="J1943">
        <v>9.776E-2</v>
      </c>
      <c r="K1943">
        <v>8.3999999999999995E-5</v>
      </c>
      <c r="M1943" t="s">
        <v>0</v>
      </c>
      <c r="N1943">
        <v>3000</v>
      </c>
      <c r="O1943">
        <v>24</v>
      </c>
      <c r="P1943">
        <v>4</v>
      </c>
      <c r="Q1943">
        <v>0</v>
      </c>
      <c r="R1943">
        <v>134550784</v>
      </c>
      <c r="S1943">
        <v>259542.9</v>
      </c>
      <c r="T1943">
        <v>133254985.56999999</v>
      </c>
      <c r="U1943">
        <v>133561674.88</v>
      </c>
      <c r="V1943">
        <v>8.8603000000000001E-2</v>
      </c>
      <c r="W1943">
        <v>6.3160999999999995E-2</v>
      </c>
      <c r="Y1943" t="s">
        <v>0</v>
      </c>
      <c r="Z1943">
        <v>3750</v>
      </c>
      <c r="AA1943">
        <v>24</v>
      </c>
      <c r="AB1943">
        <v>14</v>
      </c>
      <c r="AC1943">
        <v>0</v>
      </c>
      <c r="AD1943">
        <v>466581758</v>
      </c>
      <c r="AE1943">
        <v>783171.56</v>
      </c>
      <c r="AF1943">
        <v>465808716</v>
      </c>
      <c r="AG1943">
        <v>465808716</v>
      </c>
      <c r="AH1943">
        <v>-2.61E-4</v>
      </c>
      <c r="AI1943">
        <v>-2.61E-4</v>
      </c>
    </row>
    <row r="1944" spans="1:35" x14ac:dyDescent="0.35">
      <c r="A1944" t="s">
        <v>0</v>
      </c>
      <c r="B1944">
        <v>2000</v>
      </c>
      <c r="C1944">
        <v>30</v>
      </c>
      <c r="D1944">
        <v>1</v>
      </c>
      <c r="E1944">
        <v>0</v>
      </c>
      <c r="F1944">
        <v>52367208</v>
      </c>
      <c r="G1944">
        <v>118690.45</v>
      </c>
      <c r="H1944">
        <v>52232738.490000002</v>
      </c>
      <c r="I1944">
        <v>52248503.119999997</v>
      </c>
      <c r="J1944">
        <v>3.6099999999999999E-3</v>
      </c>
      <c r="K1944">
        <v>3.0000000000000001E-6</v>
      </c>
      <c r="M1944" t="s">
        <v>3</v>
      </c>
      <c r="N1944">
        <v>5750</v>
      </c>
      <c r="O1944">
        <v>24</v>
      </c>
      <c r="P1944">
        <v>4</v>
      </c>
      <c r="Q1944">
        <v>0</v>
      </c>
      <c r="R1944">
        <v>95446083</v>
      </c>
      <c r="S1944">
        <v>114750.76</v>
      </c>
      <c r="T1944">
        <v>95071686.189999998</v>
      </c>
      <c r="U1944">
        <v>95331327.519999996</v>
      </c>
      <c r="V1944">
        <v>3.2160000000000001E-2</v>
      </c>
      <c r="W1944">
        <v>9.9999999999999995E-7</v>
      </c>
      <c r="Y1944" t="s">
        <v>1</v>
      </c>
      <c r="Z1944">
        <v>4000</v>
      </c>
      <c r="AA1944">
        <v>24</v>
      </c>
      <c r="AB1944">
        <v>53</v>
      </c>
      <c r="AC1944">
        <v>0</v>
      </c>
      <c r="AD1944">
        <v>1959159458</v>
      </c>
      <c r="AE1944">
        <v>3253401.78</v>
      </c>
      <c r="AF1944">
        <v>1884873947</v>
      </c>
      <c r="AG1944">
        <v>1956191455.48</v>
      </c>
      <c r="AH1944">
        <v>0.35799599999999998</v>
      </c>
      <c r="AI1944">
        <v>-1.7489999999999999E-3</v>
      </c>
    </row>
    <row r="1945" spans="1:35" x14ac:dyDescent="0.35">
      <c r="A1945" t="s">
        <v>2</v>
      </c>
      <c r="B1945">
        <v>2750</v>
      </c>
      <c r="C1945">
        <v>30</v>
      </c>
      <c r="D1945">
        <v>25</v>
      </c>
      <c r="E1945">
        <v>0</v>
      </c>
      <c r="F1945">
        <v>530056731</v>
      </c>
      <c r="G1945">
        <v>1125589.31</v>
      </c>
      <c r="H1945">
        <v>524907176.18000001</v>
      </c>
      <c r="I1945">
        <v>526662973.16000003</v>
      </c>
      <c r="J1945">
        <v>8.7389999999999995E-2</v>
      </c>
      <c r="K1945">
        <v>5.0158000000000001E-2</v>
      </c>
      <c r="M1945" t="s">
        <v>3</v>
      </c>
      <c r="N1945">
        <v>5500</v>
      </c>
      <c r="O1945">
        <v>24</v>
      </c>
      <c r="P1945">
        <v>1</v>
      </c>
      <c r="Q1945">
        <v>0</v>
      </c>
      <c r="R1945">
        <v>33703999</v>
      </c>
      <c r="S1945">
        <v>42774.44</v>
      </c>
      <c r="T1945">
        <v>32754566.379999999</v>
      </c>
      <c r="U1945">
        <v>33661174.850000001</v>
      </c>
      <c r="V1945">
        <v>0.27908100000000002</v>
      </c>
      <c r="W1945">
        <v>1.8E-5</v>
      </c>
      <c r="Y1945" t="s">
        <v>1</v>
      </c>
      <c r="Z1945">
        <v>3750</v>
      </c>
      <c r="AA1945">
        <v>24</v>
      </c>
      <c r="AB1945">
        <v>34</v>
      </c>
      <c r="AC1945">
        <v>0</v>
      </c>
      <c r="AD1945">
        <v>1197841548</v>
      </c>
      <c r="AE1945">
        <v>2075563.3</v>
      </c>
      <c r="AF1945">
        <v>1195962738</v>
      </c>
      <c r="AG1945">
        <v>1195962738</v>
      </c>
      <c r="AH1945">
        <v>-1.9729999999999999E-3</v>
      </c>
      <c r="AI1945">
        <v>-1.9729999999999999E-3</v>
      </c>
    </row>
    <row r="1946" spans="1:35" x14ac:dyDescent="0.35">
      <c r="A1946" t="s">
        <v>0</v>
      </c>
      <c r="B1946">
        <v>2500</v>
      </c>
      <c r="C1946">
        <v>30</v>
      </c>
      <c r="D1946">
        <v>4</v>
      </c>
      <c r="E1946">
        <v>0</v>
      </c>
      <c r="F1946">
        <v>127173523</v>
      </c>
      <c r="G1946">
        <v>268841.40999999997</v>
      </c>
      <c r="H1946">
        <v>126464257.51000001</v>
      </c>
      <c r="I1946">
        <v>126904498.91</v>
      </c>
      <c r="J1946">
        <v>4.0776E-2</v>
      </c>
      <c r="K1946">
        <v>1.7E-5</v>
      </c>
      <c r="M1946" t="s">
        <v>0</v>
      </c>
      <c r="N1946">
        <v>6750</v>
      </c>
      <c r="O1946">
        <v>48</v>
      </c>
      <c r="P1946">
        <v>1</v>
      </c>
      <c r="Q1946">
        <v>0</v>
      </c>
      <c r="R1946">
        <v>6623339</v>
      </c>
      <c r="S1946">
        <v>7944.35</v>
      </c>
      <c r="T1946">
        <v>6583036.0999999996</v>
      </c>
      <c r="U1946">
        <v>6612561.8200000003</v>
      </c>
      <c r="V1946">
        <v>5.7076000000000002E-2</v>
      </c>
      <c r="W1946">
        <v>5.1200000000000004E-3</v>
      </c>
      <c r="Y1946" t="s">
        <v>2</v>
      </c>
      <c r="Z1946">
        <v>4000</v>
      </c>
      <c r="AA1946">
        <v>24</v>
      </c>
      <c r="AB1946">
        <v>10</v>
      </c>
      <c r="AC1946">
        <v>0</v>
      </c>
      <c r="AD1946">
        <v>200725057</v>
      </c>
      <c r="AE1946">
        <v>336144.69</v>
      </c>
      <c r="AF1946">
        <v>200516306</v>
      </c>
      <c r="AG1946">
        <v>200516306</v>
      </c>
      <c r="AH1946">
        <v>-7.6429999999999996E-3</v>
      </c>
      <c r="AI1946">
        <v>-7.6429999999999996E-3</v>
      </c>
    </row>
    <row r="1947" spans="1:35" x14ac:dyDescent="0.35">
      <c r="A1947" t="s">
        <v>0</v>
      </c>
      <c r="B1947">
        <v>2750</v>
      </c>
      <c r="C1947">
        <v>30</v>
      </c>
      <c r="D1947">
        <v>6</v>
      </c>
      <c r="E1947">
        <v>0</v>
      </c>
      <c r="F1947">
        <v>163304624</v>
      </c>
      <c r="G1947">
        <v>351663.52</v>
      </c>
      <c r="H1947">
        <v>162552336.58000001</v>
      </c>
      <c r="I1947">
        <v>162952590.80000001</v>
      </c>
      <c r="J1947">
        <v>2.9045000000000001E-2</v>
      </c>
      <c r="K1947">
        <v>2.6999999999999999E-5</v>
      </c>
      <c r="M1947" t="s">
        <v>0</v>
      </c>
      <c r="N1947">
        <v>2250</v>
      </c>
      <c r="O1947">
        <v>24</v>
      </c>
      <c r="P1947">
        <v>2</v>
      </c>
      <c r="Q1947">
        <v>0</v>
      </c>
      <c r="R1947">
        <v>69460206</v>
      </c>
      <c r="S1947">
        <v>147260.96</v>
      </c>
      <c r="T1947">
        <v>69092379.909999996</v>
      </c>
      <c r="U1947">
        <v>69312754.480000004</v>
      </c>
      <c r="V1947">
        <v>3.7447000000000001E-2</v>
      </c>
      <c r="W1947">
        <v>3.3000000000000003E-5</v>
      </c>
      <c r="Y1947" t="s">
        <v>0</v>
      </c>
      <c r="Z1947">
        <v>4000</v>
      </c>
      <c r="AA1947">
        <v>24</v>
      </c>
      <c r="AB1947">
        <v>10</v>
      </c>
      <c r="AC1947">
        <v>0</v>
      </c>
      <c r="AD1947">
        <v>356318021</v>
      </c>
      <c r="AE1947">
        <v>574569.02</v>
      </c>
      <c r="AF1947">
        <v>355723608</v>
      </c>
      <c r="AG1947">
        <v>355723608</v>
      </c>
      <c r="AH1947">
        <v>6.6799999999999997E-4</v>
      </c>
      <c r="AI1947">
        <v>6.6799999999999997E-4</v>
      </c>
    </row>
    <row r="1948" spans="1:35" x14ac:dyDescent="0.35">
      <c r="A1948" t="s">
        <v>2</v>
      </c>
      <c r="B1948">
        <v>3750</v>
      </c>
      <c r="C1948">
        <v>30</v>
      </c>
      <c r="D1948">
        <v>25</v>
      </c>
      <c r="E1948">
        <v>0</v>
      </c>
      <c r="F1948">
        <v>441817111</v>
      </c>
      <c r="G1948">
        <v>795305.16</v>
      </c>
      <c r="H1948">
        <v>438170421.29000002</v>
      </c>
      <c r="I1948">
        <v>439995788.97000003</v>
      </c>
      <c r="J1948">
        <v>7.4755000000000002E-2</v>
      </c>
      <c r="K1948">
        <v>2.7514E-2</v>
      </c>
      <c r="M1948" t="s">
        <v>0</v>
      </c>
      <c r="N1948">
        <v>2500</v>
      </c>
      <c r="O1948">
        <v>24</v>
      </c>
      <c r="P1948">
        <v>3</v>
      </c>
      <c r="Q1948">
        <v>0</v>
      </c>
      <c r="R1948">
        <v>92889661</v>
      </c>
      <c r="S1948">
        <v>192700.45</v>
      </c>
      <c r="T1948">
        <v>92421518.769999996</v>
      </c>
      <c r="U1948">
        <v>92696912.969999999</v>
      </c>
      <c r="V1948">
        <v>3.5007999999999997E-2</v>
      </c>
      <c r="W1948">
        <v>6.0000000000000002E-6</v>
      </c>
      <c r="Y1948" t="s">
        <v>1</v>
      </c>
      <c r="Z1948">
        <v>4500</v>
      </c>
      <c r="AA1948">
        <v>24</v>
      </c>
      <c r="AB1948">
        <v>505</v>
      </c>
      <c r="AC1948">
        <v>0</v>
      </c>
      <c r="AD1948">
        <v>16957550508</v>
      </c>
      <c r="AE1948">
        <v>25150655.809999999</v>
      </c>
      <c r="AF1948">
        <v>16775915038</v>
      </c>
      <c r="AG1948">
        <v>16847843360.73</v>
      </c>
      <c r="AH1948">
        <v>0.105285</v>
      </c>
      <c r="AI1948">
        <v>5.8222000000000003E-2</v>
      </c>
    </row>
    <row r="1949" spans="1:35" x14ac:dyDescent="0.35">
      <c r="A1949" t="s">
        <v>2</v>
      </c>
      <c r="B1949">
        <v>3250</v>
      </c>
      <c r="C1949">
        <v>30</v>
      </c>
      <c r="D1949">
        <v>30</v>
      </c>
      <c r="E1949">
        <v>0</v>
      </c>
      <c r="F1949">
        <v>531946016</v>
      </c>
      <c r="G1949">
        <v>1023134.57</v>
      </c>
      <c r="H1949">
        <v>526923583.82999998</v>
      </c>
      <c r="I1949">
        <v>529253699.63999999</v>
      </c>
      <c r="J1949">
        <v>8.6580000000000004E-2</v>
      </c>
      <c r="K1949">
        <v>3.7011000000000002E-2</v>
      </c>
      <c r="M1949" t="s">
        <v>0</v>
      </c>
      <c r="N1949">
        <v>2750</v>
      </c>
      <c r="O1949">
        <v>24</v>
      </c>
      <c r="P1949">
        <v>3</v>
      </c>
      <c r="Q1949">
        <v>0</v>
      </c>
      <c r="R1949">
        <v>82240925</v>
      </c>
      <c r="S1949">
        <v>185348.87</v>
      </c>
      <c r="T1949">
        <v>81846944.129999995</v>
      </c>
      <c r="U1949">
        <v>82055464.920000002</v>
      </c>
      <c r="V1949">
        <v>3.0020999999999999E-2</v>
      </c>
      <c r="W1949">
        <v>1.5999999999999999E-5</v>
      </c>
      <c r="Y1949" t="s">
        <v>2</v>
      </c>
      <c r="Z1949">
        <v>4500</v>
      </c>
      <c r="AA1949">
        <v>24</v>
      </c>
      <c r="AB1949">
        <v>32</v>
      </c>
      <c r="AC1949">
        <v>0</v>
      </c>
      <c r="AD1949">
        <v>767518521</v>
      </c>
      <c r="AE1949">
        <v>1136460.4099999999</v>
      </c>
      <c r="AF1949">
        <v>766344691</v>
      </c>
      <c r="AG1949">
        <v>766344691</v>
      </c>
      <c r="AH1949">
        <v>5.8399999999999999E-4</v>
      </c>
      <c r="AI1949">
        <v>5.8399999999999999E-4</v>
      </c>
    </row>
    <row r="1950" spans="1:35" x14ac:dyDescent="0.35">
      <c r="A1950" t="s">
        <v>3</v>
      </c>
      <c r="B1950">
        <v>5250</v>
      </c>
      <c r="C1950">
        <v>30</v>
      </c>
      <c r="D1950">
        <v>1</v>
      </c>
      <c r="E1950">
        <v>0</v>
      </c>
      <c r="F1950">
        <v>19222654</v>
      </c>
      <c r="G1950">
        <v>26645.01</v>
      </c>
      <c r="H1950">
        <v>19068348.440000001</v>
      </c>
      <c r="I1950">
        <v>19196008.780000001</v>
      </c>
      <c r="J1950">
        <v>7.6845999999999998E-2</v>
      </c>
      <c r="K1950">
        <v>0</v>
      </c>
      <c r="M1950" t="s">
        <v>1</v>
      </c>
      <c r="N1950">
        <v>4500</v>
      </c>
      <c r="O1950">
        <v>20</v>
      </c>
      <c r="P1950">
        <v>377</v>
      </c>
      <c r="Q1950">
        <v>0</v>
      </c>
      <c r="R1950">
        <v>12510025247</v>
      </c>
      <c r="S1950">
        <v>18271450.73</v>
      </c>
      <c r="T1950">
        <v>12434960432.43</v>
      </c>
      <c r="U1950">
        <v>12461164050.91</v>
      </c>
      <c r="V1950">
        <v>5.3137999999999998E-2</v>
      </c>
      <c r="W1950">
        <v>2.8951000000000001E-2</v>
      </c>
      <c r="Y1950" t="s">
        <v>0</v>
      </c>
      <c r="Z1950">
        <v>4250</v>
      </c>
      <c r="AA1950">
        <v>24</v>
      </c>
      <c r="AB1950">
        <v>599</v>
      </c>
      <c r="AC1950">
        <v>0</v>
      </c>
      <c r="AD1950">
        <v>16034113938</v>
      </c>
      <c r="AE1950">
        <v>24653581.960000001</v>
      </c>
      <c r="AF1950">
        <v>15971163730</v>
      </c>
      <c r="AG1950">
        <v>15997220817.41</v>
      </c>
      <c r="AH1950">
        <v>2.8288000000000001E-2</v>
      </c>
      <c r="AI1950">
        <v>9.1219999999999999E-3</v>
      </c>
    </row>
    <row r="1951" spans="1:35" x14ac:dyDescent="0.35">
      <c r="A1951" t="s">
        <v>0</v>
      </c>
      <c r="B1951">
        <v>2250</v>
      </c>
      <c r="C1951">
        <v>30</v>
      </c>
      <c r="D1951">
        <v>3</v>
      </c>
      <c r="E1951">
        <v>0</v>
      </c>
      <c r="F1951">
        <v>70726362</v>
      </c>
      <c r="G1951">
        <v>153402.04999999999</v>
      </c>
      <c r="H1951">
        <v>70467521.620000005</v>
      </c>
      <c r="I1951">
        <v>70572944.120000005</v>
      </c>
      <c r="J1951">
        <v>1.7743999999999999E-2</v>
      </c>
      <c r="K1951">
        <v>3.0000000000000001E-6</v>
      </c>
      <c r="M1951" t="s">
        <v>2</v>
      </c>
      <c r="N1951">
        <v>2500</v>
      </c>
      <c r="O1951">
        <v>24</v>
      </c>
      <c r="P1951">
        <v>1</v>
      </c>
      <c r="Q1951">
        <v>0</v>
      </c>
      <c r="R1951">
        <v>6589950</v>
      </c>
      <c r="S1951">
        <v>13506.49</v>
      </c>
      <c r="T1951">
        <v>6570720.5499999998</v>
      </c>
      <c r="U1951">
        <v>6576199.1399999997</v>
      </c>
      <c r="V1951">
        <v>1.0371999999999999E-2</v>
      </c>
      <c r="W1951">
        <v>4.4499999999999997E-4</v>
      </c>
      <c r="Y1951" t="s">
        <v>1</v>
      </c>
      <c r="Z1951">
        <v>4250</v>
      </c>
      <c r="AA1951">
        <v>24</v>
      </c>
      <c r="AB1951">
        <v>248</v>
      </c>
      <c r="AC1951">
        <v>0</v>
      </c>
      <c r="AD1951">
        <v>6951648816</v>
      </c>
      <c r="AE1951">
        <v>10788759.85</v>
      </c>
      <c r="AF1951">
        <v>6939615415</v>
      </c>
      <c r="AG1951">
        <v>6939615415</v>
      </c>
      <c r="AH1951">
        <v>2.1459999999999999E-3</v>
      </c>
      <c r="AI1951">
        <v>2.1459999999999999E-3</v>
      </c>
    </row>
    <row r="1952" spans="1:35" x14ac:dyDescent="0.35">
      <c r="A1952" t="s">
        <v>2</v>
      </c>
      <c r="B1952">
        <v>2500</v>
      </c>
      <c r="C1952">
        <v>30</v>
      </c>
      <c r="D1952">
        <v>3</v>
      </c>
      <c r="E1952">
        <v>0</v>
      </c>
      <c r="F1952">
        <v>49682137</v>
      </c>
      <c r="G1952">
        <v>107751.83</v>
      </c>
      <c r="H1952">
        <v>49455960.899999999</v>
      </c>
      <c r="I1952">
        <v>49573451.18</v>
      </c>
      <c r="J1952">
        <v>2.8232E-2</v>
      </c>
      <c r="K1952">
        <v>2.2599999999999999E-4</v>
      </c>
      <c r="M1952" t="s">
        <v>2</v>
      </c>
      <c r="N1952">
        <v>3250</v>
      </c>
      <c r="O1952">
        <v>20</v>
      </c>
      <c r="P1952">
        <v>10</v>
      </c>
      <c r="Q1952">
        <v>0</v>
      </c>
      <c r="R1952">
        <v>164975429</v>
      </c>
      <c r="S1952">
        <v>317865.56</v>
      </c>
      <c r="T1952">
        <v>163906056.09999999</v>
      </c>
      <c r="U1952">
        <v>164597137.00999999</v>
      </c>
      <c r="V1952">
        <v>5.3314E-2</v>
      </c>
      <c r="W1952">
        <v>4.3860000000000001E-3</v>
      </c>
      <c r="Y1952" t="s">
        <v>3</v>
      </c>
      <c r="Z1952">
        <v>5500</v>
      </c>
      <c r="AA1952">
        <v>24</v>
      </c>
      <c r="AB1952">
        <v>2</v>
      </c>
      <c r="AC1952">
        <v>0</v>
      </c>
      <c r="AD1952">
        <v>77347161</v>
      </c>
      <c r="AE1952">
        <v>97460.55</v>
      </c>
      <c r="AF1952">
        <v>77206527</v>
      </c>
      <c r="AG1952">
        <v>77206527</v>
      </c>
      <c r="AH1952">
        <v>6.6779999999999999E-3</v>
      </c>
      <c r="AI1952">
        <v>6.6779999999999999E-3</v>
      </c>
    </row>
    <row r="1953" spans="1:35" x14ac:dyDescent="0.35">
      <c r="A1953" t="s">
        <v>2</v>
      </c>
      <c r="B1953">
        <v>2250</v>
      </c>
      <c r="C1953">
        <v>30</v>
      </c>
      <c r="D1953">
        <v>3</v>
      </c>
      <c r="E1953">
        <v>0</v>
      </c>
      <c r="F1953">
        <v>71513299</v>
      </c>
      <c r="G1953">
        <v>166550.29999999999</v>
      </c>
      <c r="H1953">
        <v>71129826.920000002</v>
      </c>
      <c r="I1953">
        <v>71333709.569999993</v>
      </c>
      <c r="J1953">
        <v>3.5798999999999997E-2</v>
      </c>
      <c r="K1953">
        <v>2.186E-3</v>
      </c>
      <c r="M1953" t="s">
        <v>0</v>
      </c>
      <c r="N1953">
        <v>3500</v>
      </c>
      <c r="O1953">
        <v>20</v>
      </c>
      <c r="P1953">
        <v>3</v>
      </c>
      <c r="Q1953">
        <v>0</v>
      </c>
      <c r="R1953">
        <v>89558322</v>
      </c>
      <c r="S1953">
        <v>154249.28</v>
      </c>
      <c r="T1953">
        <v>89190672.700000003</v>
      </c>
      <c r="U1953">
        <v>89403855.230000004</v>
      </c>
      <c r="V1953">
        <v>2.8222000000000001E-2</v>
      </c>
      <c r="W1953">
        <v>2.9E-5</v>
      </c>
      <c r="Y1953" t="s">
        <v>0</v>
      </c>
      <c r="Z1953">
        <v>6750</v>
      </c>
      <c r="AA1953">
        <v>54</v>
      </c>
      <c r="AB1953">
        <v>1</v>
      </c>
      <c r="AC1953">
        <v>0</v>
      </c>
      <c r="AD1953">
        <v>6599536</v>
      </c>
      <c r="AE1953">
        <v>8022.75</v>
      </c>
      <c r="AF1953">
        <v>6599536</v>
      </c>
      <c r="AG1953">
        <v>6599536</v>
      </c>
      <c r="AH1953">
        <v>-1.4685999999999999E-2</v>
      </c>
      <c r="AI1953">
        <v>-1.4685999999999999E-2</v>
      </c>
    </row>
    <row r="1954" spans="1:35" x14ac:dyDescent="0.35">
      <c r="A1954" t="s">
        <v>0</v>
      </c>
      <c r="B1954">
        <v>6750</v>
      </c>
      <c r="C1954">
        <v>54</v>
      </c>
      <c r="D1954">
        <v>1</v>
      </c>
      <c r="E1954">
        <v>0</v>
      </c>
      <c r="F1954">
        <v>6599536</v>
      </c>
      <c r="G1954">
        <v>8076.86</v>
      </c>
      <c r="H1954">
        <v>6567362.1200000001</v>
      </c>
      <c r="I1954">
        <v>6587883.2400000002</v>
      </c>
      <c r="J1954">
        <v>4.2946999999999999E-2</v>
      </c>
      <c r="K1954">
        <v>6.483E-3</v>
      </c>
      <c r="M1954" t="s">
        <v>2</v>
      </c>
      <c r="N1954">
        <v>3750</v>
      </c>
      <c r="O1954">
        <v>20</v>
      </c>
      <c r="P1954">
        <v>9</v>
      </c>
      <c r="Q1954">
        <v>0</v>
      </c>
      <c r="R1954">
        <v>150586618</v>
      </c>
      <c r="S1954">
        <v>254331.77</v>
      </c>
      <c r="T1954">
        <v>148776016.47</v>
      </c>
      <c r="U1954">
        <v>149276372.19999999</v>
      </c>
      <c r="V1954">
        <v>0.117205</v>
      </c>
      <c r="W1954">
        <v>8.0974000000000004E-2</v>
      </c>
      <c r="Y1954" t="s">
        <v>1</v>
      </c>
      <c r="Z1954">
        <v>2750</v>
      </c>
      <c r="AA1954">
        <v>24</v>
      </c>
      <c r="AB1954">
        <v>10</v>
      </c>
      <c r="AC1954">
        <v>0</v>
      </c>
      <c r="AD1954">
        <v>394250936</v>
      </c>
      <c r="AE1954">
        <v>852666.65</v>
      </c>
      <c r="AF1954">
        <v>361402283</v>
      </c>
      <c r="AG1954">
        <v>393400287.86000001</v>
      </c>
      <c r="AH1954">
        <v>0.63784099999999999</v>
      </c>
      <c r="AI1954">
        <v>-6.0999999999999999E-5</v>
      </c>
    </row>
    <row r="1955" spans="1:35" x14ac:dyDescent="0.35">
      <c r="A1955" t="s">
        <v>1</v>
      </c>
      <c r="B1955">
        <v>3250</v>
      </c>
      <c r="C1955">
        <v>24</v>
      </c>
      <c r="D1955">
        <v>19</v>
      </c>
      <c r="E1955">
        <v>0</v>
      </c>
      <c r="F1955">
        <v>655224565</v>
      </c>
      <c r="G1955">
        <v>1225128.1100000001</v>
      </c>
      <c r="H1955">
        <v>644852471.44000006</v>
      </c>
      <c r="I1955">
        <v>647991397.52999997</v>
      </c>
      <c r="J1955">
        <v>0.15523799999999999</v>
      </c>
      <c r="K1955">
        <v>0.10465000000000001</v>
      </c>
      <c r="M1955" t="s">
        <v>1</v>
      </c>
      <c r="N1955">
        <v>3250</v>
      </c>
      <c r="O1955">
        <v>20</v>
      </c>
      <c r="P1955">
        <v>11</v>
      </c>
      <c r="Q1955">
        <v>0</v>
      </c>
      <c r="R1955">
        <v>320048996</v>
      </c>
      <c r="S1955">
        <v>573869.31999999995</v>
      </c>
      <c r="T1955">
        <v>318116952.75999999</v>
      </c>
      <c r="U1955">
        <v>319278782.73000002</v>
      </c>
      <c r="V1955">
        <v>4.9751999999999998E-2</v>
      </c>
      <c r="W1955">
        <v>7.3369999999999998E-3</v>
      </c>
      <c r="Y1955" t="s">
        <v>0</v>
      </c>
      <c r="Z1955">
        <v>2250</v>
      </c>
      <c r="AA1955">
        <v>24</v>
      </c>
      <c r="AB1955">
        <v>1</v>
      </c>
      <c r="AC1955">
        <v>0</v>
      </c>
      <c r="AD1955">
        <v>43062583</v>
      </c>
      <c r="AE1955">
        <v>91750.39</v>
      </c>
      <c r="AF1955">
        <v>42970832</v>
      </c>
      <c r="AG1955">
        <v>42970832</v>
      </c>
      <c r="AH1955">
        <v>0</v>
      </c>
      <c r="AI1955">
        <v>0</v>
      </c>
    </row>
    <row r="1956" spans="1:35" x14ac:dyDescent="0.35">
      <c r="A1956" t="s">
        <v>0</v>
      </c>
      <c r="B1956">
        <v>2250</v>
      </c>
      <c r="C1956">
        <v>24</v>
      </c>
      <c r="D1956">
        <v>1</v>
      </c>
      <c r="E1956">
        <v>0</v>
      </c>
      <c r="F1956">
        <v>42970832</v>
      </c>
      <c r="G1956">
        <v>91922.42</v>
      </c>
      <c r="H1956">
        <v>42790616.530000001</v>
      </c>
      <c r="I1956">
        <v>42878888.600000001</v>
      </c>
      <c r="J1956">
        <v>2.4379999999999999E-2</v>
      </c>
      <c r="K1956">
        <v>6.0000000000000002E-6</v>
      </c>
      <c r="M1956" t="s">
        <v>1</v>
      </c>
      <c r="N1956">
        <v>3750</v>
      </c>
      <c r="O1956">
        <v>20</v>
      </c>
      <c r="P1956">
        <v>14</v>
      </c>
      <c r="Q1956">
        <v>0</v>
      </c>
      <c r="R1956">
        <v>549217154</v>
      </c>
      <c r="S1956">
        <v>921440.59</v>
      </c>
      <c r="T1956">
        <v>536688372.94</v>
      </c>
      <c r="U1956">
        <v>539528106.82000005</v>
      </c>
      <c r="V1956">
        <v>0.22611400000000001</v>
      </c>
      <c r="W1956">
        <v>0.17560999999999999</v>
      </c>
      <c r="Y1956" t="s">
        <v>0</v>
      </c>
      <c r="Z1956">
        <v>2500</v>
      </c>
      <c r="AA1956">
        <v>24</v>
      </c>
      <c r="AB1956">
        <v>1</v>
      </c>
      <c r="AC1956">
        <v>0</v>
      </c>
      <c r="AD1956">
        <v>29063356</v>
      </c>
      <c r="AE1956">
        <v>59813.73</v>
      </c>
      <c r="AF1956">
        <v>29003294</v>
      </c>
      <c r="AG1956">
        <v>29003294</v>
      </c>
      <c r="AH1956">
        <v>1.03E-4</v>
      </c>
      <c r="AI1956">
        <v>1.03E-4</v>
      </c>
    </row>
    <row r="1957" spans="1:35" x14ac:dyDescent="0.35">
      <c r="A1957" t="s">
        <v>1</v>
      </c>
      <c r="B1957">
        <v>3000</v>
      </c>
      <c r="C1957">
        <v>24</v>
      </c>
      <c r="D1957">
        <v>12</v>
      </c>
      <c r="E1957">
        <v>0</v>
      </c>
      <c r="F1957">
        <v>345237775</v>
      </c>
      <c r="G1957">
        <v>731638.69</v>
      </c>
      <c r="H1957">
        <v>339864992.67000002</v>
      </c>
      <c r="I1957">
        <v>341275479.94999999</v>
      </c>
      <c r="J1957">
        <v>0.14991099999999999</v>
      </c>
      <c r="K1957">
        <v>0.10668999999999999</v>
      </c>
      <c r="M1957" t="s">
        <v>0</v>
      </c>
      <c r="N1957">
        <v>3750</v>
      </c>
      <c r="O1957">
        <v>20</v>
      </c>
      <c r="P1957">
        <v>5</v>
      </c>
      <c r="Q1957">
        <v>0</v>
      </c>
      <c r="R1957">
        <v>188208952</v>
      </c>
      <c r="S1957">
        <v>310213.78999999998</v>
      </c>
      <c r="T1957">
        <v>187559138.09</v>
      </c>
      <c r="U1957">
        <v>187896477.31</v>
      </c>
      <c r="V1957">
        <v>2.1439E-2</v>
      </c>
      <c r="W1957">
        <v>1.44E-4</v>
      </c>
      <c r="Y1957" t="s">
        <v>0</v>
      </c>
      <c r="Z1957">
        <v>2750</v>
      </c>
      <c r="AA1957">
        <v>24</v>
      </c>
      <c r="AB1957">
        <v>2</v>
      </c>
      <c r="AC1957">
        <v>0</v>
      </c>
      <c r="AD1957">
        <v>39089935</v>
      </c>
      <c r="AE1957">
        <v>87795.66</v>
      </c>
      <c r="AF1957">
        <v>38999428</v>
      </c>
      <c r="AG1957">
        <v>38999428</v>
      </c>
      <c r="AH1957">
        <v>8.3199999999999995E-4</v>
      </c>
      <c r="AI1957">
        <v>8.3199999999999995E-4</v>
      </c>
    </row>
    <row r="1958" spans="1:35" x14ac:dyDescent="0.35">
      <c r="A1958" t="s">
        <v>0</v>
      </c>
      <c r="B1958">
        <v>3500</v>
      </c>
      <c r="C1958">
        <v>24</v>
      </c>
      <c r="D1958">
        <v>5</v>
      </c>
      <c r="E1958">
        <v>0</v>
      </c>
      <c r="F1958">
        <v>126684222</v>
      </c>
      <c r="G1958">
        <v>222324.85</v>
      </c>
      <c r="H1958">
        <v>126209977.09999999</v>
      </c>
      <c r="I1958">
        <v>126449102.45999999</v>
      </c>
      <c r="J1958">
        <v>2.3604E-2</v>
      </c>
      <c r="K1958">
        <v>1.2110000000000001E-3</v>
      </c>
      <c r="M1958" t="s">
        <v>1</v>
      </c>
      <c r="N1958">
        <v>4000</v>
      </c>
      <c r="O1958">
        <v>20</v>
      </c>
      <c r="P1958">
        <v>29</v>
      </c>
      <c r="Q1958">
        <v>0</v>
      </c>
      <c r="R1958">
        <v>1184090977</v>
      </c>
      <c r="S1958">
        <v>1945481.18</v>
      </c>
      <c r="T1958">
        <v>1151703678</v>
      </c>
      <c r="U1958">
        <v>1157917827.4200001</v>
      </c>
      <c r="V1958">
        <v>0.26841599999999999</v>
      </c>
      <c r="W1958">
        <v>0.21970100000000001</v>
      </c>
      <c r="Y1958" t="s">
        <v>2</v>
      </c>
      <c r="Z1958">
        <v>2750</v>
      </c>
      <c r="AA1958">
        <v>24</v>
      </c>
      <c r="AB1958">
        <v>10</v>
      </c>
      <c r="AC1958">
        <v>0</v>
      </c>
      <c r="AD1958">
        <v>162630825</v>
      </c>
      <c r="AE1958">
        <v>339336.61</v>
      </c>
      <c r="AF1958">
        <v>162462753</v>
      </c>
      <c r="AG1958">
        <v>162462753</v>
      </c>
      <c r="AH1958">
        <v>-1.2711E-2</v>
      </c>
      <c r="AI1958">
        <v>-1.2711E-2</v>
      </c>
    </row>
    <row r="1959" spans="1:35" x14ac:dyDescent="0.35">
      <c r="A1959" t="s">
        <v>2</v>
      </c>
      <c r="B1959">
        <v>3500</v>
      </c>
      <c r="C1959">
        <v>24</v>
      </c>
      <c r="D1959">
        <v>22</v>
      </c>
      <c r="E1959">
        <v>0</v>
      </c>
      <c r="F1959">
        <v>339864898</v>
      </c>
      <c r="G1959">
        <v>623303.96</v>
      </c>
      <c r="H1959">
        <v>337624129.25</v>
      </c>
      <c r="I1959">
        <v>338762723.12</v>
      </c>
      <c r="J1959">
        <v>5.5638E-2</v>
      </c>
      <c r="K1959">
        <v>1.6778000000000001E-2</v>
      </c>
      <c r="M1959" t="s">
        <v>0</v>
      </c>
      <c r="N1959">
        <v>4000</v>
      </c>
      <c r="O1959">
        <v>20</v>
      </c>
      <c r="P1959">
        <v>6</v>
      </c>
      <c r="Q1959">
        <v>0</v>
      </c>
      <c r="R1959">
        <v>249955620</v>
      </c>
      <c r="S1959">
        <v>397537.37</v>
      </c>
      <c r="T1959">
        <v>248674044.53</v>
      </c>
      <c r="U1959">
        <v>249555214.88999999</v>
      </c>
      <c r="V1959">
        <v>4.1625000000000002E-2</v>
      </c>
      <c r="W1959">
        <v>1.3799999999999999E-4</v>
      </c>
      <c r="Y1959" t="s">
        <v>2</v>
      </c>
      <c r="Z1959">
        <v>3250</v>
      </c>
      <c r="AA1959">
        <v>24</v>
      </c>
      <c r="AB1959">
        <v>12</v>
      </c>
      <c r="AC1959">
        <v>0</v>
      </c>
      <c r="AD1959">
        <v>192952269</v>
      </c>
      <c r="AE1959">
        <v>377649.05</v>
      </c>
      <c r="AF1959">
        <v>192777657</v>
      </c>
      <c r="AG1959">
        <v>192777657</v>
      </c>
      <c r="AH1959">
        <v>-1.2701E-2</v>
      </c>
      <c r="AI1959">
        <v>-1.2701E-2</v>
      </c>
    </row>
    <row r="1960" spans="1:35" x14ac:dyDescent="0.35">
      <c r="A1960" t="s">
        <v>0</v>
      </c>
      <c r="B1960">
        <v>3750</v>
      </c>
      <c r="C1960">
        <v>24</v>
      </c>
      <c r="D1960">
        <v>13</v>
      </c>
      <c r="E1960">
        <v>0</v>
      </c>
      <c r="F1960">
        <v>474746520</v>
      </c>
      <c r="G1960">
        <v>793575.1</v>
      </c>
      <c r="H1960">
        <v>473174283.41000003</v>
      </c>
      <c r="I1960">
        <v>473950013.50999999</v>
      </c>
      <c r="J1960">
        <v>1.9505000000000002E-2</v>
      </c>
      <c r="K1960">
        <v>7.3999999999999996E-5</v>
      </c>
      <c r="M1960" t="s">
        <v>2</v>
      </c>
      <c r="N1960">
        <v>4000</v>
      </c>
      <c r="O1960">
        <v>20</v>
      </c>
      <c r="P1960">
        <v>5</v>
      </c>
      <c r="Q1960">
        <v>0</v>
      </c>
      <c r="R1960">
        <v>82477217</v>
      </c>
      <c r="S1960">
        <v>141317.60999999999</v>
      </c>
      <c r="T1960">
        <v>80944963.040000007</v>
      </c>
      <c r="U1960">
        <v>81587915.049999997</v>
      </c>
      <c r="V1960">
        <v>0.18461900000000001</v>
      </c>
      <c r="W1960">
        <v>0.10356</v>
      </c>
      <c r="Y1960" t="s">
        <v>2</v>
      </c>
      <c r="Z1960">
        <v>3000</v>
      </c>
      <c r="AA1960">
        <v>24</v>
      </c>
      <c r="AB1960">
        <v>12</v>
      </c>
      <c r="AC1960">
        <v>0</v>
      </c>
      <c r="AD1960">
        <v>222215628</v>
      </c>
      <c r="AE1960">
        <v>446114.91</v>
      </c>
      <c r="AF1960">
        <v>212384409</v>
      </c>
      <c r="AG1960">
        <v>212384409</v>
      </c>
      <c r="AH1960">
        <v>0.40418500000000002</v>
      </c>
      <c r="AI1960">
        <v>0.40418500000000002</v>
      </c>
    </row>
    <row r="1961" spans="1:35" x14ac:dyDescent="0.35">
      <c r="A1961" t="s">
        <v>1</v>
      </c>
      <c r="B1961">
        <v>3750</v>
      </c>
      <c r="C1961">
        <v>24</v>
      </c>
      <c r="D1961">
        <v>31</v>
      </c>
      <c r="E1961">
        <v>0</v>
      </c>
      <c r="F1961">
        <v>1080345259</v>
      </c>
      <c r="G1961">
        <v>1867995.58</v>
      </c>
      <c r="H1961">
        <v>1056959511.77</v>
      </c>
      <c r="I1961">
        <v>1062996321.8200001</v>
      </c>
      <c r="J1961">
        <v>0.21448999999999999</v>
      </c>
      <c r="K1961">
        <v>0.15903</v>
      </c>
      <c r="M1961" t="s">
        <v>0</v>
      </c>
      <c r="N1961">
        <v>4250</v>
      </c>
      <c r="O1961">
        <v>20</v>
      </c>
      <c r="P1961">
        <v>445</v>
      </c>
      <c r="Q1961">
        <v>0</v>
      </c>
      <c r="R1961">
        <v>11694003022</v>
      </c>
      <c r="S1961">
        <v>17737727</v>
      </c>
      <c r="T1961">
        <v>11663260123.120001</v>
      </c>
      <c r="U1961">
        <v>11671560341.889999</v>
      </c>
      <c r="V1961">
        <v>1.3264E-2</v>
      </c>
      <c r="W1961">
        <v>4.8170000000000001E-3</v>
      </c>
      <c r="Y1961" t="s">
        <v>2</v>
      </c>
      <c r="Z1961">
        <v>3500</v>
      </c>
      <c r="AA1961">
        <v>24</v>
      </c>
      <c r="AB1961">
        <v>22</v>
      </c>
      <c r="AC1961">
        <v>0</v>
      </c>
      <c r="AD1961">
        <v>300029654</v>
      </c>
      <c r="AE1961">
        <v>552006.54</v>
      </c>
      <c r="AF1961">
        <v>299411067</v>
      </c>
      <c r="AG1961">
        <v>299411067</v>
      </c>
      <c r="AH1961">
        <v>2.66E-3</v>
      </c>
      <c r="AI1961">
        <v>2.66E-3</v>
      </c>
    </row>
    <row r="1962" spans="1:35" x14ac:dyDescent="0.35">
      <c r="A1962" t="s">
        <v>1</v>
      </c>
      <c r="B1962">
        <v>4250</v>
      </c>
      <c r="C1962">
        <v>24</v>
      </c>
      <c r="D1962">
        <v>246</v>
      </c>
      <c r="E1962">
        <v>0</v>
      </c>
      <c r="F1962">
        <v>6972115475</v>
      </c>
      <c r="G1962">
        <v>10887727.17</v>
      </c>
      <c r="H1962">
        <v>6892663726.1499996</v>
      </c>
      <c r="I1962">
        <v>6914605919.8100004</v>
      </c>
      <c r="J1962">
        <v>0.11183</v>
      </c>
      <c r="K1962">
        <v>7.7355999999999994E-2</v>
      </c>
      <c r="M1962" t="s">
        <v>1</v>
      </c>
      <c r="N1962">
        <v>4250</v>
      </c>
      <c r="O1962">
        <v>20</v>
      </c>
      <c r="P1962">
        <v>178</v>
      </c>
      <c r="Q1962">
        <v>0</v>
      </c>
      <c r="R1962">
        <v>4942473692</v>
      </c>
      <c r="S1962">
        <v>7597329.3200000003</v>
      </c>
      <c r="T1962">
        <v>4909238142.8800001</v>
      </c>
      <c r="U1962">
        <v>4919894706.3299999</v>
      </c>
      <c r="V1962">
        <v>6.0502E-2</v>
      </c>
      <c r="W1962">
        <v>3.5774E-2</v>
      </c>
      <c r="Y1962" t="s">
        <v>0</v>
      </c>
      <c r="Z1962">
        <v>3250</v>
      </c>
      <c r="AA1962">
        <v>24</v>
      </c>
      <c r="AB1962">
        <v>4</v>
      </c>
      <c r="AC1962">
        <v>0</v>
      </c>
      <c r="AD1962">
        <v>120329172</v>
      </c>
      <c r="AE1962">
        <v>218104.43</v>
      </c>
      <c r="AF1962">
        <v>120202211</v>
      </c>
      <c r="AG1962">
        <v>120202211</v>
      </c>
      <c r="AH1962">
        <v>-9.1269999999999997E-3</v>
      </c>
      <c r="AI1962">
        <v>-9.1269999999999997E-3</v>
      </c>
    </row>
    <row r="1963" spans="1:35" x14ac:dyDescent="0.35">
      <c r="A1963" t="s">
        <v>1</v>
      </c>
      <c r="B1963">
        <v>4000</v>
      </c>
      <c r="C1963">
        <v>24</v>
      </c>
      <c r="D1963">
        <v>57</v>
      </c>
      <c r="E1963">
        <v>0</v>
      </c>
      <c r="F1963">
        <v>2193606982</v>
      </c>
      <c r="G1963">
        <v>3622971.09</v>
      </c>
      <c r="H1963">
        <v>2145237616.51</v>
      </c>
      <c r="I1963">
        <v>2159614108.2800002</v>
      </c>
      <c r="J1963">
        <v>0.21910399999999999</v>
      </c>
      <c r="K1963">
        <v>0.15405199999999999</v>
      </c>
      <c r="M1963" t="s">
        <v>2</v>
      </c>
      <c r="N1963">
        <v>4500</v>
      </c>
      <c r="O1963">
        <v>20</v>
      </c>
      <c r="P1963">
        <v>23</v>
      </c>
      <c r="Q1963">
        <v>0</v>
      </c>
      <c r="R1963">
        <v>549352599</v>
      </c>
      <c r="S1963">
        <v>800539.3</v>
      </c>
      <c r="T1963">
        <v>547555401.28999996</v>
      </c>
      <c r="U1963">
        <v>548545690.50999999</v>
      </c>
      <c r="V1963">
        <v>2.1555000000000001E-2</v>
      </c>
      <c r="W1963">
        <v>1.3899999999999999E-4</v>
      </c>
      <c r="Y1963" t="s">
        <v>2</v>
      </c>
      <c r="Z1963">
        <v>4250</v>
      </c>
      <c r="AA1963">
        <v>24</v>
      </c>
      <c r="AB1963">
        <v>26</v>
      </c>
      <c r="AC1963">
        <v>0</v>
      </c>
      <c r="AD1963">
        <v>509163482</v>
      </c>
      <c r="AE1963">
        <v>790383.18</v>
      </c>
      <c r="AF1963">
        <v>492141051</v>
      </c>
      <c r="AG1963">
        <v>492141051</v>
      </c>
      <c r="AH1963">
        <v>0.32212299999999999</v>
      </c>
      <c r="AI1963">
        <v>0.32212299999999999</v>
      </c>
    </row>
    <row r="1964" spans="1:35" x14ac:dyDescent="0.35">
      <c r="A1964" t="s">
        <v>2</v>
      </c>
      <c r="B1964">
        <v>4250</v>
      </c>
      <c r="C1964">
        <v>24</v>
      </c>
      <c r="D1964">
        <v>29</v>
      </c>
      <c r="E1964">
        <v>0</v>
      </c>
      <c r="F1964">
        <v>629366825</v>
      </c>
      <c r="G1964">
        <v>984915.21</v>
      </c>
      <c r="H1964">
        <v>625661984.40999997</v>
      </c>
      <c r="I1964">
        <v>626843591.20000005</v>
      </c>
      <c r="J1964">
        <v>5.0645000000000003E-2</v>
      </c>
      <c r="K1964">
        <v>2.894E-2</v>
      </c>
      <c r="M1964" t="s">
        <v>2</v>
      </c>
      <c r="N1964">
        <v>4250</v>
      </c>
      <c r="O1964">
        <v>20</v>
      </c>
      <c r="P1964">
        <v>18</v>
      </c>
      <c r="Q1964">
        <v>0</v>
      </c>
      <c r="R1964">
        <v>378228972</v>
      </c>
      <c r="S1964">
        <v>574608.87</v>
      </c>
      <c r="T1964">
        <v>376369144.94</v>
      </c>
      <c r="U1964">
        <v>376973781.32999998</v>
      </c>
      <c r="V1964">
        <v>4.0022000000000002E-2</v>
      </c>
      <c r="W1964">
        <v>2.138E-2</v>
      </c>
      <c r="Y1964" t="s">
        <v>1</v>
      </c>
      <c r="Z1964">
        <v>2250</v>
      </c>
      <c r="AA1964">
        <v>24</v>
      </c>
      <c r="AB1964">
        <v>15</v>
      </c>
      <c r="AC1964">
        <v>0</v>
      </c>
      <c r="AD1964">
        <v>702042097</v>
      </c>
      <c r="AE1964">
        <v>1641882.46</v>
      </c>
      <c r="AF1964">
        <v>700427394</v>
      </c>
      <c r="AG1964">
        <v>700427394</v>
      </c>
      <c r="AH1964">
        <v>-4.6500000000000003E-4</v>
      </c>
      <c r="AI1964">
        <v>-4.6500000000000003E-4</v>
      </c>
    </row>
    <row r="1965" spans="1:35" x14ac:dyDescent="0.35">
      <c r="A1965" t="s">
        <v>0</v>
      </c>
      <c r="B1965">
        <v>4250</v>
      </c>
      <c r="C1965">
        <v>24</v>
      </c>
      <c r="D1965">
        <v>577</v>
      </c>
      <c r="E1965">
        <v>0</v>
      </c>
      <c r="F1965">
        <v>15592098949</v>
      </c>
      <c r="G1965">
        <v>23992172.370000001</v>
      </c>
      <c r="H1965">
        <v>15527897465.030001</v>
      </c>
      <c r="I1965">
        <v>15547946425.99</v>
      </c>
      <c r="J1965">
        <v>3.0511E-2</v>
      </c>
      <c r="K1965">
        <v>1.5406E-2</v>
      </c>
      <c r="M1965" t="s">
        <v>3</v>
      </c>
      <c r="N1965">
        <v>5250</v>
      </c>
      <c r="O1965">
        <v>20</v>
      </c>
      <c r="P1965">
        <v>3</v>
      </c>
      <c r="Q1965">
        <v>0</v>
      </c>
      <c r="R1965">
        <v>79973541</v>
      </c>
      <c r="S1965">
        <v>102164.57</v>
      </c>
      <c r="T1965">
        <v>79590421.040000007</v>
      </c>
      <c r="U1965">
        <v>79871374.189999998</v>
      </c>
      <c r="V1965">
        <v>4.1352E-2</v>
      </c>
      <c r="W1965">
        <v>0</v>
      </c>
      <c r="Y1965" t="s">
        <v>3</v>
      </c>
      <c r="Z1965">
        <v>5250</v>
      </c>
      <c r="AA1965">
        <v>24</v>
      </c>
      <c r="AB1965">
        <v>3</v>
      </c>
      <c r="AC1965">
        <v>0</v>
      </c>
      <c r="AD1965">
        <v>79756487</v>
      </c>
      <c r="AE1965">
        <v>103044.63</v>
      </c>
      <c r="AF1965">
        <v>79647247</v>
      </c>
      <c r="AG1965">
        <v>79647247</v>
      </c>
      <c r="AH1965">
        <v>9.3199999999999999E-4</v>
      </c>
      <c r="AI1965">
        <v>9.3199999999999999E-4</v>
      </c>
    </row>
    <row r="1966" spans="1:35" x14ac:dyDescent="0.35">
      <c r="A1966" t="s">
        <v>2</v>
      </c>
      <c r="B1966">
        <v>2250</v>
      </c>
      <c r="C1966">
        <v>24</v>
      </c>
      <c r="D1966">
        <v>2</v>
      </c>
      <c r="E1966">
        <v>0</v>
      </c>
      <c r="F1966">
        <v>35537326</v>
      </c>
      <c r="G1966">
        <v>82696.66</v>
      </c>
      <c r="H1966">
        <v>35415611.359999999</v>
      </c>
      <c r="I1966">
        <v>35451327.140000001</v>
      </c>
      <c r="J1966">
        <v>1.3096E-2</v>
      </c>
      <c r="K1966">
        <v>1.114E-3</v>
      </c>
      <c r="M1966" t="s">
        <v>3</v>
      </c>
      <c r="N1966">
        <v>5500</v>
      </c>
      <c r="O1966">
        <v>20</v>
      </c>
      <c r="P1966">
        <v>1</v>
      </c>
      <c r="Q1966">
        <v>0</v>
      </c>
      <c r="R1966">
        <v>43836903</v>
      </c>
      <c r="S1966">
        <v>53807.85</v>
      </c>
      <c r="T1966">
        <v>43679688.789999999</v>
      </c>
      <c r="U1966">
        <v>43783094.960000001</v>
      </c>
      <c r="V1966">
        <v>2.7942000000000002E-2</v>
      </c>
      <c r="W1966">
        <v>0</v>
      </c>
      <c r="Y1966" t="s">
        <v>1</v>
      </c>
      <c r="Z1966">
        <v>2500</v>
      </c>
      <c r="AA1966">
        <v>24</v>
      </c>
      <c r="AB1966">
        <v>4</v>
      </c>
      <c r="AC1966">
        <v>0</v>
      </c>
      <c r="AD1966">
        <v>153320838</v>
      </c>
      <c r="AE1966">
        <v>350008.51</v>
      </c>
      <c r="AF1966">
        <v>152901372</v>
      </c>
      <c r="AG1966">
        <v>152901372</v>
      </c>
      <c r="AH1966">
        <v>5.4229999999999999E-3</v>
      </c>
      <c r="AI1966">
        <v>5.4229999999999999E-3</v>
      </c>
    </row>
    <row r="1967" spans="1:35" x14ac:dyDescent="0.35">
      <c r="A1967" t="s">
        <v>2</v>
      </c>
      <c r="B1967">
        <v>2750</v>
      </c>
      <c r="C1967">
        <v>24</v>
      </c>
      <c r="D1967">
        <v>9</v>
      </c>
      <c r="E1967">
        <v>0</v>
      </c>
      <c r="F1967">
        <v>140278980</v>
      </c>
      <c r="G1967">
        <v>284861.63</v>
      </c>
      <c r="H1967">
        <v>138241741.12</v>
      </c>
      <c r="I1967">
        <v>138784575.55000001</v>
      </c>
      <c r="J1967">
        <v>0.14002300000000001</v>
      </c>
      <c r="K1967">
        <v>9.8699999999999996E-2</v>
      </c>
      <c r="M1967" t="s">
        <v>1</v>
      </c>
      <c r="N1967">
        <v>8500</v>
      </c>
      <c r="O1967">
        <v>20</v>
      </c>
      <c r="P1967">
        <v>8</v>
      </c>
      <c r="Q1967">
        <v>0</v>
      </c>
      <c r="R1967">
        <v>177107182</v>
      </c>
      <c r="S1967">
        <v>125208.66</v>
      </c>
      <c r="T1967">
        <v>159897308.47999999</v>
      </c>
      <c r="U1967">
        <v>163971964.5</v>
      </c>
      <c r="V1967">
        <v>0.70396800000000004</v>
      </c>
      <c r="W1967">
        <v>0.59970599999999996</v>
      </c>
      <c r="Y1967" t="s">
        <v>0</v>
      </c>
      <c r="Z1967">
        <v>20000</v>
      </c>
      <c r="AA1967">
        <v>24</v>
      </c>
      <c r="AB1967">
        <v>1</v>
      </c>
      <c r="AC1967">
        <v>0</v>
      </c>
      <c r="AD1967">
        <v>18407293</v>
      </c>
      <c r="AE1967">
        <v>11720.9</v>
      </c>
      <c r="AF1967">
        <v>18395475</v>
      </c>
      <c r="AG1967">
        <v>18395475</v>
      </c>
      <c r="AH1967">
        <v>6.3E-5</v>
      </c>
      <c r="AI1967">
        <v>6.3E-5</v>
      </c>
    </row>
    <row r="1968" spans="1:35" x14ac:dyDescent="0.35">
      <c r="A1968" t="s">
        <v>2</v>
      </c>
      <c r="B1968">
        <v>3000</v>
      </c>
      <c r="C1968">
        <v>24</v>
      </c>
      <c r="D1968">
        <v>12</v>
      </c>
      <c r="E1968">
        <v>0</v>
      </c>
      <c r="F1968">
        <v>202231589</v>
      </c>
      <c r="G1968">
        <v>393320.84</v>
      </c>
      <c r="H1968">
        <v>200041452.34</v>
      </c>
      <c r="I1968">
        <v>200454824.24000001</v>
      </c>
      <c r="J1968">
        <v>0.10156</v>
      </c>
      <c r="K1968">
        <v>7.9071000000000002E-2</v>
      </c>
      <c r="M1968" t="s">
        <v>1</v>
      </c>
      <c r="N1968">
        <v>9000</v>
      </c>
      <c r="O1968">
        <v>20</v>
      </c>
      <c r="P1968">
        <v>3</v>
      </c>
      <c r="Q1968">
        <v>0</v>
      </c>
      <c r="R1968">
        <v>73765380</v>
      </c>
      <c r="S1968">
        <v>49970.34</v>
      </c>
      <c r="T1968">
        <v>66479493.770000003</v>
      </c>
      <c r="U1968">
        <v>73714786.920000002</v>
      </c>
      <c r="V1968">
        <v>0.71030700000000002</v>
      </c>
      <c r="W1968">
        <v>1.01E-4</v>
      </c>
      <c r="Y1968" t="s">
        <v>1</v>
      </c>
      <c r="Z1968">
        <v>2750</v>
      </c>
      <c r="AA1968">
        <v>20</v>
      </c>
      <c r="AB1968">
        <v>7</v>
      </c>
      <c r="AC1968">
        <v>0</v>
      </c>
      <c r="AD1968">
        <v>324555704</v>
      </c>
      <c r="AE1968">
        <v>672069.56</v>
      </c>
      <c r="AF1968">
        <v>323678134</v>
      </c>
      <c r="AG1968">
        <v>323678134</v>
      </c>
      <c r="AH1968">
        <v>7.5719999999999997E-3</v>
      </c>
      <c r="AI1968">
        <v>7.5719999999999997E-3</v>
      </c>
    </row>
    <row r="1969" spans="1:35" x14ac:dyDescent="0.35">
      <c r="A1969" t="s">
        <v>1</v>
      </c>
      <c r="B1969">
        <v>3500</v>
      </c>
      <c r="C1969">
        <v>24</v>
      </c>
      <c r="D1969">
        <v>19</v>
      </c>
      <c r="E1969">
        <v>0</v>
      </c>
      <c r="F1969">
        <v>724576031</v>
      </c>
      <c r="G1969">
        <v>1339533</v>
      </c>
      <c r="H1969">
        <v>712553704.28999996</v>
      </c>
      <c r="I1969">
        <v>716704259.87</v>
      </c>
      <c r="J1969">
        <v>0.16325799999999999</v>
      </c>
      <c r="K1969">
        <v>0.102977</v>
      </c>
      <c r="M1969" t="s">
        <v>2</v>
      </c>
      <c r="N1969">
        <v>2750</v>
      </c>
      <c r="O1969">
        <v>20</v>
      </c>
      <c r="P1969">
        <v>3</v>
      </c>
      <c r="Q1969">
        <v>0</v>
      </c>
      <c r="R1969">
        <v>54419795</v>
      </c>
      <c r="S1969">
        <v>110218.05</v>
      </c>
      <c r="T1969">
        <v>53303139.840000004</v>
      </c>
      <c r="U1969">
        <v>53905514.329999998</v>
      </c>
      <c r="V1969">
        <v>0.20068900000000001</v>
      </c>
      <c r="W1969">
        <v>8.5549E-2</v>
      </c>
      <c r="Y1969" t="s">
        <v>1</v>
      </c>
      <c r="Z1969">
        <v>3250</v>
      </c>
      <c r="AA1969">
        <v>20</v>
      </c>
      <c r="AB1969">
        <v>12</v>
      </c>
      <c r="AC1969">
        <v>0</v>
      </c>
      <c r="AD1969">
        <v>413134226</v>
      </c>
      <c r="AE1969">
        <v>816593.49</v>
      </c>
      <c r="AF1969">
        <v>412470694</v>
      </c>
      <c r="AG1969">
        <v>412470694</v>
      </c>
      <c r="AH1969">
        <v>-4.4549999999999998E-3</v>
      </c>
      <c r="AI1969">
        <v>-4.4549999999999998E-3</v>
      </c>
    </row>
    <row r="1970" spans="1:35" x14ac:dyDescent="0.35">
      <c r="A1970" t="s">
        <v>2</v>
      </c>
      <c r="B1970">
        <v>3750</v>
      </c>
      <c r="C1970">
        <v>24</v>
      </c>
      <c r="D1970">
        <v>22</v>
      </c>
      <c r="E1970">
        <v>0</v>
      </c>
      <c r="F1970">
        <v>319002771</v>
      </c>
      <c r="G1970">
        <v>548259.97</v>
      </c>
      <c r="H1970">
        <v>315558976.37</v>
      </c>
      <c r="I1970">
        <v>316805641.73000002</v>
      </c>
      <c r="J1970">
        <v>0.103646</v>
      </c>
      <c r="K1970">
        <v>6.0292999999999999E-2</v>
      </c>
      <c r="M1970" t="s">
        <v>1</v>
      </c>
      <c r="N1970">
        <v>2250</v>
      </c>
      <c r="O1970">
        <v>20</v>
      </c>
      <c r="P1970">
        <v>6</v>
      </c>
      <c r="Q1970">
        <v>0</v>
      </c>
      <c r="R1970">
        <v>277143926</v>
      </c>
      <c r="S1970">
        <v>639764.68999999994</v>
      </c>
      <c r="T1970">
        <v>275501789.19999999</v>
      </c>
      <c r="U1970">
        <v>276503356.37</v>
      </c>
      <c r="V1970">
        <v>4.2548000000000002E-2</v>
      </c>
      <c r="W1970">
        <v>3.4999999999999997E-5</v>
      </c>
      <c r="Y1970" t="s">
        <v>2</v>
      </c>
      <c r="Z1970">
        <v>2250</v>
      </c>
      <c r="AA1970">
        <v>30</v>
      </c>
      <c r="AB1970">
        <v>2</v>
      </c>
      <c r="AC1970">
        <v>0</v>
      </c>
      <c r="AD1970">
        <v>43103868</v>
      </c>
      <c r="AE1970">
        <v>100430.35</v>
      </c>
      <c r="AF1970">
        <v>43067085</v>
      </c>
      <c r="AG1970">
        <v>43067085</v>
      </c>
      <c r="AH1970">
        <v>-1.7864000000000001E-2</v>
      </c>
      <c r="AI1970">
        <v>-1.7864000000000001E-2</v>
      </c>
    </row>
    <row r="1971" spans="1:35" x14ac:dyDescent="0.35">
      <c r="A1971" t="s">
        <v>0</v>
      </c>
      <c r="B1971">
        <v>4000</v>
      </c>
      <c r="C1971">
        <v>24</v>
      </c>
      <c r="D1971">
        <v>11</v>
      </c>
      <c r="E1971">
        <v>0</v>
      </c>
      <c r="F1971">
        <v>396976007</v>
      </c>
      <c r="G1971">
        <v>641186.91</v>
      </c>
      <c r="H1971">
        <v>394787019.70999998</v>
      </c>
      <c r="I1971">
        <v>395765027.72000003</v>
      </c>
      <c r="J1971">
        <v>4.5796999999999997E-2</v>
      </c>
      <c r="K1971">
        <v>1.7089E-2</v>
      </c>
      <c r="M1971" t="s">
        <v>1</v>
      </c>
      <c r="N1971">
        <v>2500</v>
      </c>
      <c r="O1971">
        <v>20</v>
      </c>
      <c r="P1971">
        <v>3</v>
      </c>
      <c r="Q1971">
        <v>0</v>
      </c>
      <c r="R1971">
        <v>125630493</v>
      </c>
      <c r="S1971">
        <v>285182.11</v>
      </c>
      <c r="T1971">
        <v>124431515.84999999</v>
      </c>
      <c r="U1971">
        <v>125344272.76000001</v>
      </c>
      <c r="V1971">
        <v>8.3876000000000006E-2</v>
      </c>
      <c r="W1971">
        <v>9.8999999999999994E-5</v>
      </c>
      <c r="Y1971" t="s">
        <v>1</v>
      </c>
      <c r="Z1971">
        <v>2250</v>
      </c>
      <c r="AA1971">
        <v>20</v>
      </c>
      <c r="AB1971">
        <v>5</v>
      </c>
      <c r="AC1971">
        <v>0</v>
      </c>
      <c r="AD1971">
        <v>155243959</v>
      </c>
      <c r="AE1971">
        <v>357493.19</v>
      </c>
      <c r="AF1971">
        <v>154891803</v>
      </c>
      <c r="AG1971">
        <v>154891803</v>
      </c>
      <c r="AH1971">
        <v>-4.1300000000000001E-4</v>
      </c>
      <c r="AI1971">
        <v>-4.1300000000000001E-4</v>
      </c>
    </row>
    <row r="1972" spans="1:35" x14ac:dyDescent="0.35">
      <c r="A1972" t="s">
        <v>2</v>
      </c>
      <c r="B1972">
        <v>4000</v>
      </c>
      <c r="C1972">
        <v>24</v>
      </c>
      <c r="D1972">
        <v>13</v>
      </c>
      <c r="E1972">
        <v>0</v>
      </c>
      <c r="F1972">
        <v>228120085</v>
      </c>
      <c r="G1972">
        <v>389604.81</v>
      </c>
      <c r="H1972">
        <v>225568292.22</v>
      </c>
      <c r="I1972">
        <v>226405965.65000001</v>
      </c>
      <c r="J1972">
        <v>0.10799400000000001</v>
      </c>
      <c r="K1972">
        <v>6.7491999999999996E-2</v>
      </c>
      <c r="M1972" t="s">
        <v>1</v>
      </c>
      <c r="N1972">
        <v>3000</v>
      </c>
      <c r="O1972">
        <v>20</v>
      </c>
      <c r="P1972">
        <v>9</v>
      </c>
      <c r="Q1972">
        <v>0</v>
      </c>
      <c r="R1972">
        <v>301730557</v>
      </c>
      <c r="S1972">
        <v>639565.43000000005</v>
      </c>
      <c r="T1972">
        <v>296465502.02999997</v>
      </c>
      <c r="U1972">
        <v>298154089.94</v>
      </c>
      <c r="V1972">
        <v>0.169214</v>
      </c>
      <c r="W1972">
        <v>0.110748</v>
      </c>
      <c r="Y1972" t="s">
        <v>2</v>
      </c>
      <c r="Z1972">
        <v>2500</v>
      </c>
      <c r="AA1972">
        <v>24</v>
      </c>
      <c r="AB1972">
        <v>1</v>
      </c>
      <c r="AC1972">
        <v>0</v>
      </c>
      <c r="AD1972">
        <v>13633651</v>
      </c>
      <c r="AE1972">
        <v>28292.29</v>
      </c>
      <c r="AF1972">
        <v>13633651</v>
      </c>
      <c r="AG1972">
        <v>13633651</v>
      </c>
      <c r="AH1972">
        <v>-2.5187999999999999E-2</v>
      </c>
      <c r="AI1972">
        <v>-2.5187999999999999E-2</v>
      </c>
    </row>
    <row r="1973" spans="1:35" x14ac:dyDescent="0.35">
      <c r="A1973" t="s">
        <v>2</v>
      </c>
      <c r="B1973">
        <v>4500</v>
      </c>
      <c r="C1973">
        <v>24</v>
      </c>
      <c r="D1973">
        <v>51</v>
      </c>
      <c r="E1973">
        <v>0</v>
      </c>
      <c r="F1973">
        <v>1277219084</v>
      </c>
      <c r="G1973">
        <v>1887068.29</v>
      </c>
      <c r="H1973">
        <v>1273118100.4100001</v>
      </c>
      <c r="I1973">
        <v>1275324930.4100001</v>
      </c>
      <c r="J1973">
        <v>2.0603E-2</v>
      </c>
      <c r="K1973">
        <v>6.7000000000000002E-5</v>
      </c>
      <c r="M1973" t="s">
        <v>0</v>
      </c>
      <c r="N1973">
        <v>3000</v>
      </c>
      <c r="O1973">
        <v>20</v>
      </c>
      <c r="P1973">
        <v>1</v>
      </c>
      <c r="Q1973">
        <v>0</v>
      </c>
      <c r="R1973">
        <v>34958923</v>
      </c>
      <c r="S1973">
        <v>66396.899999999994</v>
      </c>
      <c r="T1973">
        <v>34589566.75</v>
      </c>
      <c r="U1973">
        <v>34892517.390000001</v>
      </c>
      <c r="V1973">
        <v>9.9178000000000002E-2</v>
      </c>
      <c r="W1973">
        <v>3.0000000000000001E-6</v>
      </c>
      <c r="Y1973" t="s">
        <v>1</v>
      </c>
      <c r="Z1973">
        <v>3750</v>
      </c>
      <c r="AA1973">
        <v>20</v>
      </c>
      <c r="AB1973">
        <v>23</v>
      </c>
      <c r="AC1973">
        <v>0</v>
      </c>
      <c r="AD1973">
        <v>663172669</v>
      </c>
      <c r="AE1973">
        <v>1145763.23</v>
      </c>
      <c r="AF1973">
        <v>644367759</v>
      </c>
      <c r="AG1973">
        <v>662275286.57000005</v>
      </c>
      <c r="AH1973">
        <v>0.27665600000000001</v>
      </c>
      <c r="AI1973">
        <v>-4.5040000000000002E-3</v>
      </c>
    </row>
    <row r="1974" spans="1:35" x14ac:dyDescent="0.35">
      <c r="A1974" t="s">
        <v>3</v>
      </c>
      <c r="B1974">
        <v>5250</v>
      </c>
      <c r="C1974">
        <v>24</v>
      </c>
      <c r="D1974">
        <v>5</v>
      </c>
      <c r="E1974">
        <v>0</v>
      </c>
      <c r="F1974">
        <v>134315578</v>
      </c>
      <c r="G1974">
        <v>173988.98</v>
      </c>
      <c r="H1974">
        <v>133295496.62</v>
      </c>
      <c r="I1974">
        <v>134141587.09</v>
      </c>
      <c r="J1974">
        <v>7.3026999999999995E-2</v>
      </c>
      <c r="K1974">
        <v>0</v>
      </c>
      <c r="M1974" t="s">
        <v>2</v>
      </c>
      <c r="N1974">
        <v>3000</v>
      </c>
      <c r="O1974">
        <v>20</v>
      </c>
      <c r="P1974">
        <v>4</v>
      </c>
      <c r="Q1974">
        <v>0</v>
      </c>
      <c r="R1974">
        <v>64295100</v>
      </c>
      <c r="S1974">
        <v>124558.08</v>
      </c>
      <c r="T1974">
        <v>63510890.219999999</v>
      </c>
      <c r="U1974">
        <v>63831924.07</v>
      </c>
      <c r="V1974">
        <v>0.11640200000000001</v>
      </c>
      <c r="W1974">
        <v>6.1400999999999997E-2</v>
      </c>
      <c r="Y1974" t="s">
        <v>0</v>
      </c>
      <c r="Z1974">
        <v>3250</v>
      </c>
      <c r="AA1974">
        <v>20</v>
      </c>
      <c r="AB1974">
        <v>2</v>
      </c>
      <c r="AC1974">
        <v>0</v>
      </c>
      <c r="AD1974">
        <v>56505464</v>
      </c>
      <c r="AE1974">
        <v>101707.41</v>
      </c>
      <c r="AF1974">
        <v>56403661</v>
      </c>
      <c r="AG1974">
        <v>56403661</v>
      </c>
      <c r="AH1974">
        <v>2.0000000000000002E-5</v>
      </c>
      <c r="AI1974">
        <v>2.0000000000000002E-5</v>
      </c>
    </row>
    <row r="1975" spans="1:35" x14ac:dyDescent="0.35">
      <c r="A1975" t="s">
        <v>1</v>
      </c>
      <c r="B1975">
        <v>2250</v>
      </c>
      <c r="C1975">
        <v>24</v>
      </c>
      <c r="D1975">
        <v>13</v>
      </c>
      <c r="E1975">
        <v>0</v>
      </c>
      <c r="F1975">
        <v>565759701</v>
      </c>
      <c r="G1975">
        <v>1318018.43</v>
      </c>
      <c r="H1975">
        <v>562289327.26999998</v>
      </c>
      <c r="I1975">
        <v>564434212.64999998</v>
      </c>
      <c r="J1975">
        <v>4.4708999999999999E-2</v>
      </c>
      <c r="K1975">
        <v>1.5799999999999999E-4</v>
      </c>
      <c r="M1975" t="s">
        <v>1</v>
      </c>
      <c r="N1975">
        <v>3500</v>
      </c>
      <c r="O1975">
        <v>20</v>
      </c>
      <c r="P1975">
        <v>12</v>
      </c>
      <c r="Q1975">
        <v>0</v>
      </c>
      <c r="R1975">
        <v>349651275</v>
      </c>
      <c r="S1975">
        <v>630201.36</v>
      </c>
      <c r="T1975">
        <v>341954115.68000001</v>
      </c>
      <c r="U1975">
        <v>343774459.19999999</v>
      </c>
      <c r="V1975">
        <v>0.21731300000000001</v>
      </c>
      <c r="W1975">
        <v>0.16592199999999999</v>
      </c>
      <c r="Y1975" t="s">
        <v>1</v>
      </c>
      <c r="Z1975">
        <v>3500</v>
      </c>
      <c r="AA1975">
        <v>20</v>
      </c>
      <c r="AB1975">
        <v>18</v>
      </c>
      <c r="AC1975">
        <v>0</v>
      </c>
      <c r="AD1975">
        <v>758265993</v>
      </c>
      <c r="AE1975">
        <v>1405986.42</v>
      </c>
      <c r="AF1975">
        <v>725988478</v>
      </c>
      <c r="AG1975">
        <v>756516634.87</v>
      </c>
      <c r="AH1975">
        <v>0.392731</v>
      </c>
      <c r="AI1975">
        <v>5.4209999999999996E-3</v>
      </c>
    </row>
    <row r="1976" spans="1:35" x14ac:dyDescent="0.35">
      <c r="A1976" t="s">
        <v>1</v>
      </c>
      <c r="B1976">
        <v>2500</v>
      </c>
      <c r="C1976">
        <v>24</v>
      </c>
      <c r="D1976">
        <v>6</v>
      </c>
      <c r="E1976">
        <v>0</v>
      </c>
      <c r="F1976">
        <v>203347203</v>
      </c>
      <c r="G1976">
        <v>468035.69</v>
      </c>
      <c r="H1976">
        <v>202009786.66</v>
      </c>
      <c r="I1976">
        <v>202876763.31</v>
      </c>
      <c r="J1976">
        <v>5.0115E-2</v>
      </c>
      <c r="K1976">
        <v>1.4200000000000001E-4</v>
      </c>
      <c r="M1976" t="s">
        <v>2</v>
      </c>
      <c r="N1976">
        <v>3500</v>
      </c>
      <c r="O1976">
        <v>20</v>
      </c>
      <c r="P1976">
        <v>10</v>
      </c>
      <c r="Q1976">
        <v>0</v>
      </c>
      <c r="R1976">
        <v>124399093</v>
      </c>
      <c r="S1976">
        <v>227250.28</v>
      </c>
      <c r="T1976">
        <v>123343836.54000001</v>
      </c>
      <c r="U1976">
        <v>123908007.47</v>
      </c>
      <c r="V1976">
        <v>7.7011999999999997E-2</v>
      </c>
      <c r="W1976">
        <v>2.5156000000000001E-2</v>
      </c>
      <c r="Y1976" t="s">
        <v>1</v>
      </c>
      <c r="Z1976">
        <v>4000</v>
      </c>
      <c r="AA1976">
        <v>20</v>
      </c>
      <c r="AB1976">
        <v>33</v>
      </c>
      <c r="AC1976">
        <v>0</v>
      </c>
      <c r="AD1976">
        <v>1367887119</v>
      </c>
      <c r="AE1976">
        <v>2216802.7400000002</v>
      </c>
      <c r="AF1976">
        <v>1318825175</v>
      </c>
      <c r="AG1976">
        <v>1318825175</v>
      </c>
      <c r="AH1976">
        <v>0.34174199999999999</v>
      </c>
      <c r="AI1976">
        <v>0.34174199999999999</v>
      </c>
    </row>
    <row r="1977" spans="1:35" x14ac:dyDescent="0.35">
      <c r="A1977" t="s">
        <v>0</v>
      </c>
      <c r="B1977">
        <v>3000</v>
      </c>
      <c r="C1977">
        <v>24</v>
      </c>
      <c r="D1977">
        <v>1</v>
      </c>
      <c r="E1977">
        <v>0</v>
      </c>
      <c r="F1977">
        <v>34825399</v>
      </c>
      <c r="G1977">
        <v>67002.539999999994</v>
      </c>
      <c r="H1977">
        <v>34716937.759999998</v>
      </c>
      <c r="I1977">
        <v>34758381.560000002</v>
      </c>
      <c r="J1977">
        <v>1.4193000000000001E-2</v>
      </c>
      <c r="K1977">
        <v>5.0000000000000004E-6</v>
      </c>
      <c r="M1977" t="s">
        <v>0</v>
      </c>
      <c r="N1977">
        <v>20000</v>
      </c>
      <c r="O1977">
        <v>20</v>
      </c>
      <c r="P1977">
        <v>1</v>
      </c>
      <c r="Q1977">
        <v>0</v>
      </c>
      <c r="R1977">
        <v>18430662</v>
      </c>
      <c r="S1977">
        <v>11544.78</v>
      </c>
      <c r="T1977">
        <v>18128776.789999999</v>
      </c>
      <c r="U1977">
        <v>18419072.449999999</v>
      </c>
      <c r="V1977">
        <v>0.173489</v>
      </c>
      <c r="W1977">
        <v>2.9E-5</v>
      </c>
      <c r="Y1977" t="s">
        <v>0</v>
      </c>
      <c r="Z1977">
        <v>4250</v>
      </c>
      <c r="AA1977">
        <v>20</v>
      </c>
      <c r="AB1977">
        <v>228</v>
      </c>
      <c r="AC1977">
        <v>0</v>
      </c>
      <c r="AD1977">
        <v>6659420185</v>
      </c>
      <c r="AE1977">
        <v>10112021.529999999</v>
      </c>
      <c r="AF1977">
        <v>6648399969</v>
      </c>
      <c r="AG1977">
        <v>6648399969</v>
      </c>
      <c r="AH1977">
        <v>1.635E-3</v>
      </c>
      <c r="AI1977">
        <v>1.635E-3</v>
      </c>
    </row>
    <row r="1978" spans="1:35" x14ac:dyDescent="0.35">
      <c r="A1978" t="s">
        <v>0</v>
      </c>
      <c r="B1978">
        <v>20000</v>
      </c>
      <c r="C1978">
        <v>24</v>
      </c>
      <c r="D1978">
        <v>1</v>
      </c>
      <c r="E1978">
        <v>0</v>
      </c>
      <c r="F1978">
        <v>18395475</v>
      </c>
      <c r="G1978">
        <v>11809.96</v>
      </c>
      <c r="H1978">
        <v>18231114.75</v>
      </c>
      <c r="I1978">
        <v>18383660.870000001</v>
      </c>
      <c r="J1978">
        <v>9.5098000000000002E-2</v>
      </c>
      <c r="K1978">
        <v>3.0000000000000001E-6</v>
      </c>
      <c r="M1978" t="s">
        <v>1</v>
      </c>
      <c r="N1978">
        <v>2750</v>
      </c>
      <c r="O1978">
        <v>18</v>
      </c>
      <c r="P1978">
        <v>6</v>
      </c>
      <c r="Q1978">
        <v>0</v>
      </c>
      <c r="R1978">
        <v>277820924</v>
      </c>
      <c r="S1978">
        <v>576239.48</v>
      </c>
      <c r="T1978">
        <v>275894933.27999997</v>
      </c>
      <c r="U1978">
        <v>277243142.39999998</v>
      </c>
      <c r="V1978">
        <v>5.6766999999999998E-2</v>
      </c>
      <c r="W1978">
        <v>6.7000000000000002E-5</v>
      </c>
      <c r="Y1978" t="s">
        <v>0</v>
      </c>
      <c r="Z1978">
        <v>4000</v>
      </c>
      <c r="AA1978">
        <v>20</v>
      </c>
      <c r="AB1978">
        <v>10</v>
      </c>
      <c r="AC1978">
        <v>0</v>
      </c>
      <c r="AD1978">
        <v>333421794</v>
      </c>
      <c r="AE1978">
        <v>529785.99</v>
      </c>
      <c r="AF1978">
        <v>332916114</v>
      </c>
      <c r="AG1978">
        <v>332916114</v>
      </c>
      <c r="AH1978">
        <v>-8.6799999999999996E-4</v>
      </c>
      <c r="AI1978">
        <v>-8.6799999999999996E-4</v>
      </c>
    </row>
    <row r="1979" spans="1:35" x14ac:dyDescent="0.35">
      <c r="A1979" t="s">
        <v>1</v>
      </c>
      <c r="B1979">
        <v>2750</v>
      </c>
      <c r="C1979">
        <v>24</v>
      </c>
      <c r="D1979">
        <v>12</v>
      </c>
      <c r="E1979">
        <v>0</v>
      </c>
      <c r="F1979">
        <v>456667949</v>
      </c>
      <c r="G1979">
        <v>972612.65</v>
      </c>
      <c r="H1979">
        <v>453147285.75999999</v>
      </c>
      <c r="I1979">
        <v>455396720.30000001</v>
      </c>
      <c r="J1979">
        <v>6.4938999999999997E-2</v>
      </c>
      <c r="K1979">
        <v>7.8189999999999996E-3</v>
      </c>
      <c r="M1979" t="s">
        <v>1</v>
      </c>
      <c r="N1979">
        <v>3250</v>
      </c>
      <c r="O1979">
        <v>18</v>
      </c>
      <c r="P1979">
        <v>13</v>
      </c>
      <c r="Q1979">
        <v>0</v>
      </c>
      <c r="R1979">
        <v>447013973</v>
      </c>
      <c r="S1979">
        <v>881861.43</v>
      </c>
      <c r="T1979">
        <v>438233221.45999998</v>
      </c>
      <c r="U1979">
        <v>439917748.26999998</v>
      </c>
      <c r="V1979">
        <v>0.192603</v>
      </c>
      <c r="W1979">
        <v>0.154641</v>
      </c>
      <c r="Y1979" t="s">
        <v>0</v>
      </c>
      <c r="Z1979">
        <v>3750</v>
      </c>
      <c r="AA1979">
        <v>20</v>
      </c>
      <c r="AB1979">
        <v>14</v>
      </c>
      <c r="AC1979">
        <v>0</v>
      </c>
      <c r="AD1979">
        <v>489052582</v>
      </c>
      <c r="AE1979">
        <v>807405.25</v>
      </c>
      <c r="AF1979">
        <v>477808919</v>
      </c>
      <c r="AG1979">
        <v>488272284.13</v>
      </c>
      <c r="AH1979">
        <v>0.22806000000000001</v>
      </c>
      <c r="AI1979">
        <v>-6.6500000000000001E-4</v>
      </c>
    </row>
    <row r="1980" spans="1:35" x14ac:dyDescent="0.35">
      <c r="A1980" t="s">
        <v>2</v>
      </c>
      <c r="B1980">
        <v>2500</v>
      </c>
      <c r="C1980">
        <v>24</v>
      </c>
      <c r="D1980">
        <v>3</v>
      </c>
      <c r="E1980">
        <v>0</v>
      </c>
      <c r="F1980">
        <v>62050067</v>
      </c>
      <c r="G1980">
        <v>128276.64</v>
      </c>
      <c r="H1980">
        <v>61029432.549999997</v>
      </c>
      <c r="I1980">
        <v>61162926</v>
      </c>
      <c r="J1980">
        <v>0.15955900000000001</v>
      </c>
      <c r="K1980">
        <v>0.13727800000000001</v>
      </c>
      <c r="M1980" t="s">
        <v>1</v>
      </c>
      <c r="N1980">
        <v>2250</v>
      </c>
      <c r="O1980">
        <v>18</v>
      </c>
      <c r="P1980">
        <v>5</v>
      </c>
      <c r="Q1980">
        <v>0</v>
      </c>
      <c r="R1980">
        <v>155986582</v>
      </c>
      <c r="S1980">
        <v>356218.73</v>
      </c>
      <c r="T1980">
        <v>154514843.86000001</v>
      </c>
      <c r="U1980">
        <v>155630027.06999999</v>
      </c>
      <c r="V1980">
        <v>8.2519999999999996E-2</v>
      </c>
      <c r="W1980">
        <v>2.5999999999999998E-5</v>
      </c>
      <c r="Y1980" t="s">
        <v>2</v>
      </c>
      <c r="Z1980">
        <v>4250</v>
      </c>
      <c r="AA1980">
        <v>20</v>
      </c>
      <c r="AB1980">
        <v>11</v>
      </c>
      <c r="AC1980">
        <v>0</v>
      </c>
      <c r="AD1980">
        <v>236942985</v>
      </c>
      <c r="AE1980">
        <v>377805.46</v>
      </c>
      <c r="AF1980">
        <v>236635610</v>
      </c>
      <c r="AG1980">
        <v>236635610</v>
      </c>
      <c r="AH1980">
        <v>-3.5729999999999998E-3</v>
      </c>
      <c r="AI1980">
        <v>-3.5729999999999998E-3</v>
      </c>
    </row>
    <row r="1981" spans="1:35" x14ac:dyDescent="0.35">
      <c r="A1981" t="s">
        <v>0</v>
      </c>
      <c r="B1981">
        <v>3250</v>
      </c>
      <c r="C1981">
        <v>24</v>
      </c>
      <c r="D1981">
        <v>4</v>
      </c>
      <c r="E1981">
        <v>0</v>
      </c>
      <c r="F1981">
        <v>125245942</v>
      </c>
      <c r="G1981">
        <v>226545.33</v>
      </c>
      <c r="H1981">
        <v>123564844.38</v>
      </c>
      <c r="I1981">
        <v>123976798.03</v>
      </c>
      <c r="J1981">
        <v>0.130797</v>
      </c>
      <c r="K1981">
        <v>9.5444000000000001E-2</v>
      </c>
      <c r="M1981" t="s">
        <v>2</v>
      </c>
      <c r="N1981">
        <v>2500</v>
      </c>
      <c r="O1981">
        <v>20</v>
      </c>
      <c r="P1981">
        <v>1</v>
      </c>
      <c r="Q1981">
        <v>0</v>
      </c>
      <c r="R1981">
        <v>13633651</v>
      </c>
      <c r="S1981">
        <v>28058.68</v>
      </c>
      <c r="T1981">
        <v>13352103.460000001</v>
      </c>
      <c r="U1981">
        <v>13432402.49</v>
      </c>
      <c r="V1981">
        <v>0.201655</v>
      </c>
      <c r="W1981">
        <v>0.14222499999999999</v>
      </c>
      <c r="Y1981" t="s">
        <v>2</v>
      </c>
      <c r="Z1981">
        <v>4000</v>
      </c>
      <c r="AA1981">
        <v>20</v>
      </c>
      <c r="AB1981">
        <v>6</v>
      </c>
      <c r="AC1981">
        <v>0</v>
      </c>
      <c r="AD1981">
        <v>111576913</v>
      </c>
      <c r="AE1981">
        <v>190578.38</v>
      </c>
      <c r="AF1981">
        <v>111136918</v>
      </c>
      <c r="AG1981">
        <v>111136918</v>
      </c>
      <c r="AH1981">
        <v>2.6497E-2</v>
      </c>
      <c r="AI1981">
        <v>2.6497E-2</v>
      </c>
    </row>
    <row r="1982" spans="1:35" x14ac:dyDescent="0.35">
      <c r="A1982" t="s">
        <v>2</v>
      </c>
      <c r="B1982">
        <v>2750</v>
      </c>
      <c r="C1982">
        <v>20</v>
      </c>
      <c r="D1982">
        <v>6</v>
      </c>
      <c r="E1982">
        <v>0</v>
      </c>
      <c r="F1982">
        <v>160418983</v>
      </c>
      <c r="G1982">
        <v>320594.93</v>
      </c>
      <c r="H1982">
        <v>159518920.75999999</v>
      </c>
      <c r="I1982">
        <v>160065952.25999999</v>
      </c>
      <c r="J1982">
        <v>4.2495999999999999E-2</v>
      </c>
      <c r="K1982">
        <v>2.4239999999999999E-3</v>
      </c>
      <c r="M1982" t="s">
        <v>1</v>
      </c>
      <c r="N1982">
        <v>2750</v>
      </c>
      <c r="O1982">
        <v>20</v>
      </c>
      <c r="P1982">
        <v>3</v>
      </c>
      <c r="Q1982">
        <v>0</v>
      </c>
      <c r="R1982">
        <v>81879050</v>
      </c>
      <c r="S1982">
        <v>180326.91</v>
      </c>
      <c r="T1982">
        <v>80672747.489999995</v>
      </c>
      <c r="U1982">
        <v>81078462.760000005</v>
      </c>
      <c r="V1982">
        <v>0.14042299999999999</v>
      </c>
      <c r="W1982">
        <v>8.7209999999999996E-2</v>
      </c>
      <c r="Y1982" t="s">
        <v>1</v>
      </c>
      <c r="Z1982">
        <v>4250</v>
      </c>
      <c r="AA1982">
        <v>20</v>
      </c>
      <c r="AB1982">
        <v>130</v>
      </c>
      <c r="AC1982">
        <v>0</v>
      </c>
      <c r="AD1982">
        <v>4150127697</v>
      </c>
      <c r="AE1982">
        <v>6411440.8099999996</v>
      </c>
      <c r="AF1982">
        <v>4120957299</v>
      </c>
      <c r="AG1982">
        <v>4120957299</v>
      </c>
      <c r="AH1982">
        <v>6.3857999999999998E-2</v>
      </c>
      <c r="AI1982">
        <v>6.3857999999999998E-2</v>
      </c>
    </row>
    <row r="1983" spans="1:35" x14ac:dyDescent="0.35">
      <c r="A1983" t="s">
        <v>2</v>
      </c>
      <c r="B1983">
        <v>3000</v>
      </c>
      <c r="C1983">
        <v>20</v>
      </c>
      <c r="D1983">
        <v>7</v>
      </c>
      <c r="E1983">
        <v>0</v>
      </c>
      <c r="F1983">
        <v>110071305</v>
      </c>
      <c r="G1983">
        <v>216628.92</v>
      </c>
      <c r="H1983">
        <v>109469773.31999999</v>
      </c>
      <c r="I1983">
        <v>109699342.59</v>
      </c>
      <c r="J1983">
        <v>4.1163999999999999E-2</v>
      </c>
      <c r="K1983">
        <v>1.6803999999999999E-2</v>
      </c>
      <c r="M1983" t="s">
        <v>1</v>
      </c>
      <c r="N1983">
        <v>3750</v>
      </c>
      <c r="O1983">
        <v>18</v>
      </c>
      <c r="P1983">
        <v>25</v>
      </c>
      <c r="Q1983">
        <v>0</v>
      </c>
      <c r="R1983">
        <v>714895492</v>
      </c>
      <c r="S1983">
        <v>1235942.6499999999</v>
      </c>
      <c r="T1983">
        <v>703014777.62</v>
      </c>
      <c r="U1983">
        <v>706248126.49000001</v>
      </c>
      <c r="V1983">
        <v>0.16474900000000001</v>
      </c>
      <c r="W1983">
        <v>0.117552</v>
      </c>
      <c r="Y1983" t="s">
        <v>2</v>
      </c>
      <c r="Z1983">
        <v>4500</v>
      </c>
      <c r="AA1983">
        <v>20</v>
      </c>
      <c r="AB1983">
        <v>41</v>
      </c>
      <c r="AC1983">
        <v>0</v>
      </c>
      <c r="AD1983">
        <v>1111038127</v>
      </c>
      <c r="AE1983">
        <v>1627656.52</v>
      </c>
      <c r="AF1983">
        <v>1109247292</v>
      </c>
      <c r="AG1983">
        <v>1109247292</v>
      </c>
      <c r="AH1983">
        <v>1.761E-3</v>
      </c>
      <c r="AI1983">
        <v>1.761E-3</v>
      </c>
    </row>
    <row r="1984" spans="1:35" x14ac:dyDescent="0.35">
      <c r="A1984" t="s">
        <v>1</v>
      </c>
      <c r="B1984">
        <v>3250</v>
      </c>
      <c r="C1984">
        <v>20</v>
      </c>
      <c r="D1984">
        <v>15</v>
      </c>
      <c r="E1984">
        <v>0</v>
      </c>
      <c r="F1984">
        <v>448466534</v>
      </c>
      <c r="G1984">
        <v>890201.27</v>
      </c>
      <c r="H1984">
        <v>439984277.04000002</v>
      </c>
      <c r="I1984">
        <v>441831177.51999998</v>
      </c>
      <c r="J1984">
        <v>0.18526000000000001</v>
      </c>
      <c r="K1984">
        <v>0.143346</v>
      </c>
      <c r="M1984" t="s">
        <v>0</v>
      </c>
      <c r="N1984">
        <v>3250</v>
      </c>
      <c r="O1984">
        <v>18</v>
      </c>
      <c r="P1984">
        <v>2</v>
      </c>
      <c r="Q1984">
        <v>0</v>
      </c>
      <c r="R1984">
        <v>56708250</v>
      </c>
      <c r="S1984">
        <v>101162.26</v>
      </c>
      <c r="T1984">
        <v>56244741.689999998</v>
      </c>
      <c r="U1984">
        <v>56607030.100000001</v>
      </c>
      <c r="V1984">
        <v>7.4038000000000007E-2</v>
      </c>
      <c r="W1984">
        <v>1.2E-5</v>
      </c>
      <c r="Y1984" t="s">
        <v>1</v>
      </c>
      <c r="Z1984">
        <v>4750</v>
      </c>
      <c r="AA1984">
        <v>20</v>
      </c>
      <c r="AB1984">
        <v>421</v>
      </c>
      <c r="AC1984">
        <v>0</v>
      </c>
      <c r="AD1984">
        <v>15678446727</v>
      </c>
      <c r="AE1984">
        <v>21984438.57</v>
      </c>
      <c r="AF1984">
        <v>15620899711</v>
      </c>
      <c r="AG1984">
        <v>15654869820.17</v>
      </c>
      <c r="AH1984">
        <v>2.6882E-2</v>
      </c>
      <c r="AI1984">
        <v>1.2179999999999999E-3</v>
      </c>
    </row>
    <row r="1985" spans="1:35" x14ac:dyDescent="0.35">
      <c r="A1985" t="s">
        <v>1</v>
      </c>
      <c r="B1985">
        <v>4000</v>
      </c>
      <c r="C1985">
        <v>20</v>
      </c>
      <c r="D1985">
        <v>36</v>
      </c>
      <c r="E1985">
        <v>0</v>
      </c>
      <c r="F1985">
        <v>1463746834</v>
      </c>
      <c r="G1985">
        <v>2413743.17</v>
      </c>
      <c r="H1985">
        <v>1446713569.3499999</v>
      </c>
      <c r="I1985">
        <v>1452458038.3599999</v>
      </c>
      <c r="J1985">
        <v>0.113483</v>
      </c>
      <c r="K1985">
        <v>7.0380999999999999E-2</v>
      </c>
      <c r="M1985" t="s">
        <v>1</v>
      </c>
      <c r="N1985">
        <v>3500</v>
      </c>
      <c r="O1985">
        <v>18</v>
      </c>
      <c r="P1985">
        <v>19</v>
      </c>
      <c r="Q1985">
        <v>0</v>
      </c>
      <c r="R1985">
        <v>810359261</v>
      </c>
      <c r="S1985">
        <v>1496411.42</v>
      </c>
      <c r="T1985">
        <v>800419979.32000005</v>
      </c>
      <c r="U1985">
        <v>805403335.75</v>
      </c>
      <c r="V1985">
        <v>0.118103</v>
      </c>
      <c r="W1985">
        <v>5.0042999999999997E-2</v>
      </c>
      <c r="Y1985" t="s">
        <v>2</v>
      </c>
      <c r="Z1985">
        <v>4750</v>
      </c>
      <c r="AA1985">
        <v>20</v>
      </c>
      <c r="AB1985">
        <v>41</v>
      </c>
      <c r="AC1985">
        <v>0</v>
      </c>
      <c r="AD1985">
        <v>1068144353</v>
      </c>
      <c r="AE1985">
        <v>1499025.7</v>
      </c>
      <c r="AF1985">
        <v>1066674525</v>
      </c>
      <c r="AG1985">
        <v>1066674525</v>
      </c>
      <c r="AH1985">
        <v>-3.28E-4</v>
      </c>
      <c r="AI1985">
        <v>-3.28E-4</v>
      </c>
    </row>
    <row r="1986" spans="1:35" x14ac:dyDescent="0.35">
      <c r="A1986" t="s">
        <v>0</v>
      </c>
      <c r="B1986">
        <v>4000</v>
      </c>
      <c r="C1986">
        <v>20</v>
      </c>
      <c r="D1986">
        <v>14</v>
      </c>
      <c r="E1986">
        <v>0</v>
      </c>
      <c r="F1986">
        <v>499550316</v>
      </c>
      <c r="G1986">
        <v>793050.8</v>
      </c>
      <c r="H1986">
        <v>498398631.75</v>
      </c>
      <c r="I1986">
        <v>498755928.00999999</v>
      </c>
      <c r="J1986">
        <v>8.5810000000000001E-3</v>
      </c>
      <c r="K1986">
        <v>3.1999999999999999E-5</v>
      </c>
      <c r="M1986" t="s">
        <v>0</v>
      </c>
      <c r="N1986">
        <v>3250</v>
      </c>
      <c r="O1986">
        <v>20</v>
      </c>
      <c r="P1986">
        <v>3</v>
      </c>
      <c r="Q1986">
        <v>0</v>
      </c>
      <c r="R1986">
        <v>77578704</v>
      </c>
      <c r="S1986">
        <v>138681.09</v>
      </c>
      <c r="T1986">
        <v>74667151</v>
      </c>
      <c r="U1986">
        <v>75296988.310000002</v>
      </c>
      <c r="V1986">
        <v>0.353877</v>
      </c>
      <c r="W1986">
        <v>0.28548600000000002</v>
      </c>
      <c r="Y1986" t="s">
        <v>3</v>
      </c>
      <c r="Z1986">
        <v>5250</v>
      </c>
      <c r="AA1986">
        <v>20</v>
      </c>
      <c r="AB1986">
        <v>3</v>
      </c>
      <c r="AC1986">
        <v>0</v>
      </c>
      <c r="AD1986">
        <v>79006880</v>
      </c>
      <c r="AE1986">
        <v>101140.3</v>
      </c>
      <c r="AF1986">
        <v>78882905</v>
      </c>
      <c r="AG1986">
        <v>78882905</v>
      </c>
      <c r="AH1986">
        <v>3.4629999999999999E-3</v>
      </c>
      <c r="AI1986">
        <v>3.4629999999999999E-3</v>
      </c>
    </row>
    <row r="1987" spans="1:35" x14ac:dyDescent="0.35">
      <c r="A1987" t="s">
        <v>1</v>
      </c>
      <c r="B1987">
        <v>4250</v>
      </c>
      <c r="C1987">
        <v>20</v>
      </c>
      <c r="D1987">
        <v>125</v>
      </c>
      <c r="E1987">
        <v>0</v>
      </c>
      <c r="F1987">
        <v>4247320055</v>
      </c>
      <c r="G1987">
        <v>6526398.8499999996</v>
      </c>
      <c r="H1987">
        <v>4208346694.9499998</v>
      </c>
      <c r="I1987">
        <v>4216961825.23</v>
      </c>
      <c r="J1987">
        <v>8.7916999999999995E-2</v>
      </c>
      <c r="K1987">
        <v>6.5293000000000004E-2</v>
      </c>
      <c r="M1987" t="s">
        <v>1</v>
      </c>
      <c r="N1987">
        <v>4000</v>
      </c>
      <c r="O1987">
        <v>18</v>
      </c>
      <c r="P1987">
        <v>35</v>
      </c>
      <c r="Q1987">
        <v>0</v>
      </c>
      <c r="R1987">
        <v>1448195345</v>
      </c>
      <c r="S1987">
        <v>2347899.69</v>
      </c>
      <c r="T1987">
        <v>1406580171.3199999</v>
      </c>
      <c r="U1987">
        <v>1412798714.55</v>
      </c>
      <c r="V1987">
        <v>0.28098099999999998</v>
      </c>
      <c r="W1987">
        <v>0.24196100000000001</v>
      </c>
      <c r="Y1987" t="s">
        <v>1</v>
      </c>
      <c r="Z1987">
        <v>9000</v>
      </c>
      <c r="AA1987">
        <v>20</v>
      </c>
      <c r="AB1987">
        <v>2</v>
      </c>
      <c r="AC1987">
        <v>0</v>
      </c>
      <c r="AD1987">
        <v>33082055</v>
      </c>
      <c r="AE1987">
        <v>22385.53</v>
      </c>
      <c r="AF1987">
        <v>33060579</v>
      </c>
      <c r="AG1987">
        <v>33060579</v>
      </c>
      <c r="AH1987">
        <v>-3.3E-4</v>
      </c>
      <c r="AI1987">
        <v>-3.3E-4</v>
      </c>
    </row>
    <row r="1988" spans="1:35" x14ac:dyDescent="0.35">
      <c r="A1988" t="s">
        <v>2</v>
      </c>
      <c r="B1988">
        <v>3750</v>
      </c>
      <c r="C1988">
        <v>20</v>
      </c>
      <c r="D1988">
        <v>11</v>
      </c>
      <c r="E1988">
        <v>0</v>
      </c>
      <c r="F1988">
        <v>151519317</v>
      </c>
      <c r="G1988">
        <v>260032.03</v>
      </c>
      <c r="H1988">
        <v>149775033.40000001</v>
      </c>
      <c r="I1988">
        <v>150520371.56</v>
      </c>
      <c r="J1988">
        <v>0.111419</v>
      </c>
      <c r="K1988">
        <v>5.6975999999999999E-2</v>
      </c>
      <c r="M1988" t="s">
        <v>0</v>
      </c>
      <c r="N1988">
        <v>4250</v>
      </c>
      <c r="O1988">
        <v>18</v>
      </c>
      <c r="P1988">
        <v>228</v>
      </c>
      <c r="Q1988">
        <v>0</v>
      </c>
      <c r="R1988">
        <v>6680689895</v>
      </c>
      <c r="S1988">
        <v>10042530.6</v>
      </c>
      <c r="T1988">
        <v>6664862072.1400003</v>
      </c>
      <c r="U1988">
        <v>6669712184.1599998</v>
      </c>
      <c r="V1988">
        <v>1.0342E-2</v>
      </c>
      <c r="W1988">
        <v>1.678E-3</v>
      </c>
      <c r="Y1988" t="s">
        <v>2</v>
      </c>
      <c r="Z1988">
        <v>2750</v>
      </c>
      <c r="AA1988">
        <v>20</v>
      </c>
      <c r="AB1988">
        <v>6</v>
      </c>
      <c r="AC1988">
        <v>0</v>
      </c>
      <c r="AD1988">
        <v>124526131</v>
      </c>
      <c r="AE1988">
        <v>242398.11</v>
      </c>
      <c r="AF1988">
        <v>124364962</v>
      </c>
      <c r="AG1988">
        <v>124364962</v>
      </c>
      <c r="AH1988">
        <v>-7.8560000000000001E-3</v>
      </c>
      <c r="AI1988">
        <v>-7.8560000000000001E-3</v>
      </c>
    </row>
    <row r="1989" spans="1:35" x14ac:dyDescent="0.35">
      <c r="A1989" t="s">
        <v>0</v>
      </c>
      <c r="B1989">
        <v>3750</v>
      </c>
      <c r="C1989">
        <v>20</v>
      </c>
      <c r="D1989">
        <v>10</v>
      </c>
      <c r="E1989">
        <v>0</v>
      </c>
      <c r="F1989">
        <v>370442678</v>
      </c>
      <c r="G1989">
        <v>611976.28</v>
      </c>
      <c r="H1989">
        <v>369457352.47000003</v>
      </c>
      <c r="I1989">
        <v>369827547.57999998</v>
      </c>
      <c r="J1989">
        <v>1.2026999999999999E-2</v>
      </c>
      <c r="K1989">
        <v>1.02E-4</v>
      </c>
      <c r="M1989" t="s">
        <v>0</v>
      </c>
      <c r="N1989">
        <v>4000</v>
      </c>
      <c r="O1989">
        <v>18</v>
      </c>
      <c r="P1989">
        <v>10</v>
      </c>
      <c r="Q1989">
        <v>0</v>
      </c>
      <c r="R1989">
        <v>334403364</v>
      </c>
      <c r="S1989">
        <v>526178.81000000006</v>
      </c>
      <c r="T1989">
        <v>333588280.38999999</v>
      </c>
      <c r="U1989">
        <v>333864580.98000002</v>
      </c>
      <c r="V1989">
        <v>1.0318000000000001E-2</v>
      </c>
      <c r="W1989">
        <v>4.5199999999999998E-4</v>
      </c>
      <c r="Y1989" t="s">
        <v>2</v>
      </c>
      <c r="Z1989">
        <v>2500</v>
      </c>
      <c r="AA1989">
        <v>20</v>
      </c>
      <c r="AB1989">
        <v>2</v>
      </c>
      <c r="AC1989">
        <v>0</v>
      </c>
      <c r="AD1989">
        <v>48441599</v>
      </c>
      <c r="AE1989">
        <v>99512.8</v>
      </c>
      <c r="AF1989">
        <v>48416416</v>
      </c>
      <c r="AG1989">
        <v>48416416</v>
      </c>
      <c r="AH1989">
        <v>-1.8568999999999999E-2</v>
      </c>
      <c r="AI1989">
        <v>-1.8568999999999999E-2</v>
      </c>
    </row>
    <row r="1990" spans="1:35" x14ac:dyDescent="0.35">
      <c r="A1990" t="s">
        <v>1</v>
      </c>
      <c r="B1990">
        <v>3750</v>
      </c>
      <c r="C1990">
        <v>20</v>
      </c>
      <c r="D1990">
        <v>22</v>
      </c>
      <c r="E1990">
        <v>0</v>
      </c>
      <c r="F1990">
        <v>679065423</v>
      </c>
      <c r="G1990">
        <v>1186332.53</v>
      </c>
      <c r="H1990">
        <v>668149049.22000003</v>
      </c>
      <c r="I1990">
        <v>670990951.39999998</v>
      </c>
      <c r="J1990">
        <v>0.15901899999999999</v>
      </c>
      <c r="K1990">
        <v>0.11515599999999999</v>
      </c>
      <c r="M1990" t="s">
        <v>0</v>
      </c>
      <c r="N1990">
        <v>3750</v>
      </c>
      <c r="O1990">
        <v>18</v>
      </c>
      <c r="P1990">
        <v>14</v>
      </c>
      <c r="Q1990">
        <v>0</v>
      </c>
      <c r="R1990">
        <v>490775158</v>
      </c>
      <c r="S1990">
        <v>802576.69</v>
      </c>
      <c r="T1990">
        <v>489049243.62</v>
      </c>
      <c r="U1990">
        <v>489930671.11000001</v>
      </c>
      <c r="V1990">
        <v>2.2343999999999999E-2</v>
      </c>
      <c r="W1990">
        <v>1.024E-3</v>
      </c>
      <c r="Y1990" t="s">
        <v>2</v>
      </c>
      <c r="Z1990">
        <v>3000</v>
      </c>
      <c r="AA1990">
        <v>20</v>
      </c>
      <c r="AB1990">
        <v>8</v>
      </c>
      <c r="AC1990">
        <v>0</v>
      </c>
      <c r="AD1990">
        <v>121489943</v>
      </c>
      <c r="AE1990">
        <v>233763.43</v>
      </c>
      <c r="AF1990">
        <v>121320973</v>
      </c>
      <c r="AG1990">
        <v>121320973</v>
      </c>
      <c r="AH1990">
        <v>-6.4190000000000002E-3</v>
      </c>
      <c r="AI1990">
        <v>-6.4190000000000002E-3</v>
      </c>
    </row>
    <row r="1991" spans="1:35" x14ac:dyDescent="0.35">
      <c r="A1991" t="s">
        <v>0</v>
      </c>
      <c r="B1991">
        <v>4250</v>
      </c>
      <c r="C1991">
        <v>20</v>
      </c>
      <c r="D1991">
        <v>218</v>
      </c>
      <c r="E1991">
        <v>0</v>
      </c>
      <c r="F1991">
        <v>6372045070</v>
      </c>
      <c r="G1991">
        <v>9677720.0800000001</v>
      </c>
      <c r="H1991">
        <v>6354319402.0500002</v>
      </c>
      <c r="I1991">
        <v>6359798404.4099998</v>
      </c>
      <c r="J1991">
        <v>1.5051E-2</v>
      </c>
      <c r="K1991">
        <v>4.8269999999999997E-3</v>
      </c>
      <c r="M1991" t="s">
        <v>1</v>
      </c>
      <c r="N1991">
        <v>4250</v>
      </c>
      <c r="O1991">
        <v>18</v>
      </c>
      <c r="P1991">
        <v>130</v>
      </c>
      <c r="Q1991">
        <v>0</v>
      </c>
      <c r="R1991">
        <v>4187655603</v>
      </c>
      <c r="S1991">
        <v>6409948.1399999997</v>
      </c>
      <c r="T1991">
        <v>4144566634.8400002</v>
      </c>
      <c r="U1991">
        <v>4153167980.9699998</v>
      </c>
      <c r="V1991">
        <v>0.100188</v>
      </c>
      <c r="W1991">
        <v>7.7557000000000001E-2</v>
      </c>
      <c r="Y1991" t="s">
        <v>1</v>
      </c>
      <c r="Z1991">
        <v>3000</v>
      </c>
      <c r="AA1991">
        <v>20</v>
      </c>
      <c r="AB1991">
        <v>4</v>
      </c>
      <c r="AC1991">
        <v>0</v>
      </c>
      <c r="AD1991">
        <v>114687033</v>
      </c>
      <c r="AE1991">
        <v>238761.1</v>
      </c>
      <c r="AF1991">
        <v>114490741</v>
      </c>
      <c r="AG1991">
        <v>114490741</v>
      </c>
      <c r="AH1991">
        <v>-4.4530000000000004E-3</v>
      </c>
      <c r="AI1991">
        <v>-4.4530000000000004E-3</v>
      </c>
    </row>
    <row r="1992" spans="1:35" x14ac:dyDescent="0.35">
      <c r="A1992" t="s">
        <v>2</v>
      </c>
      <c r="B1992">
        <v>4750</v>
      </c>
      <c r="C1992">
        <v>20</v>
      </c>
      <c r="D1992">
        <v>16</v>
      </c>
      <c r="E1992">
        <v>0</v>
      </c>
      <c r="F1992">
        <v>417988798</v>
      </c>
      <c r="G1992">
        <v>585947.25</v>
      </c>
      <c r="H1992">
        <v>416825225.94</v>
      </c>
      <c r="I1992">
        <v>417400452.85000002</v>
      </c>
      <c r="J1992">
        <v>1.6458E-2</v>
      </c>
      <c r="K1992">
        <v>6.8999999999999997E-5</v>
      </c>
      <c r="M1992" t="s">
        <v>2</v>
      </c>
      <c r="N1992">
        <v>4250</v>
      </c>
      <c r="O1992">
        <v>18</v>
      </c>
      <c r="P1992">
        <v>11</v>
      </c>
      <c r="Q1992">
        <v>0</v>
      </c>
      <c r="R1992">
        <v>237603495</v>
      </c>
      <c r="S1992">
        <v>375007.76</v>
      </c>
      <c r="T1992">
        <v>236738873.69999999</v>
      </c>
      <c r="U1992">
        <v>237040415.78</v>
      </c>
      <c r="V1992">
        <v>2.4448999999999999E-2</v>
      </c>
      <c r="W1992">
        <v>9.4570000000000001E-3</v>
      </c>
      <c r="Y1992" t="s">
        <v>2</v>
      </c>
      <c r="Z1992">
        <v>3500</v>
      </c>
      <c r="AA1992">
        <v>20</v>
      </c>
      <c r="AB1992">
        <v>10</v>
      </c>
      <c r="AC1992">
        <v>0</v>
      </c>
      <c r="AD1992">
        <v>188373353</v>
      </c>
      <c r="AE1992">
        <v>337681.34</v>
      </c>
      <c r="AF1992">
        <v>188077463</v>
      </c>
      <c r="AG1992">
        <v>188077463</v>
      </c>
      <c r="AH1992">
        <v>-2.6649999999999998E-3</v>
      </c>
      <c r="AI1992">
        <v>-2.6649999999999998E-3</v>
      </c>
    </row>
    <row r="1993" spans="1:35" x14ac:dyDescent="0.35">
      <c r="A1993" t="s">
        <v>1</v>
      </c>
      <c r="B1993">
        <v>4500</v>
      </c>
      <c r="C1993">
        <v>20</v>
      </c>
      <c r="D1993">
        <v>217</v>
      </c>
      <c r="E1993">
        <v>0</v>
      </c>
      <c r="F1993">
        <v>7170853898</v>
      </c>
      <c r="G1993">
        <v>10519355.41</v>
      </c>
      <c r="H1993">
        <v>7119237027.71</v>
      </c>
      <c r="I1993">
        <v>7134629172.1999998</v>
      </c>
      <c r="J1993">
        <v>6.6646999999999998E-2</v>
      </c>
      <c r="K1993">
        <v>4.2178E-2</v>
      </c>
      <c r="M1993" t="s">
        <v>2</v>
      </c>
      <c r="N1993">
        <v>4000</v>
      </c>
      <c r="O1993">
        <v>18</v>
      </c>
      <c r="P1993">
        <v>7</v>
      </c>
      <c r="Q1993">
        <v>0</v>
      </c>
      <c r="R1993">
        <v>121804591</v>
      </c>
      <c r="S1993">
        <v>205201.56</v>
      </c>
      <c r="T1993">
        <v>120141004.8</v>
      </c>
      <c r="U1993">
        <v>120977597.41</v>
      </c>
      <c r="V1993">
        <v>0.13458400000000001</v>
      </c>
      <c r="W1993">
        <v>5.9567000000000002E-2</v>
      </c>
      <c r="Y1993" t="s">
        <v>2</v>
      </c>
      <c r="Z1993">
        <v>3750</v>
      </c>
      <c r="AA1993">
        <v>20</v>
      </c>
      <c r="AB1993">
        <v>14</v>
      </c>
      <c r="AC1993">
        <v>0</v>
      </c>
      <c r="AD1993">
        <v>173868537</v>
      </c>
      <c r="AE1993">
        <v>295939.44</v>
      </c>
      <c r="AF1993">
        <v>173735898</v>
      </c>
      <c r="AG1993">
        <v>173735898</v>
      </c>
      <c r="AH1993">
        <v>-1.1329000000000001E-2</v>
      </c>
      <c r="AI1993">
        <v>-1.1329000000000001E-2</v>
      </c>
    </row>
    <row r="1994" spans="1:35" x14ac:dyDescent="0.35">
      <c r="A1994" t="s">
        <v>1</v>
      </c>
      <c r="B1994">
        <v>4750</v>
      </c>
      <c r="C1994">
        <v>20</v>
      </c>
      <c r="D1994">
        <v>320</v>
      </c>
      <c r="E1994">
        <v>0</v>
      </c>
      <c r="F1994">
        <v>11534712823</v>
      </c>
      <c r="G1994">
        <v>16162229.9</v>
      </c>
      <c r="H1994">
        <v>11476547538</v>
      </c>
      <c r="I1994">
        <v>11507651778.690001</v>
      </c>
      <c r="J1994">
        <v>4.2833000000000003E-2</v>
      </c>
      <c r="K1994">
        <v>1.128E-2</v>
      </c>
      <c r="M1994" t="s">
        <v>2</v>
      </c>
      <c r="N1994">
        <v>4500</v>
      </c>
      <c r="O1994">
        <v>18</v>
      </c>
      <c r="P1994">
        <v>41</v>
      </c>
      <c r="Q1994">
        <v>0</v>
      </c>
      <c r="R1994">
        <v>1114281096</v>
      </c>
      <c r="S1994">
        <v>1615571.37</v>
      </c>
      <c r="T1994">
        <v>1111357951.02</v>
      </c>
      <c r="U1994">
        <v>1112612880.74</v>
      </c>
      <c r="V1994">
        <v>1.3991E-2</v>
      </c>
      <c r="W1994">
        <v>5.6700000000000001E-4</v>
      </c>
      <c r="Y1994" t="s">
        <v>1</v>
      </c>
      <c r="Z1994">
        <v>4250</v>
      </c>
      <c r="AA1994">
        <v>18</v>
      </c>
      <c r="AB1994">
        <v>77</v>
      </c>
      <c r="AC1994">
        <v>0</v>
      </c>
      <c r="AD1994">
        <v>2653143851</v>
      </c>
      <c r="AE1994">
        <v>4035529.16</v>
      </c>
      <c r="AF1994">
        <v>2649693847</v>
      </c>
      <c r="AG1994">
        <v>2649693847</v>
      </c>
      <c r="AH1994">
        <v>-2.6519999999999998E-3</v>
      </c>
      <c r="AI1994">
        <v>-2.6519999999999998E-3</v>
      </c>
    </row>
    <row r="1995" spans="1:35" x14ac:dyDescent="0.35">
      <c r="A1995" t="s">
        <v>2</v>
      </c>
      <c r="B1995">
        <v>4500</v>
      </c>
      <c r="C1995">
        <v>20</v>
      </c>
      <c r="D1995">
        <v>20</v>
      </c>
      <c r="E1995">
        <v>0</v>
      </c>
      <c r="F1995">
        <v>560224379</v>
      </c>
      <c r="G1995">
        <v>819887.48</v>
      </c>
      <c r="H1995">
        <v>558965756.22000003</v>
      </c>
      <c r="I1995">
        <v>559394244.76999998</v>
      </c>
      <c r="J1995">
        <v>9.3570000000000007E-3</v>
      </c>
      <c r="K1995">
        <v>2.1900000000000001E-4</v>
      </c>
      <c r="M1995" t="s">
        <v>1</v>
      </c>
      <c r="N1995">
        <v>4750</v>
      </c>
      <c r="O1995">
        <v>18</v>
      </c>
      <c r="P1995">
        <v>425</v>
      </c>
      <c r="Q1995">
        <v>0</v>
      </c>
      <c r="R1995">
        <v>15860030445</v>
      </c>
      <c r="S1995">
        <v>22008367.140000001</v>
      </c>
      <c r="T1995">
        <v>15774382100.969999</v>
      </c>
      <c r="U1995">
        <v>15813541652.82</v>
      </c>
      <c r="V1995">
        <v>4.7102999999999999E-2</v>
      </c>
      <c r="W1995">
        <v>1.8366E-2</v>
      </c>
      <c r="Y1995" t="s">
        <v>2</v>
      </c>
      <c r="Z1995">
        <v>2250</v>
      </c>
      <c r="AA1995">
        <v>18</v>
      </c>
      <c r="AB1995">
        <v>1</v>
      </c>
      <c r="AC1995">
        <v>0</v>
      </c>
      <c r="AD1995">
        <v>16927417</v>
      </c>
      <c r="AE1995">
        <v>35355.29</v>
      </c>
      <c r="AF1995">
        <v>16891921</v>
      </c>
      <c r="AG1995">
        <v>16891921</v>
      </c>
      <c r="AH1995">
        <v>1E-4</v>
      </c>
      <c r="AI1995">
        <v>1E-4</v>
      </c>
    </row>
    <row r="1996" spans="1:35" x14ac:dyDescent="0.35">
      <c r="A1996" t="s">
        <v>3</v>
      </c>
      <c r="B1996">
        <v>5250</v>
      </c>
      <c r="C1996">
        <v>20</v>
      </c>
      <c r="D1996">
        <v>1</v>
      </c>
      <c r="E1996">
        <v>0</v>
      </c>
      <c r="F1996">
        <v>24214574</v>
      </c>
      <c r="G1996">
        <v>31051.79</v>
      </c>
      <c r="H1996">
        <v>23972853.379999999</v>
      </c>
      <c r="I1996">
        <v>24183520.059999999</v>
      </c>
      <c r="J1996">
        <v>9.9546999999999997E-2</v>
      </c>
      <c r="K1996">
        <v>9.9999999999999995E-7</v>
      </c>
      <c r="M1996" t="s">
        <v>2</v>
      </c>
      <c r="N1996">
        <v>4750</v>
      </c>
      <c r="O1996">
        <v>18</v>
      </c>
      <c r="P1996">
        <v>41</v>
      </c>
      <c r="Q1996">
        <v>0</v>
      </c>
      <c r="R1996">
        <v>1070898548</v>
      </c>
      <c r="S1996">
        <v>1486985.35</v>
      </c>
      <c r="T1996">
        <v>1067229904.22</v>
      </c>
      <c r="U1996">
        <v>1068383732.3099999</v>
      </c>
      <c r="V1996">
        <v>2.4174999999999999E-2</v>
      </c>
      <c r="W1996">
        <v>1.1457E-2</v>
      </c>
      <c r="Y1996" t="s">
        <v>2</v>
      </c>
      <c r="Z1996">
        <v>3000</v>
      </c>
      <c r="AA1996">
        <v>18</v>
      </c>
      <c r="AB1996">
        <v>7</v>
      </c>
      <c r="AC1996">
        <v>0</v>
      </c>
      <c r="AD1996">
        <v>120585338</v>
      </c>
      <c r="AE1996">
        <v>230856.94</v>
      </c>
      <c r="AF1996">
        <v>120433585</v>
      </c>
      <c r="AG1996">
        <v>120433585</v>
      </c>
      <c r="AH1996">
        <v>-7.9000000000000008E-3</v>
      </c>
      <c r="AI1996">
        <v>-7.9000000000000008E-3</v>
      </c>
    </row>
    <row r="1997" spans="1:35" x14ac:dyDescent="0.35">
      <c r="A1997" t="s">
        <v>1</v>
      </c>
      <c r="B1997">
        <v>9000</v>
      </c>
      <c r="C1997">
        <v>20</v>
      </c>
      <c r="D1997">
        <v>5</v>
      </c>
      <c r="E1997">
        <v>0</v>
      </c>
      <c r="F1997">
        <v>102818055</v>
      </c>
      <c r="G1997">
        <v>68822.06</v>
      </c>
      <c r="H1997">
        <v>93184817.170000002</v>
      </c>
      <c r="I1997">
        <v>94966045.299999997</v>
      </c>
      <c r="J1997">
        <v>0.69014600000000004</v>
      </c>
      <c r="K1997">
        <v>0.61116700000000002</v>
      </c>
      <c r="M1997" t="s">
        <v>3</v>
      </c>
      <c r="N1997">
        <v>5250</v>
      </c>
      <c r="O1997">
        <v>18</v>
      </c>
      <c r="P1997">
        <v>3</v>
      </c>
      <c r="Q1997">
        <v>0</v>
      </c>
      <c r="R1997">
        <v>79250340</v>
      </c>
      <c r="S1997">
        <v>100314.98</v>
      </c>
      <c r="T1997">
        <v>78741798.640000001</v>
      </c>
      <c r="U1997">
        <v>79150023.219999999</v>
      </c>
      <c r="V1997">
        <v>6.0092E-2</v>
      </c>
      <c r="W1997">
        <v>0</v>
      </c>
      <c r="Y1997" t="s">
        <v>2</v>
      </c>
      <c r="Z1997">
        <v>2750</v>
      </c>
      <c r="AA1997">
        <v>18</v>
      </c>
      <c r="AB1997">
        <v>6</v>
      </c>
      <c r="AC1997">
        <v>0</v>
      </c>
      <c r="AD1997">
        <v>152299608</v>
      </c>
      <c r="AE1997">
        <v>302976.90000000002</v>
      </c>
      <c r="AF1997">
        <v>152117483</v>
      </c>
      <c r="AG1997">
        <v>152117483</v>
      </c>
      <c r="AH1997">
        <v>-9.5639999999999996E-3</v>
      </c>
      <c r="AI1997">
        <v>-9.5639999999999996E-3</v>
      </c>
    </row>
    <row r="1998" spans="1:35" x14ac:dyDescent="0.35">
      <c r="A1998" t="s">
        <v>2</v>
      </c>
      <c r="B1998">
        <v>2250</v>
      </c>
      <c r="C1998">
        <v>20</v>
      </c>
      <c r="D1998">
        <v>1</v>
      </c>
      <c r="E1998">
        <v>0</v>
      </c>
      <c r="F1998">
        <v>16891921</v>
      </c>
      <c r="G1998">
        <v>35421.279999999999</v>
      </c>
      <c r="H1998">
        <v>16826205.010000002</v>
      </c>
      <c r="I1998">
        <v>16856498.829999998</v>
      </c>
      <c r="J1998">
        <v>2.1309999999999999E-2</v>
      </c>
      <c r="K1998">
        <v>9.9999999999999995E-7</v>
      </c>
      <c r="M1998" t="s">
        <v>1</v>
      </c>
      <c r="N1998">
        <v>9000</v>
      </c>
      <c r="O1998">
        <v>18</v>
      </c>
      <c r="P1998">
        <v>2</v>
      </c>
      <c r="Q1998">
        <v>0</v>
      </c>
      <c r="R1998">
        <v>33101102</v>
      </c>
      <c r="S1998">
        <v>22047.25</v>
      </c>
      <c r="T1998">
        <v>28635515.289999999</v>
      </c>
      <c r="U1998">
        <v>30436940.079999998</v>
      </c>
      <c r="V1998">
        <v>0.82267800000000002</v>
      </c>
      <c r="W1998">
        <v>0.631467</v>
      </c>
      <c r="Y1998" t="s">
        <v>2</v>
      </c>
      <c r="Z1998">
        <v>3250</v>
      </c>
      <c r="AA1998">
        <v>18</v>
      </c>
      <c r="AB1998">
        <v>11</v>
      </c>
      <c r="AC1998">
        <v>0</v>
      </c>
      <c r="AD1998">
        <v>201683109</v>
      </c>
      <c r="AE1998">
        <v>363990.59</v>
      </c>
      <c r="AF1998">
        <v>201454518</v>
      </c>
      <c r="AG1998">
        <v>201454518</v>
      </c>
      <c r="AH1998">
        <v>-8.0859999999999994E-3</v>
      </c>
      <c r="AI1998">
        <v>-8.0859999999999994E-3</v>
      </c>
    </row>
    <row r="1999" spans="1:35" x14ac:dyDescent="0.35">
      <c r="A1999" t="s">
        <v>2</v>
      </c>
      <c r="B1999">
        <v>3250</v>
      </c>
      <c r="C1999">
        <v>20</v>
      </c>
      <c r="D1999">
        <v>10</v>
      </c>
      <c r="E1999">
        <v>0</v>
      </c>
      <c r="F1999">
        <v>195590590</v>
      </c>
      <c r="G1999">
        <v>359123.14</v>
      </c>
      <c r="H1999">
        <v>192915661.28</v>
      </c>
      <c r="I1999">
        <v>194118409.69</v>
      </c>
      <c r="J1999">
        <v>0.133184</v>
      </c>
      <c r="K1999">
        <v>6.6192000000000001E-2</v>
      </c>
      <c r="M1999" t="s">
        <v>2</v>
      </c>
      <c r="N1999">
        <v>2750</v>
      </c>
      <c r="O1999">
        <v>18</v>
      </c>
      <c r="P1999">
        <v>7</v>
      </c>
      <c r="Q1999">
        <v>0</v>
      </c>
      <c r="R1999">
        <v>141931250</v>
      </c>
      <c r="S1999">
        <v>276743.38</v>
      </c>
      <c r="T1999">
        <v>140643339.72</v>
      </c>
      <c r="U1999">
        <v>141393826.31999999</v>
      </c>
      <c r="V1999">
        <v>8.2220000000000001E-2</v>
      </c>
      <c r="W1999">
        <v>2.1819000000000002E-2</v>
      </c>
      <c r="Y1999" t="s">
        <v>1</v>
      </c>
      <c r="Z1999">
        <v>3250</v>
      </c>
      <c r="AA1999">
        <v>18</v>
      </c>
      <c r="AB1999">
        <v>12</v>
      </c>
      <c r="AC1999">
        <v>0</v>
      </c>
      <c r="AD1999">
        <v>370472607</v>
      </c>
      <c r="AE1999">
        <v>698321.63</v>
      </c>
      <c r="AF1999">
        <v>369734796</v>
      </c>
      <c r="AG1999">
        <v>369734796</v>
      </c>
      <c r="AH1999">
        <v>1.2780000000000001E-3</v>
      </c>
      <c r="AI1999">
        <v>1.2780000000000001E-3</v>
      </c>
    </row>
    <row r="2000" spans="1:35" x14ac:dyDescent="0.35">
      <c r="A2000" t="s">
        <v>0</v>
      </c>
      <c r="B2000">
        <v>3250</v>
      </c>
      <c r="C2000">
        <v>20</v>
      </c>
      <c r="D2000">
        <v>1</v>
      </c>
      <c r="E2000">
        <v>0</v>
      </c>
      <c r="F2000">
        <v>8455531</v>
      </c>
      <c r="G2000">
        <v>15493.61</v>
      </c>
      <c r="H2000">
        <v>8402906.1899999995</v>
      </c>
      <c r="I2000">
        <v>8439895.8599999994</v>
      </c>
      <c r="J2000">
        <v>5.1442000000000002E-2</v>
      </c>
      <c r="K2000">
        <v>2.0100000000000001E-4</v>
      </c>
      <c r="M2000" t="s">
        <v>2</v>
      </c>
      <c r="N2000">
        <v>2500</v>
      </c>
      <c r="O2000">
        <v>18</v>
      </c>
      <c r="P2000">
        <v>2</v>
      </c>
      <c r="Q2000">
        <v>0</v>
      </c>
      <c r="R2000">
        <v>48491809</v>
      </c>
      <c r="S2000">
        <v>98811.32</v>
      </c>
      <c r="T2000">
        <v>47898075.280000001</v>
      </c>
      <c r="U2000">
        <v>48252156.310000002</v>
      </c>
      <c r="V2000">
        <v>0.115829</v>
      </c>
      <c r="W2000">
        <v>3.4301999999999999E-2</v>
      </c>
      <c r="Y2000" t="s">
        <v>0</v>
      </c>
      <c r="Z2000">
        <v>3500</v>
      </c>
      <c r="AA2000">
        <v>20</v>
      </c>
      <c r="AB2000">
        <v>1</v>
      </c>
      <c r="AC2000">
        <v>0</v>
      </c>
      <c r="AD2000">
        <v>10617516</v>
      </c>
      <c r="AE2000">
        <v>18304.240000000002</v>
      </c>
      <c r="AF2000">
        <v>10599212</v>
      </c>
      <c r="AG2000">
        <v>10599212</v>
      </c>
      <c r="AH2000">
        <v>0</v>
      </c>
      <c r="AI2000">
        <v>0</v>
      </c>
    </row>
    <row r="2001" spans="1:35" x14ac:dyDescent="0.35">
      <c r="A2001" t="s">
        <v>1</v>
      </c>
      <c r="B2001">
        <v>3500</v>
      </c>
      <c r="C2001">
        <v>20</v>
      </c>
      <c r="D2001">
        <v>15</v>
      </c>
      <c r="E2001">
        <v>0</v>
      </c>
      <c r="F2001">
        <v>489188187</v>
      </c>
      <c r="G2001">
        <v>908651</v>
      </c>
      <c r="H2001">
        <v>483691624.24000001</v>
      </c>
      <c r="I2001">
        <v>485820048.18000001</v>
      </c>
      <c r="J2001">
        <v>0.106916</v>
      </c>
      <c r="K2001">
        <v>5.8692000000000001E-2</v>
      </c>
      <c r="M2001" t="s">
        <v>2</v>
      </c>
      <c r="N2001">
        <v>3000</v>
      </c>
      <c r="O2001">
        <v>18</v>
      </c>
      <c r="P2001">
        <v>8</v>
      </c>
      <c r="Q2001">
        <v>0</v>
      </c>
      <c r="R2001">
        <v>121992595</v>
      </c>
      <c r="S2001">
        <v>232685.24</v>
      </c>
      <c r="T2001">
        <v>120749728.63</v>
      </c>
      <c r="U2001">
        <v>121521554.76000001</v>
      </c>
      <c r="V2001">
        <v>9.4964999999999994E-2</v>
      </c>
      <c r="W2001">
        <v>2.3196000000000001E-2</v>
      </c>
      <c r="Y2001" t="s">
        <v>1</v>
      </c>
      <c r="Z2001">
        <v>3500</v>
      </c>
      <c r="AA2001">
        <v>18</v>
      </c>
      <c r="AB2001">
        <v>9</v>
      </c>
      <c r="AC2001">
        <v>0</v>
      </c>
      <c r="AD2001">
        <v>290214854</v>
      </c>
      <c r="AE2001">
        <v>518885.04</v>
      </c>
      <c r="AF2001">
        <v>289558135</v>
      </c>
      <c r="AG2001">
        <v>289558135</v>
      </c>
      <c r="AH2001">
        <v>5.6839999999999998E-3</v>
      </c>
      <c r="AI2001">
        <v>5.6839999999999998E-3</v>
      </c>
    </row>
    <row r="2002" spans="1:35" x14ac:dyDescent="0.35">
      <c r="A2002" t="s">
        <v>2</v>
      </c>
      <c r="B2002">
        <v>3500</v>
      </c>
      <c r="C2002">
        <v>20</v>
      </c>
      <c r="D2002">
        <v>6</v>
      </c>
      <c r="E2002">
        <v>0</v>
      </c>
      <c r="F2002">
        <v>99406804</v>
      </c>
      <c r="G2002">
        <v>179895.62</v>
      </c>
      <c r="H2002">
        <v>98745989.810000002</v>
      </c>
      <c r="I2002">
        <v>99057424.799999997</v>
      </c>
      <c r="J2002">
        <v>5.6535000000000002E-2</v>
      </c>
      <c r="K2002">
        <v>2.0268999999999999E-2</v>
      </c>
      <c r="M2002" t="s">
        <v>1</v>
      </c>
      <c r="N2002">
        <v>3000</v>
      </c>
      <c r="O2002">
        <v>18</v>
      </c>
      <c r="P2002">
        <v>4</v>
      </c>
      <c r="Q2002">
        <v>0</v>
      </c>
      <c r="R2002">
        <v>115234898</v>
      </c>
      <c r="S2002">
        <v>237764.69</v>
      </c>
      <c r="T2002">
        <v>114506731.7</v>
      </c>
      <c r="U2002">
        <v>114996873.48</v>
      </c>
      <c r="V2002">
        <v>4.9889999999999997E-2</v>
      </c>
      <c r="W2002">
        <v>2.6999999999999999E-5</v>
      </c>
      <c r="Y2002" t="s">
        <v>0</v>
      </c>
      <c r="Z2002">
        <v>3750</v>
      </c>
      <c r="AA2002">
        <v>18</v>
      </c>
      <c r="AB2002">
        <v>5</v>
      </c>
      <c r="AC2002">
        <v>0</v>
      </c>
      <c r="AD2002">
        <v>183225599</v>
      </c>
      <c r="AE2002">
        <v>299750.67</v>
      </c>
      <c r="AF2002">
        <v>182989948</v>
      </c>
      <c r="AG2002">
        <v>182989948</v>
      </c>
      <c r="AH2002">
        <v>-4.2059999999999997E-3</v>
      </c>
      <c r="AI2002">
        <v>-4.2059999999999997E-3</v>
      </c>
    </row>
    <row r="2003" spans="1:35" x14ac:dyDescent="0.35">
      <c r="A2003" t="s">
        <v>2</v>
      </c>
      <c r="B2003">
        <v>4250</v>
      </c>
      <c r="C2003">
        <v>20</v>
      </c>
      <c r="D2003">
        <v>5</v>
      </c>
      <c r="E2003">
        <v>0</v>
      </c>
      <c r="F2003">
        <v>95366047</v>
      </c>
      <c r="G2003">
        <v>147601.54</v>
      </c>
      <c r="H2003">
        <v>94935426.379999995</v>
      </c>
      <c r="I2003">
        <v>95058985.959999993</v>
      </c>
      <c r="J2003">
        <v>3.5036999999999999E-2</v>
      </c>
      <c r="K2003">
        <v>1.9880999999999999E-2</v>
      </c>
      <c r="M2003" t="s">
        <v>2</v>
      </c>
      <c r="N2003">
        <v>3500</v>
      </c>
      <c r="O2003">
        <v>18</v>
      </c>
      <c r="P2003">
        <v>10</v>
      </c>
      <c r="Q2003">
        <v>0</v>
      </c>
      <c r="R2003">
        <v>188859162</v>
      </c>
      <c r="S2003">
        <v>335411.49</v>
      </c>
      <c r="T2003">
        <v>187625325.50999999</v>
      </c>
      <c r="U2003">
        <v>188366150.66999999</v>
      </c>
      <c r="V2003">
        <v>5.5614999999999998E-2</v>
      </c>
      <c r="W2003">
        <v>9.9679999999999994E-3</v>
      </c>
      <c r="Y2003" t="s">
        <v>1</v>
      </c>
      <c r="Z2003">
        <v>4000</v>
      </c>
      <c r="AA2003">
        <v>18</v>
      </c>
      <c r="AB2003">
        <v>32</v>
      </c>
      <c r="AC2003">
        <v>0</v>
      </c>
      <c r="AD2003">
        <v>1305802053</v>
      </c>
      <c r="AE2003">
        <v>2118935.67</v>
      </c>
      <c r="AF2003">
        <v>1303974662</v>
      </c>
      <c r="AG2003">
        <v>1303974662</v>
      </c>
      <c r="AH2003">
        <v>-2.6830000000000001E-3</v>
      </c>
      <c r="AI2003">
        <v>-2.6830000000000001E-3</v>
      </c>
    </row>
    <row r="2004" spans="1:35" x14ac:dyDescent="0.35">
      <c r="A2004" t="s">
        <v>1</v>
      </c>
      <c r="B2004">
        <v>8500</v>
      </c>
      <c r="C2004">
        <v>20</v>
      </c>
      <c r="D2004">
        <v>17</v>
      </c>
      <c r="E2004">
        <v>0</v>
      </c>
      <c r="F2004">
        <v>422244788</v>
      </c>
      <c r="G2004">
        <v>296268.13</v>
      </c>
      <c r="H2004">
        <v>380923245.02999997</v>
      </c>
      <c r="I2004">
        <v>388267998.37</v>
      </c>
      <c r="J2004">
        <v>0.70668799999999998</v>
      </c>
      <c r="K2004">
        <v>0.63120699999999996</v>
      </c>
      <c r="M2004" t="s">
        <v>2</v>
      </c>
      <c r="N2004">
        <v>3750</v>
      </c>
      <c r="O2004">
        <v>18</v>
      </c>
      <c r="P2004">
        <v>14</v>
      </c>
      <c r="Q2004">
        <v>0</v>
      </c>
      <c r="R2004">
        <v>174250538</v>
      </c>
      <c r="S2004">
        <v>293777.07</v>
      </c>
      <c r="T2004">
        <v>172858229.88</v>
      </c>
      <c r="U2004">
        <v>173628024.13</v>
      </c>
      <c r="V2004">
        <v>7.3082999999999995E-2</v>
      </c>
      <c r="W2004">
        <v>2.2405000000000001E-2</v>
      </c>
      <c r="Y2004" t="s">
        <v>1</v>
      </c>
      <c r="Z2004">
        <v>3750</v>
      </c>
      <c r="AA2004">
        <v>18</v>
      </c>
      <c r="AB2004">
        <v>20</v>
      </c>
      <c r="AC2004">
        <v>0</v>
      </c>
      <c r="AD2004">
        <v>660827429</v>
      </c>
      <c r="AE2004">
        <v>1127043.71</v>
      </c>
      <c r="AF2004">
        <v>659233181</v>
      </c>
      <c r="AG2004">
        <v>659233181</v>
      </c>
      <c r="AH2004">
        <v>8.4510000000000002E-3</v>
      </c>
      <c r="AI2004">
        <v>8.4510000000000002E-3</v>
      </c>
    </row>
    <row r="2005" spans="1:35" x14ac:dyDescent="0.35">
      <c r="A2005" t="s">
        <v>1</v>
      </c>
      <c r="B2005">
        <v>2250</v>
      </c>
      <c r="C2005">
        <v>18</v>
      </c>
      <c r="D2005">
        <v>5</v>
      </c>
      <c r="E2005">
        <v>0</v>
      </c>
      <c r="F2005">
        <v>159931903</v>
      </c>
      <c r="G2005">
        <v>376687.68</v>
      </c>
      <c r="H2005">
        <v>159193585.28</v>
      </c>
      <c r="I2005">
        <v>159531895.72999999</v>
      </c>
      <c r="J2005">
        <v>2.6799E-2</v>
      </c>
      <c r="K2005">
        <v>1.748E-3</v>
      </c>
      <c r="M2005" t="s">
        <v>1</v>
      </c>
      <c r="N2005">
        <v>4250</v>
      </c>
      <c r="O2005">
        <v>16</v>
      </c>
      <c r="P2005">
        <v>81</v>
      </c>
      <c r="Q2005">
        <v>0</v>
      </c>
      <c r="R2005">
        <v>2846521748</v>
      </c>
      <c r="S2005">
        <v>4315221.54</v>
      </c>
      <c r="T2005">
        <v>2820840989.8699999</v>
      </c>
      <c r="U2005">
        <v>2828255419.3000002</v>
      </c>
      <c r="V2005">
        <v>8.6443000000000006E-2</v>
      </c>
      <c r="W2005">
        <v>5.7253999999999999E-2</v>
      </c>
      <c r="Y2005" t="s">
        <v>0</v>
      </c>
      <c r="Z2005">
        <v>4000</v>
      </c>
      <c r="AA2005">
        <v>18</v>
      </c>
      <c r="AB2005">
        <v>9</v>
      </c>
      <c r="AC2005">
        <v>0</v>
      </c>
      <c r="AD2005">
        <v>314084739</v>
      </c>
      <c r="AE2005">
        <v>495345.95</v>
      </c>
      <c r="AF2005">
        <v>313422566</v>
      </c>
      <c r="AG2005">
        <v>313422566</v>
      </c>
      <c r="AH2005">
        <v>6.3550000000000004E-3</v>
      </c>
      <c r="AI2005">
        <v>6.3550000000000004E-3</v>
      </c>
    </row>
    <row r="2006" spans="1:35" x14ac:dyDescent="0.35">
      <c r="A2006" t="s">
        <v>1</v>
      </c>
      <c r="B2006">
        <v>2500</v>
      </c>
      <c r="C2006">
        <v>20</v>
      </c>
      <c r="D2006">
        <v>3</v>
      </c>
      <c r="E2006">
        <v>0</v>
      </c>
      <c r="F2006">
        <v>115404832</v>
      </c>
      <c r="G2006">
        <v>261781.33</v>
      </c>
      <c r="H2006">
        <v>103106004.03</v>
      </c>
      <c r="I2006">
        <v>104142523.11</v>
      </c>
      <c r="J2006">
        <v>0.73335399999999995</v>
      </c>
      <c r="K2006">
        <v>0.69943900000000003</v>
      </c>
      <c r="M2006" t="s">
        <v>2</v>
      </c>
      <c r="N2006">
        <v>2250</v>
      </c>
      <c r="O2006">
        <v>16</v>
      </c>
      <c r="P2006">
        <v>1</v>
      </c>
      <c r="Q2006">
        <v>0</v>
      </c>
      <c r="R2006">
        <v>16998210</v>
      </c>
      <c r="S2006">
        <v>35223.660000000003</v>
      </c>
      <c r="T2006">
        <v>16920010.75</v>
      </c>
      <c r="U2006">
        <v>16962978.440000001</v>
      </c>
      <c r="V2006">
        <v>2.9921E-2</v>
      </c>
      <c r="W2006">
        <v>6.0000000000000002E-6</v>
      </c>
      <c r="Y2006" t="s">
        <v>1</v>
      </c>
      <c r="Z2006">
        <v>4750</v>
      </c>
      <c r="AA2006">
        <v>18</v>
      </c>
      <c r="AB2006">
        <v>313</v>
      </c>
      <c r="AC2006">
        <v>0</v>
      </c>
      <c r="AD2006">
        <v>10925007335</v>
      </c>
      <c r="AE2006">
        <v>15189608.279999999</v>
      </c>
      <c r="AF2006">
        <v>10844089620</v>
      </c>
      <c r="AG2006">
        <v>10903559880.379999</v>
      </c>
      <c r="AH2006">
        <v>6.9853999999999999E-2</v>
      </c>
      <c r="AI2006">
        <v>6.8519999999999996E-3</v>
      </c>
    </row>
    <row r="2007" spans="1:35" x14ac:dyDescent="0.35">
      <c r="A2007" t="s">
        <v>0</v>
      </c>
      <c r="B2007">
        <v>3000</v>
      </c>
      <c r="C2007">
        <v>20</v>
      </c>
      <c r="D2007">
        <v>1</v>
      </c>
      <c r="E2007">
        <v>0</v>
      </c>
      <c r="F2007">
        <v>14921188</v>
      </c>
      <c r="G2007">
        <v>27897.03</v>
      </c>
      <c r="H2007">
        <v>14857328.560000001</v>
      </c>
      <c r="I2007">
        <v>14893243.359999999</v>
      </c>
      <c r="J2007">
        <v>2.8542000000000001E-2</v>
      </c>
      <c r="K2007">
        <v>3.8000000000000002E-5</v>
      </c>
      <c r="M2007" t="s">
        <v>2</v>
      </c>
      <c r="N2007">
        <v>3000</v>
      </c>
      <c r="O2007">
        <v>16</v>
      </c>
      <c r="P2007">
        <v>7</v>
      </c>
      <c r="Q2007">
        <v>0</v>
      </c>
      <c r="R2007">
        <v>121065740</v>
      </c>
      <c r="S2007">
        <v>229776.72</v>
      </c>
      <c r="T2007">
        <v>120369135.18000001</v>
      </c>
      <c r="U2007">
        <v>120833069.09999999</v>
      </c>
      <c r="V2007">
        <v>4.5303000000000003E-2</v>
      </c>
      <c r="W2007">
        <v>2.8699999999999998E-4</v>
      </c>
      <c r="Y2007" t="s">
        <v>0</v>
      </c>
      <c r="Z2007">
        <v>4250</v>
      </c>
      <c r="AA2007">
        <v>18</v>
      </c>
      <c r="AB2007">
        <v>142</v>
      </c>
      <c r="AC2007">
        <v>0</v>
      </c>
      <c r="AD2007">
        <v>4267458796</v>
      </c>
      <c r="AE2007">
        <v>6419711.9100000001</v>
      </c>
      <c r="AF2007">
        <v>4259806840</v>
      </c>
      <c r="AG2007">
        <v>4259806840</v>
      </c>
      <c r="AH2007">
        <v>3.46E-3</v>
      </c>
      <c r="AI2007">
        <v>3.46E-3</v>
      </c>
    </row>
    <row r="2008" spans="1:35" x14ac:dyDescent="0.35">
      <c r="A2008" t="s">
        <v>2</v>
      </c>
      <c r="B2008">
        <v>3000</v>
      </c>
      <c r="C2008">
        <v>18</v>
      </c>
      <c r="D2008">
        <v>4</v>
      </c>
      <c r="E2008">
        <v>0</v>
      </c>
      <c r="F2008">
        <v>66833534</v>
      </c>
      <c r="G2008">
        <v>125367.55</v>
      </c>
      <c r="H2008">
        <v>66558322.350000001</v>
      </c>
      <c r="I2008">
        <v>66702216.039999999</v>
      </c>
      <c r="J2008">
        <v>2.6575000000000001E-2</v>
      </c>
      <c r="K2008">
        <v>1.0679999999999999E-3</v>
      </c>
      <c r="M2008" t="s">
        <v>2</v>
      </c>
      <c r="N2008">
        <v>2750</v>
      </c>
      <c r="O2008">
        <v>16</v>
      </c>
      <c r="P2008">
        <v>7</v>
      </c>
      <c r="Q2008">
        <v>0</v>
      </c>
      <c r="R2008">
        <v>182259134</v>
      </c>
      <c r="S2008">
        <v>370457.97</v>
      </c>
      <c r="T2008">
        <v>179847962.53999999</v>
      </c>
      <c r="U2008">
        <v>180689976.13</v>
      </c>
      <c r="V2008">
        <v>0.126388</v>
      </c>
      <c r="W2008">
        <v>7.6130000000000003E-2</v>
      </c>
      <c r="Y2008" t="s">
        <v>1</v>
      </c>
      <c r="Z2008">
        <v>4500</v>
      </c>
      <c r="AA2008">
        <v>18</v>
      </c>
      <c r="AB2008">
        <v>195</v>
      </c>
      <c r="AC2008">
        <v>0</v>
      </c>
      <c r="AD2008">
        <v>6562067693</v>
      </c>
      <c r="AE2008">
        <v>9549136.1699999999</v>
      </c>
      <c r="AF2008">
        <v>6503391571</v>
      </c>
      <c r="AG2008">
        <v>6503391571</v>
      </c>
      <c r="AH2008">
        <v>8.6230000000000001E-2</v>
      </c>
      <c r="AI2008">
        <v>8.6230000000000001E-2</v>
      </c>
    </row>
    <row r="2009" spans="1:35" x14ac:dyDescent="0.35">
      <c r="A2009" t="s">
        <v>2</v>
      </c>
      <c r="B2009">
        <v>2750</v>
      </c>
      <c r="C2009">
        <v>18</v>
      </c>
      <c r="D2009">
        <v>5</v>
      </c>
      <c r="E2009">
        <v>0</v>
      </c>
      <c r="F2009">
        <v>96737384</v>
      </c>
      <c r="G2009">
        <v>187051.77</v>
      </c>
      <c r="H2009">
        <v>95846791.480000004</v>
      </c>
      <c r="I2009">
        <v>96374913.709999993</v>
      </c>
      <c r="J2009">
        <v>8.3864999999999995E-2</v>
      </c>
      <c r="K2009">
        <v>2.1544000000000001E-2</v>
      </c>
      <c r="M2009" t="s">
        <v>2</v>
      </c>
      <c r="N2009">
        <v>3250</v>
      </c>
      <c r="O2009">
        <v>16</v>
      </c>
      <c r="P2009">
        <v>11</v>
      </c>
      <c r="Q2009">
        <v>0</v>
      </c>
      <c r="R2009">
        <v>202215792</v>
      </c>
      <c r="S2009">
        <v>361718.41</v>
      </c>
      <c r="T2009">
        <v>200356281.56</v>
      </c>
      <c r="U2009">
        <v>201384973.63999999</v>
      </c>
      <c r="V2009">
        <v>8.5349999999999995E-2</v>
      </c>
      <c r="W2009">
        <v>2.7484999999999999E-2</v>
      </c>
      <c r="Y2009" t="s">
        <v>2</v>
      </c>
      <c r="Z2009">
        <v>4500</v>
      </c>
      <c r="AA2009">
        <v>18</v>
      </c>
      <c r="AB2009">
        <v>17</v>
      </c>
      <c r="AC2009">
        <v>0</v>
      </c>
      <c r="AD2009">
        <v>417954364</v>
      </c>
      <c r="AE2009">
        <v>604187.02</v>
      </c>
      <c r="AF2009">
        <v>417364233</v>
      </c>
      <c r="AG2009">
        <v>417364233</v>
      </c>
      <c r="AH2009">
        <v>-4.0400000000000001E-4</v>
      </c>
      <c r="AI2009">
        <v>-4.0400000000000001E-4</v>
      </c>
    </row>
    <row r="2010" spans="1:35" x14ac:dyDescent="0.35">
      <c r="A2010" t="s">
        <v>0</v>
      </c>
      <c r="B2010">
        <v>2750</v>
      </c>
      <c r="C2010">
        <v>20</v>
      </c>
      <c r="D2010">
        <v>1</v>
      </c>
      <c r="E2010">
        <v>0</v>
      </c>
      <c r="F2010">
        <v>30520919</v>
      </c>
      <c r="G2010">
        <v>59138.89</v>
      </c>
      <c r="H2010">
        <v>28721947.5</v>
      </c>
      <c r="I2010">
        <v>28932530.030000001</v>
      </c>
      <c r="J2010">
        <v>0.50555799999999995</v>
      </c>
      <c r="K2010">
        <v>0.46035599999999999</v>
      </c>
      <c r="M2010" t="s">
        <v>1</v>
      </c>
      <c r="N2010">
        <v>3250</v>
      </c>
      <c r="O2010">
        <v>16</v>
      </c>
      <c r="P2010">
        <v>12</v>
      </c>
      <c r="Q2010">
        <v>0</v>
      </c>
      <c r="R2010">
        <v>371992378</v>
      </c>
      <c r="S2010">
        <v>694818.01</v>
      </c>
      <c r="T2010">
        <v>366328625.60000002</v>
      </c>
      <c r="U2010">
        <v>367814636.92000002</v>
      </c>
      <c r="V2010">
        <v>0.14902399999999999</v>
      </c>
      <c r="W2010">
        <v>0.10674599999999999</v>
      </c>
      <c r="Y2010" t="s">
        <v>2</v>
      </c>
      <c r="Z2010">
        <v>4250</v>
      </c>
      <c r="AA2010">
        <v>18</v>
      </c>
      <c r="AB2010">
        <v>4</v>
      </c>
      <c r="AC2010">
        <v>0</v>
      </c>
      <c r="AD2010">
        <v>65342308</v>
      </c>
      <c r="AE2010">
        <v>98323.56</v>
      </c>
      <c r="AF2010">
        <v>65270444</v>
      </c>
      <c r="AG2010">
        <v>65270444</v>
      </c>
      <c r="AH2010">
        <v>-4.8700000000000002E-3</v>
      </c>
      <c r="AI2010">
        <v>-4.8700000000000002E-3</v>
      </c>
    </row>
    <row r="2011" spans="1:35" x14ac:dyDescent="0.35">
      <c r="A2011" t="s">
        <v>1</v>
      </c>
      <c r="B2011">
        <v>3250</v>
      </c>
      <c r="C2011">
        <v>18</v>
      </c>
      <c r="D2011">
        <v>9</v>
      </c>
      <c r="E2011">
        <v>0</v>
      </c>
      <c r="F2011">
        <v>292776609</v>
      </c>
      <c r="G2011">
        <v>536688.52</v>
      </c>
      <c r="H2011">
        <v>289945425.87</v>
      </c>
      <c r="I2011">
        <v>291358549.00999999</v>
      </c>
      <c r="J2011">
        <v>9.0094999999999995E-2</v>
      </c>
      <c r="K2011">
        <v>3.5533000000000002E-2</v>
      </c>
      <c r="M2011" t="s">
        <v>0</v>
      </c>
      <c r="N2011">
        <v>3500</v>
      </c>
      <c r="O2011">
        <v>18</v>
      </c>
      <c r="P2011">
        <v>1</v>
      </c>
      <c r="Q2011">
        <v>0</v>
      </c>
      <c r="R2011">
        <v>10653965</v>
      </c>
      <c r="S2011">
        <v>18197.93</v>
      </c>
      <c r="T2011">
        <v>10591003.470000001</v>
      </c>
      <c r="U2011">
        <v>10635581.119999999</v>
      </c>
      <c r="V2011">
        <v>4.9270000000000001E-2</v>
      </c>
      <c r="W2011">
        <v>2.0900000000000001E-4</v>
      </c>
      <c r="Y2011" t="s">
        <v>2</v>
      </c>
      <c r="Z2011">
        <v>4750</v>
      </c>
      <c r="AA2011">
        <v>18</v>
      </c>
      <c r="AB2011">
        <v>16</v>
      </c>
      <c r="AC2011">
        <v>0</v>
      </c>
      <c r="AD2011">
        <v>397976262</v>
      </c>
      <c r="AE2011">
        <v>552760.77</v>
      </c>
      <c r="AF2011">
        <v>397378192</v>
      </c>
      <c r="AG2011">
        <v>397378192</v>
      </c>
      <c r="AH2011">
        <v>1.3649999999999999E-3</v>
      </c>
      <c r="AI2011">
        <v>1.3649999999999999E-3</v>
      </c>
    </row>
    <row r="2012" spans="1:35" x14ac:dyDescent="0.35">
      <c r="A2012" t="s">
        <v>2</v>
      </c>
      <c r="B2012">
        <v>3250</v>
      </c>
      <c r="C2012">
        <v>18</v>
      </c>
      <c r="D2012">
        <v>9</v>
      </c>
      <c r="E2012">
        <v>0</v>
      </c>
      <c r="F2012">
        <v>154739749</v>
      </c>
      <c r="G2012">
        <v>278467.01</v>
      </c>
      <c r="H2012">
        <v>154115210.59</v>
      </c>
      <c r="I2012">
        <v>154457470.88</v>
      </c>
      <c r="J2012">
        <v>2.6509999999999999E-2</v>
      </c>
      <c r="K2012">
        <v>2.9599999999999998E-4</v>
      </c>
      <c r="M2012" t="s">
        <v>1</v>
      </c>
      <c r="N2012">
        <v>3500</v>
      </c>
      <c r="O2012">
        <v>16</v>
      </c>
      <c r="P2012">
        <v>9</v>
      </c>
      <c r="Q2012">
        <v>0</v>
      </c>
      <c r="R2012">
        <v>291172497</v>
      </c>
      <c r="S2012">
        <v>515793.1</v>
      </c>
      <c r="T2012">
        <v>285270708.38999999</v>
      </c>
      <c r="U2012">
        <v>287262294.56</v>
      </c>
      <c r="V2012">
        <v>0.20072499999999999</v>
      </c>
      <c r="W2012">
        <v>0.13126299999999999</v>
      </c>
      <c r="Y2012" t="s">
        <v>2</v>
      </c>
      <c r="Z2012">
        <v>5000</v>
      </c>
      <c r="AA2012">
        <v>18</v>
      </c>
      <c r="AB2012">
        <v>76</v>
      </c>
      <c r="AC2012">
        <v>0</v>
      </c>
      <c r="AD2012">
        <v>2065585463</v>
      </c>
      <c r="AE2012">
        <v>2740776.37</v>
      </c>
      <c r="AF2012">
        <v>2062839782</v>
      </c>
      <c r="AG2012">
        <v>2062839782</v>
      </c>
      <c r="AH2012">
        <v>2.8E-5</v>
      </c>
      <c r="AI2012">
        <v>2.8E-5</v>
      </c>
    </row>
    <row r="2013" spans="1:35" x14ac:dyDescent="0.35">
      <c r="A2013" t="s">
        <v>1</v>
      </c>
      <c r="B2013">
        <v>4000</v>
      </c>
      <c r="C2013">
        <v>18</v>
      </c>
      <c r="D2013">
        <v>27</v>
      </c>
      <c r="E2013">
        <v>0</v>
      </c>
      <c r="F2013">
        <v>953357303</v>
      </c>
      <c r="G2013">
        <v>1541830.35</v>
      </c>
      <c r="H2013">
        <v>939457119.36000001</v>
      </c>
      <c r="I2013">
        <v>943718351.90999997</v>
      </c>
      <c r="J2013">
        <v>0.144931</v>
      </c>
      <c r="K2013">
        <v>9.7291000000000002E-2</v>
      </c>
      <c r="M2013" t="s">
        <v>0</v>
      </c>
      <c r="N2013">
        <v>3750</v>
      </c>
      <c r="O2013">
        <v>16</v>
      </c>
      <c r="P2013">
        <v>5</v>
      </c>
      <c r="Q2013">
        <v>0</v>
      </c>
      <c r="R2013">
        <v>183760883</v>
      </c>
      <c r="S2013">
        <v>297786.78000000003</v>
      </c>
      <c r="T2013">
        <v>183183023.15000001</v>
      </c>
      <c r="U2013">
        <v>183462363.94</v>
      </c>
      <c r="V2013">
        <v>1.8137E-2</v>
      </c>
      <c r="W2013">
        <v>4.8000000000000001E-5</v>
      </c>
      <c r="Y2013" t="s">
        <v>1</v>
      </c>
      <c r="Z2013">
        <v>8500</v>
      </c>
      <c r="AA2013">
        <v>18</v>
      </c>
      <c r="AB2013">
        <v>32</v>
      </c>
      <c r="AC2013">
        <v>0</v>
      </c>
      <c r="AD2013">
        <v>853099236</v>
      </c>
      <c r="AE2013">
        <v>591264.69999999995</v>
      </c>
      <c r="AF2013">
        <v>852860637</v>
      </c>
      <c r="AG2013">
        <v>852860637</v>
      </c>
      <c r="AH2013">
        <v>-4.9719999999999999E-3</v>
      </c>
      <c r="AI2013">
        <v>-4.9719999999999999E-3</v>
      </c>
    </row>
    <row r="2014" spans="1:35" x14ac:dyDescent="0.35">
      <c r="A2014" t="s">
        <v>1</v>
      </c>
      <c r="B2014">
        <v>4250</v>
      </c>
      <c r="C2014">
        <v>18</v>
      </c>
      <c r="D2014">
        <v>109</v>
      </c>
      <c r="E2014">
        <v>0</v>
      </c>
      <c r="F2014">
        <v>3533896173</v>
      </c>
      <c r="G2014">
        <v>5359171.6100000003</v>
      </c>
      <c r="H2014">
        <v>3493904616.4000001</v>
      </c>
      <c r="I2014">
        <v>3504383445.9899998</v>
      </c>
      <c r="J2014">
        <v>0.11146499999999999</v>
      </c>
      <c r="K2014">
        <v>7.9004000000000005E-2</v>
      </c>
      <c r="M2014" t="s">
        <v>1</v>
      </c>
      <c r="N2014">
        <v>4000</v>
      </c>
      <c r="O2014">
        <v>16</v>
      </c>
      <c r="P2014">
        <v>33</v>
      </c>
      <c r="Q2014">
        <v>0</v>
      </c>
      <c r="R2014">
        <v>1344447080</v>
      </c>
      <c r="S2014">
        <v>2172052.88</v>
      </c>
      <c r="T2014">
        <v>1323366227.03</v>
      </c>
      <c r="U2014">
        <v>1328408270.6900001</v>
      </c>
      <c r="V2014">
        <v>0.15631</v>
      </c>
      <c r="W2014">
        <v>0.116984</v>
      </c>
      <c r="Y2014" t="s">
        <v>1</v>
      </c>
      <c r="Z2014">
        <v>9000</v>
      </c>
      <c r="AA2014">
        <v>18</v>
      </c>
      <c r="AB2014">
        <v>13</v>
      </c>
      <c r="AC2014">
        <v>0</v>
      </c>
      <c r="AD2014">
        <v>384911535</v>
      </c>
      <c r="AE2014">
        <v>253942.09</v>
      </c>
      <c r="AF2014">
        <v>350661885</v>
      </c>
      <c r="AG2014">
        <v>350661885</v>
      </c>
      <c r="AH2014">
        <v>0.67031099999999999</v>
      </c>
      <c r="AI2014">
        <v>0.67031099999999999</v>
      </c>
    </row>
    <row r="2015" spans="1:35" x14ac:dyDescent="0.35">
      <c r="A2015" t="s">
        <v>2</v>
      </c>
      <c r="B2015">
        <v>4000</v>
      </c>
      <c r="C2015">
        <v>20</v>
      </c>
      <c r="D2015">
        <v>4</v>
      </c>
      <c r="E2015">
        <v>0</v>
      </c>
      <c r="F2015">
        <v>76273391</v>
      </c>
      <c r="G2015">
        <v>126399.53</v>
      </c>
      <c r="H2015">
        <v>75938987.829999998</v>
      </c>
      <c r="I2015">
        <v>76113248.709999993</v>
      </c>
      <c r="J2015">
        <v>3.2238999999999997E-2</v>
      </c>
      <c r="K2015">
        <v>5.2960000000000004E-3</v>
      </c>
      <c r="M2015" t="s">
        <v>1</v>
      </c>
      <c r="N2015">
        <v>3750</v>
      </c>
      <c r="O2015">
        <v>16</v>
      </c>
      <c r="P2015">
        <v>23</v>
      </c>
      <c r="Q2015">
        <v>0</v>
      </c>
      <c r="R2015">
        <v>755091945</v>
      </c>
      <c r="S2015">
        <v>1303979.45</v>
      </c>
      <c r="T2015">
        <v>744898864.90999997</v>
      </c>
      <c r="U2015">
        <v>748750511.29999995</v>
      </c>
      <c r="V2015">
        <v>0.132469</v>
      </c>
      <c r="W2015">
        <v>7.7183000000000002E-2</v>
      </c>
      <c r="Y2015" t="s">
        <v>1</v>
      </c>
      <c r="Z2015">
        <v>2250</v>
      </c>
      <c r="AA2015">
        <v>18</v>
      </c>
      <c r="AB2015">
        <v>10</v>
      </c>
      <c r="AC2015">
        <v>0</v>
      </c>
      <c r="AD2015">
        <v>352064692</v>
      </c>
      <c r="AE2015">
        <v>825392.28</v>
      </c>
      <c r="AF2015">
        <v>351188647</v>
      </c>
      <c r="AG2015">
        <v>351188647</v>
      </c>
      <c r="AH2015">
        <v>1.725E-3</v>
      </c>
      <c r="AI2015">
        <v>1.725E-3</v>
      </c>
    </row>
    <row r="2016" spans="1:35" x14ac:dyDescent="0.35">
      <c r="A2016" t="s">
        <v>1</v>
      </c>
      <c r="B2016">
        <v>3750</v>
      </c>
      <c r="C2016">
        <v>18</v>
      </c>
      <c r="D2016">
        <v>21</v>
      </c>
      <c r="E2016">
        <v>0</v>
      </c>
      <c r="F2016">
        <v>742163629</v>
      </c>
      <c r="G2016">
        <v>1266927.22</v>
      </c>
      <c r="H2016">
        <v>729316708.25</v>
      </c>
      <c r="I2016">
        <v>732322649.47000003</v>
      </c>
      <c r="J2016">
        <v>0.17197499999999999</v>
      </c>
      <c r="K2016">
        <v>0.13015499999999999</v>
      </c>
      <c r="M2016" t="s">
        <v>0</v>
      </c>
      <c r="N2016">
        <v>4000</v>
      </c>
      <c r="O2016">
        <v>16</v>
      </c>
      <c r="P2016">
        <v>9</v>
      </c>
      <c r="Q2016">
        <v>0</v>
      </c>
      <c r="R2016">
        <v>315006906</v>
      </c>
      <c r="S2016">
        <v>491979.73</v>
      </c>
      <c r="T2016">
        <v>314305222.38</v>
      </c>
      <c r="U2016">
        <v>314514328.50999999</v>
      </c>
      <c r="V2016">
        <v>7.9590000000000008E-3</v>
      </c>
      <c r="W2016">
        <v>2.3E-5</v>
      </c>
      <c r="Y2016" t="s">
        <v>1</v>
      </c>
      <c r="Z2016">
        <v>2500</v>
      </c>
      <c r="AA2016">
        <v>18</v>
      </c>
      <c r="AB2016">
        <v>5</v>
      </c>
      <c r="AC2016">
        <v>0</v>
      </c>
      <c r="AD2016">
        <v>191292892</v>
      </c>
      <c r="AE2016">
        <v>421382.06</v>
      </c>
      <c r="AF2016">
        <v>191035332</v>
      </c>
      <c r="AG2016">
        <v>191035332</v>
      </c>
      <c r="AH2016">
        <v>-1.0325000000000001E-2</v>
      </c>
      <c r="AI2016">
        <v>-1.0325000000000001E-2</v>
      </c>
    </row>
    <row r="2017" spans="1:35" x14ac:dyDescent="0.35">
      <c r="A2017" t="s">
        <v>2</v>
      </c>
      <c r="B2017">
        <v>4000</v>
      </c>
      <c r="C2017">
        <v>18</v>
      </c>
      <c r="D2017">
        <v>7</v>
      </c>
      <c r="E2017">
        <v>0</v>
      </c>
      <c r="F2017">
        <v>68862797</v>
      </c>
      <c r="G2017">
        <v>109810.38</v>
      </c>
      <c r="H2017">
        <v>68446272.480000004</v>
      </c>
      <c r="I2017">
        <v>68750859.519999996</v>
      </c>
      <c r="J2017">
        <v>5.2158000000000003E-2</v>
      </c>
      <c r="K2017">
        <v>3.7100000000000002E-4</v>
      </c>
      <c r="M2017" t="s">
        <v>1</v>
      </c>
      <c r="N2017">
        <v>4750</v>
      </c>
      <c r="O2017">
        <v>16</v>
      </c>
      <c r="P2017">
        <v>318</v>
      </c>
      <c r="Q2017">
        <v>0</v>
      </c>
      <c r="R2017">
        <v>11106506664</v>
      </c>
      <c r="S2017">
        <v>15303097.18</v>
      </c>
      <c r="T2017">
        <v>11032191227.290001</v>
      </c>
      <c r="U2017">
        <v>11058515013.42</v>
      </c>
      <c r="V2017">
        <v>6.1928999999999998E-2</v>
      </c>
      <c r="W2017">
        <v>3.4751999999999998E-2</v>
      </c>
      <c r="Y2017" t="s">
        <v>0</v>
      </c>
      <c r="Z2017">
        <v>3000</v>
      </c>
      <c r="AA2017">
        <v>20</v>
      </c>
      <c r="AB2017">
        <v>1</v>
      </c>
      <c r="AC2017">
        <v>0</v>
      </c>
      <c r="AD2017">
        <v>14949015</v>
      </c>
      <c r="AE2017">
        <v>27827.46</v>
      </c>
      <c r="AF2017">
        <v>14921188</v>
      </c>
      <c r="AG2017">
        <v>14921188</v>
      </c>
      <c r="AH2017">
        <v>0</v>
      </c>
      <c r="AI2017">
        <v>0</v>
      </c>
    </row>
    <row r="2018" spans="1:35" x14ac:dyDescent="0.35">
      <c r="A2018" t="s">
        <v>0</v>
      </c>
      <c r="B2018">
        <v>3750</v>
      </c>
      <c r="C2018">
        <v>18</v>
      </c>
      <c r="D2018">
        <v>9</v>
      </c>
      <c r="E2018">
        <v>0</v>
      </c>
      <c r="F2018">
        <v>324141775</v>
      </c>
      <c r="G2018">
        <v>530530.94999999995</v>
      </c>
      <c r="H2018">
        <v>320173466.63</v>
      </c>
      <c r="I2018">
        <v>320622032.26999998</v>
      </c>
      <c r="J2018">
        <v>0.120102</v>
      </c>
      <c r="K2018">
        <v>0.10521899999999999</v>
      </c>
      <c r="M2018" t="s">
        <v>0</v>
      </c>
      <c r="N2018">
        <v>4250</v>
      </c>
      <c r="O2018">
        <v>16</v>
      </c>
      <c r="P2018">
        <v>142</v>
      </c>
      <c r="Q2018">
        <v>0</v>
      </c>
      <c r="R2018">
        <v>4281747152</v>
      </c>
      <c r="S2018">
        <v>6376741.3700000001</v>
      </c>
      <c r="T2018">
        <v>4269564106.54</v>
      </c>
      <c r="U2018">
        <v>4272821196.3200002</v>
      </c>
      <c r="V2018">
        <v>1.6152E-2</v>
      </c>
      <c r="W2018">
        <v>7.1209999999999997E-3</v>
      </c>
      <c r="Y2018" t="s">
        <v>0</v>
      </c>
      <c r="Z2018">
        <v>2750</v>
      </c>
      <c r="AA2018">
        <v>18</v>
      </c>
      <c r="AB2018">
        <v>1</v>
      </c>
      <c r="AC2018">
        <v>0</v>
      </c>
      <c r="AD2018">
        <v>30520919</v>
      </c>
      <c r="AE2018">
        <v>58889.82</v>
      </c>
      <c r="AF2018">
        <v>30520919</v>
      </c>
      <c r="AG2018">
        <v>30520919</v>
      </c>
      <c r="AH2018">
        <v>-2.3401000000000002E-2</v>
      </c>
      <c r="AI2018">
        <v>-2.3401000000000002E-2</v>
      </c>
    </row>
    <row r="2019" spans="1:35" x14ac:dyDescent="0.35">
      <c r="A2019" t="s">
        <v>1</v>
      </c>
      <c r="B2019">
        <v>4500</v>
      </c>
      <c r="C2019">
        <v>18</v>
      </c>
      <c r="D2019">
        <v>248</v>
      </c>
      <c r="E2019">
        <v>0</v>
      </c>
      <c r="F2019">
        <v>8171744978</v>
      </c>
      <c r="G2019">
        <v>11834022.949999999</v>
      </c>
      <c r="H2019">
        <v>8112254670.8500004</v>
      </c>
      <c r="I2019">
        <v>8131051248.9899998</v>
      </c>
      <c r="J2019">
        <v>6.7780000000000007E-2</v>
      </c>
      <c r="K2019">
        <v>4.1565999999999999E-2</v>
      </c>
      <c r="M2019" t="s">
        <v>1</v>
      </c>
      <c r="N2019">
        <v>4500</v>
      </c>
      <c r="O2019">
        <v>16</v>
      </c>
      <c r="P2019">
        <v>199</v>
      </c>
      <c r="Q2019">
        <v>0</v>
      </c>
      <c r="R2019">
        <v>6676962840</v>
      </c>
      <c r="S2019">
        <v>9624081.6799999997</v>
      </c>
      <c r="T2019">
        <v>6622692470.0299997</v>
      </c>
      <c r="U2019">
        <v>6634510041.0799999</v>
      </c>
      <c r="V2019">
        <v>7.7353000000000005E-2</v>
      </c>
      <c r="W2019">
        <v>5.7431000000000003E-2</v>
      </c>
      <c r="Y2019" t="s">
        <v>2</v>
      </c>
      <c r="Z2019">
        <v>3750</v>
      </c>
      <c r="AA2019">
        <v>18</v>
      </c>
      <c r="AB2019">
        <v>6</v>
      </c>
      <c r="AC2019">
        <v>0</v>
      </c>
      <c r="AD2019">
        <v>81539773</v>
      </c>
      <c r="AE2019">
        <v>136176.56</v>
      </c>
      <c r="AF2019">
        <v>81404910</v>
      </c>
      <c r="AG2019">
        <v>81404910</v>
      </c>
      <c r="AH2019">
        <v>-1.93E-4</v>
      </c>
      <c r="AI2019">
        <v>-1.93E-4</v>
      </c>
    </row>
    <row r="2020" spans="1:35" x14ac:dyDescent="0.35">
      <c r="A2020" t="s">
        <v>1</v>
      </c>
      <c r="B2020">
        <v>4750</v>
      </c>
      <c r="C2020">
        <v>18</v>
      </c>
      <c r="D2020">
        <v>339</v>
      </c>
      <c r="E2020">
        <v>0</v>
      </c>
      <c r="F2020">
        <v>11873531893</v>
      </c>
      <c r="G2020">
        <v>16503879.779999999</v>
      </c>
      <c r="H2020">
        <v>11783352953.59</v>
      </c>
      <c r="I2020">
        <v>11816783008.709999</v>
      </c>
      <c r="J2020">
        <v>7.1970999999999993E-2</v>
      </c>
      <c r="K2020">
        <v>3.9924000000000001E-2</v>
      </c>
      <c r="M2020" t="s">
        <v>2</v>
      </c>
      <c r="N2020">
        <v>4500</v>
      </c>
      <c r="O2020">
        <v>16</v>
      </c>
      <c r="P2020">
        <v>17</v>
      </c>
      <c r="Q2020">
        <v>0</v>
      </c>
      <c r="R2020">
        <v>419205886</v>
      </c>
      <c r="S2020">
        <v>599776.23</v>
      </c>
      <c r="T2020">
        <v>418087246.25999999</v>
      </c>
      <c r="U2020">
        <v>418603584</v>
      </c>
      <c r="V2020">
        <v>1.4751999999999999E-2</v>
      </c>
      <c r="W2020">
        <v>7.2000000000000002E-5</v>
      </c>
      <c r="Y2020" t="s">
        <v>2</v>
      </c>
      <c r="Z2020">
        <v>3500</v>
      </c>
      <c r="AA2020">
        <v>18</v>
      </c>
      <c r="AB2020">
        <v>1</v>
      </c>
      <c r="AC2020">
        <v>0</v>
      </c>
      <c r="AD2020">
        <v>12720007</v>
      </c>
      <c r="AE2020">
        <v>21726.91</v>
      </c>
      <c r="AF2020">
        <v>12698280</v>
      </c>
      <c r="AG2020">
        <v>12698280</v>
      </c>
      <c r="AH2020">
        <v>0</v>
      </c>
      <c r="AI2020">
        <v>0</v>
      </c>
    </row>
    <row r="2021" spans="1:35" x14ac:dyDescent="0.35">
      <c r="A2021" t="s">
        <v>0</v>
      </c>
      <c r="B2021">
        <v>4250</v>
      </c>
      <c r="C2021">
        <v>18</v>
      </c>
      <c r="D2021">
        <v>224</v>
      </c>
      <c r="E2021">
        <v>0</v>
      </c>
      <c r="F2021">
        <v>6708957505</v>
      </c>
      <c r="G2021">
        <v>10068429.560000001</v>
      </c>
      <c r="H2021">
        <v>6691301557.5100002</v>
      </c>
      <c r="I2021">
        <v>6696267186.0299997</v>
      </c>
      <c r="J2021">
        <v>1.3487000000000001E-2</v>
      </c>
      <c r="K2021">
        <v>4.6800000000000001E-3</v>
      </c>
      <c r="M2021" t="s">
        <v>2</v>
      </c>
      <c r="N2021">
        <v>4250</v>
      </c>
      <c r="O2021">
        <v>16</v>
      </c>
      <c r="P2021">
        <v>4</v>
      </c>
      <c r="Q2021">
        <v>0</v>
      </c>
      <c r="R2021">
        <v>65584478</v>
      </c>
      <c r="S2021">
        <v>97700.17</v>
      </c>
      <c r="T2021">
        <v>65273743.369999997</v>
      </c>
      <c r="U2021">
        <v>65449981.689999998</v>
      </c>
      <c r="V2021">
        <v>3.8289999999999998E-2</v>
      </c>
      <c r="W2021">
        <v>6.7120000000000001E-3</v>
      </c>
      <c r="Y2021" t="s">
        <v>2</v>
      </c>
      <c r="Z2021">
        <v>4000</v>
      </c>
      <c r="AA2021">
        <v>18</v>
      </c>
      <c r="AB2021">
        <v>10</v>
      </c>
      <c r="AC2021">
        <v>0</v>
      </c>
      <c r="AD2021">
        <v>134426316</v>
      </c>
      <c r="AE2021">
        <v>217973.88</v>
      </c>
      <c r="AF2021">
        <v>134227638</v>
      </c>
      <c r="AG2021">
        <v>134227638</v>
      </c>
      <c r="AH2021">
        <v>-1.7240000000000001E-3</v>
      </c>
      <c r="AI2021">
        <v>-1.7240000000000001E-3</v>
      </c>
    </row>
    <row r="2022" spans="1:35" x14ac:dyDescent="0.35">
      <c r="A2022" t="s">
        <v>2</v>
      </c>
      <c r="B2022">
        <v>4500</v>
      </c>
      <c r="C2022">
        <v>18</v>
      </c>
      <c r="D2022">
        <v>30</v>
      </c>
      <c r="E2022">
        <v>0</v>
      </c>
      <c r="F2022">
        <v>742415883</v>
      </c>
      <c r="G2022">
        <v>1073639.99</v>
      </c>
      <c r="H2022">
        <v>739538518.97000003</v>
      </c>
      <c r="I2022">
        <v>740647285.54999995</v>
      </c>
      <c r="J2022">
        <v>2.8767999999999998E-2</v>
      </c>
      <c r="K2022">
        <v>1.1174999999999999E-2</v>
      </c>
      <c r="M2022" t="s">
        <v>2</v>
      </c>
      <c r="N2022">
        <v>4750</v>
      </c>
      <c r="O2022">
        <v>16</v>
      </c>
      <c r="P2022">
        <v>16</v>
      </c>
      <c r="Q2022">
        <v>0</v>
      </c>
      <c r="R2022">
        <v>399158401</v>
      </c>
      <c r="S2022">
        <v>548560.09</v>
      </c>
      <c r="T2022">
        <v>397344039.79000002</v>
      </c>
      <c r="U2022">
        <v>397783047.81</v>
      </c>
      <c r="V2022">
        <v>3.7397E-2</v>
      </c>
      <c r="W2022">
        <v>2.4575E-2</v>
      </c>
      <c r="Y2022" t="s">
        <v>3</v>
      </c>
      <c r="Z2022">
        <v>5500</v>
      </c>
      <c r="AA2022">
        <v>18</v>
      </c>
      <c r="AB2022">
        <v>1</v>
      </c>
      <c r="AC2022">
        <v>0</v>
      </c>
      <c r="AD2022">
        <v>37144723</v>
      </c>
      <c r="AE2022">
        <v>44808.78</v>
      </c>
      <c r="AF2022">
        <v>37095579</v>
      </c>
      <c r="AG2022">
        <v>37095579</v>
      </c>
      <c r="AH2022">
        <v>1.4E-3</v>
      </c>
      <c r="AI2022">
        <v>1.4E-3</v>
      </c>
    </row>
    <row r="2023" spans="1:35" x14ac:dyDescent="0.35">
      <c r="A2023" t="s">
        <v>2</v>
      </c>
      <c r="B2023">
        <v>5000</v>
      </c>
      <c r="C2023">
        <v>18</v>
      </c>
      <c r="D2023">
        <v>72</v>
      </c>
      <c r="E2023">
        <v>0</v>
      </c>
      <c r="F2023">
        <v>1873589639</v>
      </c>
      <c r="G2023">
        <v>2485391.44</v>
      </c>
      <c r="H2023">
        <v>1866465693.4400001</v>
      </c>
      <c r="I2023">
        <v>1869116636.51</v>
      </c>
      <c r="J2023">
        <v>2.9308000000000001E-2</v>
      </c>
      <c r="K2023">
        <v>1.2656000000000001E-2</v>
      </c>
      <c r="M2023" t="s">
        <v>2</v>
      </c>
      <c r="N2023">
        <v>5000</v>
      </c>
      <c r="O2023">
        <v>16</v>
      </c>
      <c r="P2023">
        <v>76</v>
      </c>
      <c r="Q2023">
        <v>0</v>
      </c>
      <c r="R2023">
        <v>2071127965</v>
      </c>
      <c r="S2023">
        <v>2718304.14</v>
      </c>
      <c r="T2023">
        <v>2065483730.99</v>
      </c>
      <c r="U2023">
        <v>2067759979.99</v>
      </c>
      <c r="V2023">
        <v>1.6822E-2</v>
      </c>
      <c r="W2023">
        <v>3.7580000000000001E-3</v>
      </c>
      <c r="Y2023" t="s">
        <v>1</v>
      </c>
      <c r="Z2023">
        <v>2750</v>
      </c>
      <c r="AA2023">
        <v>18</v>
      </c>
      <c r="AB2023">
        <v>6</v>
      </c>
      <c r="AC2023">
        <v>0</v>
      </c>
      <c r="AD2023">
        <v>315466800</v>
      </c>
      <c r="AE2023">
        <v>686033.79</v>
      </c>
      <c r="AF2023">
        <v>314704005</v>
      </c>
      <c r="AG2023">
        <v>314704005</v>
      </c>
      <c r="AH2023">
        <v>2.9160000000000002E-3</v>
      </c>
      <c r="AI2023">
        <v>2.9160000000000002E-3</v>
      </c>
    </row>
    <row r="2024" spans="1:35" x14ac:dyDescent="0.35">
      <c r="A2024" t="s">
        <v>3</v>
      </c>
      <c r="B2024">
        <v>5500</v>
      </c>
      <c r="C2024">
        <v>18</v>
      </c>
      <c r="D2024">
        <v>1</v>
      </c>
      <c r="E2024">
        <v>0</v>
      </c>
      <c r="F2024">
        <v>37095579</v>
      </c>
      <c r="G2024">
        <v>45008.9</v>
      </c>
      <c r="H2024">
        <v>36798076.75</v>
      </c>
      <c r="I2024">
        <v>37050569.640000001</v>
      </c>
      <c r="J2024">
        <v>7.8688999999999995E-2</v>
      </c>
      <c r="K2024">
        <v>0</v>
      </c>
      <c r="M2024" t="s">
        <v>1</v>
      </c>
      <c r="N2024">
        <v>8500</v>
      </c>
      <c r="O2024">
        <v>16</v>
      </c>
      <c r="P2024">
        <v>38</v>
      </c>
      <c r="Q2024">
        <v>0</v>
      </c>
      <c r="R2024">
        <v>1017460563</v>
      </c>
      <c r="S2024">
        <v>694339.38</v>
      </c>
      <c r="T2024">
        <v>917979860.98000002</v>
      </c>
      <c r="U2024">
        <v>937100731.70000005</v>
      </c>
      <c r="V2024">
        <v>0.70641900000000002</v>
      </c>
      <c r="W2024">
        <v>0.62409000000000003</v>
      </c>
      <c r="Y2024" t="s">
        <v>0</v>
      </c>
      <c r="Z2024">
        <v>2000</v>
      </c>
      <c r="AA2024">
        <v>96</v>
      </c>
      <c r="AB2024">
        <v>1</v>
      </c>
      <c r="AC2024">
        <v>0</v>
      </c>
      <c r="AD2024">
        <v>5626252</v>
      </c>
      <c r="AE2024">
        <v>16904.009999999998</v>
      </c>
      <c r="AF2024">
        <v>5626252</v>
      </c>
      <c r="AG2024">
        <v>5626252</v>
      </c>
      <c r="AH2024">
        <v>-3.6656000000000001E-2</v>
      </c>
      <c r="AI2024">
        <v>-3.6656000000000001E-2</v>
      </c>
    </row>
    <row r="2025" spans="1:35" x14ac:dyDescent="0.35">
      <c r="A2025" t="s">
        <v>3</v>
      </c>
      <c r="B2025">
        <v>5750</v>
      </c>
      <c r="C2025">
        <v>18</v>
      </c>
      <c r="D2025">
        <v>4</v>
      </c>
      <c r="E2025">
        <v>0</v>
      </c>
      <c r="F2025">
        <v>99778878</v>
      </c>
      <c r="G2025">
        <v>116228.9</v>
      </c>
      <c r="H2025">
        <v>99150060.090000004</v>
      </c>
      <c r="I2025">
        <v>99662648.329999998</v>
      </c>
      <c r="J2025">
        <v>5.9935000000000002E-2</v>
      </c>
      <c r="K2025">
        <v>0</v>
      </c>
      <c r="M2025" t="s">
        <v>1</v>
      </c>
      <c r="N2025">
        <v>9000</v>
      </c>
      <c r="O2025">
        <v>16</v>
      </c>
      <c r="P2025">
        <v>15</v>
      </c>
      <c r="Q2025">
        <v>0</v>
      </c>
      <c r="R2025">
        <v>436054467</v>
      </c>
      <c r="S2025">
        <v>283069.03000000003</v>
      </c>
      <c r="T2025">
        <v>384856109.43000001</v>
      </c>
      <c r="U2025">
        <v>391626880.25</v>
      </c>
      <c r="V2025">
        <v>0.77461599999999997</v>
      </c>
      <c r="W2025">
        <v>0.72219100000000003</v>
      </c>
      <c r="Y2025" t="s">
        <v>1</v>
      </c>
      <c r="Z2025">
        <v>2500</v>
      </c>
      <c r="AA2025">
        <v>20</v>
      </c>
      <c r="AB2025">
        <v>3</v>
      </c>
      <c r="AC2025">
        <v>0</v>
      </c>
      <c r="AD2025">
        <v>85549792</v>
      </c>
      <c r="AE2025">
        <v>198006.61</v>
      </c>
      <c r="AF2025">
        <v>85403298</v>
      </c>
      <c r="AG2025">
        <v>85403298</v>
      </c>
      <c r="AH2025">
        <v>-7.2500000000000004E-3</v>
      </c>
      <c r="AI2025">
        <v>-7.2500000000000004E-3</v>
      </c>
    </row>
    <row r="2026" spans="1:35" x14ac:dyDescent="0.35">
      <c r="A2026" t="s">
        <v>1</v>
      </c>
      <c r="B2026">
        <v>9000</v>
      </c>
      <c r="C2026">
        <v>18</v>
      </c>
      <c r="D2026">
        <v>9</v>
      </c>
      <c r="E2026">
        <v>0</v>
      </c>
      <c r="F2026">
        <v>286668268</v>
      </c>
      <c r="G2026">
        <v>190291.1</v>
      </c>
      <c r="H2026">
        <v>257268276.94999999</v>
      </c>
      <c r="I2026">
        <v>257970841.43000001</v>
      </c>
      <c r="J2026">
        <v>0.72462000000000004</v>
      </c>
      <c r="K2026">
        <v>0.71546600000000005</v>
      </c>
      <c r="M2026" t="s">
        <v>1</v>
      </c>
      <c r="N2026">
        <v>2250</v>
      </c>
      <c r="O2026">
        <v>16</v>
      </c>
      <c r="P2026">
        <v>10</v>
      </c>
      <c r="Q2026">
        <v>0</v>
      </c>
      <c r="R2026">
        <v>353804855</v>
      </c>
      <c r="S2026">
        <v>822522.65</v>
      </c>
      <c r="T2026">
        <v>346232619.31999999</v>
      </c>
      <c r="U2026">
        <v>347616716.54000002</v>
      </c>
      <c r="V2026">
        <v>0.206373</v>
      </c>
      <c r="W2026">
        <v>0.167548</v>
      </c>
      <c r="Y2026" t="s">
        <v>2</v>
      </c>
      <c r="Z2026">
        <v>3000</v>
      </c>
      <c r="AA2026">
        <v>16</v>
      </c>
      <c r="AB2026">
        <v>2</v>
      </c>
      <c r="AC2026">
        <v>0</v>
      </c>
      <c r="AD2026">
        <v>28457496</v>
      </c>
      <c r="AE2026">
        <v>53289.43</v>
      </c>
      <c r="AF2026">
        <v>28404429</v>
      </c>
      <c r="AG2026">
        <v>28404429</v>
      </c>
      <c r="AH2026">
        <v>-9.3999999999999994E-5</v>
      </c>
      <c r="AI2026">
        <v>-9.3999999999999994E-5</v>
      </c>
    </row>
    <row r="2027" spans="1:35" x14ac:dyDescent="0.35">
      <c r="A2027" t="s">
        <v>1</v>
      </c>
      <c r="B2027">
        <v>8500</v>
      </c>
      <c r="C2027">
        <v>18</v>
      </c>
      <c r="D2027">
        <v>28</v>
      </c>
      <c r="E2027">
        <v>0</v>
      </c>
      <c r="F2027">
        <v>718000996</v>
      </c>
      <c r="G2027">
        <v>498261.86</v>
      </c>
      <c r="H2027">
        <v>654968968.47000003</v>
      </c>
      <c r="I2027">
        <v>665222387.59000003</v>
      </c>
      <c r="J2027">
        <v>0.66494900000000001</v>
      </c>
      <c r="K2027">
        <v>0.59635099999999996</v>
      </c>
      <c r="M2027" t="s">
        <v>1</v>
      </c>
      <c r="N2027">
        <v>2500</v>
      </c>
      <c r="O2027">
        <v>16</v>
      </c>
      <c r="P2027">
        <v>5</v>
      </c>
      <c r="Q2027">
        <v>0</v>
      </c>
      <c r="R2027">
        <v>192142986</v>
      </c>
      <c r="S2027">
        <v>419660.71</v>
      </c>
      <c r="T2027">
        <v>188261201.25999999</v>
      </c>
      <c r="U2027">
        <v>189486709.50999999</v>
      </c>
      <c r="V2027">
        <v>0.19603000000000001</v>
      </c>
      <c r="W2027">
        <v>0.13108</v>
      </c>
      <c r="Y2027" t="s">
        <v>0</v>
      </c>
      <c r="Z2027">
        <v>3500</v>
      </c>
      <c r="AA2027">
        <v>16</v>
      </c>
      <c r="AB2027">
        <v>3</v>
      </c>
      <c r="AC2027">
        <v>0</v>
      </c>
      <c r="AD2027">
        <v>136953226</v>
      </c>
      <c r="AE2027">
        <v>232942.42</v>
      </c>
      <c r="AF2027">
        <v>136717757</v>
      </c>
      <c r="AG2027">
        <v>136717757</v>
      </c>
      <c r="AH2027">
        <v>2.2100000000000001E-4</v>
      </c>
      <c r="AI2027">
        <v>2.2100000000000001E-4</v>
      </c>
    </row>
    <row r="2028" spans="1:35" x14ac:dyDescent="0.35">
      <c r="A2028" t="s">
        <v>1</v>
      </c>
      <c r="B2028">
        <v>2750</v>
      </c>
      <c r="C2028">
        <v>18</v>
      </c>
      <c r="D2028">
        <v>5</v>
      </c>
      <c r="E2028">
        <v>0</v>
      </c>
      <c r="F2028">
        <v>253206780</v>
      </c>
      <c r="G2028">
        <v>551219.19999999995</v>
      </c>
      <c r="H2028">
        <v>251804744.47999999</v>
      </c>
      <c r="I2028">
        <v>252654275.13</v>
      </c>
      <c r="J2028">
        <v>3.9585000000000002E-2</v>
      </c>
      <c r="K2028">
        <v>6.0999999999999999E-5</v>
      </c>
      <c r="M2028" t="s">
        <v>0</v>
      </c>
      <c r="N2028">
        <v>3000</v>
      </c>
      <c r="O2028">
        <v>18</v>
      </c>
      <c r="P2028">
        <v>1</v>
      </c>
      <c r="Q2028">
        <v>0</v>
      </c>
      <c r="R2028">
        <v>15004462</v>
      </c>
      <c r="S2028">
        <v>27688.84</v>
      </c>
      <c r="T2028">
        <v>14906925.73</v>
      </c>
      <c r="U2028">
        <v>14976672.59</v>
      </c>
      <c r="V2028">
        <v>5.4453000000000001E-2</v>
      </c>
      <c r="W2028">
        <v>8.0000000000000007E-5</v>
      </c>
      <c r="Y2028" t="s">
        <v>2</v>
      </c>
      <c r="Z2028">
        <v>3750</v>
      </c>
      <c r="AA2028">
        <v>16</v>
      </c>
      <c r="AB2028">
        <v>5</v>
      </c>
      <c r="AC2028">
        <v>0</v>
      </c>
      <c r="AD2028">
        <v>114316124</v>
      </c>
      <c r="AE2028">
        <v>188531.55</v>
      </c>
      <c r="AF2028">
        <v>114219267</v>
      </c>
      <c r="AG2028">
        <v>114219267</v>
      </c>
      <c r="AH2028">
        <v>-9.6659999999999992E-3</v>
      </c>
      <c r="AI2028">
        <v>-9.6659999999999992E-3</v>
      </c>
    </row>
    <row r="2029" spans="1:35" x14ac:dyDescent="0.35">
      <c r="A2029" t="s">
        <v>0</v>
      </c>
      <c r="B2029">
        <v>2000</v>
      </c>
      <c r="C2029">
        <v>96</v>
      </c>
      <c r="D2029">
        <v>1</v>
      </c>
      <c r="E2029">
        <v>0</v>
      </c>
      <c r="F2029">
        <v>5626252</v>
      </c>
      <c r="G2029">
        <v>16983.21</v>
      </c>
      <c r="H2029">
        <v>5566676.3200000003</v>
      </c>
      <c r="I2029">
        <v>5591358.8399999999</v>
      </c>
      <c r="J2029">
        <v>8.7154999999999996E-2</v>
      </c>
      <c r="K2029">
        <v>3.7538000000000002E-2</v>
      </c>
      <c r="M2029" t="s">
        <v>0</v>
      </c>
      <c r="N2029">
        <v>2750</v>
      </c>
      <c r="O2029">
        <v>16</v>
      </c>
      <c r="P2029">
        <v>1</v>
      </c>
      <c r="Q2029">
        <v>0</v>
      </c>
      <c r="R2029">
        <v>30520919</v>
      </c>
      <c r="S2029">
        <v>58396.26</v>
      </c>
      <c r="T2029">
        <v>29506884.370000001</v>
      </c>
      <c r="U2029">
        <v>29660505.559999999</v>
      </c>
      <c r="V2029">
        <v>0.31732700000000003</v>
      </c>
      <c r="W2029">
        <v>0.27352300000000002</v>
      </c>
      <c r="Y2029" t="s">
        <v>0</v>
      </c>
      <c r="Z2029">
        <v>3500</v>
      </c>
      <c r="AA2029">
        <v>18</v>
      </c>
      <c r="AB2029">
        <v>2</v>
      </c>
      <c r="AC2029">
        <v>0</v>
      </c>
      <c r="AD2029">
        <v>49286017</v>
      </c>
      <c r="AE2029">
        <v>84845.09</v>
      </c>
      <c r="AF2029">
        <v>49246864</v>
      </c>
      <c r="AG2029">
        <v>49246864</v>
      </c>
      <c r="AH2029">
        <v>-1.1181999999999999E-2</v>
      </c>
      <c r="AI2029">
        <v>-1.1181999999999999E-2</v>
      </c>
    </row>
    <row r="2030" spans="1:35" x14ac:dyDescent="0.35">
      <c r="A2030" t="s">
        <v>1</v>
      </c>
      <c r="B2030">
        <v>2250</v>
      </c>
      <c r="C2030">
        <v>20</v>
      </c>
      <c r="D2030">
        <v>7</v>
      </c>
      <c r="E2030">
        <v>0</v>
      </c>
      <c r="F2030">
        <v>248474588</v>
      </c>
      <c r="G2030">
        <v>585641.53</v>
      </c>
      <c r="H2030">
        <v>247416200.52000001</v>
      </c>
      <c r="I2030">
        <v>247888356.90000001</v>
      </c>
      <c r="J2030">
        <v>2.2594E-2</v>
      </c>
      <c r="K2030">
        <v>2.8E-5</v>
      </c>
      <c r="M2030" t="s">
        <v>2</v>
      </c>
      <c r="N2030">
        <v>3750</v>
      </c>
      <c r="O2030">
        <v>16</v>
      </c>
      <c r="P2030">
        <v>7</v>
      </c>
      <c r="Q2030">
        <v>0</v>
      </c>
      <c r="R2030">
        <v>113952103</v>
      </c>
      <c r="S2030">
        <v>187273.89</v>
      </c>
      <c r="T2030">
        <v>112511893.25</v>
      </c>
      <c r="U2030">
        <v>113057552.70999999</v>
      </c>
      <c r="V2030">
        <v>0.12425</v>
      </c>
      <c r="W2030">
        <v>7.1990999999999999E-2</v>
      </c>
      <c r="Y2030" t="s">
        <v>0</v>
      </c>
      <c r="Z2030">
        <v>3250</v>
      </c>
      <c r="AA2030">
        <v>16</v>
      </c>
      <c r="AB2030">
        <v>2</v>
      </c>
      <c r="AC2030">
        <v>0</v>
      </c>
      <c r="AD2030">
        <v>39721735</v>
      </c>
      <c r="AE2030">
        <v>70285.960000000006</v>
      </c>
      <c r="AF2030">
        <v>39654766</v>
      </c>
      <c r="AG2030">
        <v>39654766</v>
      </c>
      <c r="AH2030">
        <v>-1.003E-3</v>
      </c>
      <c r="AI2030">
        <v>-1.003E-3</v>
      </c>
    </row>
    <row r="2031" spans="1:35" x14ac:dyDescent="0.35">
      <c r="A2031" t="s">
        <v>1</v>
      </c>
      <c r="B2031">
        <v>2750</v>
      </c>
      <c r="C2031">
        <v>20</v>
      </c>
      <c r="D2031">
        <v>4</v>
      </c>
      <c r="E2031">
        <v>0</v>
      </c>
      <c r="F2031">
        <v>226928577</v>
      </c>
      <c r="G2031">
        <v>491804.62</v>
      </c>
      <c r="H2031">
        <v>225539266.06</v>
      </c>
      <c r="I2031">
        <v>226434998.05000001</v>
      </c>
      <c r="J2031">
        <v>4.6441000000000003E-2</v>
      </c>
      <c r="K2031">
        <v>9.3999999999999994E-5</v>
      </c>
      <c r="M2031" t="s">
        <v>2</v>
      </c>
      <c r="N2031">
        <v>3500</v>
      </c>
      <c r="O2031">
        <v>16</v>
      </c>
      <c r="P2031">
        <v>1</v>
      </c>
      <c r="Q2031">
        <v>0</v>
      </c>
      <c r="R2031">
        <v>12763272</v>
      </c>
      <c r="S2031">
        <v>21600.720000000001</v>
      </c>
      <c r="T2031">
        <v>12652446.34</v>
      </c>
      <c r="U2031">
        <v>12741651.42</v>
      </c>
      <c r="V2031">
        <v>8.0738000000000004E-2</v>
      </c>
      <c r="W2031">
        <v>1.9000000000000001E-5</v>
      </c>
      <c r="Y2031" t="s">
        <v>1</v>
      </c>
      <c r="Z2031">
        <v>3500</v>
      </c>
      <c r="AA2031">
        <v>16</v>
      </c>
      <c r="AB2031">
        <v>9</v>
      </c>
      <c r="AC2031">
        <v>0</v>
      </c>
      <c r="AD2031">
        <v>305501635</v>
      </c>
      <c r="AE2031">
        <v>544233.37</v>
      </c>
      <c r="AF2031">
        <v>305078370</v>
      </c>
      <c r="AG2031">
        <v>305078370</v>
      </c>
      <c r="AH2031">
        <v>-4.7619999999999997E-3</v>
      </c>
      <c r="AI2031">
        <v>-4.7619999999999997E-3</v>
      </c>
    </row>
    <row r="2032" spans="1:35" x14ac:dyDescent="0.35">
      <c r="A2032" t="s">
        <v>1</v>
      </c>
      <c r="B2032">
        <v>3500</v>
      </c>
      <c r="C2032">
        <v>18</v>
      </c>
      <c r="D2032">
        <v>9</v>
      </c>
      <c r="E2032">
        <v>0</v>
      </c>
      <c r="F2032">
        <v>303671980</v>
      </c>
      <c r="G2032">
        <v>553398.54</v>
      </c>
      <c r="H2032">
        <v>295044672.73000002</v>
      </c>
      <c r="I2032">
        <v>296097474.50999999</v>
      </c>
      <c r="J2032">
        <v>0.27629300000000001</v>
      </c>
      <c r="K2032">
        <v>0.24475</v>
      </c>
      <c r="M2032" t="s">
        <v>2</v>
      </c>
      <c r="N2032">
        <v>4000</v>
      </c>
      <c r="O2032">
        <v>16</v>
      </c>
      <c r="P2032">
        <v>11</v>
      </c>
      <c r="Q2032">
        <v>0</v>
      </c>
      <c r="R2032">
        <v>153566040</v>
      </c>
      <c r="S2032">
        <v>245513.5</v>
      </c>
      <c r="T2032">
        <v>152134692.56999999</v>
      </c>
      <c r="U2032">
        <v>152567299.87</v>
      </c>
      <c r="V2032">
        <v>8.8828000000000004E-2</v>
      </c>
      <c r="W2032">
        <v>5.7297000000000001E-2</v>
      </c>
      <c r="Y2032" t="s">
        <v>0</v>
      </c>
      <c r="Z2032">
        <v>3750</v>
      </c>
      <c r="AA2032">
        <v>16</v>
      </c>
      <c r="AB2032">
        <v>34</v>
      </c>
      <c r="AC2032">
        <v>0</v>
      </c>
      <c r="AD2032">
        <v>1091507751</v>
      </c>
      <c r="AE2032">
        <v>1766784.59</v>
      </c>
      <c r="AF2032">
        <v>1089814470</v>
      </c>
      <c r="AG2032">
        <v>1089814470</v>
      </c>
      <c r="AH2032">
        <v>-8.0800000000000002E-4</v>
      </c>
      <c r="AI2032">
        <v>-8.0800000000000002E-4</v>
      </c>
    </row>
    <row r="2033" spans="1:35" x14ac:dyDescent="0.35">
      <c r="A2033" t="s">
        <v>0</v>
      </c>
      <c r="B2033">
        <v>3500</v>
      </c>
      <c r="C2033">
        <v>18</v>
      </c>
      <c r="D2033">
        <v>2</v>
      </c>
      <c r="E2033">
        <v>0</v>
      </c>
      <c r="F2033">
        <v>69926508</v>
      </c>
      <c r="G2033">
        <v>119298.99</v>
      </c>
      <c r="H2033">
        <v>69717471.569999993</v>
      </c>
      <c r="I2033">
        <v>69805061.700000003</v>
      </c>
      <c r="J2033">
        <v>1.5291000000000001E-2</v>
      </c>
      <c r="K2033">
        <v>3.68E-4</v>
      </c>
      <c r="M2033" t="s">
        <v>3</v>
      </c>
      <c r="N2033">
        <v>5250</v>
      </c>
      <c r="O2033">
        <v>16</v>
      </c>
      <c r="P2033">
        <v>1</v>
      </c>
      <c r="Q2033">
        <v>0</v>
      </c>
      <c r="R2033">
        <v>31459249</v>
      </c>
      <c r="S2033">
        <v>39222.83</v>
      </c>
      <c r="T2033">
        <v>31230255.219999999</v>
      </c>
      <c r="U2033">
        <v>31420025.510000002</v>
      </c>
      <c r="V2033">
        <v>7.0032999999999998E-2</v>
      </c>
      <c r="W2033">
        <v>0</v>
      </c>
      <c r="Y2033" t="s">
        <v>1</v>
      </c>
      <c r="Z2033">
        <v>3750</v>
      </c>
      <c r="AA2033">
        <v>16</v>
      </c>
      <c r="AB2033">
        <v>29</v>
      </c>
      <c r="AC2033">
        <v>0</v>
      </c>
      <c r="AD2033">
        <v>1008765816</v>
      </c>
      <c r="AE2033">
        <v>1705341.48</v>
      </c>
      <c r="AF2033">
        <v>981261687</v>
      </c>
      <c r="AG2033">
        <v>981261687</v>
      </c>
      <c r="AH2033">
        <v>0.267204</v>
      </c>
      <c r="AI2033">
        <v>0.267204</v>
      </c>
    </row>
    <row r="2034" spans="1:35" x14ac:dyDescent="0.35">
      <c r="A2034" t="s">
        <v>2</v>
      </c>
      <c r="B2034">
        <v>3750</v>
      </c>
      <c r="C2034">
        <v>18</v>
      </c>
      <c r="D2034">
        <v>5</v>
      </c>
      <c r="E2034">
        <v>0</v>
      </c>
      <c r="F2034">
        <v>96784919</v>
      </c>
      <c r="G2034">
        <v>160821.04</v>
      </c>
      <c r="H2034">
        <v>95378727.519999996</v>
      </c>
      <c r="I2034">
        <v>95985038.310000002</v>
      </c>
      <c r="J2034">
        <v>0.14393700000000001</v>
      </c>
      <c r="K2034">
        <v>7.6420000000000002E-2</v>
      </c>
      <c r="M2034" t="s">
        <v>3</v>
      </c>
      <c r="N2034">
        <v>5500</v>
      </c>
      <c r="O2034">
        <v>16</v>
      </c>
      <c r="P2034">
        <v>1</v>
      </c>
      <c r="Q2034">
        <v>0</v>
      </c>
      <c r="R2034">
        <v>37242340</v>
      </c>
      <c r="S2034">
        <v>44411.11</v>
      </c>
      <c r="T2034">
        <v>36950529.030000001</v>
      </c>
      <c r="U2034">
        <v>37197928.159999996</v>
      </c>
      <c r="V2034">
        <v>7.6867000000000005E-2</v>
      </c>
      <c r="W2034">
        <v>0</v>
      </c>
      <c r="Y2034" t="s">
        <v>0</v>
      </c>
      <c r="Z2034">
        <v>4000</v>
      </c>
      <c r="AA2034">
        <v>16</v>
      </c>
      <c r="AB2034">
        <v>136</v>
      </c>
      <c r="AC2034">
        <v>0</v>
      </c>
      <c r="AD2034">
        <v>4518395248</v>
      </c>
      <c r="AE2034">
        <v>7019952.75</v>
      </c>
      <c r="AF2034">
        <v>4510562754</v>
      </c>
      <c r="AG2034">
        <v>4510562754</v>
      </c>
      <c r="AH2034">
        <v>2.1559999999999999E-3</v>
      </c>
      <c r="AI2034">
        <v>2.1559999999999999E-3</v>
      </c>
    </row>
    <row r="2035" spans="1:35" x14ac:dyDescent="0.35">
      <c r="A2035" t="s">
        <v>0</v>
      </c>
      <c r="B2035">
        <v>3500</v>
      </c>
      <c r="C2035">
        <v>20</v>
      </c>
      <c r="D2035">
        <v>1</v>
      </c>
      <c r="E2035">
        <v>0</v>
      </c>
      <c r="F2035">
        <v>22387633</v>
      </c>
      <c r="G2035">
        <v>39212.61</v>
      </c>
      <c r="H2035">
        <v>22281947.559999999</v>
      </c>
      <c r="I2035">
        <v>22348380.460000001</v>
      </c>
      <c r="J2035">
        <v>3.5054000000000002E-2</v>
      </c>
      <c r="K2035">
        <v>2.0999999999999999E-5</v>
      </c>
      <c r="M2035" t="s">
        <v>1</v>
      </c>
      <c r="N2035">
        <v>2750</v>
      </c>
      <c r="O2035">
        <v>16</v>
      </c>
      <c r="P2035">
        <v>6</v>
      </c>
      <c r="Q2035">
        <v>0</v>
      </c>
      <c r="R2035">
        <v>316809076</v>
      </c>
      <c r="S2035">
        <v>682879.81</v>
      </c>
      <c r="T2035">
        <v>315069297.00999999</v>
      </c>
      <c r="U2035">
        <v>316123508.10000002</v>
      </c>
      <c r="V2035">
        <v>3.9306000000000001E-2</v>
      </c>
      <c r="W2035">
        <v>1.02E-4</v>
      </c>
      <c r="Y2035" t="s">
        <v>1</v>
      </c>
      <c r="Z2035">
        <v>4000</v>
      </c>
      <c r="AA2035">
        <v>16</v>
      </c>
      <c r="AB2035">
        <v>67</v>
      </c>
      <c r="AC2035">
        <v>0</v>
      </c>
      <c r="AD2035">
        <v>2176306165</v>
      </c>
      <c r="AE2035">
        <v>3440323.22</v>
      </c>
      <c r="AF2035">
        <v>2172959507</v>
      </c>
      <c r="AG2035">
        <v>2172959507</v>
      </c>
      <c r="AH2035">
        <v>-5.1699999999999999E-4</v>
      </c>
      <c r="AI2035">
        <v>-5.1699999999999999E-4</v>
      </c>
    </row>
    <row r="2036" spans="1:35" x14ac:dyDescent="0.35">
      <c r="A2036" t="s">
        <v>0</v>
      </c>
      <c r="B2036">
        <v>3250</v>
      </c>
      <c r="C2036">
        <v>18</v>
      </c>
      <c r="D2036">
        <v>1</v>
      </c>
      <c r="E2036">
        <v>0</v>
      </c>
      <c r="F2036">
        <v>31754766</v>
      </c>
      <c r="G2036">
        <v>56258.83</v>
      </c>
      <c r="H2036">
        <v>31658962.050000001</v>
      </c>
      <c r="I2036">
        <v>31698460.379999999</v>
      </c>
      <c r="J2036">
        <v>1.4841999999999999E-2</v>
      </c>
      <c r="K2036">
        <v>1.8E-5</v>
      </c>
      <c r="M2036" t="s">
        <v>0</v>
      </c>
      <c r="N2036">
        <v>2000</v>
      </c>
      <c r="O2036">
        <v>96</v>
      </c>
      <c r="P2036">
        <v>1</v>
      </c>
      <c r="Q2036">
        <v>0</v>
      </c>
      <c r="R2036">
        <v>5626252</v>
      </c>
      <c r="S2036">
        <v>16747.419999999998</v>
      </c>
      <c r="T2036">
        <v>5520607.2999999998</v>
      </c>
      <c r="U2036">
        <v>5602709.3200000003</v>
      </c>
      <c r="V2036">
        <v>0.17396600000000001</v>
      </c>
      <c r="W2036">
        <v>1.4397E-2</v>
      </c>
      <c r="Y2036" t="s">
        <v>1</v>
      </c>
      <c r="Z2036">
        <v>4250</v>
      </c>
      <c r="AA2036">
        <v>16</v>
      </c>
      <c r="AB2036">
        <v>235</v>
      </c>
      <c r="AC2036">
        <v>0</v>
      </c>
      <c r="AD2036">
        <v>8016166497</v>
      </c>
      <c r="AE2036">
        <v>11996676.23</v>
      </c>
      <c r="AF2036">
        <v>7954444373</v>
      </c>
      <c r="AG2036">
        <v>7954444373</v>
      </c>
      <c r="AH2036">
        <v>7.195E-2</v>
      </c>
      <c r="AI2036">
        <v>7.195E-2</v>
      </c>
    </row>
    <row r="2037" spans="1:35" x14ac:dyDescent="0.35">
      <c r="A2037" t="s">
        <v>0</v>
      </c>
      <c r="B2037">
        <v>4000</v>
      </c>
      <c r="C2037">
        <v>18</v>
      </c>
      <c r="D2037">
        <v>5</v>
      </c>
      <c r="E2037">
        <v>0</v>
      </c>
      <c r="F2037">
        <v>165221883</v>
      </c>
      <c r="G2037">
        <v>259052.15</v>
      </c>
      <c r="H2037">
        <v>164804963.99000001</v>
      </c>
      <c r="I2037">
        <v>164962471.71000001</v>
      </c>
      <c r="J2037">
        <v>1.1405999999999999E-2</v>
      </c>
      <c r="K2037">
        <v>2.5999999999999998E-5</v>
      </c>
      <c r="M2037" t="s">
        <v>1</v>
      </c>
      <c r="N2037">
        <v>2500</v>
      </c>
      <c r="O2037">
        <v>18</v>
      </c>
      <c r="P2037">
        <v>3</v>
      </c>
      <c r="Q2037">
        <v>0</v>
      </c>
      <c r="R2037">
        <v>85946328</v>
      </c>
      <c r="S2037">
        <v>197201.59</v>
      </c>
      <c r="T2037">
        <v>85439320.650000006</v>
      </c>
      <c r="U2037">
        <v>85747610.150000006</v>
      </c>
      <c r="V2037">
        <v>4.2408000000000001E-2</v>
      </c>
      <c r="W2037">
        <v>2.12E-4</v>
      </c>
      <c r="Y2037" t="s">
        <v>2</v>
      </c>
      <c r="Z2037">
        <v>4250</v>
      </c>
      <c r="AA2037">
        <v>16</v>
      </c>
      <c r="AB2037">
        <v>15</v>
      </c>
      <c r="AC2037">
        <v>0</v>
      </c>
      <c r="AD2037">
        <v>322427997</v>
      </c>
      <c r="AE2037">
        <v>483766.78</v>
      </c>
      <c r="AF2037">
        <v>322013353</v>
      </c>
      <c r="AG2037">
        <v>322013353</v>
      </c>
      <c r="AH2037">
        <v>-2.5760000000000002E-3</v>
      </c>
      <c r="AI2037">
        <v>-2.5760000000000002E-3</v>
      </c>
    </row>
    <row r="2038" spans="1:35" x14ac:dyDescent="0.35">
      <c r="A2038" t="s">
        <v>2</v>
      </c>
      <c r="B2038">
        <v>4250</v>
      </c>
      <c r="C2038">
        <v>18</v>
      </c>
      <c r="D2038">
        <v>8</v>
      </c>
      <c r="E2038">
        <v>0</v>
      </c>
      <c r="F2038">
        <v>145990371</v>
      </c>
      <c r="G2038">
        <v>220302.33</v>
      </c>
      <c r="H2038">
        <v>144941750.94</v>
      </c>
      <c r="I2038">
        <v>145317672.75999999</v>
      </c>
      <c r="J2038">
        <v>6.6000000000000003E-2</v>
      </c>
      <c r="K2038">
        <v>3.6558E-2</v>
      </c>
      <c r="M2038" t="s">
        <v>2</v>
      </c>
      <c r="N2038">
        <v>3000</v>
      </c>
      <c r="O2038">
        <v>14</v>
      </c>
      <c r="P2038">
        <v>2</v>
      </c>
      <c r="Q2038">
        <v>0</v>
      </c>
      <c r="R2038">
        <v>28546797</v>
      </c>
      <c r="S2038">
        <v>53003.72</v>
      </c>
      <c r="T2038">
        <v>28392335.25</v>
      </c>
      <c r="U2038">
        <v>28449015.550000001</v>
      </c>
      <c r="V2038">
        <v>4.1825000000000001E-2</v>
      </c>
      <c r="W2038">
        <v>1.8661000000000001E-2</v>
      </c>
      <c r="Y2038" t="s">
        <v>1</v>
      </c>
      <c r="Z2038">
        <v>4500</v>
      </c>
      <c r="AA2038">
        <v>16</v>
      </c>
      <c r="AB2038">
        <v>430</v>
      </c>
      <c r="AC2038">
        <v>0</v>
      </c>
      <c r="AD2038">
        <v>14425810985</v>
      </c>
      <c r="AE2038">
        <v>20670319.370000001</v>
      </c>
      <c r="AF2038">
        <v>14322393629</v>
      </c>
      <c r="AG2038">
        <v>14322393629</v>
      </c>
      <c r="AH2038">
        <v>6.6701999999999997E-2</v>
      </c>
      <c r="AI2038">
        <v>6.6701999999999997E-2</v>
      </c>
    </row>
    <row r="2039" spans="1:35" x14ac:dyDescent="0.35">
      <c r="A2039" t="s">
        <v>3</v>
      </c>
      <c r="B2039">
        <v>5250</v>
      </c>
      <c r="C2039">
        <v>18</v>
      </c>
      <c r="D2039">
        <v>2</v>
      </c>
      <c r="E2039">
        <v>0</v>
      </c>
      <c r="F2039">
        <v>71601959</v>
      </c>
      <c r="G2039">
        <v>90280.49</v>
      </c>
      <c r="H2039">
        <v>70739348.310000002</v>
      </c>
      <c r="I2039">
        <v>71511677.510000005</v>
      </c>
      <c r="J2039">
        <v>0.122028</v>
      </c>
      <c r="K2039">
        <v>0</v>
      </c>
      <c r="M2039" t="s">
        <v>0</v>
      </c>
      <c r="N2039">
        <v>3500</v>
      </c>
      <c r="O2039">
        <v>14</v>
      </c>
      <c r="P2039">
        <v>3</v>
      </c>
      <c r="Q2039">
        <v>0</v>
      </c>
      <c r="R2039">
        <v>137422141</v>
      </c>
      <c r="S2039">
        <v>231617.04</v>
      </c>
      <c r="T2039">
        <v>137017544</v>
      </c>
      <c r="U2039">
        <v>137190211.56999999</v>
      </c>
      <c r="V2039">
        <v>1.5001E-2</v>
      </c>
      <c r="W2039">
        <v>2.6999999999999999E-5</v>
      </c>
      <c r="Y2039" t="s">
        <v>0</v>
      </c>
      <c r="Z2039">
        <v>4250</v>
      </c>
      <c r="AA2039">
        <v>16</v>
      </c>
      <c r="AB2039">
        <v>639</v>
      </c>
      <c r="AC2039">
        <v>0</v>
      </c>
      <c r="AD2039">
        <v>18871277802</v>
      </c>
      <c r="AE2039">
        <v>28063074</v>
      </c>
      <c r="AF2039">
        <v>18842133841</v>
      </c>
      <c r="AG2039">
        <v>18842133841</v>
      </c>
      <c r="AH2039">
        <v>6.87E-4</v>
      </c>
      <c r="AI2039">
        <v>6.87E-4</v>
      </c>
    </row>
    <row r="2040" spans="1:35" x14ac:dyDescent="0.35">
      <c r="A2040" t="s">
        <v>2</v>
      </c>
      <c r="B2040">
        <v>8500</v>
      </c>
      <c r="C2040">
        <v>18</v>
      </c>
      <c r="D2040">
        <v>1</v>
      </c>
      <c r="E2040">
        <v>0</v>
      </c>
      <c r="F2040">
        <v>3501537</v>
      </c>
      <c r="G2040">
        <v>2418.0300000000002</v>
      </c>
      <c r="H2040">
        <v>3472345.66</v>
      </c>
      <c r="I2040">
        <v>3479430.21</v>
      </c>
      <c r="J2040">
        <v>8.7992000000000001E-2</v>
      </c>
      <c r="K2040">
        <v>6.5426999999999999E-2</v>
      </c>
      <c r="M2040" t="s">
        <v>2</v>
      </c>
      <c r="N2040">
        <v>3750</v>
      </c>
      <c r="O2040">
        <v>14</v>
      </c>
      <c r="P2040">
        <v>5</v>
      </c>
      <c r="Q2040">
        <v>0</v>
      </c>
      <c r="R2040">
        <v>114508956</v>
      </c>
      <c r="S2040">
        <v>187092.21</v>
      </c>
      <c r="T2040">
        <v>113634566.33</v>
      </c>
      <c r="U2040">
        <v>113866329.63</v>
      </c>
      <c r="V2040">
        <v>6.9694999999999993E-2</v>
      </c>
      <c r="W2040">
        <v>4.6706999999999999E-2</v>
      </c>
      <c r="Y2040" t="s">
        <v>2</v>
      </c>
      <c r="Z2040">
        <v>4500</v>
      </c>
      <c r="AA2040">
        <v>16</v>
      </c>
      <c r="AB2040">
        <v>48</v>
      </c>
      <c r="AC2040">
        <v>0</v>
      </c>
      <c r="AD2040">
        <v>1166158596</v>
      </c>
      <c r="AE2040">
        <v>1668205.78</v>
      </c>
      <c r="AF2040">
        <v>1164493270</v>
      </c>
      <c r="AG2040">
        <v>1164493270</v>
      </c>
      <c r="AH2040">
        <v>-3.0000000000000001E-5</v>
      </c>
      <c r="AI2040">
        <v>-3.0000000000000001E-5</v>
      </c>
    </row>
    <row r="2041" spans="1:35" x14ac:dyDescent="0.35">
      <c r="A2041" t="s">
        <v>1</v>
      </c>
      <c r="B2041">
        <v>2000</v>
      </c>
      <c r="C2041">
        <v>20</v>
      </c>
      <c r="D2041">
        <v>1</v>
      </c>
      <c r="E2041">
        <v>0</v>
      </c>
      <c r="F2041">
        <v>30528051</v>
      </c>
      <c r="G2041">
        <v>78906.64</v>
      </c>
      <c r="H2041">
        <v>30434747.719999999</v>
      </c>
      <c r="I2041">
        <v>30448914.59</v>
      </c>
      <c r="J2041">
        <v>5.6439999999999997E-3</v>
      </c>
      <c r="K2041">
        <v>9.0000000000000006E-5</v>
      </c>
      <c r="M2041" t="s">
        <v>0</v>
      </c>
      <c r="N2041">
        <v>3500</v>
      </c>
      <c r="O2041">
        <v>16</v>
      </c>
      <c r="P2041">
        <v>2</v>
      </c>
      <c r="Q2041">
        <v>0</v>
      </c>
      <c r="R2041">
        <v>49455156</v>
      </c>
      <c r="S2041">
        <v>84361.45</v>
      </c>
      <c r="T2041">
        <v>49131252.039999999</v>
      </c>
      <c r="U2041">
        <v>49370156.859999999</v>
      </c>
      <c r="V2041">
        <v>5.6599999999999998E-2</v>
      </c>
      <c r="W2041">
        <v>1.55E-4</v>
      </c>
      <c r="Y2041" t="s">
        <v>3</v>
      </c>
      <c r="Z2041">
        <v>5250</v>
      </c>
      <c r="AA2041">
        <v>16</v>
      </c>
      <c r="AB2041">
        <v>5</v>
      </c>
      <c r="AC2041">
        <v>0</v>
      </c>
      <c r="AD2041">
        <v>115309180</v>
      </c>
      <c r="AE2041">
        <v>144268.54</v>
      </c>
      <c r="AF2041">
        <v>115164375</v>
      </c>
      <c r="AG2041">
        <v>115164375</v>
      </c>
      <c r="AH2041">
        <v>5.5999999999999999E-5</v>
      </c>
      <c r="AI2041">
        <v>5.5999999999999999E-5</v>
      </c>
    </row>
    <row r="2042" spans="1:35" x14ac:dyDescent="0.35">
      <c r="A2042" t="s">
        <v>1</v>
      </c>
      <c r="B2042">
        <v>2750</v>
      </c>
      <c r="C2042">
        <v>16</v>
      </c>
      <c r="D2042">
        <v>3</v>
      </c>
      <c r="E2042">
        <v>0</v>
      </c>
      <c r="F2042">
        <v>90534552</v>
      </c>
      <c r="G2042">
        <v>200156.19</v>
      </c>
      <c r="H2042">
        <v>86506833.239999995</v>
      </c>
      <c r="I2042">
        <v>87666905.209999993</v>
      </c>
      <c r="J2042">
        <v>0.40450700000000001</v>
      </c>
      <c r="K2042">
        <v>0.301541</v>
      </c>
      <c r="M2042" t="s">
        <v>0</v>
      </c>
      <c r="N2042">
        <v>3250</v>
      </c>
      <c r="O2042">
        <v>14</v>
      </c>
      <c r="P2042">
        <v>2</v>
      </c>
      <c r="Q2042">
        <v>0</v>
      </c>
      <c r="R2042">
        <v>39855131</v>
      </c>
      <c r="S2042">
        <v>69897.350000000006</v>
      </c>
      <c r="T2042">
        <v>39731105.310000002</v>
      </c>
      <c r="U2042">
        <v>39785023.880000003</v>
      </c>
      <c r="V2042">
        <v>1.6175999999999999E-2</v>
      </c>
      <c r="W2042">
        <v>6.3E-5</v>
      </c>
      <c r="Y2042" t="s">
        <v>3</v>
      </c>
      <c r="Z2042">
        <v>7500</v>
      </c>
      <c r="AA2042">
        <v>20</v>
      </c>
      <c r="AB2042">
        <v>1</v>
      </c>
      <c r="AC2042">
        <v>0</v>
      </c>
      <c r="AD2042">
        <v>12350849</v>
      </c>
      <c r="AE2042">
        <v>10722.16</v>
      </c>
      <c r="AF2042">
        <v>12328793</v>
      </c>
      <c r="AG2042">
        <v>12328793</v>
      </c>
      <c r="AH2042">
        <v>1.0956E-2</v>
      </c>
      <c r="AI2042">
        <v>1.0956E-2</v>
      </c>
    </row>
    <row r="2043" spans="1:35" x14ac:dyDescent="0.35">
      <c r="A2043" t="s">
        <v>1</v>
      </c>
      <c r="B2043">
        <v>2500</v>
      </c>
      <c r="C2043">
        <v>18</v>
      </c>
      <c r="D2043">
        <v>4</v>
      </c>
      <c r="E2043">
        <v>0</v>
      </c>
      <c r="F2043">
        <v>167957347</v>
      </c>
      <c r="G2043">
        <v>366283.69</v>
      </c>
      <c r="H2043">
        <v>166861541.99000001</v>
      </c>
      <c r="I2043">
        <v>167584200.24000001</v>
      </c>
      <c r="J2043">
        <v>5.0895000000000003E-2</v>
      </c>
      <c r="K2043">
        <v>4.8999999999999998E-4</v>
      </c>
      <c r="M2043" t="s">
        <v>1</v>
      </c>
      <c r="N2043">
        <v>3500</v>
      </c>
      <c r="O2043">
        <v>14</v>
      </c>
      <c r="P2043">
        <v>8</v>
      </c>
      <c r="Q2043">
        <v>0</v>
      </c>
      <c r="R2043">
        <v>269526342</v>
      </c>
      <c r="S2043">
        <v>467480.35</v>
      </c>
      <c r="T2043">
        <v>263243717.88999999</v>
      </c>
      <c r="U2043">
        <v>264575507.59999999</v>
      </c>
      <c r="V2043">
        <v>0.23028799999999999</v>
      </c>
      <c r="W2043">
        <v>0.18232400000000001</v>
      </c>
      <c r="Y2043" t="s">
        <v>1</v>
      </c>
      <c r="Z2043">
        <v>8500</v>
      </c>
      <c r="AA2043">
        <v>16</v>
      </c>
      <c r="AB2043">
        <v>15</v>
      </c>
      <c r="AC2043">
        <v>0</v>
      </c>
      <c r="AD2043">
        <v>378778825</v>
      </c>
      <c r="AE2043">
        <v>259152.16</v>
      </c>
      <c r="AF2043">
        <v>340328548</v>
      </c>
      <c r="AG2043">
        <v>340328548</v>
      </c>
      <c r="AH2043">
        <v>0.720669</v>
      </c>
      <c r="AI2043">
        <v>0.720669</v>
      </c>
    </row>
    <row r="2044" spans="1:35" x14ac:dyDescent="0.35">
      <c r="A2044" t="s">
        <v>2</v>
      </c>
      <c r="B2044">
        <v>3000</v>
      </c>
      <c r="C2044">
        <v>16</v>
      </c>
      <c r="D2044">
        <v>1</v>
      </c>
      <c r="E2044">
        <v>0</v>
      </c>
      <c r="F2044">
        <v>8788790</v>
      </c>
      <c r="G2044">
        <v>16479.55</v>
      </c>
      <c r="H2044">
        <v>8753842.3599999994</v>
      </c>
      <c r="I2044">
        <v>8772241.8800000008</v>
      </c>
      <c r="J2044">
        <v>2.4926E-2</v>
      </c>
      <c r="K2044">
        <v>9.3999999999999994E-5</v>
      </c>
      <c r="M2044" t="s">
        <v>0</v>
      </c>
      <c r="N2044">
        <v>3750</v>
      </c>
      <c r="O2044">
        <v>14</v>
      </c>
      <c r="P2044">
        <v>34</v>
      </c>
      <c r="Q2044">
        <v>0</v>
      </c>
      <c r="R2044">
        <v>1094840917</v>
      </c>
      <c r="S2044">
        <v>1755513.03</v>
      </c>
      <c r="T2044">
        <v>1090480869.9200001</v>
      </c>
      <c r="U2044">
        <v>1091603110.97</v>
      </c>
      <c r="V2044">
        <v>2.8176E-2</v>
      </c>
      <c r="W2044">
        <v>1.6126000000000001E-2</v>
      </c>
      <c r="Y2044" t="s">
        <v>2</v>
      </c>
      <c r="Z2044">
        <v>8500</v>
      </c>
      <c r="AA2044">
        <v>16</v>
      </c>
      <c r="AB2044">
        <v>1</v>
      </c>
      <c r="AC2044">
        <v>0</v>
      </c>
      <c r="AD2044">
        <v>3506248</v>
      </c>
      <c r="AE2044">
        <v>2402.61</v>
      </c>
      <c r="AF2044">
        <v>3501537</v>
      </c>
      <c r="AG2044">
        <v>3501537</v>
      </c>
      <c r="AH2044">
        <v>7.8720000000000005E-3</v>
      </c>
      <c r="AI2044">
        <v>7.8720000000000005E-3</v>
      </c>
    </row>
    <row r="2045" spans="1:35" x14ac:dyDescent="0.35">
      <c r="A2045" t="s">
        <v>0</v>
      </c>
      <c r="B2045">
        <v>2750</v>
      </c>
      <c r="C2045">
        <v>16</v>
      </c>
      <c r="D2045">
        <v>2</v>
      </c>
      <c r="E2045">
        <v>0</v>
      </c>
      <c r="F2045">
        <v>68423821</v>
      </c>
      <c r="G2045">
        <v>130712.92</v>
      </c>
      <c r="H2045">
        <v>68046914.209999993</v>
      </c>
      <c r="I2045">
        <v>68293049.060000002</v>
      </c>
      <c r="J2045">
        <v>4.2333000000000003E-2</v>
      </c>
      <c r="K2045">
        <v>1.0000000000000001E-5</v>
      </c>
      <c r="M2045" t="s">
        <v>1</v>
      </c>
      <c r="N2045">
        <v>3750</v>
      </c>
      <c r="O2045">
        <v>14</v>
      </c>
      <c r="P2045">
        <v>36</v>
      </c>
      <c r="Q2045">
        <v>0</v>
      </c>
      <c r="R2045">
        <v>1237536552</v>
      </c>
      <c r="S2045">
        <v>2126878</v>
      </c>
      <c r="T2045">
        <v>1194858865.5</v>
      </c>
      <c r="U2045">
        <v>1200208489.3599999</v>
      </c>
      <c r="V2045">
        <v>0.329542</v>
      </c>
      <c r="W2045">
        <v>0.292688</v>
      </c>
      <c r="Y2045" t="s">
        <v>1</v>
      </c>
      <c r="Z2045">
        <v>9000</v>
      </c>
      <c r="AA2045">
        <v>16</v>
      </c>
      <c r="AB2045">
        <v>1</v>
      </c>
      <c r="AC2045">
        <v>0</v>
      </c>
      <c r="AD2045">
        <v>18478634</v>
      </c>
      <c r="AE2045">
        <v>12059.27</v>
      </c>
      <c r="AF2045">
        <v>18478634</v>
      </c>
      <c r="AG2045">
        <v>18478634</v>
      </c>
      <c r="AH2045">
        <v>-7.8589999999999997E-3</v>
      </c>
      <c r="AI2045">
        <v>-7.8589999999999997E-3</v>
      </c>
    </row>
    <row r="2046" spans="1:35" x14ac:dyDescent="0.35">
      <c r="A2046" t="s">
        <v>2</v>
      </c>
      <c r="B2046">
        <v>3500</v>
      </c>
      <c r="C2046">
        <v>18</v>
      </c>
      <c r="D2046">
        <v>3</v>
      </c>
      <c r="E2046">
        <v>0</v>
      </c>
      <c r="F2046">
        <v>86443915</v>
      </c>
      <c r="G2046">
        <v>147658.18</v>
      </c>
      <c r="H2046">
        <v>85965483.430000007</v>
      </c>
      <c r="I2046">
        <v>86154585.400000006</v>
      </c>
      <c r="J2046">
        <v>4.4963000000000003E-2</v>
      </c>
      <c r="K2046">
        <v>1.949E-2</v>
      </c>
      <c r="M2046" t="s">
        <v>0</v>
      </c>
      <c r="N2046">
        <v>4000</v>
      </c>
      <c r="O2046">
        <v>14</v>
      </c>
      <c r="P2046">
        <v>136</v>
      </c>
      <c r="Q2046">
        <v>0</v>
      </c>
      <c r="R2046">
        <v>4536033154</v>
      </c>
      <c r="S2046">
        <v>6979222.4000000004</v>
      </c>
      <c r="T2046">
        <v>4526520113.8000002</v>
      </c>
      <c r="U2046">
        <v>4528785866.8800001</v>
      </c>
      <c r="V2046">
        <v>6.6829999999999997E-3</v>
      </c>
      <c r="W2046">
        <v>7.0899999999999999E-4</v>
      </c>
      <c r="Y2046" t="s">
        <v>1</v>
      </c>
      <c r="Z2046">
        <v>2000</v>
      </c>
      <c r="AA2046">
        <v>18</v>
      </c>
      <c r="AB2046">
        <v>1</v>
      </c>
      <c r="AC2046">
        <v>0</v>
      </c>
      <c r="AD2046">
        <v>30607163</v>
      </c>
      <c r="AE2046">
        <v>78792.56</v>
      </c>
      <c r="AF2046">
        <v>30528051</v>
      </c>
      <c r="AG2046">
        <v>30528051</v>
      </c>
      <c r="AH2046">
        <v>1.25E-4</v>
      </c>
      <c r="AI2046">
        <v>1.25E-4</v>
      </c>
    </row>
    <row r="2047" spans="1:35" x14ac:dyDescent="0.35">
      <c r="A2047" t="s">
        <v>0</v>
      </c>
      <c r="B2047">
        <v>3500</v>
      </c>
      <c r="C2047">
        <v>16</v>
      </c>
      <c r="D2047">
        <v>28</v>
      </c>
      <c r="E2047">
        <v>0</v>
      </c>
      <c r="F2047">
        <v>1187519838</v>
      </c>
      <c r="G2047">
        <v>2006398.24</v>
      </c>
      <c r="H2047">
        <v>1184778119.1800001</v>
      </c>
      <c r="I2047">
        <v>1185426887.96</v>
      </c>
      <c r="J2047">
        <v>7.4050000000000001E-3</v>
      </c>
      <c r="K2047">
        <v>8.7399999999999999E-4</v>
      </c>
      <c r="M2047" t="s">
        <v>1</v>
      </c>
      <c r="N2047">
        <v>4000</v>
      </c>
      <c r="O2047">
        <v>14</v>
      </c>
      <c r="P2047">
        <v>69</v>
      </c>
      <c r="Q2047">
        <v>0</v>
      </c>
      <c r="R2047">
        <v>2318282136</v>
      </c>
      <c r="S2047">
        <v>3626029.84</v>
      </c>
      <c r="T2047">
        <v>2285802845.8299999</v>
      </c>
      <c r="U2047">
        <v>2291550206.8200002</v>
      </c>
      <c r="V2047">
        <v>0.139541</v>
      </c>
      <c r="W2047">
        <v>0.113259</v>
      </c>
      <c r="Y2047" t="s">
        <v>1</v>
      </c>
      <c r="Z2047">
        <v>2750</v>
      </c>
      <c r="AA2047">
        <v>16</v>
      </c>
      <c r="AB2047">
        <v>4</v>
      </c>
      <c r="AC2047">
        <v>0</v>
      </c>
      <c r="AD2047">
        <v>192636988</v>
      </c>
      <c r="AE2047">
        <v>422168.94</v>
      </c>
      <c r="AF2047">
        <v>192330638</v>
      </c>
      <c r="AG2047">
        <v>192330638</v>
      </c>
      <c r="AH2047">
        <v>-7.2389999999999998E-3</v>
      </c>
      <c r="AI2047">
        <v>-7.2389999999999998E-3</v>
      </c>
    </row>
    <row r="2048" spans="1:35" x14ac:dyDescent="0.35">
      <c r="A2048" t="s">
        <v>0</v>
      </c>
      <c r="B2048">
        <v>3750</v>
      </c>
      <c r="C2048">
        <v>16</v>
      </c>
      <c r="D2048">
        <v>155</v>
      </c>
      <c r="E2048">
        <v>0</v>
      </c>
      <c r="F2048">
        <v>4746199941</v>
      </c>
      <c r="G2048">
        <v>7676136.3300000001</v>
      </c>
      <c r="H2048">
        <v>4735325937.0100002</v>
      </c>
      <c r="I2048">
        <v>4737670593.3900003</v>
      </c>
      <c r="J2048">
        <v>8.0549999999999997E-3</v>
      </c>
      <c r="K2048">
        <v>2.1549999999999998E-3</v>
      </c>
      <c r="M2048" t="s">
        <v>1</v>
      </c>
      <c r="N2048">
        <v>4250</v>
      </c>
      <c r="O2048">
        <v>14</v>
      </c>
      <c r="P2048">
        <v>242</v>
      </c>
      <c r="Q2048">
        <v>0</v>
      </c>
      <c r="R2048">
        <v>8237306776</v>
      </c>
      <c r="S2048">
        <v>12275895.35</v>
      </c>
      <c r="T2048">
        <v>8180831623</v>
      </c>
      <c r="U2048">
        <v>8196107742.8400002</v>
      </c>
      <c r="V2048">
        <v>6.2521999999999994E-2</v>
      </c>
      <c r="W2048">
        <v>4.1331E-2</v>
      </c>
      <c r="Y2048" t="s">
        <v>2</v>
      </c>
      <c r="Z2048">
        <v>3250</v>
      </c>
      <c r="AA2048">
        <v>16</v>
      </c>
      <c r="AB2048">
        <v>8</v>
      </c>
      <c r="AC2048">
        <v>0</v>
      </c>
      <c r="AD2048">
        <v>110848802</v>
      </c>
      <c r="AE2048">
        <v>196831.15</v>
      </c>
      <c r="AF2048">
        <v>110608076</v>
      </c>
      <c r="AG2048">
        <v>110608076</v>
      </c>
      <c r="AH2048">
        <v>4.7419999999999997E-3</v>
      </c>
      <c r="AI2048">
        <v>4.7419999999999997E-3</v>
      </c>
    </row>
    <row r="2049" spans="1:35" x14ac:dyDescent="0.35">
      <c r="A2049" t="s">
        <v>1</v>
      </c>
      <c r="B2049">
        <v>4000</v>
      </c>
      <c r="C2049">
        <v>16</v>
      </c>
      <c r="D2049">
        <v>406</v>
      </c>
      <c r="E2049">
        <v>0</v>
      </c>
      <c r="F2049">
        <v>13795962333</v>
      </c>
      <c r="G2049">
        <v>21510478.280000001</v>
      </c>
      <c r="H2049">
        <v>13739428015.950001</v>
      </c>
      <c r="I2049">
        <v>13766297895.629999</v>
      </c>
      <c r="J2049">
        <v>3.0043E-2</v>
      </c>
      <c r="K2049">
        <v>7.0689999999999998E-3</v>
      </c>
      <c r="M2049" t="s">
        <v>2</v>
      </c>
      <c r="N2049">
        <v>4250</v>
      </c>
      <c r="O2049">
        <v>14</v>
      </c>
      <c r="P2049">
        <v>15</v>
      </c>
      <c r="Q2049">
        <v>0</v>
      </c>
      <c r="R2049">
        <v>323401674</v>
      </c>
      <c r="S2049">
        <v>480386.8</v>
      </c>
      <c r="T2049">
        <v>321488700.24000001</v>
      </c>
      <c r="U2049">
        <v>321957624.08999997</v>
      </c>
      <c r="V2049">
        <v>5.1880999999999997E-2</v>
      </c>
      <c r="W2049">
        <v>3.5177E-2</v>
      </c>
      <c r="Y2049" t="s">
        <v>2</v>
      </c>
      <c r="Z2049">
        <v>2750</v>
      </c>
      <c r="AA2049">
        <v>16</v>
      </c>
      <c r="AB2049">
        <v>6</v>
      </c>
      <c r="AC2049">
        <v>0</v>
      </c>
      <c r="AD2049">
        <v>94380097</v>
      </c>
      <c r="AE2049">
        <v>180035.39</v>
      </c>
      <c r="AF2049">
        <v>94275440</v>
      </c>
      <c r="AG2049">
        <v>94275440</v>
      </c>
      <c r="AH2049">
        <v>-9.6259999999999991E-3</v>
      </c>
      <c r="AI2049">
        <v>-9.6259999999999991E-3</v>
      </c>
    </row>
    <row r="2050" spans="1:35" x14ac:dyDescent="0.35">
      <c r="A2050" t="s">
        <v>0</v>
      </c>
      <c r="B2050">
        <v>4000</v>
      </c>
      <c r="C2050">
        <v>16</v>
      </c>
      <c r="D2050">
        <v>1195</v>
      </c>
      <c r="E2050">
        <v>0</v>
      </c>
      <c r="F2050">
        <v>38268973723</v>
      </c>
      <c r="G2050">
        <v>59507893.560000002</v>
      </c>
      <c r="H2050">
        <v>38176253641.260002</v>
      </c>
      <c r="I2050">
        <v>38203423345.400002</v>
      </c>
      <c r="J2050">
        <v>1.0364999999999999E-2</v>
      </c>
      <c r="K2050">
        <v>1.8929999999999999E-3</v>
      </c>
      <c r="M2050" t="s">
        <v>1</v>
      </c>
      <c r="N2050">
        <v>4500</v>
      </c>
      <c r="O2050">
        <v>14</v>
      </c>
      <c r="P2050">
        <v>433</v>
      </c>
      <c r="Q2050">
        <v>0</v>
      </c>
      <c r="R2050">
        <v>14554621736</v>
      </c>
      <c r="S2050">
        <v>20661461.510000002</v>
      </c>
      <c r="T2050">
        <v>14477323314.540001</v>
      </c>
      <c r="U2050">
        <v>14497936173.700001</v>
      </c>
      <c r="V2050">
        <v>4.5710000000000001E-2</v>
      </c>
      <c r="W2050">
        <v>2.93E-2</v>
      </c>
      <c r="Y2050" t="s">
        <v>0</v>
      </c>
      <c r="Z2050">
        <v>2750</v>
      </c>
      <c r="AA2050">
        <v>16</v>
      </c>
      <c r="AB2050">
        <v>1</v>
      </c>
      <c r="AC2050">
        <v>0</v>
      </c>
      <c r="AD2050">
        <v>43082166</v>
      </c>
      <c r="AE2050">
        <v>82084.77</v>
      </c>
      <c r="AF2050">
        <v>43000037</v>
      </c>
      <c r="AG2050">
        <v>43000037</v>
      </c>
      <c r="AH2050">
        <v>1.2E-5</v>
      </c>
      <c r="AI2050">
        <v>1.2E-5</v>
      </c>
    </row>
    <row r="2051" spans="1:35" x14ac:dyDescent="0.35">
      <c r="A2051" t="s">
        <v>2</v>
      </c>
      <c r="B2051">
        <v>4000</v>
      </c>
      <c r="C2051">
        <v>16</v>
      </c>
      <c r="D2051">
        <v>58</v>
      </c>
      <c r="E2051">
        <v>0</v>
      </c>
      <c r="F2051">
        <v>1515921249</v>
      </c>
      <c r="G2051">
        <v>2372729.54</v>
      </c>
      <c r="H2051">
        <v>1511326054.03</v>
      </c>
      <c r="I2051">
        <v>1512697966.5</v>
      </c>
      <c r="J2051">
        <v>1.7451999999999999E-2</v>
      </c>
      <c r="K2051">
        <v>6.7120000000000001E-3</v>
      </c>
      <c r="M2051" t="s">
        <v>0</v>
      </c>
      <c r="N2051">
        <v>4250</v>
      </c>
      <c r="O2051">
        <v>14</v>
      </c>
      <c r="P2051">
        <v>641</v>
      </c>
      <c r="Q2051">
        <v>0</v>
      </c>
      <c r="R2051">
        <v>18974241354</v>
      </c>
      <c r="S2051">
        <v>27934741.5</v>
      </c>
      <c r="T2051">
        <v>18933900792.669998</v>
      </c>
      <c r="U2051">
        <v>18941984397.220001</v>
      </c>
      <c r="V2051">
        <v>7.8180000000000003E-3</v>
      </c>
      <c r="W2051">
        <v>2.7299999999999998E-3</v>
      </c>
      <c r="Y2051" t="s">
        <v>2</v>
      </c>
      <c r="Z2051">
        <v>3500</v>
      </c>
      <c r="AA2051">
        <v>16</v>
      </c>
      <c r="AB2051">
        <v>8</v>
      </c>
      <c r="AC2051">
        <v>0</v>
      </c>
      <c r="AD2051">
        <v>180356434</v>
      </c>
      <c r="AE2051">
        <v>309947.84999999998</v>
      </c>
      <c r="AF2051">
        <v>180098956</v>
      </c>
      <c r="AG2051">
        <v>180098956</v>
      </c>
      <c r="AH2051">
        <v>-3.4970000000000001E-3</v>
      </c>
      <c r="AI2051">
        <v>-3.4970000000000001E-3</v>
      </c>
    </row>
    <row r="2052" spans="1:35" x14ac:dyDescent="0.35">
      <c r="A2052" t="s">
        <v>1</v>
      </c>
      <c r="B2052">
        <v>3750</v>
      </c>
      <c r="C2052">
        <v>16</v>
      </c>
      <c r="D2052">
        <v>78</v>
      </c>
      <c r="E2052">
        <v>0</v>
      </c>
      <c r="F2052">
        <v>2663356930</v>
      </c>
      <c r="G2052">
        <v>4354671.18</v>
      </c>
      <c r="H2052">
        <v>2622638102.8499999</v>
      </c>
      <c r="I2052">
        <v>2628171799.8899999</v>
      </c>
      <c r="J2052">
        <v>0.15208199999999999</v>
      </c>
      <c r="K2052">
        <v>0.13039799999999999</v>
      </c>
      <c r="M2052" t="s">
        <v>2</v>
      </c>
      <c r="N2052">
        <v>4500</v>
      </c>
      <c r="O2052">
        <v>14</v>
      </c>
      <c r="P2052">
        <v>48</v>
      </c>
      <c r="Q2052">
        <v>0</v>
      </c>
      <c r="R2052">
        <v>1169453099</v>
      </c>
      <c r="S2052">
        <v>1655795.01</v>
      </c>
      <c r="T2052">
        <v>1166024487.29</v>
      </c>
      <c r="U2052">
        <v>1167585261.75</v>
      </c>
      <c r="V2052">
        <v>1.804E-2</v>
      </c>
      <c r="W2052">
        <v>2.1740000000000002E-3</v>
      </c>
      <c r="Y2052" t="s">
        <v>1</v>
      </c>
      <c r="Z2052">
        <v>3250</v>
      </c>
      <c r="AA2052">
        <v>16</v>
      </c>
      <c r="AB2052">
        <v>5</v>
      </c>
      <c r="AC2052">
        <v>0</v>
      </c>
      <c r="AD2052">
        <v>154471644</v>
      </c>
      <c r="AE2052">
        <v>281597.28999999998</v>
      </c>
      <c r="AF2052">
        <v>154233717</v>
      </c>
      <c r="AG2052">
        <v>154233717</v>
      </c>
      <c r="AH2052">
        <v>-3.398E-3</v>
      </c>
      <c r="AI2052">
        <v>-3.398E-3</v>
      </c>
    </row>
    <row r="2053" spans="1:35" x14ac:dyDescent="0.35">
      <c r="A2053" t="s">
        <v>1</v>
      </c>
      <c r="B2053">
        <v>8500</v>
      </c>
      <c r="C2053">
        <v>16</v>
      </c>
      <c r="D2053">
        <v>2</v>
      </c>
      <c r="E2053">
        <v>0</v>
      </c>
      <c r="F2053">
        <v>75897400</v>
      </c>
      <c r="G2053">
        <v>52007.67</v>
      </c>
      <c r="H2053">
        <v>70589787.75</v>
      </c>
      <c r="I2053">
        <v>70725180.030000001</v>
      </c>
      <c r="J2053">
        <v>0.57731399999999999</v>
      </c>
      <c r="K2053">
        <v>0.56748900000000002</v>
      </c>
      <c r="M2053" t="s">
        <v>3</v>
      </c>
      <c r="N2053">
        <v>5250</v>
      </c>
      <c r="O2053">
        <v>14</v>
      </c>
      <c r="P2053">
        <v>5</v>
      </c>
      <c r="Q2053">
        <v>0</v>
      </c>
      <c r="R2053">
        <v>115596900</v>
      </c>
      <c r="S2053">
        <v>143015.75</v>
      </c>
      <c r="T2053">
        <v>115061156.76000001</v>
      </c>
      <c r="U2053">
        <v>115453882.03</v>
      </c>
      <c r="V2053">
        <v>4.0015000000000002E-2</v>
      </c>
      <c r="W2053">
        <v>0</v>
      </c>
      <c r="Y2053" t="s">
        <v>2</v>
      </c>
      <c r="Z2053">
        <v>4000</v>
      </c>
      <c r="AA2053">
        <v>16</v>
      </c>
      <c r="AB2053">
        <v>7</v>
      </c>
      <c r="AC2053">
        <v>0</v>
      </c>
      <c r="AD2053">
        <v>112572565</v>
      </c>
      <c r="AE2053">
        <v>183115.6</v>
      </c>
      <c r="AF2053">
        <v>112362437</v>
      </c>
      <c r="AG2053">
        <v>112362437</v>
      </c>
      <c r="AH2053">
        <v>2.8760000000000001E-3</v>
      </c>
      <c r="AI2053">
        <v>2.8760000000000001E-3</v>
      </c>
    </row>
    <row r="2054" spans="1:35" x14ac:dyDescent="0.35">
      <c r="A2054" t="s">
        <v>1</v>
      </c>
      <c r="B2054">
        <v>2000</v>
      </c>
      <c r="C2054">
        <v>30</v>
      </c>
      <c r="D2054">
        <v>1</v>
      </c>
      <c r="E2054">
        <v>0</v>
      </c>
      <c r="F2054">
        <v>34900717</v>
      </c>
      <c r="G2054">
        <v>89484.67</v>
      </c>
      <c r="H2054">
        <v>34730319.729999997</v>
      </c>
      <c r="I2054">
        <v>34810577.380000003</v>
      </c>
      <c r="J2054">
        <v>2.7467999999999999E-2</v>
      </c>
      <c r="K2054">
        <v>2.2499999999999999E-4</v>
      </c>
      <c r="M2054" t="s">
        <v>3</v>
      </c>
      <c r="N2054">
        <v>7500</v>
      </c>
      <c r="O2054">
        <v>18</v>
      </c>
      <c r="P2054">
        <v>1</v>
      </c>
      <c r="Q2054">
        <v>0</v>
      </c>
      <c r="R2054">
        <v>12394557</v>
      </c>
      <c r="S2054">
        <v>10610.8</v>
      </c>
      <c r="T2054">
        <v>12338164.59</v>
      </c>
      <c r="U2054">
        <v>12383946.16</v>
      </c>
      <c r="V2054">
        <v>4.3435000000000001E-2</v>
      </c>
      <c r="W2054">
        <v>0</v>
      </c>
      <c r="Y2054" t="s">
        <v>1</v>
      </c>
      <c r="Z2054">
        <v>2000</v>
      </c>
      <c r="AA2054">
        <v>24</v>
      </c>
      <c r="AB2054">
        <v>1</v>
      </c>
      <c r="AC2054">
        <v>0</v>
      </c>
      <c r="AD2054">
        <v>34990072</v>
      </c>
      <c r="AE2054">
        <v>89354.36</v>
      </c>
      <c r="AF2054">
        <v>34900717</v>
      </c>
      <c r="AG2054">
        <v>34900717</v>
      </c>
      <c r="AH2054">
        <v>0</v>
      </c>
      <c r="AI2054">
        <v>0</v>
      </c>
    </row>
    <row r="2055" spans="1:35" x14ac:dyDescent="0.35">
      <c r="A2055" t="s">
        <v>1</v>
      </c>
      <c r="B2055">
        <v>2500</v>
      </c>
      <c r="C2055">
        <v>16</v>
      </c>
      <c r="D2055">
        <v>1</v>
      </c>
      <c r="E2055">
        <v>0</v>
      </c>
      <c r="F2055">
        <v>39871340</v>
      </c>
      <c r="G2055">
        <v>90157.29</v>
      </c>
      <c r="H2055">
        <v>39699681.049999997</v>
      </c>
      <c r="I2055">
        <v>39780631.289999999</v>
      </c>
      <c r="J2055">
        <v>2.4254999999999999E-2</v>
      </c>
      <c r="K2055">
        <v>1.66E-4</v>
      </c>
      <c r="M2055" t="s">
        <v>1</v>
      </c>
      <c r="N2055">
        <v>8500</v>
      </c>
      <c r="O2055">
        <v>14</v>
      </c>
      <c r="P2055">
        <v>17</v>
      </c>
      <c r="Q2055">
        <v>0</v>
      </c>
      <c r="R2055">
        <v>410503458</v>
      </c>
      <c r="S2055">
        <v>276579.11</v>
      </c>
      <c r="T2055">
        <v>373936679.85000002</v>
      </c>
      <c r="U2055">
        <v>387165191.63</v>
      </c>
      <c r="V2055">
        <v>0.67067200000000005</v>
      </c>
      <c r="W2055">
        <v>0.50033899999999998</v>
      </c>
      <c r="Y2055" t="s">
        <v>1</v>
      </c>
      <c r="Z2055">
        <v>2500</v>
      </c>
      <c r="AA2055">
        <v>14</v>
      </c>
      <c r="AB2055">
        <v>1</v>
      </c>
      <c r="AC2055">
        <v>0</v>
      </c>
      <c r="AD2055">
        <v>39961702</v>
      </c>
      <c r="AE2055">
        <v>89980.06</v>
      </c>
      <c r="AF2055">
        <v>39871340</v>
      </c>
      <c r="AG2055">
        <v>39871340</v>
      </c>
      <c r="AH2055">
        <v>1.15E-4</v>
      </c>
      <c r="AI2055">
        <v>1.15E-4</v>
      </c>
    </row>
    <row r="2056" spans="1:35" x14ac:dyDescent="0.35">
      <c r="A2056" t="s">
        <v>1</v>
      </c>
      <c r="B2056">
        <v>2250</v>
      </c>
      <c r="C2056">
        <v>16</v>
      </c>
      <c r="D2056">
        <v>7</v>
      </c>
      <c r="E2056">
        <v>0</v>
      </c>
      <c r="F2056">
        <v>236154744</v>
      </c>
      <c r="G2056">
        <v>545566.71</v>
      </c>
      <c r="H2056">
        <v>235217268.65000001</v>
      </c>
      <c r="I2056">
        <v>235607538.31</v>
      </c>
      <c r="J2056">
        <v>1.9734000000000002E-2</v>
      </c>
      <c r="K2056">
        <v>8.2999999999999998E-5</v>
      </c>
      <c r="M2056" t="s">
        <v>2</v>
      </c>
      <c r="N2056">
        <v>8500</v>
      </c>
      <c r="O2056">
        <v>14</v>
      </c>
      <c r="P2056">
        <v>1</v>
      </c>
      <c r="Q2056">
        <v>0</v>
      </c>
      <c r="R2056">
        <v>3513191</v>
      </c>
      <c r="S2056">
        <v>2370.41</v>
      </c>
      <c r="T2056">
        <v>3454979.25</v>
      </c>
      <c r="U2056">
        <v>3470641.07</v>
      </c>
      <c r="V2056">
        <v>0.17491499999999999</v>
      </c>
      <c r="W2056">
        <v>0.12892899999999999</v>
      </c>
      <c r="Y2056" t="s">
        <v>1</v>
      </c>
      <c r="Z2056">
        <v>2250</v>
      </c>
      <c r="AA2056">
        <v>16</v>
      </c>
      <c r="AB2056">
        <v>4</v>
      </c>
      <c r="AC2056">
        <v>0</v>
      </c>
      <c r="AD2056">
        <v>114903175</v>
      </c>
      <c r="AE2056">
        <v>270849.34999999998</v>
      </c>
      <c r="AF2056">
        <v>114650953</v>
      </c>
      <c r="AG2056">
        <v>114650953</v>
      </c>
      <c r="AH2056">
        <v>-1.9469999999999999E-3</v>
      </c>
      <c r="AI2056">
        <v>-1.9469999999999999E-3</v>
      </c>
    </row>
    <row r="2057" spans="1:35" x14ac:dyDescent="0.35">
      <c r="A2057" t="s">
        <v>2</v>
      </c>
      <c r="B2057">
        <v>2750</v>
      </c>
      <c r="C2057">
        <v>16</v>
      </c>
      <c r="D2057">
        <v>5</v>
      </c>
      <c r="E2057">
        <v>0</v>
      </c>
      <c r="F2057">
        <v>85960297</v>
      </c>
      <c r="G2057">
        <v>164324.42000000001</v>
      </c>
      <c r="H2057">
        <v>84828393.920000002</v>
      </c>
      <c r="I2057">
        <v>85305540.579999998</v>
      </c>
      <c r="J2057">
        <v>0.12701699999999999</v>
      </c>
      <c r="K2057">
        <v>6.6355999999999998E-2</v>
      </c>
      <c r="M2057" t="s">
        <v>1</v>
      </c>
      <c r="N2057">
        <v>9000</v>
      </c>
      <c r="O2057">
        <v>14</v>
      </c>
      <c r="P2057">
        <v>1</v>
      </c>
      <c r="Q2057">
        <v>0</v>
      </c>
      <c r="R2057">
        <v>18478634</v>
      </c>
      <c r="S2057">
        <v>11869.99</v>
      </c>
      <c r="T2057">
        <v>17395139.539999999</v>
      </c>
      <c r="U2057">
        <v>17412944.440000001</v>
      </c>
      <c r="V2057">
        <v>0.51173900000000005</v>
      </c>
      <c r="W2057">
        <v>0.50571299999999997</v>
      </c>
      <c r="Y2057" t="s">
        <v>1</v>
      </c>
      <c r="Z2057">
        <v>3000</v>
      </c>
      <c r="AA2057">
        <v>18</v>
      </c>
      <c r="AB2057">
        <v>1</v>
      </c>
      <c r="AC2057">
        <v>0</v>
      </c>
      <c r="AD2057">
        <v>5216596</v>
      </c>
      <c r="AE2057">
        <v>11212.83</v>
      </c>
      <c r="AF2057">
        <v>5163449</v>
      </c>
      <c r="AG2057">
        <v>5163449</v>
      </c>
      <c r="AH2057">
        <v>9.2311000000000004E-2</v>
      </c>
      <c r="AI2057">
        <v>9.2311000000000004E-2</v>
      </c>
    </row>
    <row r="2058" spans="1:35" x14ac:dyDescent="0.35">
      <c r="A2058" t="s">
        <v>2</v>
      </c>
      <c r="B2058">
        <v>3250</v>
      </c>
      <c r="C2058">
        <v>16</v>
      </c>
      <c r="D2058">
        <v>8</v>
      </c>
      <c r="E2058">
        <v>0</v>
      </c>
      <c r="F2058">
        <v>127056263</v>
      </c>
      <c r="G2058">
        <v>224627.44</v>
      </c>
      <c r="H2058">
        <v>125607555.68000001</v>
      </c>
      <c r="I2058">
        <v>126278394.54000001</v>
      </c>
      <c r="J2058">
        <v>0.109676</v>
      </c>
      <c r="K2058">
        <v>5.1018000000000001E-2</v>
      </c>
      <c r="M2058" t="s">
        <v>1</v>
      </c>
      <c r="N2058">
        <v>2000</v>
      </c>
      <c r="O2058">
        <v>16</v>
      </c>
      <c r="P2058">
        <v>1</v>
      </c>
      <c r="Q2058">
        <v>0</v>
      </c>
      <c r="R2058">
        <v>30765040</v>
      </c>
      <c r="S2058">
        <v>78564.87</v>
      </c>
      <c r="T2058">
        <v>30664005.66</v>
      </c>
      <c r="U2058">
        <v>30686311.940000001</v>
      </c>
      <c r="V2058">
        <v>8.7290000000000006E-3</v>
      </c>
      <c r="W2058">
        <v>6.3999999999999997E-5</v>
      </c>
      <c r="Y2058" t="s">
        <v>0</v>
      </c>
      <c r="Z2058">
        <v>3500</v>
      </c>
      <c r="AA2058">
        <v>14</v>
      </c>
      <c r="AB2058">
        <v>73</v>
      </c>
      <c r="AC2058">
        <v>0</v>
      </c>
      <c r="AD2058">
        <v>3148622837</v>
      </c>
      <c r="AE2058">
        <v>5272171.04</v>
      </c>
      <c r="AF2058">
        <v>3142986439</v>
      </c>
      <c r="AG2058">
        <v>3142986439</v>
      </c>
      <c r="AH2058">
        <v>1.387E-3</v>
      </c>
      <c r="AI2058">
        <v>1.387E-3</v>
      </c>
    </row>
    <row r="2059" spans="1:35" x14ac:dyDescent="0.35">
      <c r="A2059" t="s">
        <v>1</v>
      </c>
      <c r="B2059">
        <v>3000</v>
      </c>
      <c r="C2059">
        <v>20</v>
      </c>
      <c r="D2059">
        <v>3</v>
      </c>
      <c r="E2059">
        <v>0</v>
      </c>
      <c r="F2059">
        <v>71177579</v>
      </c>
      <c r="G2059">
        <v>147167.57</v>
      </c>
      <c r="H2059">
        <v>70804839.239999995</v>
      </c>
      <c r="I2059">
        <v>71029524.780000001</v>
      </c>
      <c r="J2059">
        <v>3.7373999999999998E-2</v>
      </c>
      <c r="K2059">
        <v>1.4899999999999999E-4</v>
      </c>
      <c r="M2059" t="s">
        <v>1</v>
      </c>
      <c r="N2059">
        <v>2750</v>
      </c>
      <c r="O2059">
        <v>14</v>
      </c>
      <c r="P2059">
        <v>5</v>
      </c>
      <c r="Q2059">
        <v>0</v>
      </c>
      <c r="R2059">
        <v>248230255</v>
      </c>
      <c r="S2059">
        <v>547417.80000000005</v>
      </c>
      <c r="T2059">
        <v>247324434.65000001</v>
      </c>
      <c r="U2059">
        <v>247678362.59</v>
      </c>
      <c r="V2059">
        <v>1.7188999999999999E-2</v>
      </c>
      <c r="W2059">
        <v>2.1599999999999999E-4</v>
      </c>
      <c r="Y2059" t="s">
        <v>1</v>
      </c>
      <c r="Z2059">
        <v>3500</v>
      </c>
      <c r="AA2059">
        <v>14</v>
      </c>
      <c r="AB2059">
        <v>26</v>
      </c>
      <c r="AC2059">
        <v>0</v>
      </c>
      <c r="AD2059">
        <v>995159798</v>
      </c>
      <c r="AE2059">
        <v>1668328.31</v>
      </c>
      <c r="AF2059">
        <v>946352130</v>
      </c>
      <c r="AG2059">
        <v>946352130</v>
      </c>
      <c r="AH2059">
        <v>0.44140299999999999</v>
      </c>
      <c r="AI2059">
        <v>0.44140299999999999</v>
      </c>
    </row>
    <row r="2060" spans="1:35" x14ac:dyDescent="0.35">
      <c r="A2060" t="s">
        <v>1</v>
      </c>
      <c r="B2060">
        <v>3250</v>
      </c>
      <c r="C2060">
        <v>16</v>
      </c>
      <c r="D2060">
        <v>7</v>
      </c>
      <c r="E2060">
        <v>0</v>
      </c>
      <c r="F2060">
        <v>193007517</v>
      </c>
      <c r="G2060">
        <v>349771.92</v>
      </c>
      <c r="H2060">
        <v>190490995.09999999</v>
      </c>
      <c r="I2060">
        <v>191937031.71000001</v>
      </c>
      <c r="J2060">
        <v>0.12670100000000001</v>
      </c>
      <c r="K2060">
        <v>4.3901000000000003E-2</v>
      </c>
      <c r="M2060" t="s">
        <v>2</v>
      </c>
      <c r="N2060">
        <v>3250</v>
      </c>
      <c r="O2060">
        <v>14</v>
      </c>
      <c r="P2060">
        <v>9</v>
      </c>
      <c r="Q2060">
        <v>0</v>
      </c>
      <c r="R2060">
        <v>129436195</v>
      </c>
      <c r="S2060">
        <v>235235.22</v>
      </c>
      <c r="T2060">
        <v>127113476.09999999</v>
      </c>
      <c r="U2060">
        <v>127776608.17</v>
      </c>
      <c r="V2060">
        <v>0.17725399999999999</v>
      </c>
      <c r="W2060">
        <v>0.124345</v>
      </c>
      <c r="Y2060" t="s">
        <v>0</v>
      </c>
      <c r="Z2060">
        <v>3750</v>
      </c>
      <c r="AA2060">
        <v>14</v>
      </c>
      <c r="AB2060">
        <v>358</v>
      </c>
      <c r="AC2060">
        <v>0</v>
      </c>
      <c r="AD2060">
        <v>11206904494</v>
      </c>
      <c r="AE2060">
        <v>17968348.550000001</v>
      </c>
      <c r="AF2060">
        <v>11187559559</v>
      </c>
      <c r="AG2060">
        <v>11187559559</v>
      </c>
      <c r="AH2060">
        <v>1.4729999999999999E-3</v>
      </c>
      <c r="AI2060">
        <v>1.4729999999999999E-3</v>
      </c>
    </row>
    <row r="2061" spans="1:35" x14ac:dyDescent="0.35">
      <c r="A2061" t="s">
        <v>2</v>
      </c>
      <c r="B2061">
        <v>3500</v>
      </c>
      <c r="C2061">
        <v>16</v>
      </c>
      <c r="D2061">
        <v>10</v>
      </c>
      <c r="E2061">
        <v>0</v>
      </c>
      <c r="F2061">
        <v>209527846</v>
      </c>
      <c r="G2061">
        <v>359836.1</v>
      </c>
      <c r="H2061">
        <v>208296138.91999999</v>
      </c>
      <c r="I2061">
        <v>208734675.84999999</v>
      </c>
      <c r="J2061">
        <v>4.8806000000000002E-2</v>
      </c>
      <c r="K2061">
        <v>2.4537E-2</v>
      </c>
      <c r="M2061" t="s">
        <v>2</v>
      </c>
      <c r="N2061">
        <v>2750</v>
      </c>
      <c r="O2061">
        <v>14</v>
      </c>
      <c r="P2061">
        <v>7</v>
      </c>
      <c r="Q2061">
        <v>0</v>
      </c>
      <c r="R2061">
        <v>108425998</v>
      </c>
      <c r="S2061">
        <v>210754.7</v>
      </c>
      <c r="T2061">
        <v>107765056.33</v>
      </c>
      <c r="U2061">
        <v>108051619.94</v>
      </c>
      <c r="V2061">
        <v>4.8702000000000002E-2</v>
      </c>
      <c r="W2061">
        <v>1.7958999999999999E-2</v>
      </c>
      <c r="Y2061" t="s">
        <v>1</v>
      </c>
      <c r="Z2061">
        <v>3750</v>
      </c>
      <c r="AA2061">
        <v>14</v>
      </c>
      <c r="AB2061">
        <v>182</v>
      </c>
      <c r="AC2061">
        <v>0</v>
      </c>
      <c r="AD2061">
        <v>6375111137</v>
      </c>
      <c r="AE2061">
        <v>10236986.85</v>
      </c>
      <c r="AF2061">
        <v>6364845015</v>
      </c>
      <c r="AG2061">
        <v>6364845015</v>
      </c>
      <c r="AH2061">
        <v>5.5000000000000002E-5</v>
      </c>
      <c r="AI2061">
        <v>5.5000000000000002E-5</v>
      </c>
    </row>
    <row r="2062" spans="1:35" x14ac:dyDescent="0.35">
      <c r="A2062" t="s">
        <v>1</v>
      </c>
      <c r="B2062">
        <v>3500</v>
      </c>
      <c r="C2062">
        <v>16</v>
      </c>
      <c r="D2062">
        <v>14</v>
      </c>
      <c r="E2062">
        <v>0</v>
      </c>
      <c r="F2062">
        <v>528975303</v>
      </c>
      <c r="G2062">
        <v>906706.09</v>
      </c>
      <c r="H2062">
        <v>524673566.37</v>
      </c>
      <c r="I2062">
        <v>526213353.30000001</v>
      </c>
      <c r="J2062">
        <v>7.4356000000000005E-2</v>
      </c>
      <c r="K2062">
        <v>4.1284000000000001E-2</v>
      </c>
      <c r="M2062" t="s">
        <v>1</v>
      </c>
      <c r="N2062">
        <v>3250</v>
      </c>
      <c r="O2062">
        <v>14</v>
      </c>
      <c r="P2062">
        <v>7</v>
      </c>
      <c r="Q2062">
        <v>0</v>
      </c>
      <c r="R2062">
        <v>212583000</v>
      </c>
      <c r="S2062">
        <v>401926.67</v>
      </c>
      <c r="T2062">
        <v>211166142.50999999</v>
      </c>
      <c r="U2062">
        <v>211829825.72</v>
      </c>
      <c r="V2062">
        <v>5.5810999999999999E-2</v>
      </c>
      <c r="W2062">
        <v>1.9647999999999999E-2</v>
      </c>
      <c r="Y2062" t="s">
        <v>1</v>
      </c>
      <c r="Z2062">
        <v>4000</v>
      </c>
      <c r="AA2062">
        <v>14</v>
      </c>
      <c r="AB2062">
        <v>846</v>
      </c>
      <c r="AC2062">
        <v>0</v>
      </c>
      <c r="AD2062">
        <v>29472708065</v>
      </c>
      <c r="AE2062">
        <v>45509206.259999998</v>
      </c>
      <c r="AF2062">
        <v>29422427897</v>
      </c>
      <c r="AG2062">
        <v>29422427897</v>
      </c>
      <c r="AH2062">
        <v>1.941E-3</v>
      </c>
      <c r="AI2062">
        <v>1.941E-3</v>
      </c>
    </row>
    <row r="2063" spans="1:35" x14ac:dyDescent="0.35">
      <c r="A2063" t="s">
        <v>2</v>
      </c>
      <c r="B2063">
        <v>3750</v>
      </c>
      <c r="C2063">
        <v>16</v>
      </c>
      <c r="D2063">
        <v>5</v>
      </c>
      <c r="E2063">
        <v>0</v>
      </c>
      <c r="F2063">
        <v>103093024</v>
      </c>
      <c r="G2063">
        <v>168236.31</v>
      </c>
      <c r="H2063">
        <v>102667378.06</v>
      </c>
      <c r="I2063">
        <v>102834149.37</v>
      </c>
      <c r="J2063">
        <v>2.9554E-2</v>
      </c>
      <c r="K2063">
        <v>1.0499E-2</v>
      </c>
      <c r="M2063" t="s">
        <v>0</v>
      </c>
      <c r="N2063">
        <v>2750</v>
      </c>
      <c r="O2063">
        <v>14</v>
      </c>
      <c r="P2063">
        <v>1</v>
      </c>
      <c r="Q2063">
        <v>0</v>
      </c>
      <c r="R2063">
        <v>43245861</v>
      </c>
      <c r="S2063">
        <v>81710</v>
      </c>
      <c r="T2063">
        <v>43049471.030000001</v>
      </c>
      <c r="U2063">
        <v>43164100.159999996</v>
      </c>
      <c r="V2063">
        <v>3.1362000000000001E-2</v>
      </c>
      <c r="W2063">
        <v>1.4E-5</v>
      </c>
      <c r="Y2063" t="s">
        <v>2</v>
      </c>
      <c r="Z2063">
        <v>4000</v>
      </c>
      <c r="AA2063">
        <v>14</v>
      </c>
      <c r="AB2063">
        <v>110</v>
      </c>
      <c r="AC2063">
        <v>0</v>
      </c>
      <c r="AD2063">
        <v>3073147121</v>
      </c>
      <c r="AE2063">
        <v>4748635.82</v>
      </c>
      <c r="AF2063">
        <v>3068437882</v>
      </c>
      <c r="AG2063">
        <v>3068437882</v>
      </c>
      <c r="AH2063">
        <v>-1.54E-4</v>
      </c>
      <c r="AI2063">
        <v>-1.54E-4</v>
      </c>
    </row>
    <row r="2064" spans="1:35" x14ac:dyDescent="0.35">
      <c r="A2064" t="s">
        <v>1</v>
      </c>
      <c r="B2064">
        <v>3750</v>
      </c>
      <c r="C2064">
        <v>14</v>
      </c>
      <c r="D2064">
        <v>275</v>
      </c>
      <c r="E2064">
        <v>0</v>
      </c>
      <c r="F2064">
        <v>10162487947</v>
      </c>
      <c r="G2064">
        <v>16307306.49</v>
      </c>
      <c r="H2064">
        <v>10071221595</v>
      </c>
      <c r="I2064">
        <v>10088350147.120001</v>
      </c>
      <c r="J2064">
        <v>8.5009000000000001E-2</v>
      </c>
      <c r="K2064">
        <v>6.6189999999999999E-2</v>
      </c>
      <c r="M2064" t="s">
        <v>2</v>
      </c>
      <c r="N2064">
        <v>3500</v>
      </c>
      <c r="O2064">
        <v>14</v>
      </c>
      <c r="P2064">
        <v>8</v>
      </c>
      <c r="Q2064">
        <v>0</v>
      </c>
      <c r="R2064">
        <v>181138005</v>
      </c>
      <c r="S2064">
        <v>308442.25</v>
      </c>
      <c r="T2064">
        <v>179565901.78999999</v>
      </c>
      <c r="U2064">
        <v>180211530.13999999</v>
      </c>
      <c r="V2064">
        <v>8.0575999999999995E-2</v>
      </c>
      <c r="W2064">
        <v>4.0183999999999997E-2</v>
      </c>
      <c r="Y2064" t="s">
        <v>2</v>
      </c>
      <c r="Z2064">
        <v>3750</v>
      </c>
      <c r="AA2064">
        <v>14</v>
      </c>
      <c r="AB2064">
        <v>9</v>
      </c>
      <c r="AC2064">
        <v>0</v>
      </c>
      <c r="AD2064">
        <v>263183352</v>
      </c>
      <c r="AE2064">
        <v>422947.28</v>
      </c>
      <c r="AF2064">
        <v>262748340</v>
      </c>
      <c r="AG2064">
        <v>262748340</v>
      </c>
      <c r="AH2064">
        <v>5.5000000000000003E-4</v>
      </c>
      <c r="AI2064">
        <v>5.5000000000000003E-4</v>
      </c>
    </row>
    <row r="2065" spans="1:35" x14ac:dyDescent="0.35">
      <c r="A2065" t="s">
        <v>0</v>
      </c>
      <c r="B2065">
        <v>3000</v>
      </c>
      <c r="C2065">
        <v>14</v>
      </c>
      <c r="D2065">
        <v>3</v>
      </c>
      <c r="E2065">
        <v>0</v>
      </c>
      <c r="F2065">
        <v>77622749</v>
      </c>
      <c r="G2065">
        <v>143499.14000000001</v>
      </c>
      <c r="H2065">
        <v>77371744.799999997</v>
      </c>
      <c r="I2065">
        <v>77479067.560000002</v>
      </c>
      <c r="J2065">
        <v>1.6494000000000002E-2</v>
      </c>
      <c r="K2065">
        <v>2.8E-5</v>
      </c>
      <c r="M2065" t="s">
        <v>2</v>
      </c>
      <c r="N2065">
        <v>4000</v>
      </c>
      <c r="O2065">
        <v>14</v>
      </c>
      <c r="P2065">
        <v>7</v>
      </c>
      <c r="Q2065">
        <v>0</v>
      </c>
      <c r="R2065">
        <v>112983537</v>
      </c>
      <c r="S2065">
        <v>182005.4</v>
      </c>
      <c r="T2065">
        <v>112152211.86</v>
      </c>
      <c r="U2065">
        <v>112554251.02</v>
      </c>
      <c r="V2065">
        <v>6.6825999999999997E-2</v>
      </c>
      <c r="W2065">
        <v>2.5950000000000001E-2</v>
      </c>
      <c r="Y2065" t="s">
        <v>1</v>
      </c>
      <c r="Z2065">
        <v>2250</v>
      </c>
      <c r="AA2065">
        <v>14</v>
      </c>
      <c r="AB2065">
        <v>3</v>
      </c>
      <c r="AC2065">
        <v>0</v>
      </c>
      <c r="AD2065">
        <v>121710447</v>
      </c>
      <c r="AE2065">
        <v>273578.28000000003</v>
      </c>
      <c r="AF2065">
        <v>121503791</v>
      </c>
      <c r="AG2065">
        <v>121503791</v>
      </c>
      <c r="AH2065">
        <v>-6.6179999999999998E-3</v>
      </c>
      <c r="AI2065">
        <v>-6.6179999999999998E-3</v>
      </c>
    </row>
    <row r="2066" spans="1:35" x14ac:dyDescent="0.35">
      <c r="A2066" t="s">
        <v>1</v>
      </c>
      <c r="B2066">
        <v>3000</v>
      </c>
      <c r="C2066">
        <v>16</v>
      </c>
      <c r="D2066">
        <v>2</v>
      </c>
      <c r="E2066">
        <v>0</v>
      </c>
      <c r="F2066">
        <v>87529165</v>
      </c>
      <c r="G2066">
        <v>184762.4</v>
      </c>
      <c r="H2066">
        <v>80913580.439999998</v>
      </c>
      <c r="I2066">
        <v>81244435.950000003</v>
      </c>
      <c r="J2066">
        <v>0.599769</v>
      </c>
      <c r="K2066">
        <v>0.57972999999999997</v>
      </c>
      <c r="M2066" t="s">
        <v>1</v>
      </c>
      <c r="N2066">
        <v>2000</v>
      </c>
      <c r="O2066">
        <v>24</v>
      </c>
      <c r="P2066">
        <v>1</v>
      </c>
      <c r="Q2066">
        <v>0</v>
      </c>
      <c r="R2066">
        <v>35079297</v>
      </c>
      <c r="S2066">
        <v>88868.61</v>
      </c>
      <c r="T2066">
        <v>34960620.509999998</v>
      </c>
      <c r="U2066">
        <v>34990342.460000001</v>
      </c>
      <c r="V2066">
        <v>1.0149E-2</v>
      </c>
      <c r="W2066">
        <v>2.9E-5</v>
      </c>
      <c r="Y2066" t="s">
        <v>2</v>
      </c>
      <c r="Z2066">
        <v>2750</v>
      </c>
      <c r="AA2066">
        <v>14</v>
      </c>
      <c r="AB2066">
        <v>1</v>
      </c>
      <c r="AC2066">
        <v>0</v>
      </c>
      <c r="AD2066">
        <v>18206262</v>
      </c>
      <c r="AE2066">
        <v>34543.550000000003</v>
      </c>
      <c r="AF2066">
        <v>18105991</v>
      </c>
      <c r="AG2066">
        <v>18105991</v>
      </c>
      <c r="AH2066">
        <v>4.2472000000000003E-2</v>
      </c>
      <c r="AI2066">
        <v>4.2472000000000003E-2</v>
      </c>
    </row>
    <row r="2067" spans="1:35" x14ac:dyDescent="0.35">
      <c r="A2067" t="s">
        <v>0</v>
      </c>
      <c r="B2067">
        <v>3500</v>
      </c>
      <c r="C2067">
        <v>14</v>
      </c>
      <c r="D2067">
        <v>73</v>
      </c>
      <c r="E2067">
        <v>0</v>
      </c>
      <c r="F2067">
        <v>3095472548</v>
      </c>
      <c r="G2067">
        <v>5191217.32</v>
      </c>
      <c r="H2067">
        <v>3088723633.8699999</v>
      </c>
      <c r="I2067">
        <v>3090152475.75</v>
      </c>
      <c r="J2067">
        <v>6.0219999999999996E-3</v>
      </c>
      <c r="K2067">
        <v>4.9899999999999999E-4</v>
      </c>
      <c r="M2067" t="s">
        <v>1</v>
      </c>
      <c r="N2067">
        <v>2500</v>
      </c>
      <c r="O2067">
        <v>12</v>
      </c>
      <c r="P2067">
        <v>1</v>
      </c>
      <c r="Q2067">
        <v>0</v>
      </c>
      <c r="R2067">
        <v>40141891</v>
      </c>
      <c r="S2067">
        <v>89626.65</v>
      </c>
      <c r="T2067">
        <v>39997006.490000002</v>
      </c>
      <c r="U2067">
        <v>40052120.210000001</v>
      </c>
      <c r="V2067">
        <v>1.6393999999999999E-2</v>
      </c>
      <c r="W2067">
        <v>4.3000000000000002E-5</v>
      </c>
      <c r="Y2067" t="s">
        <v>0</v>
      </c>
      <c r="Z2067">
        <v>2750</v>
      </c>
      <c r="AA2067">
        <v>14</v>
      </c>
      <c r="AB2067">
        <v>1</v>
      </c>
      <c r="AC2067">
        <v>0</v>
      </c>
      <c r="AD2067">
        <v>25482555</v>
      </c>
      <c r="AE2067">
        <v>48349.18</v>
      </c>
      <c r="AF2067">
        <v>25423784</v>
      </c>
      <c r="AG2067">
        <v>25423784</v>
      </c>
      <c r="AH2067">
        <v>4.8970000000000003E-3</v>
      </c>
      <c r="AI2067">
        <v>4.8970000000000003E-3</v>
      </c>
    </row>
    <row r="2068" spans="1:35" x14ac:dyDescent="0.35">
      <c r="A2068" t="s">
        <v>1</v>
      </c>
      <c r="B2068">
        <v>3500</v>
      </c>
      <c r="C2068">
        <v>14</v>
      </c>
      <c r="D2068">
        <v>36</v>
      </c>
      <c r="E2068">
        <v>0</v>
      </c>
      <c r="F2068">
        <v>1423881594</v>
      </c>
      <c r="G2068">
        <v>2392236.79</v>
      </c>
      <c r="H2068">
        <v>1402748044.05</v>
      </c>
      <c r="I2068">
        <v>1405585688.3099999</v>
      </c>
      <c r="J2068">
        <v>0.14699899999999999</v>
      </c>
      <c r="K2068">
        <v>0.12609600000000001</v>
      </c>
      <c r="M2068" t="s">
        <v>1</v>
      </c>
      <c r="N2068">
        <v>2250</v>
      </c>
      <c r="O2068">
        <v>14</v>
      </c>
      <c r="P2068">
        <v>3</v>
      </c>
      <c r="Q2068">
        <v>0</v>
      </c>
      <c r="R2068">
        <v>106406204</v>
      </c>
      <c r="S2068">
        <v>249370.58</v>
      </c>
      <c r="T2068">
        <v>106047366.79000001</v>
      </c>
      <c r="U2068">
        <v>106156557.63</v>
      </c>
      <c r="V2068">
        <v>1.2276E-2</v>
      </c>
      <c r="W2068">
        <v>3.1000000000000001E-5</v>
      </c>
      <c r="Y2068" t="s">
        <v>0</v>
      </c>
      <c r="Z2068">
        <v>3000</v>
      </c>
      <c r="AA2068">
        <v>14</v>
      </c>
      <c r="AB2068">
        <v>3</v>
      </c>
      <c r="AC2068">
        <v>0</v>
      </c>
      <c r="AD2068">
        <v>77771524</v>
      </c>
      <c r="AE2068">
        <v>143162.48000000001</v>
      </c>
      <c r="AF2068">
        <v>77622749</v>
      </c>
      <c r="AG2068">
        <v>77622749</v>
      </c>
      <c r="AH2068">
        <v>8.6600000000000002E-4</v>
      </c>
      <c r="AI2068">
        <v>8.6600000000000002E-4</v>
      </c>
    </row>
    <row r="2069" spans="1:35" x14ac:dyDescent="0.35">
      <c r="A2069" t="s">
        <v>0</v>
      </c>
      <c r="B2069">
        <v>3250</v>
      </c>
      <c r="C2069">
        <v>16</v>
      </c>
      <c r="D2069">
        <v>3</v>
      </c>
      <c r="E2069">
        <v>0</v>
      </c>
      <c r="F2069">
        <v>71134331</v>
      </c>
      <c r="G2069">
        <v>125256.18</v>
      </c>
      <c r="H2069">
        <v>70963204.680000007</v>
      </c>
      <c r="I2069">
        <v>71007501.159999996</v>
      </c>
      <c r="J2069">
        <v>7.711E-3</v>
      </c>
      <c r="K2069">
        <v>2.6499999999999999E-4</v>
      </c>
      <c r="M2069" t="s">
        <v>1</v>
      </c>
      <c r="N2069">
        <v>3000</v>
      </c>
      <c r="O2069">
        <v>16</v>
      </c>
      <c r="P2069">
        <v>1</v>
      </c>
      <c r="Q2069">
        <v>0</v>
      </c>
      <c r="R2069">
        <v>5322492</v>
      </c>
      <c r="S2069">
        <v>11334.92</v>
      </c>
      <c r="T2069">
        <v>5287794.5599999996</v>
      </c>
      <c r="U2069">
        <v>5311115.5599999996</v>
      </c>
      <c r="V2069">
        <v>5.142E-2</v>
      </c>
      <c r="W2069">
        <v>9.3999999999999994E-5</v>
      </c>
      <c r="Y2069" t="s">
        <v>1</v>
      </c>
      <c r="Z2069">
        <v>3000</v>
      </c>
      <c r="AA2069">
        <v>16</v>
      </c>
      <c r="AB2069">
        <v>1</v>
      </c>
      <c r="AC2069">
        <v>0</v>
      </c>
      <c r="AD2069">
        <v>56929165</v>
      </c>
      <c r="AE2069">
        <v>116964.85</v>
      </c>
      <c r="AF2069">
        <v>56929165</v>
      </c>
      <c r="AG2069">
        <v>56929165</v>
      </c>
      <c r="AH2069">
        <v>-2.4934999999999999E-2</v>
      </c>
      <c r="AI2069">
        <v>-2.4934999999999999E-2</v>
      </c>
    </row>
    <row r="2070" spans="1:35" x14ac:dyDescent="0.35">
      <c r="A2070" t="s">
        <v>0</v>
      </c>
      <c r="B2070">
        <v>3250</v>
      </c>
      <c r="C2070">
        <v>14</v>
      </c>
      <c r="D2070">
        <v>5</v>
      </c>
      <c r="E2070">
        <v>0</v>
      </c>
      <c r="F2070">
        <v>151816162</v>
      </c>
      <c r="G2070">
        <v>265584.75</v>
      </c>
      <c r="H2070">
        <v>151465589.74000001</v>
      </c>
      <c r="I2070">
        <v>151550177.68000001</v>
      </c>
      <c r="J2070">
        <v>6.6969999999999998E-3</v>
      </c>
      <c r="K2070">
        <v>3.1999999999999999E-5</v>
      </c>
      <c r="M2070" t="s">
        <v>0</v>
      </c>
      <c r="N2070">
        <v>3500</v>
      </c>
      <c r="O2070">
        <v>12</v>
      </c>
      <c r="P2070">
        <v>73</v>
      </c>
      <c r="Q2070">
        <v>0</v>
      </c>
      <c r="R2070">
        <v>3159559719</v>
      </c>
      <c r="S2070">
        <v>5242351.79</v>
      </c>
      <c r="T2070">
        <v>3152757286.8899999</v>
      </c>
      <c r="U2070">
        <v>3154202800.48</v>
      </c>
      <c r="V2070">
        <v>5.9090000000000002E-3</v>
      </c>
      <c r="W2070">
        <v>4.35E-4</v>
      </c>
      <c r="Y2070" t="s">
        <v>1</v>
      </c>
      <c r="Z2070">
        <v>3250</v>
      </c>
      <c r="AA2070">
        <v>14</v>
      </c>
      <c r="AB2070">
        <v>9</v>
      </c>
      <c r="AC2070">
        <v>0</v>
      </c>
      <c r="AD2070">
        <v>264465816</v>
      </c>
      <c r="AE2070">
        <v>471823.42</v>
      </c>
      <c r="AF2070">
        <v>264203100</v>
      </c>
      <c r="AG2070">
        <v>264203100</v>
      </c>
      <c r="AH2070">
        <v>-9.5300000000000003E-3</v>
      </c>
      <c r="AI2070">
        <v>-9.5300000000000003E-3</v>
      </c>
    </row>
    <row r="2071" spans="1:35" x14ac:dyDescent="0.35">
      <c r="A2071" t="s">
        <v>0</v>
      </c>
      <c r="B2071">
        <v>3750</v>
      </c>
      <c r="C2071">
        <v>14</v>
      </c>
      <c r="D2071">
        <v>588</v>
      </c>
      <c r="E2071">
        <v>0</v>
      </c>
      <c r="F2071">
        <v>19264368731</v>
      </c>
      <c r="G2071">
        <v>30892284.199999999</v>
      </c>
      <c r="H2071">
        <v>19221251987.43</v>
      </c>
      <c r="I2071">
        <v>19228924726.299999</v>
      </c>
      <c r="J2071">
        <v>7.5880000000000001E-3</v>
      </c>
      <c r="K2071">
        <v>2.8319999999999999E-3</v>
      </c>
      <c r="M2071" t="s">
        <v>1</v>
      </c>
      <c r="N2071">
        <v>3500</v>
      </c>
      <c r="O2071">
        <v>12</v>
      </c>
      <c r="P2071">
        <v>28</v>
      </c>
      <c r="Q2071">
        <v>0</v>
      </c>
      <c r="R2071">
        <v>1108636597</v>
      </c>
      <c r="S2071">
        <v>1855876.7</v>
      </c>
      <c r="T2071">
        <v>1093276025.79</v>
      </c>
      <c r="U2071">
        <v>1094750546.4000001</v>
      </c>
      <c r="V2071">
        <v>0.13677</v>
      </c>
      <c r="W2071">
        <v>0.12271899999999999</v>
      </c>
      <c r="Y2071" t="s">
        <v>2</v>
      </c>
      <c r="Z2071">
        <v>3250</v>
      </c>
      <c r="AA2071">
        <v>14</v>
      </c>
      <c r="AB2071">
        <v>7</v>
      </c>
      <c r="AC2071">
        <v>0</v>
      </c>
      <c r="AD2071">
        <v>125456534</v>
      </c>
      <c r="AE2071">
        <v>226741.31</v>
      </c>
      <c r="AF2071">
        <v>125185838</v>
      </c>
      <c r="AG2071">
        <v>125185838</v>
      </c>
      <c r="AH2071">
        <v>4.1960000000000001E-3</v>
      </c>
      <c r="AI2071">
        <v>4.1960000000000001E-3</v>
      </c>
    </row>
    <row r="2072" spans="1:35" x14ac:dyDescent="0.35">
      <c r="A2072" t="s">
        <v>2</v>
      </c>
      <c r="B2072">
        <v>3500</v>
      </c>
      <c r="C2072">
        <v>14</v>
      </c>
      <c r="D2072">
        <v>15</v>
      </c>
      <c r="E2072">
        <v>0</v>
      </c>
      <c r="F2072">
        <v>339846199</v>
      </c>
      <c r="G2072">
        <v>581124.5</v>
      </c>
      <c r="H2072">
        <v>338577365.93000001</v>
      </c>
      <c r="I2072">
        <v>339143508.00999999</v>
      </c>
      <c r="J2072">
        <v>2.4015000000000002E-2</v>
      </c>
      <c r="K2072">
        <v>4.2839999999999996E-3</v>
      </c>
      <c r="M2072" t="s">
        <v>0</v>
      </c>
      <c r="N2072">
        <v>3750</v>
      </c>
      <c r="O2072">
        <v>12</v>
      </c>
      <c r="P2072">
        <v>359</v>
      </c>
      <c r="Q2072">
        <v>0</v>
      </c>
      <c r="R2072">
        <v>11288608908</v>
      </c>
      <c r="S2072">
        <v>17929769</v>
      </c>
      <c r="T2072">
        <v>11264543041.860001</v>
      </c>
      <c r="U2072">
        <v>11269467177.59</v>
      </c>
      <c r="V2072">
        <v>6.5030000000000001E-3</v>
      </c>
      <c r="W2072">
        <v>1.2880000000000001E-3</v>
      </c>
      <c r="Y2072" t="s">
        <v>2</v>
      </c>
      <c r="Z2072">
        <v>3500</v>
      </c>
      <c r="AA2072">
        <v>14</v>
      </c>
      <c r="AB2072">
        <v>13</v>
      </c>
      <c r="AC2072">
        <v>0</v>
      </c>
      <c r="AD2072">
        <v>284787661</v>
      </c>
      <c r="AE2072">
        <v>491497.11</v>
      </c>
      <c r="AF2072">
        <v>277703693</v>
      </c>
      <c r="AG2072">
        <v>277703693</v>
      </c>
      <c r="AH2072">
        <v>0.24501000000000001</v>
      </c>
      <c r="AI2072">
        <v>0.24501000000000001</v>
      </c>
    </row>
    <row r="2073" spans="1:35" x14ac:dyDescent="0.35">
      <c r="A2073" t="s">
        <v>3</v>
      </c>
      <c r="B2073">
        <v>4000</v>
      </c>
      <c r="C2073">
        <v>16</v>
      </c>
      <c r="D2073">
        <v>5</v>
      </c>
      <c r="E2073">
        <v>0</v>
      </c>
      <c r="F2073">
        <v>54047055</v>
      </c>
      <c r="G2073">
        <v>83709.83</v>
      </c>
      <c r="H2073">
        <v>53884839.140000001</v>
      </c>
      <c r="I2073">
        <v>53963344.770000003</v>
      </c>
      <c r="J2073">
        <v>1.7291999999999998E-2</v>
      </c>
      <c r="K2073">
        <v>0</v>
      </c>
      <c r="M2073" t="s">
        <v>1</v>
      </c>
      <c r="N2073">
        <v>3750</v>
      </c>
      <c r="O2073">
        <v>12</v>
      </c>
      <c r="P2073">
        <v>184</v>
      </c>
      <c r="Q2073">
        <v>0</v>
      </c>
      <c r="R2073">
        <v>6480563446</v>
      </c>
      <c r="S2073">
        <v>10334419.710000001</v>
      </c>
      <c r="T2073">
        <v>6433100596.3500004</v>
      </c>
      <c r="U2073">
        <v>6444067133.6199999</v>
      </c>
      <c r="V2073">
        <v>6.6625000000000004E-2</v>
      </c>
      <c r="W2073">
        <v>4.7382000000000001E-2</v>
      </c>
      <c r="Y2073" t="s">
        <v>0</v>
      </c>
      <c r="Z2073">
        <v>3250</v>
      </c>
      <c r="AA2073">
        <v>14</v>
      </c>
      <c r="AB2073">
        <v>6</v>
      </c>
      <c r="AC2073">
        <v>0</v>
      </c>
      <c r="AD2073">
        <v>189041929</v>
      </c>
      <c r="AE2073">
        <v>329891.94</v>
      </c>
      <c r="AF2073">
        <v>188636127</v>
      </c>
      <c r="AG2073">
        <v>188636127</v>
      </c>
      <c r="AH2073">
        <v>4.8079999999999998E-3</v>
      </c>
      <c r="AI2073">
        <v>4.8079999999999998E-3</v>
      </c>
    </row>
    <row r="2074" spans="1:35" x14ac:dyDescent="0.35">
      <c r="A2074" t="s">
        <v>2</v>
      </c>
      <c r="B2074">
        <v>3750</v>
      </c>
      <c r="C2074">
        <v>14</v>
      </c>
      <c r="D2074">
        <v>17</v>
      </c>
      <c r="E2074">
        <v>0</v>
      </c>
      <c r="F2074">
        <v>518993168</v>
      </c>
      <c r="G2074">
        <v>838172.14</v>
      </c>
      <c r="H2074">
        <v>517607991.51999998</v>
      </c>
      <c r="I2074">
        <v>517880045.11000001</v>
      </c>
      <c r="J2074">
        <v>1.2574999999999999E-2</v>
      </c>
      <c r="K2074">
        <v>6.339E-3</v>
      </c>
      <c r="M2074" t="s">
        <v>1</v>
      </c>
      <c r="N2074">
        <v>4000</v>
      </c>
      <c r="O2074">
        <v>12</v>
      </c>
      <c r="P2074">
        <v>852</v>
      </c>
      <c r="Q2074">
        <v>0</v>
      </c>
      <c r="R2074">
        <v>29717514699</v>
      </c>
      <c r="S2074">
        <v>45445262.950000003</v>
      </c>
      <c r="T2074">
        <v>29618762101.91</v>
      </c>
      <c r="U2074">
        <v>29646209999.040001</v>
      </c>
      <c r="V2074">
        <v>2.1315000000000001E-2</v>
      </c>
      <c r="W2074">
        <v>1.0392E-2</v>
      </c>
      <c r="Y2074" t="s">
        <v>3</v>
      </c>
      <c r="Z2074">
        <v>4000</v>
      </c>
      <c r="AA2074">
        <v>14</v>
      </c>
      <c r="AB2074">
        <v>5</v>
      </c>
      <c r="AC2074">
        <v>0</v>
      </c>
      <c r="AD2074">
        <v>54198422</v>
      </c>
      <c r="AE2074">
        <v>83536.429999999993</v>
      </c>
      <c r="AF2074">
        <v>54047055</v>
      </c>
      <c r="AG2074">
        <v>54047055</v>
      </c>
      <c r="AH2074">
        <v>1.4914999999999999E-2</v>
      </c>
      <c r="AI2074">
        <v>1.4914999999999999E-2</v>
      </c>
    </row>
    <row r="2075" spans="1:35" x14ac:dyDescent="0.35">
      <c r="A2075" t="s">
        <v>3</v>
      </c>
      <c r="B2075">
        <v>4500</v>
      </c>
      <c r="C2075">
        <v>14</v>
      </c>
      <c r="D2075">
        <v>1</v>
      </c>
      <c r="E2075">
        <v>0</v>
      </c>
      <c r="F2075">
        <v>34289222</v>
      </c>
      <c r="G2075">
        <v>48499.360000000001</v>
      </c>
      <c r="H2075">
        <v>34056976.68</v>
      </c>
      <c r="I2075">
        <v>34240722.619999997</v>
      </c>
      <c r="J2075">
        <v>6.2442999999999999E-2</v>
      </c>
      <c r="K2075">
        <v>0</v>
      </c>
      <c r="M2075" t="s">
        <v>2</v>
      </c>
      <c r="N2075">
        <v>4000</v>
      </c>
      <c r="O2075">
        <v>12</v>
      </c>
      <c r="P2075">
        <v>110</v>
      </c>
      <c r="Q2075">
        <v>0</v>
      </c>
      <c r="R2075">
        <v>3083258692</v>
      </c>
      <c r="S2075">
        <v>4718263.5599999996</v>
      </c>
      <c r="T2075">
        <v>3076346541.0300002</v>
      </c>
      <c r="U2075">
        <v>3078106691.5500002</v>
      </c>
      <c r="V2075">
        <v>8.5050000000000004E-3</v>
      </c>
      <c r="W2075">
        <v>1.6869999999999999E-3</v>
      </c>
      <c r="Y2075" t="s">
        <v>3</v>
      </c>
      <c r="Z2075">
        <v>4500</v>
      </c>
      <c r="AA2075">
        <v>14</v>
      </c>
      <c r="AB2075">
        <v>1</v>
      </c>
      <c r="AC2075">
        <v>0</v>
      </c>
      <c r="AD2075">
        <v>34337790</v>
      </c>
      <c r="AE2075">
        <v>48318.52</v>
      </c>
      <c r="AF2075">
        <v>34289222</v>
      </c>
      <c r="AG2075">
        <v>34289222</v>
      </c>
      <c r="AH2075">
        <v>8.7000000000000001E-5</v>
      </c>
      <c r="AI2075">
        <v>8.7000000000000001E-5</v>
      </c>
    </row>
    <row r="2076" spans="1:35" x14ac:dyDescent="0.35">
      <c r="A2076" t="s">
        <v>3</v>
      </c>
      <c r="B2076">
        <v>4750</v>
      </c>
      <c r="C2076">
        <v>14</v>
      </c>
      <c r="D2076">
        <v>1</v>
      </c>
      <c r="E2076">
        <v>0</v>
      </c>
      <c r="F2076">
        <v>36503959</v>
      </c>
      <c r="G2076">
        <v>49432.21</v>
      </c>
      <c r="H2076">
        <v>36375510.799999997</v>
      </c>
      <c r="I2076">
        <v>36454526.770000003</v>
      </c>
      <c r="J2076">
        <v>2.5668E-2</v>
      </c>
      <c r="K2076">
        <v>0</v>
      </c>
      <c r="M2076" t="s">
        <v>2</v>
      </c>
      <c r="N2076">
        <v>3750</v>
      </c>
      <c r="O2076">
        <v>12</v>
      </c>
      <c r="P2076">
        <v>10</v>
      </c>
      <c r="Q2076">
        <v>0</v>
      </c>
      <c r="R2076">
        <v>271699723</v>
      </c>
      <c r="S2076">
        <v>433621.12</v>
      </c>
      <c r="T2076">
        <v>270326792.68000001</v>
      </c>
      <c r="U2076">
        <v>270475064.13</v>
      </c>
      <c r="V2076">
        <v>4.0705999999999999E-2</v>
      </c>
      <c r="W2076">
        <v>3.4382999999999997E-2</v>
      </c>
      <c r="Y2076" t="s">
        <v>3</v>
      </c>
      <c r="Z2076">
        <v>4750</v>
      </c>
      <c r="AA2076">
        <v>14</v>
      </c>
      <c r="AB2076">
        <v>1</v>
      </c>
      <c r="AC2076">
        <v>0</v>
      </c>
      <c r="AD2076">
        <v>36602762</v>
      </c>
      <c r="AE2076">
        <v>49304.08</v>
      </c>
      <c r="AF2076">
        <v>36503959</v>
      </c>
      <c r="AG2076">
        <v>36503959</v>
      </c>
      <c r="AH2076">
        <v>1.6108000000000001E-2</v>
      </c>
      <c r="AI2076">
        <v>1.6108000000000001E-2</v>
      </c>
    </row>
    <row r="2077" spans="1:35" x14ac:dyDescent="0.35">
      <c r="A2077" t="s">
        <v>2</v>
      </c>
      <c r="B2077">
        <v>2500</v>
      </c>
      <c r="C2077">
        <v>16</v>
      </c>
      <c r="D2077">
        <v>1</v>
      </c>
      <c r="E2077">
        <v>0</v>
      </c>
      <c r="F2077">
        <v>12845454</v>
      </c>
      <c r="G2077">
        <v>25478.93</v>
      </c>
      <c r="H2077">
        <v>12779864.73</v>
      </c>
      <c r="I2077">
        <v>12819970.41</v>
      </c>
      <c r="J2077">
        <v>3.6833999999999999E-2</v>
      </c>
      <c r="K2077">
        <v>3.9999999999999998E-6</v>
      </c>
      <c r="M2077" t="s">
        <v>0</v>
      </c>
      <c r="N2077">
        <v>2500</v>
      </c>
      <c r="O2077">
        <v>14</v>
      </c>
      <c r="P2077">
        <v>1</v>
      </c>
      <c r="Q2077">
        <v>0</v>
      </c>
      <c r="R2077">
        <v>45004868</v>
      </c>
      <c r="S2077">
        <v>109521.35</v>
      </c>
      <c r="T2077">
        <v>44872470.93</v>
      </c>
      <c r="U2077">
        <v>44895338.140000001</v>
      </c>
      <c r="V2077">
        <v>6.0829999999999999E-3</v>
      </c>
      <c r="W2077">
        <v>1.9999999999999999E-6</v>
      </c>
      <c r="Y2077" t="s">
        <v>2</v>
      </c>
      <c r="Z2077">
        <v>2500</v>
      </c>
      <c r="AA2077">
        <v>14</v>
      </c>
      <c r="AB2077">
        <v>1</v>
      </c>
      <c r="AC2077">
        <v>0</v>
      </c>
      <c r="AD2077">
        <v>12896459</v>
      </c>
      <c r="AE2077">
        <v>25476.49</v>
      </c>
      <c r="AF2077">
        <v>12845454</v>
      </c>
      <c r="AG2077">
        <v>12845454</v>
      </c>
      <c r="AH2077">
        <v>2.3497000000000001E-2</v>
      </c>
      <c r="AI2077">
        <v>2.3497000000000001E-2</v>
      </c>
    </row>
    <row r="2078" spans="1:35" x14ac:dyDescent="0.35">
      <c r="A2078" t="s">
        <v>0</v>
      </c>
      <c r="B2078">
        <v>2500</v>
      </c>
      <c r="C2078">
        <v>16</v>
      </c>
      <c r="D2078">
        <v>1</v>
      </c>
      <c r="E2078">
        <v>0</v>
      </c>
      <c r="F2078">
        <v>18380093</v>
      </c>
      <c r="G2078">
        <v>36456.870000000003</v>
      </c>
      <c r="H2078">
        <v>18300229.34</v>
      </c>
      <c r="I2078">
        <v>18340992.649999999</v>
      </c>
      <c r="J2078">
        <v>2.7973999999999999E-2</v>
      </c>
      <c r="K2078">
        <v>1.725E-3</v>
      </c>
      <c r="M2078" t="s">
        <v>1</v>
      </c>
      <c r="N2078">
        <v>2250</v>
      </c>
      <c r="O2078">
        <v>12</v>
      </c>
      <c r="P2078">
        <v>3</v>
      </c>
      <c r="Q2078">
        <v>0</v>
      </c>
      <c r="R2078">
        <v>122357068</v>
      </c>
      <c r="S2078">
        <v>272788.8</v>
      </c>
      <c r="T2078">
        <v>121967099.19</v>
      </c>
      <c r="U2078">
        <v>122083706.76000001</v>
      </c>
      <c r="V2078">
        <v>1.1431999999999999E-2</v>
      </c>
      <c r="W2078">
        <v>5.5999999999999999E-5</v>
      </c>
      <c r="Y2078" t="s">
        <v>0</v>
      </c>
      <c r="Z2078">
        <v>2500</v>
      </c>
      <c r="AA2078">
        <v>14</v>
      </c>
      <c r="AB2078">
        <v>1</v>
      </c>
      <c r="AC2078">
        <v>0</v>
      </c>
      <c r="AD2078">
        <v>18416505</v>
      </c>
      <c r="AE2078">
        <v>36381.14</v>
      </c>
      <c r="AF2078">
        <v>18380093</v>
      </c>
      <c r="AG2078">
        <v>18380093</v>
      </c>
      <c r="AH2078">
        <v>2.0000000000000002E-5</v>
      </c>
      <c r="AI2078">
        <v>2.0000000000000002E-5</v>
      </c>
    </row>
    <row r="2079" spans="1:35" x14ac:dyDescent="0.35">
      <c r="A2079" t="s">
        <v>1</v>
      </c>
      <c r="B2079">
        <v>2750</v>
      </c>
      <c r="C2079">
        <v>14</v>
      </c>
      <c r="D2079">
        <v>3</v>
      </c>
      <c r="E2079">
        <v>0</v>
      </c>
      <c r="F2079">
        <v>116811594</v>
      </c>
      <c r="G2079">
        <v>245096.05</v>
      </c>
      <c r="H2079">
        <v>116174206.29000001</v>
      </c>
      <c r="I2079">
        <v>116565115.7</v>
      </c>
      <c r="J2079">
        <v>3.9564000000000002E-2</v>
      </c>
      <c r="K2079">
        <v>1.4200000000000001E-4</v>
      </c>
      <c r="M2079" t="s">
        <v>1</v>
      </c>
      <c r="N2079">
        <v>2750</v>
      </c>
      <c r="O2079">
        <v>12</v>
      </c>
      <c r="P2079">
        <v>3</v>
      </c>
      <c r="Q2079">
        <v>0</v>
      </c>
      <c r="R2079">
        <v>107519704</v>
      </c>
      <c r="S2079">
        <v>234526.4</v>
      </c>
      <c r="T2079">
        <v>107194575.56</v>
      </c>
      <c r="U2079">
        <v>107284424.45</v>
      </c>
      <c r="V2079">
        <v>1.0064999999999999E-2</v>
      </c>
      <c r="W2079">
        <v>8.3999999999999995E-5</v>
      </c>
      <c r="Y2079" t="s">
        <v>1</v>
      </c>
      <c r="Z2079">
        <v>2750</v>
      </c>
      <c r="AA2079">
        <v>14</v>
      </c>
      <c r="AB2079">
        <v>2</v>
      </c>
      <c r="AC2079">
        <v>0</v>
      </c>
      <c r="AD2079">
        <v>63424139</v>
      </c>
      <c r="AE2079">
        <v>135728.07</v>
      </c>
      <c r="AF2079">
        <v>63260353</v>
      </c>
      <c r="AG2079">
        <v>63260353</v>
      </c>
      <c r="AH2079">
        <v>5.2960000000000004E-3</v>
      </c>
      <c r="AI2079">
        <v>5.2960000000000004E-3</v>
      </c>
    </row>
    <row r="2080" spans="1:35" x14ac:dyDescent="0.35">
      <c r="A2080" t="s">
        <v>1</v>
      </c>
      <c r="B2080">
        <v>3250</v>
      </c>
      <c r="C2080">
        <v>14</v>
      </c>
      <c r="D2080">
        <v>14</v>
      </c>
      <c r="E2080">
        <v>0</v>
      </c>
      <c r="F2080">
        <v>393004725</v>
      </c>
      <c r="G2080">
        <v>684873.28</v>
      </c>
      <c r="H2080">
        <v>381687331.93000001</v>
      </c>
      <c r="I2080">
        <v>383515098.81999999</v>
      </c>
      <c r="J2080">
        <v>0.280447</v>
      </c>
      <c r="K2080">
        <v>0.238071</v>
      </c>
      <c r="M2080" t="s">
        <v>2</v>
      </c>
      <c r="N2080">
        <v>2750</v>
      </c>
      <c r="O2080">
        <v>12</v>
      </c>
      <c r="P2080">
        <v>3</v>
      </c>
      <c r="Q2080">
        <v>0</v>
      </c>
      <c r="R2080">
        <v>50246501</v>
      </c>
      <c r="S2080">
        <v>108197.75999999999</v>
      </c>
      <c r="T2080">
        <v>49777989.609999999</v>
      </c>
      <c r="U2080">
        <v>49992699.07</v>
      </c>
      <c r="V2080">
        <v>8.2737000000000005E-2</v>
      </c>
      <c r="W2080">
        <v>3.4224999999999998E-2</v>
      </c>
      <c r="Y2080" t="s">
        <v>1</v>
      </c>
      <c r="Z2080">
        <v>2750</v>
      </c>
      <c r="AA2080">
        <v>12</v>
      </c>
      <c r="AB2080">
        <v>4</v>
      </c>
      <c r="AC2080">
        <v>0</v>
      </c>
      <c r="AD2080">
        <v>138491829</v>
      </c>
      <c r="AE2080">
        <v>294542.61</v>
      </c>
      <c r="AF2080">
        <v>138254348</v>
      </c>
      <c r="AG2080">
        <v>138254348</v>
      </c>
      <c r="AH2080">
        <v>-4.9550000000000002E-3</v>
      </c>
      <c r="AI2080">
        <v>-4.9550000000000002E-3</v>
      </c>
    </row>
    <row r="2081" spans="1:35" x14ac:dyDescent="0.35">
      <c r="A2081" t="s">
        <v>2</v>
      </c>
      <c r="B2081">
        <v>3250</v>
      </c>
      <c r="C2081">
        <v>14</v>
      </c>
      <c r="D2081">
        <v>6</v>
      </c>
      <c r="E2081">
        <v>0</v>
      </c>
      <c r="F2081">
        <v>103185043</v>
      </c>
      <c r="G2081">
        <v>188182.52</v>
      </c>
      <c r="H2081">
        <v>102227852.37</v>
      </c>
      <c r="I2081">
        <v>102610680.41</v>
      </c>
      <c r="J2081">
        <v>8.5856000000000002E-2</v>
      </c>
      <c r="K2081">
        <v>4.3998000000000002E-2</v>
      </c>
      <c r="M2081" t="s">
        <v>0</v>
      </c>
      <c r="N2081">
        <v>2750</v>
      </c>
      <c r="O2081">
        <v>12</v>
      </c>
      <c r="P2081">
        <v>1</v>
      </c>
      <c r="Q2081">
        <v>0</v>
      </c>
      <c r="R2081">
        <v>25599695</v>
      </c>
      <c r="S2081">
        <v>48167.42</v>
      </c>
      <c r="T2081">
        <v>25535446.48</v>
      </c>
      <c r="U2081">
        <v>25551521.27</v>
      </c>
      <c r="V2081">
        <v>7.5119999999999996E-3</v>
      </c>
      <c r="W2081">
        <v>3.0000000000000001E-6</v>
      </c>
      <c r="Y2081" t="s">
        <v>0</v>
      </c>
      <c r="Z2081">
        <v>3500</v>
      </c>
      <c r="AA2081">
        <v>12</v>
      </c>
      <c r="AB2081">
        <v>34</v>
      </c>
      <c r="AC2081">
        <v>0</v>
      </c>
      <c r="AD2081">
        <v>1364743616</v>
      </c>
      <c r="AE2081">
        <v>2269460.86</v>
      </c>
      <c r="AF2081">
        <v>1362402544</v>
      </c>
      <c r="AG2081">
        <v>1362402544</v>
      </c>
      <c r="AH2081">
        <v>6.29E-4</v>
      </c>
      <c r="AI2081">
        <v>6.29E-4</v>
      </c>
    </row>
    <row r="2082" spans="1:35" x14ac:dyDescent="0.35">
      <c r="A2082" t="s">
        <v>3</v>
      </c>
      <c r="B2082">
        <v>4250</v>
      </c>
      <c r="C2082">
        <v>14</v>
      </c>
      <c r="D2082">
        <v>1</v>
      </c>
      <c r="E2082">
        <v>0</v>
      </c>
      <c r="F2082">
        <v>30049025</v>
      </c>
      <c r="G2082">
        <v>44376.09</v>
      </c>
      <c r="H2082">
        <v>29802401.870000001</v>
      </c>
      <c r="I2082">
        <v>30004648.469999999</v>
      </c>
      <c r="J2082">
        <v>7.7842999999999996E-2</v>
      </c>
      <c r="K2082">
        <v>0</v>
      </c>
      <c r="M2082" t="s">
        <v>0</v>
      </c>
      <c r="N2082">
        <v>3000</v>
      </c>
      <c r="O2082">
        <v>12</v>
      </c>
      <c r="P2082">
        <v>3</v>
      </c>
      <c r="Q2082">
        <v>0</v>
      </c>
      <c r="R2082">
        <v>78112820</v>
      </c>
      <c r="S2082">
        <v>142573.6</v>
      </c>
      <c r="T2082">
        <v>77892175.459999993</v>
      </c>
      <c r="U2082">
        <v>77968999.980000004</v>
      </c>
      <c r="V2082">
        <v>1.1927999999999999E-2</v>
      </c>
      <c r="W2082">
        <v>1.9100000000000001E-4</v>
      </c>
      <c r="Y2082" t="s">
        <v>1</v>
      </c>
      <c r="Z2082">
        <v>3500</v>
      </c>
      <c r="AA2082">
        <v>12</v>
      </c>
      <c r="AB2082">
        <v>35</v>
      </c>
      <c r="AC2082">
        <v>0</v>
      </c>
      <c r="AD2082">
        <v>1577779191</v>
      </c>
      <c r="AE2082">
        <v>2626842.31</v>
      </c>
      <c r="AF2082">
        <v>1574970788</v>
      </c>
      <c r="AG2082">
        <v>1574970788</v>
      </c>
      <c r="AH2082">
        <v>1.3799999999999999E-3</v>
      </c>
      <c r="AI2082">
        <v>1.3799999999999999E-3</v>
      </c>
    </row>
    <row r="2083" spans="1:35" x14ac:dyDescent="0.35">
      <c r="A2083" t="s">
        <v>0</v>
      </c>
      <c r="B2083">
        <v>3250</v>
      </c>
      <c r="C2083">
        <v>12</v>
      </c>
      <c r="D2083">
        <v>3</v>
      </c>
      <c r="E2083">
        <v>0</v>
      </c>
      <c r="F2083">
        <v>88840389</v>
      </c>
      <c r="G2083">
        <v>155365.16</v>
      </c>
      <c r="H2083">
        <v>88638135.439999998</v>
      </c>
      <c r="I2083">
        <v>88684090.390000001</v>
      </c>
      <c r="J2083">
        <v>6.3150000000000003E-3</v>
      </c>
      <c r="K2083">
        <v>1.26E-4</v>
      </c>
      <c r="M2083" t="s">
        <v>1</v>
      </c>
      <c r="N2083">
        <v>3000</v>
      </c>
      <c r="O2083">
        <v>14</v>
      </c>
      <c r="P2083">
        <v>1</v>
      </c>
      <c r="Q2083">
        <v>0</v>
      </c>
      <c r="R2083">
        <v>57041330</v>
      </c>
      <c r="S2083">
        <v>116160.14</v>
      </c>
      <c r="T2083">
        <v>50702953.920000002</v>
      </c>
      <c r="U2083">
        <v>50831092.049999997</v>
      </c>
      <c r="V2083">
        <v>0.74993699999999996</v>
      </c>
      <c r="W2083">
        <v>0.74226499999999995</v>
      </c>
      <c r="Y2083" t="s">
        <v>1</v>
      </c>
      <c r="Z2083">
        <v>3250</v>
      </c>
      <c r="AA2083">
        <v>12</v>
      </c>
      <c r="AB2083">
        <v>21</v>
      </c>
      <c r="AC2083">
        <v>0</v>
      </c>
      <c r="AD2083">
        <v>639611424</v>
      </c>
      <c r="AE2083">
        <v>1106044.79</v>
      </c>
      <c r="AF2083">
        <v>571516847</v>
      </c>
      <c r="AG2083">
        <v>638539412.22000003</v>
      </c>
      <c r="AH2083">
        <v>0.73488799999999999</v>
      </c>
      <c r="AI2083">
        <v>-6.3900000000000003E-4</v>
      </c>
    </row>
    <row r="2084" spans="1:35" x14ac:dyDescent="0.35">
      <c r="A2084" t="s">
        <v>0</v>
      </c>
      <c r="B2084">
        <v>2750</v>
      </c>
      <c r="C2084">
        <v>14</v>
      </c>
      <c r="D2084">
        <v>2</v>
      </c>
      <c r="E2084">
        <v>0</v>
      </c>
      <c r="F2084">
        <v>32676552</v>
      </c>
      <c r="G2084">
        <v>61740.04</v>
      </c>
      <c r="H2084">
        <v>32591181.440000001</v>
      </c>
      <c r="I2084">
        <v>32614123.609999999</v>
      </c>
      <c r="J2084">
        <v>8.6440000000000006E-3</v>
      </c>
      <c r="K2084">
        <v>2.5300000000000002E-4</v>
      </c>
      <c r="M2084" t="s">
        <v>1</v>
      </c>
      <c r="N2084">
        <v>3250</v>
      </c>
      <c r="O2084">
        <v>12</v>
      </c>
      <c r="P2084">
        <v>12</v>
      </c>
      <c r="Q2084">
        <v>0</v>
      </c>
      <c r="R2084">
        <v>327253511</v>
      </c>
      <c r="S2084">
        <v>600631.65</v>
      </c>
      <c r="T2084">
        <v>319142293.74000001</v>
      </c>
      <c r="U2084">
        <v>319895195.51999998</v>
      </c>
      <c r="V2084">
        <v>0.243168</v>
      </c>
      <c r="W2084">
        <v>0.22150300000000001</v>
      </c>
      <c r="Y2084" t="s">
        <v>1</v>
      </c>
      <c r="Z2084">
        <v>3750</v>
      </c>
      <c r="AA2084">
        <v>12</v>
      </c>
      <c r="AB2084">
        <v>215</v>
      </c>
      <c r="AC2084">
        <v>0</v>
      </c>
      <c r="AD2084">
        <v>8331885589</v>
      </c>
      <c r="AE2084">
        <v>13272607.939999999</v>
      </c>
      <c r="AF2084">
        <v>8161618550</v>
      </c>
      <c r="AG2084">
        <v>8181237649.9399996</v>
      </c>
      <c r="AH2084">
        <v>0.20408999999999999</v>
      </c>
      <c r="AI2084">
        <v>0.180863</v>
      </c>
    </row>
    <row r="2085" spans="1:35" x14ac:dyDescent="0.35">
      <c r="A2085" t="s">
        <v>1</v>
      </c>
      <c r="B2085">
        <v>3000</v>
      </c>
      <c r="C2085">
        <v>14</v>
      </c>
      <c r="D2085">
        <v>2</v>
      </c>
      <c r="E2085">
        <v>0</v>
      </c>
      <c r="F2085">
        <v>102832718</v>
      </c>
      <c r="G2085">
        <v>222040.15</v>
      </c>
      <c r="H2085">
        <v>102329618.09</v>
      </c>
      <c r="I2085">
        <v>102603650.23</v>
      </c>
      <c r="J2085">
        <v>3.2309999999999998E-2</v>
      </c>
      <c r="K2085">
        <v>8.1999999999999998E-4</v>
      </c>
      <c r="M2085" t="s">
        <v>2</v>
      </c>
      <c r="N2085">
        <v>3250</v>
      </c>
      <c r="O2085">
        <v>12</v>
      </c>
      <c r="P2085">
        <v>7</v>
      </c>
      <c r="Q2085">
        <v>0</v>
      </c>
      <c r="R2085">
        <v>125731102</v>
      </c>
      <c r="S2085">
        <v>225197.65</v>
      </c>
      <c r="T2085">
        <v>124757482.62</v>
      </c>
      <c r="U2085">
        <v>125004147.95</v>
      </c>
      <c r="V2085">
        <v>6.9138000000000005E-2</v>
      </c>
      <c r="W2085">
        <v>4.6850999999999997E-2</v>
      </c>
      <c r="Y2085" t="s">
        <v>0</v>
      </c>
      <c r="Z2085">
        <v>3750</v>
      </c>
      <c r="AA2085">
        <v>12</v>
      </c>
      <c r="AB2085">
        <v>484</v>
      </c>
      <c r="AC2085">
        <v>0</v>
      </c>
      <c r="AD2085">
        <v>16242866411</v>
      </c>
      <c r="AE2085">
        <v>25849089.149999999</v>
      </c>
      <c r="AF2085">
        <v>16215412834</v>
      </c>
      <c r="AG2085">
        <v>16215412834</v>
      </c>
      <c r="AH2085">
        <v>1.1850000000000001E-3</v>
      </c>
      <c r="AI2085">
        <v>1.1850000000000001E-3</v>
      </c>
    </row>
    <row r="2086" spans="1:35" x14ac:dyDescent="0.35">
      <c r="A2086" t="s">
        <v>1</v>
      </c>
      <c r="B2086">
        <v>3250</v>
      </c>
      <c r="C2086">
        <v>12</v>
      </c>
      <c r="D2086">
        <v>15</v>
      </c>
      <c r="E2086">
        <v>0</v>
      </c>
      <c r="F2086">
        <v>404336376</v>
      </c>
      <c r="G2086">
        <v>705928.36</v>
      </c>
      <c r="H2086">
        <v>395542363.10000002</v>
      </c>
      <c r="I2086">
        <v>396987637.69</v>
      </c>
      <c r="J2086">
        <v>0.21531600000000001</v>
      </c>
      <c r="K2086">
        <v>0.18027299999999999</v>
      </c>
      <c r="M2086" t="s">
        <v>2</v>
      </c>
      <c r="N2086">
        <v>3500</v>
      </c>
      <c r="O2086">
        <v>12</v>
      </c>
      <c r="P2086">
        <v>13</v>
      </c>
      <c r="Q2086">
        <v>0</v>
      </c>
      <c r="R2086">
        <v>287597282</v>
      </c>
      <c r="S2086">
        <v>492034.69</v>
      </c>
      <c r="T2086">
        <v>286228401.94999999</v>
      </c>
      <c r="U2086">
        <v>286548624.18000001</v>
      </c>
      <c r="V2086">
        <v>3.5978999999999997E-2</v>
      </c>
      <c r="W2086">
        <v>2.2978999999999999E-2</v>
      </c>
      <c r="Y2086" t="s">
        <v>2</v>
      </c>
      <c r="Z2086">
        <v>3500</v>
      </c>
      <c r="AA2086">
        <v>12</v>
      </c>
      <c r="AB2086">
        <v>9</v>
      </c>
      <c r="AC2086">
        <v>0</v>
      </c>
      <c r="AD2086">
        <v>191232317</v>
      </c>
      <c r="AE2086">
        <v>319429.78000000003</v>
      </c>
      <c r="AF2086">
        <v>190939019</v>
      </c>
      <c r="AG2086">
        <v>190939019</v>
      </c>
      <c r="AH2086">
        <v>-1.6410000000000001E-3</v>
      </c>
      <c r="AI2086">
        <v>-1.6410000000000001E-3</v>
      </c>
    </row>
    <row r="2087" spans="1:35" x14ac:dyDescent="0.35">
      <c r="A2087" t="s">
        <v>0</v>
      </c>
      <c r="B2087">
        <v>3500</v>
      </c>
      <c r="C2087">
        <v>12</v>
      </c>
      <c r="D2087">
        <v>29</v>
      </c>
      <c r="E2087">
        <v>0</v>
      </c>
      <c r="F2087">
        <v>1072110599</v>
      </c>
      <c r="G2087">
        <v>1777442.04</v>
      </c>
      <c r="H2087">
        <v>1070011181.63</v>
      </c>
      <c r="I2087">
        <v>1070306195.65</v>
      </c>
      <c r="J2087">
        <v>3.5980000000000001E-3</v>
      </c>
      <c r="K2087">
        <v>3.0200000000000002E-4</v>
      </c>
      <c r="M2087" t="s">
        <v>0</v>
      </c>
      <c r="N2087">
        <v>3250</v>
      </c>
      <c r="O2087">
        <v>12</v>
      </c>
      <c r="P2087">
        <v>6</v>
      </c>
      <c r="Q2087">
        <v>0</v>
      </c>
      <c r="R2087">
        <v>189774701</v>
      </c>
      <c r="S2087">
        <v>328247.51</v>
      </c>
      <c r="T2087">
        <v>189314536.80000001</v>
      </c>
      <c r="U2087">
        <v>189443664.27000001</v>
      </c>
      <c r="V2087">
        <v>8.3099999999999997E-3</v>
      </c>
      <c r="W2087">
        <v>1.76E-4</v>
      </c>
      <c r="Y2087" t="s">
        <v>0</v>
      </c>
      <c r="Z2087">
        <v>3250</v>
      </c>
      <c r="AA2087">
        <v>12</v>
      </c>
      <c r="AB2087">
        <v>3</v>
      </c>
      <c r="AC2087">
        <v>0</v>
      </c>
      <c r="AD2087">
        <v>74602201</v>
      </c>
      <c r="AE2087">
        <v>130638.62</v>
      </c>
      <c r="AF2087">
        <v>74506212</v>
      </c>
      <c r="AG2087">
        <v>74506212</v>
      </c>
      <c r="AH2087">
        <v>-5.5880000000000001E-3</v>
      </c>
      <c r="AI2087">
        <v>-5.5880000000000001E-3</v>
      </c>
    </row>
    <row r="2088" spans="1:35" x14ac:dyDescent="0.35">
      <c r="A2088" t="s">
        <v>1</v>
      </c>
      <c r="B2088">
        <v>3500</v>
      </c>
      <c r="C2088">
        <v>12</v>
      </c>
      <c r="D2088">
        <v>36</v>
      </c>
      <c r="E2088">
        <v>0</v>
      </c>
      <c r="F2088">
        <v>1535787248</v>
      </c>
      <c r="G2088">
        <v>2551013.31</v>
      </c>
      <c r="H2088">
        <v>1509754688.05</v>
      </c>
      <c r="I2088">
        <v>1512561005.49</v>
      </c>
      <c r="J2088">
        <v>0.16880600000000001</v>
      </c>
      <c r="K2088">
        <v>0.15010699999999999</v>
      </c>
      <c r="M2088" t="s">
        <v>3</v>
      </c>
      <c r="N2088">
        <v>4000</v>
      </c>
      <c r="O2088">
        <v>12</v>
      </c>
      <c r="P2088">
        <v>5</v>
      </c>
      <c r="Q2088">
        <v>0</v>
      </c>
      <c r="R2088">
        <v>54499648</v>
      </c>
      <c r="S2088">
        <v>83188.33</v>
      </c>
      <c r="T2088">
        <v>54383225.859999999</v>
      </c>
      <c r="U2088">
        <v>54416449.240000002</v>
      </c>
      <c r="V2088">
        <v>7.293E-3</v>
      </c>
      <c r="W2088">
        <v>1.9999999999999999E-6</v>
      </c>
      <c r="Y2088" t="s">
        <v>2</v>
      </c>
      <c r="Z2088">
        <v>3750</v>
      </c>
      <c r="AA2088">
        <v>12</v>
      </c>
      <c r="AB2088">
        <v>20</v>
      </c>
      <c r="AC2088">
        <v>0</v>
      </c>
      <c r="AD2088">
        <v>573676954</v>
      </c>
      <c r="AE2088">
        <v>929761</v>
      </c>
      <c r="AF2088">
        <v>572829925</v>
      </c>
      <c r="AG2088">
        <v>572829925</v>
      </c>
      <c r="AH2088">
        <v>-1.732E-3</v>
      </c>
      <c r="AI2088">
        <v>-1.732E-3</v>
      </c>
    </row>
    <row r="2089" spans="1:35" x14ac:dyDescent="0.35">
      <c r="A2089" t="s">
        <v>1</v>
      </c>
      <c r="B2089">
        <v>3750</v>
      </c>
      <c r="C2089">
        <v>12</v>
      </c>
      <c r="D2089">
        <v>90</v>
      </c>
      <c r="E2089">
        <v>0</v>
      </c>
      <c r="F2089">
        <v>3365397382</v>
      </c>
      <c r="G2089">
        <v>5374048.75</v>
      </c>
      <c r="H2089">
        <v>3353668872.4899998</v>
      </c>
      <c r="I2089">
        <v>3357893600.2199998</v>
      </c>
      <c r="J2089">
        <v>2.2423999999999999E-2</v>
      </c>
      <c r="K2089">
        <v>7.5680000000000001E-3</v>
      </c>
      <c r="M2089" t="s">
        <v>3</v>
      </c>
      <c r="N2089">
        <v>4500</v>
      </c>
      <c r="O2089">
        <v>12</v>
      </c>
      <c r="P2089">
        <v>1</v>
      </c>
      <c r="Q2089">
        <v>0</v>
      </c>
      <c r="R2089">
        <v>34434383</v>
      </c>
      <c r="S2089">
        <v>47958.85</v>
      </c>
      <c r="T2089">
        <v>34324970.560000002</v>
      </c>
      <c r="U2089">
        <v>34386423.740000002</v>
      </c>
      <c r="V2089">
        <v>2.1207E-2</v>
      </c>
      <c r="W2089">
        <v>0</v>
      </c>
      <c r="Y2089" t="s">
        <v>3</v>
      </c>
      <c r="Z2089">
        <v>4250</v>
      </c>
      <c r="AA2089">
        <v>14</v>
      </c>
      <c r="AB2089">
        <v>1</v>
      </c>
      <c r="AC2089">
        <v>0</v>
      </c>
      <c r="AD2089">
        <v>30049025</v>
      </c>
      <c r="AE2089">
        <v>44154.5</v>
      </c>
      <c r="AF2089">
        <v>30049025</v>
      </c>
      <c r="AG2089">
        <v>30049025</v>
      </c>
      <c r="AH2089">
        <v>-1.7776E-2</v>
      </c>
      <c r="AI2089">
        <v>-1.7776E-2</v>
      </c>
    </row>
    <row r="2090" spans="1:35" x14ac:dyDescent="0.35">
      <c r="A2090" t="s">
        <v>1</v>
      </c>
      <c r="B2090">
        <v>4000</v>
      </c>
      <c r="C2090">
        <v>12</v>
      </c>
      <c r="D2090">
        <v>686</v>
      </c>
      <c r="E2090">
        <v>0</v>
      </c>
      <c r="F2090">
        <v>24415062486</v>
      </c>
      <c r="G2090">
        <v>37300865.149999999</v>
      </c>
      <c r="H2090">
        <v>24325784351.240002</v>
      </c>
      <c r="I2090">
        <v>24350684933.810001</v>
      </c>
      <c r="J2090">
        <v>2.5250000000000002E-2</v>
      </c>
      <c r="K2090">
        <v>1.3226999999999999E-2</v>
      </c>
      <c r="M2090" t="s">
        <v>3</v>
      </c>
      <c r="N2090">
        <v>4750</v>
      </c>
      <c r="O2090">
        <v>12</v>
      </c>
      <c r="P2090">
        <v>1</v>
      </c>
      <c r="Q2090">
        <v>0</v>
      </c>
      <c r="R2090">
        <v>36651872</v>
      </c>
      <c r="S2090">
        <v>48850.86</v>
      </c>
      <c r="T2090">
        <v>36537603.770000003</v>
      </c>
      <c r="U2090">
        <v>36603020.93</v>
      </c>
      <c r="V2090">
        <v>2.1208999999999999E-2</v>
      </c>
      <c r="W2090">
        <v>0</v>
      </c>
      <c r="Y2090" t="s">
        <v>3</v>
      </c>
      <c r="Z2090">
        <v>5250</v>
      </c>
      <c r="AA2090">
        <v>12</v>
      </c>
      <c r="AB2090">
        <v>7</v>
      </c>
      <c r="AC2090">
        <v>0</v>
      </c>
      <c r="AD2090">
        <v>192209407</v>
      </c>
      <c r="AE2090">
        <v>235454.79</v>
      </c>
      <c r="AF2090">
        <v>191972680</v>
      </c>
      <c r="AG2090">
        <v>191972680</v>
      </c>
      <c r="AH2090">
        <v>7.8999999999999996E-5</v>
      </c>
      <c r="AI2090">
        <v>7.8999999999999996E-5</v>
      </c>
    </row>
    <row r="2091" spans="1:35" x14ac:dyDescent="0.35">
      <c r="A2091" t="s">
        <v>2</v>
      </c>
      <c r="B2091">
        <v>4000</v>
      </c>
      <c r="C2091">
        <v>12</v>
      </c>
      <c r="D2091">
        <v>87</v>
      </c>
      <c r="E2091">
        <v>0</v>
      </c>
      <c r="F2091">
        <v>2481703623</v>
      </c>
      <c r="G2091">
        <v>3789922.93</v>
      </c>
      <c r="H2091">
        <v>2477060231.1799998</v>
      </c>
      <c r="I2091">
        <v>2477862315.21</v>
      </c>
      <c r="J2091">
        <v>4.1190000000000003E-3</v>
      </c>
      <c r="K2091">
        <v>2.4800000000000001E-4</v>
      </c>
      <c r="M2091" t="s">
        <v>2</v>
      </c>
      <c r="N2091">
        <v>2500</v>
      </c>
      <c r="O2091">
        <v>12</v>
      </c>
      <c r="P2091">
        <v>1</v>
      </c>
      <c r="Q2091">
        <v>0</v>
      </c>
      <c r="R2091">
        <v>12921882</v>
      </c>
      <c r="S2091">
        <v>25320.95</v>
      </c>
      <c r="T2091">
        <v>12882919.34</v>
      </c>
      <c r="U2091">
        <v>12896559.9</v>
      </c>
      <c r="V2091">
        <v>1.2595E-2</v>
      </c>
      <c r="W2091">
        <v>9.9999999999999995E-7</v>
      </c>
      <c r="Y2091" t="s">
        <v>0</v>
      </c>
      <c r="Z2091">
        <v>2750</v>
      </c>
      <c r="AA2091">
        <v>12</v>
      </c>
      <c r="AB2091">
        <v>2</v>
      </c>
      <c r="AC2091">
        <v>0</v>
      </c>
      <c r="AD2091">
        <v>32738246</v>
      </c>
      <c r="AE2091">
        <v>61599.05</v>
      </c>
      <c r="AF2091">
        <v>32676552</v>
      </c>
      <c r="AG2091">
        <v>32676552</v>
      </c>
      <c r="AH2091">
        <v>3.4999999999999997E-5</v>
      </c>
      <c r="AI2091">
        <v>3.4999999999999997E-5</v>
      </c>
    </row>
    <row r="2092" spans="1:35" x14ac:dyDescent="0.35">
      <c r="A2092" t="s">
        <v>2</v>
      </c>
      <c r="B2092">
        <v>3750</v>
      </c>
      <c r="C2092">
        <v>12</v>
      </c>
      <c r="D2092">
        <v>15</v>
      </c>
      <c r="E2092">
        <v>0</v>
      </c>
      <c r="F2092">
        <v>382036346</v>
      </c>
      <c r="G2092">
        <v>621811.52</v>
      </c>
      <c r="H2092">
        <v>380772489.50999999</v>
      </c>
      <c r="I2092">
        <v>381261431.51999998</v>
      </c>
      <c r="J2092">
        <v>1.9982E-2</v>
      </c>
      <c r="K2092">
        <v>4.7980000000000002E-3</v>
      </c>
      <c r="M2092" t="s">
        <v>2</v>
      </c>
      <c r="N2092">
        <v>2250</v>
      </c>
      <c r="O2092">
        <v>12</v>
      </c>
      <c r="P2092">
        <v>1</v>
      </c>
      <c r="Q2092">
        <v>0</v>
      </c>
      <c r="R2092">
        <v>14363616</v>
      </c>
      <c r="S2092">
        <v>35098.339999999997</v>
      </c>
      <c r="T2092">
        <v>14322388.699999999</v>
      </c>
      <c r="U2092">
        <v>14328471.35</v>
      </c>
      <c r="V2092">
        <v>5.1079999999999997E-3</v>
      </c>
      <c r="W2092">
        <v>3.8999999999999999E-5</v>
      </c>
      <c r="Y2092" t="s">
        <v>1</v>
      </c>
      <c r="Z2092">
        <v>3000</v>
      </c>
      <c r="AA2092">
        <v>14</v>
      </c>
      <c r="AB2092">
        <v>3</v>
      </c>
      <c r="AC2092">
        <v>0</v>
      </c>
      <c r="AD2092">
        <v>133654747</v>
      </c>
      <c r="AE2092">
        <v>288467.55</v>
      </c>
      <c r="AF2092">
        <v>133432718</v>
      </c>
      <c r="AG2092">
        <v>133432718</v>
      </c>
      <c r="AH2092">
        <v>-5.9810000000000002E-3</v>
      </c>
      <c r="AI2092">
        <v>-5.9810000000000002E-3</v>
      </c>
    </row>
    <row r="2093" spans="1:35" x14ac:dyDescent="0.35">
      <c r="A2093" t="s">
        <v>3</v>
      </c>
      <c r="B2093">
        <v>4750</v>
      </c>
      <c r="C2093">
        <v>12</v>
      </c>
      <c r="D2093">
        <v>1</v>
      </c>
      <c r="E2093">
        <v>0</v>
      </c>
      <c r="F2093">
        <v>24755192</v>
      </c>
      <c r="G2093">
        <v>33169.370000000003</v>
      </c>
      <c r="H2093">
        <v>24650386.539999999</v>
      </c>
      <c r="I2093">
        <v>24722021.989999998</v>
      </c>
      <c r="J2093">
        <v>3.4178E-2</v>
      </c>
      <c r="K2093">
        <v>0</v>
      </c>
      <c r="M2093" t="s">
        <v>0</v>
      </c>
      <c r="N2093">
        <v>2500</v>
      </c>
      <c r="O2093">
        <v>12</v>
      </c>
      <c r="P2093">
        <v>1</v>
      </c>
      <c r="Q2093">
        <v>0</v>
      </c>
      <c r="R2093">
        <v>18489103</v>
      </c>
      <c r="S2093">
        <v>36230.14</v>
      </c>
      <c r="T2093">
        <v>18379832.07</v>
      </c>
      <c r="U2093">
        <v>18452586.379999999</v>
      </c>
      <c r="V2093">
        <v>4.6389E-2</v>
      </c>
      <c r="W2093">
        <v>1.8599999999999999E-4</v>
      </c>
      <c r="Y2093" t="s">
        <v>3</v>
      </c>
      <c r="Z2093">
        <v>4750</v>
      </c>
      <c r="AA2093">
        <v>12</v>
      </c>
      <c r="AB2093">
        <v>1</v>
      </c>
      <c r="AC2093">
        <v>0</v>
      </c>
      <c r="AD2093">
        <v>24809024</v>
      </c>
      <c r="AE2093">
        <v>33066.31</v>
      </c>
      <c r="AF2093">
        <v>24755192</v>
      </c>
      <c r="AG2093">
        <v>24755192</v>
      </c>
      <c r="AH2093">
        <v>9.9979999999999999E-3</v>
      </c>
      <c r="AI2093">
        <v>9.9979999999999999E-3</v>
      </c>
    </row>
    <row r="2094" spans="1:35" x14ac:dyDescent="0.35">
      <c r="A2094" t="s">
        <v>3</v>
      </c>
      <c r="B2094">
        <v>7750</v>
      </c>
      <c r="C2094">
        <v>12</v>
      </c>
      <c r="D2094">
        <v>1</v>
      </c>
      <c r="E2094">
        <v>0</v>
      </c>
      <c r="F2094">
        <v>19421021</v>
      </c>
      <c r="G2094">
        <v>15304.09</v>
      </c>
      <c r="H2094">
        <v>19309562.359999999</v>
      </c>
      <c r="I2094">
        <v>19405716.52</v>
      </c>
      <c r="J2094">
        <v>5.7820999999999997E-2</v>
      </c>
      <c r="K2094">
        <v>0</v>
      </c>
      <c r="M2094" t="s">
        <v>1</v>
      </c>
      <c r="N2094">
        <v>2750</v>
      </c>
      <c r="O2094">
        <v>10</v>
      </c>
      <c r="P2094">
        <v>2</v>
      </c>
      <c r="Q2094">
        <v>0</v>
      </c>
      <c r="R2094">
        <v>69316879</v>
      </c>
      <c r="S2094">
        <v>142424.84</v>
      </c>
      <c r="T2094">
        <v>68943406.939999998</v>
      </c>
      <c r="U2094">
        <v>69008462.989999995</v>
      </c>
      <c r="V2094">
        <v>3.9273000000000002E-2</v>
      </c>
      <c r="W2094">
        <v>2.8361000000000001E-2</v>
      </c>
      <c r="Y2094" t="s">
        <v>3</v>
      </c>
      <c r="Z2094">
        <v>7750</v>
      </c>
      <c r="AA2094">
        <v>12</v>
      </c>
      <c r="AB2094">
        <v>1</v>
      </c>
      <c r="AC2094">
        <v>0</v>
      </c>
      <c r="AD2094">
        <v>19436228</v>
      </c>
      <c r="AE2094">
        <v>15207.46</v>
      </c>
      <c r="AF2094">
        <v>19421021</v>
      </c>
      <c r="AG2094">
        <v>19421021</v>
      </c>
      <c r="AH2094">
        <v>0</v>
      </c>
      <c r="AI2094">
        <v>0</v>
      </c>
    </row>
    <row r="2095" spans="1:35" x14ac:dyDescent="0.35">
      <c r="A2095" t="s">
        <v>1</v>
      </c>
      <c r="B2095">
        <v>8000</v>
      </c>
      <c r="C2095">
        <v>12</v>
      </c>
      <c r="D2095">
        <v>7</v>
      </c>
      <c r="E2095">
        <v>0</v>
      </c>
      <c r="F2095">
        <v>184260421</v>
      </c>
      <c r="G2095">
        <v>137724.23000000001</v>
      </c>
      <c r="H2095">
        <v>168154212.03</v>
      </c>
      <c r="I2095">
        <v>181978685.5</v>
      </c>
      <c r="J2095">
        <v>0.66304300000000005</v>
      </c>
      <c r="K2095">
        <v>0.13103100000000001</v>
      </c>
      <c r="M2095" t="s">
        <v>0</v>
      </c>
      <c r="N2095">
        <v>3500</v>
      </c>
      <c r="O2095">
        <v>10</v>
      </c>
      <c r="P2095">
        <v>26</v>
      </c>
      <c r="Q2095">
        <v>0</v>
      </c>
      <c r="R2095">
        <v>1051954563</v>
      </c>
      <c r="S2095">
        <v>1735869.53</v>
      </c>
      <c r="T2095">
        <v>1049832007.03</v>
      </c>
      <c r="U2095">
        <v>1050212842.85</v>
      </c>
      <c r="V2095">
        <v>4.4019999999999997E-3</v>
      </c>
      <c r="W2095">
        <v>6.7000000000000002E-5</v>
      </c>
      <c r="Y2095" t="s">
        <v>1</v>
      </c>
      <c r="Z2095">
        <v>8000</v>
      </c>
      <c r="AA2095">
        <v>12</v>
      </c>
      <c r="AB2095">
        <v>5</v>
      </c>
      <c r="AC2095">
        <v>0</v>
      </c>
      <c r="AD2095">
        <v>154432679</v>
      </c>
      <c r="AE2095">
        <v>115179.52</v>
      </c>
      <c r="AF2095">
        <v>154337541</v>
      </c>
      <c r="AG2095">
        <v>154337541</v>
      </c>
      <c r="AH2095">
        <v>-1.5579999999999999E-3</v>
      </c>
      <c r="AI2095">
        <v>-1.5579999999999999E-3</v>
      </c>
    </row>
    <row r="2096" spans="1:35" x14ac:dyDescent="0.35">
      <c r="A2096" t="s">
        <v>1</v>
      </c>
      <c r="B2096">
        <v>2250</v>
      </c>
      <c r="C2096">
        <v>12</v>
      </c>
      <c r="D2096">
        <v>2</v>
      </c>
      <c r="E2096">
        <v>0</v>
      </c>
      <c r="F2096">
        <v>75369507</v>
      </c>
      <c r="G2096">
        <v>173237.3</v>
      </c>
      <c r="H2096">
        <v>75082725.700000003</v>
      </c>
      <c r="I2096">
        <v>75195958.549999997</v>
      </c>
      <c r="J2096">
        <v>1.7929E-2</v>
      </c>
      <c r="K2096">
        <v>5.0000000000000002E-5</v>
      </c>
      <c r="M2096" t="s">
        <v>1</v>
      </c>
      <c r="N2096">
        <v>3500</v>
      </c>
      <c r="O2096">
        <v>10</v>
      </c>
      <c r="P2096">
        <v>19</v>
      </c>
      <c r="Q2096">
        <v>0</v>
      </c>
      <c r="R2096">
        <v>809919085</v>
      </c>
      <c r="S2096">
        <v>1341568.76</v>
      </c>
      <c r="T2096">
        <v>797839461.23000002</v>
      </c>
      <c r="U2096">
        <v>798930521.95000005</v>
      </c>
      <c r="V2096">
        <v>0.14799399999999999</v>
      </c>
      <c r="W2096">
        <v>0.13393099999999999</v>
      </c>
      <c r="Y2096" t="s">
        <v>1</v>
      </c>
      <c r="Z2096">
        <v>4000</v>
      </c>
      <c r="AA2096">
        <v>10</v>
      </c>
      <c r="AB2096">
        <v>247</v>
      </c>
      <c r="AC2096">
        <v>0</v>
      </c>
      <c r="AD2096">
        <v>8733072893</v>
      </c>
      <c r="AE2096">
        <v>13235768.17</v>
      </c>
      <c r="AF2096">
        <v>8717138674</v>
      </c>
      <c r="AG2096">
        <v>8717138674</v>
      </c>
      <c r="AH2096">
        <v>3.702E-3</v>
      </c>
      <c r="AI2096">
        <v>3.702E-3</v>
      </c>
    </row>
    <row r="2097" spans="1:35" x14ac:dyDescent="0.35">
      <c r="A2097" t="s">
        <v>2</v>
      </c>
      <c r="B2097">
        <v>2750</v>
      </c>
      <c r="C2097">
        <v>14</v>
      </c>
      <c r="D2097">
        <v>1</v>
      </c>
      <c r="E2097">
        <v>0</v>
      </c>
      <c r="F2097">
        <v>25891392</v>
      </c>
      <c r="G2097">
        <v>49882.3</v>
      </c>
      <c r="H2097">
        <v>25799895.600000001</v>
      </c>
      <c r="I2097">
        <v>25841483.43</v>
      </c>
      <c r="J2097">
        <v>1.9116999999999999E-2</v>
      </c>
      <c r="K2097">
        <v>1.2E-5</v>
      </c>
      <c r="M2097" t="s">
        <v>1</v>
      </c>
      <c r="N2097">
        <v>3250</v>
      </c>
      <c r="O2097">
        <v>10</v>
      </c>
      <c r="P2097">
        <v>11</v>
      </c>
      <c r="Q2097">
        <v>0</v>
      </c>
      <c r="R2097">
        <v>344540782</v>
      </c>
      <c r="S2097">
        <v>591703.82999999996</v>
      </c>
      <c r="T2097">
        <v>342657514.11000001</v>
      </c>
      <c r="U2097">
        <v>343939179.14999998</v>
      </c>
      <c r="V2097">
        <v>4.4068000000000003E-2</v>
      </c>
      <c r="W2097">
        <v>3.4499999999999998E-4</v>
      </c>
      <c r="Y2097" t="s">
        <v>1</v>
      </c>
      <c r="Z2097">
        <v>2250</v>
      </c>
      <c r="AA2097">
        <v>12</v>
      </c>
      <c r="AB2097">
        <v>1</v>
      </c>
      <c r="AC2097">
        <v>0</v>
      </c>
      <c r="AD2097">
        <v>48203990</v>
      </c>
      <c r="AE2097">
        <v>109166.69</v>
      </c>
      <c r="AF2097">
        <v>48093304</v>
      </c>
      <c r="AG2097">
        <v>48093304</v>
      </c>
      <c r="AH2097">
        <v>3.7800000000000003E-4</v>
      </c>
      <c r="AI2097">
        <v>3.7800000000000003E-4</v>
      </c>
    </row>
    <row r="2098" spans="1:35" x14ac:dyDescent="0.35">
      <c r="A2098" t="s">
        <v>1</v>
      </c>
      <c r="B2098">
        <v>2750</v>
      </c>
      <c r="C2098">
        <v>12</v>
      </c>
      <c r="D2098">
        <v>3</v>
      </c>
      <c r="E2098">
        <v>0</v>
      </c>
      <c r="F2098">
        <v>113313342</v>
      </c>
      <c r="G2098">
        <v>245123.21</v>
      </c>
      <c r="H2098">
        <v>111435855.79000001</v>
      </c>
      <c r="I2098">
        <v>111922335.78</v>
      </c>
      <c r="J2098">
        <v>0.15980900000000001</v>
      </c>
      <c r="K2098">
        <v>0.11482299999999999</v>
      </c>
      <c r="M2098" t="s">
        <v>1</v>
      </c>
      <c r="N2098">
        <v>3750</v>
      </c>
      <c r="O2098">
        <v>10</v>
      </c>
      <c r="P2098">
        <v>153</v>
      </c>
      <c r="Q2098">
        <v>0</v>
      </c>
      <c r="R2098">
        <v>5898399248</v>
      </c>
      <c r="S2098">
        <v>9312635.9199999999</v>
      </c>
      <c r="T2098">
        <v>5864656876.7200003</v>
      </c>
      <c r="U2098">
        <v>5873354497.0100002</v>
      </c>
      <c r="V2098">
        <v>4.8584000000000002E-2</v>
      </c>
      <c r="W2098">
        <v>3.1541E-2</v>
      </c>
      <c r="Y2098" t="s">
        <v>2</v>
      </c>
      <c r="Z2098">
        <v>2750</v>
      </c>
      <c r="AA2098">
        <v>12</v>
      </c>
      <c r="AB2098">
        <v>1</v>
      </c>
      <c r="AC2098">
        <v>0</v>
      </c>
      <c r="AD2098">
        <v>25941370</v>
      </c>
      <c r="AE2098">
        <v>49773.61</v>
      </c>
      <c r="AF2098">
        <v>25891392</v>
      </c>
      <c r="AG2098">
        <v>25891392</v>
      </c>
      <c r="AH2098">
        <v>9.5000000000000005E-5</v>
      </c>
      <c r="AI2098">
        <v>9.5000000000000005E-5</v>
      </c>
    </row>
    <row r="2099" spans="1:35" x14ac:dyDescent="0.35">
      <c r="A2099" t="s">
        <v>2</v>
      </c>
      <c r="B2099">
        <v>3000</v>
      </c>
      <c r="C2099">
        <v>14</v>
      </c>
      <c r="D2099">
        <v>3</v>
      </c>
      <c r="E2099">
        <v>0</v>
      </c>
      <c r="F2099">
        <v>61433096</v>
      </c>
      <c r="G2099">
        <v>119838.56</v>
      </c>
      <c r="H2099">
        <v>61017052.700000003</v>
      </c>
      <c r="I2099">
        <v>61148665.950000003</v>
      </c>
      <c r="J2099">
        <v>5.6349000000000003E-2</v>
      </c>
      <c r="K2099">
        <v>3.1681000000000001E-2</v>
      </c>
      <c r="M2099" t="s">
        <v>0</v>
      </c>
      <c r="N2099">
        <v>3750</v>
      </c>
      <c r="O2099">
        <v>10</v>
      </c>
      <c r="P2099">
        <v>358</v>
      </c>
      <c r="Q2099">
        <v>0</v>
      </c>
      <c r="R2099">
        <v>12052381492</v>
      </c>
      <c r="S2099">
        <v>19023274.48</v>
      </c>
      <c r="T2099">
        <v>12029420133.68</v>
      </c>
      <c r="U2099">
        <v>12033325581.690001</v>
      </c>
      <c r="V2099">
        <v>3.9139999999999999E-3</v>
      </c>
      <c r="W2099">
        <v>3.1999999999999999E-5</v>
      </c>
      <c r="Y2099" t="s">
        <v>1</v>
      </c>
      <c r="Z2099">
        <v>2250</v>
      </c>
      <c r="AA2099">
        <v>10</v>
      </c>
      <c r="AB2099">
        <v>1</v>
      </c>
      <c r="AC2099">
        <v>0</v>
      </c>
      <c r="AD2099">
        <v>27468714</v>
      </c>
      <c r="AE2099">
        <v>64050.080000000002</v>
      </c>
      <c r="AF2099">
        <v>27276203</v>
      </c>
      <c r="AG2099">
        <v>27276203</v>
      </c>
      <c r="AH2099">
        <v>5.4697999999999997E-2</v>
      </c>
      <c r="AI2099">
        <v>5.4697999999999997E-2</v>
      </c>
    </row>
    <row r="2100" spans="1:35" x14ac:dyDescent="0.35">
      <c r="A2100" t="s">
        <v>2</v>
      </c>
      <c r="B2100">
        <v>3500</v>
      </c>
      <c r="C2100">
        <v>12</v>
      </c>
      <c r="D2100">
        <v>4</v>
      </c>
      <c r="E2100">
        <v>0</v>
      </c>
      <c r="F2100">
        <v>79050776</v>
      </c>
      <c r="G2100">
        <v>132738.71</v>
      </c>
      <c r="H2100">
        <v>78761377.290000007</v>
      </c>
      <c r="I2100">
        <v>78917175.120000005</v>
      </c>
      <c r="J2100">
        <v>2.3524E-2</v>
      </c>
      <c r="K2100">
        <v>1.3100000000000001E-4</v>
      </c>
      <c r="M2100" t="s">
        <v>2</v>
      </c>
      <c r="N2100">
        <v>3500</v>
      </c>
      <c r="O2100">
        <v>10</v>
      </c>
      <c r="P2100">
        <v>8</v>
      </c>
      <c r="Q2100">
        <v>0</v>
      </c>
      <c r="R2100">
        <v>178899179</v>
      </c>
      <c r="S2100">
        <v>295452.40000000002</v>
      </c>
      <c r="T2100">
        <v>178507128.46000001</v>
      </c>
      <c r="U2100">
        <v>178602852.46000001</v>
      </c>
      <c r="V2100">
        <v>6.4599999999999996E-3</v>
      </c>
      <c r="W2100">
        <v>5.8999999999999998E-5</v>
      </c>
      <c r="Y2100" t="s">
        <v>1</v>
      </c>
      <c r="Z2100">
        <v>2500</v>
      </c>
      <c r="AA2100">
        <v>16</v>
      </c>
      <c r="AB2100">
        <v>1</v>
      </c>
      <c r="AC2100">
        <v>0</v>
      </c>
      <c r="AD2100">
        <v>57493542</v>
      </c>
      <c r="AE2100">
        <v>124155.91</v>
      </c>
      <c r="AF2100">
        <v>57369380</v>
      </c>
      <c r="AG2100">
        <v>57369380</v>
      </c>
      <c r="AH2100">
        <v>9.9999999999999995E-7</v>
      </c>
      <c r="AI2100">
        <v>9.9999999999999995E-7</v>
      </c>
    </row>
    <row r="2101" spans="1:35" x14ac:dyDescent="0.35">
      <c r="A2101" t="s">
        <v>2</v>
      </c>
      <c r="B2101">
        <v>3250</v>
      </c>
      <c r="C2101">
        <v>12</v>
      </c>
      <c r="D2101">
        <v>3</v>
      </c>
      <c r="E2101">
        <v>0</v>
      </c>
      <c r="F2101">
        <v>45604644</v>
      </c>
      <c r="G2101">
        <v>81112.179999999993</v>
      </c>
      <c r="H2101">
        <v>45412130.810000002</v>
      </c>
      <c r="I2101">
        <v>45518419.979999997</v>
      </c>
      <c r="J2101">
        <v>2.8922E-2</v>
      </c>
      <c r="K2101">
        <v>1.3439999999999999E-3</v>
      </c>
      <c r="M2101" t="s">
        <v>0</v>
      </c>
      <c r="N2101">
        <v>3250</v>
      </c>
      <c r="O2101">
        <v>10</v>
      </c>
      <c r="P2101">
        <v>1</v>
      </c>
      <c r="Q2101">
        <v>0</v>
      </c>
      <c r="R2101">
        <v>26505934</v>
      </c>
      <c r="S2101">
        <v>45520.480000000003</v>
      </c>
      <c r="T2101">
        <v>26453384.719999999</v>
      </c>
      <c r="U2101">
        <v>26460197.809999999</v>
      </c>
      <c r="V2101">
        <v>3.1779999999999998E-3</v>
      </c>
      <c r="W2101">
        <v>9.7999999999999997E-5</v>
      </c>
      <c r="Y2101" t="s">
        <v>2</v>
      </c>
      <c r="Z2101">
        <v>3000</v>
      </c>
      <c r="AA2101">
        <v>12</v>
      </c>
      <c r="AB2101">
        <v>4</v>
      </c>
      <c r="AC2101">
        <v>0</v>
      </c>
      <c r="AD2101">
        <v>93371152</v>
      </c>
      <c r="AE2101">
        <v>182064.07</v>
      </c>
      <c r="AF2101">
        <v>93191507</v>
      </c>
      <c r="AG2101">
        <v>93191507</v>
      </c>
      <c r="AH2101">
        <v>-3.1100000000000002E-4</v>
      </c>
      <c r="AI2101">
        <v>-3.1100000000000002E-4</v>
      </c>
    </row>
    <row r="2102" spans="1:35" x14ac:dyDescent="0.35">
      <c r="A2102" t="s">
        <v>3</v>
      </c>
      <c r="B2102">
        <v>5250</v>
      </c>
      <c r="C2102">
        <v>12</v>
      </c>
      <c r="D2102">
        <v>3</v>
      </c>
      <c r="E2102">
        <v>0</v>
      </c>
      <c r="F2102">
        <v>62445479</v>
      </c>
      <c r="G2102">
        <v>76329.08</v>
      </c>
      <c r="H2102">
        <v>62266612.829999998</v>
      </c>
      <c r="I2102">
        <v>62369149.920000002</v>
      </c>
      <c r="J2102">
        <v>1.9526999999999999E-2</v>
      </c>
      <c r="K2102">
        <v>0</v>
      </c>
      <c r="M2102" t="s">
        <v>2</v>
      </c>
      <c r="N2102">
        <v>3750</v>
      </c>
      <c r="O2102">
        <v>10</v>
      </c>
      <c r="P2102">
        <v>11</v>
      </c>
      <c r="Q2102">
        <v>0</v>
      </c>
      <c r="R2102">
        <v>322114209</v>
      </c>
      <c r="S2102">
        <v>513521.94</v>
      </c>
      <c r="T2102">
        <v>321454371.70999998</v>
      </c>
      <c r="U2102">
        <v>321599759.70999998</v>
      </c>
      <c r="V2102">
        <v>5.437E-3</v>
      </c>
      <c r="W2102">
        <v>3.4999999999999997E-5</v>
      </c>
      <c r="Y2102" t="s">
        <v>0</v>
      </c>
      <c r="Z2102">
        <v>3500</v>
      </c>
      <c r="AA2102">
        <v>10</v>
      </c>
      <c r="AB2102">
        <v>21</v>
      </c>
      <c r="AC2102">
        <v>0</v>
      </c>
      <c r="AD2102">
        <v>757736706</v>
      </c>
      <c r="AE2102">
        <v>1249013</v>
      </c>
      <c r="AF2102">
        <v>756063522</v>
      </c>
      <c r="AG2102">
        <v>756063522</v>
      </c>
      <c r="AH2102">
        <v>6.6969999999999998E-3</v>
      </c>
      <c r="AI2102">
        <v>6.6969999999999998E-3</v>
      </c>
    </row>
    <row r="2103" spans="1:35" x14ac:dyDescent="0.35">
      <c r="A2103" t="s">
        <v>3</v>
      </c>
      <c r="B2103">
        <v>7000</v>
      </c>
      <c r="C2103">
        <v>14</v>
      </c>
      <c r="D2103">
        <v>1</v>
      </c>
      <c r="E2103">
        <v>0</v>
      </c>
      <c r="F2103">
        <v>24886361</v>
      </c>
      <c r="G2103">
        <v>22396.73</v>
      </c>
      <c r="H2103">
        <v>24838398.52</v>
      </c>
      <c r="I2103">
        <v>24863964.149999999</v>
      </c>
      <c r="J2103">
        <v>1.2258E-2</v>
      </c>
      <c r="K2103">
        <v>0</v>
      </c>
      <c r="M2103" t="s">
        <v>3</v>
      </c>
      <c r="N2103">
        <v>4250</v>
      </c>
      <c r="O2103">
        <v>12</v>
      </c>
      <c r="P2103">
        <v>1</v>
      </c>
      <c r="Q2103">
        <v>0</v>
      </c>
      <c r="R2103">
        <v>30181217</v>
      </c>
      <c r="S2103">
        <v>43907.92</v>
      </c>
      <c r="T2103">
        <v>30088503.870000001</v>
      </c>
      <c r="U2103">
        <v>30137308.59</v>
      </c>
      <c r="V2103">
        <v>1.9233E-2</v>
      </c>
      <c r="W2103">
        <v>0</v>
      </c>
      <c r="Y2103" t="s">
        <v>1</v>
      </c>
      <c r="Z2103">
        <v>3500</v>
      </c>
      <c r="AA2103">
        <v>10</v>
      </c>
      <c r="AB2103">
        <v>20</v>
      </c>
      <c r="AC2103">
        <v>0</v>
      </c>
      <c r="AD2103">
        <v>767913270</v>
      </c>
      <c r="AE2103">
        <v>1266366.92</v>
      </c>
      <c r="AF2103">
        <v>766959269</v>
      </c>
      <c r="AG2103">
        <v>766959269</v>
      </c>
      <c r="AH2103">
        <v>-4.8919999999999996E-3</v>
      </c>
      <c r="AI2103">
        <v>-4.8919999999999996E-3</v>
      </c>
    </row>
    <row r="2104" spans="1:35" x14ac:dyDescent="0.35">
      <c r="A2104" t="s">
        <v>2</v>
      </c>
      <c r="B2104">
        <v>2500</v>
      </c>
      <c r="C2104">
        <v>12</v>
      </c>
      <c r="D2104">
        <v>1</v>
      </c>
      <c r="E2104">
        <v>0</v>
      </c>
      <c r="F2104">
        <v>23008605</v>
      </c>
      <c r="G2104">
        <v>45086.29</v>
      </c>
      <c r="H2104">
        <v>22913765.870000001</v>
      </c>
      <c r="I2104">
        <v>22959625.190000001</v>
      </c>
      <c r="J2104">
        <v>2.5642000000000002E-2</v>
      </c>
      <c r="K2104">
        <v>2.029E-3</v>
      </c>
      <c r="M2104" t="s">
        <v>3</v>
      </c>
      <c r="N2104">
        <v>5250</v>
      </c>
      <c r="O2104">
        <v>10</v>
      </c>
      <c r="P2104">
        <v>6</v>
      </c>
      <c r="Q2104">
        <v>0</v>
      </c>
      <c r="R2104">
        <v>163805734</v>
      </c>
      <c r="S2104">
        <v>198598.6</v>
      </c>
      <c r="T2104">
        <v>162918056.97999999</v>
      </c>
      <c r="U2104">
        <v>163607128.31</v>
      </c>
      <c r="V2104">
        <v>4.9327999999999997E-2</v>
      </c>
      <c r="W2104">
        <v>9.9999999999999995E-7</v>
      </c>
      <c r="Y2104" t="s">
        <v>0</v>
      </c>
      <c r="Z2104">
        <v>3250</v>
      </c>
      <c r="AA2104">
        <v>10</v>
      </c>
      <c r="AB2104">
        <v>1</v>
      </c>
      <c r="AC2104">
        <v>0</v>
      </c>
      <c r="AD2104">
        <v>40818707</v>
      </c>
      <c r="AE2104">
        <v>70100.800000000003</v>
      </c>
      <c r="AF2104">
        <v>40748543</v>
      </c>
      <c r="AG2104">
        <v>40748543</v>
      </c>
      <c r="AH2104">
        <v>1.9000000000000001E-5</v>
      </c>
      <c r="AI2104">
        <v>1.9000000000000001E-5</v>
      </c>
    </row>
    <row r="2105" spans="1:35" x14ac:dyDescent="0.35">
      <c r="A2105" t="s">
        <v>1</v>
      </c>
      <c r="B2105">
        <v>3000</v>
      </c>
      <c r="C2105">
        <v>10</v>
      </c>
      <c r="D2105">
        <v>2</v>
      </c>
      <c r="E2105">
        <v>0</v>
      </c>
      <c r="F2105">
        <v>46067596</v>
      </c>
      <c r="G2105">
        <v>98214.3</v>
      </c>
      <c r="H2105">
        <v>45879078.649999999</v>
      </c>
      <c r="I2105">
        <v>45968030.789999999</v>
      </c>
      <c r="J2105">
        <v>2.3271E-2</v>
      </c>
      <c r="K2105">
        <v>3.5199999999999999E-4</v>
      </c>
      <c r="M2105" t="s">
        <v>2</v>
      </c>
      <c r="N2105">
        <v>7750</v>
      </c>
      <c r="O2105">
        <v>10</v>
      </c>
      <c r="P2105">
        <v>4</v>
      </c>
      <c r="Q2105">
        <v>0</v>
      </c>
      <c r="R2105">
        <v>49089256</v>
      </c>
      <c r="S2105">
        <v>37714.15</v>
      </c>
      <c r="T2105">
        <v>48760978.850000001</v>
      </c>
      <c r="U2105">
        <v>49049468.329999998</v>
      </c>
      <c r="V2105">
        <v>6.8762000000000004E-2</v>
      </c>
      <c r="W2105">
        <v>5.0699999999999996E-4</v>
      </c>
      <c r="Y2105" t="s">
        <v>2</v>
      </c>
      <c r="Z2105">
        <v>3500</v>
      </c>
      <c r="AA2105">
        <v>10</v>
      </c>
      <c r="AB2105">
        <v>3</v>
      </c>
      <c r="AC2105">
        <v>0</v>
      </c>
      <c r="AD2105">
        <v>66237341</v>
      </c>
      <c r="AE2105">
        <v>110068.12</v>
      </c>
      <c r="AF2105">
        <v>66127068</v>
      </c>
      <c r="AG2105">
        <v>66127068</v>
      </c>
      <c r="AH2105">
        <v>3.6999999999999998E-5</v>
      </c>
      <c r="AI2105">
        <v>3.6999999999999998E-5</v>
      </c>
    </row>
    <row r="2106" spans="1:35" x14ac:dyDescent="0.35">
      <c r="A2106" t="s">
        <v>2</v>
      </c>
      <c r="B2106">
        <v>3000</v>
      </c>
      <c r="C2106">
        <v>12</v>
      </c>
      <c r="D2106">
        <v>3</v>
      </c>
      <c r="E2106">
        <v>0</v>
      </c>
      <c r="F2106">
        <v>63329101</v>
      </c>
      <c r="G2106">
        <v>127575.99</v>
      </c>
      <c r="H2106">
        <v>63118606.390000001</v>
      </c>
      <c r="I2106">
        <v>63201164.359999999</v>
      </c>
      <c r="J2106">
        <v>1.5599E-2</v>
      </c>
      <c r="K2106">
        <v>6.7999999999999999E-5</v>
      </c>
      <c r="M2106" t="s">
        <v>1</v>
      </c>
      <c r="N2106">
        <v>8250</v>
      </c>
      <c r="O2106">
        <v>10</v>
      </c>
      <c r="P2106">
        <v>1</v>
      </c>
      <c r="Q2106">
        <v>0</v>
      </c>
      <c r="R2106">
        <v>42418502</v>
      </c>
      <c r="S2106">
        <v>29886.17</v>
      </c>
      <c r="T2106">
        <v>38098596.700000003</v>
      </c>
      <c r="U2106">
        <v>38150369.130000003</v>
      </c>
      <c r="V2106">
        <v>0.72181700000000004</v>
      </c>
      <c r="W2106">
        <v>0.71725000000000005</v>
      </c>
      <c r="Y2106" t="s">
        <v>2</v>
      </c>
      <c r="Z2106">
        <v>3250</v>
      </c>
      <c r="AA2106">
        <v>12</v>
      </c>
      <c r="AB2106">
        <v>4</v>
      </c>
      <c r="AC2106">
        <v>0</v>
      </c>
      <c r="AD2106">
        <v>51352499</v>
      </c>
      <c r="AE2106">
        <v>91094.35</v>
      </c>
      <c r="AF2106">
        <v>51221303</v>
      </c>
      <c r="AG2106">
        <v>51221303</v>
      </c>
      <c r="AH2106">
        <v>9.3310000000000008E-3</v>
      </c>
      <c r="AI2106">
        <v>9.3310000000000008E-3</v>
      </c>
    </row>
    <row r="2107" spans="1:35" x14ac:dyDescent="0.35">
      <c r="A2107" t="s">
        <v>0</v>
      </c>
      <c r="B2107">
        <v>3000</v>
      </c>
      <c r="C2107">
        <v>12</v>
      </c>
      <c r="D2107">
        <v>1</v>
      </c>
      <c r="E2107">
        <v>0</v>
      </c>
      <c r="F2107">
        <v>32099904</v>
      </c>
      <c r="G2107">
        <v>57721.95</v>
      </c>
      <c r="H2107">
        <v>32005233.27</v>
      </c>
      <c r="I2107">
        <v>32042157.359999999</v>
      </c>
      <c r="J2107">
        <v>1.3726E-2</v>
      </c>
      <c r="K2107">
        <v>9.0000000000000002E-6</v>
      </c>
      <c r="M2107" t="s">
        <v>1</v>
      </c>
      <c r="N2107">
        <v>3750</v>
      </c>
      <c r="O2107">
        <v>9</v>
      </c>
      <c r="P2107">
        <v>64</v>
      </c>
      <c r="Q2107">
        <v>0</v>
      </c>
      <c r="R2107">
        <v>2523346342</v>
      </c>
      <c r="S2107">
        <v>4000754.04</v>
      </c>
      <c r="T2107">
        <v>2514671809.7800002</v>
      </c>
      <c r="U2107">
        <v>2519237468.0500002</v>
      </c>
      <c r="V2107">
        <v>2.2002000000000001E-2</v>
      </c>
      <c r="W2107">
        <v>5.1400000000000003E-4</v>
      </c>
      <c r="Y2107" t="s">
        <v>1</v>
      </c>
      <c r="Z2107">
        <v>3250</v>
      </c>
      <c r="AA2107">
        <v>10</v>
      </c>
      <c r="AB2107">
        <v>5</v>
      </c>
      <c r="AC2107">
        <v>0</v>
      </c>
      <c r="AD2107">
        <v>109017479</v>
      </c>
      <c r="AE2107">
        <v>193295.15</v>
      </c>
      <c r="AF2107">
        <v>108901913</v>
      </c>
      <c r="AG2107">
        <v>108901913</v>
      </c>
      <c r="AH2107">
        <v>-8.5900000000000004E-3</v>
      </c>
      <c r="AI2107">
        <v>-8.5900000000000004E-3</v>
      </c>
    </row>
    <row r="2108" spans="1:35" x14ac:dyDescent="0.35">
      <c r="A2108" t="s">
        <v>1</v>
      </c>
      <c r="B2108">
        <v>3500</v>
      </c>
      <c r="C2108">
        <v>10</v>
      </c>
      <c r="D2108">
        <v>8</v>
      </c>
      <c r="E2108">
        <v>0</v>
      </c>
      <c r="F2108">
        <v>283935777</v>
      </c>
      <c r="G2108">
        <v>490058.62</v>
      </c>
      <c r="H2108">
        <v>283061562.36000001</v>
      </c>
      <c r="I2108">
        <v>283386304.30000001</v>
      </c>
      <c r="J2108">
        <v>1.6115000000000001E-2</v>
      </c>
      <c r="K2108">
        <v>2.5079999999999998E-3</v>
      </c>
      <c r="M2108" t="s">
        <v>2</v>
      </c>
      <c r="N2108">
        <v>2250</v>
      </c>
      <c r="O2108">
        <v>20</v>
      </c>
      <c r="P2108">
        <v>1</v>
      </c>
      <c r="Q2108">
        <v>0</v>
      </c>
      <c r="R2108">
        <v>21352213</v>
      </c>
      <c r="S2108">
        <v>51728.18</v>
      </c>
      <c r="T2108">
        <v>21135682.170000002</v>
      </c>
      <c r="U2108">
        <v>21300449.84</v>
      </c>
      <c r="V2108">
        <v>8.8787000000000005E-2</v>
      </c>
      <c r="W2108">
        <v>2.0000000000000002E-5</v>
      </c>
      <c r="Y2108" t="s">
        <v>2</v>
      </c>
      <c r="Z2108">
        <v>4000</v>
      </c>
      <c r="AA2108">
        <v>10</v>
      </c>
      <c r="AB2108">
        <v>40</v>
      </c>
      <c r="AC2108">
        <v>0</v>
      </c>
      <c r="AD2108">
        <v>1150213270</v>
      </c>
      <c r="AE2108">
        <v>1744269.51</v>
      </c>
      <c r="AF2108">
        <v>1148421258</v>
      </c>
      <c r="AG2108">
        <v>1148421258</v>
      </c>
      <c r="AH2108">
        <v>4.9799999999999996E-4</v>
      </c>
      <c r="AI2108">
        <v>4.9799999999999996E-4</v>
      </c>
    </row>
    <row r="2109" spans="1:35" x14ac:dyDescent="0.35">
      <c r="A2109" t="s">
        <v>0</v>
      </c>
      <c r="B2109">
        <v>3500</v>
      </c>
      <c r="C2109">
        <v>10</v>
      </c>
      <c r="D2109">
        <v>5</v>
      </c>
      <c r="E2109">
        <v>0</v>
      </c>
      <c r="F2109">
        <v>154863845</v>
      </c>
      <c r="G2109">
        <v>256379.64</v>
      </c>
      <c r="H2109">
        <v>154579536.74000001</v>
      </c>
      <c r="I2109">
        <v>154600085.69999999</v>
      </c>
      <c r="J2109">
        <v>2.1619999999999999E-3</v>
      </c>
      <c r="K2109">
        <v>5.7200000000000003E-4</v>
      </c>
      <c r="M2109" t="s">
        <v>0</v>
      </c>
      <c r="N2109">
        <v>3250</v>
      </c>
      <c r="O2109">
        <v>9</v>
      </c>
      <c r="P2109">
        <v>2</v>
      </c>
      <c r="Q2109">
        <v>0</v>
      </c>
      <c r="R2109">
        <v>48312635</v>
      </c>
      <c r="S2109">
        <v>84355.6</v>
      </c>
      <c r="T2109">
        <v>48208274.539999999</v>
      </c>
      <c r="U2109">
        <v>48228024.75</v>
      </c>
      <c r="V2109">
        <v>4.9579999999999997E-3</v>
      </c>
      <c r="W2109">
        <v>6.3E-5</v>
      </c>
      <c r="Y2109" t="s">
        <v>0</v>
      </c>
      <c r="Z2109">
        <v>4000</v>
      </c>
      <c r="AA2109">
        <v>10</v>
      </c>
      <c r="AB2109">
        <v>861</v>
      </c>
      <c r="AC2109">
        <v>0</v>
      </c>
      <c r="AD2109">
        <v>27931098220</v>
      </c>
      <c r="AE2109">
        <v>42315297.479999997</v>
      </c>
      <c r="AF2109">
        <v>27885761672</v>
      </c>
      <c r="AG2109">
        <v>27885761672</v>
      </c>
      <c r="AH2109">
        <v>1.297E-3</v>
      </c>
      <c r="AI2109">
        <v>1.297E-3</v>
      </c>
    </row>
    <row r="2110" spans="1:35" x14ac:dyDescent="0.35">
      <c r="A2110" t="s">
        <v>1</v>
      </c>
      <c r="B2110">
        <v>3750</v>
      </c>
      <c r="C2110">
        <v>10</v>
      </c>
      <c r="D2110">
        <v>34</v>
      </c>
      <c r="E2110">
        <v>0</v>
      </c>
      <c r="F2110">
        <v>1206994839</v>
      </c>
      <c r="G2110">
        <v>1928505.21</v>
      </c>
      <c r="H2110">
        <v>1202632184.3299999</v>
      </c>
      <c r="I2110">
        <v>1204656370.95</v>
      </c>
      <c r="J2110">
        <v>2.3934E-2</v>
      </c>
      <c r="K2110">
        <v>4.0679999999999996E-3</v>
      </c>
      <c r="M2110" t="s">
        <v>0</v>
      </c>
      <c r="N2110">
        <v>2750</v>
      </c>
      <c r="O2110">
        <v>10</v>
      </c>
      <c r="P2110">
        <v>2</v>
      </c>
      <c r="Q2110">
        <v>0</v>
      </c>
      <c r="R2110">
        <v>32936650</v>
      </c>
      <c r="S2110">
        <v>61458.81</v>
      </c>
      <c r="T2110">
        <v>32851149.100000001</v>
      </c>
      <c r="U2110">
        <v>32874788.170000002</v>
      </c>
      <c r="V2110">
        <v>8.7240000000000009E-3</v>
      </c>
      <c r="W2110">
        <v>1.47E-4</v>
      </c>
      <c r="Y2110" t="s">
        <v>0</v>
      </c>
      <c r="Z2110">
        <v>4250</v>
      </c>
      <c r="AA2110">
        <v>10</v>
      </c>
      <c r="AB2110">
        <v>293</v>
      </c>
      <c r="AC2110">
        <v>0</v>
      </c>
      <c r="AD2110">
        <v>9869779027</v>
      </c>
      <c r="AE2110">
        <v>14354533.01</v>
      </c>
      <c r="AF2110">
        <v>9855349387</v>
      </c>
      <c r="AG2110">
        <v>9855349387</v>
      </c>
      <c r="AH2110">
        <v>9.1000000000000003E-5</v>
      </c>
      <c r="AI2110">
        <v>9.1000000000000003E-5</v>
      </c>
    </row>
    <row r="2111" spans="1:35" x14ac:dyDescent="0.35">
      <c r="A2111" t="s">
        <v>0</v>
      </c>
      <c r="B2111">
        <v>3250</v>
      </c>
      <c r="C2111">
        <v>10</v>
      </c>
      <c r="D2111">
        <v>4</v>
      </c>
      <c r="E2111">
        <v>0</v>
      </c>
      <c r="F2111">
        <v>106204048</v>
      </c>
      <c r="G2111">
        <v>182950.92</v>
      </c>
      <c r="H2111">
        <v>105871917.61</v>
      </c>
      <c r="I2111">
        <v>105957648.27</v>
      </c>
      <c r="J2111">
        <v>1.6726000000000001E-2</v>
      </c>
      <c r="K2111">
        <v>7.1459999999999996E-3</v>
      </c>
      <c r="M2111" t="s">
        <v>1</v>
      </c>
      <c r="N2111">
        <v>3000</v>
      </c>
      <c r="O2111">
        <v>12</v>
      </c>
      <c r="P2111">
        <v>2</v>
      </c>
      <c r="Q2111">
        <v>0</v>
      </c>
      <c r="R2111">
        <v>103497180</v>
      </c>
      <c r="S2111">
        <v>220421.5</v>
      </c>
      <c r="T2111">
        <v>103152212.84999999</v>
      </c>
      <c r="U2111">
        <v>103275644.43000001</v>
      </c>
      <c r="V2111">
        <v>1.4345E-2</v>
      </c>
      <c r="W2111">
        <v>1.2899999999999999E-4</v>
      </c>
      <c r="Y2111" t="s">
        <v>1</v>
      </c>
      <c r="Z2111">
        <v>3750</v>
      </c>
      <c r="AA2111">
        <v>10</v>
      </c>
      <c r="AB2111">
        <v>30</v>
      </c>
      <c r="AC2111">
        <v>0</v>
      </c>
      <c r="AD2111">
        <v>1074652557</v>
      </c>
      <c r="AE2111">
        <v>1702994.95</v>
      </c>
      <c r="AF2111">
        <v>1072929631</v>
      </c>
      <c r="AG2111">
        <v>1072929631</v>
      </c>
      <c r="AH2111">
        <v>2.23E-4</v>
      </c>
      <c r="AI2111">
        <v>2.23E-4</v>
      </c>
    </row>
    <row r="2112" spans="1:35" x14ac:dyDescent="0.35">
      <c r="A2112" t="s">
        <v>1</v>
      </c>
      <c r="B2112">
        <v>3250</v>
      </c>
      <c r="C2112">
        <v>10</v>
      </c>
      <c r="D2112">
        <v>5</v>
      </c>
      <c r="E2112">
        <v>0</v>
      </c>
      <c r="F2112">
        <v>96059157</v>
      </c>
      <c r="G2112">
        <v>177880.83</v>
      </c>
      <c r="H2112">
        <v>95563650.659999996</v>
      </c>
      <c r="I2112">
        <v>95859510.540000007</v>
      </c>
      <c r="J2112">
        <v>3.8965E-2</v>
      </c>
      <c r="K2112">
        <v>2.7160000000000001E-3</v>
      </c>
      <c r="M2112" t="s">
        <v>1</v>
      </c>
      <c r="N2112">
        <v>3250</v>
      </c>
      <c r="O2112">
        <v>9</v>
      </c>
      <c r="P2112">
        <v>11</v>
      </c>
      <c r="Q2112">
        <v>0</v>
      </c>
      <c r="R2112">
        <v>323011284</v>
      </c>
      <c r="S2112">
        <v>552378.09</v>
      </c>
      <c r="T2112">
        <v>319722647.98000002</v>
      </c>
      <c r="U2112">
        <v>320210056.10000002</v>
      </c>
      <c r="V2112">
        <v>9.7047999999999995E-2</v>
      </c>
      <c r="W2112">
        <v>8.0420000000000005E-2</v>
      </c>
      <c r="Y2112" t="s">
        <v>1</v>
      </c>
      <c r="Z2112">
        <v>4250</v>
      </c>
      <c r="AA2112">
        <v>10</v>
      </c>
      <c r="AB2112">
        <v>119</v>
      </c>
      <c r="AC2112">
        <v>0</v>
      </c>
      <c r="AD2112">
        <v>4148311535</v>
      </c>
      <c r="AE2112">
        <v>6029058.5499999998</v>
      </c>
      <c r="AF2112">
        <v>4115324292</v>
      </c>
      <c r="AG2112">
        <v>4115324292</v>
      </c>
      <c r="AH2112">
        <v>7.5255000000000002E-2</v>
      </c>
      <c r="AI2112">
        <v>7.5255000000000002E-2</v>
      </c>
    </row>
    <row r="2113" spans="1:35" x14ac:dyDescent="0.35">
      <c r="A2113" t="s">
        <v>0</v>
      </c>
      <c r="B2113">
        <v>4250</v>
      </c>
      <c r="C2113">
        <v>10</v>
      </c>
      <c r="D2113">
        <v>395</v>
      </c>
      <c r="E2113">
        <v>0</v>
      </c>
      <c r="F2113">
        <v>13077209247</v>
      </c>
      <c r="G2113">
        <v>19027907.82</v>
      </c>
      <c r="H2113">
        <v>13054335841.33</v>
      </c>
      <c r="I2113">
        <v>13057587946.559999</v>
      </c>
      <c r="J2113">
        <v>3.5230000000000001E-3</v>
      </c>
      <c r="K2113">
        <v>5.44E-4</v>
      </c>
      <c r="M2113" t="s">
        <v>0</v>
      </c>
      <c r="N2113">
        <v>3500</v>
      </c>
      <c r="O2113">
        <v>9</v>
      </c>
      <c r="P2113">
        <v>8</v>
      </c>
      <c r="Q2113">
        <v>0</v>
      </c>
      <c r="R2113">
        <v>317503366</v>
      </c>
      <c r="S2113">
        <v>520747.16</v>
      </c>
      <c r="T2113">
        <v>316840561.38</v>
      </c>
      <c r="U2113">
        <v>316978874.83999997</v>
      </c>
      <c r="V2113">
        <v>5.3559999999999997E-3</v>
      </c>
      <c r="W2113">
        <v>1.4100000000000001E-4</v>
      </c>
      <c r="Y2113" t="s">
        <v>2</v>
      </c>
      <c r="Z2113">
        <v>4250</v>
      </c>
      <c r="AA2113">
        <v>10</v>
      </c>
      <c r="AB2113">
        <v>12</v>
      </c>
      <c r="AC2113">
        <v>0</v>
      </c>
      <c r="AD2113">
        <v>322573125</v>
      </c>
      <c r="AE2113">
        <v>467645.04</v>
      </c>
      <c r="AF2113">
        <v>322230261</v>
      </c>
      <c r="AG2113">
        <v>322230261</v>
      </c>
      <c r="AH2113">
        <v>-4.6519999999999999E-3</v>
      </c>
      <c r="AI2113">
        <v>-4.6519999999999999E-3</v>
      </c>
    </row>
    <row r="2114" spans="1:35" x14ac:dyDescent="0.35">
      <c r="A2114" t="s">
        <v>1</v>
      </c>
      <c r="B2114">
        <v>4000</v>
      </c>
      <c r="C2114">
        <v>10</v>
      </c>
      <c r="D2114">
        <v>206</v>
      </c>
      <c r="E2114">
        <v>0</v>
      </c>
      <c r="F2114">
        <v>7398726392</v>
      </c>
      <c r="G2114">
        <v>11205252.85</v>
      </c>
      <c r="H2114">
        <v>7375655328.1199999</v>
      </c>
      <c r="I2114">
        <v>7380937154.54</v>
      </c>
      <c r="J2114">
        <v>1.9075999999999999E-2</v>
      </c>
      <c r="K2114">
        <v>1.0626E-2</v>
      </c>
      <c r="M2114" t="s">
        <v>0</v>
      </c>
      <c r="N2114">
        <v>3750</v>
      </c>
      <c r="O2114">
        <v>9</v>
      </c>
      <c r="P2114">
        <v>126</v>
      </c>
      <c r="Q2114">
        <v>0</v>
      </c>
      <c r="R2114">
        <v>4246079377</v>
      </c>
      <c r="S2114">
        <v>6671570.6399999997</v>
      </c>
      <c r="T2114">
        <v>4237745305.48</v>
      </c>
      <c r="U2114">
        <v>4239405748.5900002</v>
      </c>
      <c r="V2114">
        <v>4.6880000000000003E-3</v>
      </c>
      <c r="W2114">
        <v>6.0000000000000002E-6</v>
      </c>
      <c r="Y2114" t="s">
        <v>2</v>
      </c>
      <c r="Z2114">
        <v>3750</v>
      </c>
      <c r="AA2114">
        <v>10</v>
      </c>
      <c r="AB2114">
        <v>6</v>
      </c>
      <c r="AC2114">
        <v>0</v>
      </c>
      <c r="AD2114">
        <v>129917818</v>
      </c>
      <c r="AE2114">
        <v>206607.29</v>
      </c>
      <c r="AF2114">
        <v>129741394</v>
      </c>
      <c r="AG2114">
        <v>129741394</v>
      </c>
      <c r="AH2114">
        <v>-2.7910000000000001E-3</v>
      </c>
      <c r="AI2114">
        <v>-2.7910000000000001E-3</v>
      </c>
    </row>
    <row r="2115" spans="1:35" x14ac:dyDescent="0.35">
      <c r="A2115" t="s">
        <v>1</v>
      </c>
      <c r="B2115">
        <v>4250</v>
      </c>
      <c r="C2115">
        <v>10</v>
      </c>
      <c r="D2115">
        <v>149</v>
      </c>
      <c r="E2115">
        <v>0</v>
      </c>
      <c r="F2115">
        <v>5380973248</v>
      </c>
      <c r="G2115">
        <v>7824752.1600000001</v>
      </c>
      <c r="H2115">
        <v>5359608021.8000002</v>
      </c>
      <c r="I2115">
        <v>5364505016.8999996</v>
      </c>
      <c r="J2115">
        <v>2.9781999999999999E-2</v>
      </c>
      <c r="K2115">
        <v>1.9106000000000001E-2</v>
      </c>
      <c r="M2115" t="s">
        <v>1</v>
      </c>
      <c r="N2115">
        <v>3500</v>
      </c>
      <c r="O2115">
        <v>9</v>
      </c>
      <c r="P2115">
        <v>16</v>
      </c>
      <c r="Q2115">
        <v>0</v>
      </c>
      <c r="R2115">
        <v>771655879</v>
      </c>
      <c r="S2115">
        <v>1267727.51</v>
      </c>
      <c r="T2115">
        <v>763516366.25</v>
      </c>
      <c r="U2115">
        <v>765878193.59000003</v>
      </c>
      <c r="V2115">
        <v>0.101781</v>
      </c>
      <c r="W2115">
        <v>6.7922999999999997E-2</v>
      </c>
      <c r="Y2115" t="s">
        <v>3</v>
      </c>
      <c r="Z2115">
        <v>5500</v>
      </c>
      <c r="AA2115">
        <v>10</v>
      </c>
      <c r="AB2115">
        <v>4</v>
      </c>
      <c r="AC2115">
        <v>0</v>
      </c>
      <c r="AD2115">
        <v>84050342</v>
      </c>
      <c r="AE2115">
        <v>97390.720000000001</v>
      </c>
      <c r="AF2115">
        <v>83952550</v>
      </c>
      <c r="AG2115">
        <v>83952550</v>
      </c>
      <c r="AH2115">
        <v>5.7000000000000003E-5</v>
      </c>
      <c r="AI2115">
        <v>5.7000000000000003E-5</v>
      </c>
    </row>
    <row r="2116" spans="1:35" x14ac:dyDescent="0.35">
      <c r="A2116" t="s">
        <v>2</v>
      </c>
      <c r="B2116">
        <v>4000</v>
      </c>
      <c r="C2116">
        <v>10</v>
      </c>
      <c r="D2116">
        <v>24</v>
      </c>
      <c r="E2116">
        <v>0</v>
      </c>
      <c r="F2116">
        <v>685415086</v>
      </c>
      <c r="G2116">
        <v>1039578.45</v>
      </c>
      <c r="H2116">
        <v>684094912.63</v>
      </c>
      <c r="I2116">
        <v>684269892.69000006</v>
      </c>
      <c r="J2116">
        <v>4.9020000000000001E-3</v>
      </c>
      <c r="K2116">
        <v>1.848E-3</v>
      </c>
      <c r="M2116" t="s">
        <v>1</v>
      </c>
      <c r="N2116">
        <v>4000</v>
      </c>
      <c r="O2116">
        <v>9</v>
      </c>
      <c r="P2116">
        <v>440</v>
      </c>
      <c r="Q2116">
        <v>0</v>
      </c>
      <c r="R2116">
        <v>15780790269</v>
      </c>
      <c r="S2116">
        <v>23804484.109999999</v>
      </c>
      <c r="T2116">
        <v>15732257435.59</v>
      </c>
      <c r="U2116">
        <v>15748266261.66</v>
      </c>
      <c r="V2116">
        <v>1.8643E-2</v>
      </c>
      <c r="W2116">
        <v>6.6100000000000004E-3</v>
      </c>
      <c r="Y2116" t="s">
        <v>3</v>
      </c>
      <c r="Z2116">
        <v>5250</v>
      </c>
      <c r="AA2116">
        <v>10</v>
      </c>
      <c r="AB2116">
        <v>2</v>
      </c>
      <c r="AC2116">
        <v>0</v>
      </c>
      <c r="AD2116">
        <v>33718695</v>
      </c>
      <c r="AE2116">
        <v>40880.65</v>
      </c>
      <c r="AF2116">
        <v>33676950</v>
      </c>
      <c r="AG2116">
        <v>33676950</v>
      </c>
      <c r="AH2116">
        <v>3.0800000000000001E-4</v>
      </c>
      <c r="AI2116">
        <v>3.0800000000000001E-4</v>
      </c>
    </row>
    <row r="2117" spans="1:35" x14ac:dyDescent="0.35">
      <c r="A2117" t="s">
        <v>2</v>
      </c>
      <c r="B2117">
        <v>3750</v>
      </c>
      <c r="C2117">
        <v>10</v>
      </c>
      <c r="D2117">
        <v>10</v>
      </c>
      <c r="E2117">
        <v>0</v>
      </c>
      <c r="F2117">
        <v>247341201</v>
      </c>
      <c r="G2117">
        <v>392461.8</v>
      </c>
      <c r="H2117">
        <v>246750703.09</v>
      </c>
      <c r="I2117">
        <v>246945284.03</v>
      </c>
      <c r="J2117">
        <v>9.5659999999999999E-3</v>
      </c>
      <c r="K2117">
        <v>1.6799999999999999E-4</v>
      </c>
      <c r="M2117" t="s">
        <v>2</v>
      </c>
      <c r="N2117">
        <v>4000</v>
      </c>
      <c r="O2117">
        <v>9</v>
      </c>
      <c r="P2117">
        <v>47</v>
      </c>
      <c r="Q2117">
        <v>0</v>
      </c>
      <c r="R2117">
        <v>1339277481</v>
      </c>
      <c r="S2117">
        <v>2019609.26</v>
      </c>
      <c r="T2117">
        <v>1336736086.8900001</v>
      </c>
      <c r="U2117">
        <v>1337249748.8099999</v>
      </c>
      <c r="V2117">
        <v>4.6649999999999999E-3</v>
      </c>
      <c r="W2117">
        <v>7.2999999999999999E-5</v>
      </c>
      <c r="Y2117" t="s">
        <v>1</v>
      </c>
      <c r="Z2117">
        <v>8000</v>
      </c>
      <c r="AA2117">
        <v>10</v>
      </c>
      <c r="AB2117">
        <v>3</v>
      </c>
      <c r="AC2117">
        <v>0</v>
      </c>
      <c r="AD2117">
        <v>35740478</v>
      </c>
      <c r="AE2117">
        <v>25910.91</v>
      </c>
      <c r="AF2117">
        <v>29922880</v>
      </c>
      <c r="AG2117">
        <v>35720058.149999999</v>
      </c>
      <c r="AH2117">
        <v>0.88015299999999996</v>
      </c>
      <c r="AI2117">
        <v>-1.8450000000000001E-3</v>
      </c>
    </row>
    <row r="2118" spans="1:35" x14ac:dyDescent="0.35">
      <c r="A2118" t="s">
        <v>0</v>
      </c>
      <c r="B2118">
        <v>3750</v>
      </c>
      <c r="C2118">
        <v>10</v>
      </c>
      <c r="D2118">
        <v>51</v>
      </c>
      <c r="E2118">
        <v>0</v>
      </c>
      <c r="F2118">
        <v>1660303571</v>
      </c>
      <c r="G2118">
        <v>2619950.41</v>
      </c>
      <c r="H2118">
        <v>1657238084.1400001</v>
      </c>
      <c r="I2118">
        <v>1657555972.72</v>
      </c>
      <c r="J2118">
        <v>3.215E-3</v>
      </c>
      <c r="K2118">
        <v>9.2199999999999997E-4</v>
      </c>
      <c r="M2118" t="s">
        <v>2</v>
      </c>
      <c r="N2118">
        <v>3750</v>
      </c>
      <c r="O2118">
        <v>9</v>
      </c>
      <c r="P2118">
        <v>9</v>
      </c>
      <c r="Q2118">
        <v>0</v>
      </c>
      <c r="R2118">
        <v>253400003</v>
      </c>
      <c r="S2118">
        <v>410436.17</v>
      </c>
      <c r="T2118">
        <v>252580045.15000001</v>
      </c>
      <c r="U2118">
        <v>252850815.41</v>
      </c>
      <c r="V2118">
        <v>1.9222E-2</v>
      </c>
      <c r="W2118">
        <v>6.5510000000000004E-3</v>
      </c>
      <c r="Y2118" t="s">
        <v>2</v>
      </c>
      <c r="Z2118">
        <v>2500</v>
      </c>
      <c r="AA2118">
        <v>12</v>
      </c>
      <c r="AB2118">
        <v>1</v>
      </c>
      <c r="AC2118">
        <v>0</v>
      </c>
      <c r="AD2118">
        <v>22965115</v>
      </c>
      <c r="AE2118">
        <v>44819.87</v>
      </c>
      <c r="AF2118">
        <v>23008605</v>
      </c>
      <c r="AG2118">
        <v>23008605</v>
      </c>
      <c r="AH2118">
        <v>-4.7133000000000001E-2</v>
      </c>
      <c r="AI2118">
        <v>-4.7133000000000001E-2</v>
      </c>
    </row>
    <row r="2119" spans="1:35" x14ac:dyDescent="0.35">
      <c r="A2119" t="s">
        <v>0</v>
      </c>
      <c r="B2119">
        <v>4500</v>
      </c>
      <c r="C2119">
        <v>10</v>
      </c>
      <c r="D2119">
        <v>1071</v>
      </c>
      <c r="E2119">
        <v>0</v>
      </c>
      <c r="F2119">
        <v>34079710247</v>
      </c>
      <c r="G2119">
        <v>47355406.240000002</v>
      </c>
      <c r="H2119">
        <v>34008535618.990002</v>
      </c>
      <c r="I2119">
        <v>34019790757.610001</v>
      </c>
      <c r="J2119">
        <v>8.3549999999999996E-3</v>
      </c>
      <c r="K2119">
        <v>4.4149999999999997E-3</v>
      </c>
      <c r="M2119" t="s">
        <v>1</v>
      </c>
      <c r="N2119">
        <v>4500</v>
      </c>
      <c r="O2119">
        <v>9</v>
      </c>
      <c r="P2119">
        <v>501</v>
      </c>
      <c r="Q2119">
        <v>0</v>
      </c>
      <c r="R2119">
        <v>17331090039</v>
      </c>
      <c r="S2119">
        <v>23964680.949999999</v>
      </c>
      <c r="T2119">
        <v>17270787972.310001</v>
      </c>
      <c r="U2119">
        <v>17294957217.48</v>
      </c>
      <c r="V2119">
        <v>2.4871999999999998E-2</v>
      </c>
      <c r="W2119">
        <v>8.3929999999999994E-3</v>
      </c>
      <c r="Y2119" t="s">
        <v>1</v>
      </c>
      <c r="Z2119">
        <v>3000</v>
      </c>
      <c r="AA2119">
        <v>9</v>
      </c>
      <c r="AB2119">
        <v>2</v>
      </c>
      <c r="AC2119">
        <v>0</v>
      </c>
      <c r="AD2119">
        <v>46165570</v>
      </c>
      <c r="AE2119">
        <v>97973.47</v>
      </c>
      <c r="AF2119">
        <v>46067596</v>
      </c>
      <c r="AG2119">
        <v>46067596</v>
      </c>
      <c r="AH2119">
        <v>0</v>
      </c>
      <c r="AI2119">
        <v>0</v>
      </c>
    </row>
    <row r="2120" spans="1:35" x14ac:dyDescent="0.35">
      <c r="A2120" t="s">
        <v>1</v>
      </c>
      <c r="B2120">
        <v>4500</v>
      </c>
      <c r="C2120">
        <v>10</v>
      </c>
      <c r="D2120">
        <v>355</v>
      </c>
      <c r="E2120">
        <v>0</v>
      </c>
      <c r="F2120">
        <v>11673451422</v>
      </c>
      <c r="G2120">
        <v>16223847.43</v>
      </c>
      <c r="H2120">
        <v>11630216025.93</v>
      </c>
      <c r="I2120">
        <v>11644436887.610001</v>
      </c>
      <c r="J2120">
        <v>2.7415999999999999E-2</v>
      </c>
      <c r="K2120">
        <v>1.307E-2</v>
      </c>
      <c r="M2120" t="s">
        <v>3</v>
      </c>
      <c r="N2120">
        <v>4750</v>
      </c>
      <c r="O2120">
        <v>9</v>
      </c>
      <c r="P2120">
        <v>1</v>
      </c>
      <c r="Q2120">
        <v>0</v>
      </c>
      <c r="R2120">
        <v>24916051</v>
      </c>
      <c r="S2120">
        <v>32860.53</v>
      </c>
      <c r="T2120">
        <v>24848014.699999999</v>
      </c>
      <c r="U2120">
        <v>24883188.149999999</v>
      </c>
      <c r="V2120">
        <v>1.6809999999999999E-2</v>
      </c>
      <c r="W2120">
        <v>9.9999999999999995E-7</v>
      </c>
      <c r="Y2120" t="s">
        <v>2</v>
      </c>
      <c r="Z2120">
        <v>3000</v>
      </c>
      <c r="AA2120">
        <v>14</v>
      </c>
      <c r="AB2120">
        <v>1</v>
      </c>
      <c r="AC2120">
        <v>0</v>
      </c>
      <c r="AD2120">
        <v>20963242</v>
      </c>
      <c r="AE2120">
        <v>45460.85</v>
      </c>
      <c r="AF2120">
        <v>20519784</v>
      </c>
      <c r="AG2120">
        <v>20519784</v>
      </c>
      <c r="AH2120">
        <v>0.20547899999999999</v>
      </c>
      <c r="AI2120">
        <v>0.20547899999999999</v>
      </c>
    </row>
    <row r="2121" spans="1:35" x14ac:dyDescent="0.35">
      <c r="A2121" t="s">
        <v>2</v>
      </c>
      <c r="B2121">
        <v>4500</v>
      </c>
      <c r="C2121">
        <v>10</v>
      </c>
      <c r="D2121">
        <v>51</v>
      </c>
      <c r="E2121">
        <v>0</v>
      </c>
      <c r="F2121">
        <v>1394725683</v>
      </c>
      <c r="G2121">
        <v>1934644.81</v>
      </c>
      <c r="H2121">
        <v>1392437607.25</v>
      </c>
      <c r="I2121">
        <v>1392784939.5799999</v>
      </c>
      <c r="J2121">
        <v>3.0370000000000002E-3</v>
      </c>
      <c r="K2121">
        <v>5.1999999999999997E-5</v>
      </c>
      <c r="M2121" t="s">
        <v>3</v>
      </c>
      <c r="N2121">
        <v>7250</v>
      </c>
      <c r="O2121">
        <v>9</v>
      </c>
      <c r="P2121">
        <v>2</v>
      </c>
      <c r="Q2121">
        <v>0</v>
      </c>
      <c r="R2121">
        <v>55911544</v>
      </c>
      <c r="S2121">
        <v>47508.61</v>
      </c>
      <c r="T2121">
        <v>55835272.420000002</v>
      </c>
      <c r="U2121">
        <v>55864032.390000001</v>
      </c>
      <c r="V2121">
        <v>6.156E-3</v>
      </c>
      <c r="W2121">
        <v>9.9999999999999995E-7</v>
      </c>
      <c r="Y2121" t="s">
        <v>1</v>
      </c>
      <c r="Z2121">
        <v>2750</v>
      </c>
      <c r="AA2121">
        <v>10</v>
      </c>
      <c r="AB2121">
        <v>1</v>
      </c>
      <c r="AC2121">
        <v>0</v>
      </c>
      <c r="AD2121">
        <v>43833146</v>
      </c>
      <c r="AE2121">
        <v>92578.95</v>
      </c>
      <c r="AF2121">
        <v>43833146</v>
      </c>
      <c r="AG2121">
        <v>43833146</v>
      </c>
      <c r="AH2121">
        <v>-2.5641000000000001E-2</v>
      </c>
      <c r="AI2121">
        <v>-2.5641000000000001E-2</v>
      </c>
    </row>
    <row r="2122" spans="1:35" x14ac:dyDescent="0.35">
      <c r="A2122" t="s">
        <v>2</v>
      </c>
      <c r="B2122">
        <v>4250</v>
      </c>
      <c r="C2122">
        <v>10</v>
      </c>
      <c r="D2122">
        <v>10</v>
      </c>
      <c r="E2122">
        <v>0</v>
      </c>
      <c r="F2122">
        <v>269970290</v>
      </c>
      <c r="G2122">
        <v>391804.94</v>
      </c>
      <c r="H2122">
        <v>269450933.44999999</v>
      </c>
      <c r="I2122">
        <v>269530358.55000001</v>
      </c>
      <c r="J2122">
        <v>5.6550000000000003E-3</v>
      </c>
      <c r="K2122">
        <v>2.137E-3</v>
      </c>
      <c r="M2122" t="s">
        <v>3</v>
      </c>
      <c r="N2122">
        <v>7750</v>
      </c>
      <c r="O2122">
        <v>9</v>
      </c>
      <c r="P2122">
        <v>1</v>
      </c>
      <c r="Q2122">
        <v>0</v>
      </c>
      <c r="R2122">
        <v>19451339</v>
      </c>
      <c r="S2122">
        <v>15004.44</v>
      </c>
      <c r="T2122">
        <v>19431521.899999999</v>
      </c>
      <c r="U2122">
        <v>19436334.550000001</v>
      </c>
      <c r="V2122">
        <v>2.9650000000000002E-3</v>
      </c>
      <c r="W2122">
        <v>0</v>
      </c>
      <c r="Y2122" t="s">
        <v>0</v>
      </c>
      <c r="Z2122">
        <v>3000</v>
      </c>
      <c r="AA2122">
        <v>10</v>
      </c>
      <c r="AB2122">
        <v>1</v>
      </c>
      <c r="AC2122">
        <v>0</v>
      </c>
      <c r="AD2122">
        <v>32099904</v>
      </c>
      <c r="AE2122">
        <v>57474.91</v>
      </c>
      <c r="AF2122">
        <v>32099904</v>
      </c>
      <c r="AG2122">
        <v>32099904</v>
      </c>
      <c r="AH2122">
        <v>-2.1699E-2</v>
      </c>
      <c r="AI2122">
        <v>-2.1699E-2</v>
      </c>
    </row>
    <row r="2123" spans="1:35" x14ac:dyDescent="0.35">
      <c r="A2123" t="s">
        <v>3</v>
      </c>
      <c r="B2123">
        <v>5250</v>
      </c>
      <c r="C2123">
        <v>10</v>
      </c>
      <c r="D2123">
        <v>1</v>
      </c>
      <c r="E2123">
        <v>0</v>
      </c>
      <c r="F2123">
        <v>30478243</v>
      </c>
      <c r="G2123">
        <v>36951.919999999998</v>
      </c>
      <c r="H2123">
        <v>30420358.399999999</v>
      </c>
      <c r="I2123">
        <v>30441291.02</v>
      </c>
      <c r="J2123">
        <v>8.2109999999999995E-3</v>
      </c>
      <c r="K2123">
        <v>0</v>
      </c>
      <c r="M2123" t="s">
        <v>1</v>
      </c>
      <c r="N2123">
        <v>8000</v>
      </c>
      <c r="O2123">
        <v>9</v>
      </c>
      <c r="P2123">
        <v>5</v>
      </c>
      <c r="Q2123">
        <v>0</v>
      </c>
      <c r="R2123">
        <v>154598869</v>
      </c>
      <c r="S2123">
        <v>113622.51</v>
      </c>
      <c r="T2123">
        <v>133795787.88</v>
      </c>
      <c r="U2123">
        <v>152625487.80000001</v>
      </c>
      <c r="V2123">
        <v>0.82165600000000005</v>
      </c>
      <c r="W2123">
        <v>0.13517699999999999</v>
      </c>
      <c r="Y2123" t="s">
        <v>1</v>
      </c>
      <c r="Z2123">
        <v>3500</v>
      </c>
      <c r="AA2123">
        <v>9</v>
      </c>
      <c r="AB2123">
        <v>8</v>
      </c>
      <c r="AC2123">
        <v>0</v>
      </c>
      <c r="AD2123">
        <v>284509290</v>
      </c>
      <c r="AE2123">
        <v>488810.08</v>
      </c>
      <c r="AF2123">
        <v>283935777</v>
      </c>
      <c r="AG2123">
        <v>283935777</v>
      </c>
      <c r="AH2123">
        <v>3.5669999999999999E-3</v>
      </c>
      <c r="AI2123">
        <v>3.5669999999999999E-3</v>
      </c>
    </row>
    <row r="2124" spans="1:35" x14ac:dyDescent="0.35">
      <c r="A2124" t="s">
        <v>0</v>
      </c>
      <c r="B2124">
        <v>8500</v>
      </c>
      <c r="C2124">
        <v>12</v>
      </c>
      <c r="D2124">
        <v>2</v>
      </c>
      <c r="E2124">
        <v>0</v>
      </c>
      <c r="F2124">
        <v>38383473</v>
      </c>
      <c r="G2124">
        <v>25584.1</v>
      </c>
      <c r="H2124">
        <v>37967188.039999999</v>
      </c>
      <c r="I2124">
        <v>38357316.619999997</v>
      </c>
      <c r="J2124">
        <v>0.115535</v>
      </c>
      <c r="K2124">
        <v>1.7899999999999999E-4</v>
      </c>
      <c r="M2124" t="s">
        <v>1</v>
      </c>
      <c r="N2124">
        <v>4000</v>
      </c>
      <c r="O2124">
        <v>8</v>
      </c>
      <c r="P2124">
        <v>247</v>
      </c>
      <c r="Q2124">
        <v>0</v>
      </c>
      <c r="R2124">
        <v>8765396547</v>
      </c>
      <c r="S2124">
        <v>13157268.539999999</v>
      </c>
      <c r="T2124">
        <v>8741731989.6299992</v>
      </c>
      <c r="U2124">
        <v>8748689983.7099991</v>
      </c>
      <c r="V2124">
        <v>1.4290000000000001E-2</v>
      </c>
      <c r="W2124">
        <v>4.8479999999999999E-3</v>
      </c>
      <c r="Y2124" t="s">
        <v>0</v>
      </c>
      <c r="Z2124">
        <v>3500</v>
      </c>
      <c r="AA2124">
        <v>9</v>
      </c>
      <c r="AB2124">
        <v>5</v>
      </c>
      <c r="AC2124">
        <v>0</v>
      </c>
      <c r="AD2124">
        <v>155051522</v>
      </c>
      <c r="AE2124">
        <v>255527.72</v>
      </c>
      <c r="AF2124">
        <v>154863845</v>
      </c>
      <c r="AG2124">
        <v>154863845</v>
      </c>
      <c r="AH2124">
        <v>-5.2639999999999996E-3</v>
      </c>
      <c r="AI2124">
        <v>-5.2639999999999996E-3</v>
      </c>
    </row>
    <row r="2125" spans="1:35" x14ac:dyDescent="0.35">
      <c r="A2125" t="s">
        <v>0</v>
      </c>
      <c r="B2125">
        <v>9000</v>
      </c>
      <c r="C2125">
        <v>12</v>
      </c>
      <c r="D2125">
        <v>1</v>
      </c>
      <c r="E2125">
        <v>0</v>
      </c>
      <c r="F2125">
        <v>12174281</v>
      </c>
      <c r="G2125">
        <v>7697.71</v>
      </c>
      <c r="H2125">
        <v>10938199.41</v>
      </c>
      <c r="I2125">
        <v>10991451.9</v>
      </c>
      <c r="J2125">
        <v>0.72094100000000005</v>
      </c>
      <c r="K2125">
        <v>0.704206</v>
      </c>
      <c r="M2125" t="s">
        <v>1</v>
      </c>
      <c r="N2125">
        <v>2250</v>
      </c>
      <c r="O2125">
        <v>9</v>
      </c>
      <c r="P2125">
        <v>1</v>
      </c>
      <c r="Q2125">
        <v>0</v>
      </c>
      <c r="R2125">
        <v>48424740</v>
      </c>
      <c r="S2125">
        <v>108765.27</v>
      </c>
      <c r="T2125">
        <v>48281413.219999999</v>
      </c>
      <c r="U2125">
        <v>48315036.469999999</v>
      </c>
      <c r="V2125">
        <v>8.5310000000000004E-3</v>
      </c>
      <c r="W2125">
        <v>2.32E-4</v>
      </c>
      <c r="Y2125" t="s">
        <v>1</v>
      </c>
      <c r="Z2125">
        <v>3750</v>
      </c>
      <c r="AA2125">
        <v>9</v>
      </c>
      <c r="AB2125">
        <v>34</v>
      </c>
      <c r="AC2125">
        <v>0</v>
      </c>
      <c r="AD2125">
        <v>1209461760</v>
      </c>
      <c r="AE2125">
        <v>1923340.67</v>
      </c>
      <c r="AF2125">
        <v>1206994839</v>
      </c>
      <c r="AG2125">
        <v>1206994839</v>
      </c>
      <c r="AH2125">
        <v>5.3800000000000002E-3</v>
      </c>
      <c r="AI2125">
        <v>5.3800000000000002E-3</v>
      </c>
    </row>
    <row r="2126" spans="1:35" x14ac:dyDescent="0.35">
      <c r="A2126" t="s">
        <v>1</v>
      </c>
      <c r="B2126">
        <v>4500</v>
      </c>
      <c r="C2126">
        <v>9</v>
      </c>
      <c r="D2126">
        <v>324</v>
      </c>
      <c r="E2126">
        <v>0</v>
      </c>
      <c r="F2126">
        <v>11516860273</v>
      </c>
      <c r="G2126">
        <v>15929304.060000001</v>
      </c>
      <c r="H2126">
        <v>11486167518.940001</v>
      </c>
      <c r="I2126">
        <v>11497598355.639999</v>
      </c>
      <c r="J2126">
        <v>1.5275E-2</v>
      </c>
      <c r="K2126">
        <v>3.467E-3</v>
      </c>
      <c r="M2126" t="s">
        <v>2</v>
      </c>
      <c r="N2126">
        <v>2750</v>
      </c>
      <c r="O2126">
        <v>10</v>
      </c>
      <c r="P2126">
        <v>1</v>
      </c>
      <c r="Q2126">
        <v>0</v>
      </c>
      <c r="R2126">
        <v>26090650</v>
      </c>
      <c r="S2126">
        <v>49651.41</v>
      </c>
      <c r="T2126">
        <v>25943457.149999999</v>
      </c>
      <c r="U2126">
        <v>26040983.350000001</v>
      </c>
      <c r="V2126">
        <v>4.3951999999999998E-2</v>
      </c>
      <c r="W2126">
        <v>6.9999999999999999E-6</v>
      </c>
      <c r="Y2126" t="s">
        <v>2</v>
      </c>
      <c r="Z2126">
        <v>3250</v>
      </c>
      <c r="AA2126">
        <v>10</v>
      </c>
      <c r="AB2126">
        <v>1</v>
      </c>
      <c r="AC2126">
        <v>0</v>
      </c>
      <c r="AD2126">
        <v>24762976</v>
      </c>
      <c r="AE2126">
        <v>42527.18</v>
      </c>
      <c r="AF2126">
        <v>24720118</v>
      </c>
      <c r="AG2126">
        <v>24720118</v>
      </c>
      <c r="AH2126">
        <v>1.6000000000000001E-4</v>
      </c>
      <c r="AI2126">
        <v>1.6000000000000001E-4</v>
      </c>
    </row>
    <row r="2127" spans="1:35" x14ac:dyDescent="0.35">
      <c r="A2127" t="s">
        <v>1</v>
      </c>
      <c r="B2127">
        <v>2500</v>
      </c>
      <c r="C2127">
        <v>9</v>
      </c>
      <c r="D2127">
        <v>7</v>
      </c>
      <c r="E2127">
        <v>0</v>
      </c>
      <c r="F2127">
        <v>283283217</v>
      </c>
      <c r="G2127">
        <v>565168.61</v>
      </c>
      <c r="H2127">
        <v>278418380.66000003</v>
      </c>
      <c r="I2127">
        <v>279917123.75999999</v>
      </c>
      <c r="J2127">
        <v>0.16767499999999999</v>
      </c>
      <c r="K2127">
        <v>0.112404</v>
      </c>
      <c r="M2127" t="s">
        <v>1</v>
      </c>
      <c r="N2127">
        <v>2250</v>
      </c>
      <c r="O2127">
        <v>8</v>
      </c>
      <c r="P2127">
        <v>2</v>
      </c>
      <c r="Q2127">
        <v>0</v>
      </c>
      <c r="R2127">
        <v>110155880</v>
      </c>
      <c r="S2127">
        <v>258775.73</v>
      </c>
      <c r="T2127">
        <v>104460937.45</v>
      </c>
      <c r="U2127">
        <v>104549071.98999999</v>
      </c>
      <c r="V2127">
        <v>0.45518500000000001</v>
      </c>
      <c r="W2127">
        <v>0.44965699999999997</v>
      </c>
      <c r="Y2127" t="s">
        <v>0</v>
      </c>
      <c r="Z2127">
        <v>3250</v>
      </c>
      <c r="AA2127">
        <v>9</v>
      </c>
      <c r="AB2127">
        <v>4</v>
      </c>
      <c r="AC2127">
        <v>0</v>
      </c>
      <c r="AD2127">
        <v>106317581</v>
      </c>
      <c r="AE2127">
        <v>182341.72</v>
      </c>
      <c r="AF2127">
        <v>106204048</v>
      </c>
      <c r="AG2127">
        <v>106204048</v>
      </c>
      <c r="AH2127">
        <v>-7.7939999999999997E-3</v>
      </c>
      <c r="AI2127">
        <v>-7.7939999999999997E-3</v>
      </c>
    </row>
    <row r="2128" spans="1:35" x14ac:dyDescent="0.35">
      <c r="A2128" t="s">
        <v>0</v>
      </c>
      <c r="B2128">
        <v>2500</v>
      </c>
      <c r="C2128">
        <v>10</v>
      </c>
      <c r="D2128">
        <v>1</v>
      </c>
      <c r="E2128">
        <v>0</v>
      </c>
      <c r="F2128">
        <v>16095114</v>
      </c>
      <c r="G2128">
        <v>31285.79</v>
      </c>
      <c r="H2128">
        <v>16060379.33</v>
      </c>
      <c r="I2128">
        <v>16063826.210000001</v>
      </c>
      <c r="J2128">
        <v>2.568E-3</v>
      </c>
      <c r="K2128">
        <v>9.9999999999999995E-7</v>
      </c>
      <c r="M2128" t="s">
        <v>1</v>
      </c>
      <c r="N2128">
        <v>2500</v>
      </c>
      <c r="O2128">
        <v>14</v>
      </c>
      <c r="P2128">
        <v>1</v>
      </c>
      <c r="Q2128">
        <v>0</v>
      </c>
      <c r="R2128">
        <v>57741130</v>
      </c>
      <c r="S2128">
        <v>123665.94</v>
      </c>
      <c r="T2128">
        <v>57395222.829999998</v>
      </c>
      <c r="U2128">
        <v>57616995.82</v>
      </c>
      <c r="V2128">
        <v>4.5221999999999998E-2</v>
      </c>
      <c r="W2128">
        <v>9.7E-5</v>
      </c>
      <c r="Y2128" t="s">
        <v>1</v>
      </c>
      <c r="Z2128">
        <v>3250</v>
      </c>
      <c r="AA2128">
        <v>9</v>
      </c>
      <c r="AB2128">
        <v>5</v>
      </c>
      <c r="AC2128">
        <v>0</v>
      </c>
      <c r="AD2128">
        <v>96164547</v>
      </c>
      <c r="AE2128">
        <v>177265.18</v>
      </c>
      <c r="AF2128">
        <v>96059157</v>
      </c>
      <c r="AG2128">
        <v>96059157</v>
      </c>
      <c r="AH2128">
        <v>-9.0060000000000001E-3</v>
      </c>
      <c r="AI2128">
        <v>-9.0060000000000001E-3</v>
      </c>
    </row>
    <row r="2129" spans="1:35" x14ac:dyDescent="0.35">
      <c r="A2129" t="s">
        <v>0</v>
      </c>
      <c r="B2129">
        <v>2500</v>
      </c>
      <c r="C2129">
        <v>9</v>
      </c>
      <c r="D2129">
        <v>5</v>
      </c>
      <c r="E2129">
        <v>0</v>
      </c>
      <c r="F2129">
        <v>117252145</v>
      </c>
      <c r="G2129">
        <v>227061.97</v>
      </c>
      <c r="H2129">
        <v>116960183.93000001</v>
      </c>
      <c r="I2129">
        <v>117024398.72</v>
      </c>
      <c r="J2129">
        <v>6.6220000000000003E-3</v>
      </c>
      <c r="K2129">
        <v>6.9999999999999994E-5</v>
      </c>
      <c r="M2129" t="s">
        <v>1</v>
      </c>
      <c r="N2129">
        <v>2750</v>
      </c>
      <c r="O2129">
        <v>9</v>
      </c>
      <c r="P2129">
        <v>3</v>
      </c>
      <c r="Q2129">
        <v>0</v>
      </c>
      <c r="R2129">
        <v>106768086</v>
      </c>
      <c r="S2129">
        <v>234247.71</v>
      </c>
      <c r="T2129">
        <v>106215397.56999999</v>
      </c>
      <c r="U2129">
        <v>106533455.14</v>
      </c>
      <c r="V2129">
        <v>3.5208999999999997E-2</v>
      </c>
      <c r="W2129">
        <v>4.3000000000000002E-5</v>
      </c>
      <c r="Y2129" t="s">
        <v>0</v>
      </c>
      <c r="Z2129">
        <v>4250</v>
      </c>
      <c r="AA2129">
        <v>9</v>
      </c>
      <c r="AB2129">
        <v>395</v>
      </c>
      <c r="AC2129">
        <v>0</v>
      </c>
      <c r="AD2129">
        <v>13096378793</v>
      </c>
      <c r="AE2129">
        <v>18961528.870000001</v>
      </c>
      <c r="AF2129">
        <v>13077209247</v>
      </c>
      <c r="AG2129">
        <v>13077209247</v>
      </c>
      <c r="AH2129">
        <v>1.9100000000000001E-4</v>
      </c>
      <c r="AI2129">
        <v>1.9100000000000001E-4</v>
      </c>
    </row>
    <row r="2130" spans="1:35" x14ac:dyDescent="0.35">
      <c r="A2130" t="s">
        <v>2</v>
      </c>
      <c r="B2130">
        <v>2750</v>
      </c>
      <c r="C2130">
        <v>10</v>
      </c>
      <c r="D2130">
        <v>5</v>
      </c>
      <c r="E2130">
        <v>0</v>
      </c>
      <c r="F2130">
        <v>151431660</v>
      </c>
      <c r="G2130">
        <v>290532.73</v>
      </c>
      <c r="H2130">
        <v>150915421.33000001</v>
      </c>
      <c r="I2130">
        <v>151088056.12</v>
      </c>
      <c r="J2130">
        <v>1.7739999999999999E-2</v>
      </c>
      <c r="K2130">
        <v>4.1970000000000002E-3</v>
      </c>
      <c r="M2130" t="s">
        <v>2</v>
      </c>
      <c r="N2130">
        <v>3000</v>
      </c>
      <c r="O2130">
        <v>10</v>
      </c>
      <c r="P2130">
        <v>3</v>
      </c>
      <c r="Q2130">
        <v>0</v>
      </c>
      <c r="R2130">
        <v>57818852</v>
      </c>
      <c r="S2130">
        <v>111335.9</v>
      </c>
      <c r="T2130">
        <v>57532377.649999999</v>
      </c>
      <c r="U2130">
        <v>57675999.079999998</v>
      </c>
      <c r="V2130">
        <v>3.5749999999999997E-2</v>
      </c>
      <c r="W2130">
        <v>6.522E-3</v>
      </c>
      <c r="Y2130" t="s">
        <v>1</v>
      </c>
      <c r="Z2130">
        <v>4000</v>
      </c>
      <c r="AA2130">
        <v>9</v>
      </c>
      <c r="AB2130">
        <v>207</v>
      </c>
      <c r="AC2130">
        <v>0</v>
      </c>
      <c r="AD2130">
        <v>7439526751</v>
      </c>
      <c r="AE2130">
        <v>11212781.369999999</v>
      </c>
      <c r="AF2130">
        <v>7398726392</v>
      </c>
      <c r="AG2130">
        <v>7398726392</v>
      </c>
      <c r="AH2130">
        <v>4.6695E-2</v>
      </c>
      <c r="AI2130">
        <v>4.6695E-2</v>
      </c>
    </row>
    <row r="2131" spans="1:35" x14ac:dyDescent="0.35">
      <c r="A2131" t="s">
        <v>1</v>
      </c>
      <c r="B2131">
        <v>2500</v>
      </c>
      <c r="C2131">
        <v>10</v>
      </c>
      <c r="D2131">
        <v>1</v>
      </c>
      <c r="E2131">
        <v>0</v>
      </c>
      <c r="F2131">
        <v>30827646</v>
      </c>
      <c r="G2131">
        <v>69943.23</v>
      </c>
      <c r="H2131">
        <v>30608886.699999999</v>
      </c>
      <c r="I2131">
        <v>30757517.449999999</v>
      </c>
      <c r="J2131">
        <v>5.6415E-2</v>
      </c>
      <c r="K2131">
        <v>7.2000000000000002E-5</v>
      </c>
      <c r="M2131" t="s">
        <v>1</v>
      </c>
      <c r="N2131">
        <v>3250</v>
      </c>
      <c r="O2131">
        <v>8</v>
      </c>
      <c r="P2131">
        <v>6</v>
      </c>
      <c r="Q2131">
        <v>0</v>
      </c>
      <c r="R2131">
        <v>127326799</v>
      </c>
      <c r="S2131">
        <v>230282.86</v>
      </c>
      <c r="T2131">
        <v>125782218.25</v>
      </c>
      <c r="U2131">
        <v>126182215.81</v>
      </c>
      <c r="V2131">
        <v>0.11707099999999999</v>
      </c>
      <c r="W2131">
        <v>8.2846000000000003E-2</v>
      </c>
      <c r="Y2131" t="s">
        <v>1</v>
      </c>
      <c r="Z2131">
        <v>4250</v>
      </c>
      <c r="AA2131">
        <v>9</v>
      </c>
      <c r="AB2131">
        <v>149</v>
      </c>
      <c r="AC2131">
        <v>0</v>
      </c>
      <c r="AD2131">
        <v>5388823042</v>
      </c>
      <c r="AE2131">
        <v>7797373.6699999999</v>
      </c>
      <c r="AF2131">
        <v>5380973248</v>
      </c>
      <c r="AG2131">
        <v>5380973248</v>
      </c>
      <c r="AH2131">
        <v>1.17E-4</v>
      </c>
      <c r="AI2131">
        <v>1.17E-4</v>
      </c>
    </row>
    <row r="2132" spans="1:35" x14ac:dyDescent="0.35">
      <c r="A2132" t="s">
        <v>2</v>
      </c>
      <c r="B2132">
        <v>2750</v>
      </c>
      <c r="C2132">
        <v>12</v>
      </c>
      <c r="D2132">
        <v>3</v>
      </c>
      <c r="E2132">
        <v>0</v>
      </c>
      <c r="F2132">
        <v>54241937</v>
      </c>
      <c r="G2132">
        <v>101635.44</v>
      </c>
      <c r="H2132">
        <v>54072879.710000001</v>
      </c>
      <c r="I2132">
        <v>54138999.729999997</v>
      </c>
      <c r="J2132">
        <v>1.4814000000000001E-2</v>
      </c>
      <c r="K2132">
        <v>2.8800000000000001E-4</v>
      </c>
      <c r="M2132" t="s">
        <v>2</v>
      </c>
      <c r="N2132">
        <v>3000</v>
      </c>
      <c r="O2132">
        <v>9</v>
      </c>
      <c r="P2132">
        <v>3</v>
      </c>
      <c r="Q2132">
        <v>0</v>
      </c>
      <c r="R2132">
        <v>67211440</v>
      </c>
      <c r="S2132">
        <v>138278.76</v>
      </c>
      <c r="T2132">
        <v>66930600.859999999</v>
      </c>
      <c r="U2132">
        <v>67056809.189999998</v>
      </c>
      <c r="V2132">
        <v>2.5158E-2</v>
      </c>
      <c r="W2132">
        <v>2.9160000000000002E-3</v>
      </c>
      <c r="Y2132" t="s">
        <v>2</v>
      </c>
      <c r="Z2132">
        <v>4000</v>
      </c>
      <c r="AA2132">
        <v>9</v>
      </c>
      <c r="AB2132">
        <v>24</v>
      </c>
      <c r="AC2132">
        <v>0</v>
      </c>
      <c r="AD2132">
        <v>686291059</v>
      </c>
      <c r="AE2132">
        <v>1035894.76</v>
      </c>
      <c r="AF2132">
        <v>685415086</v>
      </c>
      <c r="AG2132">
        <v>685415086</v>
      </c>
      <c r="AH2132">
        <v>-2.8E-3</v>
      </c>
      <c r="AI2132">
        <v>-2.8E-3</v>
      </c>
    </row>
    <row r="2133" spans="1:35" x14ac:dyDescent="0.35">
      <c r="A2133" t="s">
        <v>1</v>
      </c>
      <c r="B2133">
        <v>2750</v>
      </c>
      <c r="C2133">
        <v>10</v>
      </c>
      <c r="D2133">
        <v>1</v>
      </c>
      <c r="E2133">
        <v>0</v>
      </c>
      <c r="F2133">
        <v>18811745</v>
      </c>
      <c r="G2133">
        <v>41352.15</v>
      </c>
      <c r="H2133">
        <v>18747017.899999999</v>
      </c>
      <c r="I2133">
        <v>18770382.949999999</v>
      </c>
      <c r="J2133">
        <v>1.4808999999999999E-2</v>
      </c>
      <c r="K2133">
        <v>6.0000000000000002E-6</v>
      </c>
      <c r="M2133" t="s">
        <v>0</v>
      </c>
      <c r="N2133">
        <v>3500</v>
      </c>
      <c r="O2133">
        <v>8</v>
      </c>
      <c r="P2133">
        <v>21</v>
      </c>
      <c r="Q2133">
        <v>0</v>
      </c>
      <c r="R2133">
        <v>760131585</v>
      </c>
      <c r="S2133">
        <v>1241621.05</v>
      </c>
      <c r="T2133">
        <v>758682080.03999996</v>
      </c>
      <c r="U2133">
        <v>758846673.76999998</v>
      </c>
      <c r="V2133">
        <v>3.277E-3</v>
      </c>
      <c r="W2133">
        <v>6.8300000000000001E-4</v>
      </c>
      <c r="Y2133" t="s">
        <v>2</v>
      </c>
      <c r="Z2133">
        <v>3750</v>
      </c>
      <c r="AA2133">
        <v>9</v>
      </c>
      <c r="AB2133">
        <v>10</v>
      </c>
      <c r="AC2133">
        <v>0</v>
      </c>
      <c r="AD2133">
        <v>247779311</v>
      </c>
      <c r="AE2133">
        <v>391322.55</v>
      </c>
      <c r="AF2133">
        <v>247341201</v>
      </c>
      <c r="AG2133">
        <v>247341201</v>
      </c>
      <c r="AH2133">
        <v>2.264E-3</v>
      </c>
      <c r="AI2133">
        <v>2.264E-3</v>
      </c>
    </row>
    <row r="2134" spans="1:35" x14ac:dyDescent="0.35">
      <c r="A2134" t="s">
        <v>0</v>
      </c>
      <c r="B2134">
        <v>3000</v>
      </c>
      <c r="C2134">
        <v>9</v>
      </c>
      <c r="D2134">
        <v>5</v>
      </c>
      <c r="E2134">
        <v>0</v>
      </c>
      <c r="F2134">
        <v>109968884</v>
      </c>
      <c r="G2134">
        <v>199253.93</v>
      </c>
      <c r="H2134">
        <v>109645460.23999999</v>
      </c>
      <c r="I2134">
        <v>109753857.3</v>
      </c>
      <c r="J2134">
        <v>1.3466000000000001E-2</v>
      </c>
      <c r="K2134">
        <v>1.72E-3</v>
      </c>
      <c r="M2134" t="s">
        <v>1</v>
      </c>
      <c r="N2134">
        <v>3500</v>
      </c>
      <c r="O2134">
        <v>8</v>
      </c>
      <c r="P2134">
        <v>20</v>
      </c>
      <c r="Q2134">
        <v>0</v>
      </c>
      <c r="R2134">
        <v>770413816</v>
      </c>
      <c r="S2134">
        <v>1258996.83</v>
      </c>
      <c r="T2134">
        <v>768651080.75</v>
      </c>
      <c r="U2134">
        <v>769152290.94000006</v>
      </c>
      <c r="V2134">
        <v>7.8180000000000003E-3</v>
      </c>
      <c r="W2134">
        <v>3.8999999999999999E-5</v>
      </c>
      <c r="Y2134" t="s">
        <v>0</v>
      </c>
      <c r="Z2134">
        <v>3750</v>
      </c>
      <c r="AA2134">
        <v>9</v>
      </c>
      <c r="AB2134">
        <v>51</v>
      </c>
      <c r="AC2134">
        <v>0</v>
      </c>
      <c r="AD2134">
        <v>1663187011</v>
      </c>
      <c r="AE2134">
        <v>2612215.23</v>
      </c>
      <c r="AF2134">
        <v>1660303571</v>
      </c>
      <c r="AG2134">
        <v>1660303571</v>
      </c>
      <c r="AH2134">
        <v>1.9550000000000001E-3</v>
      </c>
      <c r="AI2134">
        <v>1.9550000000000001E-3</v>
      </c>
    </row>
    <row r="2135" spans="1:35" x14ac:dyDescent="0.35">
      <c r="A2135" t="s">
        <v>0</v>
      </c>
      <c r="B2135">
        <v>3250</v>
      </c>
      <c r="C2135">
        <v>9</v>
      </c>
      <c r="D2135">
        <v>5</v>
      </c>
      <c r="E2135">
        <v>0</v>
      </c>
      <c r="F2135">
        <v>108737854</v>
      </c>
      <c r="G2135">
        <v>188205.63</v>
      </c>
      <c r="H2135">
        <v>108421043.90000001</v>
      </c>
      <c r="I2135">
        <v>108549052.73</v>
      </c>
      <c r="J2135">
        <v>1.41E-2</v>
      </c>
      <c r="K2135">
        <v>6.6000000000000005E-5</v>
      </c>
      <c r="M2135" t="s">
        <v>0</v>
      </c>
      <c r="N2135">
        <v>3250</v>
      </c>
      <c r="O2135">
        <v>8</v>
      </c>
      <c r="P2135">
        <v>1</v>
      </c>
      <c r="Q2135">
        <v>0</v>
      </c>
      <c r="R2135">
        <v>40958468</v>
      </c>
      <c r="S2135">
        <v>69722.84</v>
      </c>
      <c r="T2135">
        <v>40879038.259999998</v>
      </c>
      <c r="U2135">
        <v>40888603.100000001</v>
      </c>
      <c r="V2135">
        <v>2.8400000000000001E-3</v>
      </c>
      <c r="W2135">
        <v>4.1999999999999998E-5</v>
      </c>
      <c r="Y2135" t="s">
        <v>0</v>
      </c>
      <c r="Z2135">
        <v>4500</v>
      </c>
      <c r="AA2135">
        <v>9</v>
      </c>
      <c r="AB2135">
        <v>1071</v>
      </c>
      <c r="AC2135">
        <v>0</v>
      </c>
      <c r="AD2135">
        <v>34128945914</v>
      </c>
      <c r="AE2135">
        <v>47181956.759999998</v>
      </c>
      <c r="AF2135">
        <v>34079710247</v>
      </c>
      <c r="AG2135">
        <v>34079710247</v>
      </c>
      <c r="AH2135">
        <v>7.2199999999999999E-4</v>
      </c>
      <c r="AI2135">
        <v>7.2199999999999999E-4</v>
      </c>
    </row>
    <row r="2136" spans="1:35" x14ac:dyDescent="0.35">
      <c r="A2136" t="s">
        <v>0</v>
      </c>
      <c r="B2136">
        <v>2750</v>
      </c>
      <c r="C2136">
        <v>9</v>
      </c>
      <c r="D2136">
        <v>9</v>
      </c>
      <c r="E2136">
        <v>0</v>
      </c>
      <c r="F2136">
        <v>207739558</v>
      </c>
      <c r="G2136">
        <v>386822.05</v>
      </c>
      <c r="H2136">
        <v>206803499.02000001</v>
      </c>
      <c r="I2136">
        <v>207181242.96000001</v>
      </c>
      <c r="J2136">
        <v>3.1268999999999998E-2</v>
      </c>
      <c r="K2136">
        <v>9.861E-3</v>
      </c>
      <c r="M2136" t="s">
        <v>2</v>
      </c>
      <c r="N2136">
        <v>3500</v>
      </c>
      <c r="O2136">
        <v>8</v>
      </c>
      <c r="P2136">
        <v>3</v>
      </c>
      <c r="Q2136">
        <v>0</v>
      </c>
      <c r="R2136">
        <v>66412675</v>
      </c>
      <c r="S2136">
        <v>109365.68</v>
      </c>
      <c r="T2136">
        <v>66051164.030000001</v>
      </c>
      <c r="U2136">
        <v>66303269.399999999</v>
      </c>
      <c r="V2136">
        <v>4.462E-2</v>
      </c>
      <c r="W2136">
        <v>6.9999999999999999E-6</v>
      </c>
      <c r="Y2136" t="s">
        <v>1</v>
      </c>
      <c r="Z2136">
        <v>4500</v>
      </c>
      <c r="AA2136">
        <v>9</v>
      </c>
      <c r="AB2136">
        <v>356</v>
      </c>
      <c r="AC2136">
        <v>0</v>
      </c>
      <c r="AD2136">
        <v>11738470561</v>
      </c>
      <c r="AE2136">
        <v>16232212.02</v>
      </c>
      <c r="AF2136">
        <v>11673451422</v>
      </c>
      <c r="AG2136">
        <v>11673451422</v>
      </c>
      <c r="AH2136">
        <v>4.8749000000000001E-2</v>
      </c>
      <c r="AI2136">
        <v>4.8749000000000001E-2</v>
      </c>
    </row>
    <row r="2137" spans="1:35" x14ac:dyDescent="0.35">
      <c r="A2137" t="s">
        <v>1</v>
      </c>
      <c r="B2137">
        <v>3250</v>
      </c>
      <c r="C2137">
        <v>9</v>
      </c>
      <c r="D2137">
        <v>3</v>
      </c>
      <c r="E2137">
        <v>0</v>
      </c>
      <c r="F2137">
        <v>125001087</v>
      </c>
      <c r="G2137">
        <v>220887.23</v>
      </c>
      <c r="H2137">
        <v>124440194.08</v>
      </c>
      <c r="I2137">
        <v>124763402.51000001</v>
      </c>
      <c r="J2137">
        <v>3.2155999999999997E-2</v>
      </c>
      <c r="K2137">
        <v>1.611E-3</v>
      </c>
      <c r="M2137" t="s">
        <v>2</v>
      </c>
      <c r="N2137">
        <v>3250</v>
      </c>
      <c r="O2137">
        <v>10</v>
      </c>
      <c r="P2137">
        <v>2</v>
      </c>
      <c r="Q2137">
        <v>0</v>
      </c>
      <c r="R2137">
        <v>30403413</v>
      </c>
      <c r="S2137">
        <v>52213.89</v>
      </c>
      <c r="T2137">
        <v>30288501.710000001</v>
      </c>
      <c r="U2137">
        <v>30317735.899999999</v>
      </c>
      <c r="V2137">
        <v>2.4466999999999999E-2</v>
      </c>
      <c r="W2137">
        <v>1.3128000000000001E-2</v>
      </c>
      <c r="Y2137" t="s">
        <v>2</v>
      </c>
      <c r="Z2137">
        <v>4500</v>
      </c>
      <c r="AA2137">
        <v>9</v>
      </c>
      <c r="AB2137">
        <v>52</v>
      </c>
      <c r="AC2137">
        <v>0</v>
      </c>
      <c r="AD2137">
        <v>1412896402</v>
      </c>
      <c r="AE2137">
        <v>1949820.07</v>
      </c>
      <c r="AF2137">
        <v>1410597274</v>
      </c>
      <c r="AG2137">
        <v>1410597274</v>
      </c>
      <c r="AH2137">
        <v>2.9629999999999999E-3</v>
      </c>
      <c r="AI2137">
        <v>2.9629999999999999E-3</v>
      </c>
    </row>
    <row r="2138" spans="1:35" x14ac:dyDescent="0.35">
      <c r="A2138" t="s">
        <v>2</v>
      </c>
      <c r="B2138">
        <v>3000</v>
      </c>
      <c r="C2138">
        <v>10</v>
      </c>
      <c r="D2138">
        <v>3</v>
      </c>
      <c r="E2138">
        <v>0</v>
      </c>
      <c r="F2138">
        <v>47033923</v>
      </c>
      <c r="G2138">
        <v>85111.24</v>
      </c>
      <c r="H2138">
        <v>46749792.789999999</v>
      </c>
      <c r="I2138">
        <v>46846542.299999997</v>
      </c>
      <c r="J2138">
        <v>4.9612000000000003E-2</v>
      </c>
      <c r="K2138">
        <v>2.5783E-2</v>
      </c>
      <c r="M2138" t="s">
        <v>2</v>
      </c>
      <c r="N2138">
        <v>3250</v>
      </c>
      <c r="O2138">
        <v>9</v>
      </c>
      <c r="P2138">
        <v>2</v>
      </c>
      <c r="Q2138">
        <v>0</v>
      </c>
      <c r="R2138">
        <v>21048476</v>
      </c>
      <c r="S2138">
        <v>38243.440000000002</v>
      </c>
      <c r="T2138">
        <v>20905467.82</v>
      </c>
      <c r="U2138">
        <v>21007850.969999999</v>
      </c>
      <c r="V2138">
        <v>5.8118999999999997E-2</v>
      </c>
      <c r="W2138">
        <v>1.3569999999999999E-3</v>
      </c>
      <c r="Y2138" t="s">
        <v>2</v>
      </c>
      <c r="Z2138">
        <v>4250</v>
      </c>
      <c r="AA2138">
        <v>9</v>
      </c>
      <c r="AB2138">
        <v>10</v>
      </c>
      <c r="AC2138">
        <v>0</v>
      </c>
      <c r="AD2138">
        <v>270272654</v>
      </c>
      <c r="AE2138">
        <v>390297.58</v>
      </c>
      <c r="AF2138">
        <v>269970290</v>
      </c>
      <c r="AG2138">
        <v>269970290</v>
      </c>
      <c r="AH2138">
        <v>-3.9110000000000004E-3</v>
      </c>
      <c r="AI2138">
        <v>-3.9110000000000004E-3</v>
      </c>
    </row>
    <row r="2139" spans="1:35" x14ac:dyDescent="0.35">
      <c r="A2139" t="s">
        <v>2</v>
      </c>
      <c r="B2139">
        <v>3250</v>
      </c>
      <c r="C2139">
        <v>10</v>
      </c>
      <c r="D2139">
        <v>3</v>
      </c>
      <c r="E2139">
        <v>0</v>
      </c>
      <c r="F2139">
        <v>49924764</v>
      </c>
      <c r="G2139">
        <v>86840.35</v>
      </c>
      <c r="H2139">
        <v>49646882.200000003</v>
      </c>
      <c r="I2139">
        <v>49806568.5</v>
      </c>
      <c r="J2139">
        <v>4.4964999999999998E-2</v>
      </c>
      <c r="K2139">
        <v>7.5110000000000003E-3</v>
      </c>
      <c r="M2139" t="s">
        <v>2</v>
      </c>
      <c r="N2139">
        <v>4000</v>
      </c>
      <c r="O2139">
        <v>8</v>
      </c>
      <c r="P2139">
        <v>40</v>
      </c>
      <c r="Q2139">
        <v>0</v>
      </c>
      <c r="R2139">
        <v>1153949072</v>
      </c>
      <c r="S2139">
        <v>1733137.4</v>
      </c>
      <c r="T2139">
        <v>1151755514.3900001</v>
      </c>
      <c r="U2139">
        <v>1152213177.77</v>
      </c>
      <c r="V2139">
        <v>4.777E-3</v>
      </c>
      <c r="W2139">
        <v>2.9E-5</v>
      </c>
      <c r="Y2139" t="s">
        <v>3</v>
      </c>
      <c r="Z2139">
        <v>5250</v>
      </c>
      <c r="AA2139">
        <v>9</v>
      </c>
      <c r="AB2139">
        <v>1</v>
      </c>
      <c r="AC2139">
        <v>0</v>
      </c>
      <c r="AD2139">
        <v>30521864</v>
      </c>
      <c r="AE2139">
        <v>36799.19</v>
      </c>
      <c r="AF2139">
        <v>30478243</v>
      </c>
      <c r="AG2139">
        <v>30478243</v>
      </c>
      <c r="AH2139">
        <v>2.679E-3</v>
      </c>
      <c r="AI2139">
        <v>2.679E-3</v>
      </c>
    </row>
    <row r="2140" spans="1:35" x14ac:dyDescent="0.35">
      <c r="A2140" t="s">
        <v>1</v>
      </c>
      <c r="B2140">
        <v>2750</v>
      </c>
      <c r="C2140">
        <v>9</v>
      </c>
      <c r="D2140">
        <v>4</v>
      </c>
      <c r="E2140">
        <v>0</v>
      </c>
      <c r="F2140">
        <v>105031941</v>
      </c>
      <c r="G2140">
        <v>219148.7</v>
      </c>
      <c r="H2140">
        <v>104677292.73999999</v>
      </c>
      <c r="I2140">
        <v>104811887.58</v>
      </c>
      <c r="J2140">
        <v>1.5372E-2</v>
      </c>
      <c r="K2140">
        <v>1.03E-4</v>
      </c>
      <c r="M2140" t="s">
        <v>0</v>
      </c>
      <c r="N2140">
        <v>4000</v>
      </c>
      <c r="O2140">
        <v>8</v>
      </c>
      <c r="P2140">
        <v>861</v>
      </c>
      <c r="Q2140">
        <v>0</v>
      </c>
      <c r="R2140">
        <v>28022229067</v>
      </c>
      <c r="S2140">
        <v>42045862.549999997</v>
      </c>
      <c r="T2140">
        <v>27970315059.419998</v>
      </c>
      <c r="U2140">
        <v>27979190643.830002</v>
      </c>
      <c r="V2140">
        <v>4.2180000000000004E-3</v>
      </c>
      <c r="W2140">
        <v>4.2499999999999998E-4</v>
      </c>
      <c r="Y2140" t="s">
        <v>0</v>
      </c>
      <c r="Z2140">
        <v>8500</v>
      </c>
      <c r="AA2140">
        <v>10</v>
      </c>
      <c r="AB2140">
        <v>2</v>
      </c>
      <c r="AC2140">
        <v>0</v>
      </c>
      <c r="AD2140">
        <v>38408965</v>
      </c>
      <c r="AE2140">
        <v>25405.39</v>
      </c>
      <c r="AF2140">
        <v>38383473</v>
      </c>
      <c r="AG2140">
        <v>38383473</v>
      </c>
      <c r="AH2140">
        <v>2.6999999999999999E-5</v>
      </c>
      <c r="AI2140">
        <v>2.6999999999999999E-5</v>
      </c>
    </row>
    <row r="2141" spans="1:35" x14ac:dyDescent="0.35">
      <c r="A2141" t="s">
        <v>2</v>
      </c>
      <c r="B2141">
        <v>3500</v>
      </c>
      <c r="C2141">
        <v>10</v>
      </c>
      <c r="D2141">
        <v>4</v>
      </c>
      <c r="E2141">
        <v>0</v>
      </c>
      <c r="F2141">
        <v>64381683</v>
      </c>
      <c r="G2141">
        <v>107598.28</v>
      </c>
      <c r="H2141">
        <v>64028788.210000001</v>
      </c>
      <c r="I2141">
        <v>64235621.700000003</v>
      </c>
      <c r="J2141">
        <v>4.4774000000000001E-2</v>
      </c>
      <c r="K2141">
        <v>7.1459999999999996E-3</v>
      </c>
      <c r="M2141" t="s">
        <v>0</v>
      </c>
      <c r="N2141">
        <v>4250</v>
      </c>
      <c r="O2141">
        <v>8</v>
      </c>
      <c r="P2141">
        <v>293</v>
      </c>
      <c r="Q2141">
        <v>0</v>
      </c>
      <c r="R2141">
        <v>9898611781</v>
      </c>
      <c r="S2141">
        <v>14254425.65</v>
      </c>
      <c r="T2141">
        <v>9880872872.8199997</v>
      </c>
      <c r="U2141">
        <v>9883632603.1200008</v>
      </c>
      <c r="V2141">
        <v>4.2160000000000001E-3</v>
      </c>
      <c r="W2141">
        <v>8.7799999999999998E-4</v>
      </c>
      <c r="Y2141" t="s">
        <v>0</v>
      </c>
      <c r="Z2141">
        <v>9000</v>
      </c>
      <c r="AA2141">
        <v>12</v>
      </c>
      <c r="AB2141">
        <v>1</v>
      </c>
      <c r="AC2141">
        <v>0</v>
      </c>
      <c r="AD2141">
        <v>12166704</v>
      </c>
      <c r="AE2141">
        <v>7632.44</v>
      </c>
      <c r="AF2141">
        <v>12174281</v>
      </c>
      <c r="AG2141">
        <v>12174281</v>
      </c>
      <c r="AH2141">
        <v>-1.5105E-2</v>
      </c>
      <c r="AI2141">
        <v>-1.5105E-2</v>
      </c>
    </row>
    <row r="2142" spans="1:35" x14ac:dyDescent="0.35">
      <c r="A2142" t="s">
        <v>0</v>
      </c>
      <c r="B2142">
        <v>3500</v>
      </c>
      <c r="C2142">
        <v>9</v>
      </c>
      <c r="D2142">
        <v>4</v>
      </c>
      <c r="E2142">
        <v>0</v>
      </c>
      <c r="F2142">
        <v>109135501</v>
      </c>
      <c r="G2142">
        <v>181385.71</v>
      </c>
      <c r="H2142">
        <v>108213674.45999999</v>
      </c>
      <c r="I2142">
        <v>108318467.81999999</v>
      </c>
      <c r="J2142">
        <v>7.8445000000000001E-2</v>
      </c>
      <c r="K2142">
        <v>6.7696999999999993E-2</v>
      </c>
      <c r="M2142" t="s">
        <v>1</v>
      </c>
      <c r="N2142">
        <v>3750</v>
      </c>
      <c r="O2142">
        <v>8</v>
      </c>
      <c r="P2142">
        <v>30</v>
      </c>
      <c r="Q2142">
        <v>0</v>
      </c>
      <c r="R2142">
        <v>1078004992</v>
      </c>
      <c r="S2142">
        <v>1692352.97</v>
      </c>
      <c r="T2142">
        <v>1075074410.6500001</v>
      </c>
      <c r="U2142">
        <v>1076303457.6900001</v>
      </c>
      <c r="V2142">
        <v>1.3697000000000001E-2</v>
      </c>
      <c r="W2142">
        <v>1.02E-4</v>
      </c>
      <c r="Y2142" t="s">
        <v>1</v>
      </c>
      <c r="Z2142">
        <v>4500</v>
      </c>
      <c r="AA2142">
        <v>8</v>
      </c>
      <c r="AB2142">
        <v>325</v>
      </c>
      <c r="AC2142">
        <v>0</v>
      </c>
      <c r="AD2142">
        <v>11557229900</v>
      </c>
      <c r="AE2142">
        <v>15903618.130000001</v>
      </c>
      <c r="AF2142">
        <v>11516860273</v>
      </c>
      <c r="AG2142">
        <v>11516860273</v>
      </c>
      <c r="AH2142">
        <v>2.511E-2</v>
      </c>
      <c r="AI2142">
        <v>2.511E-2</v>
      </c>
    </row>
    <row r="2143" spans="1:35" x14ac:dyDescent="0.35">
      <c r="A2143" t="s">
        <v>1</v>
      </c>
      <c r="B2143">
        <v>3750</v>
      </c>
      <c r="C2143">
        <v>9</v>
      </c>
      <c r="D2143">
        <v>21</v>
      </c>
      <c r="E2143">
        <v>0</v>
      </c>
      <c r="F2143">
        <v>870450964</v>
      </c>
      <c r="G2143">
        <v>1404569.69</v>
      </c>
      <c r="H2143">
        <v>867466580.02999997</v>
      </c>
      <c r="I2143">
        <v>869034439.38</v>
      </c>
      <c r="J2143">
        <v>2.1562999999999999E-2</v>
      </c>
      <c r="K2143">
        <v>1.65E-4</v>
      </c>
      <c r="M2143" t="s">
        <v>1</v>
      </c>
      <c r="N2143">
        <v>4250</v>
      </c>
      <c r="O2143">
        <v>8</v>
      </c>
      <c r="P2143">
        <v>120</v>
      </c>
      <c r="Q2143">
        <v>0</v>
      </c>
      <c r="R2143">
        <v>4166605592</v>
      </c>
      <c r="S2143">
        <v>5995832.9000000004</v>
      </c>
      <c r="T2143">
        <v>4154417492.5999999</v>
      </c>
      <c r="U2143">
        <v>4159118033.8200002</v>
      </c>
      <c r="V2143">
        <v>1.7689E-2</v>
      </c>
      <c r="W2143">
        <v>4.2880000000000001E-3</v>
      </c>
      <c r="Y2143" t="s">
        <v>1</v>
      </c>
      <c r="Z2143">
        <v>2500</v>
      </c>
      <c r="AA2143">
        <v>8</v>
      </c>
      <c r="AB2143">
        <v>7</v>
      </c>
      <c r="AC2143">
        <v>0</v>
      </c>
      <c r="AD2143">
        <v>283561625</v>
      </c>
      <c r="AE2143">
        <v>563429.41</v>
      </c>
      <c r="AF2143">
        <v>283283217</v>
      </c>
      <c r="AG2143">
        <v>283283217</v>
      </c>
      <c r="AH2143">
        <v>-1.2128999999999999E-2</v>
      </c>
      <c r="AI2143">
        <v>-1.2128999999999999E-2</v>
      </c>
    </row>
    <row r="2144" spans="1:35" x14ac:dyDescent="0.35">
      <c r="A2144" t="s">
        <v>0</v>
      </c>
      <c r="B2144">
        <v>3750</v>
      </c>
      <c r="C2144">
        <v>9</v>
      </c>
      <c r="D2144">
        <v>63</v>
      </c>
      <c r="E2144">
        <v>0</v>
      </c>
      <c r="F2144">
        <v>2429049714</v>
      </c>
      <c r="G2144">
        <v>3816234.91</v>
      </c>
      <c r="H2144">
        <v>2423494414.4000001</v>
      </c>
      <c r="I2144">
        <v>2424536288.98</v>
      </c>
      <c r="J2144">
        <v>8.5579999999999996E-3</v>
      </c>
      <c r="K2144">
        <v>3.4390000000000002E-3</v>
      </c>
      <c r="M2144" t="s">
        <v>2</v>
      </c>
      <c r="N2144">
        <v>4250</v>
      </c>
      <c r="O2144">
        <v>8</v>
      </c>
      <c r="P2144">
        <v>12</v>
      </c>
      <c r="Q2144">
        <v>0</v>
      </c>
      <c r="R2144">
        <v>323583715</v>
      </c>
      <c r="S2144">
        <v>464471.74</v>
      </c>
      <c r="T2144">
        <v>322980937.89999998</v>
      </c>
      <c r="U2144">
        <v>323119003.99000001</v>
      </c>
      <c r="V2144">
        <v>5.117E-3</v>
      </c>
      <c r="W2144">
        <v>9.0000000000000002E-6</v>
      </c>
      <c r="Y2144" t="s">
        <v>0</v>
      </c>
      <c r="Z2144">
        <v>2500</v>
      </c>
      <c r="AA2144">
        <v>9</v>
      </c>
      <c r="AB2144">
        <v>1</v>
      </c>
      <c r="AC2144">
        <v>0</v>
      </c>
      <c r="AD2144">
        <v>16157741</v>
      </c>
      <c r="AE2144">
        <v>31281.55</v>
      </c>
      <c r="AF2144">
        <v>16095114</v>
      </c>
      <c r="AG2144">
        <v>16095114</v>
      </c>
      <c r="AH2144">
        <v>2.3033000000000001E-2</v>
      </c>
      <c r="AI2144">
        <v>2.3033000000000001E-2</v>
      </c>
    </row>
    <row r="2145" spans="1:35" x14ac:dyDescent="0.35">
      <c r="A2145" t="s">
        <v>0</v>
      </c>
      <c r="B2145">
        <v>4250</v>
      </c>
      <c r="C2145">
        <v>9</v>
      </c>
      <c r="D2145">
        <v>333</v>
      </c>
      <c r="E2145">
        <v>0</v>
      </c>
      <c r="F2145">
        <v>11730771001</v>
      </c>
      <c r="G2145">
        <v>16944125.850000001</v>
      </c>
      <c r="H2145">
        <v>11709539752.290001</v>
      </c>
      <c r="I2145">
        <v>11712977052.360001</v>
      </c>
      <c r="J2145">
        <v>4.3769999999999998E-3</v>
      </c>
      <c r="K2145">
        <v>8.6899999999999998E-4</v>
      </c>
      <c r="M2145" t="s">
        <v>2</v>
      </c>
      <c r="N2145">
        <v>3750</v>
      </c>
      <c r="O2145">
        <v>8</v>
      </c>
      <c r="P2145">
        <v>6</v>
      </c>
      <c r="Q2145">
        <v>0</v>
      </c>
      <c r="R2145">
        <v>130330058</v>
      </c>
      <c r="S2145">
        <v>205339.11</v>
      </c>
      <c r="T2145">
        <v>130056200.29000001</v>
      </c>
      <c r="U2145">
        <v>130124161.92</v>
      </c>
      <c r="V2145">
        <v>6.2909999999999997E-3</v>
      </c>
      <c r="W2145">
        <v>5.1E-5</v>
      </c>
      <c r="Y2145" t="s">
        <v>0</v>
      </c>
      <c r="Z2145">
        <v>2500</v>
      </c>
      <c r="AA2145">
        <v>8</v>
      </c>
      <c r="AB2145">
        <v>5</v>
      </c>
      <c r="AC2145">
        <v>0</v>
      </c>
      <c r="AD2145">
        <v>117440870</v>
      </c>
      <c r="AE2145">
        <v>226517.21</v>
      </c>
      <c r="AF2145">
        <v>117252145</v>
      </c>
      <c r="AG2145">
        <v>117252145</v>
      </c>
      <c r="AH2145">
        <v>-3.8679999999999999E-3</v>
      </c>
      <c r="AI2145">
        <v>-3.8679999999999999E-3</v>
      </c>
    </row>
    <row r="2146" spans="1:35" x14ac:dyDescent="0.35">
      <c r="A2146" t="s">
        <v>1</v>
      </c>
      <c r="B2146">
        <v>4250</v>
      </c>
      <c r="C2146">
        <v>9</v>
      </c>
      <c r="D2146">
        <v>113</v>
      </c>
      <c r="E2146">
        <v>0</v>
      </c>
      <c r="F2146">
        <v>4199233541</v>
      </c>
      <c r="G2146">
        <v>6066101.7999999998</v>
      </c>
      <c r="H2146">
        <v>4186231566.6799998</v>
      </c>
      <c r="I2146">
        <v>4190037891.1100001</v>
      </c>
      <c r="J2146">
        <v>1.9640999999999999E-2</v>
      </c>
      <c r="K2146">
        <v>8.907E-3</v>
      </c>
      <c r="M2146" t="s">
        <v>3</v>
      </c>
      <c r="N2146">
        <v>5500</v>
      </c>
      <c r="O2146">
        <v>8</v>
      </c>
      <c r="P2146">
        <v>4</v>
      </c>
      <c r="Q2146">
        <v>0</v>
      </c>
      <c r="R2146">
        <v>84244587</v>
      </c>
      <c r="S2146">
        <v>96504.99</v>
      </c>
      <c r="T2146">
        <v>84120866.409999996</v>
      </c>
      <c r="U2146">
        <v>84148078.640000001</v>
      </c>
      <c r="V2146">
        <v>3.8700000000000002E-3</v>
      </c>
      <c r="W2146">
        <v>0</v>
      </c>
      <c r="Y2146" t="s">
        <v>2</v>
      </c>
      <c r="Z2146">
        <v>2750</v>
      </c>
      <c r="AA2146">
        <v>9</v>
      </c>
      <c r="AB2146">
        <v>5</v>
      </c>
      <c r="AC2146">
        <v>0</v>
      </c>
      <c r="AD2146">
        <v>151762184</v>
      </c>
      <c r="AE2146">
        <v>289989.06</v>
      </c>
      <c r="AF2146">
        <v>151431660</v>
      </c>
      <c r="AG2146">
        <v>151431660</v>
      </c>
      <c r="AH2146">
        <v>3.2000000000000002E-3</v>
      </c>
      <c r="AI2146">
        <v>3.2000000000000002E-3</v>
      </c>
    </row>
    <row r="2147" spans="1:35" x14ac:dyDescent="0.35">
      <c r="A2147" t="s">
        <v>2</v>
      </c>
      <c r="B2147">
        <v>3750</v>
      </c>
      <c r="C2147">
        <v>9</v>
      </c>
      <c r="D2147">
        <v>4</v>
      </c>
      <c r="E2147">
        <v>0</v>
      </c>
      <c r="F2147">
        <v>101557061</v>
      </c>
      <c r="G2147">
        <v>159937.47</v>
      </c>
      <c r="H2147">
        <v>101325217.90000001</v>
      </c>
      <c r="I2147">
        <v>101396287.09999999</v>
      </c>
      <c r="J2147">
        <v>8.463E-3</v>
      </c>
      <c r="K2147">
        <v>9.8999999999999994E-5</v>
      </c>
      <c r="M2147" t="s">
        <v>3</v>
      </c>
      <c r="N2147">
        <v>5250</v>
      </c>
      <c r="O2147">
        <v>8</v>
      </c>
      <c r="P2147">
        <v>2</v>
      </c>
      <c r="Q2147">
        <v>0</v>
      </c>
      <c r="R2147">
        <v>33767931</v>
      </c>
      <c r="S2147">
        <v>40486.92</v>
      </c>
      <c r="T2147">
        <v>33720534.289999999</v>
      </c>
      <c r="U2147">
        <v>33727444.009999998</v>
      </c>
      <c r="V2147">
        <v>2.4529999999999999E-3</v>
      </c>
      <c r="W2147">
        <v>0</v>
      </c>
      <c r="Y2147" t="s">
        <v>1</v>
      </c>
      <c r="Z2147">
        <v>2500</v>
      </c>
      <c r="AA2147">
        <v>9</v>
      </c>
      <c r="AB2147">
        <v>1</v>
      </c>
      <c r="AC2147">
        <v>0</v>
      </c>
      <c r="AD2147">
        <v>30827646</v>
      </c>
      <c r="AE2147">
        <v>69640.149999999994</v>
      </c>
      <c r="AF2147">
        <v>30827646</v>
      </c>
      <c r="AG2147">
        <v>30827646</v>
      </c>
      <c r="AH2147">
        <v>-2.7448E-2</v>
      </c>
      <c r="AI2147">
        <v>-2.7448E-2</v>
      </c>
    </row>
    <row r="2148" spans="1:35" x14ac:dyDescent="0.35">
      <c r="A2148" t="s">
        <v>2</v>
      </c>
      <c r="B2148">
        <v>4250</v>
      </c>
      <c r="C2148">
        <v>9</v>
      </c>
      <c r="D2148">
        <v>7</v>
      </c>
      <c r="E2148">
        <v>0</v>
      </c>
      <c r="F2148">
        <v>211613778</v>
      </c>
      <c r="G2148">
        <v>304806.40000000002</v>
      </c>
      <c r="H2148">
        <v>211237974.21000001</v>
      </c>
      <c r="I2148">
        <v>211308584.21000001</v>
      </c>
      <c r="J2148">
        <v>4.019E-3</v>
      </c>
      <c r="K2148">
        <v>2.1999999999999999E-5</v>
      </c>
      <c r="M2148" t="s">
        <v>3</v>
      </c>
      <c r="N2148">
        <v>5250</v>
      </c>
      <c r="O2148">
        <v>9</v>
      </c>
      <c r="P2148">
        <v>1</v>
      </c>
      <c r="Q2148">
        <v>0</v>
      </c>
      <c r="R2148">
        <v>28875784</v>
      </c>
      <c r="S2148">
        <v>34814.57</v>
      </c>
      <c r="T2148">
        <v>28794857.949999999</v>
      </c>
      <c r="U2148">
        <v>28840969.27</v>
      </c>
      <c r="V2148">
        <v>1.8995000000000001E-2</v>
      </c>
      <c r="W2148">
        <v>0</v>
      </c>
      <c r="Y2148" t="s">
        <v>2</v>
      </c>
      <c r="Z2148">
        <v>2750</v>
      </c>
      <c r="AA2148">
        <v>10</v>
      </c>
      <c r="AB2148">
        <v>3</v>
      </c>
      <c r="AC2148">
        <v>0</v>
      </c>
      <c r="AD2148">
        <v>54394432</v>
      </c>
      <c r="AE2148">
        <v>101498.4</v>
      </c>
      <c r="AF2148">
        <v>54241937</v>
      </c>
      <c r="AG2148">
        <v>54241937</v>
      </c>
      <c r="AH2148">
        <v>1.1193E-2</v>
      </c>
      <c r="AI2148">
        <v>1.1193E-2</v>
      </c>
    </row>
    <row r="2149" spans="1:35" x14ac:dyDescent="0.35">
      <c r="A2149" t="s">
        <v>2</v>
      </c>
      <c r="B2149">
        <v>4500</v>
      </c>
      <c r="C2149">
        <v>9</v>
      </c>
      <c r="D2149">
        <v>36</v>
      </c>
      <c r="E2149">
        <v>0</v>
      </c>
      <c r="F2149">
        <v>934910352</v>
      </c>
      <c r="G2149">
        <v>1293894.48</v>
      </c>
      <c r="H2149">
        <v>933395106.35000002</v>
      </c>
      <c r="I2149">
        <v>933604078.90999997</v>
      </c>
      <c r="J2149">
        <v>2.8370000000000001E-3</v>
      </c>
      <c r="K2149">
        <v>1.5899999999999999E-4</v>
      </c>
      <c r="M2149" t="s">
        <v>2</v>
      </c>
      <c r="N2149">
        <v>2500</v>
      </c>
      <c r="O2149">
        <v>9</v>
      </c>
      <c r="P2149">
        <v>1</v>
      </c>
      <c r="Q2149">
        <v>0</v>
      </c>
      <c r="R2149">
        <v>23052005</v>
      </c>
      <c r="S2149">
        <v>44628.92</v>
      </c>
      <c r="T2149">
        <v>22815596.649999999</v>
      </c>
      <c r="U2149">
        <v>22897823.780000001</v>
      </c>
      <c r="V2149">
        <v>9.5389000000000002E-2</v>
      </c>
      <c r="W2149">
        <v>5.5562E-2</v>
      </c>
      <c r="Y2149" t="s">
        <v>1</v>
      </c>
      <c r="Z2149">
        <v>2750</v>
      </c>
      <c r="AA2149">
        <v>9</v>
      </c>
      <c r="AB2149">
        <v>1</v>
      </c>
      <c r="AC2149">
        <v>0</v>
      </c>
      <c r="AD2149">
        <v>18853189</v>
      </c>
      <c r="AE2149">
        <v>41258.01</v>
      </c>
      <c r="AF2149">
        <v>18811745</v>
      </c>
      <c r="AG2149">
        <v>18811745</v>
      </c>
      <c r="AH2149">
        <v>1.18E-4</v>
      </c>
      <c r="AI2149">
        <v>1.18E-4</v>
      </c>
    </row>
    <row r="2150" spans="1:35" x14ac:dyDescent="0.35">
      <c r="A2150" t="s">
        <v>3</v>
      </c>
      <c r="B2150">
        <v>5500</v>
      </c>
      <c r="C2150">
        <v>9</v>
      </c>
      <c r="D2150">
        <v>4</v>
      </c>
      <c r="E2150">
        <v>0</v>
      </c>
      <c r="F2150">
        <v>94009751</v>
      </c>
      <c r="G2150">
        <v>109212.52</v>
      </c>
      <c r="H2150">
        <v>93728828.879999995</v>
      </c>
      <c r="I2150">
        <v>93900537.430000007</v>
      </c>
      <c r="J2150">
        <v>2.1699E-2</v>
      </c>
      <c r="K2150">
        <v>0</v>
      </c>
      <c r="M2150" t="s">
        <v>2</v>
      </c>
      <c r="N2150">
        <v>2500</v>
      </c>
      <c r="O2150">
        <v>8</v>
      </c>
      <c r="P2150">
        <v>1</v>
      </c>
      <c r="Q2150">
        <v>0</v>
      </c>
      <c r="R2150">
        <v>19055805</v>
      </c>
      <c r="S2150">
        <v>44588.27</v>
      </c>
      <c r="T2150">
        <v>18974641.609999999</v>
      </c>
      <c r="U2150">
        <v>19011192.190000001</v>
      </c>
      <c r="V2150">
        <v>2.2790999999999999E-2</v>
      </c>
      <c r="W2150">
        <v>1.5E-5</v>
      </c>
      <c r="Y2150" t="s">
        <v>0</v>
      </c>
      <c r="Z2150">
        <v>3000</v>
      </c>
      <c r="AA2150">
        <v>8</v>
      </c>
      <c r="AB2150">
        <v>5</v>
      </c>
      <c r="AC2150">
        <v>0</v>
      </c>
      <c r="AD2150">
        <v>110091421</v>
      </c>
      <c r="AE2150">
        <v>198636.6</v>
      </c>
      <c r="AF2150">
        <v>109968884</v>
      </c>
      <c r="AG2150">
        <v>109968884</v>
      </c>
      <c r="AH2150">
        <v>-8.3260000000000001E-3</v>
      </c>
      <c r="AI2150">
        <v>-8.3260000000000001E-3</v>
      </c>
    </row>
    <row r="2151" spans="1:35" x14ac:dyDescent="0.35">
      <c r="A2151" t="s">
        <v>3</v>
      </c>
      <c r="B2151">
        <v>5250</v>
      </c>
      <c r="C2151">
        <v>9</v>
      </c>
      <c r="D2151">
        <v>3</v>
      </c>
      <c r="E2151">
        <v>0</v>
      </c>
      <c r="F2151">
        <v>96202476</v>
      </c>
      <c r="G2151">
        <v>115988.12</v>
      </c>
      <c r="H2151">
        <v>95923869.469999999</v>
      </c>
      <c r="I2151">
        <v>96086487.480000004</v>
      </c>
      <c r="J2151">
        <v>2.0097E-2</v>
      </c>
      <c r="K2151">
        <v>0</v>
      </c>
      <c r="M2151" t="s">
        <v>1</v>
      </c>
      <c r="N2151">
        <v>2250</v>
      </c>
      <c r="O2151">
        <v>7</v>
      </c>
      <c r="P2151">
        <v>2</v>
      </c>
      <c r="Q2151">
        <v>0</v>
      </c>
      <c r="R2151">
        <v>71915848</v>
      </c>
      <c r="S2151">
        <v>172002.61</v>
      </c>
      <c r="T2151">
        <v>71529068</v>
      </c>
      <c r="U2151">
        <v>71743765.879999995</v>
      </c>
      <c r="V2151">
        <v>3.5255000000000002E-2</v>
      </c>
      <c r="W2151">
        <v>1.2999999999999999E-5</v>
      </c>
      <c r="Y2151" t="s">
        <v>0</v>
      </c>
      <c r="Z2151">
        <v>3250</v>
      </c>
      <c r="AA2151">
        <v>8</v>
      </c>
      <c r="AB2151">
        <v>5</v>
      </c>
      <c r="AC2151">
        <v>0</v>
      </c>
      <c r="AD2151">
        <v>109067550</v>
      </c>
      <c r="AE2151">
        <v>187955.52</v>
      </c>
      <c r="AF2151">
        <v>108737854</v>
      </c>
      <c r="AG2151">
        <v>108737854</v>
      </c>
      <c r="AH2151">
        <v>1.5484E-2</v>
      </c>
      <c r="AI2151">
        <v>1.5484E-2</v>
      </c>
    </row>
    <row r="2152" spans="1:35" x14ac:dyDescent="0.35">
      <c r="A2152" t="s">
        <v>3</v>
      </c>
      <c r="B2152">
        <v>7250</v>
      </c>
      <c r="C2152">
        <v>9</v>
      </c>
      <c r="D2152">
        <v>1</v>
      </c>
      <c r="E2152">
        <v>0</v>
      </c>
      <c r="F2152">
        <v>20187897</v>
      </c>
      <c r="G2152">
        <v>17153.86</v>
      </c>
      <c r="H2152">
        <v>20112511.039999999</v>
      </c>
      <c r="I2152">
        <v>20170742.140000001</v>
      </c>
      <c r="J2152">
        <v>3.4070000000000003E-2</v>
      </c>
      <c r="K2152">
        <v>9.9999999999999995E-7</v>
      </c>
      <c r="M2152" t="s">
        <v>1</v>
      </c>
      <c r="N2152">
        <v>3000</v>
      </c>
      <c r="O2152">
        <v>7</v>
      </c>
      <c r="P2152">
        <v>2</v>
      </c>
      <c r="Q2152">
        <v>0</v>
      </c>
      <c r="R2152">
        <v>46360798</v>
      </c>
      <c r="S2152">
        <v>97493.59</v>
      </c>
      <c r="T2152">
        <v>46138854.649999999</v>
      </c>
      <c r="U2152">
        <v>46262885.109999999</v>
      </c>
      <c r="V2152">
        <v>3.1740999999999998E-2</v>
      </c>
      <c r="W2152">
        <v>1.0900000000000001E-4</v>
      </c>
      <c r="Y2152" t="s">
        <v>0</v>
      </c>
      <c r="Z2152">
        <v>2750</v>
      </c>
      <c r="AA2152">
        <v>8</v>
      </c>
      <c r="AB2152">
        <v>9</v>
      </c>
      <c r="AC2152">
        <v>0</v>
      </c>
      <c r="AD2152">
        <v>207988358</v>
      </c>
      <c r="AE2152">
        <v>385686.36</v>
      </c>
      <c r="AF2152">
        <v>207739558</v>
      </c>
      <c r="AG2152">
        <v>207739558</v>
      </c>
      <c r="AH2152">
        <v>-7.9260000000000008E-3</v>
      </c>
      <c r="AI2152">
        <v>-7.9260000000000008E-3</v>
      </c>
    </row>
    <row r="2153" spans="1:35" x14ac:dyDescent="0.35">
      <c r="A2153" t="s">
        <v>1</v>
      </c>
      <c r="B2153">
        <v>8000</v>
      </c>
      <c r="C2153">
        <v>9</v>
      </c>
      <c r="D2153">
        <v>4</v>
      </c>
      <c r="E2153">
        <v>0</v>
      </c>
      <c r="F2153">
        <v>149949824</v>
      </c>
      <c r="G2153">
        <v>107480.13</v>
      </c>
      <c r="H2153">
        <v>137860537.87</v>
      </c>
      <c r="I2153">
        <v>146543703.21000001</v>
      </c>
      <c r="J2153">
        <v>0.63188</v>
      </c>
      <c r="K2153">
        <v>0.23427100000000001</v>
      </c>
      <c r="M2153" t="s">
        <v>2</v>
      </c>
      <c r="N2153">
        <v>3000</v>
      </c>
      <c r="O2153">
        <v>12</v>
      </c>
      <c r="P2153">
        <v>1</v>
      </c>
      <c r="Q2153">
        <v>0</v>
      </c>
      <c r="R2153">
        <v>20963242</v>
      </c>
      <c r="S2153">
        <v>45049.11</v>
      </c>
      <c r="T2153">
        <v>20826028</v>
      </c>
      <c r="U2153">
        <v>20864628.129999999</v>
      </c>
      <c r="V2153">
        <v>5.1500999999999998E-2</v>
      </c>
      <c r="W2153">
        <v>3.0235000000000001E-2</v>
      </c>
      <c r="Y2153" t="s">
        <v>2</v>
      </c>
      <c r="Z2153">
        <v>3000</v>
      </c>
      <c r="AA2153">
        <v>10</v>
      </c>
      <c r="AB2153">
        <v>1</v>
      </c>
      <c r="AC2153">
        <v>0</v>
      </c>
      <c r="AD2153">
        <v>11090994</v>
      </c>
      <c r="AE2153">
        <v>20190.12</v>
      </c>
      <c r="AF2153">
        <v>11050906</v>
      </c>
      <c r="AG2153">
        <v>11050906</v>
      </c>
      <c r="AH2153">
        <v>2.1318E-2</v>
      </c>
      <c r="AI2153">
        <v>2.1318E-2</v>
      </c>
    </row>
    <row r="2154" spans="1:35" x14ac:dyDescent="0.35">
      <c r="A2154" t="s">
        <v>1</v>
      </c>
      <c r="B2154">
        <v>4000</v>
      </c>
      <c r="C2154">
        <v>8</v>
      </c>
      <c r="D2154">
        <v>289</v>
      </c>
      <c r="E2154">
        <v>0</v>
      </c>
      <c r="F2154">
        <v>11514175385</v>
      </c>
      <c r="G2154">
        <v>17288192.829999998</v>
      </c>
      <c r="H2154">
        <v>11484291854.610001</v>
      </c>
      <c r="I2154">
        <v>11493520490.07</v>
      </c>
      <c r="J2154">
        <v>1.3048000000000001E-2</v>
      </c>
      <c r="K2154">
        <v>3.503E-3</v>
      </c>
      <c r="M2154" t="s">
        <v>1</v>
      </c>
      <c r="N2154">
        <v>3000</v>
      </c>
      <c r="O2154">
        <v>8</v>
      </c>
      <c r="P2154">
        <v>1</v>
      </c>
      <c r="Q2154">
        <v>0</v>
      </c>
      <c r="R2154">
        <v>19709868</v>
      </c>
      <c r="S2154">
        <v>42822.92</v>
      </c>
      <c r="T2154">
        <v>19555002.52</v>
      </c>
      <c r="U2154">
        <v>19666934.98</v>
      </c>
      <c r="V2154">
        <v>6.6122E-2</v>
      </c>
      <c r="W2154">
        <v>6.7000000000000002E-5</v>
      </c>
      <c r="Y2154" t="s">
        <v>1</v>
      </c>
      <c r="Z2154">
        <v>3250</v>
      </c>
      <c r="AA2154">
        <v>8</v>
      </c>
      <c r="AB2154">
        <v>3</v>
      </c>
      <c r="AC2154">
        <v>0</v>
      </c>
      <c r="AD2154">
        <v>125282056</v>
      </c>
      <c r="AE2154">
        <v>220417.63</v>
      </c>
      <c r="AF2154">
        <v>125001087</v>
      </c>
      <c r="AG2154">
        <v>125001087</v>
      </c>
      <c r="AH2154">
        <v>5.7840000000000001E-3</v>
      </c>
      <c r="AI2154">
        <v>5.7840000000000001E-3</v>
      </c>
    </row>
    <row r="2155" spans="1:35" x14ac:dyDescent="0.35">
      <c r="A2155" t="s">
        <v>1</v>
      </c>
      <c r="B2155">
        <v>2250</v>
      </c>
      <c r="C2155">
        <v>8</v>
      </c>
      <c r="D2155">
        <v>3</v>
      </c>
      <c r="E2155">
        <v>0</v>
      </c>
      <c r="F2155">
        <v>92438768</v>
      </c>
      <c r="G2155">
        <v>215459.13</v>
      </c>
      <c r="H2155">
        <v>91941075.959999993</v>
      </c>
      <c r="I2155">
        <v>92134490.310000002</v>
      </c>
      <c r="J2155">
        <v>3.6028999999999999E-2</v>
      </c>
      <c r="K2155">
        <v>1.1469E-2</v>
      </c>
      <c r="M2155" t="s">
        <v>1</v>
      </c>
      <c r="N2155">
        <v>2750</v>
      </c>
      <c r="O2155">
        <v>8</v>
      </c>
      <c r="P2155">
        <v>1</v>
      </c>
      <c r="Q2155">
        <v>0</v>
      </c>
      <c r="R2155">
        <v>43833146</v>
      </c>
      <c r="S2155">
        <v>91769.76</v>
      </c>
      <c r="T2155">
        <v>41843405.729999997</v>
      </c>
      <c r="U2155">
        <v>42013536.119999997</v>
      </c>
      <c r="V2155">
        <v>0.41209099999999999</v>
      </c>
      <c r="W2155">
        <v>0.382822</v>
      </c>
      <c r="Y2155" t="s">
        <v>2</v>
      </c>
      <c r="Z2155">
        <v>3000</v>
      </c>
      <c r="AA2155">
        <v>9</v>
      </c>
      <c r="AB2155">
        <v>3</v>
      </c>
      <c r="AC2155">
        <v>0</v>
      </c>
      <c r="AD2155">
        <v>47143217</v>
      </c>
      <c r="AE2155">
        <v>84948.54</v>
      </c>
      <c r="AF2155">
        <v>47033923</v>
      </c>
      <c r="AG2155">
        <v>47033923</v>
      </c>
      <c r="AH2155">
        <v>6.1789999999999996E-3</v>
      </c>
      <c r="AI2155">
        <v>6.1789999999999996E-3</v>
      </c>
    </row>
    <row r="2156" spans="1:35" x14ac:dyDescent="0.35">
      <c r="A2156" t="s">
        <v>1</v>
      </c>
      <c r="B2156">
        <v>2250</v>
      </c>
      <c r="C2156">
        <v>9</v>
      </c>
      <c r="D2156">
        <v>1</v>
      </c>
      <c r="E2156">
        <v>0</v>
      </c>
      <c r="F2156">
        <v>33253471</v>
      </c>
      <c r="G2156">
        <v>75308.53</v>
      </c>
      <c r="H2156">
        <v>33013349.949999999</v>
      </c>
      <c r="I2156">
        <v>33178109.809999999</v>
      </c>
      <c r="J2156">
        <v>5.7880000000000001E-2</v>
      </c>
      <c r="K2156">
        <v>1.9000000000000001E-5</v>
      </c>
      <c r="M2156" t="s">
        <v>0</v>
      </c>
      <c r="N2156">
        <v>3000</v>
      </c>
      <c r="O2156">
        <v>8</v>
      </c>
      <c r="P2156">
        <v>1</v>
      </c>
      <c r="Q2156">
        <v>0</v>
      </c>
      <c r="R2156">
        <v>32272773</v>
      </c>
      <c r="S2156">
        <v>57292.19</v>
      </c>
      <c r="T2156">
        <v>32181389.43</v>
      </c>
      <c r="U2156">
        <v>32215162.84</v>
      </c>
      <c r="V2156">
        <v>1.2603E-2</v>
      </c>
      <c r="W2156">
        <v>1.18E-4</v>
      </c>
      <c r="Y2156" t="s">
        <v>2</v>
      </c>
      <c r="Z2156">
        <v>3250</v>
      </c>
      <c r="AA2156">
        <v>9</v>
      </c>
      <c r="AB2156">
        <v>3</v>
      </c>
      <c r="AC2156">
        <v>0</v>
      </c>
      <c r="AD2156">
        <v>50010317</v>
      </c>
      <c r="AE2156">
        <v>86609.46</v>
      </c>
      <c r="AF2156">
        <v>49924764</v>
      </c>
      <c r="AG2156">
        <v>49924764</v>
      </c>
      <c r="AH2156">
        <v>-2.5399999999999999E-4</v>
      </c>
      <c r="AI2156">
        <v>-2.5399999999999999E-4</v>
      </c>
    </row>
    <row r="2157" spans="1:35" x14ac:dyDescent="0.35">
      <c r="A2157" t="s">
        <v>2</v>
      </c>
      <c r="B2157">
        <v>2250</v>
      </c>
      <c r="C2157">
        <v>9</v>
      </c>
      <c r="D2157">
        <v>1</v>
      </c>
      <c r="E2157">
        <v>0</v>
      </c>
      <c r="F2157">
        <v>19131897</v>
      </c>
      <c r="G2157">
        <v>43149.03</v>
      </c>
      <c r="H2157">
        <v>19027093.890000001</v>
      </c>
      <c r="I2157">
        <v>19088733.960000001</v>
      </c>
      <c r="J2157">
        <v>3.7992999999999999E-2</v>
      </c>
      <c r="K2157">
        <v>9.0000000000000002E-6</v>
      </c>
      <c r="M2157" t="s">
        <v>1</v>
      </c>
      <c r="N2157">
        <v>3500</v>
      </c>
      <c r="O2157">
        <v>7</v>
      </c>
      <c r="P2157">
        <v>9</v>
      </c>
      <c r="Q2157">
        <v>0</v>
      </c>
      <c r="R2157">
        <v>307975621</v>
      </c>
      <c r="S2157">
        <v>530085.4</v>
      </c>
      <c r="T2157">
        <v>306637303.52999997</v>
      </c>
      <c r="U2157">
        <v>307412757.82999998</v>
      </c>
      <c r="V2157">
        <v>3.1040999999999999E-2</v>
      </c>
      <c r="W2157">
        <v>1.276E-3</v>
      </c>
      <c r="Y2157" t="s">
        <v>1</v>
      </c>
      <c r="Z2157">
        <v>2750</v>
      </c>
      <c r="AA2157">
        <v>8</v>
      </c>
      <c r="AB2157">
        <v>4</v>
      </c>
      <c r="AC2157">
        <v>0</v>
      </c>
      <c r="AD2157">
        <v>105262971</v>
      </c>
      <c r="AE2157">
        <v>218672.31</v>
      </c>
      <c r="AF2157">
        <v>105031941</v>
      </c>
      <c r="AG2157">
        <v>105031941</v>
      </c>
      <c r="AH2157">
        <v>1.408E-3</v>
      </c>
      <c r="AI2157">
        <v>1.408E-3</v>
      </c>
    </row>
    <row r="2158" spans="1:35" x14ac:dyDescent="0.35">
      <c r="A2158" t="s">
        <v>1</v>
      </c>
      <c r="B2158">
        <v>3000</v>
      </c>
      <c r="C2158">
        <v>9</v>
      </c>
      <c r="D2158">
        <v>5</v>
      </c>
      <c r="E2158">
        <v>0</v>
      </c>
      <c r="F2158">
        <v>129320891</v>
      </c>
      <c r="G2158">
        <v>266835.5</v>
      </c>
      <c r="H2158">
        <v>128782545.93000001</v>
      </c>
      <c r="I2158">
        <v>129050766.92</v>
      </c>
      <c r="J2158">
        <v>2.4905E-2</v>
      </c>
      <c r="K2158">
        <v>3.0499999999999999E-4</v>
      </c>
      <c r="M2158" t="s">
        <v>0</v>
      </c>
      <c r="N2158">
        <v>3500</v>
      </c>
      <c r="O2158">
        <v>7</v>
      </c>
      <c r="P2158">
        <v>5</v>
      </c>
      <c r="Q2158">
        <v>0</v>
      </c>
      <c r="R2158">
        <v>155875993</v>
      </c>
      <c r="S2158">
        <v>254572.41</v>
      </c>
      <c r="T2158">
        <v>155598087.81999999</v>
      </c>
      <c r="U2158">
        <v>155617275.69</v>
      </c>
      <c r="V2158">
        <v>1.7949999999999999E-3</v>
      </c>
      <c r="W2158">
        <v>3.19E-4</v>
      </c>
      <c r="Y2158" t="s">
        <v>2</v>
      </c>
      <c r="Z2158">
        <v>3500</v>
      </c>
      <c r="AA2158">
        <v>9</v>
      </c>
      <c r="AB2158">
        <v>4</v>
      </c>
      <c r="AC2158">
        <v>0</v>
      </c>
      <c r="AD2158">
        <v>64476645</v>
      </c>
      <c r="AE2158">
        <v>107272.56</v>
      </c>
      <c r="AF2158">
        <v>64381683</v>
      </c>
      <c r="AG2158">
        <v>64381683</v>
      </c>
      <c r="AH2158">
        <v>-2.294E-3</v>
      </c>
      <c r="AI2158">
        <v>-2.294E-3</v>
      </c>
    </row>
    <row r="2159" spans="1:35" x14ac:dyDescent="0.35">
      <c r="A2159" t="s">
        <v>0</v>
      </c>
      <c r="B2159">
        <v>3250</v>
      </c>
      <c r="C2159">
        <v>8</v>
      </c>
      <c r="D2159">
        <v>12</v>
      </c>
      <c r="E2159">
        <v>0</v>
      </c>
      <c r="F2159">
        <v>259816152</v>
      </c>
      <c r="G2159">
        <v>443535.73</v>
      </c>
      <c r="H2159">
        <v>259078527.83000001</v>
      </c>
      <c r="I2159">
        <v>259315269.91</v>
      </c>
      <c r="J2159">
        <v>1.3499000000000001E-2</v>
      </c>
      <c r="K2159">
        <v>2.6450000000000002E-3</v>
      </c>
      <c r="M2159" t="s">
        <v>1</v>
      </c>
      <c r="N2159">
        <v>3750</v>
      </c>
      <c r="O2159">
        <v>7</v>
      </c>
      <c r="P2159">
        <v>34</v>
      </c>
      <c r="Q2159">
        <v>0</v>
      </c>
      <c r="R2159">
        <v>1213777933</v>
      </c>
      <c r="S2159">
        <v>1912192.63</v>
      </c>
      <c r="T2159">
        <v>1208153109.1700001</v>
      </c>
      <c r="U2159">
        <v>1211816090.73</v>
      </c>
      <c r="V2159">
        <v>3.6094000000000001E-2</v>
      </c>
      <c r="W2159">
        <v>4.9100000000000001E-4</v>
      </c>
      <c r="Y2159" t="s">
        <v>0</v>
      </c>
      <c r="Z2159">
        <v>3500</v>
      </c>
      <c r="AA2159">
        <v>8</v>
      </c>
      <c r="AB2159">
        <v>4</v>
      </c>
      <c r="AC2159">
        <v>0</v>
      </c>
      <c r="AD2159">
        <v>109378661</v>
      </c>
      <c r="AE2159">
        <v>180974.33</v>
      </c>
      <c r="AF2159">
        <v>109135501</v>
      </c>
      <c r="AG2159">
        <v>109135501</v>
      </c>
      <c r="AH2159">
        <v>6.8009999999999998E-3</v>
      </c>
      <c r="AI2159">
        <v>6.8009999999999998E-3</v>
      </c>
    </row>
    <row r="2160" spans="1:35" x14ac:dyDescent="0.35">
      <c r="A2160" t="s">
        <v>0</v>
      </c>
      <c r="B2160">
        <v>2750</v>
      </c>
      <c r="C2160">
        <v>8</v>
      </c>
      <c r="D2160">
        <v>3</v>
      </c>
      <c r="E2160">
        <v>0</v>
      </c>
      <c r="F2160">
        <v>67386205</v>
      </c>
      <c r="G2160">
        <v>124702.54</v>
      </c>
      <c r="H2160">
        <v>66933132.93</v>
      </c>
      <c r="I2160">
        <v>67039437.960000001</v>
      </c>
      <c r="J2160">
        <v>5.6932999999999997E-2</v>
      </c>
      <c r="K2160">
        <v>3.8836000000000002E-2</v>
      </c>
      <c r="M2160" t="s">
        <v>2</v>
      </c>
      <c r="N2160">
        <v>3250</v>
      </c>
      <c r="O2160">
        <v>8</v>
      </c>
      <c r="P2160">
        <v>1</v>
      </c>
      <c r="Q2160">
        <v>0</v>
      </c>
      <c r="R2160">
        <v>24848344</v>
      </c>
      <c r="S2160">
        <v>42298.879999999997</v>
      </c>
      <c r="T2160">
        <v>24784775.73</v>
      </c>
      <c r="U2160">
        <v>24806037.289999999</v>
      </c>
      <c r="V2160">
        <v>1.0222999999999999E-2</v>
      </c>
      <c r="W2160">
        <v>3.9999999999999998E-6</v>
      </c>
      <c r="Y2160" t="s">
        <v>1</v>
      </c>
      <c r="Z2160">
        <v>3750</v>
      </c>
      <c r="AA2160">
        <v>8</v>
      </c>
      <c r="AB2160">
        <v>21</v>
      </c>
      <c r="AC2160">
        <v>0</v>
      </c>
      <c r="AD2160">
        <v>872502044</v>
      </c>
      <c r="AE2160">
        <v>1401393.95</v>
      </c>
      <c r="AF2160">
        <v>870450964</v>
      </c>
      <c r="AG2160">
        <v>870450964</v>
      </c>
      <c r="AH2160">
        <v>8.8990000000000007E-3</v>
      </c>
      <c r="AI2160">
        <v>8.8990000000000007E-3</v>
      </c>
    </row>
    <row r="2161" spans="1:35" x14ac:dyDescent="0.35">
      <c r="A2161" t="s">
        <v>0</v>
      </c>
      <c r="B2161">
        <v>3000</v>
      </c>
      <c r="C2161">
        <v>8</v>
      </c>
      <c r="D2161">
        <v>5</v>
      </c>
      <c r="E2161">
        <v>0</v>
      </c>
      <c r="F2161">
        <v>156362267</v>
      </c>
      <c r="G2161">
        <v>281495.67</v>
      </c>
      <c r="H2161">
        <v>155893021.49000001</v>
      </c>
      <c r="I2161">
        <v>156018892.28</v>
      </c>
      <c r="J2161">
        <v>1.4314E-2</v>
      </c>
      <c r="K2161">
        <v>4.7390000000000002E-3</v>
      </c>
      <c r="M2161" t="s">
        <v>2</v>
      </c>
      <c r="N2161">
        <v>3500</v>
      </c>
      <c r="O2161">
        <v>9</v>
      </c>
      <c r="P2161">
        <v>1</v>
      </c>
      <c r="Q2161">
        <v>0</v>
      </c>
      <c r="R2161">
        <v>12989822</v>
      </c>
      <c r="S2161">
        <v>22172.7</v>
      </c>
      <c r="T2161">
        <v>12816724.77</v>
      </c>
      <c r="U2161">
        <v>12965842.869999999</v>
      </c>
      <c r="V2161">
        <v>0.130851</v>
      </c>
      <c r="W2161">
        <v>1.668E-3</v>
      </c>
      <c r="Y2161" t="s">
        <v>0</v>
      </c>
      <c r="Z2161">
        <v>3750</v>
      </c>
      <c r="AA2161">
        <v>8</v>
      </c>
      <c r="AB2161">
        <v>63</v>
      </c>
      <c r="AC2161">
        <v>0</v>
      </c>
      <c r="AD2161">
        <v>2432770974</v>
      </c>
      <c r="AE2161">
        <v>3804222.17</v>
      </c>
      <c r="AF2161">
        <v>2429049714</v>
      </c>
      <c r="AG2161">
        <v>2429049714</v>
      </c>
      <c r="AH2161">
        <v>-4.0900000000000002E-4</v>
      </c>
      <c r="AI2161">
        <v>-4.0900000000000002E-4</v>
      </c>
    </row>
    <row r="2162" spans="1:35" x14ac:dyDescent="0.35">
      <c r="A2162" t="s">
        <v>2</v>
      </c>
      <c r="B2162">
        <v>3250</v>
      </c>
      <c r="C2162">
        <v>9</v>
      </c>
      <c r="D2162">
        <v>4</v>
      </c>
      <c r="E2162">
        <v>0</v>
      </c>
      <c r="F2162">
        <v>47906640</v>
      </c>
      <c r="G2162">
        <v>82293.460000000006</v>
      </c>
      <c r="H2162">
        <v>47584310.020000003</v>
      </c>
      <c r="I2162">
        <v>47711121.350000001</v>
      </c>
      <c r="J2162">
        <v>5.8495999999999999E-2</v>
      </c>
      <c r="K2162">
        <v>2.7996E-2</v>
      </c>
      <c r="M2162" t="s">
        <v>0</v>
      </c>
      <c r="N2162">
        <v>3250</v>
      </c>
      <c r="O2162">
        <v>7</v>
      </c>
      <c r="P2162">
        <v>4</v>
      </c>
      <c r="Q2162">
        <v>0</v>
      </c>
      <c r="R2162">
        <v>106855944</v>
      </c>
      <c r="S2162">
        <v>181664.07</v>
      </c>
      <c r="T2162">
        <v>106517692.48</v>
      </c>
      <c r="U2162">
        <v>106671276.81</v>
      </c>
      <c r="V2162">
        <v>1.7444000000000001E-2</v>
      </c>
      <c r="W2162">
        <v>3.3700000000000001E-4</v>
      </c>
      <c r="Y2162" t="s">
        <v>0</v>
      </c>
      <c r="Z2162">
        <v>4250</v>
      </c>
      <c r="AA2162">
        <v>8</v>
      </c>
      <c r="AB2162">
        <v>333</v>
      </c>
      <c r="AC2162">
        <v>0</v>
      </c>
      <c r="AD2162">
        <v>11748505757</v>
      </c>
      <c r="AE2162">
        <v>16885768.449999999</v>
      </c>
      <c r="AF2162">
        <v>11730771001</v>
      </c>
      <c r="AG2162">
        <v>11730771001</v>
      </c>
      <c r="AH2162">
        <v>8.6700000000000004E-4</v>
      </c>
      <c r="AI2162">
        <v>8.6700000000000004E-4</v>
      </c>
    </row>
    <row r="2163" spans="1:35" x14ac:dyDescent="0.35">
      <c r="A2163" t="s">
        <v>1</v>
      </c>
      <c r="B2163">
        <v>2750</v>
      </c>
      <c r="C2163">
        <v>8</v>
      </c>
      <c r="D2163">
        <v>1</v>
      </c>
      <c r="E2163">
        <v>0</v>
      </c>
      <c r="F2163">
        <v>17008907</v>
      </c>
      <c r="G2163">
        <v>34842.629999999997</v>
      </c>
      <c r="H2163">
        <v>16949209.41</v>
      </c>
      <c r="I2163">
        <v>16973877.690000001</v>
      </c>
      <c r="J2163">
        <v>1.7395000000000001E-2</v>
      </c>
      <c r="K2163">
        <v>1.3200000000000001E-4</v>
      </c>
      <c r="M2163" t="s">
        <v>1</v>
      </c>
      <c r="N2163">
        <v>3250</v>
      </c>
      <c r="O2163">
        <v>7</v>
      </c>
      <c r="P2163">
        <v>5</v>
      </c>
      <c r="Q2163">
        <v>0</v>
      </c>
      <c r="R2163">
        <v>96622003</v>
      </c>
      <c r="S2163">
        <v>176496.05</v>
      </c>
      <c r="T2163">
        <v>95740342.079999998</v>
      </c>
      <c r="U2163">
        <v>96444501.650000006</v>
      </c>
      <c r="V2163">
        <v>8.4147E-2</v>
      </c>
      <c r="W2163">
        <v>1.25E-4</v>
      </c>
      <c r="Y2163" t="s">
        <v>1</v>
      </c>
      <c r="Z2163">
        <v>4250</v>
      </c>
      <c r="AA2163">
        <v>8</v>
      </c>
      <c r="AB2163">
        <v>113</v>
      </c>
      <c r="AC2163">
        <v>0</v>
      </c>
      <c r="AD2163">
        <v>4206101458</v>
      </c>
      <c r="AE2163">
        <v>6045959.6500000004</v>
      </c>
      <c r="AF2163">
        <v>4199233541</v>
      </c>
      <c r="AG2163">
        <v>4199233541</v>
      </c>
      <c r="AH2163">
        <v>2.343E-3</v>
      </c>
      <c r="AI2163">
        <v>2.343E-3</v>
      </c>
    </row>
    <row r="2164" spans="1:35" x14ac:dyDescent="0.35">
      <c r="A2164" t="s">
        <v>2</v>
      </c>
      <c r="B2164">
        <v>3000</v>
      </c>
      <c r="C2164">
        <v>9</v>
      </c>
      <c r="D2164">
        <v>2</v>
      </c>
      <c r="E2164">
        <v>0</v>
      </c>
      <c r="F2164">
        <v>34928203</v>
      </c>
      <c r="G2164">
        <v>62271.8</v>
      </c>
      <c r="H2164">
        <v>34806506.079999998</v>
      </c>
      <c r="I2164">
        <v>34865845.439999998</v>
      </c>
      <c r="J2164">
        <v>2.0226000000000001E-2</v>
      </c>
      <c r="K2164">
        <v>2.9E-5</v>
      </c>
      <c r="M2164" t="s">
        <v>0</v>
      </c>
      <c r="N2164">
        <v>4250</v>
      </c>
      <c r="O2164">
        <v>7</v>
      </c>
      <c r="P2164">
        <v>395</v>
      </c>
      <c r="Q2164">
        <v>0</v>
      </c>
      <c r="R2164">
        <v>13137938483</v>
      </c>
      <c r="S2164">
        <v>18834362.23</v>
      </c>
      <c r="T2164">
        <v>13116588826.65</v>
      </c>
      <c r="U2164">
        <v>13118793353.209999</v>
      </c>
      <c r="V2164">
        <v>2.2950000000000002E-3</v>
      </c>
      <c r="W2164">
        <v>2.8400000000000002E-4</v>
      </c>
      <c r="Y2164" t="s">
        <v>2</v>
      </c>
      <c r="Z2164">
        <v>3750</v>
      </c>
      <c r="AA2164">
        <v>8</v>
      </c>
      <c r="AB2164">
        <v>4</v>
      </c>
      <c r="AC2164">
        <v>0</v>
      </c>
      <c r="AD2164">
        <v>101743564</v>
      </c>
      <c r="AE2164">
        <v>159482.95000000001</v>
      </c>
      <c r="AF2164">
        <v>101557061</v>
      </c>
      <c r="AG2164">
        <v>101557061</v>
      </c>
      <c r="AH2164">
        <v>3.1819999999999999E-3</v>
      </c>
      <c r="AI2164">
        <v>3.1819999999999999E-3</v>
      </c>
    </row>
    <row r="2165" spans="1:35" x14ac:dyDescent="0.35">
      <c r="A2165" t="s">
        <v>0</v>
      </c>
      <c r="B2165">
        <v>3500</v>
      </c>
      <c r="C2165">
        <v>8</v>
      </c>
      <c r="D2165">
        <v>21</v>
      </c>
      <c r="E2165">
        <v>0</v>
      </c>
      <c r="F2165">
        <v>673762790</v>
      </c>
      <c r="G2165">
        <v>1101377.44</v>
      </c>
      <c r="H2165">
        <v>669937283.87</v>
      </c>
      <c r="I2165">
        <v>670423173.01999998</v>
      </c>
      <c r="J2165">
        <v>4.7453000000000002E-2</v>
      </c>
      <c r="K2165">
        <v>3.9143999999999998E-2</v>
      </c>
      <c r="M2165" t="s">
        <v>1</v>
      </c>
      <c r="N2165">
        <v>4000</v>
      </c>
      <c r="O2165">
        <v>7</v>
      </c>
      <c r="P2165">
        <v>207</v>
      </c>
      <c r="Q2165">
        <v>0</v>
      </c>
      <c r="R2165">
        <v>7463436012</v>
      </c>
      <c r="S2165">
        <v>11140982.109999999</v>
      </c>
      <c r="T2165">
        <v>7443964620.9300003</v>
      </c>
      <c r="U2165">
        <v>7450515429.6099997</v>
      </c>
      <c r="V2165">
        <v>1.3311999999999999E-2</v>
      </c>
      <c r="W2165">
        <v>2.8579999999999999E-3</v>
      </c>
      <c r="Y2165" t="s">
        <v>2</v>
      </c>
      <c r="Z2165">
        <v>4250</v>
      </c>
      <c r="AA2165">
        <v>8</v>
      </c>
      <c r="AB2165">
        <v>7</v>
      </c>
      <c r="AC2165">
        <v>0</v>
      </c>
      <c r="AD2165">
        <v>211924242</v>
      </c>
      <c r="AE2165">
        <v>303740.33</v>
      </c>
      <c r="AF2165">
        <v>211613778</v>
      </c>
      <c r="AG2165">
        <v>211613778</v>
      </c>
      <c r="AH2165">
        <v>3.8099999999999999E-4</v>
      </c>
      <c r="AI2165">
        <v>3.8099999999999999E-4</v>
      </c>
    </row>
    <row r="2166" spans="1:35" x14ac:dyDescent="0.35">
      <c r="A2166" t="s">
        <v>1</v>
      </c>
      <c r="B2166">
        <v>3500</v>
      </c>
      <c r="C2166">
        <v>9</v>
      </c>
      <c r="D2166">
        <v>3</v>
      </c>
      <c r="E2166">
        <v>0</v>
      </c>
      <c r="F2166">
        <v>71564682</v>
      </c>
      <c r="G2166">
        <v>124209.76</v>
      </c>
      <c r="H2166">
        <v>69604822.379999995</v>
      </c>
      <c r="I2166">
        <v>69740620.560000002</v>
      </c>
      <c r="J2166">
        <v>0.26788600000000001</v>
      </c>
      <c r="K2166">
        <v>0.25059199999999998</v>
      </c>
      <c r="M2166" t="s">
        <v>1</v>
      </c>
      <c r="N2166">
        <v>4250</v>
      </c>
      <c r="O2166">
        <v>7</v>
      </c>
      <c r="P2166">
        <v>151</v>
      </c>
      <c r="Q2166">
        <v>0</v>
      </c>
      <c r="R2166">
        <v>5465585214</v>
      </c>
      <c r="S2166">
        <v>7830125.4400000004</v>
      </c>
      <c r="T2166">
        <v>5446194442.6000004</v>
      </c>
      <c r="U2166">
        <v>5452265552.5500002</v>
      </c>
      <c r="V2166">
        <v>2.5089E-2</v>
      </c>
      <c r="W2166">
        <v>1.1986E-2</v>
      </c>
      <c r="Y2166" t="s">
        <v>2</v>
      </c>
      <c r="Z2166">
        <v>4500</v>
      </c>
      <c r="AA2166">
        <v>8</v>
      </c>
      <c r="AB2166">
        <v>36</v>
      </c>
      <c r="AC2166">
        <v>0</v>
      </c>
      <c r="AD2166">
        <v>936217111</v>
      </c>
      <c r="AE2166">
        <v>1289097.81</v>
      </c>
      <c r="AF2166">
        <v>934910352</v>
      </c>
      <c r="AG2166">
        <v>934910352</v>
      </c>
      <c r="AH2166">
        <v>2.2599999999999999E-4</v>
      </c>
      <c r="AI2166">
        <v>2.2599999999999999E-4</v>
      </c>
    </row>
    <row r="2167" spans="1:35" x14ac:dyDescent="0.35">
      <c r="A2167" t="s">
        <v>1</v>
      </c>
      <c r="B2167">
        <v>3750</v>
      </c>
      <c r="C2167">
        <v>8</v>
      </c>
      <c r="D2167">
        <v>43</v>
      </c>
      <c r="E2167">
        <v>0</v>
      </c>
      <c r="F2167">
        <v>1695313414</v>
      </c>
      <c r="G2167">
        <v>2662894.5699999998</v>
      </c>
      <c r="H2167">
        <v>1688889864.8499999</v>
      </c>
      <c r="I2167">
        <v>1691909929.47</v>
      </c>
      <c r="J2167">
        <v>2.6297000000000001E-2</v>
      </c>
      <c r="K2167">
        <v>5.2300000000000003E-3</v>
      </c>
      <c r="M2167" t="s">
        <v>2</v>
      </c>
      <c r="N2167">
        <v>4000</v>
      </c>
      <c r="O2167">
        <v>7</v>
      </c>
      <c r="P2167">
        <v>24</v>
      </c>
      <c r="Q2167">
        <v>0</v>
      </c>
      <c r="R2167">
        <v>688671180</v>
      </c>
      <c r="S2167">
        <v>1029521.22</v>
      </c>
      <c r="T2167">
        <v>687247221.88</v>
      </c>
      <c r="U2167">
        <v>687638155</v>
      </c>
      <c r="V2167">
        <v>6.8510000000000003E-3</v>
      </c>
      <c r="W2167">
        <v>6.0999999999999999E-5</v>
      </c>
      <c r="Y2167" t="s">
        <v>3</v>
      </c>
      <c r="Z2167">
        <v>5500</v>
      </c>
      <c r="AA2167">
        <v>8</v>
      </c>
      <c r="AB2167">
        <v>4</v>
      </c>
      <c r="AC2167">
        <v>0</v>
      </c>
      <c r="AD2167">
        <v>94105429</v>
      </c>
      <c r="AE2167">
        <v>108703.45</v>
      </c>
      <c r="AF2167">
        <v>94009751</v>
      </c>
      <c r="AG2167">
        <v>94009751</v>
      </c>
      <c r="AH2167">
        <v>-1.6620000000000001E-3</v>
      </c>
      <c r="AI2167">
        <v>-1.6620000000000001E-3</v>
      </c>
    </row>
    <row r="2168" spans="1:35" x14ac:dyDescent="0.35">
      <c r="A2168" t="s">
        <v>0</v>
      </c>
      <c r="B2168">
        <v>3750</v>
      </c>
      <c r="C2168">
        <v>8</v>
      </c>
      <c r="D2168">
        <v>112</v>
      </c>
      <c r="E2168">
        <v>0</v>
      </c>
      <c r="F2168">
        <v>4292253230</v>
      </c>
      <c r="G2168">
        <v>6714650.7400000002</v>
      </c>
      <c r="H2168">
        <v>4283660339.71</v>
      </c>
      <c r="I2168">
        <v>4285137074.7600002</v>
      </c>
      <c r="J2168">
        <v>5.2379999999999996E-3</v>
      </c>
      <c r="K2168">
        <v>1.122E-3</v>
      </c>
      <c r="M2168" t="s">
        <v>2</v>
      </c>
      <c r="N2168">
        <v>3750</v>
      </c>
      <c r="O2168">
        <v>7</v>
      </c>
      <c r="P2168">
        <v>12</v>
      </c>
      <c r="Q2168">
        <v>0</v>
      </c>
      <c r="R2168">
        <v>281740892</v>
      </c>
      <c r="S2168">
        <v>453340.03</v>
      </c>
      <c r="T2168">
        <v>280884388.13</v>
      </c>
      <c r="U2168">
        <v>281285258.88999999</v>
      </c>
      <c r="V2168">
        <v>1.7037E-2</v>
      </c>
      <c r="W2168">
        <v>9.7999999999999997E-5</v>
      </c>
      <c r="Y2168" t="s">
        <v>3</v>
      </c>
      <c r="Z2168">
        <v>5250</v>
      </c>
      <c r="AA2168">
        <v>8</v>
      </c>
      <c r="AB2168">
        <v>3</v>
      </c>
      <c r="AC2168">
        <v>0</v>
      </c>
      <c r="AD2168">
        <v>96318660</v>
      </c>
      <c r="AE2168">
        <v>115483.72</v>
      </c>
      <c r="AF2168">
        <v>96202476</v>
      </c>
      <c r="AG2168">
        <v>96202476</v>
      </c>
      <c r="AH2168">
        <v>8.7000000000000001E-5</v>
      </c>
      <c r="AI2168">
        <v>8.7000000000000001E-5</v>
      </c>
    </row>
    <row r="2169" spans="1:35" x14ac:dyDescent="0.35">
      <c r="A2169" t="s">
        <v>2</v>
      </c>
      <c r="B2169">
        <v>3750</v>
      </c>
      <c r="C2169">
        <v>8</v>
      </c>
      <c r="D2169">
        <v>5</v>
      </c>
      <c r="E2169">
        <v>0</v>
      </c>
      <c r="F2169">
        <v>113085610</v>
      </c>
      <c r="G2169">
        <v>176783.09</v>
      </c>
      <c r="H2169">
        <v>112802725.37</v>
      </c>
      <c r="I2169">
        <v>112908404.04000001</v>
      </c>
      <c r="J2169">
        <v>1.1200999999999999E-2</v>
      </c>
      <c r="K2169">
        <v>4.5000000000000003E-5</v>
      </c>
      <c r="M2169" t="s">
        <v>0</v>
      </c>
      <c r="N2169">
        <v>3750</v>
      </c>
      <c r="O2169">
        <v>7</v>
      </c>
      <c r="P2169">
        <v>51</v>
      </c>
      <c r="Q2169">
        <v>0</v>
      </c>
      <c r="R2169">
        <v>1668699862</v>
      </c>
      <c r="S2169">
        <v>2596451.8199999998</v>
      </c>
      <c r="T2169">
        <v>1665387911.6300001</v>
      </c>
      <c r="U2169">
        <v>1666025290.5</v>
      </c>
      <c r="V2169">
        <v>5.1330000000000004E-3</v>
      </c>
      <c r="W2169">
        <v>5.62E-4</v>
      </c>
      <c r="Y2169" t="s">
        <v>3</v>
      </c>
      <c r="Z2169">
        <v>7250</v>
      </c>
      <c r="AA2169">
        <v>8</v>
      </c>
      <c r="AB2169">
        <v>1</v>
      </c>
      <c r="AC2169">
        <v>0</v>
      </c>
      <c r="AD2169">
        <v>20204950</v>
      </c>
      <c r="AE2169">
        <v>17052.61</v>
      </c>
      <c r="AF2169">
        <v>20187897</v>
      </c>
      <c r="AG2169">
        <v>20187897</v>
      </c>
      <c r="AH2169">
        <v>0</v>
      </c>
      <c r="AI2169">
        <v>0</v>
      </c>
    </row>
    <row r="2170" spans="1:35" x14ac:dyDescent="0.35">
      <c r="A2170" t="s">
        <v>2</v>
      </c>
      <c r="B2170">
        <v>3500</v>
      </c>
      <c r="C2170">
        <v>9</v>
      </c>
      <c r="D2170">
        <v>2</v>
      </c>
      <c r="E2170">
        <v>0</v>
      </c>
      <c r="F2170">
        <v>18356968</v>
      </c>
      <c r="G2170">
        <v>30398.639999999999</v>
      </c>
      <c r="H2170">
        <v>18258380.120000001</v>
      </c>
      <c r="I2170">
        <v>18304071.57</v>
      </c>
      <c r="J2170">
        <v>4.3676E-2</v>
      </c>
      <c r="K2170">
        <v>1.4607999999999999E-2</v>
      </c>
      <c r="M2170" t="s">
        <v>0</v>
      </c>
      <c r="N2170">
        <v>4500</v>
      </c>
      <c r="O2170">
        <v>7</v>
      </c>
      <c r="P2170">
        <v>1071</v>
      </c>
      <c r="Q2170">
        <v>0</v>
      </c>
      <c r="R2170">
        <v>34235450784</v>
      </c>
      <c r="S2170">
        <v>46848670.369999997</v>
      </c>
      <c r="T2170">
        <v>34177176582.880001</v>
      </c>
      <c r="U2170">
        <v>34185856884.93</v>
      </c>
      <c r="V2170">
        <v>3.9969999999999997E-3</v>
      </c>
      <c r="W2170">
        <v>9.6199999999999996E-4</v>
      </c>
      <c r="Y2170" t="s">
        <v>1</v>
      </c>
      <c r="Z2170">
        <v>8000</v>
      </c>
      <c r="AA2170">
        <v>8</v>
      </c>
      <c r="AB2170">
        <v>5</v>
      </c>
      <c r="AC2170">
        <v>0</v>
      </c>
      <c r="AD2170">
        <v>187614587</v>
      </c>
      <c r="AE2170">
        <v>133491.62</v>
      </c>
      <c r="AF2170">
        <v>149949824</v>
      </c>
      <c r="AG2170">
        <v>149949824</v>
      </c>
      <c r="AH2170">
        <v>0.93132599999999999</v>
      </c>
      <c r="AI2170">
        <v>0.93132599999999999</v>
      </c>
    </row>
    <row r="2171" spans="1:35" x14ac:dyDescent="0.35">
      <c r="A2171" t="s">
        <v>1</v>
      </c>
      <c r="B2171">
        <v>3500</v>
      </c>
      <c r="C2171">
        <v>8</v>
      </c>
      <c r="D2171">
        <v>3</v>
      </c>
      <c r="E2171">
        <v>0</v>
      </c>
      <c r="F2171">
        <v>110996400</v>
      </c>
      <c r="G2171">
        <v>189019.46</v>
      </c>
      <c r="H2171">
        <v>110577708.98</v>
      </c>
      <c r="I2171">
        <v>110705617.33</v>
      </c>
      <c r="J2171">
        <v>2.4549999999999999E-2</v>
      </c>
      <c r="K2171">
        <v>1.0946000000000001E-2</v>
      </c>
      <c r="M2171" t="s">
        <v>1</v>
      </c>
      <c r="N2171">
        <v>4500</v>
      </c>
      <c r="O2171">
        <v>7</v>
      </c>
      <c r="P2171">
        <v>356</v>
      </c>
      <c r="Q2171">
        <v>0</v>
      </c>
      <c r="R2171">
        <v>11773884469</v>
      </c>
      <c r="S2171">
        <v>16115887.15</v>
      </c>
      <c r="T2171">
        <v>11733225742.200001</v>
      </c>
      <c r="U2171">
        <v>11749538676.559999</v>
      </c>
      <c r="V2171">
        <v>2.4729000000000001E-2</v>
      </c>
      <c r="W2171">
        <v>8.3560000000000006E-3</v>
      </c>
      <c r="Y2171" t="s">
        <v>1</v>
      </c>
      <c r="Z2171">
        <v>4000</v>
      </c>
      <c r="AA2171">
        <v>7</v>
      </c>
      <c r="AB2171">
        <v>289</v>
      </c>
      <c r="AC2171">
        <v>0</v>
      </c>
      <c r="AD2171">
        <v>11533107785</v>
      </c>
      <c r="AE2171">
        <v>17233488.690000001</v>
      </c>
      <c r="AF2171">
        <v>11514175385</v>
      </c>
      <c r="AG2171">
        <v>11514175385</v>
      </c>
      <c r="AH2171">
        <v>1.766E-3</v>
      </c>
      <c r="AI2171">
        <v>1.766E-3</v>
      </c>
    </row>
    <row r="2172" spans="1:35" x14ac:dyDescent="0.35">
      <c r="A2172" t="s">
        <v>2</v>
      </c>
      <c r="B2172">
        <v>4000</v>
      </c>
      <c r="C2172">
        <v>8</v>
      </c>
      <c r="D2172">
        <v>48</v>
      </c>
      <c r="E2172">
        <v>0</v>
      </c>
      <c r="F2172">
        <v>1365917881</v>
      </c>
      <c r="G2172">
        <v>2048541.23</v>
      </c>
      <c r="H2172">
        <v>1363544513.71</v>
      </c>
      <c r="I2172">
        <v>1363819939.3399999</v>
      </c>
      <c r="J2172">
        <v>2.8500000000000001E-3</v>
      </c>
      <c r="K2172">
        <v>4.3399999999999998E-4</v>
      </c>
      <c r="M2172" t="s">
        <v>2</v>
      </c>
      <c r="N2172">
        <v>4500</v>
      </c>
      <c r="O2172">
        <v>7</v>
      </c>
      <c r="P2172">
        <v>52</v>
      </c>
      <c r="Q2172">
        <v>0</v>
      </c>
      <c r="R2172">
        <v>1416606886</v>
      </c>
      <c r="S2172">
        <v>1935069.19</v>
      </c>
      <c r="T2172">
        <v>1414255734.45</v>
      </c>
      <c r="U2172">
        <v>1414665617.98</v>
      </c>
      <c r="V2172">
        <v>3.519E-3</v>
      </c>
      <c r="W2172">
        <v>5.3000000000000001E-5</v>
      </c>
      <c r="Y2172" t="s">
        <v>1</v>
      </c>
      <c r="Z2172">
        <v>2250</v>
      </c>
      <c r="AA2172">
        <v>7</v>
      </c>
      <c r="AB2172">
        <v>3</v>
      </c>
      <c r="AC2172">
        <v>0</v>
      </c>
      <c r="AD2172">
        <v>92535693</v>
      </c>
      <c r="AE2172">
        <v>214783.67</v>
      </c>
      <c r="AF2172">
        <v>92438768</v>
      </c>
      <c r="AG2172">
        <v>92438768</v>
      </c>
      <c r="AH2172">
        <v>-1.5391E-2</v>
      </c>
      <c r="AI2172">
        <v>-1.5391E-2</v>
      </c>
    </row>
    <row r="2173" spans="1:35" x14ac:dyDescent="0.35">
      <c r="A2173" t="s">
        <v>0</v>
      </c>
      <c r="B2173">
        <v>4250</v>
      </c>
      <c r="C2173">
        <v>8</v>
      </c>
      <c r="D2173">
        <v>330</v>
      </c>
      <c r="E2173">
        <v>0</v>
      </c>
      <c r="F2173">
        <v>10801486073</v>
      </c>
      <c r="G2173">
        <v>15519010.859999999</v>
      </c>
      <c r="H2173">
        <v>10782112549.18</v>
      </c>
      <c r="I2173">
        <v>10784988340.889999</v>
      </c>
      <c r="J2173">
        <v>4.274E-3</v>
      </c>
      <c r="K2173">
        <v>1.0870000000000001E-3</v>
      </c>
      <c r="M2173" t="s">
        <v>2</v>
      </c>
      <c r="N2173">
        <v>4250</v>
      </c>
      <c r="O2173">
        <v>7</v>
      </c>
      <c r="P2173">
        <v>10</v>
      </c>
      <c r="Q2173">
        <v>0</v>
      </c>
      <c r="R2173">
        <v>270976984</v>
      </c>
      <c r="S2173">
        <v>387453.42</v>
      </c>
      <c r="T2173">
        <v>270383138.11000001</v>
      </c>
      <c r="U2173">
        <v>270517362.79000002</v>
      </c>
      <c r="V2173">
        <v>9.1020000000000007E-3</v>
      </c>
      <c r="W2173">
        <v>3.1909999999999998E-3</v>
      </c>
      <c r="Y2173" t="s">
        <v>1</v>
      </c>
      <c r="Z2173">
        <v>2250</v>
      </c>
      <c r="AA2173">
        <v>8</v>
      </c>
      <c r="AB2173">
        <v>1</v>
      </c>
      <c r="AC2173">
        <v>0</v>
      </c>
      <c r="AD2173">
        <v>33328639</v>
      </c>
      <c r="AE2173">
        <v>75167.59</v>
      </c>
      <c r="AF2173">
        <v>33253471</v>
      </c>
      <c r="AG2173">
        <v>33253471</v>
      </c>
      <c r="AH2173">
        <v>0</v>
      </c>
      <c r="AI2173">
        <v>0</v>
      </c>
    </row>
    <row r="2174" spans="1:35" x14ac:dyDescent="0.35">
      <c r="A2174" t="s">
        <v>1</v>
      </c>
      <c r="B2174">
        <v>4250</v>
      </c>
      <c r="C2174">
        <v>8</v>
      </c>
      <c r="D2174">
        <v>130</v>
      </c>
      <c r="E2174">
        <v>0</v>
      </c>
      <c r="F2174">
        <v>4984111370</v>
      </c>
      <c r="G2174">
        <v>7165517.4800000004</v>
      </c>
      <c r="H2174">
        <v>4971523566.3500004</v>
      </c>
      <c r="I2174">
        <v>4975594623.29</v>
      </c>
      <c r="J2174">
        <v>1.2977000000000001E-2</v>
      </c>
      <c r="K2174">
        <v>3.248E-3</v>
      </c>
      <c r="M2174" t="s">
        <v>3</v>
      </c>
      <c r="N2174">
        <v>5250</v>
      </c>
      <c r="O2174">
        <v>7</v>
      </c>
      <c r="P2174">
        <v>1</v>
      </c>
      <c r="Q2174">
        <v>0</v>
      </c>
      <c r="R2174">
        <v>30608537</v>
      </c>
      <c r="S2174">
        <v>36495.46</v>
      </c>
      <c r="T2174">
        <v>30568800.800000001</v>
      </c>
      <c r="U2174">
        <v>30572041.5</v>
      </c>
      <c r="V2174">
        <v>1.2700000000000001E-3</v>
      </c>
      <c r="W2174">
        <v>0</v>
      </c>
      <c r="Y2174" t="s">
        <v>2</v>
      </c>
      <c r="Z2174">
        <v>2250</v>
      </c>
      <c r="AA2174">
        <v>8</v>
      </c>
      <c r="AB2174">
        <v>1</v>
      </c>
      <c r="AC2174">
        <v>0</v>
      </c>
      <c r="AD2174">
        <v>19217599</v>
      </c>
      <c r="AE2174">
        <v>43164.04</v>
      </c>
      <c r="AF2174">
        <v>19131897</v>
      </c>
      <c r="AG2174">
        <v>19131897</v>
      </c>
      <c r="AH2174">
        <v>2.6241E-2</v>
      </c>
      <c r="AI2174">
        <v>2.6241E-2</v>
      </c>
    </row>
    <row r="2175" spans="1:35" x14ac:dyDescent="0.35">
      <c r="A2175" t="s">
        <v>2</v>
      </c>
      <c r="B2175">
        <v>4250</v>
      </c>
      <c r="C2175">
        <v>8</v>
      </c>
      <c r="D2175">
        <v>12</v>
      </c>
      <c r="E2175">
        <v>0</v>
      </c>
      <c r="F2175">
        <v>303513245</v>
      </c>
      <c r="G2175">
        <v>441449.43</v>
      </c>
      <c r="H2175">
        <v>302967797.77999997</v>
      </c>
      <c r="I2175">
        <v>303070879.93000001</v>
      </c>
      <c r="J2175">
        <v>4.104E-3</v>
      </c>
      <c r="K2175">
        <v>3.6000000000000001E-5</v>
      </c>
      <c r="M2175" t="s">
        <v>1</v>
      </c>
      <c r="N2175">
        <v>8250</v>
      </c>
      <c r="O2175">
        <v>8</v>
      </c>
      <c r="P2175">
        <v>1</v>
      </c>
      <c r="Q2175">
        <v>0</v>
      </c>
      <c r="R2175">
        <v>25161867</v>
      </c>
      <c r="S2175">
        <v>17465.91</v>
      </c>
      <c r="T2175">
        <v>21756587.309999999</v>
      </c>
      <c r="U2175">
        <v>25138773.27</v>
      </c>
      <c r="V2175">
        <v>0.82365699999999997</v>
      </c>
      <c r="W2175">
        <v>2.6809999999999998E-3</v>
      </c>
      <c r="Y2175" t="s">
        <v>1</v>
      </c>
      <c r="Z2175">
        <v>3000</v>
      </c>
      <c r="AA2175">
        <v>8</v>
      </c>
      <c r="AB2175">
        <v>5</v>
      </c>
      <c r="AC2175">
        <v>0</v>
      </c>
      <c r="AD2175">
        <v>129587307</v>
      </c>
      <c r="AE2175">
        <v>266183.17</v>
      </c>
      <c r="AF2175">
        <v>129320891</v>
      </c>
      <c r="AG2175">
        <v>129320891</v>
      </c>
      <c r="AH2175">
        <v>2.1999999999999999E-5</v>
      </c>
      <c r="AI2175">
        <v>2.1999999999999999E-5</v>
      </c>
    </row>
    <row r="2176" spans="1:35" x14ac:dyDescent="0.35">
      <c r="A2176" t="s">
        <v>0</v>
      </c>
      <c r="B2176">
        <v>4500</v>
      </c>
      <c r="C2176">
        <v>8</v>
      </c>
      <c r="D2176">
        <v>945</v>
      </c>
      <c r="E2176">
        <v>0</v>
      </c>
      <c r="F2176">
        <v>31771346260</v>
      </c>
      <c r="G2176">
        <v>43707491.68</v>
      </c>
      <c r="H2176">
        <v>31715012198.880001</v>
      </c>
      <c r="I2176">
        <v>31723876526.68</v>
      </c>
      <c r="J2176">
        <v>4.7590000000000002E-3</v>
      </c>
      <c r="K2176">
        <v>1.42E-3</v>
      </c>
      <c r="M2176" t="s">
        <v>0</v>
      </c>
      <c r="N2176">
        <v>8500</v>
      </c>
      <c r="O2176">
        <v>8</v>
      </c>
      <c r="P2176">
        <v>2</v>
      </c>
      <c r="Q2176">
        <v>0</v>
      </c>
      <c r="R2176">
        <v>38459418</v>
      </c>
      <c r="S2176">
        <v>25051.7</v>
      </c>
      <c r="T2176">
        <v>37882601.670000002</v>
      </c>
      <c r="U2176">
        <v>38434268.409999996</v>
      </c>
      <c r="V2176">
        <v>0.15920500000000001</v>
      </c>
      <c r="W2176">
        <v>3.1000000000000001E-5</v>
      </c>
      <c r="Y2176" t="s">
        <v>0</v>
      </c>
      <c r="Z2176">
        <v>3250</v>
      </c>
      <c r="AA2176">
        <v>7</v>
      </c>
      <c r="AB2176">
        <v>12</v>
      </c>
      <c r="AC2176">
        <v>0</v>
      </c>
      <c r="AD2176">
        <v>260141855</v>
      </c>
      <c r="AE2176">
        <v>442148.06</v>
      </c>
      <c r="AF2176">
        <v>259816152</v>
      </c>
      <c r="AG2176">
        <v>259816152</v>
      </c>
      <c r="AH2176">
        <v>-5.385E-3</v>
      </c>
      <c r="AI2176">
        <v>-5.385E-3</v>
      </c>
    </row>
    <row r="2177" spans="1:35" x14ac:dyDescent="0.35">
      <c r="A2177" t="s">
        <v>1</v>
      </c>
      <c r="B2177">
        <v>4500</v>
      </c>
      <c r="C2177">
        <v>8</v>
      </c>
      <c r="D2177">
        <v>303</v>
      </c>
      <c r="E2177">
        <v>0</v>
      </c>
      <c r="F2177">
        <v>11086354688</v>
      </c>
      <c r="G2177">
        <v>15271149.560000001</v>
      </c>
      <c r="H2177">
        <v>11052347943.43</v>
      </c>
      <c r="I2177">
        <v>11063011768.790001</v>
      </c>
      <c r="J2177">
        <v>2.0091999999999999E-2</v>
      </c>
      <c r="K2177">
        <v>8.7019999999999997E-3</v>
      </c>
      <c r="M2177" t="s">
        <v>0</v>
      </c>
      <c r="N2177">
        <v>9000</v>
      </c>
      <c r="O2177">
        <v>9</v>
      </c>
      <c r="P2177">
        <v>1</v>
      </c>
      <c r="Q2177">
        <v>0</v>
      </c>
      <c r="R2177">
        <v>12189271</v>
      </c>
      <c r="S2177">
        <v>7526.95</v>
      </c>
      <c r="T2177">
        <v>12150339.42</v>
      </c>
      <c r="U2177">
        <v>12180379.84</v>
      </c>
      <c r="V2177">
        <v>3.0483E-2</v>
      </c>
      <c r="W2177">
        <v>1.3420000000000001E-3</v>
      </c>
      <c r="Y2177" t="s">
        <v>0</v>
      </c>
      <c r="Z2177">
        <v>2750</v>
      </c>
      <c r="AA2177">
        <v>7</v>
      </c>
      <c r="AB2177">
        <v>3</v>
      </c>
      <c r="AC2177">
        <v>0</v>
      </c>
      <c r="AD2177">
        <v>67510504</v>
      </c>
      <c r="AE2177">
        <v>124417.19</v>
      </c>
      <c r="AF2177">
        <v>67386205</v>
      </c>
      <c r="AG2177">
        <v>67386205</v>
      </c>
      <c r="AH2177">
        <v>-2.0999999999999999E-5</v>
      </c>
      <c r="AI2177">
        <v>-2.0999999999999999E-5</v>
      </c>
    </row>
    <row r="2178" spans="1:35" x14ac:dyDescent="0.35">
      <c r="A2178" t="s">
        <v>2</v>
      </c>
      <c r="B2178">
        <v>4500</v>
      </c>
      <c r="C2178">
        <v>8</v>
      </c>
      <c r="D2178">
        <v>25</v>
      </c>
      <c r="E2178">
        <v>0</v>
      </c>
      <c r="F2178">
        <v>704859893</v>
      </c>
      <c r="G2178">
        <v>970325.2</v>
      </c>
      <c r="H2178">
        <v>703541462.61000001</v>
      </c>
      <c r="I2178">
        <v>703821687.97000003</v>
      </c>
      <c r="J2178">
        <v>5.9100000000000003E-3</v>
      </c>
      <c r="K2178">
        <v>1.155E-3</v>
      </c>
      <c r="M2178" t="s">
        <v>1</v>
      </c>
      <c r="N2178">
        <v>9000</v>
      </c>
      <c r="O2178">
        <v>8</v>
      </c>
      <c r="P2178">
        <v>1</v>
      </c>
      <c r="Q2178">
        <v>0</v>
      </c>
      <c r="R2178">
        <v>29840051</v>
      </c>
      <c r="S2178">
        <v>18281.830000000002</v>
      </c>
      <c r="T2178">
        <v>26251390.18</v>
      </c>
      <c r="U2178">
        <v>29821438.870000001</v>
      </c>
      <c r="V2178">
        <v>0.78329899999999997</v>
      </c>
      <c r="W2178">
        <v>1.3300000000000001E-4</v>
      </c>
      <c r="Y2178" t="s">
        <v>0</v>
      </c>
      <c r="Z2178">
        <v>3000</v>
      </c>
      <c r="AA2178">
        <v>7</v>
      </c>
      <c r="AB2178">
        <v>5</v>
      </c>
      <c r="AC2178">
        <v>0</v>
      </c>
      <c r="AD2178">
        <v>156659811</v>
      </c>
      <c r="AE2178">
        <v>280843.53000000003</v>
      </c>
      <c r="AF2178">
        <v>156362267</v>
      </c>
      <c r="AG2178">
        <v>156362267</v>
      </c>
      <c r="AH2178">
        <v>1.2780000000000001E-3</v>
      </c>
      <c r="AI2178">
        <v>1.2780000000000001E-3</v>
      </c>
    </row>
    <row r="2179" spans="1:35" x14ac:dyDescent="0.35">
      <c r="A2179" t="s">
        <v>3</v>
      </c>
      <c r="B2179">
        <v>5250</v>
      </c>
      <c r="C2179">
        <v>8</v>
      </c>
      <c r="D2179">
        <v>1</v>
      </c>
      <c r="E2179">
        <v>0</v>
      </c>
      <c r="F2179">
        <v>31752219</v>
      </c>
      <c r="G2179">
        <v>38942.410000000003</v>
      </c>
      <c r="H2179">
        <v>31690590.66</v>
      </c>
      <c r="I2179">
        <v>31713276.579999998</v>
      </c>
      <c r="J2179">
        <v>8.5400000000000007E-3</v>
      </c>
      <c r="K2179">
        <v>0</v>
      </c>
      <c r="M2179" t="s">
        <v>1</v>
      </c>
      <c r="N2179">
        <v>4500</v>
      </c>
      <c r="O2179">
        <v>6</v>
      </c>
      <c r="P2179">
        <v>325</v>
      </c>
      <c r="Q2179">
        <v>0</v>
      </c>
      <c r="R2179">
        <v>11609483116</v>
      </c>
      <c r="S2179">
        <v>15813589.810000001</v>
      </c>
      <c r="T2179">
        <v>11584190219.440001</v>
      </c>
      <c r="U2179">
        <v>11591436687.26</v>
      </c>
      <c r="V2179">
        <v>9.7540000000000005E-3</v>
      </c>
      <c r="W2179">
        <v>2.3059999999999999E-3</v>
      </c>
      <c r="Y2179" t="s">
        <v>2</v>
      </c>
      <c r="Z2179">
        <v>3250</v>
      </c>
      <c r="AA2179">
        <v>8</v>
      </c>
      <c r="AB2179">
        <v>4</v>
      </c>
      <c r="AC2179">
        <v>0</v>
      </c>
      <c r="AD2179">
        <v>47963982</v>
      </c>
      <c r="AE2179">
        <v>82031</v>
      </c>
      <c r="AF2179">
        <v>47906640</v>
      </c>
      <c r="AG2179">
        <v>47906640</v>
      </c>
      <c r="AH2179">
        <v>-6.1939999999999999E-3</v>
      </c>
      <c r="AI2179">
        <v>-6.1939999999999999E-3</v>
      </c>
    </row>
    <row r="2180" spans="1:35" x14ac:dyDescent="0.35">
      <c r="A2180" t="s">
        <v>3</v>
      </c>
      <c r="B2180">
        <v>7500</v>
      </c>
      <c r="C2180">
        <v>8</v>
      </c>
      <c r="D2180">
        <v>1</v>
      </c>
      <c r="E2180">
        <v>0</v>
      </c>
      <c r="F2180">
        <v>27471210</v>
      </c>
      <c r="G2180">
        <v>22090.87</v>
      </c>
      <c r="H2180">
        <v>27405526.48</v>
      </c>
      <c r="I2180">
        <v>27449119.02</v>
      </c>
      <c r="J2180">
        <v>1.8877000000000001E-2</v>
      </c>
      <c r="K2180">
        <v>0</v>
      </c>
      <c r="M2180" t="s">
        <v>1</v>
      </c>
      <c r="N2180">
        <v>2500</v>
      </c>
      <c r="O2180">
        <v>6</v>
      </c>
      <c r="P2180">
        <v>7</v>
      </c>
      <c r="Q2180">
        <v>0</v>
      </c>
      <c r="R2180">
        <v>284842370</v>
      </c>
      <c r="S2180">
        <v>561486.91</v>
      </c>
      <c r="T2180">
        <v>276775682.18000001</v>
      </c>
      <c r="U2180">
        <v>277888776.35000002</v>
      </c>
      <c r="V2180">
        <v>0.27415800000000001</v>
      </c>
      <c r="W2180">
        <v>0.23841799999999999</v>
      </c>
      <c r="Y2180" t="s">
        <v>1</v>
      </c>
      <c r="Z2180">
        <v>2750</v>
      </c>
      <c r="AA2180">
        <v>7</v>
      </c>
      <c r="AB2180">
        <v>1</v>
      </c>
      <c r="AC2180">
        <v>0</v>
      </c>
      <c r="AD2180">
        <v>17043821</v>
      </c>
      <c r="AE2180">
        <v>34763.269999999997</v>
      </c>
      <c r="AF2180">
        <v>17008907</v>
      </c>
      <c r="AG2180">
        <v>17008907</v>
      </c>
      <c r="AH2180">
        <v>1.06E-4</v>
      </c>
      <c r="AI2180">
        <v>1.06E-4</v>
      </c>
    </row>
    <row r="2181" spans="1:35" x14ac:dyDescent="0.35">
      <c r="A2181" t="s">
        <v>1</v>
      </c>
      <c r="B2181">
        <v>8000</v>
      </c>
      <c r="C2181">
        <v>8</v>
      </c>
      <c r="D2181">
        <v>2</v>
      </c>
      <c r="E2181">
        <v>0</v>
      </c>
      <c r="F2181">
        <v>59023620</v>
      </c>
      <c r="G2181">
        <v>42032.99</v>
      </c>
      <c r="H2181">
        <v>54640065.07</v>
      </c>
      <c r="I2181">
        <v>57133330.869999997</v>
      </c>
      <c r="J2181">
        <v>0.60021000000000002</v>
      </c>
      <c r="K2181">
        <v>0.31735099999999999</v>
      </c>
      <c r="M2181" t="s">
        <v>0</v>
      </c>
      <c r="N2181">
        <v>2500</v>
      </c>
      <c r="O2181">
        <v>7</v>
      </c>
      <c r="P2181">
        <v>1</v>
      </c>
      <c r="Q2181">
        <v>0</v>
      </c>
      <c r="R2181">
        <v>16220108</v>
      </c>
      <c r="S2181">
        <v>31151.62</v>
      </c>
      <c r="T2181">
        <v>16180215.710000001</v>
      </c>
      <c r="U2181">
        <v>16188792.859999999</v>
      </c>
      <c r="V2181">
        <v>6.4469999999999996E-3</v>
      </c>
      <c r="W2181">
        <v>1.21E-4</v>
      </c>
      <c r="Y2181" t="s">
        <v>2</v>
      </c>
      <c r="Z2181">
        <v>3000</v>
      </c>
      <c r="AA2181">
        <v>8</v>
      </c>
      <c r="AB2181">
        <v>2</v>
      </c>
      <c r="AC2181">
        <v>0</v>
      </c>
      <c r="AD2181">
        <v>35026566</v>
      </c>
      <c r="AE2181">
        <v>62180.86</v>
      </c>
      <c r="AF2181">
        <v>34928203</v>
      </c>
      <c r="AG2181">
        <v>34928203</v>
      </c>
      <c r="AH2181">
        <v>1.2326E-2</v>
      </c>
      <c r="AI2181">
        <v>1.2326E-2</v>
      </c>
    </row>
    <row r="2182" spans="1:35" x14ac:dyDescent="0.35">
      <c r="A2182" t="s">
        <v>0</v>
      </c>
      <c r="B2182">
        <v>9000</v>
      </c>
      <c r="C2182">
        <v>10</v>
      </c>
      <c r="D2182">
        <v>1</v>
      </c>
      <c r="E2182">
        <v>0</v>
      </c>
      <c r="F2182">
        <v>16585172</v>
      </c>
      <c r="G2182">
        <v>10067.26</v>
      </c>
      <c r="H2182">
        <v>16446080.720000001</v>
      </c>
      <c r="I2182">
        <v>16575101.9</v>
      </c>
      <c r="J2182">
        <v>8.9460999999999999E-2</v>
      </c>
      <c r="K2182">
        <v>1.9999999999999999E-6</v>
      </c>
      <c r="M2182" t="s">
        <v>0</v>
      </c>
      <c r="N2182">
        <v>2500</v>
      </c>
      <c r="O2182">
        <v>6</v>
      </c>
      <c r="P2182">
        <v>5</v>
      </c>
      <c r="Q2182">
        <v>0</v>
      </c>
      <c r="R2182">
        <v>118163502</v>
      </c>
      <c r="S2182">
        <v>226095.68</v>
      </c>
      <c r="T2182">
        <v>117822034.84</v>
      </c>
      <c r="U2182">
        <v>117936734.78</v>
      </c>
      <c r="V2182">
        <v>1.1653999999999999E-2</v>
      </c>
      <c r="W2182">
        <v>6.7999999999999999E-5</v>
      </c>
      <c r="Y2182" t="s">
        <v>0</v>
      </c>
      <c r="Z2182">
        <v>3500</v>
      </c>
      <c r="AA2182">
        <v>7</v>
      </c>
      <c r="AB2182">
        <v>21</v>
      </c>
      <c r="AC2182">
        <v>0</v>
      </c>
      <c r="AD2182">
        <v>675558746</v>
      </c>
      <c r="AE2182">
        <v>1099318.78</v>
      </c>
      <c r="AF2182">
        <v>673762790</v>
      </c>
      <c r="AG2182">
        <v>673762790</v>
      </c>
      <c r="AH2182">
        <v>1.2304000000000001E-2</v>
      </c>
      <c r="AI2182">
        <v>1.2304000000000001E-2</v>
      </c>
    </row>
    <row r="2183" spans="1:35" x14ac:dyDescent="0.35">
      <c r="A2183" t="s">
        <v>1</v>
      </c>
      <c r="B2183">
        <v>2250</v>
      </c>
      <c r="C2183">
        <v>7</v>
      </c>
      <c r="D2183">
        <v>1</v>
      </c>
      <c r="E2183">
        <v>0</v>
      </c>
      <c r="F2183">
        <v>57094899</v>
      </c>
      <c r="G2183">
        <v>128768.71</v>
      </c>
      <c r="H2183">
        <v>53003543.479999997</v>
      </c>
      <c r="I2183">
        <v>55630411.369999997</v>
      </c>
      <c r="J2183">
        <v>0.57817099999999999</v>
      </c>
      <c r="K2183">
        <v>0.24728800000000001</v>
      </c>
      <c r="M2183" t="s">
        <v>2</v>
      </c>
      <c r="N2183">
        <v>2750</v>
      </c>
      <c r="O2183">
        <v>7</v>
      </c>
      <c r="P2183">
        <v>5</v>
      </c>
      <c r="Q2183">
        <v>0</v>
      </c>
      <c r="R2183">
        <v>152199498</v>
      </c>
      <c r="S2183">
        <v>288392.96000000002</v>
      </c>
      <c r="T2183">
        <v>150921506.38</v>
      </c>
      <c r="U2183">
        <v>151844104.88</v>
      </c>
      <c r="V2183">
        <v>7.5292999999999999E-2</v>
      </c>
      <c r="W2183">
        <v>5.2700000000000004E-3</v>
      </c>
      <c r="Y2183" t="s">
        <v>1</v>
      </c>
      <c r="Z2183">
        <v>3500</v>
      </c>
      <c r="AA2183">
        <v>8</v>
      </c>
      <c r="AB2183">
        <v>3</v>
      </c>
      <c r="AC2183">
        <v>0</v>
      </c>
      <c r="AD2183">
        <v>71613586</v>
      </c>
      <c r="AE2183">
        <v>123731.53</v>
      </c>
      <c r="AF2183">
        <v>71564682</v>
      </c>
      <c r="AG2183">
        <v>71564682</v>
      </c>
      <c r="AH2183">
        <v>-1.2611000000000001E-2</v>
      </c>
      <c r="AI2183">
        <v>-1.2611000000000001E-2</v>
      </c>
    </row>
    <row r="2184" spans="1:35" x14ac:dyDescent="0.35">
      <c r="A2184" t="s">
        <v>1</v>
      </c>
      <c r="B2184">
        <v>2500</v>
      </c>
      <c r="C2184">
        <v>7</v>
      </c>
      <c r="D2184">
        <v>1</v>
      </c>
      <c r="E2184">
        <v>0</v>
      </c>
      <c r="F2184">
        <v>11884920</v>
      </c>
      <c r="G2184">
        <v>26540.92</v>
      </c>
      <c r="H2184">
        <v>11821501.74</v>
      </c>
      <c r="I2184">
        <v>11857957.779999999</v>
      </c>
      <c r="J2184">
        <v>3.6606E-2</v>
      </c>
      <c r="K2184">
        <v>4.2499999999999998E-4</v>
      </c>
      <c r="M2184" t="s">
        <v>1</v>
      </c>
      <c r="N2184">
        <v>2500</v>
      </c>
      <c r="O2184">
        <v>7</v>
      </c>
      <c r="P2184">
        <v>1</v>
      </c>
      <c r="Q2184">
        <v>0</v>
      </c>
      <c r="R2184">
        <v>31036605</v>
      </c>
      <c r="S2184">
        <v>69507.91</v>
      </c>
      <c r="T2184">
        <v>30674249.25</v>
      </c>
      <c r="U2184">
        <v>30964024.109999999</v>
      </c>
      <c r="V2184">
        <v>0.107532</v>
      </c>
      <c r="W2184">
        <v>1.1869999999999999E-3</v>
      </c>
      <c r="Y2184" t="s">
        <v>1</v>
      </c>
      <c r="Z2184">
        <v>3750</v>
      </c>
      <c r="AA2184">
        <v>7</v>
      </c>
      <c r="AB2184">
        <v>43</v>
      </c>
      <c r="AC2184">
        <v>0</v>
      </c>
      <c r="AD2184">
        <v>1699782825</v>
      </c>
      <c r="AE2184">
        <v>2657435.7000000002</v>
      </c>
      <c r="AF2184">
        <v>1695313414</v>
      </c>
      <c r="AG2184">
        <v>1695313414</v>
      </c>
      <c r="AH2184">
        <v>1.2716999999999999E-2</v>
      </c>
      <c r="AI2184">
        <v>1.2716999999999999E-2</v>
      </c>
    </row>
    <row r="2185" spans="1:35" x14ac:dyDescent="0.35">
      <c r="A2185" t="s">
        <v>2</v>
      </c>
      <c r="B2185">
        <v>2750</v>
      </c>
      <c r="C2185">
        <v>9</v>
      </c>
      <c r="D2185">
        <v>1</v>
      </c>
      <c r="E2185">
        <v>0</v>
      </c>
      <c r="F2185">
        <v>23159239</v>
      </c>
      <c r="G2185">
        <v>43035.53</v>
      </c>
      <c r="H2185">
        <v>23086979.68</v>
      </c>
      <c r="I2185">
        <v>23116191.739999998</v>
      </c>
      <c r="J2185">
        <v>1.5037999999999999E-2</v>
      </c>
      <c r="K2185">
        <v>6.0000000000000002E-6</v>
      </c>
      <c r="M2185" t="s">
        <v>2</v>
      </c>
      <c r="N2185">
        <v>2750</v>
      </c>
      <c r="O2185">
        <v>8</v>
      </c>
      <c r="P2185">
        <v>3</v>
      </c>
      <c r="Q2185">
        <v>0</v>
      </c>
      <c r="R2185">
        <v>54623880</v>
      </c>
      <c r="S2185">
        <v>101085.03</v>
      </c>
      <c r="T2185">
        <v>54415801.340000004</v>
      </c>
      <c r="U2185">
        <v>54520828.920000002</v>
      </c>
      <c r="V2185">
        <v>2.3252999999999999E-2</v>
      </c>
      <c r="W2185">
        <v>4.3199999999999998E-4</v>
      </c>
      <c r="Y2185" t="s">
        <v>0</v>
      </c>
      <c r="Z2185">
        <v>3750</v>
      </c>
      <c r="AA2185">
        <v>7</v>
      </c>
      <c r="AB2185">
        <v>112</v>
      </c>
      <c r="AC2185">
        <v>0</v>
      </c>
      <c r="AD2185">
        <v>4301820136</v>
      </c>
      <c r="AE2185">
        <v>6698223.9000000004</v>
      </c>
      <c r="AF2185">
        <v>4292253230</v>
      </c>
      <c r="AG2185">
        <v>4292253230</v>
      </c>
      <c r="AH2185">
        <v>7.9729999999999992E-3</v>
      </c>
      <c r="AI2185">
        <v>7.9729999999999992E-3</v>
      </c>
    </row>
    <row r="2186" spans="1:35" x14ac:dyDescent="0.35">
      <c r="A2186" t="s">
        <v>2</v>
      </c>
      <c r="B2186">
        <v>3250</v>
      </c>
      <c r="C2186">
        <v>8</v>
      </c>
      <c r="D2186">
        <v>3</v>
      </c>
      <c r="E2186">
        <v>0</v>
      </c>
      <c r="F2186">
        <v>61899888</v>
      </c>
      <c r="G2186">
        <v>112080.99</v>
      </c>
      <c r="H2186">
        <v>61671602.93</v>
      </c>
      <c r="I2186">
        <v>61779170.719999999</v>
      </c>
      <c r="J2186">
        <v>2.2296E-2</v>
      </c>
      <c r="K2186">
        <v>1.673E-3</v>
      </c>
      <c r="M2186" t="s">
        <v>1</v>
      </c>
      <c r="N2186">
        <v>2750</v>
      </c>
      <c r="O2186">
        <v>7</v>
      </c>
      <c r="P2186">
        <v>3</v>
      </c>
      <c r="Q2186">
        <v>0</v>
      </c>
      <c r="R2186">
        <v>71635792</v>
      </c>
      <c r="S2186">
        <v>158769.63</v>
      </c>
      <c r="T2186">
        <v>70933672.930000007</v>
      </c>
      <c r="U2186">
        <v>71475289.909999996</v>
      </c>
      <c r="V2186">
        <v>8.7316000000000005E-2</v>
      </c>
      <c r="W2186">
        <v>2.9E-4</v>
      </c>
      <c r="Y2186" t="s">
        <v>2</v>
      </c>
      <c r="Z2186">
        <v>3750</v>
      </c>
      <c r="AA2186">
        <v>7</v>
      </c>
      <c r="AB2186">
        <v>5</v>
      </c>
      <c r="AC2186">
        <v>0</v>
      </c>
      <c r="AD2186">
        <v>113318693</v>
      </c>
      <c r="AE2186">
        <v>176320.82</v>
      </c>
      <c r="AF2186">
        <v>113085610</v>
      </c>
      <c r="AG2186">
        <v>113085610</v>
      </c>
      <c r="AH2186">
        <v>5.9940000000000002E-3</v>
      </c>
      <c r="AI2186">
        <v>5.9940000000000002E-3</v>
      </c>
    </row>
    <row r="2187" spans="1:35" x14ac:dyDescent="0.35">
      <c r="A2187" t="s">
        <v>1</v>
      </c>
      <c r="B2187">
        <v>3250</v>
      </c>
      <c r="C2187">
        <v>8</v>
      </c>
      <c r="D2187">
        <v>6</v>
      </c>
      <c r="E2187">
        <v>0</v>
      </c>
      <c r="F2187">
        <v>160263385</v>
      </c>
      <c r="G2187">
        <v>298340.78000000003</v>
      </c>
      <c r="H2187">
        <v>159381417.03999999</v>
      </c>
      <c r="I2187">
        <v>159960229.12</v>
      </c>
      <c r="J2187">
        <v>4.2834999999999998E-2</v>
      </c>
      <c r="K2187">
        <v>3.6000000000000002E-4</v>
      </c>
      <c r="M2187" t="s">
        <v>0</v>
      </c>
      <c r="N2187">
        <v>3000</v>
      </c>
      <c r="O2187">
        <v>6</v>
      </c>
      <c r="P2187">
        <v>5</v>
      </c>
      <c r="Q2187">
        <v>0</v>
      </c>
      <c r="R2187">
        <v>110918462</v>
      </c>
      <c r="S2187">
        <v>198452.67</v>
      </c>
      <c r="T2187">
        <v>110600823.84</v>
      </c>
      <c r="U2187">
        <v>110715581.15000001</v>
      </c>
      <c r="V2187">
        <v>1.2818E-2</v>
      </c>
      <c r="W2187">
        <v>4.7899999999999999E-4</v>
      </c>
      <c r="Y2187" t="s">
        <v>2</v>
      </c>
      <c r="Z2187">
        <v>3500</v>
      </c>
      <c r="AA2187">
        <v>8</v>
      </c>
      <c r="AB2187">
        <v>2</v>
      </c>
      <c r="AC2187">
        <v>0</v>
      </c>
      <c r="AD2187">
        <v>18371738</v>
      </c>
      <c r="AE2187">
        <v>30286.41</v>
      </c>
      <c r="AF2187">
        <v>18356968</v>
      </c>
      <c r="AG2187">
        <v>18356968</v>
      </c>
      <c r="AH2187">
        <v>-1.0182E-2</v>
      </c>
      <c r="AI2187">
        <v>-1.0182E-2</v>
      </c>
    </row>
    <row r="2188" spans="1:35" x14ac:dyDescent="0.35">
      <c r="A2188" t="s">
        <v>1</v>
      </c>
      <c r="B2188">
        <v>3000</v>
      </c>
      <c r="C2188">
        <v>7</v>
      </c>
      <c r="D2188">
        <v>1</v>
      </c>
      <c r="E2188">
        <v>0</v>
      </c>
      <c r="F2188">
        <v>34210067</v>
      </c>
      <c r="G2188">
        <v>69701.009999999995</v>
      </c>
      <c r="H2188">
        <v>34046524.689999998</v>
      </c>
      <c r="I2188">
        <v>34132825.759999998</v>
      </c>
      <c r="J2188">
        <v>3.2425000000000002E-2</v>
      </c>
      <c r="K2188">
        <v>2.6419999999999998E-3</v>
      </c>
      <c r="M2188" t="s">
        <v>0</v>
      </c>
      <c r="N2188">
        <v>3250</v>
      </c>
      <c r="O2188">
        <v>6</v>
      </c>
      <c r="P2188">
        <v>5</v>
      </c>
      <c r="Q2188">
        <v>0</v>
      </c>
      <c r="R2188">
        <v>109714321</v>
      </c>
      <c r="S2188">
        <v>187426.97</v>
      </c>
      <c r="T2188">
        <v>109428054.98</v>
      </c>
      <c r="U2188">
        <v>109525567.83</v>
      </c>
      <c r="V2188">
        <v>1.0756999999999999E-2</v>
      </c>
      <c r="W2188">
        <v>1.45E-4</v>
      </c>
      <c r="Y2188" t="s">
        <v>1</v>
      </c>
      <c r="Z2188">
        <v>3500</v>
      </c>
      <c r="AA2188">
        <v>7</v>
      </c>
      <c r="AB2188">
        <v>3</v>
      </c>
      <c r="AC2188">
        <v>0</v>
      </c>
      <c r="AD2188">
        <v>111069417</v>
      </c>
      <c r="AE2188">
        <v>188268.95</v>
      </c>
      <c r="AF2188">
        <v>110996400</v>
      </c>
      <c r="AG2188">
        <v>110996400</v>
      </c>
      <c r="AH2188">
        <v>-1.2522999999999999E-2</v>
      </c>
      <c r="AI2188">
        <v>-1.2522999999999999E-2</v>
      </c>
    </row>
    <row r="2189" spans="1:35" x14ac:dyDescent="0.35">
      <c r="A2189" t="s">
        <v>0</v>
      </c>
      <c r="B2189">
        <v>3000</v>
      </c>
      <c r="C2189">
        <v>16</v>
      </c>
      <c r="D2189">
        <v>1</v>
      </c>
      <c r="E2189">
        <v>0</v>
      </c>
      <c r="F2189">
        <v>16463820</v>
      </c>
      <c r="G2189">
        <v>30250.45</v>
      </c>
      <c r="H2189">
        <v>16371645.560000001</v>
      </c>
      <c r="I2189">
        <v>16433552.01</v>
      </c>
      <c r="J2189">
        <v>4.4213000000000002E-2</v>
      </c>
      <c r="K2189">
        <v>1.2999999999999999E-5</v>
      </c>
      <c r="M2189" t="s">
        <v>0</v>
      </c>
      <c r="N2189">
        <v>2750</v>
      </c>
      <c r="O2189">
        <v>6</v>
      </c>
      <c r="P2189">
        <v>9</v>
      </c>
      <c r="Q2189">
        <v>0</v>
      </c>
      <c r="R2189">
        <v>208889148</v>
      </c>
      <c r="S2189">
        <v>384175.74</v>
      </c>
      <c r="T2189">
        <v>208142554.21000001</v>
      </c>
      <c r="U2189">
        <v>208418899.72999999</v>
      </c>
      <c r="V2189">
        <v>2.0622000000000001E-2</v>
      </c>
      <c r="W2189">
        <v>4.9329999999999999E-3</v>
      </c>
      <c r="Y2189" t="s">
        <v>2</v>
      </c>
      <c r="Z2189">
        <v>4000</v>
      </c>
      <c r="AA2189">
        <v>7</v>
      </c>
      <c r="AB2189">
        <v>48</v>
      </c>
      <c r="AC2189">
        <v>0</v>
      </c>
      <c r="AD2189">
        <v>1367699570</v>
      </c>
      <c r="AE2189">
        <v>2041364.24</v>
      </c>
      <c r="AF2189">
        <v>1365917881</v>
      </c>
      <c r="AG2189">
        <v>1365917881</v>
      </c>
      <c r="AH2189">
        <v>-2.281E-3</v>
      </c>
      <c r="AI2189">
        <v>-2.281E-3</v>
      </c>
    </row>
    <row r="2190" spans="1:35" x14ac:dyDescent="0.35">
      <c r="A2190" t="s">
        <v>1</v>
      </c>
      <c r="B2190">
        <v>3000</v>
      </c>
      <c r="C2190">
        <v>8</v>
      </c>
      <c r="D2190">
        <v>3</v>
      </c>
      <c r="E2190">
        <v>0</v>
      </c>
      <c r="F2190">
        <v>102603415</v>
      </c>
      <c r="G2190">
        <v>207430.28</v>
      </c>
      <c r="H2190">
        <v>102222076.23</v>
      </c>
      <c r="I2190">
        <v>102391737.22</v>
      </c>
      <c r="J2190">
        <v>2.0150999999999999E-2</v>
      </c>
      <c r="K2190">
        <v>4.9700000000000005E-4</v>
      </c>
      <c r="M2190" t="s">
        <v>2</v>
      </c>
      <c r="N2190">
        <v>3000</v>
      </c>
      <c r="O2190">
        <v>8</v>
      </c>
      <c r="P2190">
        <v>1</v>
      </c>
      <c r="Q2190">
        <v>0</v>
      </c>
      <c r="R2190">
        <v>11110965</v>
      </c>
      <c r="S2190">
        <v>20056.310000000001</v>
      </c>
      <c r="T2190">
        <v>11015400.27</v>
      </c>
      <c r="U2190">
        <v>11090897.98</v>
      </c>
      <c r="V2190">
        <v>7.8570000000000001E-2</v>
      </c>
      <c r="W2190">
        <v>1.2E-5</v>
      </c>
      <c r="Y2190" t="s">
        <v>0</v>
      </c>
      <c r="Z2190">
        <v>4250</v>
      </c>
      <c r="AA2190">
        <v>7</v>
      </c>
      <c r="AB2190">
        <v>330</v>
      </c>
      <c r="AC2190">
        <v>0</v>
      </c>
      <c r="AD2190">
        <v>10821950418</v>
      </c>
      <c r="AE2190">
        <v>15471691.85</v>
      </c>
      <c r="AF2190">
        <v>10801486073</v>
      </c>
      <c r="AG2190">
        <v>10801486073</v>
      </c>
      <c r="AH2190">
        <v>5.522E-3</v>
      </c>
      <c r="AI2190">
        <v>5.522E-3</v>
      </c>
    </row>
    <row r="2191" spans="1:35" x14ac:dyDescent="0.35">
      <c r="A2191" t="s">
        <v>1</v>
      </c>
      <c r="B2191">
        <v>3750</v>
      </c>
      <c r="C2191">
        <v>7</v>
      </c>
      <c r="D2191">
        <v>65</v>
      </c>
      <c r="E2191">
        <v>0</v>
      </c>
      <c r="F2191">
        <v>2517409414</v>
      </c>
      <c r="G2191">
        <v>3919450.53</v>
      </c>
      <c r="H2191">
        <v>2510301206.02</v>
      </c>
      <c r="I2191">
        <v>2513020822.0300002</v>
      </c>
      <c r="J2191">
        <v>1.5095000000000001E-2</v>
      </c>
      <c r="K2191">
        <v>2.2339999999999999E-3</v>
      </c>
      <c r="M2191" t="s">
        <v>1</v>
      </c>
      <c r="N2191">
        <v>3250</v>
      </c>
      <c r="O2191">
        <v>6</v>
      </c>
      <c r="P2191">
        <v>4</v>
      </c>
      <c r="Q2191">
        <v>0</v>
      </c>
      <c r="R2191">
        <v>142238553</v>
      </c>
      <c r="S2191">
        <v>253341.19</v>
      </c>
      <c r="T2191">
        <v>141881001.91999999</v>
      </c>
      <c r="U2191">
        <v>141981274</v>
      </c>
      <c r="V2191">
        <v>8.7559999999999999E-3</v>
      </c>
      <c r="W2191">
        <v>3.3199999999999999E-4</v>
      </c>
      <c r="Y2191" t="s">
        <v>1</v>
      </c>
      <c r="Z2191">
        <v>4250</v>
      </c>
      <c r="AA2191">
        <v>7</v>
      </c>
      <c r="AB2191">
        <v>130</v>
      </c>
      <c r="AC2191">
        <v>0</v>
      </c>
      <c r="AD2191">
        <v>4992201147</v>
      </c>
      <c r="AE2191">
        <v>7141699.1399999997</v>
      </c>
      <c r="AF2191">
        <v>4984111370</v>
      </c>
      <c r="AG2191">
        <v>4984111370</v>
      </c>
      <c r="AH2191">
        <v>2.2769999999999999E-3</v>
      </c>
      <c r="AI2191">
        <v>2.2769999999999999E-3</v>
      </c>
    </row>
    <row r="2192" spans="1:35" x14ac:dyDescent="0.35">
      <c r="A2192" t="s">
        <v>1</v>
      </c>
      <c r="B2192">
        <v>3250</v>
      </c>
      <c r="C2192">
        <v>7</v>
      </c>
      <c r="D2192">
        <v>9</v>
      </c>
      <c r="E2192">
        <v>0</v>
      </c>
      <c r="F2192">
        <v>261744467</v>
      </c>
      <c r="G2192">
        <v>460422.81</v>
      </c>
      <c r="H2192">
        <v>260452677.84999999</v>
      </c>
      <c r="I2192">
        <v>261201933.05000001</v>
      </c>
      <c r="J2192">
        <v>3.7456000000000003E-2</v>
      </c>
      <c r="K2192">
        <v>3.7580000000000001E-3</v>
      </c>
      <c r="M2192" t="s">
        <v>2</v>
      </c>
      <c r="N2192">
        <v>3000</v>
      </c>
      <c r="O2192">
        <v>7</v>
      </c>
      <c r="P2192">
        <v>3</v>
      </c>
      <c r="Q2192">
        <v>0</v>
      </c>
      <c r="R2192">
        <v>47210082</v>
      </c>
      <c r="S2192">
        <v>84351.72</v>
      </c>
      <c r="T2192">
        <v>47044230.420000002</v>
      </c>
      <c r="U2192">
        <v>47117034.390000001</v>
      </c>
      <c r="V2192">
        <v>2.052E-2</v>
      </c>
      <c r="W2192">
        <v>2.2079999999999999E-3</v>
      </c>
      <c r="Y2192" t="s">
        <v>2</v>
      </c>
      <c r="Z2192">
        <v>4250</v>
      </c>
      <c r="AA2192">
        <v>7</v>
      </c>
      <c r="AB2192">
        <v>12</v>
      </c>
      <c r="AC2192">
        <v>0</v>
      </c>
      <c r="AD2192">
        <v>304006729</v>
      </c>
      <c r="AE2192">
        <v>439978.26</v>
      </c>
      <c r="AF2192">
        <v>303513245</v>
      </c>
      <c r="AG2192">
        <v>303513245</v>
      </c>
      <c r="AH2192">
        <v>2.1099999999999999E-3</v>
      </c>
      <c r="AI2192">
        <v>2.1099999999999999E-3</v>
      </c>
    </row>
    <row r="2193" spans="1:35" x14ac:dyDescent="0.35">
      <c r="A2193" t="s">
        <v>2</v>
      </c>
      <c r="B2193">
        <v>3500</v>
      </c>
      <c r="C2193">
        <v>8</v>
      </c>
      <c r="D2193">
        <v>5</v>
      </c>
      <c r="E2193">
        <v>0</v>
      </c>
      <c r="F2193">
        <v>100619349</v>
      </c>
      <c r="G2193">
        <v>164838.26</v>
      </c>
      <c r="H2193">
        <v>100010490.02</v>
      </c>
      <c r="I2193">
        <v>100370827.72</v>
      </c>
      <c r="J2193">
        <v>5.1687999999999998E-2</v>
      </c>
      <c r="K2193">
        <v>9.9349999999999994E-3</v>
      </c>
      <c r="M2193" t="s">
        <v>2</v>
      </c>
      <c r="N2193">
        <v>3250</v>
      </c>
      <c r="O2193">
        <v>7</v>
      </c>
      <c r="P2193">
        <v>4</v>
      </c>
      <c r="Q2193">
        <v>0</v>
      </c>
      <c r="R2193">
        <v>67753285</v>
      </c>
      <c r="S2193">
        <v>122215.93</v>
      </c>
      <c r="T2193">
        <v>67417108.269999996</v>
      </c>
      <c r="U2193">
        <v>67578213.200000003</v>
      </c>
      <c r="V2193">
        <v>3.7243999999999999E-2</v>
      </c>
      <c r="W2193">
        <v>9.3209999999999994E-3</v>
      </c>
      <c r="Y2193" t="s">
        <v>0</v>
      </c>
      <c r="Z2193">
        <v>4500</v>
      </c>
      <c r="AA2193">
        <v>7</v>
      </c>
      <c r="AB2193">
        <v>945</v>
      </c>
      <c r="AC2193">
        <v>0</v>
      </c>
      <c r="AD2193">
        <v>31815897099</v>
      </c>
      <c r="AE2193">
        <v>43546196.329999998</v>
      </c>
      <c r="AF2193">
        <v>31771346260</v>
      </c>
      <c r="AG2193">
        <v>31771346260</v>
      </c>
      <c r="AH2193">
        <v>3.79E-4</v>
      </c>
      <c r="AI2193">
        <v>3.79E-4</v>
      </c>
    </row>
    <row r="2194" spans="1:35" x14ac:dyDescent="0.35">
      <c r="A2194" t="s">
        <v>1</v>
      </c>
      <c r="B2194">
        <v>3500</v>
      </c>
      <c r="C2194">
        <v>7</v>
      </c>
      <c r="D2194">
        <v>9</v>
      </c>
      <c r="E2194">
        <v>0</v>
      </c>
      <c r="F2194">
        <v>336754249</v>
      </c>
      <c r="G2194">
        <v>564596.96</v>
      </c>
      <c r="H2194">
        <v>335517287.19999999</v>
      </c>
      <c r="I2194">
        <v>336183959.23000002</v>
      </c>
      <c r="J2194">
        <v>2.3698E-2</v>
      </c>
      <c r="K2194">
        <v>2.03E-4</v>
      </c>
      <c r="M2194" t="s">
        <v>1</v>
      </c>
      <c r="N2194">
        <v>2750</v>
      </c>
      <c r="O2194">
        <v>6</v>
      </c>
      <c r="P2194">
        <v>7</v>
      </c>
      <c r="Q2194">
        <v>0</v>
      </c>
      <c r="R2194">
        <v>169707726</v>
      </c>
      <c r="S2194">
        <v>357763.87</v>
      </c>
      <c r="T2194">
        <v>168975521.66</v>
      </c>
      <c r="U2194">
        <v>169272939.84999999</v>
      </c>
      <c r="V2194">
        <v>2.6158000000000001E-2</v>
      </c>
      <c r="W2194">
        <v>5.4330000000000003E-3</v>
      </c>
      <c r="Y2194" t="s">
        <v>1</v>
      </c>
      <c r="Z2194">
        <v>4500</v>
      </c>
      <c r="AA2194">
        <v>7</v>
      </c>
      <c r="AB2194">
        <v>304</v>
      </c>
      <c r="AC2194">
        <v>0</v>
      </c>
      <c r="AD2194">
        <v>11125196077</v>
      </c>
      <c r="AE2194">
        <v>15247321.140000001</v>
      </c>
      <c r="AF2194">
        <v>11108154688</v>
      </c>
      <c r="AG2194">
        <v>11108154688</v>
      </c>
      <c r="AH2194">
        <v>1.933E-3</v>
      </c>
      <c r="AI2194">
        <v>1.933E-3</v>
      </c>
    </row>
    <row r="2195" spans="1:35" x14ac:dyDescent="0.35">
      <c r="A2195" t="s">
        <v>0</v>
      </c>
      <c r="B2195">
        <v>3750</v>
      </c>
      <c r="C2195">
        <v>7</v>
      </c>
      <c r="D2195">
        <v>202</v>
      </c>
      <c r="E2195">
        <v>0</v>
      </c>
      <c r="F2195">
        <v>7443783361</v>
      </c>
      <c r="G2195">
        <v>11584901.130000001</v>
      </c>
      <c r="H2195">
        <v>7430105060.46</v>
      </c>
      <c r="I2195">
        <v>7431620774.3599997</v>
      </c>
      <c r="J2195">
        <v>3.3700000000000002E-3</v>
      </c>
      <c r="K2195">
        <v>9.3099999999999997E-4</v>
      </c>
      <c r="M2195" t="s">
        <v>2</v>
      </c>
      <c r="N2195">
        <v>3500</v>
      </c>
      <c r="O2195">
        <v>7</v>
      </c>
      <c r="P2195">
        <v>4</v>
      </c>
      <c r="Q2195">
        <v>0</v>
      </c>
      <c r="R2195">
        <v>64734067</v>
      </c>
      <c r="S2195">
        <v>106733.82</v>
      </c>
      <c r="T2195">
        <v>64376994.520000003</v>
      </c>
      <c r="U2195">
        <v>64624803.549999997</v>
      </c>
      <c r="V2195">
        <v>4.5432E-2</v>
      </c>
      <c r="W2195">
        <v>4.6900000000000002E-4</v>
      </c>
      <c r="Y2195" t="s">
        <v>2</v>
      </c>
      <c r="Z2195">
        <v>4500</v>
      </c>
      <c r="AA2195">
        <v>7</v>
      </c>
      <c r="AB2195">
        <v>25</v>
      </c>
      <c r="AC2195">
        <v>0</v>
      </c>
      <c r="AD2195">
        <v>705867706</v>
      </c>
      <c r="AE2195">
        <v>966772.58</v>
      </c>
      <c r="AF2195">
        <v>704859893</v>
      </c>
      <c r="AG2195">
        <v>704859893</v>
      </c>
      <c r="AH2195">
        <v>6.9700000000000003E-4</v>
      </c>
      <c r="AI2195">
        <v>6.9700000000000003E-4</v>
      </c>
    </row>
    <row r="2196" spans="1:35" x14ac:dyDescent="0.35">
      <c r="A2196" t="s">
        <v>2</v>
      </c>
      <c r="B2196">
        <v>4000</v>
      </c>
      <c r="C2196">
        <v>7</v>
      </c>
      <c r="D2196">
        <v>69</v>
      </c>
      <c r="E2196">
        <v>0</v>
      </c>
      <c r="F2196">
        <v>2031208264</v>
      </c>
      <c r="G2196">
        <v>3032707.24</v>
      </c>
      <c r="H2196">
        <v>2027883921.02</v>
      </c>
      <c r="I2196">
        <v>2028158367.52</v>
      </c>
      <c r="J2196">
        <v>1.722E-3</v>
      </c>
      <c r="K2196">
        <v>1.02E-4</v>
      </c>
      <c r="M2196" t="s">
        <v>0</v>
      </c>
      <c r="N2196">
        <v>3500</v>
      </c>
      <c r="O2196">
        <v>6</v>
      </c>
      <c r="P2196">
        <v>4</v>
      </c>
      <c r="Q2196">
        <v>0</v>
      </c>
      <c r="R2196">
        <v>109574916</v>
      </c>
      <c r="S2196">
        <v>179680.36</v>
      </c>
      <c r="T2196">
        <v>108940306.45</v>
      </c>
      <c r="U2196">
        <v>109099714.34999999</v>
      </c>
      <c r="V2196">
        <v>4.8698999999999999E-2</v>
      </c>
      <c r="W2196">
        <v>3.1888E-2</v>
      </c>
      <c r="Y2196" t="s">
        <v>3</v>
      </c>
      <c r="Z2196">
        <v>5250</v>
      </c>
      <c r="AA2196">
        <v>7</v>
      </c>
      <c r="AB2196">
        <v>1</v>
      </c>
      <c r="AC2196">
        <v>0</v>
      </c>
      <c r="AD2196">
        <v>31795226</v>
      </c>
      <c r="AE2196">
        <v>38781.96</v>
      </c>
      <c r="AF2196">
        <v>31752219</v>
      </c>
      <c r="AG2196">
        <v>31752219</v>
      </c>
      <c r="AH2196">
        <v>1.593E-3</v>
      </c>
      <c r="AI2196">
        <v>1.593E-3</v>
      </c>
    </row>
    <row r="2197" spans="1:35" x14ac:dyDescent="0.35">
      <c r="A2197" t="s">
        <v>2</v>
      </c>
      <c r="B2197">
        <v>4250</v>
      </c>
      <c r="C2197">
        <v>7</v>
      </c>
      <c r="D2197">
        <v>10</v>
      </c>
      <c r="E2197">
        <v>0</v>
      </c>
      <c r="F2197">
        <v>269396197</v>
      </c>
      <c r="G2197">
        <v>386298.85</v>
      </c>
      <c r="H2197">
        <v>268937268.82999998</v>
      </c>
      <c r="I2197">
        <v>269009232.72000003</v>
      </c>
      <c r="J2197">
        <v>3.2299999999999998E-3</v>
      </c>
      <c r="K2197">
        <v>3.0000000000000001E-5</v>
      </c>
      <c r="M2197" t="s">
        <v>1</v>
      </c>
      <c r="N2197">
        <v>3750</v>
      </c>
      <c r="O2197">
        <v>6</v>
      </c>
      <c r="P2197">
        <v>20</v>
      </c>
      <c r="Q2197">
        <v>0</v>
      </c>
      <c r="R2197">
        <v>851020736</v>
      </c>
      <c r="S2197">
        <v>1355141.16</v>
      </c>
      <c r="T2197">
        <v>849097016.02999997</v>
      </c>
      <c r="U2197">
        <v>849662963.65999997</v>
      </c>
      <c r="V2197">
        <v>7.9880000000000003E-3</v>
      </c>
      <c r="W2197">
        <v>3.6999999999999998E-5</v>
      </c>
      <c r="Y2197" t="s">
        <v>3</v>
      </c>
      <c r="Z2197">
        <v>7500</v>
      </c>
      <c r="AA2197">
        <v>7</v>
      </c>
      <c r="AB2197">
        <v>1</v>
      </c>
      <c r="AC2197">
        <v>0</v>
      </c>
      <c r="AD2197">
        <v>27493175</v>
      </c>
      <c r="AE2197">
        <v>21955.94</v>
      </c>
      <c r="AF2197">
        <v>27471210</v>
      </c>
      <c r="AG2197">
        <v>27471210</v>
      </c>
      <c r="AH2197">
        <v>3.9999999999999998E-6</v>
      </c>
      <c r="AI2197">
        <v>3.9999999999999998E-6</v>
      </c>
    </row>
    <row r="2198" spans="1:35" x14ac:dyDescent="0.35">
      <c r="A2198" t="s">
        <v>0</v>
      </c>
      <c r="B2198">
        <v>4500</v>
      </c>
      <c r="C2198">
        <v>7</v>
      </c>
      <c r="D2198">
        <v>1068</v>
      </c>
      <c r="E2198">
        <v>0</v>
      </c>
      <c r="F2198">
        <v>36116121681</v>
      </c>
      <c r="G2198">
        <v>49416075.630000003</v>
      </c>
      <c r="H2198">
        <v>36053032183.760002</v>
      </c>
      <c r="I2198">
        <v>36063017055.150002</v>
      </c>
      <c r="J2198">
        <v>4.5339999999999998E-3</v>
      </c>
      <c r="K2198">
        <v>1.225E-3</v>
      </c>
      <c r="M2198" t="s">
        <v>0</v>
      </c>
      <c r="N2198">
        <v>3750</v>
      </c>
      <c r="O2198">
        <v>6</v>
      </c>
      <c r="P2198">
        <v>63</v>
      </c>
      <c r="Q2198">
        <v>0</v>
      </c>
      <c r="R2198">
        <v>2477270406</v>
      </c>
      <c r="S2198">
        <v>3837762.71</v>
      </c>
      <c r="T2198">
        <v>2472554905.2800002</v>
      </c>
      <c r="U2198">
        <v>2473404681.4499998</v>
      </c>
      <c r="V2198">
        <v>4.2440000000000004E-3</v>
      </c>
      <c r="W2198">
        <v>1.35E-4</v>
      </c>
      <c r="Y2198" t="s">
        <v>1</v>
      </c>
      <c r="Z2198">
        <v>8000</v>
      </c>
      <c r="AA2198">
        <v>7</v>
      </c>
      <c r="AB2198">
        <v>5</v>
      </c>
      <c r="AC2198">
        <v>0</v>
      </c>
      <c r="AD2198">
        <v>125920901</v>
      </c>
      <c r="AE2198">
        <v>89015.47</v>
      </c>
      <c r="AF2198">
        <v>59023620</v>
      </c>
      <c r="AG2198">
        <v>125832260.05</v>
      </c>
      <c r="AH2198">
        <v>0.99988500000000002</v>
      </c>
      <c r="AI2198">
        <v>-3.6000000000000001E-5</v>
      </c>
    </row>
    <row r="2199" spans="1:35" x14ac:dyDescent="0.35">
      <c r="A2199" t="s">
        <v>1</v>
      </c>
      <c r="B2199">
        <v>4500</v>
      </c>
      <c r="C2199">
        <v>7</v>
      </c>
      <c r="D2199">
        <v>367</v>
      </c>
      <c r="E2199">
        <v>0</v>
      </c>
      <c r="F2199">
        <v>13934010117</v>
      </c>
      <c r="G2199">
        <v>19083774.829999998</v>
      </c>
      <c r="H2199">
        <v>13885509772.66</v>
      </c>
      <c r="I2199">
        <v>13902527563.91</v>
      </c>
      <c r="J2199">
        <v>2.5041999999999998E-2</v>
      </c>
      <c r="K2199">
        <v>1.0626E-2</v>
      </c>
      <c r="M2199" t="s">
        <v>0</v>
      </c>
      <c r="N2199">
        <v>4250</v>
      </c>
      <c r="O2199">
        <v>6</v>
      </c>
      <c r="P2199">
        <v>333</v>
      </c>
      <c r="Q2199">
        <v>0</v>
      </c>
      <c r="R2199">
        <v>11810742583</v>
      </c>
      <c r="S2199">
        <v>16808072.59</v>
      </c>
      <c r="T2199">
        <v>11791747921.57</v>
      </c>
      <c r="U2199">
        <v>11793603316.440001</v>
      </c>
      <c r="V2199">
        <v>2.2190000000000001E-3</v>
      </c>
      <c r="W2199">
        <v>3.3599999999999998E-4</v>
      </c>
      <c r="Y2199" t="s">
        <v>0</v>
      </c>
      <c r="Z2199">
        <v>9000</v>
      </c>
      <c r="AA2199">
        <v>9</v>
      </c>
      <c r="AB2199">
        <v>1</v>
      </c>
      <c r="AC2199">
        <v>0</v>
      </c>
      <c r="AD2199">
        <v>16605244</v>
      </c>
      <c r="AE2199">
        <v>9999.42</v>
      </c>
      <c r="AF2199">
        <v>16585172</v>
      </c>
      <c r="AG2199">
        <v>16585172</v>
      </c>
      <c r="AH2199">
        <v>7.2550000000000002E-3</v>
      </c>
      <c r="AI2199">
        <v>7.2550000000000002E-3</v>
      </c>
    </row>
    <row r="2200" spans="1:35" x14ac:dyDescent="0.35">
      <c r="A2200" t="s">
        <v>2</v>
      </c>
      <c r="B2200">
        <v>4500</v>
      </c>
      <c r="C2200">
        <v>7</v>
      </c>
      <c r="D2200">
        <v>29</v>
      </c>
      <c r="E2200">
        <v>0</v>
      </c>
      <c r="F2200">
        <v>812480115</v>
      </c>
      <c r="G2200">
        <v>1111188</v>
      </c>
      <c r="H2200">
        <v>811253442.58000004</v>
      </c>
      <c r="I2200">
        <v>811367312.25999999</v>
      </c>
      <c r="J2200">
        <v>1.704E-3</v>
      </c>
      <c r="K2200">
        <v>2.4000000000000001E-5</v>
      </c>
      <c r="M2200" t="s">
        <v>1</v>
      </c>
      <c r="N2200">
        <v>4250</v>
      </c>
      <c r="O2200">
        <v>6</v>
      </c>
      <c r="P2200">
        <v>113</v>
      </c>
      <c r="Q2200">
        <v>0</v>
      </c>
      <c r="R2200">
        <v>4227131210</v>
      </c>
      <c r="S2200">
        <v>6016352.4900000002</v>
      </c>
      <c r="T2200">
        <v>4217629406.3099999</v>
      </c>
      <c r="U2200">
        <v>4220194312.4400001</v>
      </c>
      <c r="V2200">
        <v>9.8499999999999994E-3</v>
      </c>
      <c r="W2200">
        <v>2.6099999999999999E-3</v>
      </c>
      <c r="Y2200" t="s">
        <v>1</v>
      </c>
      <c r="Z2200">
        <v>2250</v>
      </c>
      <c r="AA2200">
        <v>6</v>
      </c>
      <c r="AB2200">
        <v>1</v>
      </c>
      <c r="AC2200">
        <v>0</v>
      </c>
      <c r="AD2200">
        <v>57094899</v>
      </c>
      <c r="AE2200">
        <v>128239.03999999999</v>
      </c>
      <c r="AF2200">
        <v>57094899</v>
      </c>
      <c r="AG2200">
        <v>57094899</v>
      </c>
      <c r="AH2200">
        <v>-2.7288E-2</v>
      </c>
      <c r="AI2200">
        <v>-2.7288E-2</v>
      </c>
    </row>
    <row r="2201" spans="1:35" x14ac:dyDescent="0.35">
      <c r="A2201" t="s">
        <v>3</v>
      </c>
      <c r="B2201">
        <v>5250</v>
      </c>
      <c r="C2201">
        <v>7</v>
      </c>
      <c r="D2201">
        <v>2</v>
      </c>
      <c r="E2201">
        <v>0</v>
      </c>
      <c r="F2201">
        <v>34867476</v>
      </c>
      <c r="G2201">
        <v>41573.519999999997</v>
      </c>
      <c r="H2201">
        <v>34787563.740000002</v>
      </c>
      <c r="I2201">
        <v>34825901.979999997</v>
      </c>
      <c r="J2201">
        <v>1.3115E-2</v>
      </c>
      <c r="K2201">
        <v>0</v>
      </c>
      <c r="M2201" t="s">
        <v>2</v>
      </c>
      <c r="N2201">
        <v>3750</v>
      </c>
      <c r="O2201">
        <v>6</v>
      </c>
      <c r="P2201">
        <v>5</v>
      </c>
      <c r="Q2201">
        <v>0</v>
      </c>
      <c r="R2201">
        <v>117095702</v>
      </c>
      <c r="S2201">
        <v>187465.9</v>
      </c>
      <c r="T2201">
        <v>116856053.72</v>
      </c>
      <c r="U2201">
        <v>116907494.62</v>
      </c>
      <c r="V2201">
        <v>5.3350000000000003E-3</v>
      </c>
      <c r="W2201">
        <v>7.6000000000000004E-5</v>
      </c>
      <c r="Y2201" t="s">
        <v>1</v>
      </c>
      <c r="Z2201">
        <v>2500</v>
      </c>
      <c r="AA2201">
        <v>6</v>
      </c>
      <c r="AB2201">
        <v>1</v>
      </c>
      <c r="AC2201">
        <v>0</v>
      </c>
      <c r="AD2201">
        <v>11911406</v>
      </c>
      <c r="AE2201">
        <v>26485.96</v>
      </c>
      <c r="AF2201">
        <v>11884920</v>
      </c>
      <c r="AG2201">
        <v>11884920</v>
      </c>
      <c r="AH2201">
        <v>0</v>
      </c>
      <c r="AI2201">
        <v>0</v>
      </c>
    </row>
    <row r="2202" spans="1:35" x14ac:dyDescent="0.35">
      <c r="A2202" t="s">
        <v>3</v>
      </c>
      <c r="B2202">
        <v>5500</v>
      </c>
      <c r="C2202">
        <v>7</v>
      </c>
      <c r="D2202">
        <v>1</v>
      </c>
      <c r="E2202">
        <v>0</v>
      </c>
      <c r="F2202">
        <v>19519751</v>
      </c>
      <c r="G2202">
        <v>22233.16</v>
      </c>
      <c r="H2202">
        <v>19482116.510000002</v>
      </c>
      <c r="I2202">
        <v>19497517.649999999</v>
      </c>
      <c r="J2202">
        <v>9.4269999999999996E-3</v>
      </c>
      <c r="K2202">
        <v>0</v>
      </c>
      <c r="M2202" t="s">
        <v>2</v>
      </c>
      <c r="N2202">
        <v>4250</v>
      </c>
      <c r="O2202">
        <v>6</v>
      </c>
      <c r="P2202">
        <v>7</v>
      </c>
      <c r="Q2202">
        <v>0</v>
      </c>
      <c r="R2202">
        <v>213088227</v>
      </c>
      <c r="S2202">
        <v>302394.51</v>
      </c>
      <c r="T2202">
        <v>212669295.11000001</v>
      </c>
      <c r="U2202">
        <v>212785538.44999999</v>
      </c>
      <c r="V2202">
        <v>6.5430000000000002E-3</v>
      </c>
      <c r="W2202">
        <v>1.7E-5</v>
      </c>
      <c r="Y2202" t="s">
        <v>2</v>
      </c>
      <c r="Z2202">
        <v>2750</v>
      </c>
      <c r="AA2202">
        <v>8</v>
      </c>
      <c r="AB2202">
        <v>1</v>
      </c>
      <c r="AC2202">
        <v>0</v>
      </c>
      <c r="AD2202">
        <v>23202176</v>
      </c>
      <c r="AE2202">
        <v>42937.13</v>
      </c>
      <c r="AF2202">
        <v>23159239</v>
      </c>
      <c r="AG2202">
        <v>23159239</v>
      </c>
      <c r="AH2202">
        <v>0</v>
      </c>
      <c r="AI2202">
        <v>0</v>
      </c>
    </row>
    <row r="2203" spans="1:35" x14ac:dyDescent="0.35">
      <c r="A2203" t="s">
        <v>1</v>
      </c>
      <c r="B2203">
        <v>8500</v>
      </c>
      <c r="C2203">
        <v>7</v>
      </c>
      <c r="D2203">
        <v>1</v>
      </c>
      <c r="E2203">
        <v>0</v>
      </c>
      <c r="F2203">
        <v>19863582</v>
      </c>
      <c r="G2203">
        <v>12697.88</v>
      </c>
      <c r="H2203">
        <v>10154551.039999999</v>
      </c>
      <c r="I2203">
        <v>19835802.609999999</v>
      </c>
      <c r="J2203">
        <v>0.99967700000000004</v>
      </c>
      <c r="K2203">
        <v>9.0729999999999995E-3</v>
      </c>
      <c r="M2203" t="s">
        <v>0</v>
      </c>
      <c r="N2203">
        <v>4500</v>
      </c>
      <c r="O2203">
        <v>6</v>
      </c>
      <c r="P2203">
        <v>931</v>
      </c>
      <c r="Q2203">
        <v>0</v>
      </c>
      <c r="R2203">
        <v>31159157767</v>
      </c>
      <c r="S2203">
        <v>42404321.240000002</v>
      </c>
      <c r="T2203">
        <v>31107646177.82</v>
      </c>
      <c r="U2203">
        <v>31115949958.470001</v>
      </c>
      <c r="V2203">
        <v>3.5019999999999999E-3</v>
      </c>
      <c r="W2203">
        <v>3.0899999999999998E-4</v>
      </c>
      <c r="Y2203" t="s">
        <v>2</v>
      </c>
      <c r="Z2203">
        <v>3250</v>
      </c>
      <c r="AA2203">
        <v>7</v>
      </c>
      <c r="AB2203">
        <v>3</v>
      </c>
      <c r="AC2203">
        <v>0</v>
      </c>
      <c r="AD2203">
        <v>61940741</v>
      </c>
      <c r="AE2203">
        <v>111657.99</v>
      </c>
      <c r="AF2203">
        <v>61899888</v>
      </c>
      <c r="AG2203">
        <v>61899888</v>
      </c>
      <c r="AH2203">
        <v>-1.3804E-2</v>
      </c>
      <c r="AI2203">
        <v>-1.3804E-2</v>
      </c>
    </row>
    <row r="2204" spans="1:35" x14ac:dyDescent="0.35">
      <c r="A2204" t="s">
        <v>0</v>
      </c>
      <c r="B2204">
        <v>2500</v>
      </c>
      <c r="C2204">
        <v>8</v>
      </c>
      <c r="D2204">
        <v>1</v>
      </c>
      <c r="E2204">
        <v>0</v>
      </c>
      <c r="F2204">
        <v>24661150</v>
      </c>
      <c r="G2204">
        <v>47553.11</v>
      </c>
      <c r="H2204">
        <v>24592056.190000001</v>
      </c>
      <c r="I2204">
        <v>24613533.800000001</v>
      </c>
      <c r="J2204">
        <v>1.0430999999999999E-2</v>
      </c>
      <c r="K2204">
        <v>3.1000000000000001E-5</v>
      </c>
      <c r="M2204" t="s">
        <v>2</v>
      </c>
      <c r="N2204">
        <v>4500</v>
      </c>
      <c r="O2204">
        <v>6</v>
      </c>
      <c r="P2204">
        <v>36</v>
      </c>
      <c r="Q2204">
        <v>0</v>
      </c>
      <c r="R2204">
        <v>941192571</v>
      </c>
      <c r="S2204">
        <v>1282795.3500000001</v>
      </c>
      <c r="T2204">
        <v>939712714.29999995</v>
      </c>
      <c r="U2204">
        <v>939894508.67999995</v>
      </c>
      <c r="V2204">
        <v>2.5100000000000001E-3</v>
      </c>
      <c r="W2204">
        <v>1.95E-4</v>
      </c>
      <c r="Y2204" t="s">
        <v>1</v>
      </c>
      <c r="Z2204">
        <v>3250</v>
      </c>
      <c r="AA2204">
        <v>7</v>
      </c>
      <c r="AB2204">
        <v>6</v>
      </c>
      <c r="AC2204">
        <v>0</v>
      </c>
      <c r="AD2204">
        <v>160647509</v>
      </c>
      <c r="AE2204">
        <v>297703.51</v>
      </c>
      <c r="AF2204">
        <v>160263385</v>
      </c>
      <c r="AG2204">
        <v>160263385</v>
      </c>
      <c r="AH2204">
        <v>6.4359999999999999E-3</v>
      </c>
      <c r="AI2204">
        <v>6.4359999999999999E-3</v>
      </c>
    </row>
    <row r="2205" spans="1:35" x14ac:dyDescent="0.35">
      <c r="A2205" t="s">
        <v>1</v>
      </c>
      <c r="B2205">
        <v>2500</v>
      </c>
      <c r="C2205">
        <v>6</v>
      </c>
      <c r="D2205">
        <v>6</v>
      </c>
      <c r="E2205">
        <v>0</v>
      </c>
      <c r="F2205">
        <v>204024664</v>
      </c>
      <c r="G2205">
        <v>390278.03</v>
      </c>
      <c r="H2205">
        <v>203136696.94999999</v>
      </c>
      <c r="I2205">
        <v>203618195.65000001</v>
      </c>
      <c r="J2205">
        <v>2.8882999999999999E-2</v>
      </c>
      <c r="K2205">
        <v>9.5200000000000005E-4</v>
      </c>
      <c r="M2205" t="s">
        <v>3</v>
      </c>
      <c r="N2205">
        <v>5500</v>
      </c>
      <c r="O2205">
        <v>6</v>
      </c>
      <c r="P2205">
        <v>4</v>
      </c>
      <c r="Q2205">
        <v>0</v>
      </c>
      <c r="R2205">
        <v>94815079</v>
      </c>
      <c r="S2205">
        <v>108281.17</v>
      </c>
      <c r="T2205">
        <v>94686764.819999993</v>
      </c>
      <c r="U2205">
        <v>94706796.569999993</v>
      </c>
      <c r="V2205">
        <v>2.532E-3</v>
      </c>
      <c r="W2205">
        <v>0</v>
      </c>
      <c r="Y2205" t="s">
        <v>1</v>
      </c>
      <c r="Z2205">
        <v>3000</v>
      </c>
      <c r="AA2205">
        <v>6</v>
      </c>
      <c r="AB2205">
        <v>1</v>
      </c>
      <c r="AC2205">
        <v>0</v>
      </c>
      <c r="AD2205">
        <v>34281140</v>
      </c>
      <c r="AE2205">
        <v>69530.899999999994</v>
      </c>
      <c r="AF2205">
        <v>34210067</v>
      </c>
      <c r="AG2205">
        <v>34210067</v>
      </c>
      <c r="AH2205">
        <v>5.4000000000000001E-4</v>
      </c>
      <c r="AI2205">
        <v>5.4000000000000001E-4</v>
      </c>
    </row>
    <row r="2206" spans="1:35" x14ac:dyDescent="0.35">
      <c r="A2206" t="s">
        <v>2</v>
      </c>
      <c r="B2206">
        <v>3000</v>
      </c>
      <c r="C2206">
        <v>8</v>
      </c>
      <c r="D2206">
        <v>1</v>
      </c>
      <c r="E2206">
        <v>0</v>
      </c>
      <c r="F2206">
        <v>17406809</v>
      </c>
      <c r="G2206">
        <v>31551.77</v>
      </c>
      <c r="H2206">
        <v>17365965.98</v>
      </c>
      <c r="I2206">
        <v>17375101.77</v>
      </c>
      <c r="J2206">
        <v>6.3860000000000002E-3</v>
      </c>
      <c r="K2206">
        <v>1.07E-4</v>
      </c>
      <c r="M2206" t="s">
        <v>3</v>
      </c>
      <c r="N2206">
        <v>5250</v>
      </c>
      <c r="O2206">
        <v>6</v>
      </c>
      <c r="P2206">
        <v>3</v>
      </c>
      <c r="Q2206">
        <v>0</v>
      </c>
      <c r="R2206">
        <v>96549512</v>
      </c>
      <c r="S2206">
        <v>114481.48</v>
      </c>
      <c r="T2206">
        <v>96426882.819999993</v>
      </c>
      <c r="U2206">
        <v>96435029.75</v>
      </c>
      <c r="V2206">
        <v>1.0120000000000001E-3</v>
      </c>
      <c r="W2206">
        <v>0</v>
      </c>
      <c r="Y2206" t="s">
        <v>0</v>
      </c>
      <c r="Z2206">
        <v>3000</v>
      </c>
      <c r="AA2206">
        <v>16</v>
      </c>
      <c r="AB2206">
        <v>1</v>
      </c>
      <c r="AC2206">
        <v>0</v>
      </c>
      <c r="AD2206">
        <v>16493995</v>
      </c>
      <c r="AE2206">
        <v>30175.02</v>
      </c>
      <c r="AF2206">
        <v>16463820</v>
      </c>
      <c r="AG2206">
        <v>16463820</v>
      </c>
      <c r="AH2206">
        <v>0</v>
      </c>
      <c r="AI2206">
        <v>0</v>
      </c>
    </row>
    <row r="2207" spans="1:35" x14ac:dyDescent="0.35">
      <c r="A2207" t="s">
        <v>2</v>
      </c>
      <c r="B2207">
        <v>3000</v>
      </c>
      <c r="C2207">
        <v>7</v>
      </c>
      <c r="D2207">
        <v>5</v>
      </c>
      <c r="E2207">
        <v>0</v>
      </c>
      <c r="F2207">
        <v>123995504</v>
      </c>
      <c r="G2207">
        <v>229393.34</v>
      </c>
      <c r="H2207">
        <v>123465295.17</v>
      </c>
      <c r="I2207">
        <v>123758592.39</v>
      </c>
      <c r="J2207">
        <v>2.8726999999999999E-2</v>
      </c>
      <c r="K2207">
        <v>7.27E-4</v>
      </c>
      <c r="M2207" t="s">
        <v>3</v>
      </c>
      <c r="N2207">
        <v>7250</v>
      </c>
      <c r="O2207">
        <v>6</v>
      </c>
      <c r="P2207">
        <v>1</v>
      </c>
      <c r="Q2207">
        <v>0</v>
      </c>
      <c r="R2207">
        <v>20238754</v>
      </c>
      <c r="S2207">
        <v>16851.900000000001</v>
      </c>
      <c r="T2207">
        <v>20216244.280000001</v>
      </c>
      <c r="U2207">
        <v>20221901.699999999</v>
      </c>
      <c r="V2207">
        <v>3.349E-3</v>
      </c>
      <c r="W2207">
        <v>0</v>
      </c>
      <c r="Y2207" t="s">
        <v>1</v>
      </c>
      <c r="Z2207">
        <v>3000</v>
      </c>
      <c r="AA2207">
        <v>7</v>
      </c>
      <c r="AB2207">
        <v>3</v>
      </c>
      <c r="AC2207">
        <v>0</v>
      </c>
      <c r="AD2207">
        <v>102899133</v>
      </c>
      <c r="AE2207">
        <v>207092.43</v>
      </c>
      <c r="AF2207">
        <v>102603415</v>
      </c>
      <c r="AG2207">
        <v>102603415</v>
      </c>
      <c r="AH2207">
        <v>1.0286999999999999E-2</v>
      </c>
      <c r="AI2207">
        <v>1.0286999999999999E-2</v>
      </c>
    </row>
    <row r="2208" spans="1:35" x14ac:dyDescent="0.35">
      <c r="A2208" t="s">
        <v>0</v>
      </c>
      <c r="B2208">
        <v>3250</v>
      </c>
      <c r="C2208">
        <v>7</v>
      </c>
      <c r="D2208">
        <v>2</v>
      </c>
      <c r="E2208">
        <v>0</v>
      </c>
      <c r="F2208">
        <v>76444149</v>
      </c>
      <c r="G2208">
        <v>130983.98</v>
      </c>
      <c r="H2208">
        <v>76293505.510000005</v>
      </c>
      <c r="I2208">
        <v>76313156.870000005</v>
      </c>
      <c r="J2208">
        <v>3.0820000000000001E-3</v>
      </c>
      <c r="K2208">
        <v>9.9999999999999995E-7</v>
      </c>
      <c r="M2208" t="s">
        <v>1</v>
      </c>
      <c r="N2208">
        <v>8000</v>
      </c>
      <c r="O2208">
        <v>6</v>
      </c>
      <c r="P2208">
        <v>8</v>
      </c>
      <c r="Q2208">
        <v>0</v>
      </c>
      <c r="R2208">
        <v>303928644</v>
      </c>
      <c r="S2208">
        <v>213203.25</v>
      </c>
      <c r="T2208">
        <v>293407940.06999999</v>
      </c>
      <c r="U2208">
        <v>299424912.41000003</v>
      </c>
      <c r="V2208">
        <v>0.33901999999999999</v>
      </c>
      <c r="W2208">
        <v>0.15684999999999999</v>
      </c>
      <c r="Y2208" t="s">
        <v>1</v>
      </c>
      <c r="Z2208">
        <v>3750</v>
      </c>
      <c r="AA2208">
        <v>6</v>
      </c>
      <c r="AB2208">
        <v>65</v>
      </c>
      <c r="AC2208">
        <v>0</v>
      </c>
      <c r="AD2208">
        <v>2533483806</v>
      </c>
      <c r="AE2208">
        <v>3926116.51</v>
      </c>
      <c r="AF2208">
        <v>2517409414</v>
      </c>
      <c r="AG2208">
        <v>2517409414</v>
      </c>
      <c r="AH2208">
        <v>5.6048000000000001E-2</v>
      </c>
      <c r="AI2208">
        <v>5.6048000000000001E-2</v>
      </c>
    </row>
    <row r="2209" spans="1:35" x14ac:dyDescent="0.35">
      <c r="A2209" t="s">
        <v>1</v>
      </c>
      <c r="B2209">
        <v>3500</v>
      </c>
      <c r="C2209">
        <v>6</v>
      </c>
      <c r="D2209">
        <v>9</v>
      </c>
      <c r="E2209">
        <v>0</v>
      </c>
      <c r="F2209">
        <v>342155383</v>
      </c>
      <c r="G2209">
        <v>565998.63</v>
      </c>
      <c r="H2209">
        <v>337717667.25999999</v>
      </c>
      <c r="I2209">
        <v>337975957.48000002</v>
      </c>
      <c r="J2209">
        <v>0.12764800000000001</v>
      </c>
      <c r="K2209">
        <v>0.11962100000000001</v>
      </c>
      <c r="M2209" t="s">
        <v>1</v>
      </c>
      <c r="N2209">
        <v>2250</v>
      </c>
      <c r="O2209">
        <v>5</v>
      </c>
      <c r="P2209">
        <v>5</v>
      </c>
      <c r="Q2209">
        <v>0</v>
      </c>
      <c r="R2209">
        <v>191800000</v>
      </c>
      <c r="S2209">
        <v>441051.2</v>
      </c>
      <c r="T2209">
        <v>191274658.72</v>
      </c>
      <c r="U2209">
        <v>191329476.31</v>
      </c>
      <c r="V2209">
        <v>5.2610000000000001E-3</v>
      </c>
      <c r="W2209">
        <v>1.8420000000000001E-3</v>
      </c>
      <c r="Y2209" t="s">
        <v>1</v>
      </c>
      <c r="Z2209">
        <v>3250</v>
      </c>
      <c r="AA2209">
        <v>6</v>
      </c>
      <c r="AB2209">
        <v>9</v>
      </c>
      <c r="AC2209">
        <v>0</v>
      </c>
      <c r="AD2209">
        <v>263602717</v>
      </c>
      <c r="AE2209">
        <v>461539.96</v>
      </c>
      <c r="AF2209">
        <v>261744467</v>
      </c>
      <c r="AG2209">
        <v>261744467</v>
      </c>
      <c r="AH2209">
        <v>6.1761999999999997E-2</v>
      </c>
      <c r="AI2209">
        <v>6.1761999999999997E-2</v>
      </c>
    </row>
    <row r="2210" spans="1:35" x14ac:dyDescent="0.35">
      <c r="A2210" t="s">
        <v>2</v>
      </c>
      <c r="B2210">
        <v>3500</v>
      </c>
      <c r="C2210">
        <v>7</v>
      </c>
      <c r="D2210">
        <v>9</v>
      </c>
      <c r="E2210">
        <v>0</v>
      </c>
      <c r="F2210">
        <v>226991408</v>
      </c>
      <c r="G2210">
        <v>370285.67</v>
      </c>
      <c r="H2210">
        <v>226456452.61000001</v>
      </c>
      <c r="I2210">
        <v>226608081.58000001</v>
      </c>
      <c r="J2210">
        <v>8.6709999999999999E-3</v>
      </c>
      <c r="K2210">
        <v>6.8900000000000005E-4</v>
      </c>
      <c r="M2210" t="s">
        <v>1</v>
      </c>
      <c r="N2210">
        <v>2250</v>
      </c>
      <c r="O2210">
        <v>6</v>
      </c>
      <c r="P2210">
        <v>1</v>
      </c>
      <c r="Q2210">
        <v>0</v>
      </c>
      <c r="R2210">
        <v>33800000</v>
      </c>
      <c r="S2210">
        <v>75605.53</v>
      </c>
      <c r="T2210">
        <v>33682459.170000002</v>
      </c>
      <c r="U2210">
        <v>33722108.990000002</v>
      </c>
      <c r="V2210">
        <v>1.4787E-2</v>
      </c>
      <c r="W2210">
        <v>8.1099999999999998E-4</v>
      </c>
      <c r="Y2210" t="s">
        <v>2</v>
      </c>
      <c r="Z2210">
        <v>3500</v>
      </c>
      <c r="AA2210">
        <v>7</v>
      </c>
      <c r="AB2210">
        <v>5</v>
      </c>
      <c r="AC2210">
        <v>0</v>
      </c>
      <c r="AD2210">
        <v>100759417</v>
      </c>
      <c r="AE2210">
        <v>164322.70000000001</v>
      </c>
      <c r="AF2210">
        <v>100619349</v>
      </c>
      <c r="AG2210">
        <v>100619349</v>
      </c>
      <c r="AH2210">
        <v>-2.892E-3</v>
      </c>
      <c r="AI2210">
        <v>-2.892E-3</v>
      </c>
    </row>
    <row r="2211" spans="1:35" x14ac:dyDescent="0.35">
      <c r="A2211" t="s">
        <v>0</v>
      </c>
      <c r="B2211">
        <v>3500</v>
      </c>
      <c r="C2211">
        <v>7</v>
      </c>
      <c r="D2211">
        <v>21</v>
      </c>
      <c r="E2211">
        <v>0</v>
      </c>
      <c r="F2211">
        <v>674304661</v>
      </c>
      <c r="G2211">
        <v>1097109.27</v>
      </c>
      <c r="H2211">
        <v>673091500.66999996</v>
      </c>
      <c r="I2211">
        <v>673205886.49000001</v>
      </c>
      <c r="J2211">
        <v>2.0630000000000002E-3</v>
      </c>
      <c r="K2211">
        <v>3.0000000000000001E-5</v>
      </c>
      <c r="M2211" t="s">
        <v>2</v>
      </c>
      <c r="N2211">
        <v>2250</v>
      </c>
      <c r="O2211">
        <v>6</v>
      </c>
      <c r="P2211">
        <v>1</v>
      </c>
      <c r="Q2211">
        <v>0</v>
      </c>
      <c r="R2211">
        <v>19400000</v>
      </c>
      <c r="S2211">
        <v>43217.19</v>
      </c>
      <c r="T2211">
        <v>18530501.370000001</v>
      </c>
      <c r="U2211">
        <v>19356657.129999999</v>
      </c>
      <c r="V2211">
        <v>0.40684900000000002</v>
      </c>
      <c r="W2211">
        <v>7.7999999999999999E-5</v>
      </c>
      <c r="Y2211" t="s">
        <v>1</v>
      </c>
      <c r="Z2211">
        <v>3500</v>
      </c>
      <c r="AA2211">
        <v>6</v>
      </c>
      <c r="AB2211">
        <v>9</v>
      </c>
      <c r="AC2211">
        <v>0</v>
      </c>
      <c r="AD2211">
        <v>339284761</v>
      </c>
      <c r="AE2211">
        <v>566120.43999999994</v>
      </c>
      <c r="AF2211">
        <v>336754249</v>
      </c>
      <c r="AG2211">
        <v>336754249</v>
      </c>
      <c r="AH2211">
        <v>6.7307000000000006E-2</v>
      </c>
      <c r="AI2211">
        <v>6.7307000000000006E-2</v>
      </c>
    </row>
    <row r="2212" spans="1:35" x14ac:dyDescent="0.35">
      <c r="A2212" t="s">
        <v>0</v>
      </c>
      <c r="B2212">
        <v>3750</v>
      </c>
      <c r="C2212">
        <v>6</v>
      </c>
      <c r="D2212">
        <v>80</v>
      </c>
      <c r="E2212">
        <v>0</v>
      </c>
      <c r="F2212">
        <v>2629508241</v>
      </c>
      <c r="G2212">
        <v>4073156.11</v>
      </c>
      <c r="H2212">
        <v>2625039571.1399999</v>
      </c>
      <c r="I2212">
        <v>2625399024.5700002</v>
      </c>
      <c r="J2212">
        <v>1.8029999999999999E-3</v>
      </c>
      <c r="K2212">
        <v>1.65E-4</v>
      </c>
      <c r="M2212" t="s">
        <v>1</v>
      </c>
      <c r="N2212">
        <v>3000</v>
      </c>
      <c r="O2212">
        <v>6</v>
      </c>
      <c r="P2212">
        <v>6</v>
      </c>
      <c r="Q2212">
        <v>0</v>
      </c>
      <c r="R2212">
        <v>157000000</v>
      </c>
      <c r="S2212">
        <v>323569.68</v>
      </c>
      <c r="T2212">
        <v>156461519.63</v>
      </c>
      <c r="U2212">
        <v>156672103.44</v>
      </c>
      <c r="V2212">
        <v>1.6303000000000002E-2</v>
      </c>
      <c r="W2212">
        <v>3.3100000000000002E-4</v>
      </c>
      <c r="Y2212" t="s">
        <v>0</v>
      </c>
      <c r="Z2212">
        <v>3750</v>
      </c>
      <c r="AA2212">
        <v>6</v>
      </c>
      <c r="AB2212">
        <v>202</v>
      </c>
      <c r="AC2212">
        <v>0</v>
      </c>
      <c r="AD2212">
        <v>7484972980</v>
      </c>
      <c r="AE2212">
        <v>11594732.119999999</v>
      </c>
      <c r="AF2212">
        <v>7443783361</v>
      </c>
      <c r="AG2212">
        <v>7443783361</v>
      </c>
      <c r="AH2212">
        <v>4.6428999999999998E-2</v>
      </c>
      <c r="AI2212">
        <v>4.6428999999999998E-2</v>
      </c>
    </row>
    <row r="2213" spans="1:35" x14ac:dyDescent="0.35">
      <c r="A2213" t="s">
        <v>2</v>
      </c>
      <c r="B2213">
        <v>3750</v>
      </c>
      <c r="C2213">
        <v>7</v>
      </c>
      <c r="D2213">
        <v>8</v>
      </c>
      <c r="E2213">
        <v>0</v>
      </c>
      <c r="F2213">
        <v>207719341</v>
      </c>
      <c r="G2213">
        <v>326764.3</v>
      </c>
      <c r="H2213">
        <v>207312935.56999999</v>
      </c>
      <c r="I2213">
        <v>207391552.88999999</v>
      </c>
      <c r="J2213">
        <v>4.5909999999999996E-3</v>
      </c>
      <c r="K2213">
        <v>5.8999999999999998E-5</v>
      </c>
      <c r="M2213" t="s">
        <v>0</v>
      </c>
      <c r="N2213">
        <v>3250</v>
      </c>
      <c r="O2213">
        <v>5</v>
      </c>
      <c r="P2213">
        <v>23</v>
      </c>
      <c r="Q2213">
        <v>0</v>
      </c>
      <c r="R2213">
        <v>622400000</v>
      </c>
      <c r="S2213">
        <v>1046362.94</v>
      </c>
      <c r="T2213">
        <v>621061391.50999999</v>
      </c>
      <c r="U2213">
        <v>621339480.50999999</v>
      </c>
      <c r="V2213">
        <v>5.62E-3</v>
      </c>
      <c r="W2213">
        <v>2.7300000000000002E-4</v>
      </c>
      <c r="Y2213" t="s">
        <v>2</v>
      </c>
      <c r="Z2213">
        <v>4000</v>
      </c>
      <c r="AA2213">
        <v>6</v>
      </c>
      <c r="AB2213">
        <v>69</v>
      </c>
      <c r="AC2213">
        <v>0</v>
      </c>
      <c r="AD2213">
        <v>2038751922</v>
      </c>
      <c r="AE2213">
        <v>3029377.29</v>
      </c>
      <c r="AF2213">
        <v>2031208264</v>
      </c>
      <c r="AG2213">
        <v>2031208264</v>
      </c>
      <c r="AH2213">
        <v>2.6249999999999999E-2</v>
      </c>
      <c r="AI2213">
        <v>2.6249999999999999E-2</v>
      </c>
    </row>
    <row r="2214" spans="1:35" x14ac:dyDescent="0.35">
      <c r="A2214" t="s">
        <v>0</v>
      </c>
      <c r="B2214">
        <v>3500</v>
      </c>
      <c r="C2214">
        <v>6</v>
      </c>
      <c r="D2214">
        <v>12</v>
      </c>
      <c r="E2214">
        <v>0</v>
      </c>
      <c r="F2214">
        <v>422187092</v>
      </c>
      <c r="G2214">
        <v>684964.41</v>
      </c>
      <c r="H2214">
        <v>421454479.43000001</v>
      </c>
      <c r="I2214">
        <v>421501103.94</v>
      </c>
      <c r="J2214">
        <v>1.353E-3</v>
      </c>
      <c r="K2214">
        <v>2.9E-5</v>
      </c>
      <c r="M2214" t="s">
        <v>0</v>
      </c>
      <c r="N2214">
        <v>2750</v>
      </c>
      <c r="O2214">
        <v>5</v>
      </c>
      <c r="P2214">
        <v>4</v>
      </c>
      <c r="Q2214">
        <v>0</v>
      </c>
      <c r="R2214">
        <v>90800000</v>
      </c>
      <c r="S2214">
        <v>165456.51</v>
      </c>
      <c r="T2214">
        <v>90352129.439999998</v>
      </c>
      <c r="U2214">
        <v>90518714.069999993</v>
      </c>
      <c r="V2214">
        <v>3.6692000000000002E-2</v>
      </c>
      <c r="W2214">
        <v>1.5200999999999999E-2</v>
      </c>
      <c r="Y2214" t="s">
        <v>2</v>
      </c>
      <c r="Z2214">
        <v>4250</v>
      </c>
      <c r="AA2214">
        <v>6</v>
      </c>
      <c r="AB2214">
        <v>10</v>
      </c>
      <c r="AC2214">
        <v>0</v>
      </c>
      <c r="AD2214">
        <v>269696356</v>
      </c>
      <c r="AE2214">
        <v>384825.23</v>
      </c>
      <c r="AF2214">
        <v>269396197</v>
      </c>
      <c r="AG2214">
        <v>269396197</v>
      </c>
      <c r="AH2214">
        <v>-3.774E-3</v>
      </c>
      <c r="AI2214">
        <v>-3.774E-3</v>
      </c>
    </row>
    <row r="2215" spans="1:35" x14ac:dyDescent="0.35">
      <c r="A2215" t="s">
        <v>1</v>
      </c>
      <c r="B2215">
        <v>3750</v>
      </c>
      <c r="C2215">
        <v>6</v>
      </c>
      <c r="D2215">
        <v>28</v>
      </c>
      <c r="E2215">
        <v>0</v>
      </c>
      <c r="F2215">
        <v>1068254126</v>
      </c>
      <c r="G2215">
        <v>1654430.16</v>
      </c>
      <c r="H2215">
        <v>1066036757.4</v>
      </c>
      <c r="I2215">
        <v>1066536973.97</v>
      </c>
      <c r="J2215">
        <v>6.3049999999999998E-3</v>
      </c>
      <c r="K2215">
        <v>7.0399999999999998E-4</v>
      </c>
      <c r="M2215" t="s">
        <v>0</v>
      </c>
      <c r="N2215">
        <v>3000</v>
      </c>
      <c r="O2215">
        <v>5</v>
      </c>
      <c r="P2215">
        <v>5</v>
      </c>
      <c r="Q2215">
        <v>0</v>
      </c>
      <c r="R2215">
        <v>158500000</v>
      </c>
      <c r="S2215">
        <v>281762.34000000003</v>
      </c>
      <c r="T2215">
        <v>158007395.06999999</v>
      </c>
      <c r="U2215">
        <v>158133647.30000001</v>
      </c>
      <c r="V2215">
        <v>1.5847E-2</v>
      </c>
      <c r="W2215">
        <v>6.3860000000000002E-3</v>
      </c>
      <c r="Y2215" t="s">
        <v>0</v>
      </c>
      <c r="Z2215">
        <v>4500</v>
      </c>
      <c r="AA2215">
        <v>6</v>
      </c>
      <c r="AB2215">
        <v>1068</v>
      </c>
      <c r="AC2215">
        <v>0</v>
      </c>
      <c r="AD2215">
        <v>36230935668</v>
      </c>
      <c r="AE2215">
        <v>49321419.189999998</v>
      </c>
      <c r="AF2215">
        <v>36116121681</v>
      </c>
      <c r="AG2215">
        <v>36116121681</v>
      </c>
      <c r="AH2215">
        <v>2.1477E-2</v>
      </c>
      <c r="AI2215">
        <v>2.1477E-2</v>
      </c>
    </row>
    <row r="2216" spans="1:35" x14ac:dyDescent="0.35">
      <c r="A2216" t="s">
        <v>2</v>
      </c>
      <c r="B2216">
        <v>3750</v>
      </c>
      <c r="C2216">
        <v>6</v>
      </c>
      <c r="D2216">
        <v>7</v>
      </c>
      <c r="E2216">
        <v>0</v>
      </c>
      <c r="F2216">
        <v>204499884</v>
      </c>
      <c r="G2216">
        <v>319389.61</v>
      </c>
      <c r="H2216">
        <v>204139656.49000001</v>
      </c>
      <c r="I2216">
        <v>204179986.72</v>
      </c>
      <c r="J2216">
        <v>2.3939999999999999E-3</v>
      </c>
      <c r="K2216">
        <v>3.0000000000000001E-5</v>
      </c>
      <c r="M2216" t="s">
        <v>2</v>
      </c>
      <c r="N2216">
        <v>3250</v>
      </c>
      <c r="O2216">
        <v>6</v>
      </c>
      <c r="P2216">
        <v>4</v>
      </c>
      <c r="Q2216">
        <v>0</v>
      </c>
      <c r="R2216">
        <v>48100000</v>
      </c>
      <c r="S2216">
        <v>81545.56</v>
      </c>
      <c r="T2216">
        <v>47894381.810000002</v>
      </c>
      <c r="U2216">
        <v>47982738.909999996</v>
      </c>
      <c r="V2216">
        <v>3.0518E-2</v>
      </c>
      <c r="W2216">
        <v>8.8739999999999999E-3</v>
      </c>
      <c r="Y2216" t="s">
        <v>1</v>
      </c>
      <c r="Z2216">
        <v>4500</v>
      </c>
      <c r="AA2216">
        <v>6</v>
      </c>
      <c r="AB2216">
        <v>366</v>
      </c>
      <c r="AC2216">
        <v>0</v>
      </c>
      <c r="AD2216">
        <v>13966810286</v>
      </c>
      <c r="AE2216">
        <v>19031368.98</v>
      </c>
      <c r="AF2216">
        <v>13912210117</v>
      </c>
      <c r="AG2216">
        <v>13912210117</v>
      </c>
      <c r="AH2216">
        <v>3.0136E-2</v>
      </c>
      <c r="AI2216">
        <v>3.0136E-2</v>
      </c>
    </row>
    <row r="2217" spans="1:35" x14ac:dyDescent="0.35">
      <c r="A2217" t="s">
        <v>2</v>
      </c>
      <c r="B2217">
        <v>3250</v>
      </c>
      <c r="C2217">
        <v>7</v>
      </c>
      <c r="D2217">
        <v>2</v>
      </c>
      <c r="E2217">
        <v>0</v>
      </c>
      <c r="F2217">
        <v>27818500</v>
      </c>
      <c r="G2217">
        <v>47146.97</v>
      </c>
      <c r="H2217">
        <v>27604497.670000002</v>
      </c>
      <c r="I2217">
        <v>27766463.210000001</v>
      </c>
      <c r="J2217">
        <v>6.9648000000000002E-2</v>
      </c>
      <c r="K2217">
        <v>2.1069999999999999E-3</v>
      </c>
      <c r="M2217" t="s">
        <v>1</v>
      </c>
      <c r="N2217">
        <v>2750</v>
      </c>
      <c r="O2217">
        <v>5</v>
      </c>
      <c r="P2217">
        <v>9</v>
      </c>
      <c r="Q2217">
        <v>0</v>
      </c>
      <c r="R2217">
        <v>258700000</v>
      </c>
      <c r="S2217">
        <v>547363.93000000005</v>
      </c>
      <c r="T2217">
        <v>257355885.12</v>
      </c>
      <c r="U2217">
        <v>258148126.65000001</v>
      </c>
      <c r="V2217">
        <v>3.6338000000000002E-2</v>
      </c>
      <c r="W2217">
        <v>2.0900000000000001E-4</v>
      </c>
      <c r="Y2217" t="s">
        <v>2</v>
      </c>
      <c r="Z2217">
        <v>4500</v>
      </c>
      <c r="AA2217">
        <v>6</v>
      </c>
      <c r="AB2217">
        <v>29</v>
      </c>
      <c r="AC2217">
        <v>0</v>
      </c>
      <c r="AD2217">
        <v>815975923</v>
      </c>
      <c r="AE2217">
        <v>1110304.1399999999</v>
      </c>
      <c r="AF2217">
        <v>812480115</v>
      </c>
      <c r="AG2217">
        <v>812480115</v>
      </c>
      <c r="AH2217">
        <v>3.4522999999999998E-2</v>
      </c>
      <c r="AI2217">
        <v>3.4522999999999998E-2</v>
      </c>
    </row>
    <row r="2218" spans="1:35" x14ac:dyDescent="0.35">
      <c r="A2218" t="s">
        <v>1</v>
      </c>
      <c r="B2218">
        <v>3250</v>
      </c>
      <c r="C2218">
        <v>6</v>
      </c>
      <c r="D2218">
        <v>4</v>
      </c>
      <c r="E2218">
        <v>0</v>
      </c>
      <c r="F2218">
        <v>155639779</v>
      </c>
      <c r="G2218">
        <v>262622.92</v>
      </c>
      <c r="H2218">
        <v>155213604.55000001</v>
      </c>
      <c r="I2218">
        <v>155322709.81999999</v>
      </c>
      <c r="J2218">
        <v>1.2537E-2</v>
      </c>
      <c r="K2218">
        <v>4.1900000000000001E-3</v>
      </c>
      <c r="M2218" t="s">
        <v>2</v>
      </c>
      <c r="N2218">
        <v>3000</v>
      </c>
      <c r="O2218">
        <v>6</v>
      </c>
      <c r="P2218">
        <v>2</v>
      </c>
      <c r="Q2218">
        <v>0</v>
      </c>
      <c r="R2218">
        <v>35300000</v>
      </c>
      <c r="S2218">
        <v>62134.33</v>
      </c>
      <c r="T2218">
        <v>35183189.670000002</v>
      </c>
      <c r="U2218">
        <v>35235642.560000002</v>
      </c>
      <c r="V2218">
        <v>1.8429000000000001E-2</v>
      </c>
      <c r="W2218">
        <v>7.5500000000000003E-4</v>
      </c>
      <c r="Y2218" t="s">
        <v>3</v>
      </c>
      <c r="Z2218">
        <v>5250</v>
      </c>
      <c r="AA2218">
        <v>6</v>
      </c>
      <c r="AB2218">
        <v>2</v>
      </c>
      <c r="AC2218">
        <v>0</v>
      </c>
      <c r="AD2218">
        <v>35021873</v>
      </c>
      <c r="AE2218">
        <v>41526.42</v>
      </c>
      <c r="AF2218">
        <v>34867476</v>
      </c>
      <c r="AG2218">
        <v>34867476</v>
      </c>
      <c r="AH2218">
        <v>3.7996000000000002E-2</v>
      </c>
      <c r="AI2218">
        <v>3.7996000000000002E-2</v>
      </c>
    </row>
    <row r="2219" spans="1:35" x14ac:dyDescent="0.35">
      <c r="A2219" t="s">
        <v>0</v>
      </c>
      <c r="B2219">
        <v>3250</v>
      </c>
      <c r="C2219">
        <v>6</v>
      </c>
      <c r="D2219">
        <v>2</v>
      </c>
      <c r="E2219">
        <v>0</v>
      </c>
      <c r="F2219">
        <v>56931552</v>
      </c>
      <c r="G2219">
        <v>96064.97</v>
      </c>
      <c r="H2219">
        <v>56829512.270000003</v>
      </c>
      <c r="I2219">
        <v>56834935.479999997</v>
      </c>
      <c r="J2219">
        <v>1.2589999999999999E-3</v>
      </c>
      <c r="K2219">
        <v>1.16E-4</v>
      </c>
      <c r="M2219" t="s">
        <v>0</v>
      </c>
      <c r="N2219">
        <v>3500</v>
      </c>
      <c r="O2219">
        <v>5</v>
      </c>
      <c r="P2219">
        <v>115</v>
      </c>
      <c r="Q2219">
        <v>0</v>
      </c>
      <c r="R2219">
        <v>3877200000</v>
      </c>
      <c r="S2219">
        <v>6183457.6799999997</v>
      </c>
      <c r="T2219">
        <v>3869374534.5</v>
      </c>
      <c r="U2219">
        <v>3870590526.5700002</v>
      </c>
      <c r="V2219">
        <v>5.0699999999999999E-3</v>
      </c>
      <c r="W2219">
        <v>1.3179999999999999E-3</v>
      </c>
      <c r="Y2219" t="s">
        <v>3</v>
      </c>
      <c r="Z2219">
        <v>5500</v>
      </c>
      <c r="AA2219">
        <v>6</v>
      </c>
      <c r="AB2219">
        <v>1</v>
      </c>
      <c r="AC2219">
        <v>0</v>
      </c>
      <c r="AD2219">
        <v>19542009</v>
      </c>
      <c r="AE2219">
        <v>22131.86</v>
      </c>
      <c r="AF2219">
        <v>19519751</v>
      </c>
      <c r="AG2219">
        <v>19519751</v>
      </c>
      <c r="AH2219">
        <v>7.7000000000000001E-5</v>
      </c>
      <c r="AI2219">
        <v>7.7000000000000001E-5</v>
      </c>
    </row>
    <row r="2220" spans="1:35" x14ac:dyDescent="0.35">
      <c r="A2220" t="s">
        <v>2</v>
      </c>
      <c r="B2220">
        <v>4000</v>
      </c>
      <c r="C2220">
        <v>6</v>
      </c>
      <c r="D2220">
        <v>56</v>
      </c>
      <c r="E2220">
        <v>0</v>
      </c>
      <c r="F2220">
        <v>1662467262</v>
      </c>
      <c r="G2220">
        <v>2470464.5099999998</v>
      </c>
      <c r="H2220">
        <v>1659784433.8900001</v>
      </c>
      <c r="I2220">
        <v>1659989127.98</v>
      </c>
      <c r="J2220">
        <v>1.5319999999999999E-3</v>
      </c>
      <c r="K2220">
        <v>5.5000000000000002E-5</v>
      </c>
      <c r="M2220" t="s">
        <v>1</v>
      </c>
      <c r="N2220">
        <v>3500</v>
      </c>
      <c r="O2220">
        <v>6</v>
      </c>
      <c r="P2220">
        <v>3</v>
      </c>
      <c r="Q2220">
        <v>0</v>
      </c>
      <c r="R2220">
        <v>72200000</v>
      </c>
      <c r="S2220">
        <v>123636.44</v>
      </c>
      <c r="T2220">
        <v>71896914.719999999</v>
      </c>
      <c r="U2220">
        <v>72050365.129999995</v>
      </c>
      <c r="V2220">
        <v>2.9420999999999999E-2</v>
      </c>
      <c r="W2220">
        <v>4.313E-3</v>
      </c>
      <c r="Y2220" t="s">
        <v>1</v>
      </c>
      <c r="Z2220">
        <v>8500</v>
      </c>
      <c r="AA2220">
        <v>6</v>
      </c>
      <c r="AB2220">
        <v>1</v>
      </c>
      <c r="AC2220">
        <v>0</v>
      </c>
      <c r="AD2220">
        <v>19876190</v>
      </c>
      <c r="AE2220">
        <v>12608.57</v>
      </c>
      <c r="AF2220">
        <v>19863582</v>
      </c>
      <c r="AG2220">
        <v>19863582</v>
      </c>
      <c r="AH2220">
        <v>0</v>
      </c>
      <c r="AI2220">
        <v>0</v>
      </c>
    </row>
    <row r="2221" spans="1:35" x14ac:dyDescent="0.35">
      <c r="A2221" t="s">
        <v>2</v>
      </c>
      <c r="B2221">
        <v>4250</v>
      </c>
      <c r="C2221">
        <v>6</v>
      </c>
      <c r="D2221">
        <v>14</v>
      </c>
      <c r="E2221">
        <v>0</v>
      </c>
      <c r="F2221">
        <v>419060924</v>
      </c>
      <c r="G2221">
        <v>596584</v>
      </c>
      <c r="H2221">
        <v>418408987.92000002</v>
      </c>
      <c r="I2221">
        <v>418463220.58999997</v>
      </c>
      <c r="J2221">
        <v>1.5839999999999999E-3</v>
      </c>
      <c r="K2221">
        <v>3.1999999999999999E-5</v>
      </c>
      <c r="M2221" t="s">
        <v>1</v>
      </c>
      <c r="N2221">
        <v>3750</v>
      </c>
      <c r="O2221">
        <v>5</v>
      </c>
      <c r="P2221">
        <v>273</v>
      </c>
      <c r="Q2221">
        <v>0</v>
      </c>
      <c r="R2221">
        <v>10643500000</v>
      </c>
      <c r="S2221">
        <v>16250529.99</v>
      </c>
      <c r="T2221">
        <v>10616008729.969999</v>
      </c>
      <c r="U2221">
        <v>10626583248.16</v>
      </c>
      <c r="V2221">
        <v>1.26E-2</v>
      </c>
      <c r="W2221">
        <v>7.5100000000000004E-4</v>
      </c>
      <c r="Y2221" t="s">
        <v>0</v>
      </c>
      <c r="Z2221">
        <v>2500</v>
      </c>
      <c r="AA2221">
        <v>7</v>
      </c>
      <c r="AB2221">
        <v>1</v>
      </c>
      <c r="AC2221">
        <v>0</v>
      </c>
      <c r="AD2221">
        <v>24900000</v>
      </c>
      <c r="AE2221">
        <v>47821.83</v>
      </c>
      <c r="AF2221">
        <v>24661150</v>
      </c>
      <c r="AG2221">
        <v>24661150</v>
      </c>
      <c r="AH2221">
        <v>8.8275000000000006E-2</v>
      </c>
      <c r="AI2221">
        <v>8.8275000000000006E-2</v>
      </c>
    </row>
    <row r="2222" spans="1:35" x14ac:dyDescent="0.35">
      <c r="A2222" t="s">
        <v>0</v>
      </c>
      <c r="B2222">
        <v>4500</v>
      </c>
      <c r="C2222">
        <v>6</v>
      </c>
      <c r="D2222">
        <v>742</v>
      </c>
      <c r="E2222">
        <v>0</v>
      </c>
      <c r="F2222">
        <v>26157773412</v>
      </c>
      <c r="G2222">
        <v>35586945.770000003</v>
      </c>
      <c r="H2222">
        <v>26110197482.150002</v>
      </c>
      <c r="I2222">
        <v>26119152376.279999</v>
      </c>
      <c r="J2222">
        <v>5.4860000000000004E-3</v>
      </c>
      <c r="K2222">
        <v>1.3910000000000001E-3</v>
      </c>
      <c r="M2222" t="s">
        <v>0</v>
      </c>
      <c r="N2222">
        <v>3750</v>
      </c>
      <c r="O2222">
        <v>5</v>
      </c>
      <c r="P2222">
        <v>746</v>
      </c>
      <c r="Q2222">
        <v>0</v>
      </c>
      <c r="R2222">
        <v>27410800000</v>
      </c>
      <c r="S2222">
        <v>41819158.340000004</v>
      </c>
      <c r="T2222">
        <v>27364944335.470001</v>
      </c>
      <c r="U2222">
        <v>27368859398.48</v>
      </c>
      <c r="V2222">
        <v>1.766E-3</v>
      </c>
      <c r="W2222">
        <v>5.3000000000000001E-5</v>
      </c>
      <c r="Y2222" t="s">
        <v>1</v>
      </c>
      <c r="Z2222">
        <v>2500</v>
      </c>
      <c r="AA2222">
        <v>5</v>
      </c>
      <c r="AB2222">
        <v>22</v>
      </c>
      <c r="AC2222">
        <v>0</v>
      </c>
      <c r="AD2222">
        <v>912100000</v>
      </c>
      <c r="AE2222">
        <v>1764109.67</v>
      </c>
      <c r="AF2222">
        <v>911624664</v>
      </c>
      <c r="AG2222">
        <v>911624664</v>
      </c>
      <c r="AH2222">
        <v>-1.7087999999999999E-2</v>
      </c>
      <c r="AI2222">
        <v>-1.7087999999999999E-2</v>
      </c>
    </row>
    <row r="2223" spans="1:35" x14ac:dyDescent="0.35">
      <c r="A2223" t="s">
        <v>1</v>
      </c>
      <c r="B2223">
        <v>4500</v>
      </c>
      <c r="C2223">
        <v>6</v>
      </c>
      <c r="D2223">
        <v>321</v>
      </c>
      <c r="E2223">
        <v>0</v>
      </c>
      <c r="F2223">
        <v>12237080211</v>
      </c>
      <c r="G2223">
        <v>16652194.789999999</v>
      </c>
      <c r="H2223">
        <v>12193915419.32</v>
      </c>
      <c r="I2223">
        <v>12203519403.1</v>
      </c>
      <c r="J2223">
        <v>2.5690999999999999E-2</v>
      </c>
      <c r="K2223">
        <v>1.6455999999999998E-2</v>
      </c>
      <c r="M2223" t="s">
        <v>2</v>
      </c>
      <c r="N2223">
        <v>3750</v>
      </c>
      <c r="O2223">
        <v>5</v>
      </c>
      <c r="P2223">
        <v>35</v>
      </c>
      <c r="Q2223">
        <v>0</v>
      </c>
      <c r="R2223">
        <v>922400000</v>
      </c>
      <c r="S2223">
        <v>1419234.22</v>
      </c>
      <c r="T2223">
        <v>920588350.38999999</v>
      </c>
      <c r="U2223">
        <v>920977053.40999997</v>
      </c>
      <c r="V2223">
        <v>5.0930000000000003E-3</v>
      </c>
      <c r="W2223">
        <v>4.8000000000000001E-5</v>
      </c>
      <c r="Y2223" t="s">
        <v>2</v>
      </c>
      <c r="Z2223">
        <v>3000</v>
      </c>
      <c r="AA2223">
        <v>7</v>
      </c>
      <c r="AB2223">
        <v>1</v>
      </c>
      <c r="AC2223">
        <v>0</v>
      </c>
      <c r="AD2223">
        <v>17500000</v>
      </c>
      <c r="AE2223">
        <v>31587.759999999998</v>
      </c>
      <c r="AF2223">
        <v>17406809</v>
      </c>
      <c r="AG2223">
        <v>17406809</v>
      </c>
      <c r="AH2223">
        <v>4.1433999999999999E-2</v>
      </c>
      <c r="AI2223">
        <v>4.1433999999999999E-2</v>
      </c>
    </row>
    <row r="2224" spans="1:35" x14ac:dyDescent="0.35">
      <c r="A2224" t="s">
        <v>2</v>
      </c>
      <c r="B2224">
        <v>4500</v>
      </c>
      <c r="C2224">
        <v>6</v>
      </c>
      <c r="D2224">
        <v>19</v>
      </c>
      <c r="E2224">
        <v>0</v>
      </c>
      <c r="F2224">
        <v>513111036</v>
      </c>
      <c r="G2224">
        <v>698148.32</v>
      </c>
      <c r="H2224">
        <v>512307148.62</v>
      </c>
      <c r="I2224">
        <v>512409942.11000001</v>
      </c>
      <c r="J2224">
        <v>2.47E-3</v>
      </c>
      <c r="K2224">
        <v>6.8999999999999997E-5</v>
      </c>
      <c r="M2224" t="s">
        <v>2</v>
      </c>
      <c r="N2224">
        <v>3500</v>
      </c>
      <c r="O2224">
        <v>6</v>
      </c>
      <c r="P2224">
        <v>4</v>
      </c>
      <c r="Q2224">
        <v>0</v>
      </c>
      <c r="R2224">
        <v>56600000</v>
      </c>
      <c r="S2224">
        <v>105992.96000000001</v>
      </c>
      <c r="T2224">
        <v>56434147.329999998</v>
      </c>
      <c r="U2224">
        <v>56486626.409999996</v>
      </c>
      <c r="V2224">
        <v>1.2618000000000001E-2</v>
      </c>
      <c r="W2224">
        <v>1.5640000000000001E-3</v>
      </c>
      <c r="Y2224" t="s">
        <v>2</v>
      </c>
      <c r="Z2224">
        <v>3000</v>
      </c>
      <c r="AA2224">
        <v>6</v>
      </c>
      <c r="AB2224">
        <v>5</v>
      </c>
      <c r="AC2224">
        <v>0</v>
      </c>
      <c r="AD2224">
        <v>124700000</v>
      </c>
      <c r="AE2224">
        <v>229738.02</v>
      </c>
      <c r="AF2224">
        <v>123995504</v>
      </c>
      <c r="AG2224">
        <v>123995504</v>
      </c>
      <c r="AH2224">
        <v>4.4741999999999997E-2</v>
      </c>
      <c r="AI2224">
        <v>4.4741999999999997E-2</v>
      </c>
    </row>
    <row r="2225" spans="1:35" x14ac:dyDescent="0.35">
      <c r="A2225" t="s">
        <v>3</v>
      </c>
      <c r="B2225">
        <v>5500</v>
      </c>
      <c r="C2225">
        <v>6</v>
      </c>
      <c r="D2225">
        <v>2</v>
      </c>
      <c r="E2225">
        <v>0</v>
      </c>
      <c r="F2225">
        <v>41334819</v>
      </c>
      <c r="G2225">
        <v>47393.69</v>
      </c>
      <c r="H2225">
        <v>41277068.630000003</v>
      </c>
      <c r="I2225">
        <v>41287425.259999998</v>
      </c>
      <c r="J2225">
        <v>3.003E-3</v>
      </c>
      <c r="K2225">
        <v>0</v>
      </c>
      <c r="M2225" t="s">
        <v>1</v>
      </c>
      <c r="N2225">
        <v>3500</v>
      </c>
      <c r="O2225">
        <v>5</v>
      </c>
      <c r="P2225">
        <v>51</v>
      </c>
      <c r="Q2225">
        <v>0</v>
      </c>
      <c r="R2225">
        <v>1803600000</v>
      </c>
      <c r="S2225">
        <v>2918971.79</v>
      </c>
      <c r="T2225">
        <v>1798490790.96</v>
      </c>
      <c r="U2225">
        <v>1800449779.6400001</v>
      </c>
      <c r="V2225">
        <v>1.4475E-2</v>
      </c>
      <c r="W2225">
        <v>1.537E-3</v>
      </c>
      <c r="Y2225" t="s">
        <v>0</v>
      </c>
      <c r="Z2225">
        <v>3250</v>
      </c>
      <c r="AA2225">
        <v>6</v>
      </c>
      <c r="AB2225">
        <v>2</v>
      </c>
      <c r="AC2225">
        <v>0</v>
      </c>
      <c r="AD2225">
        <v>77400000</v>
      </c>
      <c r="AE2225">
        <v>132043.67000000001</v>
      </c>
      <c r="AF2225">
        <v>76444149</v>
      </c>
      <c r="AG2225">
        <v>76444149</v>
      </c>
      <c r="AH2225">
        <v>0.120504</v>
      </c>
      <c r="AI2225">
        <v>0.120504</v>
      </c>
    </row>
    <row r="2226" spans="1:35" x14ac:dyDescent="0.35">
      <c r="A2226" t="s">
        <v>3</v>
      </c>
      <c r="B2226">
        <v>5250</v>
      </c>
      <c r="C2226">
        <v>6</v>
      </c>
      <c r="D2226">
        <v>1</v>
      </c>
      <c r="E2226">
        <v>0</v>
      </c>
      <c r="F2226">
        <v>35468657</v>
      </c>
      <c r="G2226">
        <v>42056.19</v>
      </c>
      <c r="H2226">
        <v>35417162.380000003</v>
      </c>
      <c r="I2226">
        <v>35426600.689999998</v>
      </c>
      <c r="J2226">
        <v>3.189E-3</v>
      </c>
      <c r="K2226">
        <v>0</v>
      </c>
      <c r="M2226" t="s">
        <v>2</v>
      </c>
      <c r="N2226">
        <v>4000</v>
      </c>
      <c r="O2226">
        <v>5</v>
      </c>
      <c r="P2226">
        <v>398</v>
      </c>
      <c r="Q2226">
        <v>0</v>
      </c>
      <c r="R2226">
        <v>11868900000</v>
      </c>
      <c r="S2226">
        <v>17318698.789999999</v>
      </c>
      <c r="T2226">
        <v>11849144509.280001</v>
      </c>
      <c r="U2226">
        <v>11851568214.75</v>
      </c>
      <c r="V2226">
        <v>2.4610000000000001E-3</v>
      </c>
      <c r="W2226">
        <v>1.2999999999999999E-5</v>
      </c>
      <c r="Y2226" t="s">
        <v>1</v>
      </c>
      <c r="Z2226">
        <v>3500</v>
      </c>
      <c r="AA2226">
        <v>5</v>
      </c>
      <c r="AB2226">
        <v>104</v>
      </c>
      <c r="AC2226">
        <v>0</v>
      </c>
      <c r="AD2226">
        <v>3736300000</v>
      </c>
      <c r="AE2226">
        <v>5976182.7199999997</v>
      </c>
      <c r="AF2226">
        <v>3734455383</v>
      </c>
      <c r="AG2226">
        <v>3734455383</v>
      </c>
      <c r="AH2226">
        <v>-1.3350000000000001E-2</v>
      </c>
      <c r="AI2226">
        <v>-1.3350000000000001E-2</v>
      </c>
    </row>
    <row r="2227" spans="1:35" x14ac:dyDescent="0.35">
      <c r="A2227" t="s">
        <v>0</v>
      </c>
      <c r="B2227">
        <v>2250</v>
      </c>
      <c r="C2227">
        <v>12</v>
      </c>
      <c r="D2227">
        <v>1</v>
      </c>
      <c r="E2227">
        <v>0</v>
      </c>
      <c r="F2227">
        <v>20400000</v>
      </c>
      <c r="G2227">
        <v>48377.88</v>
      </c>
      <c r="H2227">
        <v>20341542.84</v>
      </c>
      <c r="I2227">
        <v>20351460.43</v>
      </c>
      <c r="J2227">
        <v>5.9129999999999999E-3</v>
      </c>
      <c r="K2227">
        <v>9.5000000000000005E-5</v>
      </c>
      <c r="M2227" t="s">
        <v>2</v>
      </c>
      <c r="N2227">
        <v>4500</v>
      </c>
      <c r="O2227">
        <v>5</v>
      </c>
      <c r="P2227">
        <v>138</v>
      </c>
      <c r="Q2227">
        <v>0</v>
      </c>
      <c r="R2227">
        <v>3874200000</v>
      </c>
      <c r="S2227">
        <v>5191194.99</v>
      </c>
      <c r="T2227">
        <v>3867973069.2800002</v>
      </c>
      <c r="U2227">
        <v>3868946244.3699999</v>
      </c>
      <c r="V2227">
        <v>3.2030000000000001E-3</v>
      </c>
      <c r="W2227">
        <v>1.94E-4</v>
      </c>
      <c r="Y2227" t="s">
        <v>2</v>
      </c>
      <c r="Z2227">
        <v>3500</v>
      </c>
      <c r="AA2227">
        <v>6</v>
      </c>
      <c r="AB2227">
        <v>9</v>
      </c>
      <c r="AC2227">
        <v>0</v>
      </c>
      <c r="AD2227">
        <v>228900000</v>
      </c>
      <c r="AE2227">
        <v>371713.08</v>
      </c>
      <c r="AF2227">
        <v>226991408</v>
      </c>
      <c r="AG2227">
        <v>226991408</v>
      </c>
      <c r="AH2227">
        <v>7.7660999999999994E-2</v>
      </c>
      <c r="AI2227">
        <v>7.7660999999999994E-2</v>
      </c>
    </row>
    <row r="2228" spans="1:35" x14ac:dyDescent="0.35">
      <c r="A2228" t="s">
        <v>1</v>
      </c>
      <c r="B2228">
        <v>2500</v>
      </c>
      <c r="C2228">
        <v>5</v>
      </c>
      <c r="D2228">
        <v>16</v>
      </c>
      <c r="E2228">
        <v>0</v>
      </c>
      <c r="F2228">
        <v>707600000</v>
      </c>
      <c r="G2228">
        <v>1378264.68</v>
      </c>
      <c r="H2228">
        <v>703371073.91999996</v>
      </c>
      <c r="I2228">
        <v>706210503.14999998</v>
      </c>
      <c r="J2228">
        <v>4.7287000000000003E-2</v>
      </c>
      <c r="K2228">
        <v>1.9000000000000001E-4</v>
      </c>
      <c r="M2228" t="s">
        <v>3</v>
      </c>
      <c r="N2228">
        <v>5250</v>
      </c>
      <c r="O2228">
        <v>5</v>
      </c>
      <c r="P2228">
        <v>8</v>
      </c>
      <c r="Q2228">
        <v>0</v>
      </c>
      <c r="R2228">
        <v>236000000</v>
      </c>
      <c r="S2228">
        <v>275151.06</v>
      </c>
      <c r="T2228">
        <v>235720784.19</v>
      </c>
      <c r="U2228">
        <v>235724104.13</v>
      </c>
      <c r="V2228">
        <v>2.0699999999999999E-4</v>
      </c>
      <c r="W2228">
        <v>3.8000000000000002E-5</v>
      </c>
      <c r="Y2228" t="s">
        <v>0</v>
      </c>
      <c r="Z2228">
        <v>3500</v>
      </c>
      <c r="AA2228">
        <v>6</v>
      </c>
      <c r="AB2228">
        <v>21</v>
      </c>
      <c r="AC2228">
        <v>0</v>
      </c>
      <c r="AD2228">
        <v>680100000</v>
      </c>
      <c r="AE2228">
        <v>1101542.53</v>
      </c>
      <c r="AF2228">
        <v>674304661</v>
      </c>
      <c r="AG2228">
        <v>674304661</v>
      </c>
      <c r="AH2228">
        <v>7.9746999999999998E-2</v>
      </c>
      <c r="AI2228">
        <v>7.9746999999999998E-2</v>
      </c>
    </row>
    <row r="2229" spans="1:35" x14ac:dyDescent="0.35">
      <c r="A2229" t="s">
        <v>1</v>
      </c>
      <c r="B2229">
        <v>2750</v>
      </c>
      <c r="C2229">
        <v>6</v>
      </c>
      <c r="D2229">
        <v>1</v>
      </c>
      <c r="E2229">
        <v>0</v>
      </c>
      <c r="F2229">
        <v>22100000</v>
      </c>
      <c r="G2229">
        <v>44496.55</v>
      </c>
      <c r="H2229">
        <v>22027426.68</v>
      </c>
      <c r="I2229">
        <v>22054674.460000001</v>
      </c>
      <c r="J2229">
        <v>1.5139E-2</v>
      </c>
      <c r="K2229">
        <v>4.4999999999999999E-4</v>
      </c>
      <c r="M2229" t="s">
        <v>3</v>
      </c>
      <c r="N2229">
        <v>7500</v>
      </c>
      <c r="O2229">
        <v>5</v>
      </c>
      <c r="P2229">
        <v>2</v>
      </c>
      <c r="Q2229">
        <v>0</v>
      </c>
      <c r="R2229">
        <v>33500000</v>
      </c>
      <c r="S2229">
        <v>26178.58</v>
      </c>
      <c r="T2229">
        <v>33363431.800000001</v>
      </c>
      <c r="U2229">
        <v>33364730.579999998</v>
      </c>
      <c r="V2229">
        <v>3.8834E-2</v>
      </c>
      <c r="W2229">
        <v>3.8385000000000002E-2</v>
      </c>
      <c r="Y2229" t="s">
        <v>0</v>
      </c>
      <c r="Z2229">
        <v>3750</v>
      </c>
      <c r="AA2229">
        <v>5</v>
      </c>
      <c r="AB2229">
        <v>782</v>
      </c>
      <c r="AC2229">
        <v>0</v>
      </c>
      <c r="AD2229">
        <v>28976000000</v>
      </c>
      <c r="AE2229">
        <v>44094248.619999997</v>
      </c>
      <c r="AF2229">
        <v>28957508241</v>
      </c>
      <c r="AG2229">
        <v>28957508241</v>
      </c>
      <c r="AH2229">
        <v>-1.0655E-2</v>
      </c>
      <c r="AI2229">
        <v>-1.0655E-2</v>
      </c>
    </row>
    <row r="2230" spans="1:35" x14ac:dyDescent="0.35">
      <c r="A2230" t="s">
        <v>1</v>
      </c>
      <c r="B2230">
        <v>2750</v>
      </c>
      <c r="C2230">
        <v>7</v>
      </c>
      <c r="D2230">
        <v>2</v>
      </c>
      <c r="E2230">
        <v>0</v>
      </c>
      <c r="F2230">
        <v>37000000</v>
      </c>
      <c r="G2230">
        <v>76850.320000000007</v>
      </c>
      <c r="H2230">
        <v>36749223.590000004</v>
      </c>
      <c r="I2230">
        <v>36922794.619999997</v>
      </c>
      <c r="J2230">
        <v>5.4973000000000001E-2</v>
      </c>
      <c r="K2230">
        <v>1.15E-4</v>
      </c>
      <c r="M2230" t="s">
        <v>0</v>
      </c>
      <c r="N2230">
        <v>9000</v>
      </c>
      <c r="O2230">
        <v>7</v>
      </c>
      <c r="P2230">
        <v>1</v>
      </c>
      <c r="Q2230">
        <v>0</v>
      </c>
      <c r="R2230">
        <v>16600000</v>
      </c>
      <c r="S2230">
        <v>9838.31</v>
      </c>
      <c r="T2230">
        <v>16406436.24</v>
      </c>
      <c r="U2230">
        <v>16590155.82</v>
      </c>
      <c r="V2230">
        <v>0.12501999999999999</v>
      </c>
      <c r="W2230">
        <v>3.9999999999999998E-6</v>
      </c>
      <c r="Y2230" t="s">
        <v>2</v>
      </c>
      <c r="Z2230">
        <v>3750</v>
      </c>
      <c r="AA2230">
        <v>6</v>
      </c>
      <c r="AB2230">
        <v>8</v>
      </c>
      <c r="AC2230">
        <v>0</v>
      </c>
      <c r="AD2230">
        <v>209200000</v>
      </c>
      <c r="AE2230">
        <v>327534.49</v>
      </c>
      <c r="AF2230">
        <v>207719341</v>
      </c>
      <c r="AG2230">
        <v>207719341</v>
      </c>
      <c r="AH2230">
        <v>6.4175999999999997E-2</v>
      </c>
      <c r="AI2230">
        <v>6.4175999999999997E-2</v>
      </c>
    </row>
    <row r="2231" spans="1:35" x14ac:dyDescent="0.35">
      <c r="A2231" t="s">
        <v>1</v>
      </c>
      <c r="B2231">
        <v>3000</v>
      </c>
      <c r="C2231">
        <v>6</v>
      </c>
      <c r="D2231">
        <v>2</v>
      </c>
      <c r="E2231">
        <v>0</v>
      </c>
      <c r="F2231">
        <v>43600000</v>
      </c>
      <c r="G2231">
        <v>90264.44</v>
      </c>
      <c r="H2231">
        <v>42950376.140000001</v>
      </c>
      <c r="I2231">
        <v>43138065.549999997</v>
      </c>
      <c r="J2231">
        <v>0.14354</v>
      </c>
      <c r="K2231">
        <v>9.7631999999999997E-2</v>
      </c>
      <c r="M2231" t="s">
        <v>1</v>
      </c>
      <c r="N2231">
        <v>2500</v>
      </c>
      <c r="O2231">
        <v>5</v>
      </c>
      <c r="P2231">
        <v>14</v>
      </c>
      <c r="Q2231">
        <v>0</v>
      </c>
      <c r="R2231">
        <v>518400000</v>
      </c>
      <c r="S2231">
        <v>1029533.58</v>
      </c>
      <c r="T2231">
        <v>515589946.76999998</v>
      </c>
      <c r="U2231">
        <v>517319220.72000003</v>
      </c>
      <c r="V2231">
        <v>4.0446000000000003E-2</v>
      </c>
      <c r="W2231">
        <v>1.186E-3</v>
      </c>
      <c r="Y2231" t="s">
        <v>0</v>
      </c>
      <c r="Z2231">
        <v>3500</v>
      </c>
      <c r="AA2231">
        <v>5</v>
      </c>
      <c r="AB2231">
        <v>301</v>
      </c>
      <c r="AC2231">
        <v>0</v>
      </c>
      <c r="AD2231">
        <v>10616600000</v>
      </c>
      <c r="AE2231">
        <v>16846143.239999998</v>
      </c>
      <c r="AF2231">
        <v>10613887092</v>
      </c>
      <c r="AG2231">
        <v>10613887092</v>
      </c>
      <c r="AH2231">
        <v>-1.6091999999999999E-2</v>
      </c>
      <c r="AI2231">
        <v>-1.6091999999999999E-2</v>
      </c>
    </row>
    <row r="2232" spans="1:35" x14ac:dyDescent="0.35">
      <c r="A2232" t="s">
        <v>1</v>
      </c>
      <c r="B2232">
        <v>3500</v>
      </c>
      <c r="C2232">
        <v>5</v>
      </c>
      <c r="D2232">
        <v>95</v>
      </c>
      <c r="E2232">
        <v>0</v>
      </c>
      <c r="F2232">
        <v>3392300000</v>
      </c>
      <c r="G2232">
        <v>5428856.4400000004</v>
      </c>
      <c r="H2232">
        <v>3383542282.48</v>
      </c>
      <c r="I2232">
        <v>3386560594.6900001</v>
      </c>
      <c r="J2232">
        <v>1.1712E-2</v>
      </c>
      <c r="K2232">
        <v>1.098E-3</v>
      </c>
      <c r="M2232" t="s">
        <v>2</v>
      </c>
      <c r="N2232">
        <v>2750</v>
      </c>
      <c r="O2232">
        <v>6</v>
      </c>
      <c r="P2232">
        <v>1</v>
      </c>
      <c r="Q2232">
        <v>0</v>
      </c>
      <c r="R2232">
        <v>23400000</v>
      </c>
      <c r="S2232">
        <v>42947.01</v>
      </c>
      <c r="T2232">
        <v>23300629.399999999</v>
      </c>
      <c r="U2232">
        <v>23357032.57</v>
      </c>
      <c r="V2232">
        <v>2.8555000000000001E-2</v>
      </c>
      <c r="W2232">
        <v>1.0000000000000001E-5</v>
      </c>
      <c r="Y2232" t="s">
        <v>2</v>
      </c>
      <c r="Z2232">
        <v>3250</v>
      </c>
      <c r="AA2232">
        <v>6</v>
      </c>
      <c r="AB2232">
        <v>2</v>
      </c>
      <c r="AC2232">
        <v>0</v>
      </c>
      <c r="AD2232">
        <v>27900000</v>
      </c>
      <c r="AE2232">
        <v>47077.81</v>
      </c>
      <c r="AF2232">
        <v>27818500</v>
      </c>
      <c r="AG2232">
        <v>27818500</v>
      </c>
      <c r="AH2232">
        <v>1.4704999999999999E-2</v>
      </c>
      <c r="AI2232">
        <v>1.4704999999999999E-2</v>
      </c>
    </row>
    <row r="2233" spans="1:35" x14ac:dyDescent="0.35">
      <c r="A2233" t="s">
        <v>0</v>
      </c>
      <c r="B2233">
        <v>3500</v>
      </c>
      <c r="C2233">
        <v>5</v>
      </c>
      <c r="D2233">
        <v>289</v>
      </c>
      <c r="E2233">
        <v>0</v>
      </c>
      <c r="F2233">
        <v>10191700000</v>
      </c>
      <c r="G2233">
        <v>16209776.74</v>
      </c>
      <c r="H2233">
        <v>10173961106.17</v>
      </c>
      <c r="I2233">
        <v>10175293352.969999</v>
      </c>
      <c r="J2233">
        <v>1.799E-3</v>
      </c>
      <c r="K2233">
        <v>2.32E-4</v>
      </c>
      <c r="M2233" t="s">
        <v>2</v>
      </c>
      <c r="N2233">
        <v>3250</v>
      </c>
      <c r="O2233">
        <v>5</v>
      </c>
      <c r="P2233">
        <v>15</v>
      </c>
      <c r="Q2233">
        <v>0</v>
      </c>
      <c r="R2233">
        <v>312900000</v>
      </c>
      <c r="S2233">
        <v>575288.68000000005</v>
      </c>
      <c r="T2233">
        <v>312043195.47000003</v>
      </c>
      <c r="U2233">
        <v>312308702.10000002</v>
      </c>
      <c r="V2233">
        <v>1.0743000000000001E-2</v>
      </c>
      <c r="W2233">
        <v>6.1399999999999996E-4</v>
      </c>
      <c r="Y2233" t="s">
        <v>1</v>
      </c>
      <c r="Z2233">
        <v>3250</v>
      </c>
      <c r="AA2233">
        <v>5</v>
      </c>
      <c r="AB2233">
        <v>47</v>
      </c>
      <c r="AC2233">
        <v>0</v>
      </c>
      <c r="AD2233">
        <v>1503700000</v>
      </c>
      <c r="AE2233">
        <v>2497231.13</v>
      </c>
      <c r="AF2233">
        <v>1502839779</v>
      </c>
      <c r="AG2233">
        <v>1502839779</v>
      </c>
      <c r="AH2233">
        <v>-1.3141999999999999E-2</v>
      </c>
      <c r="AI2233">
        <v>-1.3141999999999999E-2</v>
      </c>
    </row>
    <row r="2234" spans="1:35" x14ac:dyDescent="0.35">
      <c r="A2234" t="s">
        <v>0</v>
      </c>
      <c r="B2234">
        <v>3250</v>
      </c>
      <c r="C2234">
        <v>5</v>
      </c>
      <c r="D2234">
        <v>87</v>
      </c>
      <c r="E2234">
        <v>0</v>
      </c>
      <c r="F2234">
        <v>2937500000</v>
      </c>
      <c r="G2234">
        <v>4859950.9000000004</v>
      </c>
      <c r="H2234">
        <v>2932184841.0999999</v>
      </c>
      <c r="I2234">
        <v>2932597919.96</v>
      </c>
      <c r="J2234">
        <v>1.8580000000000001E-3</v>
      </c>
      <c r="K2234">
        <v>1.7200000000000001E-4</v>
      </c>
      <c r="M2234" t="s">
        <v>1</v>
      </c>
      <c r="N2234">
        <v>3250</v>
      </c>
      <c r="O2234">
        <v>5</v>
      </c>
      <c r="P2234">
        <v>35</v>
      </c>
      <c r="Q2234">
        <v>0</v>
      </c>
      <c r="R2234">
        <v>1119200000</v>
      </c>
      <c r="S2234">
        <v>1919752.56</v>
      </c>
      <c r="T2234">
        <v>1115437675.3199999</v>
      </c>
      <c r="U2234">
        <v>1117248293.0999999</v>
      </c>
      <c r="V2234">
        <v>1.9578000000000002E-2</v>
      </c>
      <c r="W2234">
        <v>3.4299999999999999E-4</v>
      </c>
      <c r="Y2234" t="s">
        <v>0</v>
      </c>
      <c r="Z2234">
        <v>3250</v>
      </c>
      <c r="AA2234">
        <v>5</v>
      </c>
      <c r="AB2234">
        <v>89</v>
      </c>
      <c r="AC2234">
        <v>0</v>
      </c>
      <c r="AD2234">
        <v>2994700000</v>
      </c>
      <c r="AE2234">
        <v>4945294.57</v>
      </c>
      <c r="AF2234">
        <v>2994431552</v>
      </c>
      <c r="AG2234">
        <v>2994431552</v>
      </c>
      <c r="AH2234">
        <v>-1.8901999999999999E-2</v>
      </c>
      <c r="AI2234">
        <v>-1.8901999999999999E-2</v>
      </c>
    </row>
    <row r="2235" spans="1:35" x14ac:dyDescent="0.35">
      <c r="A2235" t="s">
        <v>2</v>
      </c>
      <c r="B2235">
        <v>3500</v>
      </c>
      <c r="C2235">
        <v>5</v>
      </c>
      <c r="D2235">
        <v>33</v>
      </c>
      <c r="E2235">
        <v>0</v>
      </c>
      <c r="F2235">
        <v>991000000</v>
      </c>
      <c r="G2235">
        <v>1585832.15</v>
      </c>
      <c r="H2235">
        <v>989245020.51999998</v>
      </c>
      <c r="I2235">
        <v>989413154.79999995</v>
      </c>
      <c r="J2235">
        <v>2.0460000000000001E-3</v>
      </c>
      <c r="K2235">
        <v>1.2E-5</v>
      </c>
      <c r="M2235" t="s">
        <v>1</v>
      </c>
      <c r="N2235">
        <v>3000</v>
      </c>
      <c r="O2235">
        <v>5</v>
      </c>
      <c r="P2235">
        <v>10</v>
      </c>
      <c r="Q2235">
        <v>0</v>
      </c>
      <c r="R2235">
        <v>293200000</v>
      </c>
      <c r="S2235">
        <v>573990.49</v>
      </c>
      <c r="T2235">
        <v>291649038.29000002</v>
      </c>
      <c r="U2235">
        <v>292612214.83999997</v>
      </c>
      <c r="V2235">
        <v>3.9260000000000003E-2</v>
      </c>
      <c r="W2235">
        <v>5.6400000000000005E-4</v>
      </c>
      <c r="Y2235" t="s">
        <v>2</v>
      </c>
      <c r="Z2235">
        <v>4000</v>
      </c>
      <c r="AA2235">
        <v>5</v>
      </c>
      <c r="AB2235">
        <v>441</v>
      </c>
      <c r="AC2235">
        <v>0</v>
      </c>
      <c r="AD2235">
        <v>13130700000</v>
      </c>
      <c r="AE2235">
        <v>19179710.030000001</v>
      </c>
      <c r="AF2235">
        <v>13119167262</v>
      </c>
      <c r="AG2235">
        <v>13119167262</v>
      </c>
      <c r="AH2235">
        <v>-7.0109999999999999E-3</v>
      </c>
      <c r="AI2235">
        <v>-7.0109999999999999E-3</v>
      </c>
    </row>
    <row r="2236" spans="1:35" x14ac:dyDescent="0.35">
      <c r="A2236" t="s">
        <v>0</v>
      </c>
      <c r="B2236">
        <v>3750</v>
      </c>
      <c r="C2236">
        <v>5</v>
      </c>
      <c r="D2236">
        <v>702</v>
      </c>
      <c r="E2236">
        <v>0</v>
      </c>
      <c r="F2236">
        <v>26328000000</v>
      </c>
      <c r="G2236">
        <v>40179699.07</v>
      </c>
      <c r="H2236">
        <v>26285481331.470001</v>
      </c>
      <c r="I2236">
        <v>26287647073.490002</v>
      </c>
      <c r="J2236">
        <v>1.0660000000000001E-3</v>
      </c>
      <c r="K2236">
        <v>7.8999999999999996E-5</v>
      </c>
      <c r="M2236" t="s">
        <v>0</v>
      </c>
      <c r="N2236">
        <v>3000</v>
      </c>
      <c r="O2236">
        <v>14</v>
      </c>
      <c r="P2236">
        <v>1</v>
      </c>
      <c r="Q2236">
        <v>0</v>
      </c>
      <c r="R2236">
        <v>16600000</v>
      </c>
      <c r="S2236">
        <v>30107.919999999998</v>
      </c>
      <c r="T2236">
        <v>16528253.52</v>
      </c>
      <c r="U2236">
        <v>16569844.050000001</v>
      </c>
      <c r="V2236">
        <v>2.9687999999999999E-2</v>
      </c>
      <c r="W2236">
        <v>3.4999999999999997E-5</v>
      </c>
      <c r="Y2236" t="s">
        <v>2</v>
      </c>
      <c r="Z2236">
        <v>4500</v>
      </c>
      <c r="AA2236">
        <v>5</v>
      </c>
      <c r="AB2236">
        <v>132</v>
      </c>
      <c r="AC2236">
        <v>0</v>
      </c>
      <c r="AD2236">
        <v>3649700000</v>
      </c>
      <c r="AE2236">
        <v>4886221.62</v>
      </c>
      <c r="AF2236">
        <v>3646511036</v>
      </c>
      <c r="AG2236">
        <v>3646511036</v>
      </c>
      <c r="AH2236">
        <v>-5.5950000000000001E-3</v>
      </c>
      <c r="AI2236">
        <v>-5.5950000000000001E-3</v>
      </c>
    </row>
    <row r="2237" spans="1:35" x14ac:dyDescent="0.35">
      <c r="A2237" t="s">
        <v>2</v>
      </c>
      <c r="B2237">
        <v>4500</v>
      </c>
      <c r="C2237">
        <v>5</v>
      </c>
      <c r="D2237">
        <v>113</v>
      </c>
      <c r="E2237">
        <v>0</v>
      </c>
      <c r="F2237">
        <v>3133400000</v>
      </c>
      <c r="G2237">
        <v>4204032.6900000004</v>
      </c>
      <c r="H2237">
        <v>3128501145.3699999</v>
      </c>
      <c r="I2237">
        <v>3129181488.4899998</v>
      </c>
      <c r="J2237">
        <v>2.6580000000000002E-3</v>
      </c>
      <c r="K2237">
        <v>5.5000000000000002E-5</v>
      </c>
      <c r="M2237" t="s">
        <v>1</v>
      </c>
      <c r="N2237">
        <v>8500</v>
      </c>
      <c r="O2237">
        <v>5</v>
      </c>
      <c r="P2237">
        <v>1</v>
      </c>
      <c r="Q2237">
        <v>0</v>
      </c>
      <c r="R2237">
        <v>19900000</v>
      </c>
      <c r="S2237">
        <v>12431.11</v>
      </c>
      <c r="T2237">
        <v>19869681.48</v>
      </c>
      <c r="U2237">
        <v>19887528.879999999</v>
      </c>
      <c r="V2237">
        <v>1.0732999999999999E-2</v>
      </c>
      <c r="W2237">
        <v>2.4000000000000001E-5</v>
      </c>
      <c r="Y2237" t="s">
        <v>3</v>
      </c>
      <c r="Z2237">
        <v>5250</v>
      </c>
      <c r="AA2237">
        <v>5</v>
      </c>
      <c r="AB2237">
        <v>13</v>
      </c>
      <c r="AC2237">
        <v>0</v>
      </c>
      <c r="AD2237">
        <v>414900000</v>
      </c>
      <c r="AE2237">
        <v>480573.06</v>
      </c>
      <c r="AF2237">
        <v>414368657</v>
      </c>
      <c r="AG2237">
        <v>414368657</v>
      </c>
      <c r="AH2237">
        <v>1.467E-3</v>
      </c>
      <c r="AI2237">
        <v>1.467E-3</v>
      </c>
    </row>
    <row r="2238" spans="1:35" x14ac:dyDescent="0.35">
      <c r="A2238" t="s">
        <v>3</v>
      </c>
      <c r="B2238">
        <v>7500</v>
      </c>
      <c r="C2238">
        <v>5</v>
      </c>
      <c r="D2238">
        <v>1</v>
      </c>
      <c r="E2238">
        <v>0</v>
      </c>
      <c r="F2238">
        <v>5900000</v>
      </c>
      <c r="G2238">
        <v>4534.25</v>
      </c>
      <c r="H2238">
        <v>5891637.4000000004</v>
      </c>
      <c r="I2238">
        <v>5895461.5099999998</v>
      </c>
      <c r="J2238">
        <v>7.7590000000000003E-3</v>
      </c>
      <c r="K2238">
        <v>9.0000000000000002E-6</v>
      </c>
      <c r="M2238" t="s">
        <v>0</v>
      </c>
      <c r="N2238">
        <v>2500</v>
      </c>
      <c r="O2238">
        <v>5</v>
      </c>
      <c r="P2238">
        <v>1</v>
      </c>
      <c r="Q2238">
        <v>0</v>
      </c>
      <c r="R2238">
        <v>24900000</v>
      </c>
      <c r="S2238">
        <v>47441.53</v>
      </c>
      <c r="T2238">
        <v>24809789.41</v>
      </c>
      <c r="U2238">
        <v>24851579.27</v>
      </c>
      <c r="V2238">
        <v>2.0417999999999999E-2</v>
      </c>
      <c r="W2238">
        <v>4.7199999999999998E-4</v>
      </c>
      <c r="Y2238" t="s">
        <v>0</v>
      </c>
      <c r="Z2238">
        <v>2250</v>
      </c>
      <c r="AA2238">
        <v>10</v>
      </c>
      <c r="AB2238">
        <v>1</v>
      </c>
      <c r="AC2238">
        <v>0</v>
      </c>
      <c r="AD2238">
        <v>20400000</v>
      </c>
      <c r="AE2238">
        <v>48173.32</v>
      </c>
      <c r="AF2238">
        <v>20400000</v>
      </c>
      <c r="AG2238">
        <v>20400000</v>
      </c>
      <c r="AH2238">
        <v>-2.8708000000000001E-2</v>
      </c>
      <c r="AI2238">
        <v>-2.8708000000000001E-2</v>
      </c>
    </row>
    <row r="2239" spans="1:35" x14ac:dyDescent="0.35">
      <c r="A2239" t="s">
        <v>1</v>
      </c>
      <c r="B2239">
        <v>2000</v>
      </c>
      <c r="C2239">
        <v>8</v>
      </c>
      <c r="D2239">
        <v>1</v>
      </c>
      <c r="E2239">
        <v>0</v>
      </c>
      <c r="F2239">
        <v>36000000</v>
      </c>
      <c r="G2239">
        <v>75392.850000000006</v>
      </c>
      <c r="H2239">
        <v>35751458.039999999</v>
      </c>
      <c r="I2239">
        <v>35924478.630000003</v>
      </c>
      <c r="J2239">
        <v>5.6214E-2</v>
      </c>
      <c r="K2239">
        <v>4.3000000000000002E-5</v>
      </c>
      <c r="M2239" t="s">
        <v>2</v>
      </c>
      <c r="N2239">
        <v>3000</v>
      </c>
      <c r="O2239">
        <v>5</v>
      </c>
      <c r="P2239">
        <v>9</v>
      </c>
      <c r="Q2239">
        <v>0</v>
      </c>
      <c r="R2239">
        <v>181400000</v>
      </c>
      <c r="S2239">
        <v>343557.14</v>
      </c>
      <c r="T2239">
        <v>180750842.36000001</v>
      </c>
      <c r="U2239">
        <v>181055126.30000001</v>
      </c>
      <c r="V2239">
        <v>2.0029999999999999E-2</v>
      </c>
      <c r="W2239">
        <v>8.7000000000000001E-5</v>
      </c>
      <c r="Y2239" t="s">
        <v>1</v>
      </c>
      <c r="Z2239">
        <v>2750</v>
      </c>
      <c r="AA2239">
        <v>5</v>
      </c>
      <c r="AB2239">
        <v>6</v>
      </c>
      <c r="AC2239">
        <v>0</v>
      </c>
      <c r="AD2239">
        <v>193500000</v>
      </c>
      <c r="AE2239">
        <v>365830.79</v>
      </c>
      <c r="AF2239">
        <v>193500000</v>
      </c>
      <c r="AG2239">
        <v>193500000</v>
      </c>
      <c r="AH2239">
        <v>-2.2925000000000001E-2</v>
      </c>
      <c r="AI2239">
        <v>-2.2925000000000001E-2</v>
      </c>
    </row>
    <row r="2240" spans="1:35" x14ac:dyDescent="0.35">
      <c r="A2240" t="s">
        <v>1</v>
      </c>
      <c r="B2240">
        <v>2750</v>
      </c>
      <c r="C2240">
        <v>5</v>
      </c>
      <c r="D2240">
        <v>5</v>
      </c>
      <c r="E2240">
        <v>0</v>
      </c>
      <c r="F2240">
        <v>171400000</v>
      </c>
      <c r="G2240">
        <v>322268.19</v>
      </c>
      <c r="H2240">
        <v>171011644.56</v>
      </c>
      <c r="I2240">
        <v>171076780.24000001</v>
      </c>
      <c r="J2240">
        <v>4.6169999999999996E-3</v>
      </c>
      <c r="K2240">
        <v>6.7000000000000002E-5</v>
      </c>
      <c r="M2240" t="s">
        <v>0</v>
      </c>
      <c r="N2240">
        <v>2250</v>
      </c>
      <c r="O2240">
        <v>8</v>
      </c>
      <c r="P2240">
        <v>1</v>
      </c>
      <c r="Q2240">
        <v>0</v>
      </c>
      <c r="R2240">
        <v>20400000</v>
      </c>
      <c r="S2240">
        <v>47768.2</v>
      </c>
      <c r="T2240">
        <v>20348878.969999999</v>
      </c>
      <c r="U2240">
        <v>20352142.739999998</v>
      </c>
      <c r="V2240">
        <v>1.97E-3</v>
      </c>
      <c r="W2240">
        <v>5.1999999999999997E-5</v>
      </c>
      <c r="Y2240" t="s">
        <v>1</v>
      </c>
      <c r="Z2240">
        <v>2750</v>
      </c>
      <c r="AA2240">
        <v>6</v>
      </c>
      <c r="AB2240">
        <v>2</v>
      </c>
      <c r="AC2240">
        <v>0</v>
      </c>
      <c r="AD2240">
        <v>37000000</v>
      </c>
      <c r="AE2240">
        <v>76515.55</v>
      </c>
      <c r="AF2240">
        <v>37000000</v>
      </c>
      <c r="AG2240">
        <v>37000000</v>
      </c>
      <c r="AH2240">
        <v>-2.5100000000000001E-2</v>
      </c>
      <c r="AI2240">
        <v>-2.5100000000000001E-2</v>
      </c>
    </row>
    <row r="2241" spans="1:35" x14ac:dyDescent="0.35">
      <c r="A2241" t="s">
        <v>2</v>
      </c>
      <c r="B2241">
        <v>2750</v>
      </c>
      <c r="C2241">
        <v>5</v>
      </c>
      <c r="D2241">
        <v>3</v>
      </c>
      <c r="E2241">
        <v>0</v>
      </c>
      <c r="F2241">
        <v>46400000</v>
      </c>
      <c r="G2241">
        <v>92085.119999999995</v>
      </c>
      <c r="H2241">
        <v>46288661.880000003</v>
      </c>
      <c r="I2241">
        <v>46307823.939999998</v>
      </c>
      <c r="J2241">
        <v>4.9680000000000002E-3</v>
      </c>
      <c r="K2241">
        <v>2.4000000000000001E-5</v>
      </c>
      <c r="M2241" t="s">
        <v>2</v>
      </c>
      <c r="N2241">
        <v>2750</v>
      </c>
      <c r="O2241">
        <v>5</v>
      </c>
      <c r="P2241">
        <v>6</v>
      </c>
      <c r="Q2241">
        <v>0</v>
      </c>
      <c r="R2241">
        <v>114500000</v>
      </c>
      <c r="S2241">
        <v>242204.6</v>
      </c>
      <c r="T2241">
        <v>114205347.09</v>
      </c>
      <c r="U2241">
        <v>114257364.78</v>
      </c>
      <c r="V2241">
        <v>5.483E-3</v>
      </c>
      <c r="W2241">
        <v>4.5000000000000003E-5</v>
      </c>
      <c r="Y2241" t="s">
        <v>1</v>
      </c>
      <c r="Z2241">
        <v>3000</v>
      </c>
      <c r="AA2241">
        <v>5</v>
      </c>
      <c r="AB2241">
        <v>7</v>
      </c>
      <c r="AC2241">
        <v>0</v>
      </c>
      <c r="AD2241">
        <v>213600000</v>
      </c>
      <c r="AE2241">
        <v>386654.77</v>
      </c>
      <c r="AF2241">
        <v>213600000</v>
      </c>
      <c r="AG2241">
        <v>213600000</v>
      </c>
      <c r="AH2241">
        <v>-2.1940000000000001E-2</v>
      </c>
      <c r="AI2241">
        <v>-2.1940000000000001E-2</v>
      </c>
    </row>
    <row r="2242" spans="1:35" x14ac:dyDescent="0.35">
      <c r="A2242" t="s">
        <v>1</v>
      </c>
      <c r="B2242">
        <v>3000</v>
      </c>
      <c r="C2242">
        <v>5</v>
      </c>
      <c r="D2242">
        <v>5</v>
      </c>
      <c r="E2242">
        <v>0</v>
      </c>
      <c r="F2242">
        <v>170000000</v>
      </c>
      <c r="G2242">
        <v>297548.86</v>
      </c>
      <c r="H2242">
        <v>169578183.22999999</v>
      </c>
      <c r="I2242">
        <v>169698618.90000001</v>
      </c>
      <c r="J2242">
        <v>8.737E-3</v>
      </c>
      <c r="K2242">
        <v>2.7E-4</v>
      </c>
      <c r="M2242" t="s">
        <v>1</v>
      </c>
      <c r="N2242">
        <v>2000</v>
      </c>
      <c r="O2242">
        <v>5</v>
      </c>
      <c r="P2242">
        <v>1</v>
      </c>
      <c r="Q2242">
        <v>0</v>
      </c>
      <c r="R2242">
        <v>36000000</v>
      </c>
      <c r="S2242">
        <v>74552.17</v>
      </c>
      <c r="T2242">
        <v>35803014.859999999</v>
      </c>
      <c r="U2242">
        <v>35924829.759999998</v>
      </c>
      <c r="V2242">
        <v>4.0056000000000001E-2</v>
      </c>
      <c r="W2242">
        <v>2.0599999999999999E-4</v>
      </c>
      <c r="Y2242" t="s">
        <v>2</v>
      </c>
      <c r="Z2242">
        <v>3250</v>
      </c>
      <c r="AA2242">
        <v>5</v>
      </c>
      <c r="AB2242">
        <v>14</v>
      </c>
      <c r="AC2242">
        <v>0</v>
      </c>
      <c r="AD2242">
        <v>387800000</v>
      </c>
      <c r="AE2242">
        <v>648496.30000000005</v>
      </c>
      <c r="AF2242">
        <v>387800000</v>
      </c>
      <c r="AG2242">
        <v>387800000</v>
      </c>
      <c r="AH2242">
        <v>-2.0253E-2</v>
      </c>
      <c r="AI2242">
        <v>-2.0253E-2</v>
      </c>
    </row>
    <row r="2243" spans="1:35" x14ac:dyDescent="0.35">
      <c r="A2243" t="s">
        <v>1</v>
      </c>
      <c r="B2243">
        <v>3250</v>
      </c>
      <c r="C2243">
        <v>5</v>
      </c>
      <c r="D2243">
        <v>44</v>
      </c>
      <c r="E2243">
        <v>0</v>
      </c>
      <c r="F2243">
        <v>1374000000</v>
      </c>
      <c r="G2243">
        <v>2286199.9900000002</v>
      </c>
      <c r="H2243">
        <v>1369130755.3399999</v>
      </c>
      <c r="I2243">
        <v>1371572227.01</v>
      </c>
      <c r="J2243">
        <v>2.2328000000000001E-2</v>
      </c>
      <c r="K2243">
        <v>1.2359999999999999E-3</v>
      </c>
      <c r="V2243" s="1"/>
      <c r="W2243" s="1"/>
      <c r="Y2243" t="s">
        <v>3</v>
      </c>
      <c r="Z2243">
        <v>7500</v>
      </c>
      <c r="AA2243">
        <v>5</v>
      </c>
      <c r="AB2243">
        <v>1</v>
      </c>
      <c r="AC2243">
        <v>0</v>
      </c>
      <c r="AD2243">
        <v>5900000</v>
      </c>
      <c r="AE2243">
        <v>4502.6499999999996</v>
      </c>
      <c r="AF2243">
        <v>5900000</v>
      </c>
      <c r="AG2243">
        <v>5900000</v>
      </c>
      <c r="AH2243">
        <v>-9.1959999999999993E-3</v>
      </c>
      <c r="AI2243">
        <v>-9.1959999999999993E-3</v>
      </c>
    </row>
    <row r="2244" spans="1:35" x14ac:dyDescent="0.35">
      <c r="A2244" t="s">
        <v>2</v>
      </c>
      <c r="B2244">
        <v>3250</v>
      </c>
      <c r="C2244">
        <v>6</v>
      </c>
      <c r="D2244">
        <v>1</v>
      </c>
      <c r="E2244">
        <v>0</v>
      </c>
      <c r="F2244">
        <v>42600000</v>
      </c>
      <c r="G2244">
        <v>71882.240000000005</v>
      </c>
      <c r="H2244">
        <v>42515557.25</v>
      </c>
      <c r="I2244">
        <v>42527994.25</v>
      </c>
      <c r="J2244">
        <v>3.532E-3</v>
      </c>
      <c r="K2244">
        <v>3.4999999999999997E-5</v>
      </c>
      <c r="V2244" s="1"/>
      <c r="W2244" s="1"/>
      <c r="Y2244" t="s">
        <v>1</v>
      </c>
      <c r="Z2244">
        <v>2000</v>
      </c>
      <c r="AA2244">
        <v>7</v>
      </c>
      <c r="AB2244">
        <v>1</v>
      </c>
      <c r="AC2244">
        <v>0</v>
      </c>
      <c r="AD2244">
        <v>36000000</v>
      </c>
      <c r="AE2244">
        <v>75110.990000000005</v>
      </c>
      <c r="AF2244">
        <v>36000000</v>
      </c>
      <c r="AG2244">
        <v>36000000</v>
      </c>
      <c r="AH2244">
        <v>-2.5326000000000001E-2</v>
      </c>
      <c r="AI2244">
        <v>-2.5326000000000001E-2</v>
      </c>
    </row>
    <row r="2245" spans="1:35" x14ac:dyDescent="0.35">
      <c r="A2245" t="s">
        <v>0</v>
      </c>
      <c r="B2245">
        <v>2750</v>
      </c>
      <c r="C2245">
        <v>5</v>
      </c>
      <c r="D2245">
        <v>3</v>
      </c>
      <c r="E2245">
        <v>0</v>
      </c>
      <c r="F2245">
        <v>74100000</v>
      </c>
      <c r="G2245">
        <v>133962.60999999999</v>
      </c>
      <c r="H2245">
        <v>73917440.709999993</v>
      </c>
      <c r="I2245">
        <v>73965975</v>
      </c>
      <c r="J2245">
        <v>7.842E-3</v>
      </c>
      <c r="K2245">
        <v>1.0000000000000001E-5</v>
      </c>
      <c r="V2245" s="1"/>
      <c r="W2245" s="1"/>
      <c r="Y2245" t="s">
        <v>2</v>
      </c>
      <c r="Z2245">
        <v>2750</v>
      </c>
      <c r="AA2245">
        <v>5</v>
      </c>
      <c r="AB2245">
        <v>3</v>
      </c>
      <c r="AC2245">
        <v>0</v>
      </c>
      <c r="AD2245">
        <v>46400000</v>
      </c>
      <c r="AE2245">
        <v>91692.13</v>
      </c>
      <c r="AF2245">
        <v>46400000</v>
      </c>
      <c r="AG2245">
        <v>46400000</v>
      </c>
      <c r="AH2245">
        <v>-2.3973000000000001E-2</v>
      </c>
      <c r="AI2245">
        <v>-2.3973000000000001E-2</v>
      </c>
    </row>
    <row r="2246" spans="1:35" x14ac:dyDescent="0.35">
      <c r="A2246" t="s">
        <v>0</v>
      </c>
      <c r="B2246">
        <v>3000</v>
      </c>
      <c r="C2246">
        <v>5</v>
      </c>
      <c r="D2246">
        <v>4</v>
      </c>
      <c r="E2246">
        <v>0</v>
      </c>
      <c r="F2246">
        <v>124900000</v>
      </c>
      <c r="G2246">
        <v>217225.95</v>
      </c>
      <c r="H2246">
        <v>124645790.55</v>
      </c>
      <c r="I2246">
        <v>124682624.09</v>
      </c>
      <c r="J2246">
        <v>3.5469999999999998E-3</v>
      </c>
      <c r="K2246">
        <v>1.4E-5</v>
      </c>
      <c r="V2246" s="1"/>
      <c r="W2246" s="1"/>
      <c r="Y2246" t="s">
        <v>0</v>
      </c>
      <c r="Z2246">
        <v>2750</v>
      </c>
      <c r="AA2246">
        <v>5</v>
      </c>
      <c r="AB2246">
        <v>3</v>
      </c>
      <c r="AC2246">
        <v>0</v>
      </c>
      <c r="AD2246">
        <v>74100000</v>
      </c>
      <c r="AE2246">
        <v>133415.65</v>
      </c>
      <c r="AF2246">
        <v>74100000</v>
      </c>
      <c r="AG2246">
        <v>74100000</v>
      </c>
      <c r="AH2246">
        <v>-2.1821E-2</v>
      </c>
      <c r="AI2246">
        <v>-2.1821E-2</v>
      </c>
    </row>
    <row r="2247" spans="1:35" x14ac:dyDescent="0.35">
      <c r="A2247" t="s">
        <v>3</v>
      </c>
      <c r="B2247">
        <v>4750</v>
      </c>
      <c r="C2247">
        <v>5</v>
      </c>
      <c r="D2247">
        <v>1</v>
      </c>
      <c r="E2247">
        <v>0</v>
      </c>
      <c r="F2247">
        <v>34400000</v>
      </c>
      <c r="G2247">
        <v>43506.07</v>
      </c>
      <c r="H2247">
        <v>34350667.259999998</v>
      </c>
      <c r="I2247">
        <v>34356493.93</v>
      </c>
      <c r="J2247">
        <v>2.0309999999999998E-3</v>
      </c>
      <c r="K2247">
        <v>0</v>
      </c>
      <c r="V2247" s="1"/>
      <c r="W2247" s="1"/>
      <c r="Y2247" t="s">
        <v>0</v>
      </c>
      <c r="Z2247">
        <v>3000</v>
      </c>
      <c r="AA2247">
        <v>5</v>
      </c>
      <c r="AB2247">
        <v>4</v>
      </c>
      <c r="AC2247">
        <v>0</v>
      </c>
      <c r="AD2247">
        <v>124900000</v>
      </c>
      <c r="AE2247">
        <v>216829.55</v>
      </c>
      <c r="AF2247">
        <v>124900000</v>
      </c>
      <c r="AG2247">
        <v>124900000</v>
      </c>
      <c r="AH2247">
        <v>-2.1031999999999999E-2</v>
      </c>
      <c r="AI2247">
        <v>-2.1031999999999999E-2</v>
      </c>
    </row>
    <row r="2248" spans="1:35" x14ac:dyDescent="0.35">
      <c r="A2248" t="s">
        <v>3</v>
      </c>
      <c r="B2248">
        <v>5000</v>
      </c>
      <c r="C2248">
        <v>5</v>
      </c>
      <c r="D2248">
        <v>1</v>
      </c>
      <c r="E2248">
        <v>0</v>
      </c>
      <c r="F2248">
        <v>38700000</v>
      </c>
      <c r="G2248">
        <v>47584.83</v>
      </c>
      <c r="H2248">
        <v>38650346.710000001</v>
      </c>
      <c r="I2248">
        <v>38652415.170000002</v>
      </c>
      <c r="J2248">
        <v>6.4099999999999997E-4</v>
      </c>
      <c r="K2248">
        <v>0</v>
      </c>
      <c r="V2248" s="1"/>
      <c r="W2248" s="1"/>
      <c r="Y2248" t="s">
        <v>3</v>
      </c>
      <c r="Z2248">
        <v>4750</v>
      </c>
      <c r="AA2248">
        <v>5</v>
      </c>
      <c r="AB2248">
        <v>1</v>
      </c>
      <c r="AC2248">
        <v>0</v>
      </c>
      <c r="AD2248">
        <v>34400000</v>
      </c>
      <c r="AE2248">
        <v>43280.02</v>
      </c>
      <c r="AF2248">
        <v>34400000</v>
      </c>
      <c r="AG2248">
        <v>34400000</v>
      </c>
      <c r="AH2248">
        <v>-1.5203E-2</v>
      </c>
      <c r="AI2248">
        <v>-1.5203E-2</v>
      </c>
    </row>
    <row r="2249" spans="1:35" x14ac:dyDescent="0.35">
      <c r="V2249" s="1"/>
      <c r="W2249" s="1"/>
      <c r="Y2249" t="s">
        <v>3</v>
      </c>
      <c r="Z2249">
        <v>5000</v>
      </c>
      <c r="AA2249">
        <v>5</v>
      </c>
      <c r="AB2249">
        <v>1</v>
      </c>
      <c r="AC2249">
        <v>0</v>
      </c>
      <c r="AD2249">
        <v>38700000</v>
      </c>
      <c r="AE2249">
        <v>47584.83</v>
      </c>
      <c r="AF2249">
        <v>38700000</v>
      </c>
      <c r="AG2249">
        <v>38700000</v>
      </c>
      <c r="AH2249">
        <v>-1.4855E-2</v>
      </c>
      <c r="AI2249">
        <v>-1.4855E-2</v>
      </c>
    </row>
    <row r="2250" spans="1:35" x14ac:dyDescent="0.35">
      <c r="V2250" s="1"/>
      <c r="W2250" s="1"/>
    </row>
    <row r="2251" spans="1:35" x14ac:dyDescent="0.35">
      <c r="V2251" s="1"/>
      <c r="W2251" s="1"/>
    </row>
    <row r="2252" spans="1:35" x14ac:dyDescent="0.35">
      <c r="V2252" s="1"/>
      <c r="W2252" s="1"/>
    </row>
    <row r="2253" spans="1:35" x14ac:dyDescent="0.35">
      <c r="V2253" s="1"/>
      <c r="W2253" s="1"/>
    </row>
    <row r="2254" spans="1:35" x14ac:dyDescent="0.35">
      <c r="V2254" s="1"/>
      <c r="W2254" s="1"/>
    </row>
    <row r="2255" spans="1:35" x14ac:dyDescent="0.35">
      <c r="V2255" s="1"/>
      <c r="W2255" s="1"/>
    </row>
    <row r="2256" spans="1:35" x14ac:dyDescent="0.35">
      <c r="V2256" s="1"/>
      <c r="W2256" s="1"/>
    </row>
    <row r="2257" spans="22:23" x14ac:dyDescent="0.35">
      <c r="V2257" s="1"/>
      <c r="W2257" s="1"/>
    </row>
    <row r="2258" spans="22:23" x14ac:dyDescent="0.35">
      <c r="V2258" s="1"/>
      <c r="W2258" s="1"/>
    </row>
    <row r="2259" spans="22:23" x14ac:dyDescent="0.35">
      <c r="V2259" s="1"/>
      <c r="W2259" s="1"/>
    </row>
    <row r="2260" spans="22:23" x14ac:dyDescent="0.35">
      <c r="V2260" s="1"/>
      <c r="W2260" s="1"/>
    </row>
    <row r="2261" spans="22:23" x14ac:dyDescent="0.35">
      <c r="V2261" s="1"/>
      <c r="W2261" s="1"/>
    </row>
    <row r="2262" spans="22:23" x14ac:dyDescent="0.35">
      <c r="V2262" s="1"/>
      <c r="W2262" s="1"/>
    </row>
    <row r="2263" spans="22:23" x14ac:dyDescent="0.35">
      <c r="V2263" s="1"/>
      <c r="W2263" s="1"/>
    </row>
    <row r="2264" spans="22:23" x14ac:dyDescent="0.35">
      <c r="V2264" s="1"/>
      <c r="W2264" s="1"/>
    </row>
    <row r="2265" spans="22:23" x14ac:dyDescent="0.35">
      <c r="V2265" s="1"/>
      <c r="W2265" s="1"/>
    </row>
    <row r="2266" spans="22:23" x14ac:dyDescent="0.35">
      <c r="V2266" s="1"/>
      <c r="W2266" s="1"/>
    </row>
    <row r="2267" spans="22:23" x14ac:dyDescent="0.35">
      <c r="V2267" s="1"/>
      <c r="W2267" s="1"/>
    </row>
    <row r="2268" spans="22:23" x14ac:dyDescent="0.35">
      <c r="V2268" s="1"/>
      <c r="W2268" s="1"/>
    </row>
    <row r="2269" spans="22:23" x14ac:dyDescent="0.35">
      <c r="V2269" s="1"/>
      <c r="W2269" s="1"/>
    </row>
    <row r="2270" spans="22:23" x14ac:dyDescent="0.35">
      <c r="V2270" s="1"/>
      <c r="W2270" s="1"/>
    </row>
    <row r="2271" spans="22:23" x14ac:dyDescent="0.35">
      <c r="V2271" s="1"/>
      <c r="W2271" s="1"/>
    </row>
    <row r="2272" spans="22:23" x14ac:dyDescent="0.35">
      <c r="V2272" s="1"/>
      <c r="W2272" s="1"/>
    </row>
    <row r="2273" spans="22:23" x14ac:dyDescent="0.35">
      <c r="V2273" s="1"/>
      <c r="W2273" s="1"/>
    </row>
    <row r="2274" spans="22:23" x14ac:dyDescent="0.35">
      <c r="V2274" s="1"/>
      <c r="W2274" s="1"/>
    </row>
    <row r="2275" spans="22:23" x14ac:dyDescent="0.35">
      <c r="V2275" s="1"/>
      <c r="W2275" s="1"/>
    </row>
    <row r="2276" spans="22:23" x14ac:dyDescent="0.35">
      <c r="V2276" s="1"/>
      <c r="W2276" s="1"/>
    </row>
    <row r="2277" spans="22:23" x14ac:dyDescent="0.35">
      <c r="V2277" s="1"/>
      <c r="W2277" s="1"/>
    </row>
    <row r="2278" spans="22:23" x14ac:dyDescent="0.35">
      <c r="V2278" s="1"/>
      <c r="W2278" s="1"/>
    </row>
    <row r="2279" spans="22:23" x14ac:dyDescent="0.35">
      <c r="V2279" s="1"/>
      <c r="W2279" s="1"/>
    </row>
    <row r="2280" spans="22:23" x14ac:dyDescent="0.35">
      <c r="V2280" s="1"/>
      <c r="W2280" s="1"/>
    </row>
    <row r="2281" spans="22:23" x14ac:dyDescent="0.35">
      <c r="V2281" s="1"/>
      <c r="W2281" s="1"/>
    </row>
    <row r="2282" spans="22:23" x14ac:dyDescent="0.35">
      <c r="V2282" s="1"/>
      <c r="W2282" s="1"/>
    </row>
    <row r="2283" spans="22:23" x14ac:dyDescent="0.35">
      <c r="V2283" s="1"/>
      <c r="W2283" s="1"/>
    </row>
    <row r="2284" spans="22:23" x14ac:dyDescent="0.35">
      <c r="V2284" s="1"/>
      <c r="W2284" s="1"/>
    </row>
    <row r="2285" spans="22:23" x14ac:dyDescent="0.35">
      <c r="V2285" s="1"/>
      <c r="W2285" s="1"/>
    </row>
    <row r="2286" spans="22:23" x14ac:dyDescent="0.35">
      <c r="V2286" s="1"/>
      <c r="W2286" s="1"/>
    </row>
    <row r="2287" spans="22:23" x14ac:dyDescent="0.35">
      <c r="V2287" s="1"/>
      <c r="W2287" s="1"/>
    </row>
    <row r="2288" spans="22:23" x14ac:dyDescent="0.35">
      <c r="V2288" s="1"/>
      <c r="W2288" s="1"/>
    </row>
    <row r="2289" spans="22:23" x14ac:dyDescent="0.35">
      <c r="V2289" s="1"/>
      <c r="W2289" s="1"/>
    </row>
    <row r="2290" spans="22:23" x14ac:dyDescent="0.35">
      <c r="V2290" s="1"/>
      <c r="W2290" s="1"/>
    </row>
    <row r="2291" spans="22:23" x14ac:dyDescent="0.35">
      <c r="V2291" s="1"/>
      <c r="W2291" s="1"/>
    </row>
    <row r="2292" spans="22:23" x14ac:dyDescent="0.35">
      <c r="V2292" s="1"/>
      <c r="W2292" s="1"/>
    </row>
    <row r="2293" spans="22:23" x14ac:dyDescent="0.35">
      <c r="V2293" s="1"/>
      <c r="W2293" s="1"/>
    </row>
    <row r="2294" spans="22:23" x14ac:dyDescent="0.35">
      <c r="V2294" s="1"/>
      <c r="W2294" s="1"/>
    </row>
    <row r="2295" spans="22:23" x14ac:dyDescent="0.35">
      <c r="V2295" s="1"/>
      <c r="W2295" s="1"/>
    </row>
    <row r="2296" spans="22:23" x14ac:dyDescent="0.35">
      <c r="V2296" s="1"/>
      <c r="W2296" s="1"/>
    </row>
    <row r="2297" spans="22:23" x14ac:dyDescent="0.35">
      <c r="V2297" s="1"/>
      <c r="W2297" s="1"/>
    </row>
    <row r="2298" spans="22:23" x14ac:dyDescent="0.35">
      <c r="V2298" s="1"/>
      <c r="W2298" s="1"/>
    </row>
    <row r="2299" spans="22:23" x14ac:dyDescent="0.35">
      <c r="V2299" s="1"/>
      <c r="W2299" s="1"/>
    </row>
    <row r="2300" spans="22:23" x14ac:dyDescent="0.35">
      <c r="V2300" s="1"/>
      <c r="W2300" s="1"/>
    </row>
    <row r="2301" spans="22:23" x14ac:dyDescent="0.35">
      <c r="V2301" s="1"/>
      <c r="W2301" s="1"/>
    </row>
    <row r="2302" spans="22:23" x14ac:dyDescent="0.35">
      <c r="V2302" s="1"/>
      <c r="W2302" s="1"/>
    </row>
    <row r="2303" spans="22:23" x14ac:dyDescent="0.35">
      <c r="V2303" s="1"/>
      <c r="W2303" s="1"/>
    </row>
    <row r="2304" spans="22:23" x14ac:dyDescent="0.35">
      <c r="V2304" s="1"/>
      <c r="W2304" s="1"/>
    </row>
    <row r="2305" spans="22:23" x14ac:dyDescent="0.35">
      <c r="V2305" s="1"/>
      <c r="W2305" s="1"/>
    </row>
    <row r="2306" spans="22:23" x14ac:dyDescent="0.35">
      <c r="V2306" s="1"/>
      <c r="W2306" s="1"/>
    </row>
    <row r="2307" spans="22:23" x14ac:dyDescent="0.35">
      <c r="V2307" s="1"/>
      <c r="W2307" s="1"/>
    </row>
    <row r="2308" spans="22:23" x14ac:dyDescent="0.35">
      <c r="V2308" s="1"/>
      <c r="W2308" s="1"/>
    </row>
    <row r="2309" spans="22:23" x14ac:dyDescent="0.35">
      <c r="V2309" s="1"/>
      <c r="W2309" s="1"/>
    </row>
    <row r="2310" spans="22:23" x14ac:dyDescent="0.35">
      <c r="V2310" s="1"/>
      <c r="W2310" s="1"/>
    </row>
    <row r="2311" spans="22:23" x14ac:dyDescent="0.35">
      <c r="V2311" s="1"/>
      <c r="W2311" s="1"/>
    </row>
    <row r="2312" spans="22:23" x14ac:dyDescent="0.35">
      <c r="V2312" s="1"/>
      <c r="W2312" s="1"/>
    </row>
    <row r="2313" spans="22:23" x14ac:dyDescent="0.35">
      <c r="V2313" s="1"/>
      <c r="W2313" s="1"/>
    </row>
    <row r="2314" spans="22:23" x14ac:dyDescent="0.35">
      <c r="V2314" s="1"/>
      <c r="W2314" s="1"/>
    </row>
    <row r="2315" spans="22:23" x14ac:dyDescent="0.35">
      <c r="V2315" s="1"/>
      <c r="W2315" s="1"/>
    </row>
    <row r="2316" spans="22:23" x14ac:dyDescent="0.35">
      <c r="V2316" s="1"/>
      <c r="W2316" s="1"/>
    </row>
    <row r="2317" spans="22:23" x14ac:dyDescent="0.35">
      <c r="V2317" s="1"/>
      <c r="W2317" s="1"/>
    </row>
    <row r="2318" spans="22:23" x14ac:dyDescent="0.35">
      <c r="V2318" s="1"/>
      <c r="W2318" s="1"/>
    </row>
    <row r="2319" spans="22:23" x14ac:dyDescent="0.35">
      <c r="V2319" s="1"/>
      <c r="W2319" s="1"/>
    </row>
    <row r="2320" spans="22:23" x14ac:dyDescent="0.35">
      <c r="V2320" s="1"/>
      <c r="W2320" s="1"/>
    </row>
    <row r="2321" spans="22:23" x14ac:dyDescent="0.35">
      <c r="V2321" s="1"/>
      <c r="W2321" s="1"/>
    </row>
    <row r="2322" spans="22:23" x14ac:dyDescent="0.35">
      <c r="V2322" s="1"/>
      <c r="W2322" s="1"/>
    </row>
    <row r="2323" spans="22:23" x14ac:dyDescent="0.35">
      <c r="V2323" s="1"/>
      <c r="W2323" s="1"/>
    </row>
    <row r="2324" spans="22:23" x14ac:dyDescent="0.35">
      <c r="V2324" s="1"/>
      <c r="W2324" s="1"/>
    </row>
    <row r="2325" spans="22:23" x14ac:dyDescent="0.35">
      <c r="V2325" s="1"/>
      <c r="W2325" s="1"/>
    </row>
    <row r="2326" spans="22:23" x14ac:dyDescent="0.35">
      <c r="V2326" s="1"/>
      <c r="W2326" s="1"/>
    </row>
    <row r="2327" spans="22:23" x14ac:dyDescent="0.35">
      <c r="V2327" s="1"/>
      <c r="W2327" s="1"/>
    </row>
    <row r="2328" spans="22:23" x14ac:dyDescent="0.35">
      <c r="V2328" s="1"/>
      <c r="W2328" s="1"/>
    </row>
    <row r="2329" spans="22:23" x14ac:dyDescent="0.35">
      <c r="V2329" s="1"/>
      <c r="W2329" s="1"/>
    </row>
    <row r="2330" spans="22:23" x14ac:dyDescent="0.35">
      <c r="V2330" s="1"/>
      <c r="W2330" s="1"/>
    </row>
    <row r="2331" spans="22:23" x14ac:dyDescent="0.35">
      <c r="V2331" s="1"/>
      <c r="W2331" s="1"/>
    </row>
    <row r="2332" spans="22:23" x14ac:dyDescent="0.35">
      <c r="V2332" s="1"/>
      <c r="W2332" s="1"/>
    </row>
    <row r="2333" spans="22:23" x14ac:dyDescent="0.35">
      <c r="V2333" s="1"/>
      <c r="W2333" s="1"/>
    </row>
    <row r="2334" spans="22:23" x14ac:dyDescent="0.35">
      <c r="V2334" s="1"/>
      <c r="W2334" s="1"/>
    </row>
    <row r="2335" spans="22:23" x14ac:dyDescent="0.35">
      <c r="V2335" s="1"/>
      <c r="W2335" s="1"/>
    </row>
    <row r="2336" spans="22:23" x14ac:dyDescent="0.35">
      <c r="V2336" s="1"/>
      <c r="W2336" s="1"/>
    </row>
    <row r="2337" spans="22:23" x14ac:dyDescent="0.35">
      <c r="V2337" s="1"/>
      <c r="W2337" s="1"/>
    </row>
    <row r="2338" spans="22:23" x14ac:dyDescent="0.35">
      <c r="V2338" s="1"/>
      <c r="W2338" s="1"/>
    </row>
    <row r="2339" spans="22:23" x14ac:dyDescent="0.35">
      <c r="V2339" s="1"/>
      <c r="W2339" s="1"/>
    </row>
    <row r="2340" spans="22:23" x14ac:dyDescent="0.35">
      <c r="V2340" s="1"/>
      <c r="W2340" s="1"/>
    </row>
    <row r="2341" spans="22:23" x14ac:dyDescent="0.35">
      <c r="V2341" s="1"/>
      <c r="W2341" s="1"/>
    </row>
    <row r="2342" spans="22:23" x14ac:dyDescent="0.35">
      <c r="V2342" s="1"/>
      <c r="W2342" s="1"/>
    </row>
  </sheetData>
  <sortState xmlns:xlrd2="http://schemas.microsoft.com/office/spreadsheetml/2017/richdata2" ref="M4:W2342">
    <sortCondition descending="1" ref="M4:M2342"/>
    <sortCondition ref="O4:O2342"/>
    <sortCondition ref="N4:N2342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AFF538-DA04-421E-B00A-C102D5C1CA32}">
  <dimension ref="A1:AI106"/>
  <sheetViews>
    <sheetView zoomScale="85" zoomScaleNormal="85" workbookViewId="0"/>
  </sheetViews>
  <sheetFormatPr defaultRowHeight="14.5" x14ac:dyDescent="0.35"/>
  <cols>
    <col min="1" max="1" width="15.7265625" bestFit="1" customWidth="1"/>
    <col min="2" max="2" width="11.1796875" bestFit="1" customWidth="1"/>
    <col min="3" max="3" width="12" bestFit="1" customWidth="1"/>
    <col min="4" max="4" width="15.1796875" bestFit="1" customWidth="1"/>
    <col min="5" max="5" width="9.54296875" bestFit="1" customWidth="1"/>
    <col min="7" max="7" width="12.54296875" customWidth="1"/>
    <col min="8" max="8" width="11.453125" customWidth="1"/>
    <col min="14" max="15" width="10.26953125" customWidth="1"/>
    <col min="16" max="16" width="10.7265625" bestFit="1" customWidth="1"/>
    <col min="17" max="24" width="10.26953125" customWidth="1"/>
    <col min="25" max="25" width="10.26953125" bestFit="1" customWidth="1"/>
    <col min="26" max="26" width="9" bestFit="1" customWidth="1"/>
    <col min="27" max="27" width="10.26953125" bestFit="1" customWidth="1"/>
  </cols>
  <sheetData>
    <row r="1" spans="1:35" ht="15.5" x14ac:dyDescent="0.35">
      <c r="K1" s="21"/>
      <c r="L1" s="21"/>
    </row>
    <row r="4" spans="1:35" ht="18" customHeight="1" thickBot="1" x14ac:dyDescent="0.45">
      <c r="A4" s="7"/>
      <c r="B4" s="7"/>
      <c r="C4" s="26" t="s">
        <v>173</v>
      </c>
      <c r="D4" s="26" t="s">
        <v>168</v>
      </c>
      <c r="E4" s="26" t="s">
        <v>170</v>
      </c>
      <c r="F4" s="7"/>
      <c r="G4" s="7"/>
      <c r="H4" s="7"/>
      <c r="I4" s="7"/>
      <c r="J4" s="26" t="s">
        <v>77</v>
      </c>
      <c r="K4" s="7" t="s">
        <v>78</v>
      </c>
      <c r="L4" s="7"/>
      <c r="M4" s="7"/>
      <c r="N4" s="52" t="s">
        <v>229</v>
      </c>
      <c r="O4" s="53"/>
      <c r="P4" s="54"/>
      <c r="Q4" s="9"/>
      <c r="R4" s="52" t="s">
        <v>218</v>
      </c>
      <c r="S4" s="53"/>
      <c r="T4" s="54"/>
      <c r="U4" s="9"/>
      <c r="V4" s="52" t="s">
        <v>228</v>
      </c>
      <c r="W4" s="53"/>
      <c r="X4" s="54"/>
      <c r="Y4" s="55" t="s">
        <v>227</v>
      </c>
      <c r="Z4" s="56"/>
      <c r="AA4" s="57"/>
      <c r="AB4" s="58" t="s">
        <v>79</v>
      </c>
      <c r="AC4" s="58"/>
      <c r="AD4" s="58"/>
      <c r="AE4" s="58"/>
      <c r="AF4" s="58"/>
      <c r="AG4" s="58"/>
      <c r="AH4" s="58"/>
      <c r="AI4" s="56"/>
    </row>
    <row r="5" spans="1:35" ht="18" customHeight="1" thickBot="1" x14ac:dyDescent="0.4">
      <c r="A5" s="8" t="s">
        <v>80</v>
      </c>
      <c r="B5" s="9" t="s">
        <v>81</v>
      </c>
      <c r="C5" s="9" t="s">
        <v>174</v>
      </c>
      <c r="D5" s="9" t="s">
        <v>169</v>
      </c>
      <c r="E5" s="9" t="s">
        <v>172</v>
      </c>
      <c r="F5" s="9" t="s">
        <v>171</v>
      </c>
      <c r="G5" s="9" t="s">
        <v>10</v>
      </c>
      <c r="H5" s="9" t="s">
        <v>12</v>
      </c>
      <c r="I5" s="9" t="s">
        <v>11</v>
      </c>
      <c r="J5" s="9" t="s">
        <v>82</v>
      </c>
      <c r="K5" s="9" t="s">
        <v>83</v>
      </c>
      <c r="L5" s="9" t="s">
        <v>82</v>
      </c>
      <c r="M5" s="9"/>
      <c r="N5" s="41" t="s">
        <v>162</v>
      </c>
      <c r="O5" s="9" t="s">
        <v>161</v>
      </c>
      <c r="P5" s="42" t="s">
        <v>160</v>
      </c>
      <c r="Q5" s="9"/>
      <c r="R5" s="10" t="s">
        <v>84</v>
      </c>
      <c r="S5" s="9" t="s">
        <v>83</v>
      </c>
      <c r="T5" s="11" t="s">
        <v>82</v>
      </c>
      <c r="U5" s="9"/>
      <c r="V5" s="10" t="s">
        <v>84</v>
      </c>
      <c r="W5" s="9" t="s">
        <v>83</v>
      </c>
      <c r="X5" s="11" t="s">
        <v>82</v>
      </c>
      <c r="Y5" s="10" t="s">
        <v>84</v>
      </c>
      <c r="Z5" s="9" t="s">
        <v>83</v>
      </c>
      <c r="AA5" s="11" t="s">
        <v>82</v>
      </c>
      <c r="AB5" s="44" t="s">
        <v>84</v>
      </c>
      <c r="AC5" s="44" t="s">
        <v>219</v>
      </c>
      <c r="AD5" s="10" t="s">
        <v>177</v>
      </c>
      <c r="AE5" s="10" t="s">
        <v>175</v>
      </c>
      <c r="AF5" s="9" t="s">
        <v>159</v>
      </c>
      <c r="AG5" s="9" t="s">
        <v>159</v>
      </c>
      <c r="AH5" s="9" t="s">
        <v>85</v>
      </c>
      <c r="AI5" s="9" t="s">
        <v>86</v>
      </c>
    </row>
    <row r="6" spans="1:35" ht="15.5" x14ac:dyDescent="0.35">
      <c r="A6" s="12" t="s">
        <v>224</v>
      </c>
      <c r="B6" s="13" t="s">
        <v>225</v>
      </c>
      <c r="C6" s="13">
        <v>202601</v>
      </c>
      <c r="D6" s="14">
        <v>834.8</v>
      </c>
      <c r="E6" s="14">
        <v>834.8</v>
      </c>
      <c r="F6" s="51">
        <v>6.5</v>
      </c>
      <c r="G6" s="38">
        <v>6.9610000000000003</v>
      </c>
      <c r="H6" s="43">
        <v>1</v>
      </c>
      <c r="I6" s="14">
        <v>354</v>
      </c>
      <c r="J6" s="43">
        <v>44</v>
      </c>
      <c r="K6" s="43">
        <v>94</v>
      </c>
      <c r="L6" s="43">
        <v>99</v>
      </c>
      <c r="M6" s="13"/>
      <c r="N6" s="36">
        <v>3.1</v>
      </c>
      <c r="O6" s="36">
        <v>3.0952000000000002</v>
      </c>
      <c r="P6" s="36">
        <v>3</v>
      </c>
      <c r="Q6" s="36"/>
      <c r="R6" s="36">
        <v>2.9</v>
      </c>
      <c r="S6" s="36">
        <v>2.4</v>
      </c>
      <c r="T6" s="36">
        <v>3.6</v>
      </c>
      <c r="U6" s="36"/>
      <c r="V6" s="36">
        <v>1</v>
      </c>
      <c r="W6" s="36">
        <v>0.5</v>
      </c>
      <c r="X6" s="36">
        <v>0</v>
      </c>
      <c r="Y6" s="35"/>
      <c r="Z6" s="36"/>
      <c r="AA6" s="37"/>
      <c r="AB6" s="48"/>
      <c r="AC6" s="46"/>
      <c r="AD6" s="43"/>
      <c r="AE6" s="16"/>
      <c r="AF6" s="16"/>
      <c r="AG6" s="13"/>
      <c r="AH6" s="13"/>
      <c r="AI6" s="13"/>
    </row>
    <row r="7" spans="1:35" ht="15.5" x14ac:dyDescent="0.35">
      <c r="A7" s="17" t="s">
        <v>216</v>
      </c>
      <c r="B7" s="18" t="s">
        <v>217</v>
      </c>
      <c r="C7" s="18">
        <v>202512</v>
      </c>
      <c r="D7" s="19">
        <v>733.2</v>
      </c>
      <c r="E7" s="19">
        <v>730.8</v>
      </c>
      <c r="F7" s="18">
        <v>6.5</v>
      </c>
      <c r="G7" s="45">
        <v>6.9820000000000002</v>
      </c>
      <c r="H7" s="39">
        <v>3</v>
      </c>
      <c r="I7" s="19">
        <v>353</v>
      </c>
      <c r="J7" s="39">
        <v>42</v>
      </c>
      <c r="K7" s="39">
        <v>100</v>
      </c>
      <c r="L7" s="39">
        <v>100</v>
      </c>
      <c r="M7" s="18"/>
      <c r="N7" s="27">
        <v>4.4000000000000004</v>
      </c>
      <c r="O7" s="27">
        <v>4.1573000000000002</v>
      </c>
      <c r="P7" s="27">
        <v>3.8</v>
      </c>
      <c r="Q7" s="27"/>
      <c r="R7" s="27">
        <v>2.9</v>
      </c>
      <c r="S7" s="27">
        <v>3.3</v>
      </c>
      <c r="T7" s="27">
        <v>2.2000000000000002</v>
      </c>
      <c r="U7" s="27"/>
      <c r="V7" s="27">
        <v>2.1</v>
      </c>
      <c r="W7" s="27">
        <v>2.1</v>
      </c>
      <c r="X7" s="27">
        <v>0</v>
      </c>
      <c r="Y7" s="29">
        <v>0.50099999999999989</v>
      </c>
      <c r="Z7" s="27">
        <v>-0.5</v>
      </c>
      <c r="AA7" s="30">
        <v>-0.5</v>
      </c>
      <c r="AB7" s="48">
        <v>0.31029999999999996</v>
      </c>
      <c r="AC7" s="46">
        <v>1.0842999999999998</v>
      </c>
      <c r="AD7" s="39"/>
      <c r="AE7" s="21"/>
      <c r="AF7" s="21"/>
      <c r="AG7" s="18"/>
      <c r="AH7" s="18"/>
      <c r="AI7" s="18"/>
    </row>
    <row r="8" spans="1:35" ht="15.5" x14ac:dyDescent="0.35">
      <c r="A8" s="17" t="s">
        <v>187</v>
      </c>
      <c r="B8" s="18" t="s">
        <v>186</v>
      </c>
      <c r="C8" s="18">
        <v>202511</v>
      </c>
      <c r="D8" s="19">
        <v>790.9</v>
      </c>
      <c r="E8" s="19">
        <v>787.3</v>
      </c>
      <c r="F8" s="18">
        <v>6.5</v>
      </c>
      <c r="G8" s="45">
        <v>6.968</v>
      </c>
      <c r="H8" s="39">
        <v>4</v>
      </c>
      <c r="I8" s="19">
        <v>351</v>
      </c>
      <c r="J8" s="39">
        <v>44</v>
      </c>
      <c r="K8" s="39">
        <v>100</v>
      </c>
      <c r="L8" s="39">
        <v>100</v>
      </c>
      <c r="M8" s="18"/>
      <c r="N8" s="27">
        <v>8.1999999999999993</v>
      </c>
      <c r="O8" s="27">
        <v>7.9864000000000006</v>
      </c>
      <c r="P8" s="27">
        <v>6.9</v>
      </c>
      <c r="Q8" s="27"/>
      <c r="R8" s="27">
        <v>6.3</v>
      </c>
      <c r="S8" s="27">
        <v>8.5</v>
      </c>
      <c r="T8" s="27">
        <v>3.5</v>
      </c>
      <c r="U8" s="27"/>
      <c r="V8" s="27">
        <v>3.3</v>
      </c>
      <c r="W8" s="27">
        <v>1.6</v>
      </c>
      <c r="X8" s="27">
        <v>1.1000000000000001</v>
      </c>
      <c r="Y8" s="29">
        <v>-0.29489999999999972</v>
      </c>
      <c r="Z8" s="27">
        <v>-1.6</v>
      </c>
      <c r="AA8" s="30">
        <v>2.8</v>
      </c>
      <c r="AB8" s="48">
        <v>1.35E-2</v>
      </c>
      <c r="AC8" s="46">
        <v>1.0842999999999998</v>
      </c>
      <c r="AD8" s="39"/>
      <c r="AE8" s="21"/>
      <c r="AF8" s="21"/>
      <c r="AG8" s="18"/>
      <c r="AH8" s="18"/>
      <c r="AI8" s="18"/>
    </row>
    <row r="9" spans="1:35" ht="15.5" x14ac:dyDescent="0.35">
      <c r="A9" s="17" t="s">
        <v>164</v>
      </c>
      <c r="B9" s="18" t="s">
        <v>163</v>
      </c>
      <c r="C9" s="18">
        <v>202510</v>
      </c>
      <c r="D9" s="19">
        <v>1081.7</v>
      </c>
      <c r="E9" s="19">
        <v>1077.7</v>
      </c>
      <c r="F9" s="18">
        <v>6.5</v>
      </c>
      <c r="G9" s="20">
        <v>6.9809999999999999</v>
      </c>
      <c r="H9" s="39">
        <v>4</v>
      </c>
      <c r="I9" s="18">
        <v>351</v>
      </c>
      <c r="J9" s="39">
        <v>46</v>
      </c>
      <c r="K9" s="39">
        <v>100</v>
      </c>
      <c r="L9" s="39">
        <v>100</v>
      </c>
      <c r="M9" s="18"/>
      <c r="N9" s="27">
        <v>14.1</v>
      </c>
      <c r="O9" s="27">
        <v>13.442399999999999</v>
      </c>
      <c r="P9" s="27">
        <v>11.7</v>
      </c>
      <c r="Q9" s="27"/>
      <c r="R9" s="27">
        <v>9.1999999999999993</v>
      </c>
      <c r="S9" s="27">
        <v>10.6</v>
      </c>
      <c r="T9" s="27">
        <v>7.6</v>
      </c>
      <c r="U9" s="27"/>
      <c r="V9" s="27">
        <v>2.5</v>
      </c>
      <c r="W9" s="27">
        <v>3.3</v>
      </c>
      <c r="X9" s="27">
        <v>0.8</v>
      </c>
      <c r="Y9" s="29">
        <v>3.1171999999999995</v>
      </c>
      <c r="Z9" s="27">
        <v>-4</v>
      </c>
      <c r="AA9" s="30">
        <v>-2.1</v>
      </c>
      <c r="AB9" s="48">
        <v>1.0866</v>
      </c>
      <c r="AC9" s="46">
        <v>2.9002000000000003</v>
      </c>
      <c r="AD9" s="39">
        <v>0.84139999999999993</v>
      </c>
      <c r="AE9" s="21"/>
      <c r="AF9" s="21"/>
      <c r="AG9" s="18"/>
      <c r="AH9" s="18"/>
      <c r="AI9" s="18"/>
    </row>
    <row r="10" spans="1:35" ht="15.5" x14ac:dyDescent="0.35">
      <c r="A10" s="17" t="s">
        <v>155</v>
      </c>
      <c r="B10" s="18" t="s">
        <v>156</v>
      </c>
      <c r="C10" s="18">
        <v>202509</v>
      </c>
      <c r="D10" s="19">
        <v>1621.9</v>
      </c>
      <c r="E10" s="19">
        <v>1613.3</v>
      </c>
      <c r="F10" s="18">
        <v>6.5</v>
      </c>
      <c r="G10" s="20">
        <v>6.9710000000000001</v>
      </c>
      <c r="H10" s="18">
        <v>5</v>
      </c>
      <c r="I10" s="18">
        <v>351</v>
      </c>
      <c r="J10" s="39">
        <v>47</v>
      </c>
      <c r="K10" s="39">
        <v>100</v>
      </c>
      <c r="L10" s="39">
        <v>100</v>
      </c>
      <c r="M10" s="18"/>
      <c r="N10" s="27">
        <v>27.5</v>
      </c>
      <c r="O10" s="27">
        <v>26.1511</v>
      </c>
      <c r="P10" s="27">
        <v>21.9</v>
      </c>
      <c r="Q10" s="27"/>
      <c r="R10" s="27">
        <v>12.2</v>
      </c>
      <c r="S10" s="27">
        <v>13.6</v>
      </c>
      <c r="T10" s="27">
        <v>10.7</v>
      </c>
      <c r="U10" s="27"/>
      <c r="V10" s="27">
        <v>4.9000000000000004</v>
      </c>
      <c r="W10" s="27">
        <v>7.7</v>
      </c>
      <c r="X10" s="27">
        <v>1.3</v>
      </c>
      <c r="Y10" s="29">
        <v>1.6360999999999999</v>
      </c>
      <c r="Z10" s="27">
        <v>-0.3</v>
      </c>
      <c r="AA10" s="30">
        <v>-3.2</v>
      </c>
      <c r="AB10" s="48">
        <v>2.8986000000000001</v>
      </c>
      <c r="AC10" s="46">
        <v>1.6731</v>
      </c>
      <c r="AD10" s="39">
        <v>1.7943</v>
      </c>
      <c r="AE10" s="27">
        <v>0.96849999999999992</v>
      </c>
      <c r="AF10" s="27"/>
      <c r="AG10" s="27"/>
      <c r="AH10" s="27"/>
      <c r="AI10" s="27"/>
    </row>
    <row r="11" spans="1:35" ht="15.5" x14ac:dyDescent="0.35">
      <c r="A11" s="17" t="s">
        <v>87</v>
      </c>
      <c r="B11" s="18" t="s">
        <v>76</v>
      </c>
      <c r="C11" s="18">
        <v>202508</v>
      </c>
      <c r="D11" s="19">
        <v>2072.8000000000002</v>
      </c>
      <c r="E11" s="19">
        <v>2056.6999999999998</v>
      </c>
      <c r="F11" s="18">
        <v>6.5</v>
      </c>
      <c r="G11" s="20">
        <v>6.952</v>
      </c>
      <c r="H11" s="18">
        <v>6</v>
      </c>
      <c r="I11" s="18">
        <v>350</v>
      </c>
      <c r="J11" s="39">
        <v>50</v>
      </c>
      <c r="K11" s="39">
        <v>94</v>
      </c>
      <c r="L11" s="39">
        <v>97</v>
      </c>
      <c r="M11" s="18"/>
      <c r="N11" s="27">
        <v>60.5</v>
      </c>
      <c r="O11" s="27">
        <v>58.903099999999995</v>
      </c>
      <c r="P11" s="27">
        <v>51.3</v>
      </c>
      <c r="Q11" s="27"/>
      <c r="R11" s="27">
        <v>24.4</v>
      </c>
      <c r="S11" s="27">
        <v>27.5</v>
      </c>
      <c r="T11" s="27">
        <v>21.5</v>
      </c>
      <c r="U11" s="27"/>
      <c r="V11" s="27">
        <v>8.1999999999999993</v>
      </c>
      <c r="W11" s="27">
        <v>10.5</v>
      </c>
      <c r="X11" s="27">
        <v>2.2000000000000002</v>
      </c>
      <c r="Y11" s="29">
        <v>1.720699999999999</v>
      </c>
      <c r="Z11" s="27">
        <v>-3.4</v>
      </c>
      <c r="AA11" s="30">
        <v>0.1</v>
      </c>
      <c r="AB11" s="48">
        <v>5.8402000000000003</v>
      </c>
      <c r="AC11" s="46">
        <v>2.7403999999999997</v>
      </c>
      <c r="AD11" s="39">
        <v>2.0289999999999999</v>
      </c>
      <c r="AE11" s="27">
        <v>2.4293</v>
      </c>
      <c r="AF11" s="27">
        <v>1.5569</v>
      </c>
      <c r="AG11" s="27"/>
      <c r="AH11" s="27"/>
      <c r="AI11" s="27"/>
    </row>
    <row r="12" spans="1:35" ht="15.5" x14ac:dyDescent="0.35">
      <c r="A12" s="17" t="s">
        <v>88</v>
      </c>
      <c r="B12" s="18" t="s">
        <v>73</v>
      </c>
      <c r="C12" s="18">
        <v>202507</v>
      </c>
      <c r="D12" s="19">
        <v>2618.5</v>
      </c>
      <c r="E12" s="19">
        <v>2544.1999999999998</v>
      </c>
      <c r="F12" s="18">
        <v>6.5</v>
      </c>
      <c r="G12" s="20">
        <v>6.952</v>
      </c>
      <c r="H12" s="18">
        <v>7</v>
      </c>
      <c r="I12" s="18">
        <v>350</v>
      </c>
      <c r="J12" s="39">
        <v>48</v>
      </c>
      <c r="K12" s="39">
        <v>69</v>
      </c>
      <c r="L12" s="39">
        <v>75</v>
      </c>
      <c r="M12" s="18"/>
      <c r="N12" s="27">
        <v>84.7</v>
      </c>
      <c r="O12" s="27">
        <v>83.401700000000005</v>
      </c>
      <c r="P12" s="27">
        <v>76.900000000000006</v>
      </c>
      <c r="Q12" s="27"/>
      <c r="R12" s="27">
        <v>65</v>
      </c>
      <c r="S12" s="27">
        <v>50.8</v>
      </c>
      <c r="T12" s="27">
        <v>76</v>
      </c>
      <c r="U12" s="27"/>
      <c r="V12" s="27">
        <v>28.7</v>
      </c>
      <c r="W12" s="27">
        <v>30.5</v>
      </c>
      <c r="X12" s="27">
        <v>3.5</v>
      </c>
      <c r="Y12" s="29">
        <v>-6.9741000000000035</v>
      </c>
      <c r="Z12" s="27">
        <v>6</v>
      </c>
      <c r="AA12" s="30">
        <v>8.1999999999999993</v>
      </c>
      <c r="AB12" s="48">
        <v>11.4397</v>
      </c>
      <c r="AC12" s="46">
        <v>0.68360000000000021</v>
      </c>
      <c r="AD12" s="39">
        <v>2.8797999999999999</v>
      </c>
      <c r="AE12" s="27">
        <v>2.7935000000000003</v>
      </c>
      <c r="AF12" s="27">
        <v>1.1194999999999999</v>
      </c>
      <c r="AG12" s="27">
        <v>2.2000000000000002</v>
      </c>
      <c r="AH12" s="27"/>
      <c r="AI12" s="27"/>
    </row>
    <row r="13" spans="1:35" ht="15.5" x14ac:dyDescent="0.35">
      <c r="A13" s="17" t="s">
        <v>89</v>
      </c>
      <c r="B13" s="18" t="s">
        <v>70</v>
      </c>
      <c r="C13" s="18">
        <v>202506</v>
      </c>
      <c r="D13" s="19">
        <v>1862.8</v>
      </c>
      <c r="E13" s="19">
        <v>1689</v>
      </c>
      <c r="F13" s="18">
        <v>6.5</v>
      </c>
      <c r="G13" s="20">
        <v>6.931</v>
      </c>
      <c r="H13" s="18">
        <v>8</v>
      </c>
      <c r="I13" s="18">
        <v>349</v>
      </c>
      <c r="J13" s="39">
        <v>51</v>
      </c>
      <c r="K13" s="39">
        <v>17</v>
      </c>
      <c r="L13" s="39">
        <v>12</v>
      </c>
      <c r="M13" s="18"/>
      <c r="N13" s="27">
        <v>83.4</v>
      </c>
      <c r="O13" s="27">
        <v>81.002200000000002</v>
      </c>
      <c r="P13" s="27">
        <v>73.8</v>
      </c>
      <c r="Q13" s="27"/>
      <c r="R13" s="27">
        <v>92.5</v>
      </c>
      <c r="S13" s="27">
        <v>54.9</v>
      </c>
      <c r="T13" s="27">
        <v>99.1</v>
      </c>
      <c r="U13" s="27"/>
      <c r="V13" s="27">
        <v>68.599999999999994</v>
      </c>
      <c r="W13" s="27">
        <v>62.3</v>
      </c>
      <c r="X13" s="27">
        <v>4.0999999999999996</v>
      </c>
      <c r="Y13" s="29">
        <v>-6.6303000000000054</v>
      </c>
      <c r="Z13" s="27">
        <v>13.3</v>
      </c>
      <c r="AA13" s="30">
        <v>2.2000000000000002</v>
      </c>
      <c r="AB13" s="48">
        <v>30.765599999999999</v>
      </c>
      <c r="AC13" s="46">
        <v>-3.7029999999999994</v>
      </c>
      <c r="AD13" s="39">
        <v>5.8396999999999997</v>
      </c>
      <c r="AE13" s="27">
        <v>3.4794999999999998</v>
      </c>
      <c r="AF13" s="27">
        <v>2.0297999999999998</v>
      </c>
      <c r="AG13" s="27">
        <v>1.4</v>
      </c>
      <c r="AH13" s="27">
        <v>2.5</v>
      </c>
      <c r="AI13" s="27"/>
    </row>
    <row r="14" spans="1:35" ht="15.5" x14ac:dyDescent="0.35">
      <c r="A14" s="17" t="s">
        <v>90</v>
      </c>
      <c r="B14" s="18" t="s">
        <v>67</v>
      </c>
      <c r="C14" s="18">
        <v>202505</v>
      </c>
      <c r="D14" s="19">
        <v>1326</v>
      </c>
      <c r="E14" s="19">
        <v>1047</v>
      </c>
      <c r="F14" s="18">
        <v>6.5</v>
      </c>
      <c r="G14" s="20">
        <v>6.923</v>
      </c>
      <c r="H14" s="18">
        <v>9</v>
      </c>
      <c r="I14" s="18">
        <v>348</v>
      </c>
      <c r="J14" s="39">
        <v>45</v>
      </c>
      <c r="K14" s="39">
        <v>22</v>
      </c>
      <c r="L14" s="39">
        <v>16</v>
      </c>
      <c r="M14" s="18"/>
      <c r="N14" s="27">
        <v>58.2</v>
      </c>
      <c r="O14" s="27">
        <v>57.253699999999995</v>
      </c>
      <c r="P14" s="27">
        <v>53.9</v>
      </c>
      <c r="Q14" s="27"/>
      <c r="R14" s="27">
        <v>66.599999999999994</v>
      </c>
      <c r="S14" s="27">
        <v>42.9</v>
      </c>
      <c r="T14" s="27">
        <v>86.7</v>
      </c>
      <c r="U14" s="27"/>
      <c r="V14" s="27">
        <v>89.2</v>
      </c>
      <c r="W14" s="27">
        <v>62.7</v>
      </c>
      <c r="X14" s="27">
        <v>5.0999999999999996</v>
      </c>
      <c r="Y14" s="29">
        <v>-0.67860000000000298</v>
      </c>
      <c r="Z14" s="27">
        <v>10.1</v>
      </c>
      <c r="AA14" s="30">
        <v>-0.4</v>
      </c>
      <c r="AB14" s="48">
        <v>67.741700000000009</v>
      </c>
      <c r="AC14" s="46">
        <v>5.1056000000000097</v>
      </c>
      <c r="AD14" s="39">
        <v>11.765000000000001</v>
      </c>
      <c r="AE14" s="27">
        <v>6.6734</v>
      </c>
      <c r="AF14" s="27">
        <v>2.6850000000000001</v>
      </c>
      <c r="AG14" s="27">
        <v>2.7</v>
      </c>
      <c r="AH14" s="27">
        <v>3.1</v>
      </c>
      <c r="AI14" s="27">
        <v>2.1</v>
      </c>
    </row>
    <row r="15" spans="1:35" ht="15.5" x14ac:dyDescent="0.35">
      <c r="A15" s="17" t="s">
        <v>91</v>
      </c>
      <c r="B15" s="18" t="s">
        <v>64</v>
      </c>
      <c r="C15" s="18">
        <v>202504</v>
      </c>
      <c r="D15" s="19">
        <v>1242</v>
      </c>
      <c r="E15" s="19">
        <v>566.70000000000005</v>
      </c>
      <c r="F15" s="18">
        <v>6.5</v>
      </c>
      <c r="G15" s="20">
        <v>6.923</v>
      </c>
      <c r="H15" s="18">
        <v>10</v>
      </c>
      <c r="I15" s="18">
        <v>346</v>
      </c>
      <c r="J15" s="39">
        <v>33</v>
      </c>
      <c r="K15" s="39">
        <v>26</v>
      </c>
      <c r="L15" s="39">
        <v>19</v>
      </c>
      <c r="M15" s="18"/>
      <c r="N15" s="27">
        <v>52.6</v>
      </c>
      <c r="O15" s="27">
        <v>51.831200000000003</v>
      </c>
      <c r="P15" s="27">
        <v>48.2</v>
      </c>
      <c r="Q15" s="27"/>
      <c r="R15" s="27">
        <v>54</v>
      </c>
      <c r="S15" s="27">
        <v>39.4</v>
      </c>
      <c r="T15" s="27">
        <v>76.7</v>
      </c>
      <c r="U15" s="27"/>
      <c r="V15" s="27">
        <v>65.2</v>
      </c>
      <c r="W15" s="27">
        <v>45.8</v>
      </c>
      <c r="X15" s="27">
        <v>8.3000000000000007</v>
      </c>
      <c r="Y15" s="29">
        <v>-2.2826000000000093</v>
      </c>
      <c r="Z15" s="27">
        <v>5</v>
      </c>
      <c r="AA15" s="30">
        <v>0.2</v>
      </c>
      <c r="AB15" s="48">
        <v>88.915000000000006</v>
      </c>
      <c r="AC15" s="46">
        <v>0.21429999999999438</v>
      </c>
      <c r="AD15" s="39">
        <v>29.9452</v>
      </c>
      <c r="AE15" s="27">
        <v>10.012699999999999</v>
      </c>
      <c r="AF15" s="27">
        <v>5.3556999999999997</v>
      </c>
      <c r="AG15" s="27">
        <v>6</v>
      </c>
      <c r="AH15" s="27">
        <v>2.7</v>
      </c>
      <c r="AI15" s="27">
        <v>1.9</v>
      </c>
    </row>
    <row r="16" spans="1:35" ht="15.5" x14ac:dyDescent="0.35">
      <c r="A16" s="17" t="s">
        <v>92</v>
      </c>
      <c r="B16" s="18" t="s">
        <v>61</v>
      </c>
      <c r="C16" s="18">
        <v>202503</v>
      </c>
      <c r="D16" s="19">
        <v>1012.6</v>
      </c>
      <c r="E16" s="19">
        <v>346.6</v>
      </c>
      <c r="F16" s="18">
        <v>6.5</v>
      </c>
      <c r="G16" s="20">
        <v>6.9329999999999998</v>
      </c>
      <c r="H16" s="18">
        <v>11</v>
      </c>
      <c r="I16" s="18">
        <v>345</v>
      </c>
      <c r="J16" s="39">
        <v>40</v>
      </c>
      <c r="K16" s="39">
        <v>26</v>
      </c>
      <c r="L16" s="39">
        <v>18</v>
      </c>
      <c r="M16" s="18"/>
      <c r="N16" s="27">
        <v>54.6</v>
      </c>
      <c r="O16" s="27">
        <v>53.172399999999996</v>
      </c>
      <c r="P16" s="27">
        <v>49.5</v>
      </c>
      <c r="Q16" s="27"/>
      <c r="R16" s="27">
        <v>52.9</v>
      </c>
      <c r="S16" s="27">
        <v>38.299999999999997</v>
      </c>
      <c r="T16" s="27">
        <v>70.8</v>
      </c>
      <c r="U16" s="27"/>
      <c r="V16" s="27">
        <v>62.1</v>
      </c>
      <c r="W16" s="27">
        <v>37.200000000000003</v>
      </c>
      <c r="X16" s="27">
        <v>7.1</v>
      </c>
      <c r="Y16" s="29">
        <v>-6.2511999999999972</v>
      </c>
      <c r="Z16" s="27">
        <v>0.3</v>
      </c>
      <c r="AA16" s="30">
        <v>8.3000000000000007</v>
      </c>
      <c r="AB16" s="48">
        <v>71.591099999999997</v>
      </c>
      <c r="AC16" s="46">
        <v>1.0042999999999864</v>
      </c>
      <c r="AD16" s="39">
        <v>73.787899999999993</v>
      </c>
      <c r="AE16" s="27">
        <v>21.185700000000001</v>
      </c>
      <c r="AF16" s="27">
        <v>11.270799999999999</v>
      </c>
      <c r="AG16" s="27">
        <v>5.3</v>
      </c>
      <c r="AH16" s="27">
        <v>3.1</v>
      </c>
      <c r="AI16" s="27">
        <v>2.1</v>
      </c>
    </row>
    <row r="17" spans="1:35" ht="15.5" x14ac:dyDescent="0.35">
      <c r="A17" s="17" t="s">
        <v>93</v>
      </c>
      <c r="B17" s="18" t="s">
        <v>58</v>
      </c>
      <c r="C17" s="18">
        <v>202502</v>
      </c>
      <c r="D17" s="19">
        <v>854.1</v>
      </c>
      <c r="E17" s="19">
        <v>499.6</v>
      </c>
      <c r="F17" s="18">
        <v>6.5</v>
      </c>
      <c r="G17" s="20">
        <v>6.9009999999999998</v>
      </c>
      <c r="H17" s="18">
        <v>12</v>
      </c>
      <c r="I17" s="18">
        <v>344</v>
      </c>
      <c r="J17" s="39">
        <v>34</v>
      </c>
      <c r="K17" s="39">
        <v>28</v>
      </c>
      <c r="L17" s="39">
        <v>26</v>
      </c>
      <c r="M17" s="18"/>
      <c r="N17" s="27">
        <v>55</v>
      </c>
      <c r="O17" s="27">
        <v>52.402200000000001</v>
      </c>
      <c r="P17" s="27">
        <v>48.3</v>
      </c>
      <c r="Q17" s="27"/>
      <c r="R17" s="27">
        <v>51.2</v>
      </c>
      <c r="S17" s="27">
        <v>38.4</v>
      </c>
      <c r="T17" s="27">
        <v>70.599999999999994</v>
      </c>
      <c r="U17" s="27"/>
      <c r="V17" s="27">
        <v>47</v>
      </c>
      <c r="W17" s="27">
        <v>35.200000000000003</v>
      </c>
      <c r="X17" s="27">
        <v>7.5</v>
      </c>
      <c r="Y17" s="29">
        <v>3.159000000000006</v>
      </c>
      <c r="Z17" s="27">
        <v>-0.3</v>
      </c>
      <c r="AA17" s="30">
        <v>-5.4</v>
      </c>
      <c r="AB17" s="48">
        <v>55.580600000000004</v>
      </c>
      <c r="AC17" s="46">
        <v>-0.69790000000000418</v>
      </c>
      <c r="AD17" s="39">
        <v>89.496399999999994</v>
      </c>
      <c r="AE17" s="27">
        <v>64.6755</v>
      </c>
      <c r="AF17" s="27">
        <v>25.6998</v>
      </c>
      <c r="AG17" s="27">
        <v>8.3000000000000007</v>
      </c>
      <c r="AH17" s="27">
        <v>3.1</v>
      </c>
      <c r="AI17" s="27">
        <v>5.3</v>
      </c>
    </row>
    <row r="18" spans="1:35" ht="15.5" x14ac:dyDescent="0.35">
      <c r="A18" s="17" t="s">
        <v>94</v>
      </c>
      <c r="B18" s="18" t="s">
        <v>55</v>
      </c>
      <c r="C18" s="18">
        <v>202501</v>
      </c>
      <c r="D18" s="19">
        <v>637.29999999999995</v>
      </c>
      <c r="E18" s="19">
        <v>449</v>
      </c>
      <c r="F18" s="18">
        <v>6.5</v>
      </c>
      <c r="G18" s="20">
        <v>7</v>
      </c>
      <c r="H18" s="18">
        <v>13</v>
      </c>
      <c r="I18" s="18">
        <v>343</v>
      </c>
      <c r="J18" s="39">
        <v>42</v>
      </c>
      <c r="K18" s="39">
        <v>32</v>
      </c>
      <c r="L18" s="39">
        <v>25</v>
      </c>
      <c r="M18" s="18"/>
      <c r="N18" s="27">
        <v>55.1</v>
      </c>
      <c r="O18" s="27">
        <v>54.631900000000002</v>
      </c>
      <c r="P18" s="27">
        <v>51.1</v>
      </c>
      <c r="Q18" s="27"/>
      <c r="R18" s="27">
        <v>54.5</v>
      </c>
      <c r="S18" s="27">
        <v>39.1</v>
      </c>
      <c r="T18" s="27">
        <v>71.400000000000006</v>
      </c>
      <c r="U18" s="27"/>
      <c r="V18" s="27">
        <v>54.8</v>
      </c>
      <c r="W18" s="27">
        <v>38.1</v>
      </c>
      <c r="X18" s="27">
        <v>15.7</v>
      </c>
      <c r="Y18" s="29">
        <v>-0.37140000000000128</v>
      </c>
      <c r="Z18" s="27">
        <v>1.1000000000000001</v>
      </c>
      <c r="AA18" s="30">
        <v>-0.1</v>
      </c>
      <c r="AB18" s="48">
        <v>61.866600000000005</v>
      </c>
      <c r="AC18" s="46">
        <v>-2.1799999999999926</v>
      </c>
      <c r="AD18" s="39">
        <v>78.176900000000003</v>
      </c>
      <c r="AE18" s="27">
        <v>92.648099999999999</v>
      </c>
      <c r="AF18" s="27">
        <v>51.9026</v>
      </c>
      <c r="AG18" s="27">
        <v>13.8</v>
      </c>
      <c r="AH18" s="27">
        <v>8.1999999999999993</v>
      </c>
      <c r="AI18" s="27">
        <v>6.8</v>
      </c>
    </row>
    <row r="19" spans="1:35" ht="15.5" x14ac:dyDescent="0.35">
      <c r="A19" s="17" t="s">
        <v>95</v>
      </c>
      <c r="B19" s="18" t="s">
        <v>52</v>
      </c>
      <c r="C19" s="18">
        <v>202412</v>
      </c>
      <c r="D19" s="19">
        <v>420.4</v>
      </c>
      <c r="E19" s="19">
        <v>177</v>
      </c>
      <c r="F19" s="18">
        <v>6.5</v>
      </c>
      <c r="G19" s="20">
        <v>6.99</v>
      </c>
      <c r="H19" s="18">
        <v>14</v>
      </c>
      <c r="I19" s="18">
        <v>343</v>
      </c>
      <c r="J19" s="39">
        <v>41</v>
      </c>
      <c r="K19" s="39">
        <v>29</v>
      </c>
      <c r="L19" s="39">
        <v>31</v>
      </c>
      <c r="M19" s="18"/>
      <c r="N19" s="27">
        <v>51.5</v>
      </c>
      <c r="O19" s="27">
        <v>51.354399999999998</v>
      </c>
      <c r="P19" s="27">
        <v>47.7</v>
      </c>
      <c r="Q19" s="27"/>
      <c r="R19" s="27">
        <v>53.4</v>
      </c>
      <c r="S19" s="27">
        <v>39.6</v>
      </c>
      <c r="T19" s="27">
        <v>69.2</v>
      </c>
      <c r="U19" s="27"/>
      <c r="V19" s="27">
        <v>47.5</v>
      </c>
      <c r="W19" s="27">
        <v>34.299999999999997</v>
      </c>
      <c r="X19" s="27">
        <v>7.3</v>
      </c>
      <c r="Y19" s="29">
        <v>7.0888000000000062</v>
      </c>
      <c r="Z19" s="27">
        <v>-3.8</v>
      </c>
      <c r="AA19" s="30">
        <v>-8.8000000000000007</v>
      </c>
      <c r="AB19" s="48">
        <v>58.136400000000002</v>
      </c>
      <c r="AC19" s="46">
        <v>1.9703999999999979</v>
      </c>
      <c r="AD19" s="39">
        <v>76.4773</v>
      </c>
      <c r="AE19" s="27">
        <v>79.592300000000009</v>
      </c>
      <c r="AF19" s="27">
        <v>82.626599999999996</v>
      </c>
      <c r="AG19" s="27">
        <v>38.6</v>
      </c>
      <c r="AH19" s="27">
        <v>18.399999999999999</v>
      </c>
      <c r="AI19" s="27">
        <v>10.8</v>
      </c>
    </row>
    <row r="20" spans="1:35" ht="15.5" x14ac:dyDescent="0.35">
      <c r="A20" s="17" t="s">
        <v>96</v>
      </c>
      <c r="B20" s="18" t="s">
        <v>49</v>
      </c>
      <c r="C20" s="18">
        <v>202411</v>
      </c>
      <c r="D20" s="19">
        <v>312.89999999999998</v>
      </c>
      <c r="E20" s="19">
        <v>233.6</v>
      </c>
      <c r="F20" s="18">
        <v>6.5</v>
      </c>
      <c r="G20" s="20">
        <v>6.992</v>
      </c>
      <c r="H20" s="18">
        <v>16</v>
      </c>
      <c r="I20" s="18">
        <v>340</v>
      </c>
      <c r="J20" s="39">
        <v>35</v>
      </c>
      <c r="K20" s="39">
        <v>31</v>
      </c>
      <c r="L20" s="39">
        <v>38</v>
      </c>
      <c r="M20" s="18"/>
      <c r="N20" s="27">
        <v>48.9</v>
      </c>
      <c r="O20" s="27">
        <v>48.810700000000004</v>
      </c>
      <c r="P20" s="27">
        <v>45.9</v>
      </c>
      <c r="Q20" s="27"/>
      <c r="R20" s="27">
        <v>50.4</v>
      </c>
      <c r="S20" s="27">
        <v>40</v>
      </c>
      <c r="T20" s="27">
        <v>66.400000000000006</v>
      </c>
      <c r="U20" s="27"/>
      <c r="V20" s="27">
        <v>35.799999999999997</v>
      </c>
      <c r="W20" s="27">
        <v>27.6</v>
      </c>
      <c r="X20" s="27">
        <v>14.4</v>
      </c>
      <c r="Y20" s="29">
        <v>15.711100000000002</v>
      </c>
      <c r="Z20" s="27">
        <v>-11.2</v>
      </c>
      <c r="AA20" s="30">
        <v>-20.6</v>
      </c>
      <c r="AB20" s="48">
        <v>51.527000000000001</v>
      </c>
      <c r="AC20" s="46">
        <v>3.707499999999996</v>
      </c>
      <c r="AD20" s="39">
        <v>64.498800000000003</v>
      </c>
      <c r="AE20" s="27">
        <v>59.058</v>
      </c>
      <c r="AF20" s="27">
        <v>57.969200000000001</v>
      </c>
      <c r="AG20" s="27">
        <v>76.2</v>
      </c>
      <c r="AH20" s="27">
        <v>47.5</v>
      </c>
      <c r="AI20" s="27">
        <v>23.5</v>
      </c>
    </row>
    <row r="21" spans="1:35" ht="15.5" x14ac:dyDescent="0.35">
      <c r="A21" s="17" t="s">
        <v>97</v>
      </c>
      <c r="B21" s="18" t="s">
        <v>46</v>
      </c>
      <c r="C21" s="18">
        <v>202410</v>
      </c>
      <c r="D21" s="19">
        <v>453.5</v>
      </c>
      <c r="E21" s="19">
        <v>178.9</v>
      </c>
      <c r="F21" s="18">
        <v>6.5</v>
      </c>
      <c r="G21" s="20">
        <v>7.0149999999999997</v>
      </c>
      <c r="H21" s="18">
        <v>16</v>
      </c>
      <c r="I21" s="18">
        <v>340</v>
      </c>
      <c r="J21" s="39">
        <v>36</v>
      </c>
      <c r="K21" s="39">
        <v>31</v>
      </c>
      <c r="L21" s="39">
        <v>36</v>
      </c>
      <c r="M21" s="18"/>
      <c r="N21" s="27">
        <v>44.4</v>
      </c>
      <c r="O21" s="27">
        <v>44.410500000000006</v>
      </c>
      <c r="P21" s="27">
        <v>42.7</v>
      </c>
      <c r="Q21" s="27"/>
      <c r="R21" s="27">
        <v>47</v>
      </c>
      <c r="S21" s="27">
        <v>38.200000000000003</v>
      </c>
      <c r="T21" s="27">
        <v>60.9</v>
      </c>
      <c r="U21" s="27"/>
      <c r="V21" s="27">
        <v>33.200000000000003</v>
      </c>
      <c r="W21" s="27">
        <v>20.100000000000001</v>
      </c>
      <c r="X21" s="27">
        <v>12.3</v>
      </c>
      <c r="Y21" s="29">
        <v>16.131999999999998</v>
      </c>
      <c r="Z21" s="27">
        <v>-18.399999999999999</v>
      </c>
      <c r="AA21" s="30">
        <v>-12.6</v>
      </c>
      <c r="AB21" s="48">
        <v>49.159799999999997</v>
      </c>
      <c r="AC21" s="46">
        <v>10.041000000000004</v>
      </c>
      <c r="AD21" s="39">
        <v>61.304899999999996</v>
      </c>
      <c r="AE21" s="27">
        <v>63.993900000000004</v>
      </c>
      <c r="AF21" s="27">
        <v>52.339999999999996</v>
      </c>
      <c r="AG21" s="27">
        <v>59</v>
      </c>
      <c r="AH21" s="27">
        <v>76.900000000000006</v>
      </c>
      <c r="AI21" s="27">
        <v>62.8</v>
      </c>
    </row>
    <row r="22" spans="1:35" ht="15.5" x14ac:dyDescent="0.35">
      <c r="A22" s="17" t="s">
        <v>98</v>
      </c>
      <c r="B22" s="18" t="s">
        <v>43</v>
      </c>
      <c r="C22" s="18">
        <v>202409</v>
      </c>
      <c r="D22" s="19">
        <v>1279.2</v>
      </c>
      <c r="E22" s="19">
        <v>1028</v>
      </c>
      <c r="F22" s="18">
        <v>6.5</v>
      </c>
      <c r="G22" s="20">
        <v>6.9640000000000004</v>
      </c>
      <c r="H22" s="18">
        <v>17</v>
      </c>
      <c r="I22" s="18">
        <v>340</v>
      </c>
      <c r="J22" s="39">
        <v>38</v>
      </c>
      <c r="K22" s="39">
        <v>27</v>
      </c>
      <c r="L22" s="39">
        <v>24</v>
      </c>
      <c r="M22" s="18"/>
      <c r="N22" s="27">
        <v>44.6</v>
      </c>
      <c r="O22" s="27">
        <v>44.381900000000002</v>
      </c>
      <c r="P22" s="27">
        <v>42.6</v>
      </c>
      <c r="Q22" s="27"/>
      <c r="R22" s="27">
        <v>46.6</v>
      </c>
      <c r="S22" s="27">
        <v>36.299999999999997</v>
      </c>
      <c r="T22" s="27">
        <v>60.8</v>
      </c>
      <c r="U22" s="27"/>
      <c r="V22" s="27">
        <v>46.5</v>
      </c>
      <c r="W22" s="27">
        <v>35.9</v>
      </c>
      <c r="X22" s="27">
        <v>5.4</v>
      </c>
      <c r="Y22" s="29">
        <v>3.2289999999999992</v>
      </c>
      <c r="Z22" s="27">
        <v>-0.9</v>
      </c>
      <c r="AA22" s="30">
        <v>-5.2</v>
      </c>
      <c r="AB22" s="48">
        <v>50.517199999999995</v>
      </c>
      <c r="AC22" s="46">
        <v>8.1427000000000049</v>
      </c>
      <c r="AD22" s="39">
        <v>62.142299999999992</v>
      </c>
      <c r="AE22" s="27">
        <v>56.464499999999994</v>
      </c>
      <c r="AF22" s="27">
        <v>45.501000000000005</v>
      </c>
      <c r="AG22" s="27">
        <v>50.2</v>
      </c>
      <c r="AH22" s="27">
        <v>49.8</v>
      </c>
      <c r="AI22" s="27">
        <v>85.1</v>
      </c>
    </row>
    <row r="23" spans="1:35" ht="15.5" x14ac:dyDescent="0.35">
      <c r="A23" s="17" t="s">
        <v>99</v>
      </c>
      <c r="B23" s="18" t="s">
        <v>40</v>
      </c>
      <c r="C23" s="18">
        <v>202408</v>
      </c>
      <c r="D23" s="19">
        <v>1859.7</v>
      </c>
      <c r="E23" s="19">
        <v>1663.7</v>
      </c>
      <c r="F23" s="18">
        <v>6.5</v>
      </c>
      <c r="G23" s="20">
        <v>6.9530000000000003</v>
      </c>
      <c r="H23" s="18">
        <v>18</v>
      </c>
      <c r="I23" s="18">
        <v>339</v>
      </c>
      <c r="J23" s="39">
        <v>39</v>
      </c>
      <c r="K23" s="39">
        <v>29</v>
      </c>
      <c r="L23" s="39">
        <v>21</v>
      </c>
      <c r="M23" s="18"/>
      <c r="N23" s="27">
        <v>43.3</v>
      </c>
      <c r="O23" s="27">
        <v>42.5931</v>
      </c>
      <c r="P23" s="27">
        <v>40.5</v>
      </c>
      <c r="Q23" s="27"/>
      <c r="R23" s="27">
        <v>43.6</v>
      </c>
      <c r="S23" s="27">
        <v>34</v>
      </c>
      <c r="T23" s="27">
        <v>56.7</v>
      </c>
      <c r="U23" s="27"/>
      <c r="V23" s="27">
        <v>36.5</v>
      </c>
      <c r="W23" s="27">
        <v>26</v>
      </c>
      <c r="X23" s="27">
        <v>4.4000000000000004</v>
      </c>
      <c r="Y23" s="29">
        <v>11.029699999999998</v>
      </c>
      <c r="Z23" s="27">
        <v>-9</v>
      </c>
      <c r="AA23" s="30">
        <v>-12.5</v>
      </c>
      <c r="AB23" s="48">
        <v>46.992600000000003</v>
      </c>
      <c r="AC23" s="46">
        <v>6.3819000000000088</v>
      </c>
      <c r="AD23" s="39">
        <v>60.395800000000001</v>
      </c>
      <c r="AE23" s="27">
        <v>48.717599999999997</v>
      </c>
      <c r="AF23" s="27">
        <v>41.1038</v>
      </c>
      <c r="AG23" s="27">
        <v>43.3</v>
      </c>
      <c r="AH23" s="27">
        <v>35.5</v>
      </c>
      <c r="AI23" s="27">
        <v>64.2</v>
      </c>
    </row>
    <row r="24" spans="1:35" ht="15.5" x14ac:dyDescent="0.35">
      <c r="A24" s="17" t="s">
        <v>100</v>
      </c>
      <c r="B24" s="18" t="s">
        <v>37</v>
      </c>
      <c r="C24" s="18">
        <v>202407</v>
      </c>
      <c r="D24" s="19">
        <v>2243.6</v>
      </c>
      <c r="E24" s="19">
        <v>1735.5</v>
      </c>
      <c r="F24" s="18">
        <v>6.5</v>
      </c>
      <c r="G24" s="20">
        <v>6.96</v>
      </c>
      <c r="H24" s="18">
        <v>19</v>
      </c>
      <c r="I24" s="18">
        <v>338</v>
      </c>
      <c r="J24" s="39">
        <v>39</v>
      </c>
      <c r="K24" s="39">
        <v>26</v>
      </c>
      <c r="L24" s="39">
        <v>20</v>
      </c>
      <c r="M24" s="18"/>
      <c r="N24" s="27">
        <v>44.1</v>
      </c>
      <c r="O24" s="27">
        <v>42.9542</v>
      </c>
      <c r="P24" s="27">
        <v>40.799999999999997</v>
      </c>
      <c r="Q24" s="27"/>
      <c r="R24" s="27">
        <v>42.5</v>
      </c>
      <c r="S24" s="27">
        <v>32.9</v>
      </c>
      <c r="T24" s="27">
        <v>55.7</v>
      </c>
      <c r="U24" s="27"/>
      <c r="V24" s="27">
        <v>36.799999999999997</v>
      </c>
      <c r="W24" s="27">
        <v>26.5</v>
      </c>
      <c r="X24" s="27">
        <v>5.5</v>
      </c>
      <c r="Y24" s="29">
        <v>8.0765999999999991</v>
      </c>
      <c r="Z24" s="27">
        <v>-6.1</v>
      </c>
      <c r="AA24" s="30">
        <v>-10</v>
      </c>
      <c r="AB24" s="48">
        <v>44.646000000000001</v>
      </c>
      <c r="AC24" s="46">
        <v>7.2958000000000069</v>
      </c>
      <c r="AD24" s="39">
        <v>57.479599999999998</v>
      </c>
      <c r="AE24" s="27">
        <v>49.795200000000001</v>
      </c>
      <c r="AF24" s="27">
        <v>40.107599999999998</v>
      </c>
      <c r="AG24" s="27">
        <v>40.299999999999997</v>
      </c>
      <c r="AH24" s="27">
        <v>38.299999999999997</v>
      </c>
      <c r="AI24" s="27">
        <v>54.1</v>
      </c>
    </row>
    <row r="25" spans="1:35" ht="15.5" x14ac:dyDescent="0.35">
      <c r="A25" s="17" t="s">
        <v>101</v>
      </c>
      <c r="B25" s="18" t="s">
        <v>34</v>
      </c>
      <c r="C25" s="18">
        <v>202406</v>
      </c>
      <c r="D25" s="19">
        <v>1762.5</v>
      </c>
      <c r="E25" s="19">
        <v>944.9</v>
      </c>
      <c r="F25" s="18">
        <v>6.5</v>
      </c>
      <c r="G25" s="20">
        <v>6.9640000000000004</v>
      </c>
      <c r="H25" s="18">
        <v>19</v>
      </c>
      <c r="I25" s="18">
        <v>336</v>
      </c>
      <c r="J25" s="39">
        <v>42</v>
      </c>
      <c r="K25" s="39">
        <v>25</v>
      </c>
      <c r="L25" s="39">
        <v>20</v>
      </c>
      <c r="M25" s="18"/>
      <c r="N25" s="27">
        <v>43.6</v>
      </c>
      <c r="O25" s="27">
        <v>42.235799999999998</v>
      </c>
      <c r="P25" s="27">
        <v>39.700000000000003</v>
      </c>
      <c r="Q25" s="27"/>
      <c r="R25" s="27">
        <v>42.1</v>
      </c>
      <c r="S25" s="27">
        <v>32</v>
      </c>
      <c r="T25" s="27">
        <v>54.5</v>
      </c>
      <c r="U25" s="27"/>
      <c r="V25" s="27">
        <v>40.4</v>
      </c>
      <c r="W25" s="27">
        <v>27.8</v>
      </c>
      <c r="X25" s="27">
        <v>7.4</v>
      </c>
      <c r="Y25" s="29">
        <v>2.640900000000002</v>
      </c>
      <c r="Z25" s="27">
        <v>-3.3</v>
      </c>
      <c r="AA25" s="30">
        <v>-2</v>
      </c>
      <c r="AB25" s="48">
        <v>48.4191</v>
      </c>
      <c r="AC25" s="46">
        <v>-1.7038000000000011</v>
      </c>
      <c r="AD25" s="39">
        <v>64.516799999999989</v>
      </c>
      <c r="AE25" s="27">
        <v>51.068800000000003</v>
      </c>
      <c r="AF25" s="27">
        <v>40.901299999999999</v>
      </c>
      <c r="AG25" s="27">
        <v>37</v>
      </c>
      <c r="AH25" s="27">
        <v>35.9</v>
      </c>
      <c r="AI25" s="27">
        <v>51.3</v>
      </c>
    </row>
    <row r="26" spans="1:35" ht="15.5" x14ac:dyDescent="0.35">
      <c r="A26" s="17" t="s">
        <v>102</v>
      </c>
      <c r="B26" s="18" t="s">
        <v>31</v>
      </c>
      <c r="C26" s="18">
        <v>202405</v>
      </c>
      <c r="D26" s="19">
        <v>1353.8</v>
      </c>
      <c r="E26" s="19">
        <v>799.9</v>
      </c>
      <c r="F26" s="18">
        <v>6.5</v>
      </c>
      <c r="G26" s="20">
        <v>6.976</v>
      </c>
      <c r="H26" s="18">
        <v>20</v>
      </c>
      <c r="I26" s="18">
        <v>335</v>
      </c>
      <c r="J26" s="39">
        <v>35</v>
      </c>
      <c r="K26" s="39">
        <v>27</v>
      </c>
      <c r="L26" s="39">
        <v>26</v>
      </c>
      <c r="M26" s="18"/>
      <c r="N26" s="27">
        <v>43.5</v>
      </c>
      <c r="O26" s="27">
        <v>41.992000000000004</v>
      </c>
      <c r="P26" s="27">
        <v>39</v>
      </c>
      <c r="Q26" s="27"/>
      <c r="R26" s="27">
        <v>41.4</v>
      </c>
      <c r="S26" s="27">
        <v>33.200000000000003</v>
      </c>
      <c r="T26" s="27">
        <v>55</v>
      </c>
      <c r="U26" s="27"/>
      <c r="V26" s="27">
        <v>42.8</v>
      </c>
      <c r="W26" s="27">
        <v>30.7</v>
      </c>
      <c r="X26" s="27">
        <v>14.2</v>
      </c>
      <c r="Y26" s="29">
        <v>-1.1295999999999964</v>
      </c>
      <c r="Z26" s="27">
        <v>-1.2</v>
      </c>
      <c r="AA26" s="30">
        <v>3.9</v>
      </c>
      <c r="AB26" s="48">
        <v>45.092399999999998</v>
      </c>
      <c r="AC26" s="46">
        <v>1.4727000000000103</v>
      </c>
      <c r="AD26" s="39">
        <v>55.118000000000002</v>
      </c>
      <c r="AE26" s="27">
        <v>44.712200000000003</v>
      </c>
      <c r="AF26" s="27">
        <v>38.006599999999999</v>
      </c>
      <c r="AG26" s="27">
        <v>36.9</v>
      </c>
      <c r="AH26" s="27">
        <v>33.799999999999997</v>
      </c>
      <c r="AI26" s="27">
        <v>50.8</v>
      </c>
    </row>
    <row r="27" spans="1:35" ht="15.5" x14ac:dyDescent="0.35">
      <c r="A27" s="17" t="s">
        <v>103</v>
      </c>
      <c r="B27" s="18" t="s">
        <v>28</v>
      </c>
      <c r="C27" s="18">
        <v>202404</v>
      </c>
      <c r="D27" s="19">
        <v>948</v>
      </c>
      <c r="E27" s="19">
        <v>532.20000000000005</v>
      </c>
      <c r="F27" s="18">
        <v>6.5</v>
      </c>
      <c r="G27" s="20">
        <v>6.9950000000000001</v>
      </c>
      <c r="H27" s="18">
        <v>22</v>
      </c>
      <c r="I27" s="18">
        <v>334</v>
      </c>
      <c r="J27" s="39">
        <v>40</v>
      </c>
      <c r="K27" s="39">
        <v>27</v>
      </c>
      <c r="L27" s="39">
        <v>29</v>
      </c>
      <c r="M27" s="18"/>
      <c r="N27" s="27">
        <v>45.6</v>
      </c>
      <c r="O27" s="27">
        <v>44.274799999999999</v>
      </c>
      <c r="P27" s="27">
        <v>41.2</v>
      </c>
      <c r="Q27" s="27"/>
      <c r="R27" s="27">
        <v>42.8</v>
      </c>
      <c r="S27" s="27">
        <v>33.700000000000003</v>
      </c>
      <c r="T27" s="27">
        <v>54.5</v>
      </c>
      <c r="U27" s="27"/>
      <c r="V27" s="27">
        <v>33.1</v>
      </c>
      <c r="W27" s="27">
        <v>25.8</v>
      </c>
      <c r="X27" s="27">
        <v>8.1999999999999993</v>
      </c>
      <c r="Y27" s="29">
        <v>10.137000000000008</v>
      </c>
      <c r="Z27" s="27">
        <v>-6.7</v>
      </c>
      <c r="AA27" s="30">
        <v>-13.3</v>
      </c>
      <c r="AB27" s="48">
        <v>46.375</v>
      </c>
      <c r="AC27" s="46">
        <v>4.8854000000000042</v>
      </c>
      <c r="AD27" s="39">
        <v>56.086899999999993</v>
      </c>
      <c r="AE27" s="27">
        <v>49.621099999999998</v>
      </c>
      <c r="AF27" s="27">
        <v>39.646500000000003</v>
      </c>
      <c r="AG27" s="27">
        <v>34</v>
      </c>
      <c r="AH27" s="27">
        <v>36.200000000000003</v>
      </c>
      <c r="AI27" s="27">
        <v>43.3</v>
      </c>
    </row>
    <row r="28" spans="1:35" ht="15.5" x14ac:dyDescent="0.35">
      <c r="A28" s="17" t="s">
        <v>104</v>
      </c>
      <c r="B28" s="18" t="s">
        <v>25</v>
      </c>
      <c r="C28" s="18">
        <v>202403</v>
      </c>
      <c r="D28" s="19">
        <v>590.1</v>
      </c>
      <c r="E28" s="19">
        <v>269.8</v>
      </c>
      <c r="F28" s="18">
        <v>6.5</v>
      </c>
      <c r="G28" s="20">
        <v>6.9710000000000001</v>
      </c>
      <c r="H28" s="18">
        <v>23</v>
      </c>
      <c r="I28" s="18">
        <v>332</v>
      </c>
      <c r="J28" s="39">
        <v>36</v>
      </c>
      <c r="K28" s="39">
        <v>26</v>
      </c>
      <c r="L28" s="39">
        <v>26</v>
      </c>
      <c r="M28" s="18"/>
      <c r="N28" s="27">
        <v>41.9</v>
      </c>
      <c r="O28" s="27">
        <v>40.289400000000001</v>
      </c>
      <c r="P28" s="27">
        <v>37.9</v>
      </c>
      <c r="Q28" s="27"/>
      <c r="R28" s="27">
        <v>40.6</v>
      </c>
      <c r="S28" s="27">
        <v>34.700000000000003</v>
      </c>
      <c r="T28" s="27">
        <v>50.4</v>
      </c>
      <c r="U28" s="27"/>
      <c r="V28" s="27">
        <v>32.299999999999997</v>
      </c>
      <c r="W28" s="27">
        <v>27.1</v>
      </c>
      <c r="X28" s="27">
        <v>8</v>
      </c>
      <c r="Y28" s="29">
        <v>7.2792999999999992</v>
      </c>
      <c r="Z28" s="27">
        <v>-5.2</v>
      </c>
      <c r="AA28" s="30">
        <v>-10</v>
      </c>
      <c r="AB28" s="48">
        <v>43.0426</v>
      </c>
      <c r="AC28" s="46">
        <v>-0.36650000000000205</v>
      </c>
      <c r="AD28" s="39">
        <v>48.669400000000003</v>
      </c>
      <c r="AE28" s="27">
        <v>41.886000000000003</v>
      </c>
      <c r="AF28" s="27">
        <v>31.9268</v>
      </c>
      <c r="AG28" s="27">
        <v>36.6</v>
      </c>
      <c r="AH28" s="27">
        <v>27.4</v>
      </c>
      <c r="AI28" s="27">
        <v>39.1</v>
      </c>
    </row>
    <row r="29" spans="1:35" ht="15.5" x14ac:dyDescent="0.35">
      <c r="A29" s="17" t="s">
        <v>105</v>
      </c>
      <c r="B29" s="18" t="s">
        <v>22</v>
      </c>
      <c r="C29" s="18">
        <v>202402</v>
      </c>
      <c r="D29" s="19">
        <v>795.9</v>
      </c>
      <c r="E29" s="19">
        <v>432.2</v>
      </c>
      <c r="F29" s="18">
        <v>6.5</v>
      </c>
      <c r="G29" s="20">
        <v>7.032</v>
      </c>
      <c r="H29" s="18">
        <v>24</v>
      </c>
      <c r="I29" s="18">
        <v>332</v>
      </c>
      <c r="J29" s="39">
        <v>33</v>
      </c>
      <c r="K29" s="39">
        <v>27</v>
      </c>
      <c r="L29" s="39">
        <v>22</v>
      </c>
      <c r="M29" s="18"/>
      <c r="N29" s="27">
        <v>39.6</v>
      </c>
      <c r="O29" s="27">
        <v>39.031700000000001</v>
      </c>
      <c r="P29" s="27">
        <v>37.1</v>
      </c>
      <c r="Q29" s="27"/>
      <c r="R29" s="27">
        <v>41.6</v>
      </c>
      <c r="S29" s="27">
        <v>34.5</v>
      </c>
      <c r="T29" s="27">
        <v>54.8</v>
      </c>
      <c r="U29" s="27"/>
      <c r="V29" s="27">
        <v>37.299999999999997</v>
      </c>
      <c r="W29" s="27">
        <v>30</v>
      </c>
      <c r="X29" s="27">
        <v>7.7</v>
      </c>
      <c r="Y29" s="29">
        <v>6.0081999999999951</v>
      </c>
      <c r="Z29" s="27">
        <v>-5.7</v>
      </c>
      <c r="AA29" s="30">
        <v>-6.2</v>
      </c>
      <c r="AB29" s="48">
        <v>43.424600000000005</v>
      </c>
      <c r="AC29" s="46">
        <v>1.9358000000000004</v>
      </c>
      <c r="AD29" s="39">
        <v>51.718299999999992</v>
      </c>
      <c r="AE29" s="27">
        <v>36.386699999999998</v>
      </c>
      <c r="AF29" s="27">
        <v>32.259100000000004</v>
      </c>
      <c r="AG29" s="27">
        <v>30.8</v>
      </c>
      <c r="AH29" s="27">
        <v>28.2</v>
      </c>
      <c r="AI29" s="27">
        <v>28.4</v>
      </c>
    </row>
    <row r="30" spans="1:35" ht="15.5" x14ac:dyDescent="0.35">
      <c r="A30" s="17" t="s">
        <v>106</v>
      </c>
      <c r="B30" s="18" t="s">
        <v>19</v>
      </c>
      <c r="C30" s="18">
        <v>202401</v>
      </c>
      <c r="D30" s="19">
        <v>1395.4</v>
      </c>
      <c r="E30" s="19">
        <v>315</v>
      </c>
      <c r="F30" s="18">
        <v>6.5</v>
      </c>
      <c r="G30" s="20">
        <v>7.069</v>
      </c>
      <c r="H30" s="18">
        <v>24</v>
      </c>
      <c r="I30" s="18">
        <v>332</v>
      </c>
      <c r="J30" s="39">
        <v>26</v>
      </c>
      <c r="K30" s="39">
        <v>23</v>
      </c>
      <c r="L30" s="39">
        <v>13</v>
      </c>
      <c r="M30" s="18"/>
      <c r="N30" s="27">
        <v>34.4</v>
      </c>
      <c r="O30" s="27">
        <v>34.426400000000001</v>
      </c>
      <c r="P30" s="27">
        <v>32.9</v>
      </c>
      <c r="Q30" s="27"/>
      <c r="R30" s="27">
        <v>37</v>
      </c>
      <c r="S30" s="27">
        <v>30.3</v>
      </c>
      <c r="T30" s="27">
        <v>53.2</v>
      </c>
      <c r="U30" s="27"/>
      <c r="V30" s="27">
        <v>39.9</v>
      </c>
      <c r="W30" s="27">
        <v>39</v>
      </c>
      <c r="X30" s="27">
        <v>6.6</v>
      </c>
      <c r="Y30" s="29">
        <v>-0.34309999999999974</v>
      </c>
      <c r="Z30" s="27">
        <v>6.6</v>
      </c>
      <c r="AA30" s="30">
        <v>-14.3</v>
      </c>
      <c r="AB30" s="48">
        <v>40.579599999999999</v>
      </c>
      <c r="AC30" s="46">
        <v>1.4217000000000013</v>
      </c>
      <c r="AD30" s="39">
        <v>47.781600000000005</v>
      </c>
      <c r="AE30" s="27">
        <v>38.040800000000004</v>
      </c>
      <c r="AF30" s="27">
        <v>33.629300000000001</v>
      </c>
      <c r="AG30" s="27">
        <v>30.6</v>
      </c>
      <c r="AH30" s="27">
        <v>31.2</v>
      </c>
      <c r="AI30" s="27">
        <v>31</v>
      </c>
    </row>
    <row r="31" spans="1:35" ht="15.5" x14ac:dyDescent="0.35">
      <c r="A31" s="17" t="s">
        <v>107</v>
      </c>
      <c r="B31" s="18" t="s">
        <v>17</v>
      </c>
      <c r="C31" s="18">
        <v>202312</v>
      </c>
      <c r="D31" s="19">
        <v>2159.8000000000002</v>
      </c>
      <c r="E31" s="19">
        <v>1482.2</v>
      </c>
      <c r="F31" s="18">
        <v>6.5</v>
      </c>
      <c r="G31" s="20">
        <v>7.0629999999999997</v>
      </c>
      <c r="H31" s="18">
        <v>25</v>
      </c>
      <c r="I31" s="18">
        <v>330</v>
      </c>
      <c r="J31" s="39">
        <v>27</v>
      </c>
      <c r="K31" s="39">
        <v>23</v>
      </c>
      <c r="L31" s="39">
        <v>12</v>
      </c>
      <c r="M31" s="18"/>
      <c r="N31" s="27">
        <v>33.200000000000003</v>
      </c>
      <c r="O31" s="27">
        <v>33.698599999999999</v>
      </c>
      <c r="P31" s="27">
        <v>32.5</v>
      </c>
      <c r="Q31" s="27"/>
      <c r="R31" s="27">
        <v>34.5</v>
      </c>
      <c r="S31" s="27">
        <v>28.3</v>
      </c>
      <c r="T31" s="27">
        <v>49</v>
      </c>
      <c r="U31" s="27"/>
      <c r="V31" s="27">
        <v>37.299999999999997</v>
      </c>
      <c r="W31" s="27">
        <v>34.799999999999997</v>
      </c>
      <c r="X31" s="27">
        <v>4.5999999999999996</v>
      </c>
      <c r="Y31" s="29">
        <v>-6.4799999999998192E-2</v>
      </c>
      <c r="Z31" s="27">
        <v>4.8</v>
      </c>
      <c r="AA31" s="30">
        <v>-9.6999999999999993</v>
      </c>
      <c r="AB31" s="48">
        <v>44.4236</v>
      </c>
      <c r="AC31" s="46">
        <v>1.6621000000000024</v>
      </c>
      <c r="AD31" s="39">
        <v>50.241599999999998</v>
      </c>
      <c r="AE31" s="27">
        <v>37.567799999999998</v>
      </c>
      <c r="AF31" s="27">
        <v>29.383500000000002</v>
      </c>
      <c r="AG31" s="27">
        <v>29.3</v>
      </c>
      <c r="AH31" s="27">
        <v>24.3</v>
      </c>
      <c r="AI31" s="27">
        <v>38</v>
      </c>
    </row>
    <row r="32" spans="1:35" ht="15.5" x14ac:dyDescent="0.35">
      <c r="A32" s="17" t="s">
        <v>108</v>
      </c>
      <c r="B32" s="18" t="s">
        <v>15</v>
      </c>
      <c r="C32" s="18">
        <v>202311</v>
      </c>
      <c r="D32" s="19">
        <v>2999.3</v>
      </c>
      <c r="E32" s="19">
        <v>811.9</v>
      </c>
      <c r="F32" s="18">
        <v>6.5</v>
      </c>
      <c r="G32" s="20">
        <v>7.0460000000000003</v>
      </c>
      <c r="H32" s="18">
        <v>26</v>
      </c>
      <c r="I32" s="18">
        <v>330</v>
      </c>
      <c r="J32" s="39">
        <v>21</v>
      </c>
      <c r="K32" s="39">
        <v>24</v>
      </c>
      <c r="L32" s="39">
        <v>15</v>
      </c>
      <c r="M32" s="18"/>
      <c r="N32" s="27">
        <v>29.4</v>
      </c>
      <c r="O32" s="27">
        <v>30.179099999999998</v>
      </c>
      <c r="P32" s="27">
        <v>29.7</v>
      </c>
      <c r="Q32" s="27"/>
      <c r="R32" s="27">
        <v>32.1</v>
      </c>
      <c r="S32" s="27">
        <v>27.9</v>
      </c>
      <c r="T32" s="27">
        <v>47.2</v>
      </c>
      <c r="U32" s="27"/>
      <c r="V32" s="27">
        <v>32.5</v>
      </c>
      <c r="W32" s="27">
        <v>26.3</v>
      </c>
      <c r="X32" s="27">
        <v>4.2</v>
      </c>
      <c r="Y32" s="29">
        <v>0.73610000000000042</v>
      </c>
      <c r="Z32" s="27">
        <v>-1.5</v>
      </c>
      <c r="AA32" s="30">
        <v>1.5</v>
      </c>
      <c r="AB32" s="48">
        <v>37.800899999999999</v>
      </c>
      <c r="AC32" s="46">
        <v>1.2256999999999962</v>
      </c>
      <c r="AD32" s="39">
        <v>46.900399999999998</v>
      </c>
      <c r="AE32" s="27">
        <v>32.096999999999994</v>
      </c>
      <c r="AF32" s="27">
        <v>29.112500000000001</v>
      </c>
      <c r="AG32" s="27">
        <v>26.7</v>
      </c>
      <c r="AH32" s="27">
        <v>22.6</v>
      </c>
      <c r="AI32" s="27">
        <v>33.4</v>
      </c>
    </row>
    <row r="33" spans="1:35" ht="15.5" x14ac:dyDescent="0.35">
      <c r="A33" s="17" t="s">
        <v>109</v>
      </c>
      <c r="B33" s="18" t="s">
        <v>13</v>
      </c>
      <c r="C33" s="18">
        <v>202310</v>
      </c>
      <c r="D33" s="19">
        <v>2341</v>
      </c>
      <c r="E33" s="19">
        <v>864.9</v>
      </c>
      <c r="F33" s="18">
        <v>6.5</v>
      </c>
      <c r="G33" s="20">
        <v>7.0270000000000001</v>
      </c>
      <c r="H33" s="18">
        <v>27</v>
      </c>
      <c r="I33" s="18">
        <v>329</v>
      </c>
      <c r="J33" s="39">
        <v>25</v>
      </c>
      <c r="K33" s="39">
        <v>25</v>
      </c>
      <c r="L33" s="39">
        <v>16</v>
      </c>
      <c r="M33" s="18"/>
      <c r="N33" s="27">
        <v>29.6</v>
      </c>
      <c r="O33" s="27">
        <v>30.739699999999999</v>
      </c>
      <c r="P33" s="27">
        <v>30.1</v>
      </c>
      <c r="Q33" s="27"/>
      <c r="R33" s="27">
        <v>31.3</v>
      </c>
      <c r="S33" s="27">
        <v>26.8</v>
      </c>
      <c r="T33" s="27">
        <v>43.8</v>
      </c>
      <c r="U33" s="27"/>
      <c r="V33" s="27">
        <v>29</v>
      </c>
      <c r="W33" s="27">
        <v>26.8</v>
      </c>
      <c r="X33" s="27">
        <v>4.2</v>
      </c>
      <c r="Y33" s="29">
        <v>4.6995000000000005</v>
      </c>
      <c r="Z33" s="27">
        <v>-1.3</v>
      </c>
      <c r="AA33" s="30">
        <v>-13.6</v>
      </c>
      <c r="AB33" s="48">
        <v>35.599699999999999</v>
      </c>
      <c r="AC33" s="46">
        <v>-1.7436000000000007</v>
      </c>
      <c r="AD33" s="39">
        <v>47.094700000000003</v>
      </c>
      <c r="AE33" s="27">
        <v>36.2517</v>
      </c>
      <c r="AF33" s="27">
        <v>24.454799999999999</v>
      </c>
      <c r="AG33" s="27">
        <v>26.6</v>
      </c>
      <c r="AH33" s="27">
        <v>25.4</v>
      </c>
      <c r="AI33" s="27">
        <v>34.1</v>
      </c>
    </row>
    <row r="34" spans="1:35" ht="15.5" x14ac:dyDescent="0.35">
      <c r="A34" s="17"/>
      <c r="B34" s="18"/>
      <c r="C34" s="18"/>
      <c r="D34" s="19"/>
      <c r="E34" s="19"/>
      <c r="F34" s="18"/>
      <c r="G34" s="20"/>
      <c r="H34" s="18"/>
      <c r="I34" s="18"/>
      <c r="J34" s="18"/>
      <c r="K34" s="18"/>
      <c r="L34" s="18"/>
      <c r="M34" s="18"/>
      <c r="N34" s="27"/>
      <c r="O34" s="27"/>
      <c r="P34" s="27"/>
      <c r="Q34" s="27"/>
      <c r="R34" s="27"/>
      <c r="S34" s="27"/>
      <c r="T34" s="27"/>
      <c r="U34" s="27"/>
      <c r="V34" s="27"/>
      <c r="W34" s="27"/>
      <c r="X34" s="27"/>
      <c r="Y34" s="21"/>
      <c r="Z34" s="21"/>
      <c r="AA34" s="21"/>
      <c r="AB34" s="21"/>
      <c r="AC34" s="21"/>
      <c r="AD34" s="21"/>
      <c r="AE34" s="21"/>
      <c r="AF34" s="18"/>
      <c r="AG34" s="18"/>
      <c r="AH34" s="18"/>
      <c r="AI34" s="18"/>
    </row>
    <row r="35" spans="1:35" ht="18" customHeight="1" thickBot="1" x14ac:dyDescent="0.45">
      <c r="A35" s="7"/>
      <c r="B35" s="7"/>
      <c r="C35" s="26" t="s">
        <v>173</v>
      </c>
      <c r="D35" s="26" t="s">
        <v>168</v>
      </c>
      <c r="E35" s="26" t="s">
        <v>170</v>
      </c>
      <c r="F35" s="7"/>
      <c r="G35" s="7"/>
      <c r="H35" s="7"/>
      <c r="I35" s="7"/>
      <c r="J35" s="26" t="s">
        <v>77</v>
      </c>
      <c r="K35" s="7" t="s">
        <v>78</v>
      </c>
      <c r="L35" s="7"/>
      <c r="M35" s="7"/>
      <c r="N35" s="52" t="s">
        <v>229</v>
      </c>
      <c r="O35" s="53"/>
      <c r="P35" s="54"/>
      <c r="Q35" s="9"/>
      <c r="R35" s="52" t="s">
        <v>218</v>
      </c>
      <c r="S35" s="53"/>
      <c r="T35" s="54"/>
      <c r="U35" s="9"/>
      <c r="V35" s="52" t="s">
        <v>228</v>
      </c>
      <c r="W35" s="53"/>
      <c r="X35" s="54"/>
      <c r="Y35" s="55" t="s">
        <v>227</v>
      </c>
      <c r="Z35" s="56"/>
      <c r="AA35" s="57"/>
      <c r="AB35" s="58" t="s">
        <v>79</v>
      </c>
      <c r="AC35" s="58"/>
      <c r="AD35" s="58"/>
      <c r="AE35" s="58"/>
      <c r="AF35" s="58"/>
      <c r="AG35" s="58"/>
      <c r="AH35" s="58"/>
      <c r="AI35" s="56"/>
    </row>
    <row r="36" spans="1:35" ht="18" customHeight="1" thickBot="1" x14ac:dyDescent="0.4">
      <c r="A36" s="8" t="s">
        <v>80</v>
      </c>
      <c r="B36" s="9" t="s">
        <v>81</v>
      </c>
      <c r="C36" s="9" t="s">
        <v>174</v>
      </c>
      <c r="D36" s="9" t="s">
        <v>169</v>
      </c>
      <c r="E36" s="9" t="s">
        <v>172</v>
      </c>
      <c r="F36" s="9" t="s">
        <v>171</v>
      </c>
      <c r="G36" s="9" t="s">
        <v>10</v>
      </c>
      <c r="H36" s="9" t="s">
        <v>12</v>
      </c>
      <c r="I36" s="9" t="s">
        <v>11</v>
      </c>
      <c r="J36" s="9" t="s">
        <v>82</v>
      </c>
      <c r="K36" s="9" t="s">
        <v>83</v>
      </c>
      <c r="L36" s="9" t="s">
        <v>82</v>
      </c>
      <c r="M36" s="9"/>
      <c r="N36" s="41" t="s">
        <v>162</v>
      </c>
      <c r="O36" s="9" t="s">
        <v>161</v>
      </c>
      <c r="P36" s="42" t="s">
        <v>160</v>
      </c>
      <c r="Q36" s="9"/>
      <c r="R36" s="10" t="s">
        <v>84</v>
      </c>
      <c r="S36" s="9" t="s">
        <v>83</v>
      </c>
      <c r="T36" s="11" t="s">
        <v>82</v>
      </c>
      <c r="U36" s="9"/>
      <c r="V36" s="10" t="s">
        <v>84</v>
      </c>
      <c r="W36" s="9" t="s">
        <v>83</v>
      </c>
      <c r="X36" s="11" t="s">
        <v>82</v>
      </c>
      <c r="Y36" s="10" t="s">
        <v>84</v>
      </c>
      <c r="Z36" s="9" t="s">
        <v>83</v>
      </c>
      <c r="AA36" s="11" t="s">
        <v>82</v>
      </c>
      <c r="AB36" s="44" t="s">
        <v>84</v>
      </c>
      <c r="AC36" s="44" t="s">
        <v>219</v>
      </c>
      <c r="AD36" s="10" t="s">
        <v>177</v>
      </c>
      <c r="AE36" s="10" t="s">
        <v>175</v>
      </c>
      <c r="AF36" s="9" t="s">
        <v>159</v>
      </c>
      <c r="AG36" s="9" t="s">
        <v>159</v>
      </c>
      <c r="AH36" s="9" t="s">
        <v>85</v>
      </c>
      <c r="AI36" s="9" t="s">
        <v>86</v>
      </c>
    </row>
    <row r="37" spans="1:35" ht="15.5" x14ac:dyDescent="0.35">
      <c r="A37" s="12" t="s">
        <v>222</v>
      </c>
      <c r="B37" s="13" t="s">
        <v>223</v>
      </c>
      <c r="C37" s="13">
        <v>202601</v>
      </c>
      <c r="D37" s="14">
        <v>2062.5</v>
      </c>
      <c r="E37" s="14">
        <v>2062.5</v>
      </c>
      <c r="F37" s="13">
        <v>6</v>
      </c>
      <c r="G37" s="15">
        <v>6.4550000000000001</v>
      </c>
      <c r="H37" s="13">
        <v>1</v>
      </c>
      <c r="I37" s="13">
        <v>354</v>
      </c>
      <c r="J37" s="13">
        <v>48</v>
      </c>
      <c r="K37" s="13">
        <v>99</v>
      </c>
      <c r="L37" s="13">
        <v>100</v>
      </c>
      <c r="M37" s="13">
        <v>2.1</v>
      </c>
      <c r="N37" s="36">
        <v>2.4</v>
      </c>
      <c r="O37" s="36">
        <v>2.0806999999999998</v>
      </c>
      <c r="P37" s="27">
        <v>1.9</v>
      </c>
      <c r="Q37" s="36"/>
      <c r="R37" s="36">
        <v>1.8</v>
      </c>
      <c r="S37" s="36">
        <v>1.5</v>
      </c>
      <c r="T37" s="36">
        <v>2</v>
      </c>
      <c r="U37" s="36"/>
      <c r="V37" s="49">
        <v>0.9</v>
      </c>
      <c r="W37" s="39">
        <v>1</v>
      </c>
      <c r="X37" s="39">
        <v>0</v>
      </c>
      <c r="Y37" s="35"/>
      <c r="Z37" s="36"/>
      <c r="AA37" s="37"/>
      <c r="AB37" s="47"/>
      <c r="AD37" s="43"/>
      <c r="AE37" s="16"/>
      <c r="AF37" s="16"/>
      <c r="AG37" s="13"/>
      <c r="AH37" s="13"/>
      <c r="AI37" s="13"/>
    </row>
    <row r="38" spans="1:35" ht="15.5" x14ac:dyDescent="0.35">
      <c r="A38" s="17" t="s">
        <v>188</v>
      </c>
      <c r="B38" s="18" t="s">
        <v>215</v>
      </c>
      <c r="C38" s="18">
        <v>202512</v>
      </c>
      <c r="D38" s="19">
        <v>2031.6</v>
      </c>
      <c r="E38" s="19">
        <v>2028.1</v>
      </c>
      <c r="F38" s="18">
        <v>6</v>
      </c>
      <c r="G38" s="20">
        <v>6.4720000000000004</v>
      </c>
      <c r="H38" s="18">
        <v>2</v>
      </c>
      <c r="I38" s="18">
        <v>354</v>
      </c>
      <c r="J38" s="18">
        <v>50</v>
      </c>
      <c r="K38" s="18">
        <v>100</v>
      </c>
      <c r="L38" s="18">
        <v>100</v>
      </c>
      <c r="M38" s="18">
        <v>3.7</v>
      </c>
      <c r="N38" s="27">
        <v>4.4000000000000004</v>
      </c>
      <c r="O38" s="27">
        <v>3.8538999999999999</v>
      </c>
      <c r="P38" s="27">
        <v>3.3</v>
      </c>
      <c r="Q38" s="27"/>
      <c r="R38" s="27">
        <v>2.9</v>
      </c>
      <c r="S38" s="27">
        <v>2.4</v>
      </c>
      <c r="T38" s="27">
        <v>3.4</v>
      </c>
      <c r="U38" s="27"/>
      <c r="V38" s="49">
        <v>0.7</v>
      </c>
      <c r="W38" s="39">
        <v>1</v>
      </c>
      <c r="X38" s="39">
        <v>0</v>
      </c>
      <c r="Y38" s="29">
        <v>1.7165999999999999</v>
      </c>
      <c r="Z38" s="27">
        <v>0.4</v>
      </c>
      <c r="AA38" s="30">
        <v>3.1</v>
      </c>
      <c r="AB38" s="47"/>
      <c r="AD38" s="39"/>
      <c r="AE38" s="21"/>
      <c r="AF38" s="21"/>
      <c r="AG38" s="18"/>
      <c r="AH38" s="18"/>
      <c r="AI38" s="18"/>
    </row>
    <row r="39" spans="1:35" ht="15.5" x14ac:dyDescent="0.35">
      <c r="A39" s="17" t="s">
        <v>188</v>
      </c>
      <c r="B39" s="18" t="s">
        <v>185</v>
      </c>
      <c r="C39" s="18">
        <v>202511</v>
      </c>
      <c r="D39" s="19">
        <v>2590.3000000000002</v>
      </c>
      <c r="E39" s="19">
        <v>2584.1</v>
      </c>
      <c r="F39" s="18">
        <v>6</v>
      </c>
      <c r="G39" s="20">
        <v>6.4969999999999999</v>
      </c>
      <c r="H39" s="18">
        <v>3</v>
      </c>
      <c r="I39" s="18">
        <v>353</v>
      </c>
      <c r="J39" s="18">
        <v>48</v>
      </c>
      <c r="K39" s="18">
        <v>100</v>
      </c>
      <c r="L39" s="18">
        <v>100</v>
      </c>
      <c r="M39" s="18">
        <v>5.5</v>
      </c>
      <c r="N39" s="27">
        <v>6.7</v>
      </c>
      <c r="O39" s="27">
        <v>5.6604000000000001</v>
      </c>
      <c r="P39" s="27">
        <v>4.5999999999999996</v>
      </c>
      <c r="Q39" s="27"/>
      <c r="R39" s="27">
        <v>4.4000000000000004</v>
      </c>
      <c r="S39" s="27">
        <v>5</v>
      </c>
      <c r="T39" s="27">
        <v>3.8</v>
      </c>
      <c r="U39" s="27"/>
      <c r="V39" s="49">
        <v>1.6</v>
      </c>
      <c r="W39" s="39">
        <v>0.7</v>
      </c>
      <c r="X39" s="39">
        <v>0.2</v>
      </c>
      <c r="Y39" s="29">
        <v>0.60460000000000025</v>
      </c>
      <c r="Z39" s="27">
        <v>1.3</v>
      </c>
      <c r="AA39" s="30">
        <v>0</v>
      </c>
      <c r="AB39" s="47">
        <v>1.6613999999999998</v>
      </c>
      <c r="AD39" s="39"/>
      <c r="AE39" s="21"/>
      <c r="AF39" s="21"/>
      <c r="AG39" s="18"/>
      <c r="AH39" s="18"/>
      <c r="AI39" s="18"/>
    </row>
    <row r="40" spans="1:35" ht="15.5" x14ac:dyDescent="0.35">
      <c r="A40" s="17" t="s">
        <v>166</v>
      </c>
      <c r="B40" s="18" t="s">
        <v>165</v>
      </c>
      <c r="C40" s="18">
        <v>202510</v>
      </c>
      <c r="D40" s="19">
        <v>4024</v>
      </c>
      <c r="E40" s="19">
        <v>4011</v>
      </c>
      <c r="F40" s="18">
        <v>6</v>
      </c>
      <c r="G40" s="20">
        <v>6.5119999999999996</v>
      </c>
      <c r="H40" s="18">
        <v>4</v>
      </c>
      <c r="I40" s="18">
        <v>354</v>
      </c>
      <c r="J40" s="18">
        <v>63</v>
      </c>
      <c r="K40" s="18">
        <v>100</v>
      </c>
      <c r="L40" s="18">
        <v>100</v>
      </c>
      <c r="M40" s="18">
        <v>7.4</v>
      </c>
      <c r="N40" s="27">
        <v>9</v>
      </c>
      <c r="O40" s="27">
        <v>7.5784000000000002</v>
      </c>
      <c r="P40" s="27">
        <v>5.7</v>
      </c>
      <c r="Q40" s="27"/>
      <c r="R40" s="27">
        <v>4.7</v>
      </c>
      <c r="S40" s="27">
        <v>7.1</v>
      </c>
      <c r="T40" s="27">
        <v>3.3</v>
      </c>
      <c r="U40" s="27"/>
      <c r="V40" s="46">
        <v>2</v>
      </c>
      <c r="W40" s="39">
        <v>2.2000000000000002</v>
      </c>
      <c r="X40" s="39">
        <v>0.5</v>
      </c>
      <c r="Y40" s="29">
        <v>0.47750000000000004</v>
      </c>
      <c r="Z40" s="27">
        <v>0.9</v>
      </c>
      <c r="AA40" s="30">
        <v>0.3</v>
      </c>
      <c r="AB40" s="29">
        <v>0.54220000000000024</v>
      </c>
      <c r="AC40" s="27">
        <v>1.1424000000000001</v>
      </c>
      <c r="AD40" s="39">
        <v>1.7258</v>
      </c>
      <c r="AE40" s="21"/>
      <c r="AF40" s="21"/>
      <c r="AG40" s="18"/>
      <c r="AH40" s="18"/>
      <c r="AI40" s="18"/>
    </row>
    <row r="41" spans="1:35" ht="15.5" x14ac:dyDescent="0.35">
      <c r="A41" s="17" t="s">
        <v>153</v>
      </c>
      <c r="B41" s="18" t="s">
        <v>154</v>
      </c>
      <c r="C41" s="18">
        <v>202509</v>
      </c>
      <c r="D41" s="19">
        <v>5730</v>
      </c>
      <c r="E41" s="19">
        <v>5707.1</v>
      </c>
      <c r="F41" s="18">
        <v>6</v>
      </c>
      <c r="G41" s="20">
        <v>6.4989999999999997</v>
      </c>
      <c r="H41" s="18">
        <v>4</v>
      </c>
      <c r="I41" s="18">
        <v>353</v>
      </c>
      <c r="J41" s="18">
        <v>71</v>
      </c>
      <c r="K41" s="18">
        <v>100</v>
      </c>
      <c r="L41" s="18">
        <v>100</v>
      </c>
      <c r="M41" s="18">
        <v>15.7</v>
      </c>
      <c r="N41" s="27">
        <v>21</v>
      </c>
      <c r="O41" s="27">
        <v>17.2943</v>
      </c>
      <c r="P41" s="27">
        <v>11.1</v>
      </c>
      <c r="Q41" s="27"/>
      <c r="R41" s="27">
        <v>5.9</v>
      </c>
      <c r="S41" s="27">
        <v>9.8000000000000007</v>
      </c>
      <c r="T41" s="27">
        <v>4.3</v>
      </c>
      <c r="U41" s="27"/>
      <c r="V41" s="46">
        <v>3.5</v>
      </c>
      <c r="W41" s="39">
        <v>4.7</v>
      </c>
      <c r="X41" s="39">
        <v>1.4</v>
      </c>
      <c r="Y41" s="29">
        <v>-0.15680000000000049</v>
      </c>
      <c r="Z41" s="27">
        <v>0.2</v>
      </c>
      <c r="AA41" s="30">
        <v>-0.2</v>
      </c>
      <c r="AB41" s="29">
        <v>1.0350000000000001</v>
      </c>
      <c r="AC41" s="27">
        <v>2.0607000000000002</v>
      </c>
      <c r="AD41" s="39">
        <v>1.8028</v>
      </c>
      <c r="AE41" s="27">
        <v>1.1015999999999999</v>
      </c>
      <c r="AF41" s="27"/>
      <c r="AG41" s="27"/>
      <c r="AH41" s="27"/>
      <c r="AI41" s="27"/>
    </row>
    <row r="42" spans="1:35" ht="15.5" x14ac:dyDescent="0.35">
      <c r="A42" s="17" t="s">
        <v>110</v>
      </c>
      <c r="B42" s="18" t="s">
        <v>75</v>
      </c>
      <c r="C42" s="18">
        <v>202508</v>
      </c>
      <c r="D42" s="19">
        <v>7034</v>
      </c>
      <c r="E42" s="19">
        <v>5200.8</v>
      </c>
      <c r="F42" s="18">
        <v>6</v>
      </c>
      <c r="G42" s="20">
        <v>6.508</v>
      </c>
      <c r="H42" s="18">
        <v>5</v>
      </c>
      <c r="I42" s="18">
        <v>352</v>
      </c>
      <c r="J42" s="18">
        <v>71</v>
      </c>
      <c r="K42" s="18">
        <v>92</v>
      </c>
      <c r="L42" s="18">
        <v>98</v>
      </c>
      <c r="M42" s="18">
        <v>48.6</v>
      </c>
      <c r="N42" s="27">
        <v>59.6</v>
      </c>
      <c r="O42" s="27">
        <v>52.6145</v>
      </c>
      <c r="P42" s="27">
        <v>36.4</v>
      </c>
      <c r="Q42" s="27"/>
      <c r="R42" s="27">
        <v>15.4</v>
      </c>
      <c r="S42" s="27">
        <v>18.3</v>
      </c>
      <c r="T42" s="27">
        <v>14.2</v>
      </c>
      <c r="U42" s="27"/>
      <c r="V42" s="46">
        <v>4.8</v>
      </c>
      <c r="W42" s="39">
        <v>6.8</v>
      </c>
      <c r="X42" s="39">
        <v>0.9</v>
      </c>
      <c r="Y42" s="29">
        <v>-0.31190000000000051</v>
      </c>
      <c r="Z42" s="27">
        <v>0.6</v>
      </c>
      <c r="AA42" s="30">
        <v>-0.7</v>
      </c>
      <c r="AB42" s="29">
        <v>1.8580000000000001</v>
      </c>
      <c r="AC42" s="27">
        <v>1.9504000000000001</v>
      </c>
      <c r="AD42" s="39">
        <v>1.8487</v>
      </c>
      <c r="AE42" s="27">
        <v>1.7739</v>
      </c>
      <c r="AF42" s="27">
        <v>1.0547</v>
      </c>
      <c r="AG42" s="27"/>
      <c r="AH42" s="27"/>
      <c r="AI42" s="27"/>
    </row>
    <row r="43" spans="1:35" ht="15.5" x14ac:dyDescent="0.35">
      <c r="A43" s="17" t="s">
        <v>111</v>
      </c>
      <c r="B43" s="18" t="s">
        <v>72</v>
      </c>
      <c r="C43" s="18">
        <v>202507</v>
      </c>
      <c r="D43" s="19">
        <v>7668.3</v>
      </c>
      <c r="E43" s="19">
        <v>3437.4</v>
      </c>
      <c r="F43" s="18">
        <v>6</v>
      </c>
      <c r="G43" s="20">
        <v>6.4980000000000002</v>
      </c>
      <c r="H43" s="18">
        <v>6</v>
      </c>
      <c r="I43" s="18">
        <v>351</v>
      </c>
      <c r="J43" s="18">
        <v>67</v>
      </c>
      <c r="K43" s="18">
        <v>63</v>
      </c>
      <c r="L43" s="18">
        <v>75</v>
      </c>
      <c r="M43" s="18">
        <v>77.900000000000006</v>
      </c>
      <c r="N43" s="27">
        <v>86.8</v>
      </c>
      <c r="O43" s="27">
        <v>81.694999999999993</v>
      </c>
      <c r="P43" s="27">
        <v>65.099999999999994</v>
      </c>
      <c r="Q43" s="27"/>
      <c r="R43" s="27">
        <v>53.7</v>
      </c>
      <c r="S43" s="27">
        <v>36.9</v>
      </c>
      <c r="T43" s="27">
        <v>60.4</v>
      </c>
      <c r="U43" s="27"/>
      <c r="V43" s="46">
        <v>15.4</v>
      </c>
      <c r="W43" s="39">
        <v>17.899999999999999</v>
      </c>
      <c r="X43" s="39">
        <v>0.8</v>
      </c>
      <c r="Y43" s="29">
        <v>-4.2935999999999996</v>
      </c>
      <c r="Z43" s="27">
        <v>-3.5</v>
      </c>
      <c r="AA43" s="30">
        <v>-4.8</v>
      </c>
      <c r="AB43" s="29">
        <v>1.4330999999999996</v>
      </c>
      <c r="AC43" s="27">
        <v>2.8287</v>
      </c>
      <c r="AD43" s="39">
        <v>1.4489999999999998</v>
      </c>
      <c r="AE43" s="27">
        <v>2.5812999999999997</v>
      </c>
      <c r="AF43" s="27">
        <v>1.9005000000000001</v>
      </c>
      <c r="AG43" s="27">
        <v>2.2999999999999998</v>
      </c>
      <c r="AH43" s="27"/>
      <c r="AI43" s="27"/>
    </row>
    <row r="44" spans="1:35" ht="15.5" x14ac:dyDescent="0.35">
      <c r="A44" s="17" t="s">
        <v>112</v>
      </c>
      <c r="B44" s="18" t="s">
        <v>69</v>
      </c>
      <c r="C44" s="18">
        <v>202506</v>
      </c>
      <c r="D44" s="19">
        <v>6778</v>
      </c>
      <c r="E44" s="19">
        <v>2201.5</v>
      </c>
      <c r="F44" s="18">
        <v>6</v>
      </c>
      <c r="G44" s="20">
        <v>6.4740000000000002</v>
      </c>
      <c r="H44" s="18">
        <v>7</v>
      </c>
      <c r="I44" s="18">
        <v>350</v>
      </c>
      <c r="J44" s="18">
        <v>61</v>
      </c>
      <c r="K44" s="18">
        <v>12</v>
      </c>
      <c r="L44" s="18">
        <v>6</v>
      </c>
      <c r="M44" s="18">
        <v>69.2</v>
      </c>
      <c r="N44" s="27">
        <v>79.2</v>
      </c>
      <c r="O44" s="27">
        <v>73.380700000000004</v>
      </c>
      <c r="P44" s="27">
        <v>55.6</v>
      </c>
      <c r="Q44" s="27"/>
      <c r="R44" s="27">
        <v>85.9</v>
      </c>
      <c r="S44" s="27">
        <v>40.200000000000003</v>
      </c>
      <c r="T44" s="27">
        <v>95.1</v>
      </c>
      <c r="U44" s="27"/>
      <c r="V44" s="46">
        <v>55.7</v>
      </c>
      <c r="W44" s="39">
        <v>41.8</v>
      </c>
      <c r="X44" s="39">
        <v>1.4</v>
      </c>
      <c r="Y44" s="29">
        <v>-9.1086999999999989</v>
      </c>
      <c r="Z44" s="27">
        <v>-9.1</v>
      </c>
      <c r="AA44" s="30">
        <v>-8.9</v>
      </c>
      <c r="AB44" s="29">
        <v>-4.8596000000000004</v>
      </c>
      <c r="AC44" s="27">
        <v>4.867</v>
      </c>
      <c r="AD44" s="39">
        <v>2.5103</v>
      </c>
      <c r="AE44" s="27">
        <v>1.9328999999999998</v>
      </c>
      <c r="AF44" s="27">
        <v>1.8048999999999999</v>
      </c>
      <c r="AG44" s="27">
        <v>2.9</v>
      </c>
      <c r="AH44" s="27">
        <v>1.7</v>
      </c>
      <c r="AI44" s="27"/>
    </row>
    <row r="45" spans="1:35" ht="15.5" x14ac:dyDescent="0.35">
      <c r="A45" s="17" t="s">
        <v>113</v>
      </c>
      <c r="B45" s="18" t="s">
        <v>66</v>
      </c>
      <c r="C45" s="18">
        <v>202505</v>
      </c>
      <c r="D45" s="19">
        <v>4905.3</v>
      </c>
      <c r="E45" s="19">
        <v>1468.8</v>
      </c>
      <c r="F45" s="18">
        <v>6</v>
      </c>
      <c r="G45" s="20">
        <v>6.4870000000000001</v>
      </c>
      <c r="H45" s="18">
        <v>8</v>
      </c>
      <c r="I45" s="18">
        <v>349</v>
      </c>
      <c r="J45" s="18">
        <v>55</v>
      </c>
      <c r="K45" s="18">
        <v>15</v>
      </c>
      <c r="L45" s="18">
        <v>8</v>
      </c>
      <c r="M45" s="18">
        <v>53.6</v>
      </c>
      <c r="N45" s="27">
        <v>60.9</v>
      </c>
      <c r="O45" s="27">
        <v>55.8979</v>
      </c>
      <c r="P45" s="27">
        <v>43.7</v>
      </c>
      <c r="Q45" s="27"/>
      <c r="R45" s="27">
        <v>61.9</v>
      </c>
      <c r="S45" s="27">
        <v>35.9</v>
      </c>
      <c r="T45" s="27">
        <v>77.599999999999994</v>
      </c>
      <c r="U45" s="27"/>
      <c r="V45" s="46">
        <v>81.7</v>
      </c>
      <c r="W45" s="39">
        <v>49.8</v>
      </c>
      <c r="X45" s="39">
        <v>2.7</v>
      </c>
      <c r="Y45" s="29">
        <v>-0.36759999999999593</v>
      </c>
      <c r="Z45" s="27">
        <v>-12.1</v>
      </c>
      <c r="AA45" s="30">
        <v>1.2</v>
      </c>
      <c r="AB45" s="29">
        <v>2.4136000000000024</v>
      </c>
      <c r="AC45" s="27">
        <v>13.061</v>
      </c>
      <c r="AD45" s="39">
        <v>5.9249000000000001</v>
      </c>
      <c r="AE45" s="27">
        <v>3.4762</v>
      </c>
      <c r="AF45" s="27">
        <v>1.6809000000000001</v>
      </c>
      <c r="AG45" s="27">
        <v>2.6</v>
      </c>
      <c r="AH45" s="27">
        <v>2.5</v>
      </c>
      <c r="AI45" s="27">
        <v>2.1</v>
      </c>
    </row>
    <row r="46" spans="1:35" ht="15.5" x14ac:dyDescent="0.35">
      <c r="A46" s="17" t="s">
        <v>114</v>
      </c>
      <c r="B46" s="18" t="s">
        <v>63</v>
      </c>
      <c r="C46" s="18">
        <v>202504</v>
      </c>
      <c r="D46" s="19">
        <v>4430.6000000000004</v>
      </c>
      <c r="E46" s="19">
        <v>1931.7</v>
      </c>
      <c r="F46" s="18">
        <v>6</v>
      </c>
      <c r="G46" s="20">
        <v>6.4889999999999999</v>
      </c>
      <c r="H46" s="18">
        <v>9</v>
      </c>
      <c r="I46" s="18">
        <v>348</v>
      </c>
      <c r="J46" s="18">
        <v>56</v>
      </c>
      <c r="K46" s="18">
        <v>14</v>
      </c>
      <c r="L46" s="18">
        <v>9</v>
      </c>
      <c r="M46" s="18">
        <v>51</v>
      </c>
      <c r="N46" s="27">
        <v>57.8</v>
      </c>
      <c r="O46" s="27">
        <v>53.171199999999999</v>
      </c>
      <c r="P46" s="27">
        <v>42</v>
      </c>
      <c r="Q46" s="27"/>
      <c r="R46" s="27">
        <v>54</v>
      </c>
      <c r="S46" s="27">
        <v>32.1</v>
      </c>
      <c r="T46" s="27">
        <v>67.400000000000006</v>
      </c>
      <c r="U46" s="27"/>
      <c r="V46" s="46">
        <v>59.6</v>
      </c>
      <c r="W46" s="39">
        <v>36.4</v>
      </c>
      <c r="X46" s="39">
        <v>3.1</v>
      </c>
      <c r="Y46" s="29">
        <v>2.9773999999999958</v>
      </c>
      <c r="Z46" s="27">
        <v>-4.9000000000000004</v>
      </c>
      <c r="AA46" s="30">
        <v>5.0999999999999996</v>
      </c>
      <c r="AB46" s="29">
        <v>-0.78519999999998902</v>
      </c>
      <c r="AC46" s="27">
        <v>52.544100000000007</v>
      </c>
      <c r="AD46" s="39">
        <v>14.879999999999999</v>
      </c>
      <c r="AE46" s="27">
        <v>5</v>
      </c>
      <c r="AF46" s="27">
        <v>2.2650999999999999</v>
      </c>
      <c r="AG46" s="27">
        <v>2.2999999999999998</v>
      </c>
      <c r="AH46" s="27">
        <v>2.4</v>
      </c>
      <c r="AI46" s="27">
        <v>2.7</v>
      </c>
    </row>
    <row r="47" spans="1:35" ht="15.5" x14ac:dyDescent="0.35">
      <c r="A47" s="17" t="s">
        <v>115</v>
      </c>
      <c r="B47" s="18" t="s">
        <v>60</v>
      </c>
      <c r="C47" s="18">
        <v>202503</v>
      </c>
      <c r="D47" s="19">
        <v>4024.4</v>
      </c>
      <c r="E47" s="19">
        <v>2816.4</v>
      </c>
      <c r="F47" s="18">
        <v>6</v>
      </c>
      <c r="G47" s="20">
        <v>6.4950000000000001</v>
      </c>
      <c r="H47" s="18">
        <v>11</v>
      </c>
      <c r="I47" s="18">
        <v>347</v>
      </c>
      <c r="J47" s="18">
        <v>56</v>
      </c>
      <c r="K47" s="18">
        <v>15</v>
      </c>
      <c r="L47" s="18">
        <v>8</v>
      </c>
      <c r="M47" s="18">
        <v>50.4</v>
      </c>
      <c r="N47" s="27">
        <v>57.5</v>
      </c>
      <c r="O47" s="27">
        <v>52.597700000000003</v>
      </c>
      <c r="P47" s="27">
        <v>41.6</v>
      </c>
      <c r="Q47" s="27"/>
      <c r="R47" s="27">
        <v>50</v>
      </c>
      <c r="S47" s="27">
        <v>30.6</v>
      </c>
      <c r="T47" s="27">
        <v>62</v>
      </c>
      <c r="U47" s="27"/>
      <c r="V47" s="46">
        <v>51.3</v>
      </c>
      <c r="W47" s="39">
        <v>35.5</v>
      </c>
      <c r="X47" s="39">
        <v>2.1</v>
      </c>
      <c r="Y47" s="29">
        <v>3.1086000000000027</v>
      </c>
      <c r="Z47" s="27">
        <v>-7.1</v>
      </c>
      <c r="AA47" s="30">
        <v>7.2</v>
      </c>
      <c r="AB47" s="29">
        <v>0.35820000000001073</v>
      </c>
      <c r="AC47" s="27">
        <v>86.924900000000008</v>
      </c>
      <c r="AD47" s="39">
        <v>56.093800000000002</v>
      </c>
      <c r="AE47" s="27">
        <v>10.022599999999999</v>
      </c>
      <c r="AF47" s="27">
        <v>3.3063000000000002</v>
      </c>
      <c r="AG47" s="27">
        <v>2.7</v>
      </c>
      <c r="AH47" s="27">
        <v>2.4</v>
      </c>
      <c r="AI47" s="27">
        <v>3.9</v>
      </c>
    </row>
    <row r="48" spans="1:35" ht="15.5" x14ac:dyDescent="0.35">
      <c r="A48" s="17" t="s">
        <v>116</v>
      </c>
      <c r="B48" s="18" t="s">
        <v>57</v>
      </c>
      <c r="C48" s="18">
        <v>202502</v>
      </c>
      <c r="D48" s="19">
        <v>2680.5</v>
      </c>
      <c r="E48" s="19">
        <v>2539.1</v>
      </c>
      <c r="F48" s="18">
        <v>6</v>
      </c>
      <c r="G48" s="20">
        <v>6.5140000000000002</v>
      </c>
      <c r="H48" s="18">
        <v>11</v>
      </c>
      <c r="I48" s="18">
        <v>345</v>
      </c>
      <c r="J48" s="18">
        <v>58</v>
      </c>
      <c r="K48" s="18">
        <v>17</v>
      </c>
      <c r="L48" s="18">
        <v>10</v>
      </c>
      <c r="M48" s="18">
        <v>52</v>
      </c>
      <c r="N48" s="27">
        <v>59.3</v>
      </c>
      <c r="O48" s="27">
        <v>54.030100000000004</v>
      </c>
      <c r="P48" s="27">
        <v>43.7</v>
      </c>
      <c r="Q48" s="27"/>
      <c r="R48" s="27">
        <v>51.4</v>
      </c>
      <c r="S48" s="27">
        <v>31.5</v>
      </c>
      <c r="T48" s="27">
        <v>62.6</v>
      </c>
      <c r="U48" s="27"/>
      <c r="V48" s="46">
        <v>46.3</v>
      </c>
      <c r="W48" s="39">
        <v>34.299999999999997</v>
      </c>
      <c r="X48" s="39">
        <v>2.5</v>
      </c>
      <c r="Y48" s="29">
        <v>5.9433000000000007</v>
      </c>
      <c r="Z48" s="27">
        <v>-5.4</v>
      </c>
      <c r="AA48" s="30">
        <v>10.7</v>
      </c>
      <c r="AB48" s="29">
        <v>2.2525999999999939</v>
      </c>
      <c r="AC48" s="27">
        <v>69.978999999999999</v>
      </c>
      <c r="AD48" s="39">
        <v>86.987300000000005</v>
      </c>
      <c r="AE48" s="27">
        <v>36.358899999999998</v>
      </c>
      <c r="AF48" s="27">
        <v>7.0160999999999998</v>
      </c>
      <c r="AG48" s="27">
        <v>4.3</v>
      </c>
      <c r="AH48" s="27">
        <v>4.5</v>
      </c>
      <c r="AI48" s="27">
        <v>4.2</v>
      </c>
    </row>
    <row r="49" spans="1:35" ht="15.5" x14ac:dyDescent="0.35">
      <c r="A49" s="17" t="s">
        <v>117</v>
      </c>
      <c r="B49" s="18" t="s">
        <v>54</v>
      </c>
      <c r="C49" s="18">
        <v>202501</v>
      </c>
      <c r="D49" s="19">
        <v>2480.3000000000002</v>
      </c>
      <c r="E49" s="19">
        <v>2350.9</v>
      </c>
      <c r="F49" s="18">
        <v>6</v>
      </c>
      <c r="G49" s="20">
        <v>6.5629999999999997</v>
      </c>
      <c r="H49" s="18">
        <v>12</v>
      </c>
      <c r="I49" s="18">
        <v>344</v>
      </c>
      <c r="J49" s="18">
        <v>57</v>
      </c>
      <c r="K49" s="18">
        <v>19</v>
      </c>
      <c r="L49" s="18">
        <v>11</v>
      </c>
      <c r="M49" s="18">
        <v>52.4</v>
      </c>
      <c r="N49" s="27">
        <v>58.9</v>
      </c>
      <c r="O49" s="27">
        <v>54.211600000000004</v>
      </c>
      <c r="P49" s="27">
        <v>45</v>
      </c>
      <c r="Q49" s="27"/>
      <c r="R49" s="27">
        <v>52.6</v>
      </c>
      <c r="S49" s="27">
        <v>35.6</v>
      </c>
      <c r="T49" s="27">
        <v>62.7</v>
      </c>
      <c r="U49" s="27"/>
      <c r="V49" s="46">
        <v>44.5</v>
      </c>
      <c r="W49" s="39">
        <v>32.799999999999997</v>
      </c>
      <c r="X49" s="39">
        <v>2.9</v>
      </c>
      <c r="Y49" s="29">
        <v>8.0003000000000029</v>
      </c>
      <c r="Z49" s="27">
        <v>-0.5</v>
      </c>
      <c r="AA49" s="30">
        <v>11.7</v>
      </c>
      <c r="AB49" s="29">
        <v>7.2282000000000011</v>
      </c>
      <c r="AC49" s="27">
        <v>62.110900000000001</v>
      </c>
      <c r="AD49" s="39">
        <v>72.202200000000005</v>
      </c>
      <c r="AE49" s="27">
        <v>76.62830000000001</v>
      </c>
      <c r="AF49" s="27">
        <v>27.180399999999999</v>
      </c>
      <c r="AG49" s="27">
        <v>5.8</v>
      </c>
      <c r="AH49" s="27">
        <v>3.8</v>
      </c>
      <c r="AI49" s="27">
        <v>4.4000000000000004</v>
      </c>
    </row>
    <row r="50" spans="1:35" ht="15.5" x14ac:dyDescent="0.35">
      <c r="A50" s="17" t="s">
        <v>118</v>
      </c>
      <c r="B50" s="18" t="s">
        <v>51</v>
      </c>
      <c r="C50" s="18">
        <v>202412</v>
      </c>
      <c r="D50" s="19">
        <v>1973.9</v>
      </c>
      <c r="E50" s="19">
        <v>1685.4</v>
      </c>
      <c r="F50" s="18">
        <v>6</v>
      </c>
      <c r="G50" s="20">
        <v>6.5279999999999996</v>
      </c>
      <c r="H50" s="18">
        <v>13</v>
      </c>
      <c r="I50" s="18">
        <v>343</v>
      </c>
      <c r="J50" s="18">
        <v>43</v>
      </c>
      <c r="K50" s="18">
        <v>21</v>
      </c>
      <c r="L50" s="18">
        <v>14</v>
      </c>
      <c r="M50" s="18">
        <v>46.3</v>
      </c>
      <c r="N50" s="27">
        <v>51.7</v>
      </c>
      <c r="O50" s="27">
        <v>47.843299999999999</v>
      </c>
      <c r="P50" s="27">
        <v>39.700000000000003</v>
      </c>
      <c r="Q50" s="27"/>
      <c r="R50" s="27">
        <v>47.7</v>
      </c>
      <c r="S50" s="27">
        <v>35.1</v>
      </c>
      <c r="T50" s="27">
        <v>61.5</v>
      </c>
      <c r="U50" s="27"/>
      <c r="V50" s="46">
        <v>43.1</v>
      </c>
      <c r="W50" s="39">
        <v>33.200000000000003</v>
      </c>
      <c r="X50" s="39">
        <v>5.6</v>
      </c>
      <c r="Y50" s="29">
        <v>4.6338000000000008</v>
      </c>
      <c r="Z50" s="27">
        <v>0</v>
      </c>
      <c r="AA50" s="30">
        <v>8.3000000000000007</v>
      </c>
      <c r="AB50" s="29">
        <v>3.5989000000000004</v>
      </c>
      <c r="AC50" s="27">
        <v>61.723799999999997</v>
      </c>
      <c r="AD50" s="39">
        <v>67.654700000000005</v>
      </c>
      <c r="AE50" s="27">
        <v>49.156399999999998</v>
      </c>
      <c r="AF50" s="27">
        <v>53.167699999999996</v>
      </c>
      <c r="AG50" s="27">
        <v>15.6</v>
      </c>
      <c r="AH50" s="27">
        <v>5.6</v>
      </c>
      <c r="AI50" s="27">
        <v>4.5</v>
      </c>
    </row>
    <row r="51" spans="1:35" ht="15.5" x14ac:dyDescent="0.35">
      <c r="A51" s="17" t="s">
        <v>119</v>
      </c>
      <c r="B51" s="18" t="s">
        <v>48</v>
      </c>
      <c r="C51" s="18">
        <v>202411</v>
      </c>
      <c r="D51" s="19">
        <v>1315.1</v>
      </c>
      <c r="E51" s="19">
        <v>1036.0999999999999</v>
      </c>
      <c r="F51" s="18">
        <v>6</v>
      </c>
      <c r="G51" s="20">
        <v>6.5629999999999997</v>
      </c>
      <c r="H51" s="18">
        <v>15</v>
      </c>
      <c r="I51" s="18">
        <v>341</v>
      </c>
      <c r="J51" s="18">
        <v>39</v>
      </c>
      <c r="K51" s="18">
        <v>26</v>
      </c>
      <c r="L51" s="18">
        <v>21</v>
      </c>
      <c r="M51" s="18">
        <v>45.1</v>
      </c>
      <c r="N51" s="27">
        <v>48.4</v>
      </c>
      <c r="O51" s="27">
        <v>45.001300000000001</v>
      </c>
      <c r="P51" s="27">
        <v>39.4</v>
      </c>
      <c r="Q51" s="27"/>
      <c r="R51" s="27">
        <v>46.3</v>
      </c>
      <c r="S51" s="27">
        <v>37.1</v>
      </c>
      <c r="T51" s="27">
        <v>58.8</v>
      </c>
      <c r="U51" s="27"/>
      <c r="V51" s="46">
        <v>43.6</v>
      </c>
      <c r="W51" s="39">
        <v>32.200000000000003</v>
      </c>
      <c r="X51" s="39">
        <v>12.5</v>
      </c>
      <c r="Y51" s="29">
        <v>2.7828000000000017</v>
      </c>
      <c r="Z51" s="27">
        <v>2.8</v>
      </c>
      <c r="AA51" s="30">
        <v>2.6</v>
      </c>
      <c r="AB51" s="29">
        <v>5.1277000000000044</v>
      </c>
      <c r="AC51" s="27">
        <v>52.713699999999996</v>
      </c>
      <c r="AD51" s="39">
        <v>57.855699999999999</v>
      </c>
      <c r="AE51" s="27">
        <v>38.909799999999997</v>
      </c>
      <c r="AF51" s="27">
        <v>34.8416</v>
      </c>
      <c r="AG51" s="27">
        <v>46</v>
      </c>
      <c r="AH51" s="27">
        <v>19.2</v>
      </c>
      <c r="AI51" s="27">
        <v>10.7</v>
      </c>
    </row>
    <row r="52" spans="1:35" ht="15.5" x14ac:dyDescent="0.35">
      <c r="A52" s="17" t="s">
        <v>120</v>
      </c>
      <c r="B52" s="18" t="s">
        <v>45</v>
      </c>
      <c r="C52" s="18">
        <v>202410</v>
      </c>
      <c r="D52" s="19">
        <v>1763.2</v>
      </c>
      <c r="E52" s="19">
        <v>1244.4000000000001</v>
      </c>
      <c r="F52" s="18">
        <v>6</v>
      </c>
      <c r="G52" s="20">
        <v>6.5679999999999996</v>
      </c>
      <c r="H52" s="18">
        <v>16</v>
      </c>
      <c r="I52" s="18">
        <v>341</v>
      </c>
      <c r="J52" s="18">
        <v>44</v>
      </c>
      <c r="K52" s="18">
        <v>25</v>
      </c>
      <c r="L52" s="18">
        <v>16</v>
      </c>
      <c r="M52" s="18">
        <v>45.5</v>
      </c>
      <c r="N52" s="27">
        <v>48.7</v>
      </c>
      <c r="O52" s="27">
        <v>45.434200000000004</v>
      </c>
      <c r="P52" s="27">
        <v>40.9</v>
      </c>
      <c r="Q52" s="27"/>
      <c r="R52" s="27">
        <v>47.1</v>
      </c>
      <c r="S52" s="27">
        <v>35.9</v>
      </c>
      <c r="T52" s="27">
        <v>59.1</v>
      </c>
      <c r="U52" s="27"/>
      <c r="V52" s="46">
        <v>37.9</v>
      </c>
      <c r="W52" s="39">
        <v>31.9</v>
      </c>
      <c r="X52" s="39">
        <v>7.2</v>
      </c>
      <c r="Y52" s="29">
        <v>10.843200000000003</v>
      </c>
      <c r="Z52" s="27">
        <v>3</v>
      </c>
      <c r="AA52" s="30">
        <v>17.7</v>
      </c>
      <c r="AB52" s="29">
        <v>4.3226000000000013</v>
      </c>
      <c r="AC52" s="27">
        <v>59.556600000000003</v>
      </c>
      <c r="AD52" s="39">
        <v>68.187899999999999</v>
      </c>
      <c r="AE52" s="27">
        <v>44.847799999999999</v>
      </c>
      <c r="AF52" s="27">
        <v>25.6722</v>
      </c>
      <c r="AG52" s="27">
        <v>28.4</v>
      </c>
      <c r="AH52" s="27">
        <v>45.5</v>
      </c>
      <c r="AI52" s="27">
        <v>22.7</v>
      </c>
    </row>
    <row r="53" spans="1:35" ht="15.5" x14ac:dyDescent="0.35">
      <c r="A53" s="17" t="s">
        <v>121</v>
      </c>
      <c r="B53" s="18" t="s">
        <v>42</v>
      </c>
      <c r="C53" s="18">
        <v>202409</v>
      </c>
      <c r="D53" s="19">
        <v>3433.1</v>
      </c>
      <c r="E53" s="19">
        <v>2824.6</v>
      </c>
      <c r="F53" s="18">
        <v>6</v>
      </c>
      <c r="G53" s="20">
        <v>6.5679999999999996</v>
      </c>
      <c r="H53" s="18">
        <v>16</v>
      </c>
      <c r="I53" s="18">
        <v>340</v>
      </c>
      <c r="J53" s="18">
        <v>49</v>
      </c>
      <c r="K53" s="18">
        <v>20</v>
      </c>
      <c r="L53" s="18">
        <v>11</v>
      </c>
      <c r="M53" s="18">
        <v>43.1</v>
      </c>
      <c r="N53" s="27">
        <v>46.3</v>
      </c>
      <c r="O53" s="27">
        <v>43.1494</v>
      </c>
      <c r="P53" s="27">
        <v>38</v>
      </c>
      <c r="Q53" s="27"/>
      <c r="R53" s="27">
        <v>45.5</v>
      </c>
      <c r="S53" s="27">
        <v>33.200000000000003</v>
      </c>
      <c r="T53" s="27">
        <v>56.4</v>
      </c>
      <c r="U53" s="27"/>
      <c r="V53" s="46">
        <v>39.299999999999997</v>
      </c>
      <c r="W53" s="39">
        <v>30.6</v>
      </c>
      <c r="X53" s="39">
        <v>3.4</v>
      </c>
      <c r="Y53" s="29">
        <v>7.8860000000000028</v>
      </c>
      <c r="Z53" s="27">
        <v>1.7</v>
      </c>
      <c r="AA53" s="30">
        <v>12.1</v>
      </c>
      <c r="AB53" s="29">
        <v>4.3721999999999994</v>
      </c>
      <c r="AC53" s="27">
        <v>56.583399999999997</v>
      </c>
      <c r="AD53" s="39">
        <v>66.741700000000009</v>
      </c>
      <c r="AE53" s="27">
        <v>40.159599999999998</v>
      </c>
      <c r="AF53" s="27">
        <v>33.260100000000001</v>
      </c>
      <c r="AG53" s="27">
        <v>22.8</v>
      </c>
      <c r="AH53" s="27">
        <v>20.3</v>
      </c>
      <c r="AI53" s="27">
        <v>51.9</v>
      </c>
    </row>
    <row r="54" spans="1:35" ht="15.5" x14ac:dyDescent="0.35">
      <c r="A54" s="17" t="s">
        <v>122</v>
      </c>
      <c r="B54" s="18" t="s">
        <v>39</v>
      </c>
      <c r="C54" s="18">
        <v>202408</v>
      </c>
      <c r="D54" s="19">
        <v>4593.5</v>
      </c>
      <c r="E54" s="19">
        <v>3965</v>
      </c>
      <c r="F54" s="18">
        <v>6</v>
      </c>
      <c r="G54" s="20">
        <v>6.5670000000000002</v>
      </c>
      <c r="H54" s="18">
        <v>17</v>
      </c>
      <c r="I54" s="18">
        <v>339</v>
      </c>
      <c r="J54" s="18">
        <v>50</v>
      </c>
      <c r="K54" s="18">
        <v>17</v>
      </c>
      <c r="L54" s="18">
        <v>9</v>
      </c>
      <c r="M54" s="18">
        <v>40.4</v>
      </c>
      <c r="N54" s="27">
        <v>43.8</v>
      </c>
      <c r="O54" s="27">
        <v>40.680599999999998</v>
      </c>
      <c r="P54" s="27">
        <v>35.200000000000003</v>
      </c>
      <c r="Q54" s="27"/>
      <c r="R54" s="27">
        <v>42.3</v>
      </c>
      <c r="S54" s="27">
        <v>30</v>
      </c>
      <c r="T54" s="27">
        <v>52.7</v>
      </c>
      <c r="U54" s="27"/>
      <c r="V54" s="46">
        <v>39.200000000000003</v>
      </c>
      <c r="W54" s="39">
        <v>30.8</v>
      </c>
      <c r="X54" s="39">
        <v>1.8</v>
      </c>
      <c r="Y54" s="29">
        <v>6.3492999999999995</v>
      </c>
      <c r="Z54" s="27">
        <v>-0.5</v>
      </c>
      <c r="AA54" s="30">
        <v>10.9</v>
      </c>
      <c r="AB54" s="29">
        <v>7.5977000000000032</v>
      </c>
      <c r="AC54" s="27">
        <v>50.709199999999996</v>
      </c>
      <c r="AD54" s="39">
        <v>62.091499999999996</v>
      </c>
      <c r="AE54" s="27">
        <v>41.495199999999997</v>
      </c>
      <c r="AF54" s="27">
        <v>30.3657</v>
      </c>
      <c r="AG54" s="27">
        <v>23.5</v>
      </c>
      <c r="AH54" s="27">
        <v>17.3</v>
      </c>
      <c r="AI54" s="27">
        <v>31.6</v>
      </c>
    </row>
    <row r="55" spans="1:35" ht="15.5" x14ac:dyDescent="0.35">
      <c r="A55" s="17" t="s">
        <v>123</v>
      </c>
      <c r="B55" s="18" t="s">
        <v>36</v>
      </c>
      <c r="C55" s="18">
        <v>202407</v>
      </c>
      <c r="D55" s="19">
        <v>5492.8</v>
      </c>
      <c r="E55" s="19">
        <v>3683.1</v>
      </c>
      <c r="F55" s="18">
        <v>6</v>
      </c>
      <c r="G55" s="20">
        <v>6.548</v>
      </c>
      <c r="H55" s="18">
        <v>18</v>
      </c>
      <c r="I55" s="18">
        <v>338</v>
      </c>
      <c r="J55" s="18">
        <v>48</v>
      </c>
      <c r="K55" s="18">
        <v>16</v>
      </c>
      <c r="L55" s="18">
        <v>8</v>
      </c>
      <c r="M55" s="18">
        <v>38.4</v>
      </c>
      <c r="N55" s="27">
        <v>42.2</v>
      </c>
      <c r="O55" s="27">
        <v>38.677599999999998</v>
      </c>
      <c r="P55" s="27">
        <v>32.9</v>
      </c>
      <c r="Q55" s="27"/>
      <c r="R55" s="27">
        <v>38.1</v>
      </c>
      <c r="S55" s="27">
        <v>28.1</v>
      </c>
      <c r="T55" s="27">
        <v>47.9</v>
      </c>
      <c r="U55" s="27"/>
      <c r="V55" s="46">
        <v>36.200000000000003</v>
      </c>
      <c r="W55" s="39">
        <v>25.7</v>
      </c>
      <c r="X55" s="39">
        <v>2.1</v>
      </c>
      <c r="Y55" s="29">
        <v>4.5694999999999979</v>
      </c>
      <c r="Z55" s="27">
        <v>2.2999999999999998</v>
      </c>
      <c r="AA55" s="30">
        <v>6.2</v>
      </c>
      <c r="AB55" s="29">
        <v>5.1406999999999954</v>
      </c>
      <c r="AC55" s="27">
        <v>49.378100000000003</v>
      </c>
      <c r="AD55" s="39">
        <v>58.648299999999999</v>
      </c>
      <c r="AE55" s="27">
        <v>40.470399999999998</v>
      </c>
      <c r="AF55" s="27">
        <v>24.6051</v>
      </c>
      <c r="AG55" s="27">
        <v>19.7</v>
      </c>
      <c r="AH55" s="27">
        <v>14.4</v>
      </c>
      <c r="AI55" s="27">
        <v>31.4</v>
      </c>
    </row>
    <row r="56" spans="1:35" ht="15.5" x14ac:dyDescent="0.35">
      <c r="A56" s="17" t="s">
        <v>124</v>
      </c>
      <c r="B56" s="18" t="s">
        <v>33</v>
      </c>
      <c r="C56" s="18">
        <v>202406</v>
      </c>
      <c r="D56" s="19">
        <v>5624.9</v>
      </c>
      <c r="E56" s="19">
        <v>4377.8999999999996</v>
      </c>
      <c r="F56" s="18">
        <v>6</v>
      </c>
      <c r="G56" s="20">
        <v>6.5529999999999999</v>
      </c>
      <c r="H56" s="18">
        <v>19</v>
      </c>
      <c r="I56" s="18">
        <v>337</v>
      </c>
      <c r="J56" s="18">
        <v>41</v>
      </c>
      <c r="K56" s="18">
        <v>16</v>
      </c>
      <c r="L56" s="18">
        <v>8</v>
      </c>
      <c r="M56" s="18">
        <v>36.200000000000003</v>
      </c>
      <c r="N56" s="27">
        <v>40.299999999999997</v>
      </c>
      <c r="O56" s="27">
        <v>36.7209</v>
      </c>
      <c r="P56" s="27">
        <v>31</v>
      </c>
      <c r="Q56" s="27"/>
      <c r="R56" s="27">
        <v>36.299999999999997</v>
      </c>
      <c r="S56" s="27">
        <v>26.9</v>
      </c>
      <c r="T56" s="27">
        <v>48.2</v>
      </c>
      <c r="U56" s="27"/>
      <c r="V56" s="46">
        <v>32.6</v>
      </c>
      <c r="W56" s="39">
        <v>23.6</v>
      </c>
      <c r="X56" s="39">
        <v>2.2000000000000002</v>
      </c>
      <c r="Y56" s="29">
        <v>4.4515999999999991</v>
      </c>
      <c r="Z56" s="27">
        <v>2.2000000000000002</v>
      </c>
      <c r="AA56" s="30">
        <v>6.5</v>
      </c>
      <c r="AB56" s="29">
        <v>2.765500000000003</v>
      </c>
      <c r="AC56" s="27">
        <v>46.668199999999999</v>
      </c>
      <c r="AD56" s="39">
        <v>57.461300000000001</v>
      </c>
      <c r="AE56" s="27">
        <v>43.814300000000003</v>
      </c>
      <c r="AF56" s="27">
        <v>27.059899999999999</v>
      </c>
      <c r="AG56" s="27">
        <v>19.399999999999999</v>
      </c>
      <c r="AH56" s="27">
        <v>16.3</v>
      </c>
      <c r="AI56" s="27">
        <v>27.7</v>
      </c>
    </row>
    <row r="57" spans="1:35" ht="15.5" x14ac:dyDescent="0.35">
      <c r="A57" s="17" t="s">
        <v>125</v>
      </c>
      <c r="B57" s="18" t="s">
        <v>30</v>
      </c>
      <c r="C57" s="18">
        <v>202405</v>
      </c>
      <c r="D57" s="19">
        <v>6512.3</v>
      </c>
      <c r="E57" s="19">
        <v>4338.7</v>
      </c>
      <c r="F57" s="18">
        <v>6</v>
      </c>
      <c r="G57" s="20">
        <v>6.5229999999999997</v>
      </c>
      <c r="H57" s="18">
        <v>20</v>
      </c>
      <c r="I57" s="18">
        <v>336</v>
      </c>
      <c r="J57" s="18">
        <v>34</v>
      </c>
      <c r="K57" s="18">
        <v>18</v>
      </c>
      <c r="L57" s="18">
        <v>9</v>
      </c>
      <c r="M57" s="18">
        <v>33</v>
      </c>
      <c r="N57" s="27">
        <v>37.6</v>
      </c>
      <c r="O57" s="27">
        <v>33.480499999999999</v>
      </c>
      <c r="P57" s="27">
        <v>27.5</v>
      </c>
      <c r="Q57" s="27"/>
      <c r="R57" s="27">
        <v>33.299999999999997</v>
      </c>
      <c r="S57" s="27">
        <v>26.1</v>
      </c>
      <c r="T57" s="27">
        <v>45.8</v>
      </c>
      <c r="U57" s="27"/>
      <c r="V57" s="46">
        <v>29.4</v>
      </c>
      <c r="W57" s="39">
        <v>24</v>
      </c>
      <c r="X57" s="39">
        <v>4.0999999999999996</v>
      </c>
      <c r="Y57" s="29">
        <v>3.8966999999999992</v>
      </c>
      <c r="Z57" s="27">
        <v>0.3</v>
      </c>
      <c r="AA57" s="30">
        <v>8.9</v>
      </c>
      <c r="AB57" s="29">
        <v>-0.14789999999999992</v>
      </c>
      <c r="AC57" s="27">
        <v>40.098099999999995</v>
      </c>
      <c r="AD57" s="39">
        <v>46.978999999999999</v>
      </c>
      <c r="AE57" s="27">
        <v>30.446099999999998</v>
      </c>
      <c r="AF57" s="27">
        <v>21.9361</v>
      </c>
      <c r="AG57" s="27">
        <v>17.3</v>
      </c>
      <c r="AH57" s="27">
        <v>13.8</v>
      </c>
      <c r="AI57" s="27">
        <v>21.9</v>
      </c>
    </row>
    <row r="58" spans="1:35" ht="15.5" x14ac:dyDescent="0.35">
      <c r="A58" s="17" t="s">
        <v>126</v>
      </c>
      <c r="B58" s="18" t="s">
        <v>27</v>
      </c>
      <c r="C58" s="18">
        <v>202404</v>
      </c>
      <c r="D58" s="19">
        <v>2881.9</v>
      </c>
      <c r="E58" s="19">
        <v>2519.6</v>
      </c>
      <c r="F58" s="18">
        <v>6</v>
      </c>
      <c r="G58" s="20">
        <v>6.5579999999999998</v>
      </c>
      <c r="H58" s="18">
        <v>21</v>
      </c>
      <c r="I58" s="18">
        <v>335</v>
      </c>
      <c r="J58" s="18">
        <v>45</v>
      </c>
      <c r="K58" s="18">
        <v>19</v>
      </c>
      <c r="L58" s="18">
        <v>12</v>
      </c>
      <c r="M58" s="18">
        <v>38.9</v>
      </c>
      <c r="N58" s="27">
        <v>43.3</v>
      </c>
      <c r="O58" s="27">
        <v>39.351399999999998</v>
      </c>
      <c r="P58" s="27">
        <v>33.200000000000003</v>
      </c>
      <c r="Q58" s="27"/>
      <c r="R58" s="27">
        <v>37.4</v>
      </c>
      <c r="S58" s="27">
        <v>28.7</v>
      </c>
      <c r="T58" s="27">
        <v>47.1</v>
      </c>
      <c r="U58" s="27"/>
      <c r="V58" s="46">
        <v>38.1</v>
      </c>
      <c r="W58" s="39">
        <v>29.9</v>
      </c>
      <c r="X58" s="39">
        <v>3.1</v>
      </c>
      <c r="Y58" s="29">
        <v>-0.13790000000000191</v>
      </c>
      <c r="Z58" s="27">
        <v>-2.9</v>
      </c>
      <c r="AA58" s="30">
        <v>2.4</v>
      </c>
      <c r="AB58" s="29">
        <v>-1.2576000000000036</v>
      </c>
      <c r="AC58" s="27">
        <v>46.631499999999996</v>
      </c>
      <c r="AD58" s="39">
        <v>59.5398</v>
      </c>
      <c r="AE58" s="27">
        <v>37.823299999999996</v>
      </c>
      <c r="AF58" s="27">
        <v>23.0793</v>
      </c>
      <c r="AG58" s="27">
        <v>18.100000000000001</v>
      </c>
      <c r="AH58" s="27">
        <v>15.4</v>
      </c>
      <c r="AI58" s="27">
        <v>28.3</v>
      </c>
    </row>
    <row r="59" spans="1:35" ht="15.5" x14ac:dyDescent="0.35">
      <c r="A59" s="17" t="s">
        <v>127</v>
      </c>
      <c r="B59" s="18" t="s">
        <v>24</v>
      </c>
      <c r="C59" s="18">
        <v>202403</v>
      </c>
      <c r="D59" s="19">
        <v>2000.9</v>
      </c>
      <c r="E59" s="19">
        <v>1610.5</v>
      </c>
      <c r="F59" s="18">
        <v>6</v>
      </c>
      <c r="G59" s="20">
        <v>6.5170000000000003</v>
      </c>
      <c r="H59" s="18">
        <v>23</v>
      </c>
      <c r="I59" s="18">
        <v>334</v>
      </c>
      <c r="J59" s="18">
        <v>45</v>
      </c>
      <c r="K59" s="18">
        <v>21</v>
      </c>
      <c r="L59" s="18">
        <v>14</v>
      </c>
      <c r="M59" s="18">
        <v>38.9</v>
      </c>
      <c r="N59" s="27">
        <v>43.6</v>
      </c>
      <c r="O59" s="27">
        <v>39.358399999999996</v>
      </c>
      <c r="P59" s="27">
        <v>33.1</v>
      </c>
      <c r="Q59" s="27"/>
      <c r="R59" s="27">
        <v>38.4</v>
      </c>
      <c r="S59" s="27">
        <v>29</v>
      </c>
      <c r="T59" s="27">
        <v>48.7</v>
      </c>
      <c r="U59" s="27"/>
      <c r="V59" s="46">
        <v>30.9</v>
      </c>
      <c r="W59" s="39">
        <v>26</v>
      </c>
      <c r="X59" s="39">
        <v>3.9</v>
      </c>
      <c r="Y59" s="29">
        <v>6.389999999999997</v>
      </c>
      <c r="Z59" s="27">
        <v>0.7</v>
      </c>
      <c r="AA59" s="30">
        <v>11.7</v>
      </c>
      <c r="AB59" s="29">
        <v>-2.4431999999999974</v>
      </c>
      <c r="AC59" s="27">
        <v>46.582000000000001</v>
      </c>
      <c r="AD59" s="39">
        <v>47.776600000000002</v>
      </c>
      <c r="AE59" s="27">
        <v>30.9908</v>
      </c>
      <c r="AF59" s="27">
        <v>26.003300000000003</v>
      </c>
      <c r="AG59" s="27">
        <v>20.9</v>
      </c>
      <c r="AH59" s="27">
        <v>17.8</v>
      </c>
      <c r="AI59" s="27">
        <v>27.4</v>
      </c>
    </row>
    <row r="60" spans="1:35" ht="15.5" x14ac:dyDescent="0.35">
      <c r="A60" s="17" t="s">
        <v>128</v>
      </c>
      <c r="B60" s="18" t="s">
        <v>21</v>
      </c>
      <c r="C60" s="18">
        <v>202402</v>
      </c>
      <c r="D60" s="19">
        <v>2461.8000000000002</v>
      </c>
      <c r="E60" s="19">
        <v>1754.5</v>
      </c>
      <c r="F60" s="18">
        <v>6</v>
      </c>
      <c r="G60" s="20">
        <v>6.5460000000000003</v>
      </c>
      <c r="H60" s="18">
        <v>24</v>
      </c>
      <c r="I60" s="18">
        <v>332</v>
      </c>
      <c r="J60" s="18">
        <v>45</v>
      </c>
      <c r="K60" s="18">
        <v>21</v>
      </c>
      <c r="L60" s="18">
        <v>12</v>
      </c>
      <c r="M60" s="18">
        <v>37.6</v>
      </c>
      <c r="N60" s="27">
        <v>41</v>
      </c>
      <c r="O60" s="27">
        <v>37.622299999999996</v>
      </c>
      <c r="P60" s="27">
        <v>32.4</v>
      </c>
      <c r="Q60" s="27"/>
      <c r="R60" s="27">
        <v>39.299999999999997</v>
      </c>
      <c r="S60" s="27">
        <v>30.5</v>
      </c>
      <c r="T60" s="27">
        <v>49</v>
      </c>
      <c r="U60" s="27"/>
      <c r="V60" s="46">
        <v>31.2</v>
      </c>
      <c r="W60" s="39">
        <v>23.7</v>
      </c>
      <c r="X60" s="39">
        <v>3.7</v>
      </c>
      <c r="Y60" s="29">
        <v>7.295499999999997</v>
      </c>
      <c r="Z60" s="27">
        <v>4.3</v>
      </c>
      <c r="AA60" s="30">
        <v>10</v>
      </c>
      <c r="AB60" s="29">
        <v>4.5189999999999984</v>
      </c>
      <c r="AC60" s="27">
        <v>40.003699999999995</v>
      </c>
      <c r="AD60" s="39">
        <v>44.5244</v>
      </c>
      <c r="AE60" s="27">
        <v>27.5961</v>
      </c>
      <c r="AF60" s="27">
        <v>19.517499999999998</v>
      </c>
      <c r="AG60" s="27">
        <v>17.3</v>
      </c>
      <c r="AH60" s="27">
        <v>14.2</v>
      </c>
      <c r="AI60" s="27">
        <v>22.8</v>
      </c>
    </row>
    <row r="61" spans="1:35" ht="15.5" x14ac:dyDescent="0.35">
      <c r="A61" s="17" t="s">
        <v>129</v>
      </c>
      <c r="B61" s="18" t="s">
        <v>18</v>
      </c>
      <c r="C61" s="18">
        <v>202401</v>
      </c>
      <c r="D61" s="19">
        <v>2485</v>
      </c>
      <c r="E61" s="19">
        <v>1346.8</v>
      </c>
      <c r="F61" s="18">
        <v>6</v>
      </c>
      <c r="G61" s="20">
        <v>6.5940000000000003</v>
      </c>
      <c r="H61" s="18">
        <v>24</v>
      </c>
      <c r="I61" s="18">
        <v>332</v>
      </c>
      <c r="J61" s="18">
        <v>32</v>
      </c>
      <c r="K61" s="18">
        <v>18</v>
      </c>
      <c r="L61" s="18">
        <v>11</v>
      </c>
      <c r="M61" s="18">
        <v>32.299999999999997</v>
      </c>
      <c r="N61" s="27">
        <v>34.6</v>
      </c>
      <c r="O61" s="27">
        <v>31.974399999999996</v>
      </c>
      <c r="P61" s="27">
        <v>28.5</v>
      </c>
      <c r="Q61" s="27"/>
      <c r="R61" s="27">
        <v>34.5</v>
      </c>
      <c r="S61" s="27">
        <v>27.4</v>
      </c>
      <c r="T61" s="27">
        <v>47.8</v>
      </c>
      <c r="U61" s="27"/>
      <c r="V61" s="46">
        <v>37</v>
      </c>
      <c r="W61" s="39">
        <v>31.2</v>
      </c>
      <c r="X61" s="39">
        <v>3.4</v>
      </c>
      <c r="Y61" s="29">
        <v>-1.9112000000000009</v>
      </c>
      <c r="Z61" s="27">
        <v>-4.9000000000000004</v>
      </c>
      <c r="AA61" s="30">
        <v>2.9</v>
      </c>
      <c r="AB61" s="29">
        <v>-4.3958000000000013</v>
      </c>
      <c r="AC61" s="27">
        <v>43.033799999999999</v>
      </c>
      <c r="AD61" s="39">
        <v>45.534999999999997</v>
      </c>
      <c r="AE61" s="27">
        <v>29.712899999999998</v>
      </c>
      <c r="AF61" s="27">
        <v>20.376300000000001</v>
      </c>
      <c r="AG61" s="27">
        <v>16.100000000000001</v>
      </c>
      <c r="AH61" s="27">
        <v>13</v>
      </c>
      <c r="AI61" s="27">
        <v>21.1</v>
      </c>
    </row>
    <row r="62" spans="1:35" ht="15.5" x14ac:dyDescent="0.35">
      <c r="A62" s="17" t="s">
        <v>130</v>
      </c>
      <c r="B62" s="18" t="s">
        <v>16</v>
      </c>
      <c r="C62" s="18">
        <v>202312</v>
      </c>
      <c r="D62" s="19">
        <v>2144.5</v>
      </c>
      <c r="E62" s="19">
        <v>1821.8</v>
      </c>
      <c r="F62" s="18">
        <v>6</v>
      </c>
      <c r="G62" s="20">
        <v>6.5860000000000003</v>
      </c>
      <c r="H62" s="18">
        <v>26</v>
      </c>
      <c r="I62" s="18">
        <v>330</v>
      </c>
      <c r="J62" s="18">
        <v>27</v>
      </c>
      <c r="K62" s="18">
        <v>18</v>
      </c>
      <c r="L62" s="18">
        <v>10</v>
      </c>
      <c r="M62" s="18">
        <v>30.1</v>
      </c>
      <c r="N62" s="27">
        <v>32</v>
      </c>
      <c r="O62" s="27">
        <v>29.840800000000002</v>
      </c>
      <c r="P62" s="27">
        <v>26.5</v>
      </c>
      <c r="Q62" s="27"/>
      <c r="R62" s="27">
        <v>30.2</v>
      </c>
      <c r="S62" s="27">
        <v>25</v>
      </c>
      <c r="T62" s="27">
        <v>43</v>
      </c>
      <c r="U62" s="27"/>
      <c r="V62" s="46">
        <v>28.1</v>
      </c>
      <c r="W62" s="39">
        <v>24.5</v>
      </c>
      <c r="X62" s="39">
        <v>2.8</v>
      </c>
      <c r="Y62" s="29">
        <v>2.6895999999999987</v>
      </c>
      <c r="Z62" s="27">
        <v>-0.4</v>
      </c>
      <c r="AA62" s="30">
        <v>9.1999999999999993</v>
      </c>
      <c r="AB62" s="29">
        <v>3.8299999999999557E-2</v>
      </c>
      <c r="AC62" s="27">
        <v>41.364100000000001</v>
      </c>
      <c r="AD62" s="39">
        <v>38.604599999999998</v>
      </c>
      <c r="AE62" s="27">
        <v>27.105400000000003</v>
      </c>
      <c r="AF62" s="27">
        <v>22.512899999999998</v>
      </c>
      <c r="AG62" s="27">
        <v>14.6</v>
      </c>
      <c r="AH62" s="27">
        <v>14.7</v>
      </c>
      <c r="AI62" s="27">
        <v>22.4</v>
      </c>
    </row>
    <row r="63" spans="1:35" ht="15.5" x14ac:dyDescent="0.35">
      <c r="A63" s="17" t="s">
        <v>131</v>
      </c>
      <c r="B63" s="18" t="s">
        <v>14</v>
      </c>
      <c r="C63" s="18">
        <v>202311</v>
      </c>
      <c r="D63" s="19">
        <v>4367.6000000000004</v>
      </c>
      <c r="E63" s="19">
        <v>2999.2</v>
      </c>
      <c r="F63" s="18">
        <v>6</v>
      </c>
      <c r="G63" s="20">
        <v>6.5549999999999997</v>
      </c>
      <c r="H63" s="18">
        <v>26</v>
      </c>
      <c r="I63" s="18">
        <v>330</v>
      </c>
      <c r="J63" s="18">
        <v>27</v>
      </c>
      <c r="K63" s="18">
        <v>19</v>
      </c>
      <c r="L63" s="18">
        <v>8</v>
      </c>
      <c r="M63" s="18">
        <v>27.7</v>
      </c>
      <c r="N63" s="27">
        <v>29.6</v>
      </c>
      <c r="O63" s="27">
        <v>27.5596</v>
      </c>
      <c r="P63" s="27">
        <v>24</v>
      </c>
      <c r="Q63" s="27"/>
      <c r="R63" s="27">
        <v>29</v>
      </c>
      <c r="S63" s="27">
        <v>24.1</v>
      </c>
      <c r="T63" s="27">
        <v>41.2</v>
      </c>
      <c r="U63" s="27"/>
      <c r="V63" s="46">
        <v>25.4</v>
      </c>
      <c r="W63" s="39">
        <v>21.5</v>
      </c>
      <c r="X63" s="39">
        <v>4</v>
      </c>
      <c r="Y63" s="29">
        <v>3.1689000000000007</v>
      </c>
      <c r="Z63" s="27">
        <v>1</v>
      </c>
      <c r="AA63" s="30">
        <v>7.5</v>
      </c>
      <c r="AB63" s="29">
        <v>-0.28049999999999997</v>
      </c>
      <c r="AC63" s="27">
        <v>34.8446</v>
      </c>
      <c r="AD63" s="39">
        <v>38.7639</v>
      </c>
      <c r="AE63" s="27">
        <v>23.932100000000002</v>
      </c>
      <c r="AF63" s="27">
        <v>18.278500000000001</v>
      </c>
      <c r="AG63" s="27">
        <v>14.8</v>
      </c>
      <c r="AH63" s="27">
        <v>14.2</v>
      </c>
      <c r="AI63" s="27">
        <v>19.100000000000001</v>
      </c>
    </row>
    <row r="64" spans="1:35" ht="15.5" x14ac:dyDescent="0.35">
      <c r="A64" s="17"/>
      <c r="B64" s="18"/>
      <c r="C64" s="18"/>
      <c r="D64" s="19"/>
      <c r="E64" s="19"/>
      <c r="F64" s="18"/>
      <c r="G64" s="20"/>
      <c r="H64" s="18"/>
      <c r="I64" s="18"/>
      <c r="J64" s="18"/>
      <c r="K64" s="18"/>
      <c r="L64" s="18"/>
      <c r="M64" s="18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1"/>
      <c r="Z64" s="21"/>
      <c r="AA64" s="21"/>
      <c r="AB64" s="21"/>
      <c r="AC64" s="21"/>
      <c r="AD64" s="21"/>
      <c r="AE64" s="21"/>
      <c r="AF64" s="18"/>
      <c r="AG64" s="18"/>
      <c r="AH64" s="18"/>
      <c r="AI64" s="18"/>
    </row>
    <row r="65" spans="1:35" ht="18" customHeight="1" thickBot="1" x14ac:dyDescent="0.45">
      <c r="A65" s="7"/>
      <c r="B65" s="7"/>
      <c r="C65" s="26" t="s">
        <v>173</v>
      </c>
      <c r="D65" s="26" t="s">
        <v>168</v>
      </c>
      <c r="E65" s="26" t="s">
        <v>170</v>
      </c>
      <c r="F65" s="7"/>
      <c r="G65" s="7"/>
      <c r="H65" s="7"/>
      <c r="I65" s="7"/>
      <c r="J65" s="26" t="s">
        <v>77</v>
      </c>
      <c r="K65" s="7" t="s">
        <v>78</v>
      </c>
      <c r="L65" s="7"/>
      <c r="M65" s="7"/>
      <c r="N65" s="52" t="s">
        <v>229</v>
      </c>
      <c r="O65" s="53"/>
      <c r="P65" s="54"/>
      <c r="Q65" s="9"/>
      <c r="R65" s="52" t="s">
        <v>218</v>
      </c>
      <c r="S65" s="53"/>
      <c r="T65" s="54"/>
      <c r="U65" s="9"/>
      <c r="V65" s="52" t="s">
        <v>228</v>
      </c>
      <c r="W65" s="53"/>
      <c r="X65" s="54"/>
      <c r="Y65" s="55" t="s">
        <v>227</v>
      </c>
      <c r="Z65" s="56"/>
      <c r="AA65" s="57"/>
      <c r="AB65" s="58" t="s">
        <v>79</v>
      </c>
      <c r="AC65" s="58"/>
      <c r="AD65" s="58"/>
      <c r="AE65" s="58"/>
      <c r="AF65" s="58"/>
      <c r="AG65" s="58"/>
      <c r="AH65" s="58"/>
      <c r="AI65" s="56"/>
    </row>
    <row r="66" spans="1:35" ht="18" customHeight="1" thickBot="1" x14ac:dyDescent="0.4">
      <c r="A66" s="8" t="s">
        <v>80</v>
      </c>
      <c r="B66" s="9" t="s">
        <v>81</v>
      </c>
      <c r="C66" s="9" t="s">
        <v>174</v>
      </c>
      <c r="D66" s="9" t="s">
        <v>169</v>
      </c>
      <c r="E66" s="9" t="s">
        <v>172</v>
      </c>
      <c r="F66" s="9" t="s">
        <v>171</v>
      </c>
      <c r="G66" s="9" t="s">
        <v>10</v>
      </c>
      <c r="H66" s="9" t="s">
        <v>12</v>
      </c>
      <c r="I66" s="9" t="s">
        <v>11</v>
      </c>
      <c r="J66" s="9" t="s">
        <v>82</v>
      </c>
      <c r="K66" s="9" t="s">
        <v>83</v>
      </c>
      <c r="L66" s="9" t="s">
        <v>82</v>
      </c>
      <c r="M66" s="9"/>
      <c r="N66" s="41" t="s">
        <v>162</v>
      </c>
      <c r="O66" s="9" t="s">
        <v>161</v>
      </c>
      <c r="P66" s="42" t="s">
        <v>160</v>
      </c>
      <c r="Q66" s="9"/>
      <c r="R66" s="10" t="s">
        <v>84</v>
      </c>
      <c r="S66" s="9" t="s">
        <v>83</v>
      </c>
      <c r="T66" s="11" t="s">
        <v>82</v>
      </c>
      <c r="U66" s="9"/>
      <c r="V66" s="10" t="s">
        <v>84</v>
      </c>
      <c r="W66" s="9" t="s">
        <v>83</v>
      </c>
      <c r="X66" s="11" t="s">
        <v>82</v>
      </c>
      <c r="Y66" s="10" t="s">
        <v>84</v>
      </c>
      <c r="Z66" s="9" t="s">
        <v>83</v>
      </c>
      <c r="AA66" s="11" t="s">
        <v>82</v>
      </c>
      <c r="AB66" s="44" t="s">
        <v>226</v>
      </c>
      <c r="AC66" s="44" t="s">
        <v>219</v>
      </c>
      <c r="AD66" s="10" t="s">
        <v>177</v>
      </c>
      <c r="AE66" s="10" t="s">
        <v>175</v>
      </c>
      <c r="AF66" s="9" t="s">
        <v>159</v>
      </c>
      <c r="AG66" s="9" t="s">
        <v>159</v>
      </c>
      <c r="AH66" s="9" t="s">
        <v>85</v>
      </c>
      <c r="AI66" s="9" t="s">
        <v>86</v>
      </c>
    </row>
    <row r="67" spans="1:35" ht="15.5" x14ac:dyDescent="0.35">
      <c r="A67" s="12" t="s">
        <v>220</v>
      </c>
      <c r="B67" s="13" t="s">
        <v>221</v>
      </c>
      <c r="C67" s="13">
        <v>202601</v>
      </c>
      <c r="D67" s="14">
        <v>7375.6</v>
      </c>
      <c r="E67" s="19">
        <v>6039</v>
      </c>
      <c r="F67" s="18">
        <v>5.5</v>
      </c>
      <c r="G67" s="20">
        <v>5.97</v>
      </c>
      <c r="H67" s="18">
        <v>0</v>
      </c>
      <c r="I67" s="18">
        <v>357</v>
      </c>
      <c r="J67" s="18">
        <v>63</v>
      </c>
      <c r="K67" s="18">
        <v>100</v>
      </c>
      <c r="L67" s="18">
        <v>100</v>
      </c>
      <c r="M67" s="13"/>
      <c r="N67" s="36">
        <v>1.9</v>
      </c>
      <c r="O67" s="36">
        <v>1.7507000000000001</v>
      </c>
      <c r="P67" s="27">
        <v>1.6</v>
      </c>
      <c r="Q67" s="36"/>
      <c r="R67" s="36">
        <v>1.4</v>
      </c>
      <c r="S67" s="36">
        <v>0.9</v>
      </c>
      <c r="T67" s="36">
        <v>1.6</v>
      </c>
      <c r="U67" s="36"/>
      <c r="V67" s="49">
        <v>0.6</v>
      </c>
      <c r="W67" s="39">
        <v>0.1</v>
      </c>
      <c r="X67" s="39">
        <v>0</v>
      </c>
      <c r="Y67" s="31"/>
      <c r="Z67" s="43"/>
      <c r="AA67" s="50"/>
      <c r="AD67" s="43"/>
      <c r="AE67" s="16"/>
      <c r="AF67" s="13"/>
      <c r="AG67" s="13"/>
      <c r="AH67" s="13"/>
      <c r="AI67" s="13"/>
    </row>
    <row r="68" spans="1:35" ht="15.5" x14ac:dyDescent="0.35">
      <c r="A68" s="17" t="s">
        <v>213</v>
      </c>
      <c r="B68" s="18" t="s">
        <v>214</v>
      </c>
      <c r="C68" s="18">
        <v>202512</v>
      </c>
      <c r="D68" s="19">
        <v>6151.6</v>
      </c>
      <c r="E68" s="19">
        <v>3874</v>
      </c>
      <c r="F68" s="18">
        <v>5.5</v>
      </c>
      <c r="G68" s="20">
        <v>6</v>
      </c>
      <c r="H68" s="18">
        <v>1</v>
      </c>
      <c r="I68" s="18">
        <v>356</v>
      </c>
      <c r="J68" s="18">
        <v>72</v>
      </c>
      <c r="K68" s="18">
        <v>100</v>
      </c>
      <c r="L68" s="18">
        <v>100</v>
      </c>
      <c r="M68" s="18"/>
      <c r="N68" s="27">
        <v>2.2000000000000002</v>
      </c>
      <c r="O68" s="27">
        <v>2.0944000000000003</v>
      </c>
      <c r="P68" s="27">
        <v>2</v>
      </c>
      <c r="Q68" s="27"/>
      <c r="R68" s="27">
        <v>1.7</v>
      </c>
      <c r="S68" s="27">
        <v>1.2</v>
      </c>
      <c r="T68" s="27">
        <v>1.9</v>
      </c>
      <c r="U68" s="27"/>
      <c r="V68" s="49">
        <v>1.3</v>
      </c>
      <c r="W68" s="39">
        <v>0</v>
      </c>
      <c r="X68" s="39">
        <v>0.2</v>
      </c>
      <c r="Y68" s="28">
        <v>0.12759999999999994</v>
      </c>
      <c r="Z68" s="39">
        <v>0.8</v>
      </c>
      <c r="AA68" s="40">
        <v>-0.1</v>
      </c>
      <c r="AD68" s="39"/>
      <c r="AE68" s="21"/>
      <c r="AF68" s="18"/>
      <c r="AG68" s="18"/>
      <c r="AH68" s="18"/>
      <c r="AI68" s="18"/>
    </row>
    <row r="69" spans="1:35" ht="15.5" x14ac:dyDescent="0.35">
      <c r="A69" s="17" t="s">
        <v>187</v>
      </c>
      <c r="B69" s="18" t="s">
        <v>184</v>
      </c>
      <c r="C69" s="18">
        <v>202511</v>
      </c>
      <c r="D69" s="19">
        <v>6896.9</v>
      </c>
      <c r="E69" s="19">
        <v>1632</v>
      </c>
      <c r="F69" s="18">
        <v>5.5</v>
      </c>
      <c r="G69" s="20">
        <v>6.02</v>
      </c>
      <c r="H69" s="18">
        <v>2</v>
      </c>
      <c r="I69" s="18">
        <v>356</v>
      </c>
      <c r="J69" s="18">
        <v>73</v>
      </c>
      <c r="K69" s="18">
        <v>100</v>
      </c>
      <c r="L69" s="18">
        <v>100</v>
      </c>
      <c r="M69" s="18"/>
      <c r="N69" s="27">
        <v>2.8</v>
      </c>
      <c r="O69" s="27">
        <v>2.5305</v>
      </c>
      <c r="P69" s="27">
        <v>2.2999999999999998</v>
      </c>
      <c r="Q69" s="27"/>
      <c r="R69" s="27">
        <v>2</v>
      </c>
      <c r="S69" s="27">
        <v>1.6</v>
      </c>
      <c r="T69" s="27">
        <v>2.2000000000000002</v>
      </c>
      <c r="U69" s="27"/>
      <c r="V69" s="49">
        <v>1.1000000000000001</v>
      </c>
      <c r="W69" s="39">
        <v>0.6</v>
      </c>
      <c r="X69" s="39">
        <v>0.3</v>
      </c>
      <c r="Y69" s="28">
        <v>0.44019999999999992</v>
      </c>
      <c r="Z69" s="39">
        <v>0.4</v>
      </c>
      <c r="AA69" s="40">
        <v>0.5</v>
      </c>
      <c r="AB69">
        <v>1.7475000000000001</v>
      </c>
      <c r="AD69" s="39"/>
      <c r="AE69" s="21"/>
      <c r="AF69" s="18"/>
      <c r="AG69" s="18"/>
      <c r="AH69" s="18"/>
      <c r="AI69" s="18"/>
    </row>
    <row r="70" spans="1:35" ht="15.5" x14ac:dyDescent="0.35">
      <c r="A70" s="17" t="s">
        <v>132</v>
      </c>
      <c r="B70" s="18" t="s">
        <v>167</v>
      </c>
      <c r="C70" s="18">
        <v>202510</v>
      </c>
      <c r="D70" s="19">
        <v>9085</v>
      </c>
      <c r="E70" s="19">
        <v>6817</v>
      </c>
      <c r="F70" s="18">
        <v>5.5</v>
      </c>
      <c r="G70" s="20">
        <v>6.0380000000000003</v>
      </c>
      <c r="H70" s="18">
        <v>3</v>
      </c>
      <c r="I70" s="18">
        <v>355</v>
      </c>
      <c r="J70" s="18">
        <v>75</v>
      </c>
      <c r="K70" s="18">
        <v>100</v>
      </c>
      <c r="L70" s="18">
        <v>100</v>
      </c>
      <c r="M70" s="18"/>
      <c r="N70" s="27">
        <v>3.6</v>
      </c>
      <c r="O70" s="27">
        <v>3.1593999999999998</v>
      </c>
      <c r="P70" s="27">
        <v>2.7</v>
      </c>
      <c r="Q70" s="27"/>
      <c r="R70" s="27">
        <v>2.2999999999999998</v>
      </c>
      <c r="S70" s="27">
        <v>2.1</v>
      </c>
      <c r="T70" s="27">
        <v>2.4</v>
      </c>
      <c r="U70" s="27"/>
      <c r="V70" s="46">
        <v>1.6</v>
      </c>
      <c r="W70" s="39">
        <v>1.3</v>
      </c>
      <c r="X70" s="39">
        <v>0.1</v>
      </c>
      <c r="Y70" s="28">
        <v>9.1899999999999871E-2</v>
      </c>
      <c r="Z70" s="39">
        <v>-0.1</v>
      </c>
      <c r="AA70" s="40">
        <v>0.1</v>
      </c>
      <c r="AB70" s="27">
        <v>1.5454000000000001</v>
      </c>
      <c r="AC70" s="27">
        <v>0.94199999999999995</v>
      </c>
      <c r="AD70" s="39">
        <v>0.94969999999999999</v>
      </c>
      <c r="AE70" s="21"/>
      <c r="AF70" s="18"/>
      <c r="AG70" s="18"/>
      <c r="AH70" s="18"/>
      <c r="AI70" s="18"/>
    </row>
    <row r="71" spans="1:35" ht="15.5" x14ac:dyDescent="0.35">
      <c r="A71" s="17" t="s">
        <v>132</v>
      </c>
      <c r="B71" s="18" t="s">
        <v>133</v>
      </c>
      <c r="C71" s="18">
        <v>202509</v>
      </c>
      <c r="D71" s="19">
        <v>8591.9</v>
      </c>
      <c r="E71" s="19">
        <v>8443</v>
      </c>
      <c r="F71" s="18">
        <v>5.5</v>
      </c>
      <c r="G71" s="20">
        <v>6.0579999999999998</v>
      </c>
      <c r="H71" s="18">
        <v>4</v>
      </c>
      <c r="I71" s="18">
        <v>354</v>
      </c>
      <c r="J71" s="18">
        <v>73</v>
      </c>
      <c r="K71" s="18">
        <v>100</v>
      </c>
      <c r="L71" s="18">
        <v>100</v>
      </c>
      <c r="M71" s="18"/>
      <c r="N71" s="27">
        <v>9.5</v>
      </c>
      <c r="O71" s="27">
        <v>7.0827</v>
      </c>
      <c r="P71" s="27">
        <v>4.4000000000000004</v>
      </c>
      <c r="Q71" s="27"/>
      <c r="R71" s="27">
        <v>3.3</v>
      </c>
      <c r="S71" s="27">
        <v>3.7</v>
      </c>
      <c r="T71" s="27">
        <v>3.2</v>
      </c>
      <c r="U71" s="27"/>
      <c r="V71" s="46">
        <v>1.3</v>
      </c>
      <c r="W71" s="39">
        <v>0.8</v>
      </c>
      <c r="X71" s="39">
        <v>0.4</v>
      </c>
      <c r="Y71" s="29">
        <v>0.93920000000000026</v>
      </c>
      <c r="Z71" s="27">
        <v>1</v>
      </c>
      <c r="AA71" s="30">
        <v>1</v>
      </c>
      <c r="AB71" s="27">
        <v>1.3448</v>
      </c>
      <c r="AC71" s="27">
        <v>1.5438000000000001</v>
      </c>
      <c r="AD71" s="39">
        <v>1.8925999999999998</v>
      </c>
      <c r="AE71" s="27">
        <v>1.2152000000000001</v>
      </c>
      <c r="AF71" s="27"/>
      <c r="AG71" s="27"/>
      <c r="AH71" s="27"/>
      <c r="AI71" s="27"/>
    </row>
    <row r="72" spans="1:35" ht="15.5" x14ac:dyDescent="0.35">
      <c r="A72" s="17" t="s">
        <v>134</v>
      </c>
      <c r="B72" s="18" t="s">
        <v>74</v>
      </c>
      <c r="C72" s="18">
        <v>202508</v>
      </c>
      <c r="D72" s="19">
        <v>9057.1</v>
      </c>
      <c r="E72" s="19">
        <v>8783</v>
      </c>
      <c r="F72" s="18">
        <v>5.5</v>
      </c>
      <c r="G72" s="20">
        <v>6.0739999999999998</v>
      </c>
      <c r="H72" s="18">
        <v>5</v>
      </c>
      <c r="I72" s="18">
        <v>352</v>
      </c>
      <c r="J72" s="18">
        <v>67</v>
      </c>
      <c r="K72" s="18">
        <v>96</v>
      </c>
      <c r="L72" s="18">
        <v>98</v>
      </c>
      <c r="M72" s="18"/>
      <c r="N72" s="27">
        <v>36.799999999999997</v>
      </c>
      <c r="O72" s="27">
        <v>27.998299999999997</v>
      </c>
      <c r="P72" s="27">
        <v>14.2</v>
      </c>
      <c r="Q72" s="27"/>
      <c r="R72" s="27">
        <v>6.9</v>
      </c>
      <c r="S72" s="27">
        <v>6.8</v>
      </c>
      <c r="T72" s="27">
        <v>7</v>
      </c>
      <c r="U72" s="27"/>
      <c r="V72" s="46">
        <v>1.8</v>
      </c>
      <c r="W72" s="39">
        <v>1.8</v>
      </c>
      <c r="X72" s="39">
        <v>0.2</v>
      </c>
      <c r="Y72" s="29">
        <v>0.96869999999999989</v>
      </c>
      <c r="Z72" s="27">
        <v>1</v>
      </c>
      <c r="AA72" s="30">
        <v>1</v>
      </c>
      <c r="AB72" s="27">
        <v>1.9978000000000002</v>
      </c>
      <c r="AC72" s="27">
        <v>1.4903</v>
      </c>
      <c r="AD72" s="39">
        <v>1.4623000000000002</v>
      </c>
      <c r="AE72" s="27">
        <v>1.0987</v>
      </c>
      <c r="AF72" s="27">
        <v>1.5</v>
      </c>
      <c r="AG72" s="27"/>
      <c r="AH72" s="27"/>
      <c r="AI72" s="27"/>
    </row>
    <row r="73" spans="1:35" ht="15.5" x14ac:dyDescent="0.35">
      <c r="A73" s="17" t="s">
        <v>135</v>
      </c>
      <c r="B73" s="18" t="s">
        <v>71</v>
      </c>
      <c r="C73" s="18">
        <v>202507</v>
      </c>
      <c r="D73" s="19">
        <v>8896.2000000000007</v>
      </c>
      <c r="E73" s="19">
        <v>8367</v>
      </c>
      <c r="F73" s="18">
        <v>5.5</v>
      </c>
      <c r="G73" s="20">
        <v>6.0620000000000003</v>
      </c>
      <c r="H73" s="18">
        <v>6</v>
      </c>
      <c r="I73" s="18">
        <v>352</v>
      </c>
      <c r="J73" s="18">
        <v>66</v>
      </c>
      <c r="K73" s="18">
        <v>71</v>
      </c>
      <c r="L73" s="18">
        <v>75</v>
      </c>
      <c r="M73" s="18"/>
      <c r="N73" s="27">
        <v>70.400000000000006</v>
      </c>
      <c r="O73" s="27">
        <v>61.595599999999997</v>
      </c>
      <c r="P73" s="27">
        <v>36.9</v>
      </c>
      <c r="Q73" s="27"/>
      <c r="R73" s="27">
        <v>29.4</v>
      </c>
      <c r="S73" s="27">
        <v>17.2</v>
      </c>
      <c r="T73" s="27">
        <v>35.200000000000003</v>
      </c>
      <c r="U73" s="27"/>
      <c r="V73" s="46">
        <v>6.4</v>
      </c>
      <c r="W73" s="39">
        <v>5.5</v>
      </c>
      <c r="X73" s="39">
        <v>0.7</v>
      </c>
      <c r="Y73" s="29">
        <v>-0.5669000000000004</v>
      </c>
      <c r="Z73" s="27">
        <v>-0.3</v>
      </c>
      <c r="AA73" s="30">
        <v>-0.7</v>
      </c>
      <c r="AB73" s="27">
        <v>2.1956000000000002</v>
      </c>
      <c r="AC73" s="27">
        <v>1.2507999999999999</v>
      </c>
      <c r="AD73" s="39">
        <v>1.3306</v>
      </c>
      <c r="AE73" s="27">
        <v>1.3449</v>
      </c>
      <c r="AF73" s="27">
        <v>1.7</v>
      </c>
      <c r="AG73" s="27">
        <v>1.8</v>
      </c>
      <c r="AH73" s="27">
        <v>1.8</v>
      </c>
      <c r="AI73" s="27"/>
    </row>
    <row r="74" spans="1:35" ht="15.5" x14ac:dyDescent="0.35">
      <c r="A74" s="17" t="s">
        <v>136</v>
      </c>
      <c r="B74" s="18" t="s">
        <v>68</v>
      </c>
      <c r="C74" s="18">
        <v>202506</v>
      </c>
      <c r="D74" s="19">
        <v>10020.9</v>
      </c>
      <c r="E74" s="19">
        <v>9642.2000000000007</v>
      </c>
      <c r="F74" s="18">
        <v>5.5</v>
      </c>
      <c r="G74" s="20">
        <v>6.0270000000000001</v>
      </c>
      <c r="H74" s="18">
        <v>7</v>
      </c>
      <c r="I74" s="18">
        <v>350</v>
      </c>
      <c r="J74" s="18">
        <v>69</v>
      </c>
      <c r="K74" s="18">
        <v>7</v>
      </c>
      <c r="L74" s="18">
        <v>4</v>
      </c>
      <c r="M74" s="18"/>
      <c r="N74" s="27">
        <v>61.9</v>
      </c>
      <c r="O74" s="27">
        <v>51.6845</v>
      </c>
      <c r="P74" s="27">
        <v>30.4</v>
      </c>
      <c r="Q74" s="27"/>
      <c r="R74" s="27">
        <v>64.400000000000006</v>
      </c>
      <c r="S74" s="27">
        <v>21.2</v>
      </c>
      <c r="T74" s="27">
        <v>75.8</v>
      </c>
      <c r="U74" s="27"/>
      <c r="V74" s="46">
        <v>25.7</v>
      </c>
      <c r="W74" s="39">
        <v>9</v>
      </c>
      <c r="X74" s="39">
        <v>0.6</v>
      </c>
      <c r="Y74" s="29">
        <v>-0.77410000000000068</v>
      </c>
      <c r="Z74" s="27">
        <v>2.2999999999999998</v>
      </c>
      <c r="AA74" s="30">
        <v>-1.9</v>
      </c>
      <c r="AB74" s="27">
        <v>-7.1192999999999991</v>
      </c>
      <c r="AC74" s="27">
        <v>1.851</v>
      </c>
      <c r="AD74" s="39">
        <v>1.7391000000000001</v>
      </c>
      <c r="AE74" s="27">
        <v>1.7188999999999999</v>
      </c>
      <c r="AF74" s="27">
        <v>2</v>
      </c>
      <c r="AG74" s="27">
        <v>1.8</v>
      </c>
      <c r="AH74" s="27">
        <v>1.8</v>
      </c>
      <c r="AI74" s="27">
        <v>2</v>
      </c>
    </row>
    <row r="75" spans="1:35" ht="15.5" x14ac:dyDescent="0.35">
      <c r="A75" s="17" t="s">
        <v>137</v>
      </c>
      <c r="B75" s="18" t="s">
        <v>65</v>
      </c>
      <c r="C75" s="18">
        <v>202505</v>
      </c>
      <c r="D75" s="19">
        <v>10927</v>
      </c>
      <c r="E75" s="19">
        <v>8783</v>
      </c>
      <c r="F75" s="18">
        <v>5.5</v>
      </c>
      <c r="G75" s="20">
        <v>6.0380000000000003</v>
      </c>
      <c r="H75" s="18">
        <v>8</v>
      </c>
      <c r="I75" s="18">
        <v>349</v>
      </c>
      <c r="J75" s="18">
        <v>67</v>
      </c>
      <c r="K75" s="18">
        <v>7</v>
      </c>
      <c r="L75" s="18">
        <v>5</v>
      </c>
      <c r="M75" s="18"/>
      <c r="N75" s="27">
        <v>52.5</v>
      </c>
      <c r="O75" s="27">
        <v>44.112099999999998</v>
      </c>
      <c r="P75" s="27">
        <v>25.4</v>
      </c>
      <c r="Q75" s="27"/>
      <c r="R75" s="27">
        <v>43</v>
      </c>
      <c r="S75" s="27">
        <v>19</v>
      </c>
      <c r="T75" s="27">
        <v>52.9</v>
      </c>
      <c r="U75" s="27"/>
      <c r="V75" s="46">
        <v>56.9</v>
      </c>
      <c r="W75" s="39">
        <v>13.5</v>
      </c>
      <c r="X75" s="39">
        <v>1</v>
      </c>
      <c r="Y75" s="29">
        <v>5.8751999999999995</v>
      </c>
      <c r="Z75" s="27">
        <v>2.5</v>
      </c>
      <c r="AA75" s="30">
        <v>5.7</v>
      </c>
      <c r="AB75" s="27">
        <v>4.9857000000000014</v>
      </c>
      <c r="AC75" s="27">
        <v>3.6425000000000001</v>
      </c>
      <c r="AD75" s="39">
        <v>2.7872999999999997</v>
      </c>
      <c r="AE75" s="27">
        <v>1.9722</v>
      </c>
      <c r="AF75" s="27">
        <v>2.2999999999999998</v>
      </c>
      <c r="AG75" s="27">
        <v>2.4</v>
      </c>
      <c r="AH75" s="27">
        <v>2.4</v>
      </c>
      <c r="AI75" s="27">
        <v>2.1</v>
      </c>
    </row>
    <row r="76" spans="1:35" ht="15.5" x14ac:dyDescent="0.35">
      <c r="A76" s="17" t="s">
        <v>138</v>
      </c>
      <c r="B76" s="18" t="s">
        <v>62</v>
      </c>
      <c r="C76" s="18">
        <v>202504</v>
      </c>
      <c r="D76" s="19">
        <v>7014.8</v>
      </c>
      <c r="E76" s="19">
        <v>6723</v>
      </c>
      <c r="F76" s="18">
        <v>5.5</v>
      </c>
      <c r="G76" s="20">
        <v>6.0570000000000004</v>
      </c>
      <c r="H76" s="18">
        <v>9</v>
      </c>
      <c r="I76" s="18">
        <v>348</v>
      </c>
      <c r="J76" s="18">
        <v>70</v>
      </c>
      <c r="K76" s="18">
        <v>10</v>
      </c>
      <c r="L76" s="18">
        <v>6</v>
      </c>
      <c r="M76" s="18"/>
      <c r="N76" s="27">
        <v>50.6</v>
      </c>
      <c r="O76" s="27">
        <v>42.862000000000002</v>
      </c>
      <c r="P76" s="27">
        <v>27</v>
      </c>
      <c r="Q76" s="27"/>
      <c r="R76" s="27">
        <v>39</v>
      </c>
      <c r="S76" s="27">
        <v>18.2</v>
      </c>
      <c r="T76" s="27">
        <v>46.5</v>
      </c>
      <c r="U76" s="27"/>
      <c r="V76" s="46">
        <v>32.700000000000003</v>
      </c>
      <c r="W76" s="39">
        <v>10.5</v>
      </c>
      <c r="X76" s="39">
        <v>1</v>
      </c>
      <c r="Y76" s="29">
        <v>10.770000000000003</v>
      </c>
      <c r="Z76" s="27">
        <v>3.3</v>
      </c>
      <c r="AA76" s="30">
        <v>12.5</v>
      </c>
      <c r="AB76" s="27">
        <v>3.0518000000000001</v>
      </c>
      <c r="AC76" s="27">
        <v>18.881800000000002</v>
      </c>
      <c r="AD76" s="39">
        <v>6.779300000000001</v>
      </c>
      <c r="AE76" s="27">
        <v>1.5720000000000001</v>
      </c>
      <c r="AF76" s="27">
        <v>2.9</v>
      </c>
      <c r="AG76" s="27">
        <v>2.2000000000000002</v>
      </c>
      <c r="AH76" s="27">
        <v>2.2000000000000002</v>
      </c>
      <c r="AI76" s="27">
        <v>3.3</v>
      </c>
    </row>
    <row r="77" spans="1:35" ht="15.5" x14ac:dyDescent="0.35">
      <c r="A77" s="17" t="s">
        <v>139</v>
      </c>
      <c r="B77" s="18" t="s">
        <v>59</v>
      </c>
      <c r="C77" s="18">
        <v>202503</v>
      </c>
      <c r="D77" s="19">
        <v>4436.8999999999996</v>
      </c>
      <c r="E77" s="19">
        <v>4129</v>
      </c>
      <c r="F77" s="18">
        <v>5.5</v>
      </c>
      <c r="G77" s="20">
        <v>6.0810000000000004</v>
      </c>
      <c r="H77" s="18">
        <v>10</v>
      </c>
      <c r="I77" s="18">
        <v>347</v>
      </c>
      <c r="J77" s="18">
        <v>62</v>
      </c>
      <c r="K77" s="18">
        <v>11</v>
      </c>
      <c r="L77" s="18">
        <v>7</v>
      </c>
      <c r="M77" s="18"/>
      <c r="N77" s="27">
        <v>49.9</v>
      </c>
      <c r="O77" s="27">
        <v>41.653099999999995</v>
      </c>
      <c r="P77" s="27">
        <v>26.6</v>
      </c>
      <c r="Q77" s="27"/>
      <c r="R77" s="27">
        <v>36.5</v>
      </c>
      <c r="S77" s="27">
        <v>19.600000000000001</v>
      </c>
      <c r="T77" s="27">
        <v>45.4</v>
      </c>
      <c r="U77" s="27"/>
      <c r="V77" s="46">
        <v>28.4</v>
      </c>
      <c r="W77" s="39">
        <v>9.1999999999999993</v>
      </c>
      <c r="X77" s="39">
        <v>1.2</v>
      </c>
      <c r="Y77" s="29">
        <v>9.0783999999999985</v>
      </c>
      <c r="Z77" s="27">
        <v>5.5</v>
      </c>
      <c r="AA77" s="30">
        <v>10.3</v>
      </c>
      <c r="AB77" s="27">
        <v>5.0498000000000047</v>
      </c>
      <c r="AC77" s="27">
        <v>67.373000000000005</v>
      </c>
      <c r="AD77" s="39">
        <v>42.038499999999999</v>
      </c>
      <c r="AE77" s="27">
        <v>4.3114999999999997</v>
      </c>
      <c r="AF77" s="27">
        <v>4.3</v>
      </c>
      <c r="AG77" s="27">
        <v>3.5</v>
      </c>
      <c r="AH77" s="27">
        <v>3.5</v>
      </c>
      <c r="AI77" s="27">
        <v>1.5</v>
      </c>
    </row>
    <row r="78" spans="1:35" ht="15.5" x14ac:dyDescent="0.35">
      <c r="A78" s="17" t="s">
        <v>140</v>
      </c>
      <c r="B78" s="18" t="s">
        <v>56</v>
      </c>
      <c r="C78" s="18">
        <v>202502</v>
      </c>
      <c r="D78" s="19">
        <v>5433.9</v>
      </c>
      <c r="E78" s="19">
        <v>4945</v>
      </c>
      <c r="F78" s="18">
        <v>5.5</v>
      </c>
      <c r="G78" s="20">
        <v>6.0369999999999999</v>
      </c>
      <c r="H78" s="18">
        <v>11</v>
      </c>
      <c r="I78" s="18">
        <v>346</v>
      </c>
      <c r="J78" s="18">
        <v>64</v>
      </c>
      <c r="K78" s="18">
        <v>11</v>
      </c>
      <c r="L78" s="18">
        <v>7</v>
      </c>
      <c r="M78" s="18"/>
      <c r="N78" s="27">
        <v>48.5</v>
      </c>
      <c r="O78" s="27">
        <v>41.333199999999998</v>
      </c>
      <c r="P78" s="27">
        <v>25</v>
      </c>
      <c r="Q78" s="27"/>
      <c r="R78" s="27">
        <v>35</v>
      </c>
      <c r="S78" s="27">
        <v>18.3</v>
      </c>
      <c r="T78" s="27">
        <v>43.1</v>
      </c>
      <c r="U78" s="27"/>
      <c r="V78" s="46">
        <v>25.9</v>
      </c>
      <c r="W78" s="39">
        <v>15.1</v>
      </c>
      <c r="X78" s="39">
        <v>1.7</v>
      </c>
      <c r="Y78" s="29">
        <v>8.6189</v>
      </c>
      <c r="Z78" s="27">
        <v>-0.9</v>
      </c>
      <c r="AA78" s="30">
        <v>12.4</v>
      </c>
      <c r="AB78" s="27">
        <v>6.6954000000000029</v>
      </c>
      <c r="AC78" s="27">
        <v>39.0456</v>
      </c>
      <c r="AD78" s="39">
        <v>62.7209</v>
      </c>
      <c r="AE78" s="27">
        <v>12.8027</v>
      </c>
      <c r="AF78" s="27">
        <v>3.8</v>
      </c>
      <c r="AG78" s="27">
        <v>3.6</v>
      </c>
      <c r="AH78" s="27">
        <v>3.6</v>
      </c>
      <c r="AI78" s="27">
        <v>1.9</v>
      </c>
    </row>
    <row r="79" spans="1:35" ht="15.5" x14ac:dyDescent="0.35">
      <c r="A79" s="17" t="s">
        <v>141</v>
      </c>
      <c r="B79" s="18" t="s">
        <v>53</v>
      </c>
      <c r="C79" s="18">
        <v>202501</v>
      </c>
      <c r="D79" s="19">
        <v>7390.9</v>
      </c>
      <c r="E79" s="19">
        <v>6344</v>
      </c>
      <c r="F79" s="18">
        <v>5.5</v>
      </c>
      <c r="G79" s="20">
        <v>6.0640000000000001</v>
      </c>
      <c r="H79" s="18">
        <v>12</v>
      </c>
      <c r="I79" s="18">
        <v>345</v>
      </c>
      <c r="J79" s="18">
        <v>55</v>
      </c>
      <c r="K79" s="18">
        <v>13</v>
      </c>
      <c r="L79" s="18">
        <v>7</v>
      </c>
      <c r="M79" s="18"/>
      <c r="N79" s="27">
        <v>47.7</v>
      </c>
      <c r="O79" s="27">
        <v>39.890900000000002</v>
      </c>
      <c r="P79" s="27">
        <v>24.5</v>
      </c>
      <c r="Q79" s="27"/>
      <c r="R79" s="27">
        <v>34.5</v>
      </c>
      <c r="S79" s="27">
        <v>20.6</v>
      </c>
      <c r="T79" s="27">
        <v>44.5</v>
      </c>
      <c r="U79" s="27"/>
      <c r="V79" s="46">
        <v>25.1</v>
      </c>
      <c r="W79" s="39">
        <v>10.6</v>
      </c>
      <c r="X79" s="39">
        <v>1.2</v>
      </c>
      <c r="Y79" s="29">
        <v>8.0330000000000013</v>
      </c>
      <c r="Z79" s="27">
        <v>5.9</v>
      </c>
      <c r="AA79" s="30">
        <v>9.1</v>
      </c>
      <c r="AB79" s="27">
        <v>4.9436000000000071</v>
      </c>
      <c r="AC79" s="27">
        <v>33.500300000000003</v>
      </c>
      <c r="AD79" s="39">
        <v>46.764800000000001</v>
      </c>
      <c r="AE79" s="27">
        <v>40.581899999999997</v>
      </c>
      <c r="AF79" s="27">
        <v>9.3000000000000007</v>
      </c>
      <c r="AG79" s="27">
        <v>4.5</v>
      </c>
      <c r="AH79" s="27">
        <v>4.5</v>
      </c>
      <c r="AI79" s="27">
        <v>2.9</v>
      </c>
    </row>
    <row r="80" spans="1:35" ht="15.5" x14ac:dyDescent="0.35">
      <c r="A80" s="17" t="s">
        <v>142</v>
      </c>
      <c r="B80" s="18" t="s">
        <v>50</v>
      </c>
      <c r="C80" s="18">
        <v>202412</v>
      </c>
      <c r="D80" s="19">
        <v>7495.9</v>
      </c>
      <c r="E80" s="19">
        <v>6621</v>
      </c>
      <c r="F80" s="18">
        <v>5.5</v>
      </c>
      <c r="G80" s="20">
        <v>6.0129999999999999</v>
      </c>
      <c r="H80" s="18">
        <v>13</v>
      </c>
      <c r="I80" s="18">
        <v>344</v>
      </c>
      <c r="J80" s="18">
        <v>48</v>
      </c>
      <c r="K80" s="18">
        <v>14</v>
      </c>
      <c r="L80" s="18">
        <v>8</v>
      </c>
      <c r="M80" s="18"/>
      <c r="N80" s="27">
        <v>41.5</v>
      </c>
      <c r="O80" s="27">
        <v>35.055</v>
      </c>
      <c r="P80" s="27">
        <v>20.6</v>
      </c>
      <c r="Q80" s="27"/>
      <c r="R80" s="27">
        <v>30.7</v>
      </c>
      <c r="S80" s="27">
        <v>19.2</v>
      </c>
      <c r="T80" s="27">
        <v>41.7</v>
      </c>
      <c r="U80" s="27"/>
      <c r="V80" s="46">
        <v>21.7</v>
      </c>
      <c r="W80" s="39">
        <v>9.3000000000000007</v>
      </c>
      <c r="X80" s="39">
        <v>1.8</v>
      </c>
      <c r="Y80" s="29">
        <v>7.5238999999999976</v>
      </c>
      <c r="Z80" s="27">
        <v>7.1</v>
      </c>
      <c r="AA80" s="30">
        <v>7.8</v>
      </c>
      <c r="AB80" s="27">
        <v>1.3904999999999994</v>
      </c>
      <c r="AC80" s="27">
        <v>31.4558</v>
      </c>
      <c r="AD80" s="39">
        <v>39.753100000000003</v>
      </c>
      <c r="AE80" s="27">
        <v>22.1053</v>
      </c>
      <c r="AF80" s="27">
        <v>20.3</v>
      </c>
      <c r="AG80" s="27">
        <v>6.2</v>
      </c>
      <c r="AH80" s="27">
        <v>6.2</v>
      </c>
      <c r="AI80" s="27">
        <v>3.3</v>
      </c>
    </row>
    <row r="81" spans="1:35" ht="15.5" x14ac:dyDescent="0.35">
      <c r="A81" s="17" t="s">
        <v>143</v>
      </c>
      <c r="B81" s="18" t="s">
        <v>47</v>
      </c>
      <c r="C81" s="18">
        <v>202411</v>
      </c>
      <c r="D81" s="19">
        <v>7335.7</v>
      </c>
      <c r="E81" s="19">
        <v>7067</v>
      </c>
      <c r="F81" s="18">
        <v>5.5</v>
      </c>
      <c r="G81" s="20">
        <v>5.9950000000000001</v>
      </c>
      <c r="H81" s="18">
        <v>14</v>
      </c>
      <c r="I81" s="18">
        <v>343</v>
      </c>
      <c r="J81" s="18">
        <v>43</v>
      </c>
      <c r="K81" s="18">
        <v>16</v>
      </c>
      <c r="L81" s="18">
        <v>10</v>
      </c>
      <c r="M81" s="18"/>
      <c r="N81" s="27">
        <v>39.1</v>
      </c>
      <c r="O81" s="27">
        <v>33.232700000000001</v>
      </c>
      <c r="P81" s="27">
        <v>19.5</v>
      </c>
      <c r="Q81" s="27"/>
      <c r="R81" s="27">
        <v>29.3</v>
      </c>
      <c r="S81" s="27">
        <v>20.2</v>
      </c>
      <c r="T81" s="27">
        <v>40.200000000000003</v>
      </c>
      <c r="U81" s="27"/>
      <c r="V81" s="46">
        <v>17.899999999999999</v>
      </c>
      <c r="W81" s="39">
        <v>7.6</v>
      </c>
      <c r="X81" s="39">
        <v>1.8</v>
      </c>
      <c r="Y81" s="29">
        <v>10.509299999999996</v>
      </c>
      <c r="Z81" s="27">
        <v>10</v>
      </c>
      <c r="AA81" s="30">
        <v>10.7</v>
      </c>
      <c r="AB81" s="27">
        <v>4.9883999999999986</v>
      </c>
      <c r="AC81" s="27">
        <v>27.006000000000004</v>
      </c>
      <c r="AD81" s="39">
        <v>31.848700000000001</v>
      </c>
      <c r="AE81" s="27">
        <v>16.7607</v>
      </c>
      <c r="AF81" s="27">
        <v>13.7</v>
      </c>
      <c r="AG81" s="27">
        <v>10.9</v>
      </c>
      <c r="AH81" s="27">
        <v>10.9</v>
      </c>
      <c r="AI81" s="27">
        <v>6.2</v>
      </c>
    </row>
    <row r="82" spans="1:35" ht="15.5" x14ac:dyDescent="0.35">
      <c r="A82" s="17" t="s">
        <v>144</v>
      </c>
      <c r="B82" s="18" t="s">
        <v>44</v>
      </c>
      <c r="C82" s="18">
        <v>202410</v>
      </c>
      <c r="D82" s="19">
        <v>5710.4</v>
      </c>
      <c r="E82" s="19">
        <v>5524</v>
      </c>
      <c r="F82" s="18">
        <v>5.5</v>
      </c>
      <c r="G82" s="20">
        <v>6.0730000000000004</v>
      </c>
      <c r="H82" s="18">
        <v>15</v>
      </c>
      <c r="I82" s="18">
        <v>342</v>
      </c>
      <c r="J82" s="18">
        <v>58</v>
      </c>
      <c r="K82" s="18">
        <v>14</v>
      </c>
      <c r="L82" s="18">
        <v>9</v>
      </c>
      <c r="M82" s="18"/>
      <c r="N82" s="27">
        <v>45.9</v>
      </c>
      <c r="O82" s="27">
        <v>39.074799999999996</v>
      </c>
      <c r="P82" s="27">
        <v>26.4</v>
      </c>
      <c r="Q82" s="27"/>
      <c r="R82" s="27">
        <v>35.299999999999997</v>
      </c>
      <c r="S82" s="27">
        <v>21</v>
      </c>
      <c r="T82" s="27">
        <v>44.2</v>
      </c>
      <c r="U82" s="27"/>
      <c r="V82" s="46">
        <v>22.6</v>
      </c>
      <c r="W82" s="39">
        <v>12.3</v>
      </c>
      <c r="X82" s="39">
        <v>2.4</v>
      </c>
      <c r="Y82" s="29">
        <v>13.459200000000003</v>
      </c>
      <c r="Z82" s="27">
        <v>5.5</v>
      </c>
      <c r="AA82" s="30">
        <v>17.5</v>
      </c>
      <c r="AB82" s="27">
        <v>11.8523</v>
      </c>
      <c r="AC82" s="27">
        <v>34.668199999999999</v>
      </c>
      <c r="AD82" s="39">
        <v>41.658699999999996</v>
      </c>
      <c r="AE82" s="27">
        <v>22.107199999999999</v>
      </c>
      <c r="AF82" s="27">
        <v>12.6</v>
      </c>
      <c r="AG82" s="27">
        <v>10.3</v>
      </c>
      <c r="AH82" s="27">
        <v>10.3</v>
      </c>
      <c r="AI82" s="27">
        <v>13.1</v>
      </c>
    </row>
    <row r="83" spans="1:35" ht="15.5" x14ac:dyDescent="0.35">
      <c r="A83" s="17" t="s">
        <v>145</v>
      </c>
      <c r="B83" s="18" t="s">
        <v>41</v>
      </c>
      <c r="C83" s="18">
        <v>202409</v>
      </c>
      <c r="D83" s="19">
        <v>8192.5</v>
      </c>
      <c r="E83" s="19">
        <v>7055</v>
      </c>
      <c r="F83" s="18">
        <v>5.5</v>
      </c>
      <c r="G83" s="20">
        <v>6.1040000000000001</v>
      </c>
      <c r="H83" s="18">
        <v>16</v>
      </c>
      <c r="I83" s="18">
        <v>341</v>
      </c>
      <c r="J83" s="18">
        <v>57</v>
      </c>
      <c r="K83" s="18">
        <v>13</v>
      </c>
      <c r="L83" s="18">
        <v>8</v>
      </c>
      <c r="M83" s="18"/>
      <c r="N83" s="27">
        <v>43.2</v>
      </c>
      <c r="O83" s="27">
        <v>36.489699999999999</v>
      </c>
      <c r="P83" s="27">
        <v>25</v>
      </c>
      <c r="Q83" s="27"/>
      <c r="R83" s="27">
        <v>35.299999999999997</v>
      </c>
      <c r="S83" s="27">
        <v>20.6</v>
      </c>
      <c r="T83" s="27">
        <v>45.1</v>
      </c>
      <c r="U83" s="27"/>
      <c r="V83" s="46">
        <v>26.3</v>
      </c>
      <c r="W83" s="39">
        <v>14.2</v>
      </c>
      <c r="X83" s="39">
        <v>1.8</v>
      </c>
      <c r="Y83" s="29">
        <v>9.3780000000000001</v>
      </c>
      <c r="Z83" s="27">
        <v>2.5</v>
      </c>
      <c r="AA83" s="30">
        <v>13</v>
      </c>
      <c r="AB83" s="27">
        <v>8.6542999999999992</v>
      </c>
      <c r="AC83" s="27">
        <v>38.503900000000002</v>
      </c>
      <c r="AD83" s="39">
        <v>47.749200000000002</v>
      </c>
      <c r="AE83" s="27">
        <v>28.188800000000004</v>
      </c>
      <c r="AF83" s="27">
        <v>15.5</v>
      </c>
      <c r="AG83" s="27">
        <v>8.8000000000000007</v>
      </c>
      <c r="AH83" s="27">
        <v>8.8000000000000007</v>
      </c>
      <c r="AI83" s="27">
        <v>7.2</v>
      </c>
    </row>
    <row r="84" spans="1:35" ht="15.5" x14ac:dyDescent="0.35">
      <c r="A84" s="17" t="s">
        <v>146</v>
      </c>
      <c r="B84" s="18" t="s">
        <v>38</v>
      </c>
      <c r="C84" s="18">
        <v>202408</v>
      </c>
      <c r="D84" s="19">
        <v>7585.1</v>
      </c>
      <c r="E84" s="19">
        <v>6897</v>
      </c>
      <c r="F84" s="18">
        <v>5.5</v>
      </c>
      <c r="G84" s="20">
        <v>6.1059999999999999</v>
      </c>
      <c r="H84" s="18">
        <v>17</v>
      </c>
      <c r="I84" s="18">
        <v>340</v>
      </c>
      <c r="J84" s="18">
        <v>50</v>
      </c>
      <c r="K84" s="18">
        <v>13</v>
      </c>
      <c r="L84" s="18">
        <v>8</v>
      </c>
      <c r="M84" s="18"/>
      <c r="N84" s="27">
        <v>38.1</v>
      </c>
      <c r="O84" s="27">
        <v>31.2288</v>
      </c>
      <c r="P84" s="27">
        <v>21.5</v>
      </c>
      <c r="Q84" s="27"/>
      <c r="R84" s="27">
        <v>30.8</v>
      </c>
      <c r="S84" s="27">
        <v>18.600000000000001</v>
      </c>
      <c r="T84" s="27">
        <v>41.8</v>
      </c>
      <c r="U84" s="27"/>
      <c r="V84" s="46">
        <v>22.9</v>
      </c>
      <c r="W84" s="39">
        <v>9.5</v>
      </c>
      <c r="X84" s="39">
        <v>1.6</v>
      </c>
      <c r="Y84" s="29">
        <v>9.6082000000000001</v>
      </c>
      <c r="Z84" s="27">
        <v>6.1</v>
      </c>
      <c r="AA84" s="30">
        <v>11.8</v>
      </c>
      <c r="AB84" s="27">
        <v>7.471500000000006</v>
      </c>
      <c r="AC84" s="27">
        <v>33.003599999999999</v>
      </c>
      <c r="AD84" s="39">
        <v>45.930199999999999</v>
      </c>
      <c r="AE84" s="27">
        <v>28.442399999999999</v>
      </c>
      <c r="AF84" s="27">
        <v>15.2</v>
      </c>
      <c r="AG84" s="27">
        <v>8.1999999999999993</v>
      </c>
      <c r="AH84" s="27">
        <v>8.1999999999999993</v>
      </c>
      <c r="AI84" s="27">
        <v>7.8</v>
      </c>
    </row>
    <row r="85" spans="1:35" ht="15.5" x14ac:dyDescent="0.35">
      <c r="A85" s="17" t="s">
        <v>147</v>
      </c>
      <c r="B85" s="18" t="s">
        <v>35</v>
      </c>
      <c r="C85" s="18">
        <v>202407</v>
      </c>
      <c r="D85" s="19">
        <v>5852.6</v>
      </c>
      <c r="E85" s="19">
        <v>3728.1</v>
      </c>
      <c r="F85" s="18">
        <v>5.5</v>
      </c>
      <c r="G85" s="20">
        <v>6.0860000000000003</v>
      </c>
      <c r="H85" s="18">
        <v>18</v>
      </c>
      <c r="I85" s="18">
        <v>339</v>
      </c>
      <c r="J85" s="18">
        <v>45</v>
      </c>
      <c r="K85" s="18">
        <v>14</v>
      </c>
      <c r="L85" s="18">
        <v>8</v>
      </c>
      <c r="M85" s="18"/>
      <c r="N85" s="27">
        <v>35.799999999999997</v>
      </c>
      <c r="O85" s="27">
        <v>28.816500000000001</v>
      </c>
      <c r="P85" s="27">
        <v>19.5</v>
      </c>
      <c r="Q85" s="27"/>
      <c r="R85" s="27">
        <v>27</v>
      </c>
      <c r="S85" s="27">
        <v>17.2</v>
      </c>
      <c r="T85" s="27">
        <v>37.9</v>
      </c>
      <c r="U85" s="27"/>
      <c r="V85" s="46">
        <v>24.3</v>
      </c>
      <c r="W85" s="39">
        <v>11.6</v>
      </c>
      <c r="X85" s="39">
        <v>1.2</v>
      </c>
      <c r="Y85" s="29">
        <v>3.5412999999999997</v>
      </c>
      <c r="Z85" s="27">
        <v>2.5</v>
      </c>
      <c r="AA85" s="30">
        <v>4.4000000000000004</v>
      </c>
      <c r="AB85" s="27">
        <v>4.5082999999999949</v>
      </c>
      <c r="AC85" s="27">
        <v>32.891300000000001</v>
      </c>
      <c r="AD85" s="39">
        <v>44.180100000000003</v>
      </c>
      <c r="AE85" s="27">
        <v>27.134999999999998</v>
      </c>
      <c r="AF85" s="27">
        <v>13.3</v>
      </c>
      <c r="AG85" s="27">
        <v>9</v>
      </c>
      <c r="AH85" s="27">
        <v>9</v>
      </c>
      <c r="AI85" s="27">
        <v>7.8</v>
      </c>
    </row>
    <row r="86" spans="1:35" ht="15.5" x14ac:dyDescent="0.35">
      <c r="A86" s="17" t="s">
        <v>148</v>
      </c>
      <c r="B86" s="18" t="s">
        <v>32</v>
      </c>
      <c r="C86" s="18">
        <v>202406</v>
      </c>
      <c r="D86" s="19">
        <v>5021.6000000000004</v>
      </c>
      <c r="E86" s="19">
        <v>2730.7</v>
      </c>
      <c r="F86" s="18">
        <v>5.5</v>
      </c>
      <c r="G86" s="20">
        <v>6.0659999999999998</v>
      </c>
      <c r="H86" s="18">
        <v>19</v>
      </c>
      <c r="I86" s="18">
        <v>337</v>
      </c>
      <c r="J86" s="18">
        <v>44</v>
      </c>
      <c r="K86" s="18">
        <v>14</v>
      </c>
      <c r="L86" s="18">
        <v>7</v>
      </c>
      <c r="M86" s="18"/>
      <c r="N86" s="27">
        <v>32.799999999999997</v>
      </c>
      <c r="O86" s="27">
        <v>26.2056</v>
      </c>
      <c r="P86" s="27">
        <v>17.7</v>
      </c>
      <c r="Q86" s="27"/>
      <c r="R86" s="27">
        <v>25</v>
      </c>
      <c r="S86" s="27">
        <v>16.3</v>
      </c>
      <c r="T86" s="27">
        <v>35.1</v>
      </c>
      <c r="U86" s="27"/>
      <c r="V86" s="46">
        <v>21.7</v>
      </c>
      <c r="W86" s="39">
        <v>10.199999999999999</v>
      </c>
      <c r="X86" s="39">
        <v>2</v>
      </c>
      <c r="Y86" s="29">
        <v>2.5901999999999994</v>
      </c>
      <c r="Z86" s="27">
        <v>3</v>
      </c>
      <c r="AA86" s="30">
        <v>2.1</v>
      </c>
      <c r="AB86" s="27">
        <v>1.3289999999999971</v>
      </c>
      <c r="AC86" s="27">
        <v>30.1053</v>
      </c>
      <c r="AD86" s="39">
        <v>36.356400000000001</v>
      </c>
      <c r="AE86" s="27">
        <v>24.557700000000001</v>
      </c>
      <c r="AF86" s="27">
        <v>14.4</v>
      </c>
      <c r="AG86" s="27">
        <v>11.6</v>
      </c>
      <c r="AH86" s="27">
        <v>11.6</v>
      </c>
      <c r="AI86" s="27">
        <v>7.7</v>
      </c>
    </row>
    <row r="87" spans="1:35" ht="15.5" x14ac:dyDescent="0.35">
      <c r="A87" s="17" t="s">
        <v>149</v>
      </c>
      <c r="B87" s="18" t="s">
        <v>29</v>
      </c>
      <c r="C87" s="18">
        <v>202405</v>
      </c>
      <c r="D87" s="19">
        <v>6428.9</v>
      </c>
      <c r="E87" s="19">
        <v>5905.5</v>
      </c>
      <c r="F87" s="18">
        <v>5.5</v>
      </c>
      <c r="G87" s="20">
        <v>6.0519999999999996</v>
      </c>
      <c r="H87" s="18">
        <v>20</v>
      </c>
      <c r="I87" s="18">
        <v>336</v>
      </c>
      <c r="J87" s="18">
        <v>41</v>
      </c>
      <c r="K87" s="18">
        <v>15</v>
      </c>
      <c r="L87" s="18">
        <v>7</v>
      </c>
      <c r="M87" s="18"/>
      <c r="N87" s="27">
        <v>31.3</v>
      </c>
      <c r="O87" s="27">
        <v>24.805299999999999</v>
      </c>
      <c r="P87" s="27">
        <v>16.7</v>
      </c>
      <c r="Q87" s="27"/>
      <c r="R87" s="27">
        <v>23.6</v>
      </c>
      <c r="S87" s="27">
        <v>16.5</v>
      </c>
      <c r="T87" s="27">
        <v>33.1</v>
      </c>
      <c r="U87" s="27"/>
      <c r="V87" s="46">
        <v>20</v>
      </c>
      <c r="W87" s="39">
        <v>10.4</v>
      </c>
      <c r="X87" s="39">
        <v>1.4</v>
      </c>
      <c r="Y87" s="29">
        <v>3.1330999999999989</v>
      </c>
      <c r="Z87" s="27">
        <v>3.1</v>
      </c>
      <c r="AA87" s="30">
        <v>3.1</v>
      </c>
      <c r="AB87" s="27">
        <v>0.28979999999999961</v>
      </c>
      <c r="AC87" s="27">
        <v>26.0901</v>
      </c>
      <c r="AD87" s="39">
        <v>37.456200000000003</v>
      </c>
      <c r="AE87" s="27">
        <v>21.7453</v>
      </c>
      <c r="AF87" s="27">
        <v>13.4</v>
      </c>
      <c r="AG87" s="27">
        <v>8.3000000000000007</v>
      </c>
      <c r="AH87" s="27">
        <v>8.3000000000000007</v>
      </c>
      <c r="AI87" s="27">
        <v>7.4</v>
      </c>
    </row>
    <row r="88" spans="1:35" ht="15.5" x14ac:dyDescent="0.35">
      <c r="A88" s="17" t="s">
        <v>150</v>
      </c>
      <c r="B88" s="18" t="s">
        <v>26</v>
      </c>
      <c r="C88" s="18">
        <v>202404</v>
      </c>
      <c r="D88" s="19">
        <v>5945.6</v>
      </c>
      <c r="E88" s="19">
        <v>5782</v>
      </c>
      <c r="F88" s="18">
        <v>5.5</v>
      </c>
      <c r="G88" s="20">
        <v>6.069</v>
      </c>
      <c r="H88" s="18">
        <v>21</v>
      </c>
      <c r="I88" s="18">
        <v>335</v>
      </c>
      <c r="J88" s="18">
        <v>49</v>
      </c>
      <c r="K88" s="18">
        <v>16</v>
      </c>
      <c r="L88" s="18">
        <v>8</v>
      </c>
      <c r="M88" s="18"/>
      <c r="N88" s="27">
        <v>35.200000000000003</v>
      </c>
      <c r="O88" s="27">
        <v>28.334900000000001</v>
      </c>
      <c r="P88" s="27">
        <v>19.2</v>
      </c>
      <c r="Q88" s="27"/>
      <c r="R88" s="27">
        <v>24.9</v>
      </c>
      <c r="S88" s="27">
        <v>17.2</v>
      </c>
      <c r="T88" s="27">
        <v>32.299999999999997</v>
      </c>
      <c r="U88" s="27"/>
      <c r="V88" s="46">
        <v>22</v>
      </c>
      <c r="W88" s="39">
        <v>12.7</v>
      </c>
      <c r="X88" s="39">
        <v>2.2999999999999998</v>
      </c>
      <c r="Y88" s="29">
        <v>2.5737999999999985</v>
      </c>
      <c r="Z88" s="27">
        <v>1.7</v>
      </c>
      <c r="AA88" s="30">
        <v>3.1</v>
      </c>
      <c r="AB88" s="27">
        <v>-0.21899999999999764</v>
      </c>
      <c r="AC88" s="27">
        <v>28.508299999999998</v>
      </c>
      <c r="AD88" s="39">
        <v>36.780200000000001</v>
      </c>
      <c r="AE88" s="27">
        <v>20.372499999999999</v>
      </c>
      <c r="AF88" s="27">
        <v>12</v>
      </c>
      <c r="AG88" s="27">
        <v>9.1</v>
      </c>
      <c r="AH88" s="27">
        <v>9.1</v>
      </c>
      <c r="AI88" s="27">
        <v>8.5</v>
      </c>
    </row>
    <row r="89" spans="1:35" ht="15.5" x14ac:dyDescent="0.35">
      <c r="A89" s="17" t="s">
        <v>151</v>
      </c>
      <c r="B89" s="18" t="s">
        <v>23</v>
      </c>
      <c r="C89" s="18">
        <v>202403</v>
      </c>
      <c r="D89" s="19">
        <v>5412.6</v>
      </c>
      <c r="E89" s="19">
        <v>5253.6</v>
      </c>
      <c r="F89" s="18">
        <v>5.5</v>
      </c>
      <c r="G89" s="20">
        <v>6.0540000000000003</v>
      </c>
      <c r="H89" s="18">
        <v>22</v>
      </c>
      <c r="I89" s="18">
        <v>334</v>
      </c>
      <c r="J89" s="18">
        <v>51</v>
      </c>
      <c r="K89" s="18">
        <v>17</v>
      </c>
      <c r="L89" s="18">
        <v>8</v>
      </c>
      <c r="M89" s="18"/>
      <c r="N89" s="27">
        <v>35.700000000000003</v>
      </c>
      <c r="O89" s="27">
        <v>28.930199999999999</v>
      </c>
      <c r="P89" s="27">
        <v>20</v>
      </c>
      <c r="Q89" s="27"/>
      <c r="R89" s="27">
        <v>25.9</v>
      </c>
      <c r="S89" s="27">
        <v>17.2</v>
      </c>
      <c r="T89" s="27">
        <v>33.799999999999997</v>
      </c>
      <c r="U89" s="27"/>
      <c r="V89" s="46">
        <v>18.7</v>
      </c>
      <c r="W89" s="39">
        <v>8.6</v>
      </c>
      <c r="X89" s="39">
        <v>1.8</v>
      </c>
      <c r="Y89" s="29">
        <v>5.8287000000000013</v>
      </c>
      <c r="Z89" s="27">
        <v>5.2</v>
      </c>
      <c r="AA89" s="30">
        <v>6.3</v>
      </c>
      <c r="AB89" s="27">
        <v>2.4476000000000013</v>
      </c>
      <c r="AC89" s="27">
        <v>29.461500000000001</v>
      </c>
      <c r="AD89" s="39">
        <v>32.556400000000004</v>
      </c>
      <c r="AE89" s="27">
        <v>18.434200000000001</v>
      </c>
      <c r="AF89" s="27">
        <v>12.1</v>
      </c>
      <c r="AG89" s="27">
        <v>9.6</v>
      </c>
      <c r="AH89" s="27">
        <v>9.6</v>
      </c>
      <c r="AI89" s="27">
        <v>9.4</v>
      </c>
    </row>
    <row r="90" spans="1:35" ht="15.5" x14ac:dyDescent="0.35">
      <c r="A90" s="17" t="s">
        <v>152</v>
      </c>
      <c r="B90" s="18" t="s">
        <v>20</v>
      </c>
      <c r="C90" s="18">
        <v>202402</v>
      </c>
      <c r="D90" s="19">
        <v>5222.3999999999996</v>
      </c>
      <c r="E90" s="19">
        <v>5037.8</v>
      </c>
      <c r="F90" s="18">
        <v>5.5</v>
      </c>
      <c r="G90" s="20">
        <v>6.0419999999999998</v>
      </c>
      <c r="H90" s="18">
        <v>24</v>
      </c>
      <c r="I90" s="18">
        <v>332</v>
      </c>
      <c r="J90" s="18">
        <v>53</v>
      </c>
      <c r="K90" s="18">
        <v>17</v>
      </c>
      <c r="L90" s="18">
        <v>8</v>
      </c>
      <c r="M90" s="18"/>
      <c r="N90" s="27">
        <v>33.1</v>
      </c>
      <c r="O90" s="27">
        <v>27.028500000000001</v>
      </c>
      <c r="P90" s="27">
        <v>18.8</v>
      </c>
      <c r="Q90" s="27"/>
      <c r="R90" s="27">
        <v>25.9</v>
      </c>
      <c r="S90" s="27">
        <v>17.899999999999999</v>
      </c>
      <c r="T90" s="27">
        <v>32.6</v>
      </c>
      <c r="U90" s="27"/>
      <c r="V90" s="46">
        <v>18.399999999999999</v>
      </c>
      <c r="W90" s="39">
        <v>9</v>
      </c>
      <c r="X90" s="39">
        <v>2.6</v>
      </c>
      <c r="Y90" s="29">
        <v>0.43370000000000175</v>
      </c>
      <c r="Z90" s="27">
        <v>5.0999999999999996</v>
      </c>
      <c r="AA90" s="30">
        <v>6.3</v>
      </c>
      <c r="AB90" s="27">
        <v>0.20919999999999916</v>
      </c>
      <c r="AC90" s="27">
        <v>23.830000000000002</v>
      </c>
      <c r="AD90" s="39">
        <v>29.487200000000001</v>
      </c>
      <c r="AE90" s="27">
        <v>13.632400000000001</v>
      </c>
      <c r="AF90" s="27">
        <v>11.9</v>
      </c>
      <c r="AG90" s="27">
        <v>10.8</v>
      </c>
      <c r="AH90" s="27">
        <v>10.8</v>
      </c>
      <c r="AI90" s="27">
        <v>8.1</v>
      </c>
    </row>
    <row r="91" spans="1:35" ht="15.5" x14ac:dyDescent="0.35">
      <c r="N91" s="21"/>
      <c r="O91" s="21"/>
      <c r="P91" s="21"/>
      <c r="Q91" s="21"/>
      <c r="R91" s="21"/>
      <c r="S91" s="21"/>
      <c r="T91" s="21"/>
      <c r="U91" s="21"/>
      <c r="V91" s="21"/>
      <c r="W91" s="21"/>
      <c r="X91" s="21"/>
      <c r="Y91" s="21"/>
    </row>
    <row r="92" spans="1:35" ht="15.5" x14ac:dyDescent="0.35">
      <c r="N92" s="21"/>
      <c r="O92" s="21"/>
      <c r="P92" s="21"/>
      <c r="Q92" s="21"/>
      <c r="R92" s="21"/>
      <c r="S92" s="21"/>
      <c r="T92" s="21"/>
      <c r="U92" s="21"/>
      <c r="V92" s="21"/>
      <c r="W92" s="21"/>
      <c r="X92" s="21"/>
      <c r="Y92" s="21"/>
    </row>
    <row r="93" spans="1:35" ht="18" customHeight="1" thickBot="1" x14ac:dyDescent="0.45">
      <c r="A93" s="7"/>
      <c r="B93" s="7"/>
      <c r="C93" s="26" t="s">
        <v>173</v>
      </c>
      <c r="D93" s="26" t="s">
        <v>168</v>
      </c>
      <c r="E93" s="26" t="s">
        <v>170</v>
      </c>
      <c r="F93" s="7"/>
      <c r="G93" s="7"/>
      <c r="H93" s="7"/>
      <c r="I93" s="7"/>
      <c r="J93" s="26" t="s">
        <v>77</v>
      </c>
      <c r="K93" s="7" t="s">
        <v>78</v>
      </c>
      <c r="L93" s="7"/>
      <c r="M93" s="7"/>
      <c r="N93" s="52" t="s">
        <v>229</v>
      </c>
      <c r="O93" s="53"/>
      <c r="P93" s="54"/>
      <c r="Q93" s="9"/>
      <c r="R93" s="52" t="s">
        <v>218</v>
      </c>
      <c r="S93" s="53"/>
      <c r="T93" s="54"/>
      <c r="U93" s="9"/>
      <c r="V93" s="52" t="s">
        <v>228</v>
      </c>
      <c r="W93" s="53"/>
      <c r="X93" s="54"/>
      <c r="Y93" s="55" t="s">
        <v>227</v>
      </c>
      <c r="Z93" s="56"/>
      <c r="AA93" s="57"/>
      <c r="AB93" s="58" t="s">
        <v>79</v>
      </c>
      <c r="AC93" s="58"/>
      <c r="AD93" s="58"/>
      <c r="AE93" s="58"/>
      <c r="AF93" s="58"/>
      <c r="AG93" s="58"/>
      <c r="AH93" s="58"/>
      <c r="AI93" s="56"/>
    </row>
    <row r="94" spans="1:35" ht="18" customHeight="1" thickBot="1" x14ac:dyDescent="0.4">
      <c r="A94" s="8" t="s">
        <v>80</v>
      </c>
      <c r="B94" s="9" t="s">
        <v>81</v>
      </c>
      <c r="C94" s="9" t="s">
        <v>174</v>
      </c>
      <c r="D94" s="9" t="s">
        <v>169</v>
      </c>
      <c r="E94" s="9" t="s">
        <v>172</v>
      </c>
      <c r="F94" s="9" t="s">
        <v>171</v>
      </c>
      <c r="G94" s="9" t="s">
        <v>10</v>
      </c>
      <c r="H94" s="9" t="s">
        <v>12</v>
      </c>
      <c r="I94" s="9" t="s">
        <v>11</v>
      </c>
      <c r="J94" s="9" t="s">
        <v>82</v>
      </c>
      <c r="K94" s="9" t="s">
        <v>83</v>
      </c>
      <c r="L94" s="9" t="s">
        <v>82</v>
      </c>
      <c r="M94" s="9"/>
      <c r="N94" s="41" t="s">
        <v>162</v>
      </c>
      <c r="O94" s="9" t="s">
        <v>161</v>
      </c>
      <c r="P94" s="42" t="s">
        <v>160</v>
      </c>
      <c r="Q94" s="9"/>
      <c r="R94" s="10" t="s">
        <v>84</v>
      </c>
      <c r="S94" s="9" t="s">
        <v>83</v>
      </c>
      <c r="T94" s="11" t="s">
        <v>82</v>
      </c>
      <c r="U94" s="9"/>
      <c r="V94" s="10" t="s">
        <v>84</v>
      </c>
      <c r="W94" s="9" t="s">
        <v>83</v>
      </c>
      <c r="X94" s="11" t="s">
        <v>82</v>
      </c>
      <c r="Y94" s="10" t="s">
        <v>84</v>
      </c>
      <c r="Z94" s="9" t="s">
        <v>83</v>
      </c>
      <c r="AA94" s="11" t="s">
        <v>82</v>
      </c>
      <c r="AB94" s="44" t="s">
        <v>226</v>
      </c>
      <c r="AC94" s="44" t="s">
        <v>219</v>
      </c>
      <c r="AD94" s="10" t="s">
        <v>177</v>
      </c>
      <c r="AE94" s="10" t="s">
        <v>175</v>
      </c>
      <c r="AF94" s="9" t="s">
        <v>159</v>
      </c>
      <c r="AG94" s="9" t="s">
        <v>159</v>
      </c>
      <c r="AH94" s="9" t="s">
        <v>85</v>
      </c>
      <c r="AI94" s="9" t="s">
        <v>86</v>
      </c>
    </row>
    <row r="95" spans="1:35" ht="15.5" x14ac:dyDescent="0.35">
      <c r="A95" s="12" t="s">
        <v>189</v>
      </c>
      <c r="B95" s="13" t="s">
        <v>190</v>
      </c>
      <c r="C95" s="13">
        <v>202601</v>
      </c>
      <c r="D95" s="14">
        <v>8995.7999999999993</v>
      </c>
      <c r="E95" s="14">
        <v>13622.3</v>
      </c>
      <c r="F95" s="13">
        <v>5</v>
      </c>
      <c r="G95" s="15">
        <v>5.55</v>
      </c>
      <c r="H95" s="13">
        <v>0</v>
      </c>
      <c r="I95" s="13">
        <v>359</v>
      </c>
      <c r="J95" s="13">
        <v>78</v>
      </c>
      <c r="K95" s="13">
        <v>100</v>
      </c>
      <c r="L95" s="13">
        <v>100</v>
      </c>
      <c r="M95" s="13"/>
      <c r="N95" s="36">
        <v>1.5</v>
      </c>
      <c r="O95" s="36">
        <v>1.4337</v>
      </c>
      <c r="P95" s="27">
        <v>1.2</v>
      </c>
      <c r="Q95" s="36"/>
      <c r="R95" s="36">
        <v>1</v>
      </c>
      <c r="S95" s="36">
        <v>0.5</v>
      </c>
      <c r="T95" s="36">
        <v>1.2</v>
      </c>
      <c r="U95" s="36">
        <v>-0.12639999999999998</v>
      </c>
      <c r="V95" s="27">
        <v>0.1</v>
      </c>
      <c r="W95" s="27">
        <v>0.1</v>
      </c>
      <c r="X95" s="27">
        <v>0</v>
      </c>
      <c r="Y95" s="35"/>
      <c r="Z95" s="36"/>
      <c r="AA95" s="37"/>
      <c r="AB95" s="33"/>
      <c r="AC95" s="33"/>
      <c r="AD95" s="43"/>
      <c r="AE95" s="43"/>
      <c r="AF95" s="43"/>
      <c r="AG95" s="43"/>
      <c r="AH95" s="43"/>
      <c r="AI95" s="43"/>
    </row>
    <row r="96" spans="1:35" ht="15.5" x14ac:dyDescent="0.35">
      <c r="A96" s="17" t="s">
        <v>191</v>
      </c>
      <c r="B96" s="18" t="s">
        <v>192</v>
      </c>
      <c r="C96" s="18">
        <v>202512</v>
      </c>
      <c r="D96" s="19">
        <v>13886.3</v>
      </c>
      <c r="E96" s="19">
        <v>13858.7</v>
      </c>
      <c r="F96" s="18">
        <v>5</v>
      </c>
      <c r="G96" s="20">
        <v>5.5620000000000003</v>
      </c>
      <c r="H96" s="18">
        <v>1</v>
      </c>
      <c r="I96" s="18">
        <v>357</v>
      </c>
      <c r="J96" s="18">
        <v>77</v>
      </c>
      <c r="K96" s="18">
        <v>100</v>
      </c>
      <c r="L96" s="18">
        <v>100</v>
      </c>
      <c r="M96" s="18"/>
      <c r="N96" s="27">
        <v>1.7</v>
      </c>
      <c r="O96" s="27">
        <v>1.6681000000000001</v>
      </c>
      <c r="P96" s="27">
        <v>1.5</v>
      </c>
      <c r="Q96" s="27"/>
      <c r="R96" s="27">
        <v>1.5</v>
      </c>
      <c r="S96" s="27">
        <v>1</v>
      </c>
      <c r="T96" s="27">
        <v>1.7</v>
      </c>
      <c r="U96" s="27">
        <v>0.28380000000000005</v>
      </c>
      <c r="V96" s="27">
        <v>0.6</v>
      </c>
      <c r="W96" s="27">
        <v>0.7</v>
      </c>
      <c r="X96" s="27">
        <v>0.1</v>
      </c>
      <c r="Y96" s="29">
        <v>-0.12639999999999998</v>
      </c>
      <c r="Z96" s="27">
        <v>-0.2</v>
      </c>
      <c r="AA96" s="30">
        <v>0.4</v>
      </c>
      <c r="AB96" s="46"/>
      <c r="AC96" s="46"/>
      <c r="AD96" s="39"/>
      <c r="AE96" s="39"/>
      <c r="AF96" s="39"/>
      <c r="AG96" s="39"/>
      <c r="AH96" s="39"/>
      <c r="AI96" s="39"/>
    </row>
    <row r="97" spans="1:35" ht="15.5" x14ac:dyDescent="0.35">
      <c r="A97" s="17" t="s">
        <v>193</v>
      </c>
      <c r="B97" s="18" t="s">
        <v>194</v>
      </c>
      <c r="C97" s="18">
        <v>202511</v>
      </c>
      <c r="D97" s="19">
        <v>14311.8</v>
      </c>
      <c r="E97" s="19">
        <v>14273.9</v>
      </c>
      <c r="F97" s="18">
        <v>5</v>
      </c>
      <c r="G97" s="20">
        <v>5.5590000000000002</v>
      </c>
      <c r="H97" s="18">
        <v>2</v>
      </c>
      <c r="I97" s="18">
        <v>356</v>
      </c>
      <c r="J97" s="18">
        <v>78</v>
      </c>
      <c r="K97" s="18">
        <v>100</v>
      </c>
      <c r="L97" s="18">
        <v>100</v>
      </c>
      <c r="M97" s="18"/>
      <c r="N97" s="27">
        <v>1.9</v>
      </c>
      <c r="O97" s="27">
        <v>1.9446999999999999</v>
      </c>
      <c r="P97" s="27">
        <v>1.8</v>
      </c>
      <c r="Q97" s="27"/>
      <c r="R97" s="27">
        <v>1.7</v>
      </c>
      <c r="S97" s="27">
        <v>1.3</v>
      </c>
      <c r="T97" s="27">
        <v>1.8</v>
      </c>
      <c r="U97" s="27">
        <v>-2.8200000000000003E-2</v>
      </c>
      <c r="V97" s="27">
        <v>1.3</v>
      </c>
      <c r="W97" s="27">
        <v>0.9</v>
      </c>
      <c r="X97" s="27">
        <v>0.5</v>
      </c>
      <c r="Y97" s="29" t="s">
        <v>230</v>
      </c>
      <c r="Z97" s="27">
        <v>0</v>
      </c>
      <c r="AA97" s="30">
        <v>0</v>
      </c>
      <c r="AB97" s="46">
        <v>1.6490999999999998</v>
      </c>
      <c r="AC97" s="46"/>
      <c r="AD97" s="39"/>
      <c r="AE97" s="39"/>
      <c r="AF97" s="39"/>
      <c r="AG97" s="39"/>
      <c r="AH97" s="39"/>
      <c r="AI97" s="39"/>
    </row>
    <row r="98" spans="1:35" ht="15.5" x14ac:dyDescent="0.35">
      <c r="A98" s="17" t="s">
        <v>195</v>
      </c>
      <c r="B98" s="18" t="s">
        <v>196</v>
      </c>
      <c r="C98" s="18">
        <v>202510</v>
      </c>
      <c r="D98" s="19">
        <v>7513</v>
      </c>
      <c r="E98" s="19">
        <v>7495.7</v>
      </c>
      <c r="F98" s="18">
        <v>5</v>
      </c>
      <c r="G98" s="20">
        <v>5.57</v>
      </c>
      <c r="H98" s="18">
        <v>3</v>
      </c>
      <c r="I98" s="18">
        <v>355</v>
      </c>
      <c r="J98" s="18">
        <v>71</v>
      </c>
      <c r="K98" s="18">
        <v>100</v>
      </c>
      <c r="L98" s="18">
        <v>100</v>
      </c>
      <c r="M98" s="18"/>
      <c r="N98" s="27">
        <v>2.4</v>
      </c>
      <c r="O98" s="27">
        <v>2.3637999999999999</v>
      </c>
      <c r="P98" s="27">
        <v>2.2000000000000002</v>
      </c>
      <c r="Q98" s="27"/>
      <c r="R98" s="27">
        <v>2</v>
      </c>
      <c r="S98" s="27">
        <v>1.8</v>
      </c>
      <c r="T98" s="27">
        <v>2.1</v>
      </c>
      <c r="U98" s="27">
        <v>0.34799999999999986</v>
      </c>
      <c r="V98" s="27">
        <v>1.1000000000000001</v>
      </c>
      <c r="W98" s="27">
        <v>1.6</v>
      </c>
      <c r="X98" s="27">
        <v>0.1</v>
      </c>
      <c r="Y98" s="29">
        <v>-2.8200000000000003E-2</v>
      </c>
      <c r="Z98" s="27">
        <v>-0.6</v>
      </c>
      <c r="AA98" s="30">
        <v>0.8</v>
      </c>
      <c r="AB98" s="46">
        <v>1.5170000000000001</v>
      </c>
      <c r="AC98" s="46"/>
      <c r="AD98" s="39"/>
      <c r="AE98" s="39"/>
      <c r="AF98" s="39"/>
      <c r="AG98" s="39"/>
      <c r="AH98" s="39"/>
      <c r="AI98" s="39"/>
    </row>
    <row r="99" spans="1:35" ht="15.5" x14ac:dyDescent="0.35">
      <c r="A99" s="17" t="s">
        <v>197</v>
      </c>
      <c r="B99" s="18" t="s">
        <v>198</v>
      </c>
      <c r="C99" s="18">
        <v>202509</v>
      </c>
      <c r="D99" s="19">
        <v>3263.4</v>
      </c>
      <c r="E99" s="19">
        <v>3255.3</v>
      </c>
      <c r="F99" s="18">
        <v>5</v>
      </c>
      <c r="G99" s="20">
        <v>5.57</v>
      </c>
      <c r="H99" s="18">
        <v>4</v>
      </c>
      <c r="I99" s="18">
        <v>354</v>
      </c>
      <c r="J99" s="18">
        <v>59</v>
      </c>
      <c r="K99" s="18">
        <v>100</v>
      </c>
      <c r="L99" s="18">
        <v>100</v>
      </c>
      <c r="M99" s="18"/>
      <c r="N99" s="27">
        <v>3.9</v>
      </c>
      <c r="O99" s="27">
        <v>3.3959000000000001</v>
      </c>
      <c r="P99" s="27">
        <v>2.8</v>
      </c>
      <c r="Q99" s="27"/>
      <c r="R99" s="27">
        <v>2.5</v>
      </c>
      <c r="S99" s="27">
        <v>2.1</v>
      </c>
      <c r="T99" s="27">
        <v>2.9</v>
      </c>
      <c r="U99" s="27">
        <v>0.79610000000000003</v>
      </c>
      <c r="V99" s="27">
        <v>1</v>
      </c>
      <c r="W99" s="27">
        <v>0.9</v>
      </c>
      <c r="X99" s="27">
        <v>0</v>
      </c>
      <c r="Y99" s="29">
        <v>0.34799999999999986</v>
      </c>
      <c r="Z99" s="27">
        <v>0.5</v>
      </c>
      <c r="AA99" s="30">
        <v>1</v>
      </c>
      <c r="AB99" s="46">
        <v>1.5217000000000001</v>
      </c>
      <c r="AC99" s="46"/>
      <c r="AD99" s="39"/>
      <c r="AE99" s="39"/>
      <c r="AF99" s="39"/>
      <c r="AG99" s="39"/>
      <c r="AH99" s="39"/>
      <c r="AI99" s="39"/>
    </row>
    <row r="100" spans="1:35" ht="15.5" x14ac:dyDescent="0.35">
      <c r="A100" s="17" t="s">
        <v>199</v>
      </c>
      <c r="B100" s="18" t="s">
        <v>200</v>
      </c>
      <c r="C100" s="18">
        <v>202508</v>
      </c>
      <c r="D100" s="19">
        <v>2172.3000000000002</v>
      </c>
      <c r="E100" s="19">
        <v>2167.3000000000002</v>
      </c>
      <c r="F100" s="18">
        <v>5</v>
      </c>
      <c r="G100" s="20">
        <v>5.556</v>
      </c>
      <c r="H100" s="18">
        <v>6</v>
      </c>
      <c r="I100" s="18">
        <v>352</v>
      </c>
      <c r="J100" s="18">
        <v>50</v>
      </c>
      <c r="K100" s="18">
        <v>93</v>
      </c>
      <c r="L100" s="18">
        <v>96</v>
      </c>
      <c r="M100" s="18"/>
      <c r="N100" s="27">
        <v>11.2</v>
      </c>
      <c r="O100" s="27">
        <v>8.2524999999999995</v>
      </c>
      <c r="P100" s="27">
        <v>3.7</v>
      </c>
      <c r="Q100" s="27"/>
      <c r="R100" s="27">
        <v>3.5</v>
      </c>
      <c r="S100" s="27">
        <v>2.8</v>
      </c>
      <c r="T100" s="27">
        <v>4.2</v>
      </c>
      <c r="U100" s="27">
        <v>1.1819999999999997</v>
      </c>
      <c r="V100" s="27">
        <v>1.1000000000000001</v>
      </c>
      <c r="W100" s="27">
        <v>0.5</v>
      </c>
      <c r="X100" s="27">
        <v>0.5</v>
      </c>
      <c r="Y100" s="29">
        <v>0.79610000000000003</v>
      </c>
      <c r="Z100" s="27">
        <v>1.4</v>
      </c>
      <c r="AA100" s="30">
        <v>0.9</v>
      </c>
      <c r="AB100" s="46">
        <v>2.1720000000000002</v>
      </c>
      <c r="AC100" s="46"/>
      <c r="AD100" s="39"/>
      <c r="AE100" s="39"/>
      <c r="AF100" s="39"/>
      <c r="AG100" s="39"/>
      <c r="AH100" s="39"/>
      <c r="AI100" s="39"/>
    </row>
    <row r="101" spans="1:35" ht="15.5" x14ac:dyDescent="0.35">
      <c r="A101" s="17" t="s">
        <v>201</v>
      </c>
      <c r="B101" s="18" t="s">
        <v>202</v>
      </c>
      <c r="C101" s="18">
        <v>202507</v>
      </c>
      <c r="D101" s="19">
        <v>2215.6</v>
      </c>
      <c r="E101" s="19">
        <v>2207.1999999999998</v>
      </c>
      <c r="F101" s="18">
        <v>5</v>
      </c>
      <c r="G101" s="20">
        <v>5.5510000000000002</v>
      </c>
      <c r="H101" s="18">
        <v>7</v>
      </c>
      <c r="I101" s="18">
        <v>351</v>
      </c>
      <c r="J101" s="18">
        <v>46</v>
      </c>
      <c r="K101" s="18">
        <v>70</v>
      </c>
      <c r="L101" s="18">
        <v>74</v>
      </c>
      <c r="M101" s="18"/>
      <c r="N101" s="27">
        <v>31.2</v>
      </c>
      <c r="O101" s="27">
        <v>25.0105</v>
      </c>
      <c r="P101" s="27">
        <v>8.1999999999999993</v>
      </c>
      <c r="Q101" s="27"/>
      <c r="R101" s="27">
        <v>9.1999999999999993</v>
      </c>
      <c r="S101" s="27">
        <v>4.5999999999999996</v>
      </c>
      <c r="T101" s="27">
        <v>14.2</v>
      </c>
      <c r="U101" s="27">
        <v>4.5919000000000008</v>
      </c>
      <c r="V101" s="27">
        <v>2.8</v>
      </c>
      <c r="W101" s="27">
        <v>1.9</v>
      </c>
      <c r="X101" s="27">
        <v>0.5</v>
      </c>
      <c r="Y101" s="29">
        <v>1.1819999999999997</v>
      </c>
      <c r="Z101" s="27">
        <v>1.2</v>
      </c>
      <c r="AA101" s="30">
        <v>-0.2</v>
      </c>
      <c r="AB101" s="46">
        <v>1.8461000000000003</v>
      </c>
      <c r="AC101" s="46"/>
      <c r="AD101" s="39"/>
      <c r="AE101" s="39"/>
      <c r="AF101" s="39"/>
      <c r="AG101" s="39"/>
      <c r="AH101" s="39"/>
      <c r="AI101" s="39"/>
    </row>
    <row r="102" spans="1:35" ht="15.5" x14ac:dyDescent="0.35">
      <c r="A102" s="17" t="s">
        <v>203</v>
      </c>
      <c r="B102" s="18" t="s">
        <v>204</v>
      </c>
      <c r="C102" s="18">
        <v>202506</v>
      </c>
      <c r="D102" s="19">
        <v>4036.5</v>
      </c>
      <c r="E102" s="19">
        <v>4007.1</v>
      </c>
      <c r="F102" s="18">
        <v>5</v>
      </c>
      <c r="G102" s="20">
        <v>5.5659999999999998</v>
      </c>
      <c r="H102" s="18">
        <v>7</v>
      </c>
      <c r="I102" s="18">
        <v>351</v>
      </c>
      <c r="J102" s="18">
        <v>58</v>
      </c>
      <c r="K102" s="18">
        <v>6</v>
      </c>
      <c r="L102" s="18">
        <v>4</v>
      </c>
      <c r="M102" s="18"/>
      <c r="N102" s="27">
        <v>32.799999999999997</v>
      </c>
      <c r="O102" s="27">
        <v>27.806999999999999</v>
      </c>
      <c r="P102" s="27">
        <v>9.1</v>
      </c>
      <c r="Q102" s="27"/>
      <c r="R102" s="27">
        <v>32</v>
      </c>
      <c r="S102" s="27">
        <v>5.8</v>
      </c>
      <c r="T102" s="27">
        <v>46.9</v>
      </c>
      <c r="U102" s="27">
        <v>-3.3128999999999995</v>
      </c>
      <c r="V102" s="27">
        <v>6.7</v>
      </c>
      <c r="W102" s="27">
        <v>3.3</v>
      </c>
      <c r="X102" s="27">
        <v>0.3</v>
      </c>
      <c r="Y102" s="29">
        <v>4.5919000000000008</v>
      </c>
      <c r="Z102" s="27">
        <v>1.2</v>
      </c>
      <c r="AA102" s="30">
        <v>0.4</v>
      </c>
      <c r="AB102" s="46">
        <v>-6.3597999999999999</v>
      </c>
      <c r="AC102" s="46"/>
      <c r="AD102" s="39"/>
      <c r="AE102" s="39"/>
      <c r="AF102" s="39"/>
      <c r="AG102" s="39"/>
      <c r="AH102" s="39"/>
      <c r="AI102" s="39"/>
    </row>
    <row r="103" spans="1:35" ht="15.5" x14ac:dyDescent="0.35">
      <c r="A103" s="17" t="s">
        <v>205</v>
      </c>
      <c r="B103" s="18" t="s">
        <v>206</v>
      </c>
      <c r="C103" s="18">
        <v>202505</v>
      </c>
      <c r="D103" s="19">
        <v>6516.5</v>
      </c>
      <c r="E103" s="19">
        <v>6370.7</v>
      </c>
      <c r="F103" s="18">
        <v>5</v>
      </c>
      <c r="G103" s="20">
        <v>5.5869999999999997</v>
      </c>
      <c r="H103" s="18">
        <v>8</v>
      </c>
      <c r="I103" s="18">
        <v>350</v>
      </c>
      <c r="J103" s="18">
        <v>61</v>
      </c>
      <c r="K103" s="18">
        <v>7</v>
      </c>
      <c r="L103" s="18">
        <v>5</v>
      </c>
      <c r="M103" s="18"/>
      <c r="N103" s="27">
        <v>32.9</v>
      </c>
      <c r="O103" s="27">
        <v>29.258699999999997</v>
      </c>
      <c r="P103" s="27">
        <v>9.9</v>
      </c>
      <c r="Q103" s="27"/>
      <c r="R103" s="27">
        <v>24</v>
      </c>
      <c r="S103" s="27">
        <v>5.5</v>
      </c>
      <c r="T103" s="27">
        <v>34.1</v>
      </c>
      <c r="U103" s="27">
        <v>6.5218999999999987</v>
      </c>
      <c r="V103" s="27">
        <v>16.5</v>
      </c>
      <c r="W103" s="27">
        <v>4.5</v>
      </c>
      <c r="X103" s="27">
        <v>0.3</v>
      </c>
      <c r="Y103" s="29">
        <v>-3.3128999999999995</v>
      </c>
      <c r="Z103" s="27">
        <v>0.7</v>
      </c>
      <c r="AA103" s="30">
        <v>9.4</v>
      </c>
      <c r="AB103" s="46">
        <v>1.3031999999999995</v>
      </c>
      <c r="AC103" s="46"/>
      <c r="AD103" s="39"/>
      <c r="AE103" s="39"/>
      <c r="AF103" s="39"/>
      <c r="AG103" s="39"/>
      <c r="AH103" s="39"/>
      <c r="AI103" s="39"/>
    </row>
    <row r="104" spans="1:35" ht="15.5" x14ac:dyDescent="0.35">
      <c r="A104" s="17" t="s">
        <v>207</v>
      </c>
      <c r="B104" s="18" t="s">
        <v>208</v>
      </c>
      <c r="C104" s="18">
        <v>202504</v>
      </c>
      <c r="D104" s="19">
        <v>3779.1</v>
      </c>
      <c r="E104" s="19">
        <v>3731.8</v>
      </c>
      <c r="F104" s="18">
        <v>5</v>
      </c>
      <c r="G104" s="20">
        <v>5.5659999999999998</v>
      </c>
      <c r="H104" s="18">
        <v>9</v>
      </c>
      <c r="I104" s="18">
        <v>349</v>
      </c>
      <c r="J104" s="18">
        <v>56</v>
      </c>
      <c r="K104" s="18">
        <v>8</v>
      </c>
      <c r="L104" s="18">
        <v>8</v>
      </c>
      <c r="M104" s="18"/>
      <c r="N104" s="27">
        <v>30.7</v>
      </c>
      <c r="O104" s="27">
        <v>26.771699999999999</v>
      </c>
      <c r="P104" s="27">
        <v>9.6999999999999993</v>
      </c>
      <c r="Q104" s="27"/>
      <c r="R104" s="27">
        <v>20.100000000000001</v>
      </c>
      <c r="S104" s="27">
        <v>4.7</v>
      </c>
      <c r="T104" s="27">
        <v>31</v>
      </c>
      <c r="U104" s="27">
        <v>1.133799999999999</v>
      </c>
      <c r="V104" s="27">
        <v>12.6</v>
      </c>
      <c r="W104" s="27">
        <v>3.9</v>
      </c>
      <c r="X104" s="27">
        <v>1.5</v>
      </c>
      <c r="Y104" s="29">
        <v>6.5218999999999987</v>
      </c>
      <c r="Z104" s="27">
        <v>0</v>
      </c>
      <c r="AA104" s="30">
        <v>1.9</v>
      </c>
      <c r="AB104" s="46">
        <v>0.78300000000000125</v>
      </c>
      <c r="AC104" s="46"/>
      <c r="AD104" s="39"/>
      <c r="AE104" s="39"/>
      <c r="AF104" s="39"/>
      <c r="AG104" s="39"/>
      <c r="AH104" s="39"/>
      <c r="AI104" s="39"/>
    </row>
    <row r="105" spans="1:35" ht="15.5" x14ac:dyDescent="0.35">
      <c r="A105" s="17" t="s">
        <v>209</v>
      </c>
      <c r="B105" s="18" t="s">
        <v>210</v>
      </c>
      <c r="C105" s="18">
        <v>202503</v>
      </c>
      <c r="D105" s="19">
        <v>1845.7</v>
      </c>
      <c r="E105" s="19">
        <v>1827.2</v>
      </c>
      <c r="F105" s="18">
        <v>5</v>
      </c>
      <c r="G105" s="20">
        <v>5.5839999999999996</v>
      </c>
      <c r="H105" s="18">
        <v>11</v>
      </c>
      <c r="I105" s="18">
        <v>347</v>
      </c>
      <c r="J105" s="18">
        <v>45</v>
      </c>
      <c r="K105" s="18">
        <v>9</v>
      </c>
      <c r="L105" s="18">
        <v>8</v>
      </c>
      <c r="M105" s="18"/>
      <c r="N105" s="27">
        <v>25.6</v>
      </c>
      <c r="O105" s="27">
        <v>22.878799999999998</v>
      </c>
      <c r="P105" s="27">
        <v>9.1</v>
      </c>
      <c r="Q105" s="27"/>
      <c r="R105" s="27">
        <v>16.899999999999999</v>
      </c>
      <c r="S105" s="27">
        <v>6.4</v>
      </c>
      <c r="T105" s="27">
        <v>28.6</v>
      </c>
      <c r="U105" s="27">
        <v>3.7561</v>
      </c>
      <c r="V105" s="27">
        <v>9.6999999999999993</v>
      </c>
      <c r="W105" s="27">
        <v>3.2</v>
      </c>
      <c r="X105" s="27">
        <v>1.8</v>
      </c>
      <c r="Y105" s="29">
        <v>1.133799999999999</v>
      </c>
      <c r="Z105" s="27">
        <v>2.2000000000000002</v>
      </c>
      <c r="AA105" s="30">
        <v>3.2</v>
      </c>
      <c r="AB105" s="46">
        <v>-1.5849999999999991</v>
      </c>
      <c r="AC105" s="46"/>
      <c r="AD105" s="39"/>
      <c r="AE105" s="39"/>
      <c r="AF105" s="39"/>
      <c r="AG105" s="39"/>
      <c r="AH105" s="39"/>
      <c r="AI105" s="39"/>
    </row>
    <row r="106" spans="1:35" ht="15.5" x14ac:dyDescent="0.35">
      <c r="A106" s="17" t="s">
        <v>211</v>
      </c>
      <c r="B106" s="18" t="s">
        <v>212</v>
      </c>
      <c r="C106" s="18">
        <v>202502</v>
      </c>
      <c r="D106" s="19">
        <v>3261.2</v>
      </c>
      <c r="E106" s="19">
        <v>3227.2</v>
      </c>
      <c r="F106" s="18">
        <v>5</v>
      </c>
      <c r="G106" s="20">
        <v>5.5890000000000004</v>
      </c>
      <c r="H106" s="18">
        <v>11</v>
      </c>
      <c r="I106" s="18">
        <v>346</v>
      </c>
      <c r="J106" s="18">
        <v>51</v>
      </c>
      <c r="K106" s="18">
        <v>10</v>
      </c>
      <c r="L106" s="18">
        <v>7</v>
      </c>
      <c r="M106" s="18"/>
      <c r="N106" s="27">
        <v>27.4</v>
      </c>
      <c r="O106" s="27">
        <v>25.175699999999999</v>
      </c>
      <c r="P106" s="27">
        <v>10.1</v>
      </c>
      <c r="Q106" s="27"/>
      <c r="R106" s="27">
        <v>18.3</v>
      </c>
      <c r="S106" s="27">
        <v>7.7</v>
      </c>
      <c r="T106" s="27">
        <v>27.7</v>
      </c>
      <c r="U106" s="27">
        <v>3.7685999999999993</v>
      </c>
      <c r="V106" s="27">
        <v>8.6999999999999993</v>
      </c>
      <c r="W106" s="27">
        <v>3.9</v>
      </c>
      <c r="X106" s="27">
        <v>1</v>
      </c>
      <c r="Y106" s="29">
        <v>3.7561</v>
      </c>
      <c r="Z106" s="27">
        <v>2.8</v>
      </c>
      <c r="AA106" s="30">
        <v>6.4</v>
      </c>
      <c r="AB106" s="46">
        <v>2.3502999999999989</v>
      </c>
      <c r="AC106" s="46"/>
      <c r="AD106" s="39"/>
      <c r="AE106" s="39"/>
      <c r="AF106" s="39"/>
      <c r="AG106" s="39"/>
      <c r="AH106" s="39"/>
      <c r="AI106" s="39"/>
    </row>
  </sheetData>
  <mergeCells count="20">
    <mergeCell ref="V65:X65"/>
    <mergeCell ref="Y65:AA65"/>
    <mergeCell ref="AB65:AI65"/>
    <mergeCell ref="Y4:AA4"/>
    <mergeCell ref="AB4:AI4"/>
    <mergeCell ref="V4:X4"/>
    <mergeCell ref="V35:X35"/>
    <mergeCell ref="Y35:AA35"/>
    <mergeCell ref="AB35:AI35"/>
    <mergeCell ref="R4:T4"/>
    <mergeCell ref="R35:T35"/>
    <mergeCell ref="R65:T65"/>
    <mergeCell ref="N4:P4"/>
    <mergeCell ref="N35:P35"/>
    <mergeCell ref="N65:P65"/>
    <mergeCell ref="N93:P93"/>
    <mergeCell ref="R93:T93"/>
    <mergeCell ref="V93:X93"/>
    <mergeCell ref="Y93:AA93"/>
    <mergeCell ref="AB93:AI9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Included</vt:lpstr>
      <vt:lpstr>CPR Mar Exp Vs Feb Act</vt:lpstr>
      <vt:lpstr>Grid Data</vt:lpstr>
      <vt:lpstr>UIC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Gabriel Rios</dc:creator>
  <cp:lastModifiedBy>micha</cp:lastModifiedBy>
  <dcterms:created xsi:type="dcterms:W3CDTF">2025-09-11T15:16:19Z</dcterms:created>
  <dcterms:modified xsi:type="dcterms:W3CDTF">2026-04-05T21:29:12Z</dcterms:modified>
</cp:coreProperties>
</file>