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8_{A830BF5F-1CF6-4C21-B862-8749795F7583}" xr6:coauthVersionLast="47" xr6:coauthVersionMax="47" xr10:uidLastSave="{00000000-0000-0000-0000-000000000000}"/>
  <bookViews>
    <workbookView xWindow="4180" yWindow="750" windowWidth="27650" windowHeight="20850" xr2:uid="{CDF70340-9C56-4D52-B77F-011FD0FB57C6}"/>
  </bookViews>
  <sheets>
    <sheet name="Jun Act vs May Act" sheetId="19" r:id="rId1"/>
    <sheet name="Grid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9" i="19" l="1"/>
  <c r="R99" i="19"/>
  <c r="Q99" i="19"/>
  <c r="P99" i="19"/>
  <c r="O99" i="19"/>
  <c r="N99" i="19"/>
  <c r="M99" i="19"/>
  <c r="K99" i="19"/>
  <c r="J99" i="19"/>
  <c r="I99" i="19"/>
  <c r="H99" i="19"/>
  <c r="G99" i="19"/>
  <c r="F99" i="19"/>
  <c r="E99" i="19"/>
  <c r="D107" i="19"/>
  <c r="D106" i="19"/>
  <c r="D105" i="19"/>
  <c r="D104" i="19"/>
  <c r="D103" i="19"/>
  <c r="D102" i="19"/>
  <c r="D101" i="19"/>
  <c r="D100" i="19"/>
  <c r="AH96" i="19"/>
  <c r="AH65" i="19" s="1"/>
  <c r="AG96" i="19"/>
  <c r="AG65" i="19" s="1"/>
  <c r="AF96" i="19"/>
  <c r="AF65" i="19" s="1"/>
  <c r="AE96" i="19"/>
  <c r="AE65" i="19" s="1"/>
  <c r="AD96" i="19"/>
  <c r="AD65" i="19" s="1"/>
  <c r="AC96" i="19"/>
  <c r="AC65" i="19" s="1"/>
  <c r="AB96" i="19"/>
  <c r="AB65" i="19" s="1"/>
  <c r="AA96" i="19"/>
  <c r="AA65" i="19" s="1"/>
  <c r="Z96" i="19"/>
  <c r="Z65" i="19" s="1"/>
  <c r="Y96" i="19"/>
  <c r="Y65" i="19" s="1"/>
  <c r="X96" i="19"/>
  <c r="X65" i="19" s="1"/>
  <c r="W96" i="19"/>
  <c r="W65" i="19" s="1"/>
  <c r="V96" i="19"/>
  <c r="V65" i="19" s="1"/>
  <c r="U96" i="19"/>
  <c r="U65" i="19" s="1"/>
  <c r="T96" i="19"/>
  <c r="T65" i="19" s="1"/>
  <c r="S96" i="19"/>
  <c r="S65" i="19" s="1"/>
  <c r="R96" i="19"/>
  <c r="R65" i="19" s="1"/>
  <c r="Q96" i="19"/>
  <c r="Q65" i="19" s="1"/>
  <c r="P96" i="19"/>
  <c r="P65" i="19" s="1"/>
  <c r="O96" i="19"/>
  <c r="O65" i="19" s="1"/>
  <c r="N96" i="19"/>
  <c r="N65" i="19" s="1"/>
  <c r="M96" i="19"/>
  <c r="M65" i="19" s="1"/>
  <c r="L96" i="19"/>
  <c r="L65" i="19" s="1"/>
  <c r="K96" i="19"/>
  <c r="K65" i="19" s="1"/>
  <c r="J96" i="19"/>
  <c r="J65" i="19" s="1"/>
  <c r="I96" i="19"/>
  <c r="I65" i="19" s="1"/>
  <c r="H96" i="19"/>
  <c r="H65" i="19" s="1"/>
  <c r="G96" i="19"/>
  <c r="G65" i="19" s="1"/>
  <c r="F96" i="19"/>
  <c r="F65" i="19" s="1"/>
  <c r="E96" i="19"/>
  <c r="E65" i="19" s="1"/>
  <c r="AH95" i="19"/>
  <c r="AG95" i="19"/>
  <c r="AG32" i="19" s="1"/>
  <c r="AF95" i="19"/>
  <c r="AF64" i="19" s="1"/>
  <c r="AE95" i="19"/>
  <c r="AE64" i="19" s="1"/>
  <c r="AD95" i="19"/>
  <c r="AD64" i="19" s="1"/>
  <c r="AC95" i="19"/>
  <c r="AC64" i="19" s="1"/>
  <c r="AB95" i="19"/>
  <c r="AB64" i="19" s="1"/>
  <c r="AA95" i="19"/>
  <c r="AA64" i="19" s="1"/>
  <c r="Z95" i="19"/>
  <c r="Z64" i="19" s="1"/>
  <c r="Y95" i="19"/>
  <c r="Y64" i="19" s="1"/>
  <c r="X95" i="19"/>
  <c r="X64" i="19" s="1"/>
  <c r="W95" i="19"/>
  <c r="W64" i="19" s="1"/>
  <c r="V95" i="19"/>
  <c r="V64" i="19" s="1"/>
  <c r="U95" i="19"/>
  <c r="U64" i="19" s="1"/>
  <c r="T95" i="19"/>
  <c r="T64" i="19" s="1"/>
  <c r="S95" i="19"/>
  <c r="S64" i="19" s="1"/>
  <c r="R95" i="19"/>
  <c r="R64" i="19" s="1"/>
  <c r="Q95" i="19"/>
  <c r="P95" i="19"/>
  <c r="P32" i="19" s="1"/>
  <c r="O95" i="19"/>
  <c r="O64" i="19" s="1"/>
  <c r="N95" i="19"/>
  <c r="N64" i="19" s="1"/>
  <c r="M95" i="19"/>
  <c r="M64" i="19" s="1"/>
  <c r="L95" i="19"/>
  <c r="L64" i="19" s="1"/>
  <c r="K95" i="19"/>
  <c r="K64" i="19" s="1"/>
  <c r="J95" i="19"/>
  <c r="J64" i="19" s="1"/>
  <c r="I95" i="19"/>
  <c r="I64" i="19" s="1"/>
  <c r="H95" i="19"/>
  <c r="H64" i="19" s="1"/>
  <c r="G95" i="19"/>
  <c r="G64" i="19" s="1"/>
  <c r="F95" i="19"/>
  <c r="F64" i="19" s="1"/>
  <c r="E95" i="19"/>
  <c r="E64" i="19" s="1"/>
  <c r="AH94" i="19"/>
  <c r="AH31" i="19" s="1"/>
  <c r="AG94" i="19"/>
  <c r="AF94" i="19"/>
  <c r="AF63" i="19" s="1"/>
  <c r="AE94" i="19"/>
  <c r="AE63" i="19" s="1"/>
  <c r="AD94" i="19"/>
  <c r="AD63" i="19" s="1"/>
  <c r="AC94" i="19"/>
  <c r="AC63" i="19" s="1"/>
  <c r="AB94" i="19"/>
  <c r="AB63" i="19" s="1"/>
  <c r="AA94" i="19"/>
  <c r="AA63" i="19" s="1"/>
  <c r="Z94" i="19"/>
  <c r="Z63" i="19" s="1"/>
  <c r="Y94" i="19"/>
  <c r="Y63" i="19" s="1"/>
  <c r="X94" i="19"/>
  <c r="X63" i="19" s="1"/>
  <c r="W94" i="19"/>
  <c r="W63" i="19" s="1"/>
  <c r="V94" i="19"/>
  <c r="V63" i="19" s="1"/>
  <c r="U94" i="19"/>
  <c r="U63" i="19" s="1"/>
  <c r="T94" i="19"/>
  <c r="T63" i="19" s="1"/>
  <c r="S94" i="19"/>
  <c r="S63" i="19" s="1"/>
  <c r="R94" i="19"/>
  <c r="R63" i="19" s="1"/>
  <c r="Q94" i="19"/>
  <c r="P94" i="19"/>
  <c r="O94" i="19"/>
  <c r="O63" i="19" s="1"/>
  <c r="N94" i="19"/>
  <c r="N63" i="19" s="1"/>
  <c r="M94" i="19"/>
  <c r="M63" i="19" s="1"/>
  <c r="L94" i="19"/>
  <c r="L63" i="19" s="1"/>
  <c r="K94" i="19"/>
  <c r="K63" i="19" s="1"/>
  <c r="J94" i="19"/>
  <c r="J63" i="19" s="1"/>
  <c r="I94" i="19"/>
  <c r="I63" i="19" s="1"/>
  <c r="H94" i="19"/>
  <c r="H63" i="19" s="1"/>
  <c r="G94" i="19"/>
  <c r="G63" i="19" s="1"/>
  <c r="F94" i="19"/>
  <c r="F63" i="19" s="1"/>
  <c r="E94" i="19"/>
  <c r="E63" i="19" s="1"/>
  <c r="AH93" i="19"/>
  <c r="AH30" i="19" s="1"/>
  <c r="AG93" i="19"/>
  <c r="AF93" i="19"/>
  <c r="AF62" i="19" s="1"/>
  <c r="AE93" i="19"/>
  <c r="AE62" i="19" s="1"/>
  <c r="AD93" i="19"/>
  <c r="AD62" i="19" s="1"/>
  <c r="AC93" i="19"/>
  <c r="AC62" i="19" s="1"/>
  <c r="AB93" i="19"/>
  <c r="AB62" i="19" s="1"/>
  <c r="AA93" i="19"/>
  <c r="AA62" i="19" s="1"/>
  <c r="Z93" i="19"/>
  <c r="Z62" i="19" s="1"/>
  <c r="Y93" i="19"/>
  <c r="Y62" i="19" s="1"/>
  <c r="X93" i="19"/>
  <c r="X62" i="19" s="1"/>
  <c r="W93" i="19"/>
  <c r="W62" i="19" s="1"/>
  <c r="V93" i="19"/>
  <c r="V62" i="19" s="1"/>
  <c r="U93" i="19"/>
  <c r="U62" i="19" s="1"/>
  <c r="T93" i="19"/>
  <c r="T62" i="19" s="1"/>
  <c r="S93" i="19"/>
  <c r="S62" i="19" s="1"/>
  <c r="R93" i="19"/>
  <c r="R30" i="19" s="1"/>
  <c r="Q93" i="19"/>
  <c r="P93" i="19"/>
  <c r="P30" i="19" s="1"/>
  <c r="O93" i="19"/>
  <c r="N93" i="19"/>
  <c r="N30" i="19" s="1"/>
  <c r="M93" i="19"/>
  <c r="M30" i="19" s="1"/>
  <c r="L93" i="19"/>
  <c r="L30" i="19" s="1"/>
  <c r="K93" i="19"/>
  <c r="K30" i="19" s="1"/>
  <c r="J93" i="19"/>
  <c r="J30" i="19" s="1"/>
  <c r="I93" i="19"/>
  <c r="H93" i="19"/>
  <c r="H30" i="19" s="1"/>
  <c r="G93" i="19"/>
  <c r="F93" i="19"/>
  <c r="E93" i="19"/>
  <c r="E30" i="19" s="1"/>
  <c r="AH92" i="19"/>
  <c r="AH29" i="19" s="1"/>
  <c r="AG92" i="19"/>
  <c r="AF92" i="19"/>
  <c r="AF61" i="19" s="1"/>
  <c r="AE92" i="19"/>
  <c r="AE61" i="19" s="1"/>
  <c r="AD92" i="19"/>
  <c r="AD61" i="19" s="1"/>
  <c r="AC92" i="19"/>
  <c r="AC61" i="19" s="1"/>
  <c r="AB92" i="19"/>
  <c r="AB61" i="19" s="1"/>
  <c r="AA92" i="19"/>
  <c r="AA61" i="19" s="1"/>
  <c r="Z92" i="19"/>
  <c r="Z61" i="19" s="1"/>
  <c r="Y92" i="19"/>
  <c r="Y61" i="19" s="1"/>
  <c r="X92" i="19"/>
  <c r="X61" i="19" s="1"/>
  <c r="W92" i="19"/>
  <c r="W61" i="19" s="1"/>
  <c r="V92" i="19"/>
  <c r="V61" i="19" s="1"/>
  <c r="U92" i="19"/>
  <c r="U61" i="19" s="1"/>
  <c r="T92" i="19"/>
  <c r="T61" i="19" s="1"/>
  <c r="S92" i="19"/>
  <c r="R92" i="19"/>
  <c r="R29" i="19" s="1"/>
  <c r="Q92" i="19"/>
  <c r="Q29" i="19" s="1"/>
  <c r="P92" i="19"/>
  <c r="P29" i="19" s="1"/>
  <c r="P61" i="19" s="1"/>
  <c r="O92" i="19"/>
  <c r="N92" i="19"/>
  <c r="N29" i="19" s="1"/>
  <c r="M92" i="19"/>
  <c r="L92" i="19"/>
  <c r="L29" i="19" s="1"/>
  <c r="K92" i="19"/>
  <c r="K29" i="19" s="1"/>
  <c r="J92" i="19"/>
  <c r="J29" i="19" s="1"/>
  <c r="I92" i="19"/>
  <c r="I29" i="19" s="1"/>
  <c r="H92" i="19"/>
  <c r="H29" i="19" s="1"/>
  <c r="G92" i="19"/>
  <c r="F92" i="19"/>
  <c r="E92" i="19"/>
  <c r="AH91" i="19"/>
  <c r="AG91" i="19"/>
  <c r="AG28" i="19" s="1"/>
  <c r="AF91" i="19"/>
  <c r="AF60" i="19" s="1"/>
  <c r="AE91" i="19"/>
  <c r="AE60" i="19" s="1"/>
  <c r="AD91" i="19"/>
  <c r="AD60" i="19" s="1"/>
  <c r="AC91" i="19"/>
  <c r="AC60" i="19" s="1"/>
  <c r="AB91" i="19"/>
  <c r="AB60" i="19" s="1"/>
  <c r="AA91" i="19"/>
  <c r="AA60" i="19" s="1"/>
  <c r="Z91" i="19"/>
  <c r="Z60" i="19" s="1"/>
  <c r="Y91" i="19"/>
  <c r="Y60" i="19" s="1"/>
  <c r="X91" i="19"/>
  <c r="X60" i="19" s="1"/>
  <c r="W91" i="19"/>
  <c r="W60" i="19" s="1"/>
  <c r="V91" i="19"/>
  <c r="V60" i="19" s="1"/>
  <c r="U91" i="19"/>
  <c r="U60" i="19" s="1"/>
  <c r="T91" i="19"/>
  <c r="T60" i="19" s="1"/>
  <c r="S91" i="19"/>
  <c r="R91" i="19"/>
  <c r="R28" i="19" s="1"/>
  <c r="Q91" i="19"/>
  <c r="Q28" i="19" s="1"/>
  <c r="P91" i="19"/>
  <c r="P28" i="19" s="1"/>
  <c r="O91" i="19"/>
  <c r="O28" i="19" s="1"/>
  <c r="N91" i="19"/>
  <c r="N28" i="19" s="1"/>
  <c r="M91" i="19"/>
  <c r="L91" i="19"/>
  <c r="L28" i="19" s="1"/>
  <c r="K91" i="19"/>
  <c r="J91" i="19"/>
  <c r="J28" i="19" s="1"/>
  <c r="I91" i="19"/>
  <c r="I28" i="19" s="1"/>
  <c r="H91" i="19"/>
  <c r="H28" i="19" s="1"/>
  <c r="G91" i="19"/>
  <c r="G28" i="19" s="1"/>
  <c r="F91" i="19"/>
  <c r="F28" i="19" s="1"/>
  <c r="E91" i="19"/>
  <c r="E28" i="19" s="1"/>
  <c r="AH90" i="19"/>
  <c r="AG90" i="19"/>
  <c r="AF90" i="19"/>
  <c r="AF27" i="19" s="1"/>
  <c r="AE90" i="19"/>
  <c r="AE27" i="19" s="1"/>
  <c r="AD90" i="19"/>
  <c r="AD59" i="19" s="1"/>
  <c r="AC90" i="19"/>
  <c r="AC59" i="19" s="1"/>
  <c r="AB90" i="19"/>
  <c r="AB59" i="19" s="1"/>
  <c r="AA90" i="19"/>
  <c r="AA59" i="19" s="1"/>
  <c r="Z90" i="19"/>
  <c r="Z59" i="19" s="1"/>
  <c r="Y90" i="19"/>
  <c r="Y59" i="19" s="1"/>
  <c r="X90" i="19"/>
  <c r="X59" i="19" s="1"/>
  <c r="W90" i="19"/>
  <c r="W59" i="19" s="1"/>
  <c r="V90" i="19"/>
  <c r="V59" i="19" s="1"/>
  <c r="U90" i="19"/>
  <c r="U59" i="19" s="1"/>
  <c r="T90" i="19"/>
  <c r="T59" i="19" s="1"/>
  <c r="S90" i="19"/>
  <c r="R90" i="19"/>
  <c r="R27" i="19" s="1"/>
  <c r="Q90" i="19"/>
  <c r="P90" i="19"/>
  <c r="P27" i="19" s="1"/>
  <c r="O90" i="19"/>
  <c r="O27" i="19" s="1"/>
  <c r="N90" i="19"/>
  <c r="N27" i="19" s="1"/>
  <c r="M90" i="19"/>
  <c r="M27" i="19" s="1"/>
  <c r="L90" i="19"/>
  <c r="L27" i="19" s="1"/>
  <c r="L59" i="19" s="1"/>
  <c r="K90" i="19"/>
  <c r="J90" i="19"/>
  <c r="J27" i="19" s="1"/>
  <c r="I90" i="19"/>
  <c r="H90" i="19"/>
  <c r="H27" i="19" s="1"/>
  <c r="G90" i="19"/>
  <c r="G27" i="19" s="1"/>
  <c r="F90" i="19"/>
  <c r="F27" i="19" s="1"/>
  <c r="E90" i="19"/>
  <c r="E27" i="19" s="1"/>
  <c r="AH89" i="19"/>
  <c r="AH26" i="19" s="1"/>
  <c r="AG89" i="19"/>
  <c r="AF89" i="19"/>
  <c r="AE89" i="19"/>
  <c r="AD89" i="19"/>
  <c r="AD58" i="19" s="1"/>
  <c r="AC89" i="19"/>
  <c r="AC58" i="19" s="1"/>
  <c r="AB89" i="19"/>
  <c r="AB58" i="19" s="1"/>
  <c r="AA89" i="19"/>
  <c r="AA58" i="19" s="1"/>
  <c r="Z89" i="19"/>
  <c r="Z58" i="19" s="1"/>
  <c r="Y89" i="19"/>
  <c r="Y58" i="19" s="1"/>
  <c r="X89" i="19"/>
  <c r="X58" i="19" s="1"/>
  <c r="W89" i="19"/>
  <c r="W58" i="19" s="1"/>
  <c r="V89" i="19"/>
  <c r="V58" i="19" s="1"/>
  <c r="U89" i="19"/>
  <c r="U58" i="19" s="1"/>
  <c r="T89" i="19"/>
  <c r="S89" i="19"/>
  <c r="S26" i="19" s="1"/>
  <c r="R89" i="19"/>
  <c r="R26" i="19" s="1"/>
  <c r="Q89" i="19"/>
  <c r="Q26" i="19" s="1"/>
  <c r="P89" i="19"/>
  <c r="P26" i="19" s="1"/>
  <c r="O89" i="19"/>
  <c r="N89" i="19"/>
  <c r="N26" i="19" s="1"/>
  <c r="M89" i="19"/>
  <c r="M26" i="19" s="1"/>
  <c r="L89" i="19"/>
  <c r="L26" i="19" s="1"/>
  <c r="K89" i="19"/>
  <c r="K26" i="19" s="1"/>
  <c r="J89" i="19"/>
  <c r="J26" i="19" s="1"/>
  <c r="I89" i="19"/>
  <c r="H89" i="19"/>
  <c r="H26" i="19" s="1"/>
  <c r="G89" i="19"/>
  <c r="F89" i="19"/>
  <c r="F26" i="19" s="1"/>
  <c r="E89" i="19"/>
  <c r="E26" i="19" s="1"/>
  <c r="AH88" i="19"/>
  <c r="AH25" i="19" s="1"/>
  <c r="AG88" i="19"/>
  <c r="AG25" i="19" s="1"/>
  <c r="AF88" i="19"/>
  <c r="AF25" i="19" s="1"/>
  <c r="AE88" i="19"/>
  <c r="AD88" i="19"/>
  <c r="AD57" i="19" s="1"/>
  <c r="AC88" i="19"/>
  <c r="AC57" i="19" s="1"/>
  <c r="AB88" i="19"/>
  <c r="AB57" i="19" s="1"/>
  <c r="AA88" i="19"/>
  <c r="AA57" i="19" s="1"/>
  <c r="Z88" i="19"/>
  <c r="Z57" i="19" s="1"/>
  <c r="Y88" i="19"/>
  <c r="Y57" i="19" s="1"/>
  <c r="X88" i="19"/>
  <c r="X57" i="19" s="1"/>
  <c r="W88" i="19"/>
  <c r="W57" i="19" s="1"/>
  <c r="V88" i="19"/>
  <c r="V57" i="19" s="1"/>
  <c r="U88" i="19"/>
  <c r="U57" i="19" s="1"/>
  <c r="T88" i="19"/>
  <c r="S88" i="19"/>
  <c r="S25" i="19" s="1"/>
  <c r="R88" i="19"/>
  <c r="R25" i="19" s="1"/>
  <c r="Q88" i="19"/>
  <c r="Q25" i="19" s="1"/>
  <c r="P88" i="19"/>
  <c r="P25" i="19" s="1"/>
  <c r="O88" i="19"/>
  <c r="O25" i="19" s="1"/>
  <c r="N88" i="19"/>
  <c r="N25" i="19" s="1"/>
  <c r="M88" i="19"/>
  <c r="L88" i="19"/>
  <c r="L25" i="19" s="1"/>
  <c r="K88" i="19"/>
  <c r="K25" i="19" s="1"/>
  <c r="K107" i="19" s="1"/>
  <c r="J88" i="19"/>
  <c r="J25" i="19" s="1"/>
  <c r="J107" i="19" s="1"/>
  <c r="I88" i="19"/>
  <c r="I25" i="19" s="1"/>
  <c r="I107" i="19" s="1"/>
  <c r="H88" i="19"/>
  <c r="H25" i="19" s="1"/>
  <c r="H107" i="19" s="1"/>
  <c r="G88" i="19"/>
  <c r="F88" i="19"/>
  <c r="F25" i="19" s="1"/>
  <c r="F107" i="19" s="1"/>
  <c r="E88" i="19"/>
  <c r="AH87" i="19"/>
  <c r="AG87" i="19"/>
  <c r="AG24" i="19" s="1"/>
  <c r="AF87" i="19"/>
  <c r="AF24" i="19" s="1"/>
  <c r="AE87" i="19"/>
  <c r="AE24" i="19" s="1"/>
  <c r="AD87" i="19"/>
  <c r="AD56" i="19" s="1"/>
  <c r="AC87" i="19"/>
  <c r="AC56" i="19" s="1"/>
  <c r="AB87" i="19"/>
  <c r="AB56" i="19" s="1"/>
  <c r="AA87" i="19"/>
  <c r="AA56" i="19" s="1"/>
  <c r="Z87" i="19"/>
  <c r="Z56" i="19" s="1"/>
  <c r="Y87" i="19"/>
  <c r="Y56" i="19" s="1"/>
  <c r="X87" i="19"/>
  <c r="X56" i="19" s="1"/>
  <c r="W87" i="19"/>
  <c r="W56" i="19" s="1"/>
  <c r="V87" i="19"/>
  <c r="V56" i="19" s="1"/>
  <c r="U87" i="19"/>
  <c r="U56" i="19" s="1"/>
  <c r="T87" i="19"/>
  <c r="T24" i="19" s="1"/>
  <c r="S87" i="19"/>
  <c r="R87" i="19"/>
  <c r="R24" i="19" s="1"/>
  <c r="Q87" i="19"/>
  <c r="Q24" i="19" s="1"/>
  <c r="P87" i="19"/>
  <c r="P24" i="19" s="1"/>
  <c r="O87" i="19"/>
  <c r="O24" i="19" s="1"/>
  <c r="N87" i="19"/>
  <c r="N24" i="19" s="1"/>
  <c r="M87" i="19"/>
  <c r="M24" i="19" s="1"/>
  <c r="L87" i="19"/>
  <c r="L24" i="19" s="1"/>
  <c r="K87" i="19"/>
  <c r="J87" i="19"/>
  <c r="J24" i="19" s="1"/>
  <c r="J106" i="19" s="1"/>
  <c r="I87" i="19"/>
  <c r="I24" i="19" s="1"/>
  <c r="I106" i="19" s="1"/>
  <c r="H87" i="19"/>
  <c r="H24" i="19" s="1"/>
  <c r="H106" i="19" s="1"/>
  <c r="G87" i="19"/>
  <c r="G24" i="19" s="1"/>
  <c r="G106" i="19" s="1"/>
  <c r="F87" i="19"/>
  <c r="E87" i="19"/>
  <c r="AH86" i="19"/>
  <c r="AH23" i="19" s="1"/>
  <c r="AG86" i="19"/>
  <c r="AF86" i="19"/>
  <c r="AF23" i="19" s="1"/>
  <c r="AE86" i="19"/>
  <c r="AE23" i="19" s="1"/>
  <c r="AD86" i="19"/>
  <c r="AD23" i="19" s="1"/>
  <c r="AC86" i="19"/>
  <c r="AC23" i="19" s="1"/>
  <c r="AB86" i="19"/>
  <c r="AB55" i="19" s="1"/>
  <c r="AA86" i="19"/>
  <c r="AA55" i="19" s="1"/>
  <c r="Z86" i="19"/>
  <c r="Z55" i="19" s="1"/>
  <c r="Y86" i="19"/>
  <c r="Y55" i="19" s="1"/>
  <c r="X86" i="19"/>
  <c r="X23" i="19" s="1"/>
  <c r="W86" i="19"/>
  <c r="W55" i="19" s="1"/>
  <c r="V86" i="19"/>
  <c r="V55" i="19" s="1"/>
  <c r="U86" i="19"/>
  <c r="U55" i="19" s="1"/>
  <c r="T86" i="19"/>
  <c r="T23" i="19" s="1"/>
  <c r="S86" i="19"/>
  <c r="R86" i="19"/>
  <c r="R23" i="19" s="1"/>
  <c r="Q86" i="19"/>
  <c r="P86" i="19"/>
  <c r="P23" i="19" s="1"/>
  <c r="O86" i="19"/>
  <c r="O23" i="19" s="1"/>
  <c r="N86" i="19"/>
  <c r="N23" i="19" s="1"/>
  <c r="M86" i="19"/>
  <c r="M23" i="19" s="1"/>
  <c r="L86" i="19"/>
  <c r="L23" i="19" s="1"/>
  <c r="K86" i="19"/>
  <c r="J86" i="19"/>
  <c r="J23" i="19" s="1"/>
  <c r="J105" i="19" s="1"/>
  <c r="I86" i="19"/>
  <c r="H86" i="19"/>
  <c r="G86" i="19"/>
  <c r="G23" i="19" s="1"/>
  <c r="G105" i="19" s="1"/>
  <c r="F86" i="19"/>
  <c r="F23" i="19" s="1"/>
  <c r="F105" i="19" s="1"/>
  <c r="E86" i="19"/>
  <c r="E23" i="19" s="1"/>
  <c r="E105" i="19" s="1"/>
  <c r="AH85" i="19"/>
  <c r="AH22" i="19" s="1"/>
  <c r="AG85" i="19"/>
  <c r="AG22" i="19" s="1"/>
  <c r="AF85" i="19"/>
  <c r="AF22" i="19" s="1"/>
  <c r="AE85" i="19"/>
  <c r="AD85" i="19"/>
  <c r="AD22" i="19" s="1"/>
  <c r="AC85" i="19"/>
  <c r="AC54" i="19" s="1"/>
  <c r="AB85" i="19"/>
  <c r="AB54" i="19" s="1"/>
  <c r="AA85" i="19"/>
  <c r="AA54" i="19" s="1"/>
  <c r="Z85" i="19"/>
  <c r="Z54" i="19" s="1"/>
  <c r="Y85" i="19"/>
  <c r="X85" i="19"/>
  <c r="X22" i="19" s="1"/>
  <c r="W85" i="19"/>
  <c r="W54" i="19" s="1"/>
  <c r="V85" i="19"/>
  <c r="V54" i="19" s="1"/>
  <c r="U85" i="19"/>
  <c r="U54" i="19" s="1"/>
  <c r="T85" i="19"/>
  <c r="T22" i="19" s="1"/>
  <c r="S85" i="19"/>
  <c r="S22" i="19" s="1"/>
  <c r="R85" i="19"/>
  <c r="R22" i="19" s="1"/>
  <c r="Q85" i="19"/>
  <c r="Q22" i="19" s="1"/>
  <c r="P85" i="19"/>
  <c r="O85" i="19"/>
  <c r="N85" i="19"/>
  <c r="N22" i="19" s="1"/>
  <c r="M85" i="19"/>
  <c r="M22" i="19" s="1"/>
  <c r="L85" i="19"/>
  <c r="L22" i="19" s="1"/>
  <c r="K85" i="19"/>
  <c r="K22" i="19" s="1"/>
  <c r="K104" i="19" s="1"/>
  <c r="J85" i="19"/>
  <c r="J22" i="19" s="1"/>
  <c r="J104" i="19" s="1"/>
  <c r="I85" i="19"/>
  <c r="H85" i="19"/>
  <c r="H22" i="19" s="1"/>
  <c r="H104" i="19" s="1"/>
  <c r="G85" i="19"/>
  <c r="G22" i="19" s="1"/>
  <c r="G104" i="19" s="1"/>
  <c r="F85" i="19"/>
  <c r="F22" i="19" s="1"/>
  <c r="F104" i="19" s="1"/>
  <c r="E85" i="19"/>
  <c r="E22" i="19" s="1"/>
  <c r="E104" i="19" s="1"/>
  <c r="AH84" i="19"/>
  <c r="AH21" i="19" s="1"/>
  <c r="AG84" i="19"/>
  <c r="AG21" i="19" s="1"/>
  <c r="AF84" i="19"/>
  <c r="AE84" i="19"/>
  <c r="AD84" i="19"/>
  <c r="AD21" i="19" s="1"/>
  <c r="AC84" i="19"/>
  <c r="AC53" i="19" s="1"/>
  <c r="AB84" i="19"/>
  <c r="AB53" i="19" s="1"/>
  <c r="AA84" i="19"/>
  <c r="AA53" i="19" s="1"/>
  <c r="Z84" i="19"/>
  <c r="Z53" i="19" s="1"/>
  <c r="Y84" i="19"/>
  <c r="Y21" i="19" s="1"/>
  <c r="X84" i="19"/>
  <c r="X21" i="19" s="1"/>
  <c r="W84" i="19"/>
  <c r="W53" i="19" s="1"/>
  <c r="V84" i="19"/>
  <c r="V53" i="19" s="1"/>
  <c r="U84" i="19"/>
  <c r="U53" i="19" s="1"/>
  <c r="T84" i="19"/>
  <c r="S84" i="19"/>
  <c r="S21" i="19" s="1"/>
  <c r="R84" i="19"/>
  <c r="R21" i="19" s="1"/>
  <c r="Q84" i="19"/>
  <c r="Q21" i="19" s="1"/>
  <c r="P84" i="19"/>
  <c r="P21" i="19" s="1"/>
  <c r="O84" i="19"/>
  <c r="N84" i="19"/>
  <c r="N21" i="19" s="1"/>
  <c r="M84" i="19"/>
  <c r="L84" i="19"/>
  <c r="L21" i="19" s="1"/>
  <c r="K84" i="19"/>
  <c r="K21" i="19" s="1"/>
  <c r="K103" i="19" s="1"/>
  <c r="J84" i="19"/>
  <c r="J21" i="19" s="1"/>
  <c r="J103" i="19" s="1"/>
  <c r="I84" i="19"/>
  <c r="I21" i="19" s="1"/>
  <c r="I103" i="19" s="1"/>
  <c r="H84" i="19"/>
  <c r="H21" i="19" s="1"/>
  <c r="H103" i="19" s="1"/>
  <c r="G84" i="19"/>
  <c r="F84" i="19"/>
  <c r="F21" i="19" s="1"/>
  <c r="F103" i="19" s="1"/>
  <c r="E84" i="19"/>
  <c r="AH83" i="19"/>
  <c r="AG83" i="19"/>
  <c r="AG20" i="19" s="1"/>
  <c r="AF83" i="19"/>
  <c r="AF20" i="19" s="1"/>
  <c r="AE83" i="19"/>
  <c r="AE20" i="19" s="1"/>
  <c r="AD83" i="19"/>
  <c r="AD20" i="19" s="1"/>
  <c r="AC83" i="19"/>
  <c r="AB83" i="19"/>
  <c r="AB20" i="19" s="1"/>
  <c r="AA83" i="19"/>
  <c r="AA52" i="19" s="1"/>
  <c r="Z83" i="19"/>
  <c r="Y83" i="19"/>
  <c r="Y20" i="19" s="1"/>
  <c r="X83" i="19"/>
  <c r="X20" i="19" s="1"/>
  <c r="W83" i="19"/>
  <c r="W20" i="19" s="1"/>
  <c r="V83" i="19"/>
  <c r="V52" i="19" s="1"/>
  <c r="U83" i="19"/>
  <c r="U52" i="19" s="1"/>
  <c r="T83" i="19"/>
  <c r="T20" i="19" s="1"/>
  <c r="S83" i="19"/>
  <c r="R83" i="19"/>
  <c r="R20" i="19" s="1"/>
  <c r="Q83" i="19"/>
  <c r="Q20" i="19" s="1"/>
  <c r="P83" i="19"/>
  <c r="P20" i="19" s="1"/>
  <c r="O83" i="19"/>
  <c r="O20" i="19" s="1"/>
  <c r="N83" i="19"/>
  <c r="N20" i="19" s="1"/>
  <c r="M83" i="19"/>
  <c r="L83" i="19"/>
  <c r="L20" i="19" s="1"/>
  <c r="K83" i="19"/>
  <c r="J83" i="19"/>
  <c r="J20" i="19" s="1"/>
  <c r="J102" i="19" s="1"/>
  <c r="I83" i="19"/>
  <c r="I20" i="19" s="1"/>
  <c r="I102" i="19" s="1"/>
  <c r="H83" i="19"/>
  <c r="H20" i="19" s="1"/>
  <c r="H102" i="19" s="1"/>
  <c r="G83" i="19"/>
  <c r="G20" i="19" s="1"/>
  <c r="G102" i="19" s="1"/>
  <c r="F83" i="19"/>
  <c r="F20" i="19" s="1"/>
  <c r="F102" i="19" s="1"/>
  <c r="E83" i="19"/>
  <c r="AH82" i="19"/>
  <c r="AH51" i="19" s="1"/>
  <c r="AG82" i="19"/>
  <c r="AF82" i="19"/>
  <c r="AF19" i="19" s="1"/>
  <c r="AE82" i="19"/>
  <c r="AE19" i="19" s="1"/>
  <c r="AD82" i="19"/>
  <c r="AD19" i="19" s="1"/>
  <c r="AC82" i="19"/>
  <c r="AC19" i="19" s="1"/>
  <c r="AB82" i="19"/>
  <c r="AA82" i="19"/>
  <c r="Z82" i="19"/>
  <c r="Z19" i="19" s="1"/>
  <c r="Y82" i="19"/>
  <c r="X82" i="19"/>
  <c r="X19" i="19" s="1"/>
  <c r="W82" i="19"/>
  <c r="W19" i="19" s="1"/>
  <c r="V82" i="19"/>
  <c r="V51" i="19" s="1"/>
  <c r="U82" i="19"/>
  <c r="T82" i="19"/>
  <c r="T19" i="19" s="1"/>
  <c r="S82" i="19"/>
  <c r="R82" i="19"/>
  <c r="R19" i="19" s="1"/>
  <c r="Q82" i="19"/>
  <c r="P82" i="19"/>
  <c r="P19" i="19" s="1"/>
  <c r="O82" i="19"/>
  <c r="O19" i="19" s="1"/>
  <c r="N82" i="19"/>
  <c r="N19" i="19" s="1"/>
  <c r="M82" i="19"/>
  <c r="L82" i="19"/>
  <c r="L19" i="19" s="1"/>
  <c r="K82" i="19"/>
  <c r="K19" i="19" s="1"/>
  <c r="K101" i="19" s="1"/>
  <c r="J82" i="19"/>
  <c r="J19" i="19" s="1"/>
  <c r="J101" i="19" s="1"/>
  <c r="I82" i="19"/>
  <c r="H82" i="19"/>
  <c r="H19" i="19" s="1"/>
  <c r="H101" i="19" s="1"/>
  <c r="G82" i="19"/>
  <c r="G19" i="19" s="1"/>
  <c r="G101" i="19" s="1"/>
  <c r="F82" i="19"/>
  <c r="F19" i="19" s="1"/>
  <c r="F101" i="19" s="1"/>
  <c r="E82" i="19"/>
  <c r="E19" i="19" s="1"/>
  <c r="E101" i="19" s="1"/>
  <c r="AH81" i="19"/>
  <c r="AH50" i="19" s="1"/>
  <c r="AG81" i="19"/>
  <c r="AF81" i="19"/>
  <c r="AF18" i="19" s="1"/>
  <c r="AE81" i="19"/>
  <c r="AD81" i="19"/>
  <c r="AD18" i="19" s="1"/>
  <c r="AC81" i="19"/>
  <c r="AC18" i="19" s="1"/>
  <c r="AB81" i="19"/>
  <c r="AB18" i="19" s="1"/>
  <c r="AA81" i="19"/>
  <c r="AA18" i="19" s="1"/>
  <c r="Z81" i="19"/>
  <c r="Z18" i="19" s="1"/>
  <c r="Y81" i="19"/>
  <c r="Y18" i="19" s="1"/>
  <c r="X81" i="19"/>
  <c r="X18" i="19" s="1"/>
  <c r="W81" i="19"/>
  <c r="V81" i="19"/>
  <c r="U81" i="19"/>
  <c r="U18" i="19" s="1"/>
  <c r="T81" i="19"/>
  <c r="T18" i="19" s="1"/>
  <c r="S81" i="19"/>
  <c r="S18" i="19" s="1"/>
  <c r="R81" i="19"/>
  <c r="R18" i="19" s="1"/>
  <c r="Q81" i="19"/>
  <c r="P81" i="19"/>
  <c r="P18" i="19" s="1"/>
  <c r="O81" i="19"/>
  <c r="N81" i="19"/>
  <c r="N18" i="19" s="1"/>
  <c r="M81" i="19"/>
  <c r="M18" i="19" s="1"/>
  <c r="L81" i="19"/>
  <c r="L18" i="19" s="1"/>
  <c r="K81" i="19"/>
  <c r="K18" i="19" s="1"/>
  <c r="K100" i="19" s="1"/>
  <c r="J81" i="19"/>
  <c r="J18" i="19" s="1"/>
  <c r="J100" i="19" s="1"/>
  <c r="I81" i="19"/>
  <c r="I18" i="19" s="1"/>
  <c r="I100" i="19" s="1"/>
  <c r="H81" i="19"/>
  <c r="H18" i="19" s="1"/>
  <c r="H100" i="19" s="1"/>
  <c r="G81" i="19"/>
  <c r="F81" i="19"/>
  <c r="F18" i="19" s="1"/>
  <c r="F100" i="19" s="1"/>
  <c r="E81" i="19"/>
  <c r="E18" i="19" s="1"/>
  <c r="E100" i="19" s="1"/>
  <c r="AH80" i="19"/>
  <c r="AH49" i="19" s="1"/>
  <c r="AG80" i="19"/>
  <c r="AG17" i="19" s="1"/>
  <c r="AF80" i="19"/>
  <c r="AF17" i="19" s="1"/>
  <c r="AE80" i="19"/>
  <c r="AD80" i="19"/>
  <c r="AD17" i="19" s="1"/>
  <c r="AC80" i="19"/>
  <c r="AB80" i="19"/>
  <c r="AB17" i="19" s="1"/>
  <c r="AA80" i="19"/>
  <c r="AA17" i="19" s="1"/>
  <c r="Z80" i="19"/>
  <c r="Z17" i="19" s="1"/>
  <c r="Y80" i="19"/>
  <c r="Y17" i="19" s="1"/>
  <c r="X80" i="19"/>
  <c r="W80" i="19"/>
  <c r="V80" i="19"/>
  <c r="V17" i="19" s="1"/>
  <c r="U80" i="19"/>
  <c r="T80" i="19"/>
  <c r="T17" i="19" s="1"/>
  <c r="S80" i="19"/>
  <c r="S17" i="19" s="1"/>
  <c r="R80" i="19"/>
  <c r="R17" i="19" s="1"/>
  <c r="Q80" i="19"/>
  <c r="Q17" i="19" s="1"/>
  <c r="P80" i="19"/>
  <c r="P17" i="19" s="1"/>
  <c r="O80" i="19"/>
  <c r="N80" i="19"/>
  <c r="N17" i="19" s="1"/>
  <c r="M80" i="19"/>
  <c r="L80" i="19"/>
  <c r="L17" i="19" s="1"/>
  <c r="K80" i="19"/>
  <c r="K17" i="19" s="1"/>
  <c r="J80" i="19"/>
  <c r="J17" i="19" s="1"/>
  <c r="I80" i="19"/>
  <c r="I17" i="19" s="1"/>
  <c r="H80" i="19"/>
  <c r="H17" i="19" s="1"/>
  <c r="G80" i="19"/>
  <c r="F80" i="19"/>
  <c r="F17" i="19" s="1"/>
  <c r="E80" i="19"/>
  <c r="AH79" i="19"/>
  <c r="AH48" i="19" s="1"/>
  <c r="AG79" i="19"/>
  <c r="AG16" i="19" s="1"/>
  <c r="AF79" i="19"/>
  <c r="AF48" i="19" s="1"/>
  <c r="AE79" i="19"/>
  <c r="AE16" i="19" s="1"/>
  <c r="AD79" i="19"/>
  <c r="AD16" i="19" s="1"/>
  <c r="AC79" i="19"/>
  <c r="AB79" i="19"/>
  <c r="AB16" i="19" s="1"/>
  <c r="AA79" i="19"/>
  <c r="Z79" i="19"/>
  <c r="Z16" i="19" s="1"/>
  <c r="Y79" i="19"/>
  <c r="Y16" i="19" s="1"/>
  <c r="X79" i="19"/>
  <c r="X16" i="19" s="1"/>
  <c r="W79" i="19"/>
  <c r="W16" i="19" s="1"/>
  <c r="V79" i="19"/>
  <c r="V16" i="19" s="1"/>
  <c r="U79" i="19"/>
  <c r="T79" i="19"/>
  <c r="T16" i="19" s="1"/>
  <c r="S79" i="19"/>
  <c r="R79" i="19"/>
  <c r="R16" i="19" s="1"/>
  <c r="Q79" i="19"/>
  <c r="Q16" i="19" s="1"/>
  <c r="P79" i="19"/>
  <c r="P16" i="19" s="1"/>
  <c r="O79" i="19"/>
  <c r="N79" i="19"/>
  <c r="N16" i="19" s="1"/>
  <c r="M79" i="19"/>
  <c r="L79" i="19"/>
  <c r="L16" i="19" s="1"/>
  <c r="K79" i="19"/>
  <c r="J79" i="19"/>
  <c r="J16" i="19" s="1"/>
  <c r="I79" i="19"/>
  <c r="I16" i="19" s="1"/>
  <c r="H79" i="19"/>
  <c r="H16" i="19" s="1"/>
  <c r="G79" i="19"/>
  <c r="G16" i="19" s="1"/>
  <c r="F79" i="19"/>
  <c r="F16" i="19" s="1"/>
  <c r="E79" i="19"/>
  <c r="AH78" i="19"/>
  <c r="AH47" i="19" s="1"/>
  <c r="AG78" i="19"/>
  <c r="AF78" i="19"/>
  <c r="AF47" i="19" s="1"/>
  <c r="AE78" i="19"/>
  <c r="AE15" i="19" s="1"/>
  <c r="AD78" i="19"/>
  <c r="AD15" i="19" s="1"/>
  <c r="AC78" i="19"/>
  <c r="AC15" i="19" s="1"/>
  <c r="AB78" i="19"/>
  <c r="AB15" i="19" s="1"/>
  <c r="AA78" i="19"/>
  <c r="Z78" i="19"/>
  <c r="Z15" i="19" s="1"/>
  <c r="Y78" i="19"/>
  <c r="X78" i="19"/>
  <c r="X15" i="19" s="1"/>
  <c r="W78" i="19"/>
  <c r="W15" i="19" s="1"/>
  <c r="V78" i="19"/>
  <c r="V15" i="19" s="1"/>
  <c r="U78" i="19"/>
  <c r="U15" i="19" s="1"/>
  <c r="T78" i="19"/>
  <c r="S78" i="19"/>
  <c r="R78" i="19"/>
  <c r="R15" i="19" s="1"/>
  <c r="Q78" i="19"/>
  <c r="P78" i="19"/>
  <c r="P15" i="19" s="1"/>
  <c r="O78" i="19"/>
  <c r="O15" i="19" s="1"/>
  <c r="N78" i="19"/>
  <c r="N15" i="19" s="1"/>
  <c r="M78" i="19"/>
  <c r="M15" i="19" s="1"/>
  <c r="L78" i="19"/>
  <c r="L15" i="19" s="1"/>
  <c r="K78" i="19"/>
  <c r="J78" i="19"/>
  <c r="J15" i="19" s="1"/>
  <c r="I78" i="19"/>
  <c r="H78" i="19"/>
  <c r="H15" i="19" s="1"/>
  <c r="G78" i="19"/>
  <c r="G15" i="19" s="1"/>
  <c r="F78" i="19"/>
  <c r="F15" i="19" s="1"/>
  <c r="E78" i="19"/>
  <c r="E15" i="19" s="1"/>
  <c r="AH77" i="19"/>
  <c r="AH46" i="19" s="1"/>
  <c r="AG77" i="19"/>
  <c r="AG14" i="19" s="1"/>
  <c r="AF77" i="19"/>
  <c r="AF46" i="19" s="1"/>
  <c r="AE77" i="19"/>
  <c r="AD77" i="19"/>
  <c r="AD14" i="19" s="1"/>
  <c r="AC77" i="19"/>
  <c r="AC14" i="19" s="1"/>
  <c r="AB77" i="19"/>
  <c r="AB14" i="19" s="1"/>
  <c r="AA77" i="19"/>
  <c r="AA14" i="19" s="1"/>
  <c r="Z77" i="19"/>
  <c r="Z14" i="19" s="1"/>
  <c r="Y77" i="19"/>
  <c r="X77" i="19"/>
  <c r="X14" i="19" s="1"/>
  <c r="W77" i="19"/>
  <c r="V77" i="19"/>
  <c r="V14" i="19" s="1"/>
  <c r="U77" i="19"/>
  <c r="U14" i="19" s="1"/>
  <c r="T77" i="19"/>
  <c r="T14" i="19" s="1"/>
  <c r="S77" i="19"/>
  <c r="S14" i="19" s="1"/>
  <c r="R77" i="19"/>
  <c r="R14" i="19" s="1"/>
  <c r="Q77" i="19"/>
  <c r="Q14" i="19" s="1"/>
  <c r="P77" i="19"/>
  <c r="P14" i="19" s="1"/>
  <c r="O77" i="19"/>
  <c r="N77" i="19"/>
  <c r="N14" i="19" s="1"/>
  <c r="M77" i="19"/>
  <c r="M14" i="19" s="1"/>
  <c r="L77" i="19"/>
  <c r="L14" i="19" s="1"/>
  <c r="K77" i="19"/>
  <c r="K14" i="19" s="1"/>
  <c r="J77" i="19"/>
  <c r="J14" i="19" s="1"/>
  <c r="I77" i="19"/>
  <c r="H77" i="19"/>
  <c r="H14" i="19" s="1"/>
  <c r="G77" i="19"/>
  <c r="F77" i="19"/>
  <c r="F14" i="19" s="1"/>
  <c r="E77" i="19"/>
  <c r="E14" i="19" s="1"/>
  <c r="AH76" i="19"/>
  <c r="AH45" i="19" s="1"/>
  <c r="AG76" i="19"/>
  <c r="AG45" i="19" s="1"/>
  <c r="AF76" i="19"/>
  <c r="AF45" i="19" s="1"/>
  <c r="AE76" i="19"/>
  <c r="AE13" i="19" s="1"/>
  <c r="AD76" i="19"/>
  <c r="AD13" i="19" s="1"/>
  <c r="AC76" i="19"/>
  <c r="AB76" i="19"/>
  <c r="AB13" i="19" s="1"/>
  <c r="AA76" i="19"/>
  <c r="AA13" i="19" s="1"/>
  <c r="Z76" i="19"/>
  <c r="Z13" i="19" s="1"/>
  <c r="Y76" i="19"/>
  <c r="Y13" i="19" s="1"/>
  <c r="X76" i="19"/>
  <c r="X13" i="19" s="1"/>
  <c r="W76" i="19"/>
  <c r="W13" i="19" s="1"/>
  <c r="V76" i="19"/>
  <c r="V13" i="19" s="1"/>
  <c r="U76" i="19"/>
  <c r="U13" i="19" s="1"/>
  <c r="T76" i="19"/>
  <c r="T13" i="19" s="1"/>
  <c r="S76" i="19"/>
  <c r="S13" i="19" s="1"/>
  <c r="R76" i="19"/>
  <c r="R13" i="19" s="1"/>
  <c r="Q76" i="19"/>
  <c r="Q45" i="19" s="1"/>
  <c r="P76" i="19"/>
  <c r="P45" i="19" s="1"/>
  <c r="O76" i="19"/>
  <c r="N76" i="19"/>
  <c r="M76" i="19"/>
  <c r="L76" i="19"/>
  <c r="L13" i="19" s="1"/>
  <c r="K76" i="19"/>
  <c r="K13" i="19" s="1"/>
  <c r="J76" i="19"/>
  <c r="J13" i="19" s="1"/>
  <c r="I76" i="19"/>
  <c r="I13" i="19" s="1"/>
  <c r="H76" i="19"/>
  <c r="H13" i="19" s="1"/>
  <c r="G76" i="19"/>
  <c r="G13" i="19" s="1"/>
  <c r="F76" i="19"/>
  <c r="F13" i="19" s="1"/>
  <c r="E76" i="19"/>
  <c r="AH75" i="19"/>
  <c r="AH44" i="19" s="1"/>
  <c r="AG75" i="19"/>
  <c r="AG44" i="19" s="1"/>
  <c r="AF75" i="19"/>
  <c r="AF44" i="19" s="1"/>
  <c r="AE75" i="19"/>
  <c r="AE44" i="19" s="1"/>
  <c r="AD75" i="19"/>
  <c r="AD12" i="19" s="1"/>
  <c r="AC75" i="19"/>
  <c r="AB75" i="19"/>
  <c r="AB12" i="19" s="1"/>
  <c r="AA75" i="19"/>
  <c r="AA12" i="19" s="1"/>
  <c r="Z75" i="19"/>
  <c r="Z12" i="19" s="1"/>
  <c r="Y75" i="19"/>
  <c r="Y12" i="19" s="1"/>
  <c r="X75" i="19"/>
  <c r="X12" i="19" s="1"/>
  <c r="W75" i="19"/>
  <c r="W12" i="19" s="1"/>
  <c r="V75" i="19"/>
  <c r="V12" i="19" s="1"/>
  <c r="U75" i="19"/>
  <c r="U12" i="19" s="1"/>
  <c r="T75" i="19"/>
  <c r="T12" i="19" s="1"/>
  <c r="S75" i="19"/>
  <c r="S12" i="19" s="1"/>
  <c r="R75" i="19"/>
  <c r="R12" i="19" s="1"/>
  <c r="Q75" i="19"/>
  <c r="Q44" i="19" s="1"/>
  <c r="P75" i="19"/>
  <c r="P44" i="19" s="1"/>
  <c r="O75" i="19"/>
  <c r="O44" i="19" s="1"/>
  <c r="N75" i="19"/>
  <c r="M75" i="19"/>
  <c r="L75" i="19"/>
  <c r="L12" i="19" s="1"/>
  <c r="K75" i="19"/>
  <c r="K12" i="19" s="1"/>
  <c r="J75" i="19"/>
  <c r="I75" i="19"/>
  <c r="H75" i="19"/>
  <c r="G75" i="19"/>
  <c r="F75" i="19"/>
  <c r="F12" i="19" s="1"/>
  <c r="E75" i="19"/>
  <c r="E12" i="19" s="1"/>
  <c r="AH74" i="19"/>
  <c r="AH43" i="19" s="1"/>
  <c r="AG74" i="19"/>
  <c r="AG43" i="19" s="1"/>
  <c r="AF74" i="19"/>
  <c r="AF43" i="19" s="1"/>
  <c r="AE74" i="19"/>
  <c r="AE43" i="19" s="1"/>
  <c r="AD74" i="19"/>
  <c r="AD11" i="19" s="1"/>
  <c r="AC74" i="19"/>
  <c r="AC11" i="19" s="1"/>
  <c r="AB74" i="19"/>
  <c r="AB11" i="19" s="1"/>
  <c r="AA74" i="19"/>
  <c r="Z74" i="19"/>
  <c r="Z11" i="19" s="1"/>
  <c r="Y74" i="19"/>
  <c r="Y11" i="19" s="1"/>
  <c r="X74" i="19"/>
  <c r="X11" i="19" s="1"/>
  <c r="W74" i="19"/>
  <c r="W11" i="19" s="1"/>
  <c r="V74" i="19"/>
  <c r="V11" i="19" s="1"/>
  <c r="U74" i="19"/>
  <c r="U11" i="19" s="1"/>
  <c r="T74" i="19"/>
  <c r="T11" i="19" s="1"/>
  <c r="S74" i="19"/>
  <c r="R74" i="19"/>
  <c r="R11" i="19" s="1"/>
  <c r="Q74" i="19"/>
  <c r="Q43" i="19" s="1"/>
  <c r="P74" i="19"/>
  <c r="P43" i="19" s="1"/>
  <c r="O74" i="19"/>
  <c r="O43" i="19" s="1"/>
  <c r="N74" i="19"/>
  <c r="N43" i="19" s="1"/>
  <c r="M74" i="19"/>
  <c r="M43" i="19" s="1"/>
  <c r="L74" i="19"/>
  <c r="L43" i="19" s="1"/>
  <c r="K74" i="19"/>
  <c r="K43" i="19" s="1"/>
  <c r="J74" i="19"/>
  <c r="J43" i="19" s="1"/>
  <c r="I74" i="19"/>
  <c r="I43" i="19" s="1"/>
  <c r="H74" i="19"/>
  <c r="H43" i="19" s="1"/>
  <c r="G74" i="19"/>
  <c r="G43" i="19" s="1"/>
  <c r="F74" i="19"/>
  <c r="F43" i="19" s="1"/>
  <c r="E74" i="19"/>
  <c r="E11" i="19" s="1"/>
  <c r="AH73" i="19"/>
  <c r="AH42" i="19" s="1"/>
  <c r="AG73" i="19"/>
  <c r="AG42" i="19" s="1"/>
  <c r="AF73" i="19"/>
  <c r="AF42" i="19" s="1"/>
  <c r="AE73" i="19"/>
  <c r="AE42" i="19" s="1"/>
  <c r="AD73" i="19"/>
  <c r="AC73" i="19"/>
  <c r="AC10" i="19" s="1"/>
  <c r="AB73" i="19"/>
  <c r="AB10" i="19" s="1"/>
  <c r="AA73" i="19"/>
  <c r="AA10" i="19" s="1"/>
  <c r="Z73" i="19"/>
  <c r="Z10" i="19" s="1"/>
  <c r="Y73" i="19"/>
  <c r="X73" i="19"/>
  <c r="X10" i="19" s="1"/>
  <c r="W73" i="19"/>
  <c r="V73" i="19"/>
  <c r="V10" i="19" s="1"/>
  <c r="U73" i="19"/>
  <c r="U10" i="19" s="1"/>
  <c r="T73" i="19"/>
  <c r="T10" i="19" s="1"/>
  <c r="S73" i="19"/>
  <c r="S10" i="19" s="1"/>
  <c r="S42" i="19" s="1"/>
  <c r="R73" i="19"/>
  <c r="R10" i="19" s="1"/>
  <c r="Q73" i="19"/>
  <c r="Q42" i="19" s="1"/>
  <c r="P73" i="19"/>
  <c r="P42" i="19" s="1"/>
  <c r="O73" i="19"/>
  <c r="O42" i="19" s="1"/>
  <c r="N73" i="19"/>
  <c r="N42" i="19" s="1"/>
  <c r="M73" i="19"/>
  <c r="M42" i="19" s="1"/>
  <c r="L73" i="19"/>
  <c r="L42" i="19" s="1"/>
  <c r="K73" i="19"/>
  <c r="K42" i="19" s="1"/>
  <c r="J73" i="19"/>
  <c r="J42" i="19" s="1"/>
  <c r="I73" i="19"/>
  <c r="I42" i="19" s="1"/>
  <c r="H73" i="19"/>
  <c r="H42" i="19" s="1"/>
  <c r="G73" i="19"/>
  <c r="G42" i="19" s="1"/>
  <c r="F73" i="19"/>
  <c r="F42" i="19" s="1"/>
  <c r="E73" i="19"/>
  <c r="AH72" i="19"/>
  <c r="AH41" i="19" s="1"/>
  <c r="AG72" i="19"/>
  <c r="AG41" i="19" s="1"/>
  <c r="AF72" i="19"/>
  <c r="AF41" i="19" s="1"/>
  <c r="AE72" i="19"/>
  <c r="AE41" i="19" s="1"/>
  <c r="AD72" i="19"/>
  <c r="AD9" i="19" s="1"/>
  <c r="AC72" i="19"/>
  <c r="AC9" i="19" s="1"/>
  <c r="AB72" i="19"/>
  <c r="AB9" i="19" s="1"/>
  <c r="AA72" i="19"/>
  <c r="AA9" i="19" s="1"/>
  <c r="Z72" i="19"/>
  <c r="Z9" i="19" s="1"/>
  <c r="Y72" i="19"/>
  <c r="Y41" i="19" s="1"/>
  <c r="X72" i="19"/>
  <c r="X9" i="19" s="1"/>
  <c r="W72" i="19"/>
  <c r="W9" i="19" s="1"/>
  <c r="V72" i="19"/>
  <c r="V9" i="19" s="1"/>
  <c r="U72" i="19"/>
  <c r="U9" i="19" s="1"/>
  <c r="T72" i="19"/>
  <c r="T9" i="19" s="1"/>
  <c r="S72" i="19"/>
  <c r="S9" i="19" s="1"/>
  <c r="R72" i="19"/>
  <c r="R41" i="19" s="1"/>
  <c r="Q72" i="19"/>
  <c r="Q41" i="19" s="1"/>
  <c r="P72" i="19"/>
  <c r="P41" i="19" s="1"/>
  <c r="O72" i="19"/>
  <c r="O41" i="19" s="1"/>
  <c r="N72" i="19"/>
  <c r="N41" i="19" s="1"/>
  <c r="M72" i="19"/>
  <c r="M41" i="19" s="1"/>
  <c r="L72" i="19"/>
  <c r="L41" i="19" s="1"/>
  <c r="K72" i="19"/>
  <c r="K41" i="19" s="1"/>
  <c r="J72" i="19"/>
  <c r="J41" i="19" s="1"/>
  <c r="I72" i="19"/>
  <c r="I41" i="19" s="1"/>
  <c r="H72" i="19"/>
  <c r="H41" i="19" s="1"/>
  <c r="G72" i="19"/>
  <c r="G41" i="19" s="1"/>
  <c r="F72" i="19"/>
  <c r="F41" i="19" s="1"/>
  <c r="E72" i="19"/>
  <c r="E41" i="19" s="1"/>
  <c r="AH71" i="19"/>
  <c r="AH40" i="19" s="1"/>
  <c r="AG71" i="19"/>
  <c r="AG40" i="19" s="1"/>
  <c r="AF71" i="19"/>
  <c r="AF40" i="19" s="1"/>
  <c r="AE71" i="19"/>
  <c r="AE40" i="19" s="1"/>
  <c r="AD71" i="19"/>
  <c r="AD40" i="19" s="1"/>
  <c r="AC71" i="19"/>
  <c r="AC8" i="19" s="1"/>
  <c r="AB71" i="19"/>
  <c r="AB8" i="19" s="1"/>
  <c r="AA71" i="19"/>
  <c r="AA8" i="19" s="1"/>
  <c r="Z71" i="19"/>
  <c r="Z8" i="19" s="1"/>
  <c r="Y71" i="19"/>
  <c r="Y40" i="19" s="1"/>
  <c r="X71" i="19"/>
  <c r="X8" i="19" s="1"/>
  <c r="W71" i="19"/>
  <c r="W8" i="19" s="1"/>
  <c r="V71" i="19"/>
  <c r="V8" i="19" s="1"/>
  <c r="U71" i="19"/>
  <c r="U8" i="19" s="1"/>
  <c r="T71" i="19"/>
  <c r="T8" i="19" s="1"/>
  <c r="S71" i="19"/>
  <c r="S8" i="19" s="1"/>
  <c r="R71" i="19"/>
  <c r="R40" i="19" s="1"/>
  <c r="Q71" i="19"/>
  <c r="Q40" i="19" s="1"/>
  <c r="P71" i="19"/>
  <c r="P40" i="19" s="1"/>
  <c r="O71" i="19"/>
  <c r="O40" i="19" s="1"/>
  <c r="N71" i="19"/>
  <c r="N40" i="19" s="1"/>
  <c r="M71" i="19"/>
  <c r="M40" i="19" s="1"/>
  <c r="L71" i="19"/>
  <c r="L40" i="19" s="1"/>
  <c r="K71" i="19"/>
  <c r="K40" i="19" s="1"/>
  <c r="J71" i="19"/>
  <c r="J40" i="19" s="1"/>
  <c r="I71" i="19"/>
  <c r="I40" i="19" s="1"/>
  <c r="H71" i="19"/>
  <c r="H40" i="19" s="1"/>
  <c r="G71" i="19"/>
  <c r="G40" i="19" s="1"/>
  <c r="F71" i="19"/>
  <c r="F40" i="19" s="1"/>
  <c r="E71" i="19"/>
  <c r="E40" i="19" s="1"/>
  <c r="AH70" i="19"/>
  <c r="AH39" i="19" s="1"/>
  <c r="AG70" i="19"/>
  <c r="AG39" i="19" s="1"/>
  <c r="AF70" i="19"/>
  <c r="AF39" i="19" s="1"/>
  <c r="AE70" i="19"/>
  <c r="AE39" i="19" s="1"/>
  <c r="AD70" i="19"/>
  <c r="AD39" i="19" s="1"/>
  <c r="AC70" i="19"/>
  <c r="AC7" i="19" s="1"/>
  <c r="AB70" i="19"/>
  <c r="AB39" i="19" s="1"/>
  <c r="AA70" i="19"/>
  <c r="Z70" i="19"/>
  <c r="Z39" i="19" s="1"/>
  <c r="Y70" i="19"/>
  <c r="Y39" i="19" s="1"/>
  <c r="X70" i="19"/>
  <c r="X39" i="19" s="1"/>
  <c r="W70" i="19"/>
  <c r="W7" i="19" s="1"/>
  <c r="V70" i="19"/>
  <c r="V7" i="19" s="1"/>
  <c r="U70" i="19"/>
  <c r="U7" i="19" s="1"/>
  <c r="T70" i="19"/>
  <c r="T7" i="19" s="1"/>
  <c r="S70" i="19"/>
  <c r="R70" i="19"/>
  <c r="R39" i="19" s="1"/>
  <c r="Q70" i="19"/>
  <c r="Q39" i="19" s="1"/>
  <c r="P70" i="19"/>
  <c r="P39" i="19" s="1"/>
  <c r="O70" i="19"/>
  <c r="O39" i="19" s="1"/>
  <c r="N70" i="19"/>
  <c r="N39" i="19" s="1"/>
  <c r="M70" i="19"/>
  <c r="M39" i="19" s="1"/>
  <c r="L70" i="19"/>
  <c r="L39" i="19" s="1"/>
  <c r="K70" i="19"/>
  <c r="K39" i="19" s="1"/>
  <c r="J70" i="19"/>
  <c r="J39" i="19" s="1"/>
  <c r="I70" i="19"/>
  <c r="I39" i="19" s="1"/>
  <c r="H70" i="19"/>
  <c r="H39" i="19" s="1"/>
  <c r="G70" i="19"/>
  <c r="G39" i="19" s="1"/>
  <c r="F70" i="19"/>
  <c r="F39" i="19" s="1"/>
  <c r="E70" i="19"/>
  <c r="E39" i="19" s="1"/>
  <c r="AH69" i="19"/>
  <c r="AH38" i="19" s="1"/>
  <c r="AG69" i="19"/>
  <c r="AG38" i="19" s="1"/>
  <c r="AF69" i="19"/>
  <c r="AF38" i="19" s="1"/>
  <c r="AE69" i="19"/>
  <c r="AE38" i="19" s="1"/>
  <c r="AD69" i="19"/>
  <c r="AD38" i="19" s="1"/>
  <c r="AC69" i="19"/>
  <c r="AC38" i="19" s="1"/>
  <c r="AB69" i="19"/>
  <c r="AB38" i="19" s="1"/>
  <c r="AA69" i="19"/>
  <c r="AA38" i="19" s="1"/>
  <c r="Z69" i="19"/>
  <c r="Z38" i="19" s="1"/>
  <c r="Y69" i="19"/>
  <c r="Y38" i="19" s="1"/>
  <c r="X69" i="19"/>
  <c r="X38" i="19" s="1"/>
  <c r="W69" i="19"/>
  <c r="W6" i="19" s="1"/>
  <c r="V69" i="19"/>
  <c r="V6" i="19" s="1"/>
  <c r="U69" i="19"/>
  <c r="U6" i="19" s="1"/>
  <c r="T69" i="19"/>
  <c r="T6" i="19" s="1"/>
  <c r="S69" i="19"/>
  <c r="S6" i="19" s="1"/>
  <c r="R69" i="19"/>
  <c r="R38" i="19" s="1"/>
  <c r="Q69" i="19"/>
  <c r="Q38" i="19" s="1"/>
  <c r="P69" i="19"/>
  <c r="P38" i="19" s="1"/>
  <c r="O69" i="19"/>
  <c r="O38" i="19" s="1"/>
  <c r="N69" i="19"/>
  <c r="N38" i="19" s="1"/>
  <c r="M69" i="19"/>
  <c r="M38" i="19" s="1"/>
  <c r="L69" i="19"/>
  <c r="L38" i="19" s="1"/>
  <c r="K69" i="19"/>
  <c r="K38" i="19" s="1"/>
  <c r="J69" i="19"/>
  <c r="J38" i="19" s="1"/>
  <c r="I69" i="19"/>
  <c r="I38" i="19" s="1"/>
  <c r="H69" i="19"/>
  <c r="H38" i="19" s="1"/>
  <c r="G69" i="19"/>
  <c r="G38" i="19" s="1"/>
  <c r="F69" i="19"/>
  <c r="F38" i="19" s="1"/>
  <c r="E69" i="19"/>
  <c r="E38" i="19" s="1"/>
  <c r="AH68" i="19"/>
  <c r="AH37" i="19" s="1"/>
  <c r="AG68" i="19"/>
  <c r="AG37" i="19" s="1"/>
  <c r="AF68" i="19"/>
  <c r="AF37" i="19" s="1"/>
  <c r="AE68" i="19"/>
  <c r="AE37" i="19" s="1"/>
  <c r="AD68" i="19"/>
  <c r="AD37" i="19" s="1"/>
  <c r="AC68" i="19"/>
  <c r="AC37" i="19" s="1"/>
  <c r="AB68" i="19"/>
  <c r="AB37" i="19" s="1"/>
  <c r="AA68" i="19"/>
  <c r="AA37" i="19" s="1"/>
  <c r="Z68" i="19"/>
  <c r="Z37" i="19" s="1"/>
  <c r="Y68" i="19"/>
  <c r="Y37" i="19" s="1"/>
  <c r="X68" i="19"/>
  <c r="X37" i="19" s="1"/>
  <c r="W68" i="19"/>
  <c r="V68" i="19"/>
  <c r="V5" i="19" s="1"/>
  <c r="U68" i="19"/>
  <c r="U5" i="19" s="1"/>
  <c r="T68" i="19"/>
  <c r="T5" i="19" s="1"/>
  <c r="S68" i="19"/>
  <c r="S37" i="19" s="1"/>
  <c r="R68" i="19"/>
  <c r="R37" i="19" s="1"/>
  <c r="Q68" i="19"/>
  <c r="Q37" i="19" s="1"/>
  <c r="P68" i="19"/>
  <c r="P37" i="19" s="1"/>
  <c r="O68" i="19"/>
  <c r="O37" i="19" s="1"/>
  <c r="N68" i="19"/>
  <c r="N37" i="19" s="1"/>
  <c r="M68" i="19"/>
  <c r="M37" i="19" s="1"/>
  <c r="L68" i="19"/>
  <c r="L37" i="19" s="1"/>
  <c r="K68" i="19"/>
  <c r="K37" i="19" s="1"/>
  <c r="J68" i="19"/>
  <c r="J37" i="19" s="1"/>
  <c r="I68" i="19"/>
  <c r="I37" i="19" s="1"/>
  <c r="H68" i="19"/>
  <c r="H37" i="19" s="1"/>
  <c r="G68" i="19"/>
  <c r="G37" i="19" s="1"/>
  <c r="F68" i="19"/>
  <c r="F37" i="19" s="1"/>
  <c r="E68" i="19"/>
  <c r="E37" i="19" s="1"/>
  <c r="AF33" i="19"/>
  <c r="AD33" i="19"/>
  <c r="AC33" i="19"/>
  <c r="Y33" i="19"/>
  <c r="V33" i="19"/>
  <c r="U33" i="19"/>
  <c r="P33" i="19"/>
  <c r="M33" i="19"/>
  <c r="E33" i="19"/>
  <c r="AD32" i="19"/>
  <c r="AA32" i="19"/>
  <c r="S32" i="19"/>
  <c r="N32" i="19"/>
  <c r="K32" i="19"/>
  <c r="AG31" i="19"/>
  <c r="AB31" i="19"/>
  <c r="Z31" i="19"/>
  <c r="Y31" i="19"/>
  <c r="Q31" i="19"/>
  <c r="L31" i="19"/>
  <c r="I31" i="19"/>
  <c r="AE30" i="19"/>
  <c r="W30" i="19"/>
  <c r="O30" i="19"/>
  <c r="G30" i="19"/>
  <c r="AG29" i="19"/>
  <c r="AD29" i="19"/>
  <c r="AC29" i="19"/>
  <c r="U29" i="19"/>
  <c r="M29" i="19"/>
  <c r="F29" i="19"/>
  <c r="E29" i="19"/>
  <c r="AB28" i="19"/>
  <c r="AA28" i="19"/>
  <c r="S28" i="19"/>
  <c r="K28" i="19"/>
  <c r="AH27" i="19"/>
  <c r="AG27" i="19"/>
  <c r="Z27" i="19"/>
  <c r="Y27" i="19"/>
  <c r="Q27" i="19"/>
  <c r="I27" i="19"/>
  <c r="AF26" i="19"/>
  <c r="AE26" i="19"/>
  <c r="X26" i="19"/>
  <c r="W26" i="19"/>
  <c r="O26" i="19"/>
  <c r="G26" i="19"/>
  <c r="AD25" i="19"/>
  <c r="AC25" i="19"/>
  <c r="V25" i="19"/>
  <c r="U25" i="19"/>
  <c r="M25" i="19"/>
  <c r="E25" i="19"/>
  <c r="E107" i="19" s="1"/>
  <c r="AA24" i="19"/>
  <c r="S24" i="19"/>
  <c r="K24" i="19"/>
  <c r="K106" i="19" s="1"/>
  <c r="F24" i="19"/>
  <c r="F106" i="19" s="1"/>
  <c r="AG23" i="19"/>
  <c r="Y23" i="19"/>
  <c r="Q23" i="19"/>
  <c r="I23" i="19"/>
  <c r="I105" i="19" s="1"/>
  <c r="AE22" i="19"/>
  <c r="W22" i="19"/>
  <c r="P22" i="19"/>
  <c r="O22" i="19"/>
  <c r="AF21" i="19"/>
  <c r="AC21" i="19"/>
  <c r="U21" i="19"/>
  <c r="M21" i="19"/>
  <c r="E21" i="19"/>
  <c r="E103" i="19" s="1"/>
  <c r="AA20" i="19"/>
  <c r="S20" i="19"/>
  <c r="K20" i="19"/>
  <c r="K102" i="19" s="1"/>
  <c r="AG19" i="19"/>
  <c r="AB19" i="19"/>
  <c r="Y19" i="19"/>
  <c r="Q19" i="19"/>
  <c r="M19" i="19"/>
  <c r="I19" i="19"/>
  <c r="I101" i="19" s="1"/>
  <c r="AE18" i="19"/>
  <c r="W18" i="19"/>
  <c r="O18" i="19"/>
  <c r="G18" i="19"/>
  <c r="G100" i="19" s="1"/>
  <c r="AC17" i="19"/>
  <c r="X17" i="19"/>
  <c r="U17" i="19"/>
  <c r="M17" i="19"/>
  <c r="E17" i="19"/>
  <c r="AA16" i="19"/>
  <c r="S16" i="19"/>
  <c r="O16" i="19"/>
  <c r="K16" i="19"/>
  <c r="AG15" i="19"/>
  <c r="Y15" i="19"/>
  <c r="T15" i="19"/>
  <c r="Q15" i="19"/>
  <c r="I15" i="19"/>
  <c r="AE14" i="19"/>
  <c r="W14" i="19"/>
  <c r="O14" i="19"/>
  <c r="G14" i="19"/>
  <c r="AC13" i="19"/>
  <c r="M13" i="19"/>
  <c r="E13" i="19"/>
  <c r="I11" i="19"/>
  <c r="W10" i="19"/>
  <c r="G6" i="19"/>
  <c r="AC31" i="19" l="1"/>
  <c r="I33" i="19"/>
  <c r="U51" i="19"/>
  <c r="AA6" i="19"/>
  <c r="T28" i="19"/>
  <c r="V29" i="19"/>
  <c r="R31" i="19"/>
  <c r="L32" i="19"/>
  <c r="F33" i="19"/>
  <c r="K6" i="19"/>
  <c r="X30" i="19"/>
  <c r="AB24" i="19"/>
  <c r="AF30" i="19"/>
  <c r="T32" i="19"/>
  <c r="N33" i="19"/>
  <c r="J31" i="19"/>
  <c r="AB32" i="19"/>
  <c r="J11" i="19"/>
  <c r="G10" i="19"/>
  <c r="O10" i="19"/>
  <c r="Q7" i="19"/>
  <c r="AC27" i="19"/>
  <c r="M31" i="19"/>
  <c r="AA30" i="19"/>
  <c r="K10" i="19"/>
  <c r="Q13" i="19"/>
  <c r="Y25" i="19"/>
  <c r="W28" i="19"/>
  <c r="W32" i="19"/>
  <c r="U23" i="19"/>
  <c r="G32" i="19"/>
  <c r="G8" i="19"/>
  <c r="O12" i="19"/>
  <c r="AA22" i="19"/>
  <c r="U31" i="19"/>
  <c r="AG33" i="19"/>
  <c r="AA26" i="19"/>
  <c r="AE28" i="19"/>
  <c r="E31" i="19"/>
  <c r="Q33" i="19"/>
  <c r="U19" i="19"/>
  <c r="I5" i="19"/>
  <c r="AE8" i="19"/>
  <c r="AE12" i="19"/>
  <c r="AG13" i="19"/>
  <c r="W24" i="19"/>
  <c r="U27" i="19"/>
  <c r="Y29" i="19"/>
  <c r="AE32" i="19"/>
  <c r="I9" i="19"/>
  <c r="S30" i="19"/>
  <c r="O32" i="19"/>
  <c r="I61" i="19"/>
  <c r="P13" i="19"/>
  <c r="AC5" i="19"/>
  <c r="Y7" i="19"/>
  <c r="AE10" i="19"/>
  <c r="M11" i="19"/>
  <c r="E5" i="19"/>
  <c r="I7" i="19"/>
  <c r="E9" i="19"/>
  <c r="Q5" i="19"/>
  <c r="Q9" i="19"/>
  <c r="AH11" i="19"/>
  <c r="Z6" i="19"/>
  <c r="N8" i="19"/>
  <c r="H57" i="19"/>
  <c r="P107" i="19" s="1"/>
  <c r="AD24" i="19"/>
  <c r="V28" i="19"/>
  <c r="Z30" i="19"/>
  <c r="AF13" i="19"/>
  <c r="H5" i="19"/>
  <c r="AH18" i="19"/>
  <c r="V24" i="19"/>
  <c r="X25" i="19"/>
  <c r="Z26" i="19"/>
  <c r="AB27" i="19"/>
  <c r="AD28" i="19"/>
  <c r="AF29" i="19"/>
  <c r="T31" i="19"/>
  <c r="F32" i="19"/>
  <c r="V32" i="19"/>
  <c r="H33" i="19"/>
  <c r="X33" i="19"/>
  <c r="V20" i="19"/>
  <c r="AH14" i="19"/>
  <c r="T27" i="19"/>
  <c r="X29" i="19"/>
  <c r="AB23" i="19"/>
  <c r="J6" i="19"/>
  <c r="AF5" i="19"/>
  <c r="AD8" i="19"/>
  <c r="AF9" i="19"/>
  <c r="AH6" i="19"/>
  <c r="G62" i="19"/>
  <c r="H61" i="19"/>
  <c r="R62" i="19"/>
  <c r="Z5" i="19"/>
  <c r="R7" i="19"/>
  <c r="O6" i="19"/>
  <c r="AG11" i="19"/>
  <c r="P6" i="19"/>
  <c r="J7" i="19"/>
  <c r="AH7" i="19"/>
  <c r="Z23" i="19"/>
  <c r="L7" i="19"/>
  <c r="F8" i="19"/>
  <c r="AF10" i="19"/>
  <c r="AH19" i="19"/>
  <c r="V21" i="19"/>
  <c r="Z22" i="19"/>
  <c r="F5" i="19"/>
  <c r="AD5" i="19"/>
  <c r="X6" i="19"/>
  <c r="L8" i="19"/>
  <c r="T56" i="19"/>
  <c r="T55" i="19"/>
  <c r="AD41" i="19"/>
  <c r="N5" i="19"/>
  <c r="AF6" i="19"/>
  <c r="N13" i="19"/>
  <c r="N45" i="19" s="1"/>
  <c r="AF14" i="19"/>
  <c r="AH15" i="19"/>
  <c r="Z7" i="19"/>
  <c r="N9" i="19"/>
  <c r="X5" i="19"/>
  <c r="P9" i="19"/>
  <c r="J10" i="19"/>
  <c r="N12" i="19"/>
  <c r="N44" i="19" s="1"/>
  <c r="T30" i="19"/>
  <c r="Z29" i="19"/>
  <c r="AF16" i="19"/>
  <c r="F31" i="19"/>
  <c r="V27" i="19"/>
  <c r="AB26" i="19"/>
  <c r="AF28" i="19"/>
  <c r="AH33" i="19"/>
  <c r="J5" i="19"/>
  <c r="R9" i="19"/>
  <c r="M45" i="19"/>
  <c r="S60" i="19"/>
  <c r="Q63" i="19"/>
  <c r="R33" i="19"/>
  <c r="F11" i="19"/>
  <c r="AH13" i="19"/>
  <c r="AH5" i="19"/>
  <c r="P8" i="19"/>
  <c r="AF8" i="19"/>
  <c r="V19" i="19"/>
  <c r="Z21" i="19"/>
  <c r="V31" i="19"/>
  <c r="F61" i="19"/>
  <c r="F7" i="19"/>
  <c r="AH9" i="19"/>
  <c r="H8" i="19"/>
  <c r="H12" i="19"/>
  <c r="H44" i="19" s="1"/>
  <c r="R5" i="19"/>
  <c r="P12" i="19"/>
  <c r="AH17" i="19"/>
  <c r="V23" i="19"/>
  <c r="Z25" i="19"/>
  <c r="AD27" i="19"/>
  <c r="T54" i="19"/>
  <c r="X24" i="19"/>
  <c r="AD7" i="19"/>
  <c r="T26" i="19"/>
  <c r="T58" i="19" s="1"/>
  <c r="X28" i="19"/>
  <c r="AB30" i="19"/>
  <c r="L10" i="19"/>
  <c r="AB6" i="19"/>
  <c r="J9" i="19"/>
  <c r="N11" i="19"/>
  <c r="AF12" i="19"/>
  <c r="AB22" i="19"/>
  <c r="N31" i="19"/>
  <c r="P5" i="19"/>
  <c r="Y5" i="19"/>
  <c r="H6" i="19"/>
  <c r="E7" i="19"/>
  <c r="AG7" i="19"/>
  <c r="O8" i="19"/>
  <c r="M9" i="19"/>
  <c r="Y9" i="19"/>
  <c r="H10" i="19"/>
  <c r="AH10" i="19"/>
  <c r="Q11" i="19"/>
  <c r="G31" i="19"/>
  <c r="S5" i="19"/>
  <c r="AG5" i="19"/>
  <c r="R6" i="19"/>
  <c r="AE6" i="19"/>
  <c r="M7" i="19"/>
  <c r="AB7" i="19"/>
  <c r="K8" i="19"/>
  <c r="H9" i="19"/>
  <c r="AG9" i="19"/>
  <c r="P10" i="19"/>
  <c r="L11" i="19"/>
  <c r="G12" i="19"/>
  <c r="G44" i="19" s="1"/>
  <c r="M5" i="19"/>
  <c r="X32" i="19"/>
  <c r="AD31" i="19"/>
  <c r="J33" i="19"/>
  <c r="Z33" i="19"/>
  <c r="AF32" i="19"/>
  <c r="H32" i="19"/>
  <c r="AA25" i="19"/>
  <c r="AE11" i="19"/>
  <c r="Y24" i="19"/>
  <c r="K33" i="19"/>
  <c r="AC26" i="19"/>
  <c r="I32" i="19"/>
  <c r="AG12" i="19"/>
  <c r="AA5" i="19"/>
  <c r="AC6" i="19"/>
  <c r="AE7" i="19"/>
  <c r="AG8" i="19"/>
  <c r="U22" i="19"/>
  <c r="W23" i="19"/>
  <c r="K5" i="19"/>
  <c r="L6" i="19"/>
  <c r="N7" i="19"/>
  <c r="U26" i="19"/>
  <c r="W27" i="19"/>
  <c r="Y28" i="19"/>
  <c r="AA29" i="19"/>
  <c r="AC30" i="19"/>
  <c r="AE31" i="19"/>
  <c r="M6" i="19"/>
  <c r="O7" i="19"/>
  <c r="Q8" i="19"/>
  <c r="O11" i="19"/>
  <c r="Q12" i="19"/>
  <c r="S29" i="19"/>
  <c r="S61" i="19" s="1"/>
  <c r="U30" i="19"/>
  <c r="W31" i="19"/>
  <c r="Y32" i="19"/>
  <c r="AA33" i="19"/>
  <c r="Y8" i="19"/>
  <c r="M10" i="19"/>
  <c r="E6" i="19"/>
  <c r="G7" i="19"/>
  <c r="I8" i="19"/>
  <c r="AC22" i="19"/>
  <c r="K9" i="19"/>
  <c r="E10" i="19"/>
  <c r="E42" i="19" s="1"/>
  <c r="G11" i="19"/>
  <c r="I12" i="19"/>
  <c r="I44" i="19" s="1"/>
  <c r="AA21" i="19"/>
  <c r="O31" i="19"/>
  <c r="Q32" i="19"/>
  <c r="Q64" i="19" s="1"/>
  <c r="S33" i="19"/>
  <c r="AG64" i="19"/>
  <c r="AF7" i="19"/>
  <c r="X7" i="19"/>
  <c r="AF15" i="19"/>
  <c r="AB33" i="19"/>
  <c r="R32" i="19"/>
  <c r="AF11" i="19"/>
  <c r="AB5" i="19"/>
  <c r="N62" i="19"/>
  <c r="L5" i="19"/>
  <c r="P7" i="19"/>
  <c r="L9" i="19"/>
  <c r="P11" i="19"/>
  <c r="AB25" i="19"/>
  <c r="F30" i="19"/>
  <c r="F62" i="19" s="1"/>
  <c r="J32" i="19"/>
  <c r="AE46" i="19"/>
  <c r="U49" i="19"/>
  <c r="AE58" i="19"/>
  <c r="E61" i="19"/>
  <c r="O62" i="19"/>
  <c r="AB21" i="19"/>
  <c r="T25" i="19"/>
  <c r="T57" i="19" s="1"/>
  <c r="X27" i="19"/>
  <c r="AB29" i="19"/>
  <c r="AF31" i="19"/>
  <c r="L44" i="19"/>
  <c r="V49" i="19"/>
  <c r="AF50" i="19"/>
  <c r="Z51" i="19"/>
  <c r="T52" i="19"/>
  <c r="AB52" i="19"/>
  <c r="AD53" i="19"/>
  <c r="X54" i="19"/>
  <c r="AF58" i="19"/>
  <c r="H62" i="19"/>
  <c r="T29" i="19"/>
  <c r="X31" i="19"/>
  <c r="H11" i="19"/>
  <c r="AH16" i="19"/>
  <c r="AH24" i="19"/>
  <c r="AH56" i="19" s="1"/>
  <c r="P31" i="19"/>
  <c r="P63" i="19" s="1"/>
  <c r="T33" i="19"/>
  <c r="F44" i="19"/>
  <c r="AF49" i="19"/>
  <c r="T51" i="19"/>
  <c r="AB51" i="19"/>
  <c r="X53" i="19"/>
  <c r="AH54" i="19"/>
  <c r="J62" i="19"/>
  <c r="AH62" i="19"/>
  <c r="X55" i="19"/>
  <c r="AD10" i="19"/>
  <c r="AD42" i="19" s="1"/>
  <c r="AH12" i="19"/>
  <c r="T21" i="19"/>
  <c r="T53" i="19" s="1"/>
  <c r="N6" i="19"/>
  <c r="R8" i="19"/>
  <c r="N10" i="19"/>
  <c r="AH20" i="19"/>
  <c r="AH52" i="19" s="1"/>
  <c r="Z24" i="19"/>
  <c r="AD26" i="19"/>
  <c r="AH28" i="19"/>
  <c r="AH60" i="19" s="1"/>
  <c r="H31" i="19"/>
  <c r="L33" i="19"/>
  <c r="AC39" i="19"/>
  <c r="E43" i="19"/>
  <c r="AA50" i="19"/>
  <c r="AC51" i="19"/>
  <c r="W52" i="19"/>
  <c r="Y53" i="19"/>
  <c r="AC55" i="19"/>
  <c r="S58" i="19"/>
  <c r="Q61" i="19"/>
  <c r="K62" i="19"/>
  <c r="AD54" i="19"/>
  <c r="AF59" i="19"/>
  <c r="H7" i="19"/>
  <c r="AD6" i="19"/>
  <c r="AH8" i="19"/>
  <c r="F6" i="19"/>
  <c r="J8" i="19"/>
  <c r="F10" i="19"/>
  <c r="J12" i="19"/>
  <c r="J44" i="19" s="1"/>
  <c r="V18" i="19"/>
  <c r="V50" i="19" s="1"/>
  <c r="Z20" i="19"/>
  <c r="Z52" i="19" s="1"/>
  <c r="V22" i="19"/>
  <c r="V26" i="19"/>
  <c r="Z28" i="19"/>
  <c r="AD30" i="19"/>
  <c r="AH32" i="19"/>
  <c r="AH64" i="19" s="1"/>
  <c r="AD43" i="19"/>
  <c r="AH53" i="19"/>
  <c r="AD55" i="19"/>
  <c r="J61" i="19"/>
  <c r="R61" i="19"/>
  <c r="L62" i="19"/>
  <c r="P64" i="19"/>
  <c r="F9" i="19"/>
  <c r="V30" i="19"/>
  <c r="Z32" i="19"/>
  <c r="AG48" i="19"/>
  <c r="AC50" i="19"/>
  <c r="W51" i="19"/>
  <c r="S57" i="19"/>
  <c r="AE59" i="19"/>
  <c r="AG60" i="19"/>
  <c r="K61" i="19"/>
  <c r="E62" i="19"/>
  <c r="M62" i="19"/>
  <c r="S38" i="19"/>
  <c r="U39" i="19"/>
  <c r="W40" i="19"/>
  <c r="AA42" i="19"/>
  <c r="T39" i="19"/>
  <c r="V40" i="19"/>
  <c r="X41" i="19"/>
  <c r="R42" i="19"/>
  <c r="Z42" i="19"/>
  <c r="T43" i="19"/>
  <c r="AB43" i="19"/>
  <c r="V44" i="19"/>
  <c r="AD44" i="19"/>
  <c r="H45" i="19"/>
  <c r="X45" i="19"/>
  <c r="J46" i="19"/>
  <c r="R46" i="19"/>
  <c r="Z46" i="19"/>
  <c r="L47" i="19"/>
  <c r="T47" i="19"/>
  <c r="AB47" i="19"/>
  <c r="F48" i="19"/>
  <c r="N48" i="19"/>
  <c r="V48" i="19"/>
  <c r="AD48" i="19"/>
  <c r="H49" i="19"/>
  <c r="P49" i="19"/>
  <c r="X49" i="19"/>
  <c r="J50" i="19"/>
  <c r="R100" i="19" s="1"/>
  <c r="R50" i="19"/>
  <c r="Z50" i="19"/>
  <c r="L51" i="19"/>
  <c r="F52" i="19"/>
  <c r="N102" i="19" s="1"/>
  <c r="N52" i="19"/>
  <c r="AD52" i="19"/>
  <c r="H53" i="19"/>
  <c r="P103" i="19" s="1"/>
  <c r="P53" i="19"/>
  <c r="AF53" i="19"/>
  <c r="J54" i="19"/>
  <c r="R104" i="19" s="1"/>
  <c r="R54" i="19"/>
  <c r="L55" i="19"/>
  <c r="F56" i="19"/>
  <c r="N106" i="19" s="1"/>
  <c r="N56" i="19"/>
  <c r="P57" i="19"/>
  <c r="AF57" i="19"/>
  <c r="J58" i="19"/>
  <c r="R58" i="19"/>
  <c r="AH58" i="19"/>
  <c r="F60" i="19"/>
  <c r="N60" i="19"/>
  <c r="Q46" i="19"/>
  <c r="Y50" i="19"/>
  <c r="AG54" i="19"/>
  <c r="E60" i="19"/>
  <c r="AE45" i="19"/>
  <c r="Q54" i="19"/>
  <c r="K23" i="19"/>
  <c r="K105" i="19" s="1"/>
  <c r="S23" i="19"/>
  <c r="S55" i="19" s="1"/>
  <c r="AA23" i="19"/>
  <c r="E24" i="19"/>
  <c r="E106" i="19" s="1"/>
  <c r="U24" i="19"/>
  <c r="AC24" i="19"/>
  <c r="G25" i="19"/>
  <c r="G107" i="19" s="1"/>
  <c r="W25" i="19"/>
  <c r="AE25" i="19"/>
  <c r="AE57" i="19" s="1"/>
  <c r="I26" i="19"/>
  <c r="Y26" i="19"/>
  <c r="AG26" i="19"/>
  <c r="AG58" i="19" s="1"/>
  <c r="K27" i="19"/>
  <c r="K59" i="19" s="1"/>
  <c r="S27" i="19"/>
  <c r="S59" i="19" s="1"/>
  <c r="AA27" i="19"/>
  <c r="M28" i="19"/>
  <c r="M60" i="19" s="1"/>
  <c r="U28" i="19"/>
  <c r="AC28" i="19"/>
  <c r="G29" i="19"/>
  <c r="G61" i="19" s="1"/>
  <c r="O29" i="19"/>
  <c r="O61" i="19" s="1"/>
  <c r="W29" i="19"/>
  <c r="AE29" i="19"/>
  <c r="I30" i="19"/>
  <c r="I62" i="19" s="1"/>
  <c r="Q30" i="19"/>
  <c r="Q62" i="19" s="1"/>
  <c r="Y30" i="19"/>
  <c r="AG30" i="19"/>
  <c r="AG62" i="19" s="1"/>
  <c r="K31" i="19"/>
  <c r="S31" i="19"/>
  <c r="AA31" i="19"/>
  <c r="E32" i="19"/>
  <c r="M32" i="19"/>
  <c r="U32" i="19"/>
  <c r="AC32" i="19"/>
  <c r="G33" i="19"/>
  <c r="O33" i="19"/>
  <c r="W33" i="19"/>
  <c r="AE33" i="19"/>
  <c r="U43" i="19"/>
  <c r="AC43" i="19"/>
  <c r="W44" i="19"/>
  <c r="I45" i="19"/>
  <c r="Y45" i="19"/>
  <c r="K46" i="19"/>
  <c r="S46" i="19"/>
  <c r="AA46" i="19"/>
  <c r="E47" i="19"/>
  <c r="M47" i="19"/>
  <c r="U47" i="19"/>
  <c r="AC47" i="19"/>
  <c r="G48" i="19"/>
  <c r="O48" i="19"/>
  <c r="W48" i="19"/>
  <c r="AE48" i="19"/>
  <c r="I49" i="19"/>
  <c r="Q49" i="19"/>
  <c r="Y49" i="19"/>
  <c r="AG49" i="19"/>
  <c r="K50" i="19"/>
  <c r="S100" i="19" s="1"/>
  <c r="AG46" i="19"/>
  <c r="K51" i="19"/>
  <c r="S101" i="19" s="1"/>
  <c r="M56" i="19"/>
  <c r="O57" i="19"/>
  <c r="Q58" i="19"/>
  <c r="I50" i="19"/>
  <c r="Q100" i="19" s="1"/>
  <c r="G5" i="19"/>
  <c r="O5" i="19"/>
  <c r="W5" i="19"/>
  <c r="W37" i="19" s="1"/>
  <c r="AE5" i="19"/>
  <c r="I6" i="19"/>
  <c r="Q6" i="19"/>
  <c r="Y6" i="19"/>
  <c r="AG6" i="19"/>
  <c r="K7" i="19"/>
  <c r="S7" i="19"/>
  <c r="S39" i="19" s="1"/>
  <c r="AA7" i="19"/>
  <c r="AA39" i="19" s="1"/>
  <c r="E8" i="19"/>
  <c r="M8" i="19"/>
  <c r="G9" i="19"/>
  <c r="O9" i="19"/>
  <c r="AE9" i="19"/>
  <c r="I10" i="19"/>
  <c r="Q10" i="19"/>
  <c r="Y10" i="19"/>
  <c r="Y42" i="19" s="1"/>
  <c r="AG10" i="19"/>
  <c r="K11" i="19"/>
  <c r="S11" i="19"/>
  <c r="S43" i="19" s="1"/>
  <c r="AA11" i="19"/>
  <c r="AA43" i="19" s="1"/>
  <c r="M12" i="19"/>
  <c r="M44" i="19" s="1"/>
  <c r="AC12" i="19"/>
  <c r="AC44" i="19" s="1"/>
  <c r="O13" i="19"/>
  <c r="O45" i="19" s="1"/>
  <c r="I14" i="19"/>
  <c r="I46" i="19" s="1"/>
  <c r="Y14" i="19"/>
  <c r="Y46" i="19" s="1"/>
  <c r="K15" i="19"/>
  <c r="K47" i="19" s="1"/>
  <c r="S15" i="19"/>
  <c r="S47" i="19" s="1"/>
  <c r="AA15" i="19"/>
  <c r="AA47" i="19" s="1"/>
  <c r="E16" i="19"/>
  <c r="E48" i="19" s="1"/>
  <c r="M16" i="19"/>
  <c r="M48" i="19" s="1"/>
  <c r="U16" i="19"/>
  <c r="U48" i="19" s="1"/>
  <c r="AC16" i="19"/>
  <c r="AC48" i="19" s="1"/>
  <c r="G17" i="19"/>
  <c r="G49" i="19" s="1"/>
  <c r="O17" i="19"/>
  <c r="O49" i="19" s="1"/>
  <c r="W17" i="19"/>
  <c r="W49" i="19" s="1"/>
  <c r="AE17" i="19"/>
  <c r="AE49" i="19" s="1"/>
  <c r="Q18" i="19"/>
  <c r="Q50" i="19" s="1"/>
  <c r="AG18" i="19"/>
  <c r="AG50" i="19" s="1"/>
  <c r="S19" i="19"/>
  <c r="S51" i="19" s="1"/>
  <c r="AA19" i="19"/>
  <c r="AA51" i="19" s="1"/>
  <c r="E20" i="19"/>
  <c r="E102" i="19" s="1"/>
  <c r="M20" i="19"/>
  <c r="M52" i="19" s="1"/>
  <c r="U20" i="19"/>
  <c r="AC20" i="19"/>
  <c r="AC52" i="19" s="1"/>
  <c r="G21" i="19"/>
  <c r="G103" i="19" s="1"/>
  <c r="O21" i="19"/>
  <c r="O53" i="19" s="1"/>
  <c r="W21" i="19"/>
  <c r="AE21" i="19"/>
  <c r="AE53" i="19" s="1"/>
  <c r="I22" i="19"/>
  <c r="I104" i="19" s="1"/>
  <c r="Y22" i="19"/>
  <c r="Y54" i="19" s="1"/>
  <c r="T38" i="19"/>
  <c r="V39" i="19"/>
  <c r="X40" i="19"/>
  <c r="Z41" i="19"/>
  <c r="T42" i="19"/>
  <c r="AB42" i="19"/>
  <c r="V43" i="19"/>
  <c r="X44" i="19"/>
  <c r="J45" i="19"/>
  <c r="R45" i="19"/>
  <c r="Z45" i="19"/>
  <c r="L46" i="19"/>
  <c r="T46" i="19"/>
  <c r="AB46" i="19"/>
  <c r="F47" i="19"/>
  <c r="N47" i="19"/>
  <c r="V47" i="19"/>
  <c r="AD47" i="19"/>
  <c r="H48" i="19"/>
  <c r="P48" i="19"/>
  <c r="X48" i="19"/>
  <c r="J49" i="19"/>
  <c r="R49" i="19"/>
  <c r="Z49" i="19"/>
  <c r="L50" i="19"/>
  <c r="T50" i="19"/>
  <c r="AB50" i="19"/>
  <c r="F51" i="19"/>
  <c r="N101" i="19" s="1"/>
  <c r="N51" i="19"/>
  <c r="AD51" i="19"/>
  <c r="H52" i="19"/>
  <c r="P102" i="19" s="1"/>
  <c r="P52" i="19"/>
  <c r="X52" i="19"/>
  <c r="AF52" i="19"/>
  <c r="J53" i="19"/>
  <c r="R103" i="19" s="1"/>
  <c r="W41" i="19"/>
  <c r="G45" i="19"/>
  <c r="U38" i="19"/>
  <c r="W39" i="19"/>
  <c r="S41" i="19"/>
  <c r="AA41" i="19"/>
  <c r="U42" i="19"/>
  <c r="AC42" i="19"/>
  <c r="W43" i="19"/>
  <c r="Y44" i="19"/>
  <c r="K45" i="19"/>
  <c r="S45" i="19"/>
  <c r="AA45" i="19"/>
  <c r="E46" i="19"/>
  <c r="M46" i="19"/>
  <c r="U46" i="19"/>
  <c r="AC46" i="19"/>
  <c r="G47" i="19"/>
  <c r="O47" i="19"/>
  <c r="W47" i="19"/>
  <c r="AE47" i="19"/>
  <c r="I48" i="19"/>
  <c r="Q48" i="19"/>
  <c r="Y48" i="19"/>
  <c r="K49" i="19"/>
  <c r="S49" i="19"/>
  <c r="AA49" i="19"/>
  <c r="E50" i="19"/>
  <c r="M100" i="19" s="1"/>
  <c r="M50" i="19"/>
  <c r="U50" i="19"/>
  <c r="G51" i="19"/>
  <c r="O101" i="19" s="1"/>
  <c r="O51" i="19"/>
  <c r="AE51" i="19"/>
  <c r="I52" i="19"/>
  <c r="Q102" i="19" s="1"/>
  <c r="Q52" i="19"/>
  <c r="Y52" i="19"/>
  <c r="AG52" i="19"/>
  <c r="K53" i="19"/>
  <c r="S103" i="19" s="1"/>
  <c r="S53" i="19"/>
  <c r="E54" i="19"/>
  <c r="M104" i="19" s="1"/>
  <c r="M54" i="19"/>
  <c r="G55" i="19"/>
  <c r="O105" i="19" s="1"/>
  <c r="O55" i="19"/>
  <c r="AE55" i="19"/>
  <c r="I56" i="19"/>
  <c r="Q106" i="19" s="1"/>
  <c r="Q56" i="19"/>
  <c r="AG56" i="19"/>
  <c r="K57" i="19"/>
  <c r="S107" i="19" s="1"/>
  <c r="E58" i="19"/>
  <c r="M58" i="19"/>
  <c r="G59" i="19"/>
  <c r="O59" i="19"/>
  <c r="I60" i="19"/>
  <c r="Q60" i="19"/>
  <c r="AC40" i="19"/>
  <c r="W45" i="19"/>
  <c r="T37" i="19"/>
  <c r="V38" i="19"/>
  <c r="Z40" i="19"/>
  <c r="T41" i="19"/>
  <c r="AB41" i="19"/>
  <c r="V42" i="19"/>
  <c r="X43" i="19"/>
  <c r="R44" i="19"/>
  <c r="Z44" i="19"/>
  <c r="L45" i="19"/>
  <c r="T45" i="19"/>
  <c r="AB45" i="19"/>
  <c r="F46" i="19"/>
  <c r="N46" i="19"/>
  <c r="V46" i="19"/>
  <c r="AD46" i="19"/>
  <c r="H47" i="19"/>
  <c r="P47" i="19"/>
  <c r="X47" i="19"/>
  <c r="J48" i="19"/>
  <c r="R48" i="19"/>
  <c r="Z48" i="19"/>
  <c r="L49" i="19"/>
  <c r="T49" i="19"/>
  <c r="AB49" i="19"/>
  <c r="F50" i="19"/>
  <c r="N100" i="19" s="1"/>
  <c r="N50" i="19"/>
  <c r="AD50" i="19"/>
  <c r="H51" i="19"/>
  <c r="P101" i="19" s="1"/>
  <c r="P51" i="19"/>
  <c r="X51" i="19"/>
  <c r="AF51" i="19"/>
  <c r="J52" i="19"/>
  <c r="R102" i="19" s="1"/>
  <c r="U44" i="19"/>
  <c r="U37" i="19"/>
  <c r="W38" i="19"/>
  <c r="S40" i="19"/>
  <c r="AA40" i="19"/>
  <c r="U41" i="19"/>
  <c r="AC41" i="19"/>
  <c r="W42" i="19"/>
  <c r="Y43" i="19"/>
  <c r="K44" i="19"/>
  <c r="S44" i="19"/>
  <c r="AA44" i="19"/>
  <c r="E45" i="19"/>
  <c r="U45" i="19"/>
  <c r="AC45" i="19"/>
  <c r="G46" i="19"/>
  <c r="O46" i="19"/>
  <c r="W46" i="19"/>
  <c r="I47" i="19"/>
  <c r="Q47" i="19"/>
  <c r="Y47" i="19"/>
  <c r="AG47" i="19"/>
  <c r="K48" i="19"/>
  <c r="S48" i="19"/>
  <c r="AA48" i="19"/>
  <c r="E49" i="19"/>
  <c r="M49" i="19"/>
  <c r="AC49" i="19"/>
  <c r="G50" i="19"/>
  <c r="O100" i="19" s="1"/>
  <c r="O50" i="19"/>
  <c r="W50" i="19"/>
  <c r="AE50" i="19"/>
  <c r="I51" i="19"/>
  <c r="Q101" i="19" s="1"/>
  <c r="Q51" i="19"/>
  <c r="Y51" i="19"/>
  <c r="AG51" i="19"/>
  <c r="K52" i="19"/>
  <c r="S102" i="19" s="1"/>
  <c r="S52" i="19"/>
  <c r="E53" i="19"/>
  <c r="M103" i="19" s="1"/>
  <c r="M53" i="19"/>
  <c r="G54" i="19"/>
  <c r="O104" i="19" s="1"/>
  <c r="O54" i="19"/>
  <c r="AE54" i="19"/>
  <c r="I55" i="19"/>
  <c r="Q105" i="19" s="1"/>
  <c r="Q55" i="19"/>
  <c r="AG55" i="19"/>
  <c r="K56" i="19"/>
  <c r="S106" i="19" s="1"/>
  <c r="S56" i="19"/>
  <c r="U40" i="19"/>
  <c r="E44" i="19"/>
  <c r="V37" i="19"/>
  <c r="T40" i="19"/>
  <c r="AB40" i="19"/>
  <c r="V41" i="19"/>
  <c r="X42" i="19"/>
  <c r="R43" i="19"/>
  <c r="Z43" i="19"/>
  <c r="T44" i="19"/>
  <c r="AB44" i="19"/>
  <c r="F45" i="19"/>
  <c r="V45" i="19"/>
  <c r="AD45" i="19"/>
  <c r="H46" i="19"/>
  <c r="P46" i="19"/>
  <c r="X46" i="19"/>
  <c r="J47" i="19"/>
  <c r="R47" i="19"/>
  <c r="Z47" i="19"/>
  <c r="L48" i="19"/>
  <c r="T48" i="19"/>
  <c r="AB48" i="19"/>
  <c r="F49" i="19"/>
  <c r="N49" i="19"/>
  <c r="AD49" i="19"/>
  <c r="H50" i="19"/>
  <c r="P100" i="19" s="1"/>
  <c r="P50" i="19"/>
  <c r="X50" i="19"/>
  <c r="J51" i="19"/>
  <c r="R101" i="19" s="1"/>
  <c r="R51" i="19"/>
  <c r="S50" i="19"/>
  <c r="E51" i="19"/>
  <c r="M101" i="19" s="1"/>
  <c r="M51" i="19"/>
  <c r="G52" i="19"/>
  <c r="O102" i="19" s="1"/>
  <c r="O52" i="19"/>
  <c r="AE52" i="19"/>
  <c r="I53" i="19"/>
  <c r="Q103" i="19" s="1"/>
  <c r="Q53" i="19"/>
  <c r="AG53" i="19"/>
  <c r="K54" i="19"/>
  <c r="S104" i="19" s="1"/>
  <c r="S54" i="19"/>
  <c r="E55" i="19"/>
  <c r="M105" i="19" s="1"/>
  <c r="M55" i="19"/>
  <c r="G56" i="19"/>
  <c r="O106" i="19" s="1"/>
  <c r="O56" i="19"/>
  <c r="AE56" i="19"/>
  <c r="I57" i="19"/>
  <c r="Q107" i="19" s="1"/>
  <c r="Q57" i="19"/>
  <c r="AG57" i="19"/>
  <c r="K58" i="19"/>
  <c r="E59" i="19"/>
  <c r="M59" i="19"/>
  <c r="G60" i="19"/>
  <c r="O60" i="19"/>
  <c r="AG61" i="19"/>
  <c r="R53" i="19"/>
  <c r="L54" i="19"/>
  <c r="F55" i="19"/>
  <c r="N105" i="19" s="1"/>
  <c r="N55" i="19"/>
  <c r="H56" i="19"/>
  <c r="P106" i="19" s="1"/>
  <c r="P56" i="19"/>
  <c r="AF56" i="19"/>
  <c r="J57" i="19"/>
  <c r="R107" i="19" s="1"/>
  <c r="R57" i="19"/>
  <c r="AH57" i="19"/>
  <c r="L58" i="19"/>
  <c r="F59" i="19"/>
  <c r="N59" i="19"/>
  <c r="H60" i="19"/>
  <c r="P60" i="19"/>
  <c r="AH61" i="19"/>
  <c r="R52" i="19"/>
  <c r="L53" i="19"/>
  <c r="F54" i="19"/>
  <c r="N104" i="19" s="1"/>
  <c r="N54" i="19"/>
  <c r="H23" i="19"/>
  <c r="H105" i="19" s="1"/>
  <c r="P55" i="19"/>
  <c r="AF55" i="19"/>
  <c r="J56" i="19"/>
  <c r="R106" i="19" s="1"/>
  <c r="R56" i="19"/>
  <c r="L57" i="19"/>
  <c r="F58" i="19"/>
  <c r="N58" i="19"/>
  <c r="H59" i="19"/>
  <c r="P59" i="19"/>
  <c r="J60" i="19"/>
  <c r="R60" i="19"/>
  <c r="L61" i="19"/>
  <c r="E57" i="19"/>
  <c r="M107" i="19" s="1"/>
  <c r="M57" i="19"/>
  <c r="G58" i="19"/>
  <c r="O58" i="19"/>
  <c r="I59" i="19"/>
  <c r="Q59" i="19"/>
  <c r="AG59" i="19"/>
  <c r="K60" i="19"/>
  <c r="M61" i="19"/>
  <c r="AG63" i="19"/>
  <c r="L52" i="19"/>
  <c r="F53" i="19"/>
  <c r="N103" i="19" s="1"/>
  <c r="N53" i="19"/>
  <c r="H54" i="19"/>
  <c r="P104" i="19" s="1"/>
  <c r="P54" i="19"/>
  <c r="AF54" i="19"/>
  <c r="J55" i="19"/>
  <c r="R105" i="19" s="1"/>
  <c r="R55" i="19"/>
  <c r="AH55" i="19"/>
  <c r="L56" i="19"/>
  <c r="F57" i="19"/>
  <c r="N107" i="19" s="1"/>
  <c r="N57" i="19"/>
  <c r="H58" i="19"/>
  <c r="P58" i="19"/>
  <c r="J59" i="19"/>
  <c r="R59" i="19"/>
  <c r="AH59" i="19"/>
  <c r="L60" i="19"/>
  <c r="N61" i="19"/>
  <c r="P62" i="19"/>
  <c r="AH63" i="19"/>
  <c r="A38" i="19" l="1"/>
  <c r="I58" i="19"/>
  <c r="I54" i="19"/>
  <c r="Q104" i="19" s="1"/>
  <c r="K55" i="19"/>
  <c r="S105" i="19" s="1"/>
  <c r="E56" i="19"/>
  <c r="M106" i="19" s="1"/>
  <c r="G53" i="19"/>
  <c r="O103" i="19" s="1"/>
  <c r="G57" i="19"/>
  <c r="O107" i="19" s="1"/>
  <c r="E52" i="19"/>
  <c r="M102" i="19" s="1"/>
  <c r="H55" i="19"/>
  <c r="P105" i="19" s="1"/>
</calcChain>
</file>

<file path=xl/sharedStrings.xml><?xml version="1.0" encoding="utf-8"?>
<sst xmlns="http://schemas.openxmlformats.org/spreadsheetml/2006/main" count="4487" uniqueCount="21">
  <si>
    <t>F</t>
  </si>
  <si>
    <t>V</t>
  </si>
  <si>
    <t>R</t>
  </si>
  <si>
    <t>N</t>
  </si>
  <si>
    <t>CPR</t>
  </si>
  <si>
    <t>CDR</t>
  </si>
  <si>
    <t>Change</t>
  </si>
  <si>
    <t>Red Means Faster</t>
  </si>
  <si>
    <t>Ln Count</t>
  </si>
  <si>
    <t>FHA</t>
  </si>
  <si>
    <t>program</t>
  </si>
  <si>
    <t>Actual</t>
  </si>
  <si>
    <t>Report</t>
  </si>
  <si>
    <t>min Cnt</t>
  </si>
  <si>
    <t>Actual May</t>
  </si>
  <si>
    <t>Rate</t>
  </si>
  <si>
    <t>May CPR Buckets Age x Rate</t>
  </si>
  <si>
    <t>Age x Rate Bucket: 𝚫CPR </t>
  </si>
  <si>
    <t>Apr</t>
  </si>
  <si>
    <t>Actual Jun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</si>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</sst>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;[Red]#,##0;&quot;--&quot;"/>
    <numFmt numFmtId="166" formatCode="#,##0.0;[Red]#,##0.0;&quot;--&quot;"/>
    <numFmt numFmtId="167" formatCode="0;[Red]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167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1E67-D286-483A-B217-D9D1AFEE7169}">
  <dimension ref="A1:AH107"/>
  <sheetViews>
    <sheetView tabSelected="1" topLeftCell="A36" workbookViewId="0">
      <selection activeCell="D3" sqref="D3"/>
    </sheetView>
  </sheetViews>
  <sheetFormatPr defaultRowHeight="14.5" x14ac:dyDescent="0.35"/>
  <cols>
    <col min="5" max="20" width="9.26953125" bestFit="1" customWidth="1"/>
    <col min="21" max="22" width="10.1796875" bestFit="1" customWidth="1"/>
    <col min="23" max="34" width="9.26953125" bestFit="1" customWidth="1"/>
  </cols>
  <sheetData>
    <row r="1" spans="4:34" x14ac:dyDescent="0.35">
      <c r="D1" s="7" t="s">
        <v>10</v>
      </c>
      <c r="E1" s="8" t="s">
        <v>13</v>
      </c>
      <c r="F1" s="11"/>
      <c r="G1" s="8" t="s">
        <v>12</v>
      </c>
    </row>
    <row r="2" spans="4:34" ht="15" thickBot="1" x14ac:dyDescent="0.4">
      <c r="D2" s="9" t="s">
        <v>20</v>
      </c>
      <c r="E2" s="10">
        <v>100</v>
      </c>
      <c r="F2" s="11"/>
      <c r="G2" s="10" t="s">
        <v>4</v>
      </c>
    </row>
    <row r="4" spans="4:34" x14ac:dyDescent="0.35">
      <c r="D4" s="3" t="s">
        <v>11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24</v>
      </c>
      <c r="Q4">
        <v>30</v>
      </c>
      <c r="R4">
        <v>36</v>
      </c>
      <c r="S4">
        <v>42</v>
      </c>
      <c r="T4">
        <v>48</v>
      </c>
      <c r="U4">
        <v>54</v>
      </c>
      <c r="V4">
        <v>60</v>
      </c>
      <c r="W4">
        <v>72</v>
      </c>
      <c r="X4">
        <v>84</v>
      </c>
      <c r="Y4">
        <v>96</v>
      </c>
      <c r="Z4">
        <v>108</v>
      </c>
      <c r="AA4">
        <v>120</v>
      </c>
      <c r="AB4">
        <v>144</v>
      </c>
      <c r="AC4">
        <v>168</v>
      </c>
      <c r="AD4">
        <v>192</v>
      </c>
      <c r="AE4">
        <v>216</v>
      </c>
      <c r="AF4">
        <v>240</v>
      </c>
      <c r="AG4">
        <v>320</v>
      </c>
      <c r="AH4">
        <v>360</v>
      </c>
    </row>
    <row r="5" spans="4:34" x14ac:dyDescent="0.35">
      <c r="D5">
        <v>2000</v>
      </c>
      <c r="E5" s="4">
        <f>IF(  E68&gt;$E$2, SUMIFS(IF($G$2="CPR",'Grid Data'!$V$4:$V$2342,'Grid Data'!$W$4:$W$2342),'Grid Data'!$N$4:$N$2342,$D5,'Grid Data'!$O$4:$O$2342,E$4,'Grid Data'!$M$4:$M$2342,$D$2)*100, 0)</f>
        <v>0</v>
      </c>
      <c r="F5" s="4">
        <f>IF(  F68&gt;$E$2, SUMIFS(IF($G$2="CPR",'Grid Data'!$V$4:$V$2342,'Grid Data'!$W$4:$W$2342),'Grid Data'!$N$4:$N$2342,$D5,'Grid Data'!$O$4:$O$2342,F$4,'Grid Data'!$M$4:$M$2342,$D$2)*100, 0)</f>
        <v>0</v>
      </c>
      <c r="G5" s="4">
        <f>IF(  G68&gt;$E$2, SUMIFS(IF($G$2="CPR",'Grid Data'!$V$4:$V$2342,'Grid Data'!$W$4:$W$2342),'Grid Data'!$N$4:$N$2342,$D5,'Grid Data'!$O$4:$O$2342,G$4,'Grid Data'!$M$4:$M$2342,$D$2)*100, 0)</f>
        <v>0</v>
      </c>
      <c r="H5" s="4">
        <f>IF(  H68&gt;$E$2, SUMIFS(IF($G$2="CPR",'Grid Data'!$V$4:$V$2342,'Grid Data'!$W$4:$W$2342),'Grid Data'!$N$4:$N$2342,$D5,'Grid Data'!$O$4:$O$2342,H$4,'Grid Data'!$M$4:$M$2342,$D$2)*100, 0)</f>
        <v>0</v>
      </c>
      <c r="I5" s="4">
        <f>IF(  I68&gt;$E$2, SUMIFS(IF($G$2="CPR",'Grid Data'!$V$4:$V$2342,'Grid Data'!$W$4:$W$2342),'Grid Data'!$N$4:$N$2342,$D5,'Grid Data'!$O$4:$O$2342,I$4,'Grid Data'!$M$4:$M$2342,$D$2)*100, 0)</f>
        <v>0</v>
      </c>
      <c r="J5" s="4">
        <f>IF(  J68&gt;$E$2, SUMIFS(IF($G$2="CPR",'Grid Data'!$V$4:$V$2342,'Grid Data'!$W$4:$W$2342),'Grid Data'!$N$4:$N$2342,$D5,'Grid Data'!$O$4:$O$2342,J$4,'Grid Data'!$M$4:$M$2342,$D$2)*100, 0)</f>
        <v>0</v>
      </c>
      <c r="K5" s="4">
        <f>IF(  K68&gt;$E$2, SUMIFS(IF($G$2="CPR",'Grid Data'!$V$4:$V$2342,'Grid Data'!$W$4:$W$2342),'Grid Data'!$N$4:$N$2342,$D5,'Grid Data'!$O$4:$O$2342,K$4,'Grid Data'!$M$4:$M$2342,$D$2)*100, 0)</f>
        <v>0</v>
      </c>
      <c r="L5" s="4">
        <f>IF(  L68&gt;$E$2, SUMIFS(IF($G$2="CPR",'Grid Data'!$V$4:$V$2342,'Grid Data'!$W$4:$W$2342),'Grid Data'!$N$4:$N$2342,$D5,'Grid Data'!$O$4:$O$2342,L$4,'Grid Data'!$M$4:$M$2342,$D$2)*100, 0)</f>
        <v>0</v>
      </c>
      <c r="M5" s="4">
        <f>IF(  M68&gt;$E$2, SUMIFS(IF($G$2="CPR",'Grid Data'!$V$4:$V$2342,'Grid Data'!$W$4:$W$2342),'Grid Data'!$N$4:$N$2342,$D5,'Grid Data'!$O$4:$O$2342,M$4,'Grid Data'!$M$4:$M$2342,$D$2)*100, 0)</f>
        <v>0</v>
      </c>
      <c r="N5" s="4">
        <f>IF(  N68&gt;$E$2, SUMIFS(IF($G$2="CPR",'Grid Data'!$V$4:$V$2342,'Grid Data'!$W$4:$W$2342),'Grid Data'!$N$4:$N$2342,$D5,'Grid Data'!$O$4:$O$2342,N$4,'Grid Data'!$M$4:$M$2342,$D$2)*100, 0)</f>
        <v>0</v>
      </c>
      <c r="O5" s="4">
        <f>IF(  O68&gt;$E$2, SUMIFS(IF($G$2="CPR",'Grid Data'!$V$4:$V$2342,'Grid Data'!$W$4:$W$2342),'Grid Data'!$N$4:$N$2342,$D5,'Grid Data'!$O$4:$O$2342,O$4,'Grid Data'!$M$4:$M$2342,$D$2)*100, 0)</f>
        <v>0</v>
      </c>
      <c r="P5" s="4">
        <f>IF(  P68&gt;$E$2, SUMIFS(IF($G$2="CPR",'Grid Data'!$V$4:$V$2342,'Grid Data'!$W$4:$W$2342),'Grid Data'!$N$4:$N$2342,$D5,'Grid Data'!$O$4:$O$2342,P$4,'Grid Data'!$M$4:$M$2342,$D$2)*100, 0)</f>
        <v>0</v>
      </c>
      <c r="Q5" s="4">
        <f>IF(  Q68&gt;$E$2, SUMIFS(IF($G$2="CPR",'Grid Data'!$V$4:$V$2342,'Grid Data'!$W$4:$W$2342),'Grid Data'!$N$4:$N$2342,$D5,'Grid Data'!$O$4:$O$2342,Q$4,'Grid Data'!$M$4:$M$2342,$D$2)*100, 0)</f>
        <v>0</v>
      </c>
      <c r="R5" s="4">
        <f>IF(  R68&gt;$E$2, SUMIFS(IF($G$2="CPR",'Grid Data'!$V$4:$V$2342,'Grid Data'!$W$4:$W$2342),'Grid Data'!$N$4:$N$2342,$D5,'Grid Data'!$O$4:$O$2342,R$4,'Grid Data'!$M$4:$M$2342,$D$2)*100, 0)</f>
        <v>0</v>
      </c>
      <c r="S5" s="4">
        <f>IF(  S68&gt;$E$2, SUMIFS(IF($G$2="CPR",'Grid Data'!$V$4:$V$2342,'Grid Data'!$W$4:$W$2342),'Grid Data'!$N$4:$N$2342,$D5,'Grid Data'!$O$4:$O$2342,S$4,'Grid Data'!$M$4:$M$2342,$D$2)*100, 0)</f>
        <v>0</v>
      </c>
      <c r="T5" s="4">
        <f>IF(  T68&gt;$E$2, SUMIFS(IF($G$2="CPR",'Grid Data'!$V$4:$V$2342,'Grid Data'!$W$4:$W$2342),'Grid Data'!$N$4:$N$2342,$D5,'Grid Data'!$O$4:$O$2342,T$4,'Grid Data'!$M$4:$M$2342,$D$2)*100, 0)</f>
        <v>0</v>
      </c>
      <c r="U5" s="4">
        <f>IF(  U68&gt;$E$2, SUMIFS(IF($G$2="CPR",'Grid Data'!$V$4:$V$2342,'Grid Data'!$W$4:$W$2342),'Grid Data'!$N$4:$N$2342,$D5,'Grid Data'!$O$4:$O$2342,U$4,'Grid Data'!$M$4:$M$2342,$D$2)*100, 0)</f>
        <v>0</v>
      </c>
      <c r="V5" s="4">
        <f>IF(  V68&gt;$E$2, SUMIFS(IF($G$2="CPR",'Grid Data'!$V$4:$V$2342,'Grid Data'!$W$4:$W$2342),'Grid Data'!$N$4:$N$2342,$D5,'Grid Data'!$O$4:$O$2342,V$4,'Grid Data'!$M$4:$M$2342,$D$2)*100, 0)</f>
        <v>0</v>
      </c>
      <c r="W5" s="4">
        <f>IF(  W68&gt;$E$2, SUMIFS(IF($G$2="CPR",'Grid Data'!$V$4:$V$2342,'Grid Data'!$W$4:$W$2342),'Grid Data'!$N$4:$N$2342,$D5,'Grid Data'!$O$4:$O$2342,W$4,'Grid Data'!$M$4:$M$2342,$D$2)*100, 0)</f>
        <v>0</v>
      </c>
      <c r="X5" s="4">
        <f>IF(  X68&gt;$E$2, SUMIFS(IF($G$2="CPR",'Grid Data'!$V$4:$V$2342,'Grid Data'!$W$4:$W$2342),'Grid Data'!$N$4:$N$2342,$D5,'Grid Data'!$O$4:$O$2342,X$4,'Grid Data'!$M$4:$M$2342,$D$2)*100, 0)</f>
        <v>0</v>
      </c>
      <c r="Y5" s="4">
        <f>IF(  Y68&gt;$E$2, SUMIFS(IF($G$2="CPR",'Grid Data'!$V$4:$V$2342,'Grid Data'!$W$4:$W$2342),'Grid Data'!$N$4:$N$2342,$D5,'Grid Data'!$O$4:$O$2342,Y$4,'Grid Data'!$M$4:$M$2342,$D$2)*100, 0)</f>
        <v>0</v>
      </c>
      <c r="Z5" s="4">
        <f>IF(  Z68&gt;$E$2, SUMIFS(IF($G$2="CPR",'Grid Data'!$V$4:$V$2342,'Grid Data'!$W$4:$W$2342),'Grid Data'!$N$4:$N$2342,$D5,'Grid Data'!$O$4:$O$2342,Z$4,'Grid Data'!$M$4:$M$2342,$D$2)*100, 0)</f>
        <v>0</v>
      </c>
      <c r="AA5" s="4">
        <f>IF(  AA68&gt;$E$2, SUMIFS(IF($G$2="CPR",'Grid Data'!$V$4:$V$2342,'Grid Data'!$W$4:$W$2342),'Grid Data'!$N$4:$N$2342,$D5,'Grid Data'!$O$4:$O$2342,AA$4,'Grid Data'!$M$4:$M$2342,$D$2)*100, 0)</f>
        <v>0</v>
      </c>
      <c r="AB5" s="4">
        <f>IF(  AB68&gt;$E$2, SUMIFS(IF($G$2="CPR",'Grid Data'!$V$4:$V$2342,'Grid Data'!$W$4:$W$2342),'Grid Data'!$N$4:$N$2342,$D5,'Grid Data'!$O$4:$O$2342,AB$4,'Grid Data'!$M$4:$M$2342,$D$2)*100, 0)</f>
        <v>0</v>
      </c>
      <c r="AC5" s="4">
        <f>IF(  AC68&gt;$E$2, SUMIFS(IF($G$2="CPR",'Grid Data'!$V$4:$V$2342,'Grid Data'!$W$4:$W$2342),'Grid Data'!$N$4:$N$2342,$D5,'Grid Data'!$O$4:$O$2342,AC$4,'Grid Data'!$M$4:$M$2342,$D$2)*100, 0)</f>
        <v>0</v>
      </c>
      <c r="AD5" s="4">
        <f>IF(  AD68&gt;$E$2, SUMIFS(IF($G$2="CPR",'Grid Data'!$V$4:$V$2342,'Grid Data'!$W$4:$W$2342),'Grid Data'!$N$4:$N$2342,$D5,'Grid Data'!$O$4:$O$2342,AD$4,'Grid Data'!$M$4:$M$2342,$D$2)*100, 0)</f>
        <v>0</v>
      </c>
      <c r="AE5" s="4">
        <f>IF(  AE68&gt;$E$2, SUMIFS(IF($G$2="CPR",'Grid Data'!$V$4:$V$2342,'Grid Data'!$W$4:$W$2342),'Grid Data'!$N$4:$N$2342,$D5,'Grid Data'!$O$4:$O$2342,AE$4,'Grid Data'!$M$4:$M$2342,$D$2)*100, 0)</f>
        <v>0</v>
      </c>
      <c r="AF5" s="4">
        <f>IF(  AF68&gt;$E$2, SUMIFS(IF($G$2="CPR",'Grid Data'!$V$4:$V$2342,'Grid Data'!$W$4:$W$2342),'Grid Data'!$N$4:$N$2342,$D5,'Grid Data'!$O$4:$O$2342,AF$4,'Grid Data'!$M$4:$M$2342,$D$2)*100, 0)</f>
        <v>0</v>
      </c>
      <c r="AG5" s="4">
        <f>IF(  AG68&gt;$E$2, SUMIFS(IF($G$2="CPR",'Grid Data'!$V$4:$V$2342,'Grid Data'!$W$4:$W$2342),'Grid Data'!$N$4:$N$2342,$D5,'Grid Data'!$O$4:$O$2342,AG$4,'Grid Data'!$M$4:$M$2342,$D$2)*100, 0)</f>
        <v>0</v>
      </c>
      <c r="AH5" s="4">
        <f>IF(  AH68&gt;$E$2, SUMIFS(IF($G$2="CPR",'Grid Data'!$V$4:$V$2342,'Grid Data'!$W$4:$W$2342),'Grid Data'!$N$4:$N$2342,$D5,'Grid Data'!$O$4:$O$2342,AH$4,'Grid Data'!$M$4:$M$2342,$D$2)*100, 0)</f>
        <v>0</v>
      </c>
    </row>
    <row r="6" spans="4:34" x14ac:dyDescent="0.35">
      <c r="D6">
        <v>2250</v>
      </c>
      <c r="E6" s="4">
        <f>IF(  E69&gt;$E$2, SUMIFS(IF($G$2="CPR",'Grid Data'!$V$4:$V$2342,'Grid Data'!$W$4:$W$2342),'Grid Data'!$N$4:$N$2342,$D6,'Grid Data'!$O$4:$O$2342,E$4,'Grid Data'!$M$4:$M$2342,$D$2)*100, 0)</f>
        <v>0</v>
      </c>
      <c r="F6" s="4">
        <f>IF(  F69&gt;$E$2, SUMIFS(IF($G$2="CPR",'Grid Data'!$V$4:$V$2342,'Grid Data'!$W$4:$W$2342),'Grid Data'!$N$4:$N$2342,$D6,'Grid Data'!$O$4:$O$2342,F$4,'Grid Data'!$M$4:$M$2342,$D$2)*100, 0)</f>
        <v>0</v>
      </c>
      <c r="G6" s="4">
        <f>IF(  G69&gt;$E$2, SUMIFS(IF($G$2="CPR",'Grid Data'!$V$4:$V$2342,'Grid Data'!$W$4:$W$2342),'Grid Data'!$N$4:$N$2342,$D6,'Grid Data'!$O$4:$O$2342,G$4,'Grid Data'!$M$4:$M$2342,$D$2)*100, 0)</f>
        <v>0</v>
      </c>
      <c r="H6" s="4">
        <f>IF(  H69&gt;$E$2, SUMIFS(IF($G$2="CPR",'Grid Data'!$V$4:$V$2342,'Grid Data'!$W$4:$W$2342),'Grid Data'!$N$4:$N$2342,$D6,'Grid Data'!$O$4:$O$2342,H$4,'Grid Data'!$M$4:$M$2342,$D$2)*100, 0)</f>
        <v>0</v>
      </c>
      <c r="I6" s="4">
        <f>IF(  I69&gt;$E$2, SUMIFS(IF($G$2="CPR",'Grid Data'!$V$4:$V$2342,'Grid Data'!$W$4:$W$2342),'Grid Data'!$N$4:$N$2342,$D6,'Grid Data'!$O$4:$O$2342,I$4,'Grid Data'!$M$4:$M$2342,$D$2)*100, 0)</f>
        <v>0</v>
      </c>
      <c r="J6" s="4">
        <f>IF(  J69&gt;$E$2, SUMIFS(IF($G$2="CPR",'Grid Data'!$V$4:$V$2342,'Grid Data'!$W$4:$W$2342),'Grid Data'!$N$4:$N$2342,$D6,'Grid Data'!$O$4:$O$2342,J$4,'Grid Data'!$M$4:$M$2342,$D$2)*100, 0)</f>
        <v>0</v>
      </c>
      <c r="K6" s="4">
        <f>IF(  K69&gt;$E$2, SUMIFS(IF($G$2="CPR",'Grid Data'!$V$4:$V$2342,'Grid Data'!$W$4:$W$2342),'Grid Data'!$N$4:$N$2342,$D6,'Grid Data'!$O$4:$O$2342,K$4,'Grid Data'!$M$4:$M$2342,$D$2)*100, 0)</f>
        <v>0</v>
      </c>
      <c r="L6" s="4">
        <f>IF(  L69&gt;$E$2, SUMIFS(IF($G$2="CPR",'Grid Data'!$V$4:$V$2342,'Grid Data'!$W$4:$W$2342),'Grid Data'!$N$4:$N$2342,$D6,'Grid Data'!$O$4:$O$2342,L$4,'Grid Data'!$M$4:$M$2342,$D$2)*100, 0)</f>
        <v>0</v>
      </c>
      <c r="M6" s="4">
        <f>IF(  M69&gt;$E$2, SUMIFS(IF($G$2="CPR",'Grid Data'!$V$4:$V$2342,'Grid Data'!$W$4:$W$2342),'Grid Data'!$N$4:$N$2342,$D6,'Grid Data'!$O$4:$O$2342,M$4,'Grid Data'!$M$4:$M$2342,$D$2)*100, 0)</f>
        <v>0</v>
      </c>
      <c r="N6" s="4">
        <f>IF(  N69&gt;$E$2, SUMIFS(IF($G$2="CPR",'Grid Data'!$V$4:$V$2342,'Grid Data'!$W$4:$W$2342),'Grid Data'!$N$4:$N$2342,$D6,'Grid Data'!$O$4:$O$2342,N$4,'Grid Data'!$M$4:$M$2342,$D$2)*100, 0)</f>
        <v>0</v>
      </c>
      <c r="O6" s="4">
        <f>IF(  O69&gt;$E$2, SUMIFS(IF($G$2="CPR",'Grid Data'!$V$4:$V$2342,'Grid Data'!$W$4:$W$2342),'Grid Data'!$N$4:$N$2342,$D6,'Grid Data'!$O$4:$O$2342,O$4,'Grid Data'!$M$4:$M$2342,$D$2)*100, 0)</f>
        <v>0</v>
      </c>
      <c r="P6" s="4">
        <f>IF(  P69&gt;$E$2, SUMIFS(IF($G$2="CPR",'Grid Data'!$V$4:$V$2342,'Grid Data'!$W$4:$W$2342),'Grid Data'!$N$4:$N$2342,$D6,'Grid Data'!$O$4:$O$2342,P$4,'Grid Data'!$M$4:$M$2342,$D$2)*100, 0)</f>
        <v>0</v>
      </c>
      <c r="Q6" s="4">
        <f>IF(  Q69&gt;$E$2, SUMIFS(IF($G$2="CPR",'Grid Data'!$V$4:$V$2342,'Grid Data'!$W$4:$W$2342),'Grid Data'!$N$4:$N$2342,$D6,'Grid Data'!$O$4:$O$2342,Q$4,'Grid Data'!$M$4:$M$2342,$D$2)*100, 0)</f>
        <v>0</v>
      </c>
      <c r="R6" s="4">
        <f>IF(  R69&gt;$E$2, SUMIFS(IF($G$2="CPR",'Grid Data'!$V$4:$V$2342,'Grid Data'!$W$4:$W$2342),'Grid Data'!$N$4:$N$2342,$D6,'Grid Data'!$O$4:$O$2342,R$4,'Grid Data'!$M$4:$M$2342,$D$2)*100, 0)</f>
        <v>0</v>
      </c>
      <c r="S6" s="4">
        <f>IF(  S69&gt;$E$2, SUMIFS(IF($G$2="CPR",'Grid Data'!$V$4:$V$2342,'Grid Data'!$W$4:$W$2342),'Grid Data'!$N$4:$N$2342,$D6,'Grid Data'!$O$4:$O$2342,S$4,'Grid Data'!$M$4:$M$2342,$D$2)*100, 0)</f>
        <v>0</v>
      </c>
      <c r="T6" s="4">
        <f>IF(  T69&gt;$E$2, SUMIFS(IF($G$2="CPR",'Grid Data'!$V$4:$V$2342,'Grid Data'!$W$4:$W$2342),'Grid Data'!$N$4:$N$2342,$D6,'Grid Data'!$O$4:$O$2342,T$4,'Grid Data'!$M$4:$M$2342,$D$2)*100, 0)</f>
        <v>8.3934999999999995</v>
      </c>
      <c r="U6" s="4">
        <f>IF(  U69&gt;$E$2, SUMIFS(IF($G$2="CPR",'Grid Data'!$V$4:$V$2342,'Grid Data'!$W$4:$W$2342),'Grid Data'!$N$4:$N$2342,$D6,'Grid Data'!$O$4:$O$2342,U$4,'Grid Data'!$M$4:$M$2342,$D$2)*100, 0)</f>
        <v>4.5059000000000005</v>
      </c>
      <c r="V6" s="4">
        <f>IF(  V69&gt;$E$2, SUMIFS(IF($G$2="CPR",'Grid Data'!$V$4:$V$2342,'Grid Data'!$W$4:$W$2342),'Grid Data'!$N$4:$N$2342,$D6,'Grid Data'!$O$4:$O$2342,V$4,'Grid Data'!$M$4:$M$2342,$D$2)*100, 0)</f>
        <v>4.8010000000000002</v>
      </c>
      <c r="W6" s="4">
        <f>IF(  W69&gt;$E$2, SUMIFS(IF($G$2="CPR",'Grid Data'!$V$4:$V$2342,'Grid Data'!$W$4:$W$2342),'Grid Data'!$N$4:$N$2342,$D6,'Grid Data'!$O$4:$O$2342,W$4,'Grid Data'!$M$4:$M$2342,$D$2)*100, 0)</f>
        <v>4.3414000000000001</v>
      </c>
      <c r="X6" s="4">
        <f>IF(  X69&gt;$E$2, SUMIFS(IF($G$2="CPR",'Grid Data'!$V$4:$V$2342,'Grid Data'!$W$4:$W$2342),'Grid Data'!$N$4:$N$2342,$D6,'Grid Data'!$O$4:$O$2342,X$4,'Grid Data'!$M$4:$M$2342,$D$2)*100, 0)</f>
        <v>0</v>
      </c>
      <c r="Y6" s="4">
        <f>IF(  Y69&gt;$E$2, SUMIFS(IF($G$2="CPR",'Grid Data'!$V$4:$V$2342,'Grid Data'!$W$4:$W$2342),'Grid Data'!$N$4:$N$2342,$D6,'Grid Data'!$O$4:$O$2342,Y$4,'Grid Data'!$M$4:$M$2342,$D$2)*100, 0)</f>
        <v>0</v>
      </c>
      <c r="Z6" s="4">
        <f>IF(  Z69&gt;$E$2, SUMIFS(IF($G$2="CPR",'Grid Data'!$V$4:$V$2342,'Grid Data'!$W$4:$W$2342),'Grid Data'!$N$4:$N$2342,$D6,'Grid Data'!$O$4:$O$2342,Z$4,'Grid Data'!$M$4:$M$2342,$D$2)*100, 0)</f>
        <v>0</v>
      </c>
      <c r="AA6" s="4">
        <f>IF(  AA69&gt;$E$2, SUMIFS(IF($G$2="CPR",'Grid Data'!$V$4:$V$2342,'Grid Data'!$W$4:$W$2342),'Grid Data'!$N$4:$N$2342,$D6,'Grid Data'!$O$4:$O$2342,AA$4,'Grid Data'!$M$4:$M$2342,$D$2)*100, 0)</f>
        <v>0</v>
      </c>
      <c r="AB6" s="4">
        <f>IF(  AB69&gt;$E$2, SUMIFS(IF($G$2="CPR",'Grid Data'!$V$4:$V$2342,'Grid Data'!$W$4:$W$2342),'Grid Data'!$N$4:$N$2342,$D6,'Grid Data'!$O$4:$O$2342,AB$4,'Grid Data'!$M$4:$M$2342,$D$2)*100, 0)</f>
        <v>0</v>
      </c>
      <c r="AC6" s="4">
        <f>IF(  AC69&gt;$E$2, SUMIFS(IF($G$2="CPR",'Grid Data'!$V$4:$V$2342,'Grid Data'!$W$4:$W$2342),'Grid Data'!$N$4:$N$2342,$D6,'Grid Data'!$O$4:$O$2342,AC$4,'Grid Data'!$M$4:$M$2342,$D$2)*100, 0)</f>
        <v>0</v>
      </c>
      <c r="AD6" s="4">
        <f>IF(  AD69&gt;$E$2, SUMIFS(IF($G$2="CPR",'Grid Data'!$V$4:$V$2342,'Grid Data'!$W$4:$W$2342),'Grid Data'!$N$4:$N$2342,$D6,'Grid Data'!$O$4:$O$2342,AD$4,'Grid Data'!$M$4:$M$2342,$D$2)*100, 0)</f>
        <v>0</v>
      </c>
      <c r="AE6" s="4">
        <f>IF(  AE69&gt;$E$2, SUMIFS(IF($G$2="CPR",'Grid Data'!$V$4:$V$2342,'Grid Data'!$W$4:$W$2342),'Grid Data'!$N$4:$N$2342,$D6,'Grid Data'!$O$4:$O$2342,AE$4,'Grid Data'!$M$4:$M$2342,$D$2)*100, 0)</f>
        <v>0</v>
      </c>
      <c r="AF6" s="4">
        <f>IF(  AF69&gt;$E$2, SUMIFS(IF($G$2="CPR",'Grid Data'!$V$4:$V$2342,'Grid Data'!$W$4:$W$2342),'Grid Data'!$N$4:$N$2342,$D6,'Grid Data'!$O$4:$O$2342,AF$4,'Grid Data'!$M$4:$M$2342,$D$2)*100, 0)</f>
        <v>0</v>
      </c>
      <c r="AG6" s="4">
        <f>IF(  AG69&gt;$E$2, SUMIFS(IF($G$2="CPR",'Grid Data'!$V$4:$V$2342,'Grid Data'!$W$4:$W$2342),'Grid Data'!$N$4:$N$2342,$D6,'Grid Data'!$O$4:$O$2342,AG$4,'Grid Data'!$M$4:$M$2342,$D$2)*100, 0)</f>
        <v>0</v>
      </c>
      <c r="AH6" s="4">
        <f>IF(  AH69&gt;$E$2, SUMIFS(IF($G$2="CPR",'Grid Data'!$V$4:$V$2342,'Grid Data'!$W$4:$W$2342),'Grid Data'!$N$4:$N$2342,$D6,'Grid Data'!$O$4:$O$2342,AH$4,'Grid Data'!$M$4:$M$2342,$D$2)*100, 0)</f>
        <v>0</v>
      </c>
    </row>
    <row r="7" spans="4:34" x14ac:dyDescent="0.35">
      <c r="D7">
        <v>2500</v>
      </c>
      <c r="E7" s="4">
        <f>IF(  E70&gt;$E$2, SUMIFS(IF($G$2="CPR",'Grid Data'!$V$4:$V$2342,'Grid Data'!$W$4:$W$2342),'Grid Data'!$N$4:$N$2342,$D7,'Grid Data'!$O$4:$O$2342,E$4,'Grid Data'!$M$4:$M$2342,$D$2)*100, 0)</f>
        <v>0</v>
      </c>
      <c r="F7" s="4">
        <f>IF(  F70&gt;$E$2, SUMIFS(IF($G$2="CPR",'Grid Data'!$V$4:$V$2342,'Grid Data'!$W$4:$W$2342),'Grid Data'!$N$4:$N$2342,$D7,'Grid Data'!$O$4:$O$2342,F$4,'Grid Data'!$M$4:$M$2342,$D$2)*100, 0)</f>
        <v>0</v>
      </c>
      <c r="G7" s="4">
        <f>IF(  G70&gt;$E$2, SUMIFS(IF($G$2="CPR",'Grid Data'!$V$4:$V$2342,'Grid Data'!$W$4:$W$2342),'Grid Data'!$N$4:$N$2342,$D7,'Grid Data'!$O$4:$O$2342,G$4,'Grid Data'!$M$4:$M$2342,$D$2)*100, 0)</f>
        <v>0</v>
      </c>
      <c r="H7" s="4">
        <f>IF(  H70&gt;$E$2, SUMIFS(IF($G$2="CPR",'Grid Data'!$V$4:$V$2342,'Grid Data'!$W$4:$W$2342),'Grid Data'!$N$4:$N$2342,$D7,'Grid Data'!$O$4:$O$2342,H$4,'Grid Data'!$M$4:$M$2342,$D$2)*100, 0)</f>
        <v>0</v>
      </c>
      <c r="I7" s="4">
        <f>IF(  I70&gt;$E$2, SUMIFS(IF($G$2="CPR",'Grid Data'!$V$4:$V$2342,'Grid Data'!$W$4:$W$2342),'Grid Data'!$N$4:$N$2342,$D7,'Grid Data'!$O$4:$O$2342,I$4,'Grid Data'!$M$4:$M$2342,$D$2)*100, 0)</f>
        <v>0</v>
      </c>
      <c r="J7" s="4">
        <f>IF(  J70&gt;$E$2, SUMIFS(IF($G$2="CPR",'Grid Data'!$V$4:$V$2342,'Grid Data'!$W$4:$W$2342),'Grid Data'!$N$4:$N$2342,$D7,'Grid Data'!$O$4:$O$2342,J$4,'Grid Data'!$M$4:$M$2342,$D$2)*100, 0)</f>
        <v>0</v>
      </c>
      <c r="K7" s="4">
        <f>IF(  K70&gt;$E$2, SUMIFS(IF($G$2="CPR",'Grid Data'!$V$4:$V$2342,'Grid Data'!$W$4:$W$2342),'Grid Data'!$N$4:$N$2342,$D7,'Grid Data'!$O$4:$O$2342,K$4,'Grid Data'!$M$4:$M$2342,$D$2)*100, 0)</f>
        <v>0</v>
      </c>
      <c r="L7" s="4">
        <f>IF(  L70&gt;$E$2, SUMIFS(IF($G$2="CPR",'Grid Data'!$V$4:$V$2342,'Grid Data'!$W$4:$W$2342),'Grid Data'!$N$4:$N$2342,$D7,'Grid Data'!$O$4:$O$2342,L$4,'Grid Data'!$M$4:$M$2342,$D$2)*100, 0)</f>
        <v>0</v>
      </c>
      <c r="M7" s="4">
        <f>IF(  M70&gt;$E$2, SUMIFS(IF($G$2="CPR",'Grid Data'!$V$4:$V$2342,'Grid Data'!$W$4:$W$2342),'Grid Data'!$N$4:$N$2342,$D7,'Grid Data'!$O$4:$O$2342,M$4,'Grid Data'!$M$4:$M$2342,$D$2)*100, 0)</f>
        <v>0</v>
      </c>
      <c r="N7" s="4">
        <f>IF(  N70&gt;$E$2, SUMIFS(IF($G$2="CPR",'Grid Data'!$V$4:$V$2342,'Grid Data'!$W$4:$W$2342),'Grid Data'!$N$4:$N$2342,$D7,'Grid Data'!$O$4:$O$2342,N$4,'Grid Data'!$M$4:$M$2342,$D$2)*100, 0)</f>
        <v>0</v>
      </c>
      <c r="O7" s="4">
        <f>IF(  O70&gt;$E$2, SUMIFS(IF($G$2="CPR",'Grid Data'!$V$4:$V$2342,'Grid Data'!$W$4:$W$2342),'Grid Data'!$N$4:$N$2342,$D7,'Grid Data'!$O$4:$O$2342,O$4,'Grid Data'!$M$4:$M$2342,$D$2)*100, 0)</f>
        <v>0</v>
      </c>
      <c r="P7" s="4">
        <f>IF(  P70&gt;$E$2, SUMIFS(IF($G$2="CPR",'Grid Data'!$V$4:$V$2342,'Grid Data'!$W$4:$W$2342),'Grid Data'!$N$4:$N$2342,$D7,'Grid Data'!$O$4:$O$2342,P$4,'Grid Data'!$M$4:$M$2342,$D$2)*100, 0)</f>
        <v>0</v>
      </c>
      <c r="Q7" s="4">
        <f>IF(  Q70&gt;$E$2, SUMIFS(IF($G$2="CPR",'Grid Data'!$V$4:$V$2342,'Grid Data'!$W$4:$W$2342),'Grid Data'!$N$4:$N$2342,$D7,'Grid Data'!$O$4:$O$2342,Q$4,'Grid Data'!$M$4:$M$2342,$D$2)*100, 0)</f>
        <v>0</v>
      </c>
      <c r="R7" s="4">
        <f>IF(  R70&gt;$E$2, SUMIFS(IF($G$2="CPR",'Grid Data'!$V$4:$V$2342,'Grid Data'!$W$4:$W$2342),'Grid Data'!$N$4:$N$2342,$D7,'Grid Data'!$O$4:$O$2342,R$4,'Grid Data'!$M$4:$M$2342,$D$2)*100, 0)</f>
        <v>0</v>
      </c>
      <c r="S7" s="4">
        <f>IF(  S70&gt;$E$2, SUMIFS(IF($G$2="CPR",'Grid Data'!$V$4:$V$2342,'Grid Data'!$W$4:$W$2342),'Grid Data'!$N$4:$N$2342,$D7,'Grid Data'!$O$4:$O$2342,S$4,'Grid Data'!$M$4:$M$2342,$D$2)*100, 0)</f>
        <v>0</v>
      </c>
      <c r="T7" s="4">
        <f>IF(  T70&gt;$E$2, SUMIFS(IF($G$2="CPR",'Grid Data'!$V$4:$V$2342,'Grid Data'!$W$4:$W$2342),'Grid Data'!$N$4:$N$2342,$D7,'Grid Data'!$O$4:$O$2342,T$4,'Grid Data'!$M$4:$M$2342,$D$2)*100, 0)</f>
        <v>5.8802000000000003</v>
      </c>
      <c r="U7" s="4">
        <f>IF(  U70&gt;$E$2, SUMIFS(IF($G$2="CPR",'Grid Data'!$V$4:$V$2342,'Grid Data'!$W$4:$W$2342),'Grid Data'!$N$4:$N$2342,$D7,'Grid Data'!$O$4:$O$2342,U$4,'Grid Data'!$M$4:$M$2342,$D$2)*100, 0)</f>
        <v>4.1806000000000001</v>
      </c>
      <c r="V7" s="4">
        <f>IF(  V70&gt;$E$2, SUMIFS(IF($G$2="CPR",'Grid Data'!$V$4:$V$2342,'Grid Data'!$W$4:$W$2342),'Grid Data'!$N$4:$N$2342,$D7,'Grid Data'!$O$4:$O$2342,V$4,'Grid Data'!$M$4:$M$2342,$D$2)*100, 0)</f>
        <v>4.8338999999999999</v>
      </c>
      <c r="W7" s="4">
        <f>IF(  W70&gt;$E$2, SUMIFS(IF($G$2="CPR",'Grid Data'!$V$4:$V$2342,'Grid Data'!$W$4:$W$2342),'Grid Data'!$N$4:$N$2342,$D7,'Grid Data'!$O$4:$O$2342,W$4,'Grid Data'!$M$4:$M$2342,$D$2)*100, 0)</f>
        <v>4.7187000000000001</v>
      </c>
      <c r="X7" s="4">
        <f>IF(  X70&gt;$E$2, SUMIFS(IF($G$2="CPR",'Grid Data'!$V$4:$V$2342,'Grid Data'!$W$4:$W$2342),'Grid Data'!$N$4:$N$2342,$D7,'Grid Data'!$O$4:$O$2342,X$4,'Grid Data'!$M$4:$M$2342,$D$2)*100, 0)</f>
        <v>0</v>
      </c>
      <c r="Y7" s="4">
        <f>IF(  Y70&gt;$E$2, SUMIFS(IF($G$2="CPR",'Grid Data'!$V$4:$V$2342,'Grid Data'!$W$4:$W$2342),'Grid Data'!$N$4:$N$2342,$D7,'Grid Data'!$O$4:$O$2342,Y$4,'Grid Data'!$M$4:$M$2342,$D$2)*100, 0)</f>
        <v>0</v>
      </c>
      <c r="Z7" s="4">
        <f>IF(  Z70&gt;$E$2, SUMIFS(IF($G$2="CPR",'Grid Data'!$V$4:$V$2342,'Grid Data'!$W$4:$W$2342),'Grid Data'!$N$4:$N$2342,$D7,'Grid Data'!$O$4:$O$2342,Z$4,'Grid Data'!$M$4:$M$2342,$D$2)*100, 0)</f>
        <v>0</v>
      </c>
      <c r="AA7" s="4">
        <f>IF(  AA70&gt;$E$2, SUMIFS(IF($G$2="CPR",'Grid Data'!$V$4:$V$2342,'Grid Data'!$W$4:$W$2342),'Grid Data'!$N$4:$N$2342,$D7,'Grid Data'!$O$4:$O$2342,AA$4,'Grid Data'!$M$4:$M$2342,$D$2)*100, 0)</f>
        <v>0</v>
      </c>
      <c r="AB7" s="4">
        <f>IF(  AB70&gt;$E$2, SUMIFS(IF($G$2="CPR",'Grid Data'!$V$4:$V$2342,'Grid Data'!$W$4:$W$2342),'Grid Data'!$N$4:$N$2342,$D7,'Grid Data'!$O$4:$O$2342,AB$4,'Grid Data'!$M$4:$M$2342,$D$2)*100, 0)</f>
        <v>0</v>
      </c>
      <c r="AC7" s="4">
        <f>IF(  AC70&gt;$E$2, SUMIFS(IF($G$2="CPR",'Grid Data'!$V$4:$V$2342,'Grid Data'!$W$4:$W$2342),'Grid Data'!$N$4:$N$2342,$D7,'Grid Data'!$O$4:$O$2342,AC$4,'Grid Data'!$M$4:$M$2342,$D$2)*100, 0)</f>
        <v>5.0827999999999998</v>
      </c>
      <c r="AD7" s="4">
        <f>IF(  AD70&gt;$E$2, SUMIFS(IF($G$2="CPR",'Grid Data'!$V$4:$V$2342,'Grid Data'!$W$4:$W$2342),'Grid Data'!$N$4:$N$2342,$D7,'Grid Data'!$O$4:$O$2342,AD$4,'Grid Data'!$M$4:$M$2342,$D$2)*100, 0)</f>
        <v>0</v>
      </c>
      <c r="AE7" s="4">
        <f>IF(  AE70&gt;$E$2, SUMIFS(IF($G$2="CPR",'Grid Data'!$V$4:$V$2342,'Grid Data'!$W$4:$W$2342),'Grid Data'!$N$4:$N$2342,$D7,'Grid Data'!$O$4:$O$2342,AE$4,'Grid Data'!$M$4:$M$2342,$D$2)*100, 0)</f>
        <v>0</v>
      </c>
      <c r="AF7" s="4">
        <f>IF(  AF70&gt;$E$2, SUMIFS(IF($G$2="CPR",'Grid Data'!$V$4:$V$2342,'Grid Data'!$W$4:$W$2342),'Grid Data'!$N$4:$N$2342,$D7,'Grid Data'!$O$4:$O$2342,AF$4,'Grid Data'!$M$4:$M$2342,$D$2)*100, 0)</f>
        <v>0</v>
      </c>
      <c r="AG7" s="4">
        <f>IF(  AG70&gt;$E$2, SUMIFS(IF($G$2="CPR",'Grid Data'!$V$4:$V$2342,'Grid Data'!$W$4:$W$2342),'Grid Data'!$N$4:$N$2342,$D7,'Grid Data'!$O$4:$O$2342,AG$4,'Grid Data'!$M$4:$M$2342,$D$2)*100, 0)</f>
        <v>0</v>
      </c>
      <c r="AH7" s="4">
        <f>IF(  AH70&gt;$E$2, SUMIFS(IF($G$2="CPR",'Grid Data'!$V$4:$V$2342,'Grid Data'!$W$4:$W$2342),'Grid Data'!$N$4:$N$2342,$D7,'Grid Data'!$O$4:$O$2342,AH$4,'Grid Data'!$M$4:$M$2342,$D$2)*100, 0)</f>
        <v>0</v>
      </c>
    </row>
    <row r="8" spans="4:34" x14ac:dyDescent="0.35">
      <c r="D8">
        <v>2750</v>
      </c>
      <c r="E8" s="4">
        <f>IF(  E71&gt;$E$2, SUMIFS(IF($G$2="CPR",'Grid Data'!$V$4:$V$2342,'Grid Data'!$W$4:$W$2342),'Grid Data'!$N$4:$N$2342,$D8,'Grid Data'!$O$4:$O$2342,E$4,'Grid Data'!$M$4:$M$2342,$D$2)*100, 0)</f>
        <v>0</v>
      </c>
      <c r="F8" s="4">
        <f>IF(  F71&gt;$E$2, SUMIFS(IF($G$2="CPR",'Grid Data'!$V$4:$V$2342,'Grid Data'!$W$4:$W$2342),'Grid Data'!$N$4:$N$2342,$D8,'Grid Data'!$O$4:$O$2342,F$4,'Grid Data'!$M$4:$M$2342,$D$2)*100, 0)</f>
        <v>0</v>
      </c>
      <c r="G8" s="4">
        <f>IF(  G71&gt;$E$2, SUMIFS(IF($G$2="CPR",'Grid Data'!$V$4:$V$2342,'Grid Data'!$W$4:$W$2342),'Grid Data'!$N$4:$N$2342,$D8,'Grid Data'!$O$4:$O$2342,G$4,'Grid Data'!$M$4:$M$2342,$D$2)*100, 0)</f>
        <v>0</v>
      </c>
      <c r="H8" s="4">
        <f>IF(  H71&gt;$E$2, SUMIFS(IF($G$2="CPR",'Grid Data'!$V$4:$V$2342,'Grid Data'!$W$4:$W$2342),'Grid Data'!$N$4:$N$2342,$D8,'Grid Data'!$O$4:$O$2342,H$4,'Grid Data'!$M$4:$M$2342,$D$2)*100, 0)</f>
        <v>0</v>
      </c>
      <c r="I8" s="4">
        <f>IF(  I71&gt;$E$2, SUMIFS(IF($G$2="CPR",'Grid Data'!$V$4:$V$2342,'Grid Data'!$W$4:$W$2342),'Grid Data'!$N$4:$N$2342,$D8,'Grid Data'!$O$4:$O$2342,I$4,'Grid Data'!$M$4:$M$2342,$D$2)*100, 0)</f>
        <v>0</v>
      </c>
      <c r="J8" s="4">
        <f>IF(  J71&gt;$E$2, SUMIFS(IF($G$2="CPR",'Grid Data'!$V$4:$V$2342,'Grid Data'!$W$4:$W$2342),'Grid Data'!$N$4:$N$2342,$D8,'Grid Data'!$O$4:$O$2342,J$4,'Grid Data'!$M$4:$M$2342,$D$2)*100, 0)</f>
        <v>0</v>
      </c>
      <c r="K8" s="4">
        <f>IF(  K71&gt;$E$2, SUMIFS(IF($G$2="CPR",'Grid Data'!$V$4:$V$2342,'Grid Data'!$W$4:$W$2342),'Grid Data'!$N$4:$N$2342,$D8,'Grid Data'!$O$4:$O$2342,K$4,'Grid Data'!$M$4:$M$2342,$D$2)*100, 0)</f>
        <v>0</v>
      </c>
      <c r="L8" s="4">
        <f>IF(  L71&gt;$E$2, SUMIFS(IF($G$2="CPR",'Grid Data'!$V$4:$V$2342,'Grid Data'!$W$4:$W$2342),'Grid Data'!$N$4:$N$2342,$D8,'Grid Data'!$O$4:$O$2342,L$4,'Grid Data'!$M$4:$M$2342,$D$2)*100, 0)</f>
        <v>0</v>
      </c>
      <c r="M8" s="4">
        <f>IF(  M71&gt;$E$2, SUMIFS(IF($G$2="CPR",'Grid Data'!$V$4:$V$2342,'Grid Data'!$W$4:$W$2342),'Grid Data'!$N$4:$N$2342,$D8,'Grid Data'!$O$4:$O$2342,M$4,'Grid Data'!$M$4:$M$2342,$D$2)*100, 0)</f>
        <v>0</v>
      </c>
      <c r="N8" s="4">
        <f>IF(  N71&gt;$E$2, SUMIFS(IF($G$2="CPR",'Grid Data'!$V$4:$V$2342,'Grid Data'!$W$4:$W$2342),'Grid Data'!$N$4:$N$2342,$D8,'Grid Data'!$O$4:$O$2342,N$4,'Grid Data'!$M$4:$M$2342,$D$2)*100, 0)</f>
        <v>0</v>
      </c>
      <c r="O8" s="4">
        <f>IF(  O71&gt;$E$2, SUMIFS(IF($G$2="CPR",'Grid Data'!$V$4:$V$2342,'Grid Data'!$W$4:$W$2342),'Grid Data'!$N$4:$N$2342,$D8,'Grid Data'!$O$4:$O$2342,O$4,'Grid Data'!$M$4:$M$2342,$D$2)*100, 0)</f>
        <v>0</v>
      </c>
      <c r="P8" s="4">
        <f>IF(  P71&gt;$E$2, SUMIFS(IF($G$2="CPR",'Grid Data'!$V$4:$V$2342,'Grid Data'!$W$4:$W$2342),'Grid Data'!$N$4:$N$2342,$D8,'Grid Data'!$O$4:$O$2342,P$4,'Grid Data'!$M$4:$M$2342,$D$2)*100, 0)</f>
        <v>0</v>
      </c>
      <c r="Q8" s="4">
        <f>IF(  Q71&gt;$E$2, SUMIFS(IF($G$2="CPR",'Grid Data'!$V$4:$V$2342,'Grid Data'!$W$4:$W$2342),'Grid Data'!$N$4:$N$2342,$D8,'Grid Data'!$O$4:$O$2342,Q$4,'Grid Data'!$M$4:$M$2342,$D$2)*100, 0)</f>
        <v>0</v>
      </c>
      <c r="R8" s="4">
        <f>IF(  R71&gt;$E$2, SUMIFS(IF($G$2="CPR",'Grid Data'!$V$4:$V$2342,'Grid Data'!$W$4:$W$2342),'Grid Data'!$N$4:$N$2342,$D8,'Grid Data'!$O$4:$O$2342,R$4,'Grid Data'!$M$4:$M$2342,$D$2)*100, 0)</f>
        <v>0</v>
      </c>
      <c r="S8" s="4">
        <f>IF(  S71&gt;$E$2, SUMIFS(IF($G$2="CPR",'Grid Data'!$V$4:$V$2342,'Grid Data'!$W$4:$W$2342),'Grid Data'!$N$4:$N$2342,$D8,'Grid Data'!$O$4:$O$2342,S$4,'Grid Data'!$M$4:$M$2342,$D$2)*100, 0)</f>
        <v>0</v>
      </c>
      <c r="T8" s="4">
        <f>IF(  T71&gt;$E$2, SUMIFS(IF($G$2="CPR",'Grid Data'!$V$4:$V$2342,'Grid Data'!$W$4:$W$2342),'Grid Data'!$N$4:$N$2342,$D8,'Grid Data'!$O$4:$O$2342,T$4,'Grid Data'!$M$4:$M$2342,$D$2)*100, 0)</f>
        <v>5.0747</v>
      </c>
      <c r="U8" s="4">
        <f>IF(  U71&gt;$E$2, SUMIFS(IF($G$2="CPR",'Grid Data'!$V$4:$V$2342,'Grid Data'!$W$4:$W$2342),'Grid Data'!$N$4:$N$2342,$D8,'Grid Data'!$O$4:$O$2342,U$4,'Grid Data'!$M$4:$M$2342,$D$2)*100, 0)</f>
        <v>4.7526000000000002</v>
      </c>
      <c r="V8" s="4">
        <f>IF(  V71&gt;$E$2, SUMIFS(IF($G$2="CPR",'Grid Data'!$V$4:$V$2342,'Grid Data'!$W$4:$W$2342),'Grid Data'!$N$4:$N$2342,$D8,'Grid Data'!$O$4:$O$2342,V$4,'Grid Data'!$M$4:$M$2342,$D$2)*100, 0)</f>
        <v>5.6135999999999999</v>
      </c>
      <c r="W8" s="4">
        <f>IF(  W71&gt;$E$2, SUMIFS(IF($G$2="CPR",'Grid Data'!$V$4:$V$2342,'Grid Data'!$W$4:$W$2342),'Grid Data'!$N$4:$N$2342,$D8,'Grid Data'!$O$4:$O$2342,W$4,'Grid Data'!$M$4:$M$2342,$D$2)*100, 0)</f>
        <v>5.1034999999999995</v>
      </c>
      <c r="X8" s="4">
        <f>IF(  X71&gt;$E$2, SUMIFS(IF($G$2="CPR",'Grid Data'!$V$4:$V$2342,'Grid Data'!$W$4:$W$2342),'Grid Data'!$N$4:$N$2342,$D8,'Grid Data'!$O$4:$O$2342,X$4,'Grid Data'!$M$4:$M$2342,$D$2)*100, 0)</f>
        <v>2.5407999999999999</v>
      </c>
      <c r="Y8" s="4">
        <f>IF(  Y71&gt;$E$2, SUMIFS(IF($G$2="CPR",'Grid Data'!$V$4:$V$2342,'Grid Data'!$W$4:$W$2342),'Grid Data'!$N$4:$N$2342,$D8,'Grid Data'!$O$4:$O$2342,Y$4,'Grid Data'!$M$4:$M$2342,$D$2)*100, 0)</f>
        <v>0</v>
      </c>
      <c r="Z8" s="4">
        <f>IF(  Z71&gt;$E$2, SUMIFS(IF($G$2="CPR",'Grid Data'!$V$4:$V$2342,'Grid Data'!$W$4:$W$2342),'Grid Data'!$N$4:$N$2342,$D8,'Grid Data'!$O$4:$O$2342,Z$4,'Grid Data'!$M$4:$M$2342,$D$2)*100, 0)</f>
        <v>0</v>
      </c>
      <c r="AA8" s="4">
        <f>IF(  AA71&gt;$E$2, SUMIFS(IF($G$2="CPR",'Grid Data'!$V$4:$V$2342,'Grid Data'!$W$4:$W$2342),'Grid Data'!$N$4:$N$2342,$D8,'Grid Data'!$O$4:$O$2342,AA$4,'Grid Data'!$M$4:$M$2342,$D$2)*100, 0)</f>
        <v>4.2705000000000002</v>
      </c>
      <c r="AB8" s="4">
        <f>IF(  AB71&gt;$E$2, SUMIFS(IF($G$2="CPR",'Grid Data'!$V$4:$V$2342,'Grid Data'!$W$4:$W$2342),'Grid Data'!$N$4:$N$2342,$D8,'Grid Data'!$O$4:$O$2342,AB$4,'Grid Data'!$M$4:$M$2342,$D$2)*100, 0)</f>
        <v>0</v>
      </c>
      <c r="AC8" s="4">
        <f>IF(  AC71&gt;$E$2, SUMIFS(IF($G$2="CPR",'Grid Data'!$V$4:$V$2342,'Grid Data'!$W$4:$W$2342),'Grid Data'!$N$4:$N$2342,$D8,'Grid Data'!$O$4:$O$2342,AC$4,'Grid Data'!$M$4:$M$2342,$D$2)*100, 0)</f>
        <v>2.8584999999999998</v>
      </c>
      <c r="AD8" s="4">
        <f>IF(  AD71&gt;$E$2, SUMIFS(IF($G$2="CPR",'Grid Data'!$V$4:$V$2342,'Grid Data'!$W$4:$W$2342),'Grid Data'!$N$4:$N$2342,$D8,'Grid Data'!$O$4:$O$2342,AD$4,'Grid Data'!$M$4:$M$2342,$D$2)*100, 0)</f>
        <v>0</v>
      </c>
      <c r="AE8" s="4">
        <f>IF(  AE71&gt;$E$2, SUMIFS(IF($G$2="CPR",'Grid Data'!$V$4:$V$2342,'Grid Data'!$W$4:$W$2342),'Grid Data'!$N$4:$N$2342,$D8,'Grid Data'!$O$4:$O$2342,AE$4,'Grid Data'!$M$4:$M$2342,$D$2)*100, 0)</f>
        <v>0</v>
      </c>
      <c r="AF8" s="4">
        <f>IF(  AF71&gt;$E$2, SUMIFS(IF($G$2="CPR",'Grid Data'!$V$4:$V$2342,'Grid Data'!$W$4:$W$2342),'Grid Data'!$N$4:$N$2342,$D8,'Grid Data'!$O$4:$O$2342,AF$4,'Grid Data'!$M$4:$M$2342,$D$2)*100, 0)</f>
        <v>0</v>
      </c>
      <c r="AG8" s="4">
        <f>IF(  AG71&gt;$E$2, SUMIFS(IF($G$2="CPR",'Grid Data'!$V$4:$V$2342,'Grid Data'!$W$4:$W$2342),'Grid Data'!$N$4:$N$2342,$D8,'Grid Data'!$O$4:$O$2342,AG$4,'Grid Data'!$M$4:$M$2342,$D$2)*100, 0)</f>
        <v>0</v>
      </c>
      <c r="AH8" s="4">
        <f>IF(  AH71&gt;$E$2, SUMIFS(IF($G$2="CPR",'Grid Data'!$V$4:$V$2342,'Grid Data'!$W$4:$W$2342),'Grid Data'!$N$4:$N$2342,$D8,'Grid Data'!$O$4:$O$2342,AH$4,'Grid Data'!$M$4:$M$2342,$D$2)*100, 0)</f>
        <v>0</v>
      </c>
    </row>
    <row r="9" spans="4:34" x14ac:dyDescent="0.35">
      <c r="D9">
        <v>3000</v>
      </c>
      <c r="E9" s="4">
        <f>IF(  E72&gt;$E$2, SUMIFS(IF($G$2="CPR",'Grid Data'!$V$4:$V$2342,'Grid Data'!$W$4:$W$2342),'Grid Data'!$N$4:$N$2342,$D9,'Grid Data'!$O$4:$O$2342,E$4,'Grid Data'!$M$4:$M$2342,$D$2)*100, 0)</f>
        <v>0</v>
      </c>
      <c r="F9" s="4">
        <f>IF(  F72&gt;$E$2, SUMIFS(IF($G$2="CPR",'Grid Data'!$V$4:$V$2342,'Grid Data'!$W$4:$W$2342),'Grid Data'!$N$4:$N$2342,$D9,'Grid Data'!$O$4:$O$2342,F$4,'Grid Data'!$M$4:$M$2342,$D$2)*100, 0)</f>
        <v>0</v>
      </c>
      <c r="G9" s="4">
        <f>IF(  G72&gt;$E$2, SUMIFS(IF($G$2="CPR",'Grid Data'!$V$4:$V$2342,'Grid Data'!$W$4:$W$2342),'Grid Data'!$N$4:$N$2342,$D9,'Grid Data'!$O$4:$O$2342,G$4,'Grid Data'!$M$4:$M$2342,$D$2)*100, 0)</f>
        <v>0</v>
      </c>
      <c r="H9" s="4">
        <f>IF(  H72&gt;$E$2, SUMIFS(IF($G$2="CPR",'Grid Data'!$V$4:$V$2342,'Grid Data'!$W$4:$W$2342),'Grid Data'!$N$4:$N$2342,$D9,'Grid Data'!$O$4:$O$2342,H$4,'Grid Data'!$M$4:$M$2342,$D$2)*100, 0)</f>
        <v>0</v>
      </c>
      <c r="I9" s="4">
        <f>IF(  I72&gt;$E$2, SUMIFS(IF($G$2="CPR",'Grid Data'!$V$4:$V$2342,'Grid Data'!$W$4:$W$2342),'Grid Data'!$N$4:$N$2342,$D9,'Grid Data'!$O$4:$O$2342,I$4,'Grid Data'!$M$4:$M$2342,$D$2)*100, 0)</f>
        <v>0</v>
      </c>
      <c r="J9" s="4">
        <f>IF(  J72&gt;$E$2, SUMIFS(IF($G$2="CPR",'Grid Data'!$V$4:$V$2342,'Grid Data'!$W$4:$W$2342),'Grid Data'!$N$4:$N$2342,$D9,'Grid Data'!$O$4:$O$2342,J$4,'Grid Data'!$M$4:$M$2342,$D$2)*100, 0)</f>
        <v>0</v>
      </c>
      <c r="K9" s="4">
        <f>IF(  K72&gt;$E$2, SUMIFS(IF($G$2="CPR",'Grid Data'!$V$4:$V$2342,'Grid Data'!$W$4:$W$2342),'Grid Data'!$N$4:$N$2342,$D9,'Grid Data'!$O$4:$O$2342,K$4,'Grid Data'!$M$4:$M$2342,$D$2)*100, 0)</f>
        <v>0</v>
      </c>
      <c r="L9" s="4">
        <f>IF(  L72&gt;$E$2, SUMIFS(IF($G$2="CPR",'Grid Data'!$V$4:$V$2342,'Grid Data'!$W$4:$W$2342),'Grid Data'!$N$4:$N$2342,$D9,'Grid Data'!$O$4:$O$2342,L$4,'Grid Data'!$M$4:$M$2342,$D$2)*100, 0)</f>
        <v>0</v>
      </c>
      <c r="M9" s="4">
        <f>IF(  M72&gt;$E$2, SUMIFS(IF($G$2="CPR",'Grid Data'!$V$4:$V$2342,'Grid Data'!$W$4:$W$2342),'Grid Data'!$N$4:$N$2342,$D9,'Grid Data'!$O$4:$O$2342,M$4,'Grid Data'!$M$4:$M$2342,$D$2)*100, 0)</f>
        <v>0</v>
      </c>
      <c r="N9" s="4">
        <f>IF(  N72&gt;$E$2, SUMIFS(IF($G$2="CPR",'Grid Data'!$V$4:$V$2342,'Grid Data'!$W$4:$W$2342),'Grid Data'!$N$4:$N$2342,$D9,'Grid Data'!$O$4:$O$2342,N$4,'Grid Data'!$M$4:$M$2342,$D$2)*100, 0)</f>
        <v>0</v>
      </c>
      <c r="O9" s="4">
        <f>IF(  O72&gt;$E$2, SUMIFS(IF($G$2="CPR",'Grid Data'!$V$4:$V$2342,'Grid Data'!$W$4:$W$2342),'Grid Data'!$N$4:$N$2342,$D9,'Grid Data'!$O$4:$O$2342,O$4,'Grid Data'!$M$4:$M$2342,$D$2)*100, 0)</f>
        <v>0</v>
      </c>
      <c r="P9" s="4">
        <f>IF(  P72&gt;$E$2, SUMIFS(IF($G$2="CPR",'Grid Data'!$V$4:$V$2342,'Grid Data'!$W$4:$W$2342),'Grid Data'!$N$4:$N$2342,$D9,'Grid Data'!$O$4:$O$2342,P$4,'Grid Data'!$M$4:$M$2342,$D$2)*100, 0)</f>
        <v>0</v>
      </c>
      <c r="Q9" s="4">
        <f>IF(  Q72&gt;$E$2, SUMIFS(IF($G$2="CPR",'Grid Data'!$V$4:$V$2342,'Grid Data'!$W$4:$W$2342),'Grid Data'!$N$4:$N$2342,$D9,'Grid Data'!$O$4:$O$2342,Q$4,'Grid Data'!$M$4:$M$2342,$D$2)*100, 0)</f>
        <v>0</v>
      </c>
      <c r="R9" s="4">
        <f>IF(  R72&gt;$E$2, SUMIFS(IF($G$2="CPR",'Grid Data'!$V$4:$V$2342,'Grid Data'!$W$4:$W$2342),'Grid Data'!$N$4:$N$2342,$D9,'Grid Data'!$O$4:$O$2342,R$4,'Grid Data'!$M$4:$M$2342,$D$2)*100, 0)</f>
        <v>0</v>
      </c>
      <c r="S9" s="4">
        <f>IF(  S72&gt;$E$2, SUMIFS(IF($G$2="CPR",'Grid Data'!$V$4:$V$2342,'Grid Data'!$W$4:$W$2342),'Grid Data'!$N$4:$N$2342,$D9,'Grid Data'!$O$4:$O$2342,S$4,'Grid Data'!$M$4:$M$2342,$D$2)*100, 0)</f>
        <v>7.3841000000000001</v>
      </c>
      <c r="T9" s="4">
        <f>IF(  T72&gt;$E$2, SUMIFS(IF($G$2="CPR",'Grid Data'!$V$4:$V$2342,'Grid Data'!$W$4:$W$2342),'Grid Data'!$N$4:$N$2342,$D9,'Grid Data'!$O$4:$O$2342,T$4,'Grid Data'!$M$4:$M$2342,$D$2)*100, 0)</f>
        <v>5.5759000000000007</v>
      </c>
      <c r="U9" s="4">
        <f>IF(  U72&gt;$E$2, SUMIFS(IF($G$2="CPR",'Grid Data'!$V$4:$V$2342,'Grid Data'!$W$4:$W$2342),'Grid Data'!$N$4:$N$2342,$D9,'Grid Data'!$O$4:$O$2342,U$4,'Grid Data'!$M$4:$M$2342,$D$2)*100, 0)</f>
        <v>5.2881</v>
      </c>
      <c r="V9" s="4">
        <f>IF(  V72&gt;$E$2, SUMIFS(IF($G$2="CPR",'Grid Data'!$V$4:$V$2342,'Grid Data'!$W$4:$W$2342),'Grid Data'!$N$4:$N$2342,$D9,'Grid Data'!$O$4:$O$2342,V$4,'Grid Data'!$M$4:$M$2342,$D$2)*100, 0)</f>
        <v>5.6059000000000001</v>
      </c>
      <c r="W9" s="4">
        <f>IF(  W72&gt;$E$2, SUMIFS(IF($G$2="CPR",'Grid Data'!$V$4:$V$2342,'Grid Data'!$W$4:$W$2342),'Grid Data'!$N$4:$N$2342,$D9,'Grid Data'!$O$4:$O$2342,W$4,'Grid Data'!$M$4:$M$2342,$D$2)*100, 0)</f>
        <v>5.8606999999999996</v>
      </c>
      <c r="X9" s="4">
        <f>IF(  X72&gt;$E$2, SUMIFS(IF($G$2="CPR",'Grid Data'!$V$4:$V$2342,'Grid Data'!$W$4:$W$2342),'Grid Data'!$N$4:$N$2342,$D9,'Grid Data'!$O$4:$O$2342,X$4,'Grid Data'!$M$4:$M$2342,$D$2)*100, 0)</f>
        <v>3.5074000000000001</v>
      </c>
      <c r="Y9" s="4">
        <f>IF(  Y72&gt;$E$2, SUMIFS(IF($G$2="CPR",'Grid Data'!$V$4:$V$2342,'Grid Data'!$W$4:$W$2342),'Grid Data'!$N$4:$N$2342,$D9,'Grid Data'!$O$4:$O$2342,Y$4,'Grid Data'!$M$4:$M$2342,$D$2)*100, 0)</f>
        <v>0</v>
      </c>
      <c r="Z9" s="4">
        <f>IF(  Z72&gt;$E$2, SUMIFS(IF($G$2="CPR",'Grid Data'!$V$4:$V$2342,'Grid Data'!$W$4:$W$2342),'Grid Data'!$N$4:$N$2342,$D9,'Grid Data'!$O$4:$O$2342,Z$4,'Grid Data'!$M$4:$M$2342,$D$2)*100, 0)</f>
        <v>0</v>
      </c>
      <c r="AA9" s="4">
        <f>IF(  AA72&gt;$E$2, SUMIFS(IF($G$2="CPR",'Grid Data'!$V$4:$V$2342,'Grid Data'!$W$4:$W$2342),'Grid Data'!$N$4:$N$2342,$D9,'Grid Data'!$O$4:$O$2342,AA$4,'Grid Data'!$M$4:$M$2342,$D$2)*100, 0)</f>
        <v>5.7794999999999996</v>
      </c>
      <c r="AB9" s="4">
        <f>IF(  AB72&gt;$E$2, SUMIFS(IF($G$2="CPR",'Grid Data'!$V$4:$V$2342,'Grid Data'!$W$4:$W$2342),'Grid Data'!$N$4:$N$2342,$D9,'Grid Data'!$O$4:$O$2342,AB$4,'Grid Data'!$M$4:$M$2342,$D$2)*100, 0)</f>
        <v>7.5237999999999996</v>
      </c>
      <c r="AC9" s="4">
        <f>IF(  AC72&gt;$E$2, SUMIFS(IF($G$2="CPR",'Grid Data'!$V$4:$V$2342,'Grid Data'!$W$4:$W$2342),'Grid Data'!$N$4:$N$2342,$D9,'Grid Data'!$O$4:$O$2342,AC$4,'Grid Data'!$M$4:$M$2342,$D$2)*100, 0)</f>
        <v>4.9610000000000003</v>
      </c>
      <c r="AD9" s="4">
        <f>IF(  AD72&gt;$E$2, SUMIFS(IF($G$2="CPR",'Grid Data'!$V$4:$V$2342,'Grid Data'!$W$4:$W$2342),'Grid Data'!$N$4:$N$2342,$D9,'Grid Data'!$O$4:$O$2342,AD$4,'Grid Data'!$M$4:$M$2342,$D$2)*100, 0)</f>
        <v>9.2774999999999999</v>
      </c>
      <c r="AE9" s="4">
        <f>IF(  AE72&gt;$E$2, SUMIFS(IF($G$2="CPR",'Grid Data'!$V$4:$V$2342,'Grid Data'!$W$4:$W$2342),'Grid Data'!$N$4:$N$2342,$D9,'Grid Data'!$O$4:$O$2342,AE$4,'Grid Data'!$M$4:$M$2342,$D$2)*100, 0)</f>
        <v>0</v>
      </c>
      <c r="AF9" s="4">
        <f>IF(  AF72&gt;$E$2, SUMIFS(IF($G$2="CPR",'Grid Data'!$V$4:$V$2342,'Grid Data'!$W$4:$W$2342),'Grid Data'!$N$4:$N$2342,$D9,'Grid Data'!$O$4:$O$2342,AF$4,'Grid Data'!$M$4:$M$2342,$D$2)*100, 0)</f>
        <v>0</v>
      </c>
      <c r="AG9" s="4">
        <f>IF(  AG72&gt;$E$2, SUMIFS(IF($G$2="CPR",'Grid Data'!$V$4:$V$2342,'Grid Data'!$W$4:$W$2342),'Grid Data'!$N$4:$N$2342,$D9,'Grid Data'!$O$4:$O$2342,AG$4,'Grid Data'!$M$4:$M$2342,$D$2)*100, 0)</f>
        <v>0</v>
      </c>
      <c r="AH9" s="4">
        <f>IF(  AH72&gt;$E$2, SUMIFS(IF($G$2="CPR",'Grid Data'!$V$4:$V$2342,'Grid Data'!$W$4:$W$2342),'Grid Data'!$N$4:$N$2342,$D9,'Grid Data'!$O$4:$O$2342,AH$4,'Grid Data'!$M$4:$M$2342,$D$2)*100, 0)</f>
        <v>0</v>
      </c>
    </row>
    <row r="10" spans="4:34" x14ac:dyDescent="0.35">
      <c r="D10">
        <v>3250</v>
      </c>
      <c r="E10" s="4">
        <f>IF(  E73&gt;$E$2, SUMIFS(IF($G$2="CPR",'Grid Data'!$V$4:$V$2342,'Grid Data'!$W$4:$W$2342),'Grid Data'!$N$4:$N$2342,$D10,'Grid Data'!$O$4:$O$2342,E$4,'Grid Data'!$M$4:$M$2342,$D$2)*100, 0)</f>
        <v>0</v>
      </c>
      <c r="F10" s="4">
        <f>IF(  F73&gt;$E$2, SUMIFS(IF($G$2="CPR",'Grid Data'!$V$4:$V$2342,'Grid Data'!$W$4:$W$2342),'Grid Data'!$N$4:$N$2342,$D10,'Grid Data'!$O$4:$O$2342,F$4,'Grid Data'!$M$4:$M$2342,$D$2)*100, 0)</f>
        <v>0</v>
      </c>
      <c r="G10" s="4">
        <f>IF(  G73&gt;$E$2, SUMIFS(IF($G$2="CPR",'Grid Data'!$V$4:$V$2342,'Grid Data'!$W$4:$W$2342),'Grid Data'!$N$4:$N$2342,$D10,'Grid Data'!$O$4:$O$2342,G$4,'Grid Data'!$M$4:$M$2342,$D$2)*100, 0)</f>
        <v>0</v>
      </c>
      <c r="H10" s="4">
        <f>IF(  H73&gt;$E$2, SUMIFS(IF($G$2="CPR",'Grid Data'!$V$4:$V$2342,'Grid Data'!$W$4:$W$2342),'Grid Data'!$N$4:$N$2342,$D10,'Grid Data'!$O$4:$O$2342,H$4,'Grid Data'!$M$4:$M$2342,$D$2)*100, 0)</f>
        <v>0</v>
      </c>
      <c r="I10" s="4">
        <f>IF(  I73&gt;$E$2, SUMIFS(IF($G$2="CPR",'Grid Data'!$V$4:$V$2342,'Grid Data'!$W$4:$W$2342),'Grid Data'!$N$4:$N$2342,$D10,'Grid Data'!$O$4:$O$2342,I$4,'Grid Data'!$M$4:$M$2342,$D$2)*100, 0)</f>
        <v>0</v>
      </c>
      <c r="J10" s="4">
        <f>IF(  J73&gt;$E$2, SUMIFS(IF($G$2="CPR",'Grid Data'!$V$4:$V$2342,'Grid Data'!$W$4:$W$2342),'Grid Data'!$N$4:$N$2342,$D10,'Grid Data'!$O$4:$O$2342,J$4,'Grid Data'!$M$4:$M$2342,$D$2)*100, 0)</f>
        <v>0</v>
      </c>
      <c r="K10" s="4">
        <f>IF(  K73&gt;$E$2, SUMIFS(IF($G$2="CPR",'Grid Data'!$V$4:$V$2342,'Grid Data'!$W$4:$W$2342),'Grid Data'!$N$4:$N$2342,$D10,'Grid Data'!$O$4:$O$2342,K$4,'Grid Data'!$M$4:$M$2342,$D$2)*100, 0)</f>
        <v>0</v>
      </c>
      <c r="L10" s="4">
        <f>IF(  L73&gt;$E$2, SUMIFS(IF($G$2="CPR",'Grid Data'!$V$4:$V$2342,'Grid Data'!$W$4:$W$2342),'Grid Data'!$N$4:$N$2342,$D10,'Grid Data'!$O$4:$O$2342,L$4,'Grid Data'!$M$4:$M$2342,$D$2)*100, 0)</f>
        <v>0</v>
      </c>
      <c r="M10" s="4">
        <f>IF(  M73&gt;$E$2, SUMIFS(IF($G$2="CPR",'Grid Data'!$V$4:$V$2342,'Grid Data'!$W$4:$W$2342),'Grid Data'!$N$4:$N$2342,$D10,'Grid Data'!$O$4:$O$2342,M$4,'Grid Data'!$M$4:$M$2342,$D$2)*100, 0)</f>
        <v>0</v>
      </c>
      <c r="N10" s="4">
        <f>IF(  N73&gt;$E$2, SUMIFS(IF($G$2="CPR",'Grid Data'!$V$4:$V$2342,'Grid Data'!$W$4:$W$2342),'Grid Data'!$N$4:$N$2342,$D10,'Grid Data'!$O$4:$O$2342,N$4,'Grid Data'!$M$4:$M$2342,$D$2)*100, 0)</f>
        <v>0</v>
      </c>
      <c r="O10" s="4">
        <f>IF(  O73&gt;$E$2, SUMIFS(IF($G$2="CPR",'Grid Data'!$V$4:$V$2342,'Grid Data'!$W$4:$W$2342),'Grid Data'!$N$4:$N$2342,$D10,'Grid Data'!$O$4:$O$2342,O$4,'Grid Data'!$M$4:$M$2342,$D$2)*100, 0)</f>
        <v>0</v>
      </c>
      <c r="P10" s="4">
        <f>IF(  P73&gt;$E$2, SUMIFS(IF($G$2="CPR",'Grid Data'!$V$4:$V$2342,'Grid Data'!$W$4:$W$2342),'Grid Data'!$N$4:$N$2342,$D10,'Grid Data'!$O$4:$O$2342,P$4,'Grid Data'!$M$4:$M$2342,$D$2)*100, 0)</f>
        <v>0</v>
      </c>
      <c r="Q10" s="4">
        <f>IF(  Q73&gt;$E$2, SUMIFS(IF($G$2="CPR",'Grid Data'!$V$4:$V$2342,'Grid Data'!$W$4:$W$2342),'Grid Data'!$N$4:$N$2342,$D10,'Grid Data'!$O$4:$O$2342,Q$4,'Grid Data'!$M$4:$M$2342,$D$2)*100, 0)</f>
        <v>0</v>
      </c>
      <c r="R10" s="4">
        <f>IF(  R73&gt;$E$2, SUMIFS(IF($G$2="CPR",'Grid Data'!$V$4:$V$2342,'Grid Data'!$W$4:$W$2342),'Grid Data'!$N$4:$N$2342,$D10,'Grid Data'!$O$4:$O$2342,R$4,'Grid Data'!$M$4:$M$2342,$D$2)*100, 0)</f>
        <v>0</v>
      </c>
      <c r="S10" s="4">
        <f>IF(  S73&gt;$E$2, SUMIFS(IF($G$2="CPR",'Grid Data'!$V$4:$V$2342,'Grid Data'!$W$4:$W$2342),'Grid Data'!$N$4:$N$2342,$D10,'Grid Data'!$O$4:$O$2342,S$4,'Grid Data'!$M$4:$M$2342,$D$2)*100, 0)</f>
        <v>10.231400000000001</v>
      </c>
      <c r="T10" s="4">
        <f>IF(  T73&gt;$E$2, SUMIFS(IF($G$2="CPR",'Grid Data'!$V$4:$V$2342,'Grid Data'!$W$4:$W$2342),'Grid Data'!$N$4:$N$2342,$D10,'Grid Data'!$O$4:$O$2342,T$4,'Grid Data'!$M$4:$M$2342,$D$2)*100, 0)</f>
        <v>6.4882999999999997</v>
      </c>
      <c r="U10" s="4">
        <f>IF(  U73&gt;$E$2, SUMIFS(IF($G$2="CPR",'Grid Data'!$V$4:$V$2342,'Grid Data'!$W$4:$W$2342),'Grid Data'!$N$4:$N$2342,$D10,'Grid Data'!$O$4:$O$2342,U$4,'Grid Data'!$M$4:$M$2342,$D$2)*100, 0)</f>
        <v>6.383</v>
      </c>
      <c r="V10" s="4">
        <f>IF(  V73&gt;$E$2, SUMIFS(IF($G$2="CPR",'Grid Data'!$V$4:$V$2342,'Grid Data'!$W$4:$W$2342),'Grid Data'!$N$4:$N$2342,$D10,'Grid Data'!$O$4:$O$2342,V$4,'Grid Data'!$M$4:$M$2342,$D$2)*100, 0)</f>
        <v>5.8834</v>
      </c>
      <c r="W10" s="4">
        <f>IF(  W73&gt;$E$2, SUMIFS(IF($G$2="CPR",'Grid Data'!$V$4:$V$2342,'Grid Data'!$W$4:$W$2342),'Grid Data'!$N$4:$N$2342,$D10,'Grid Data'!$O$4:$O$2342,W$4,'Grid Data'!$M$4:$M$2342,$D$2)*100, 0)</f>
        <v>5.9508999999999999</v>
      </c>
      <c r="X10" s="4">
        <f>IF(  X73&gt;$E$2, SUMIFS(IF($G$2="CPR",'Grid Data'!$V$4:$V$2342,'Grid Data'!$W$4:$W$2342),'Grid Data'!$N$4:$N$2342,$D10,'Grid Data'!$O$4:$O$2342,X$4,'Grid Data'!$M$4:$M$2342,$D$2)*100, 0)</f>
        <v>6.1892000000000005</v>
      </c>
      <c r="Y10" s="4">
        <f>IF(  Y73&gt;$E$2, SUMIFS(IF($G$2="CPR",'Grid Data'!$V$4:$V$2342,'Grid Data'!$W$4:$W$2342),'Grid Data'!$N$4:$N$2342,$D10,'Grid Data'!$O$4:$O$2342,Y$4,'Grid Data'!$M$4:$M$2342,$D$2)*100, 0)</f>
        <v>2.5495000000000001</v>
      </c>
      <c r="Z10" s="4">
        <f>IF(  Z73&gt;$E$2, SUMIFS(IF($G$2="CPR",'Grid Data'!$V$4:$V$2342,'Grid Data'!$W$4:$W$2342),'Grid Data'!$N$4:$N$2342,$D10,'Grid Data'!$O$4:$O$2342,Z$4,'Grid Data'!$M$4:$M$2342,$D$2)*100, 0)</f>
        <v>5.4573</v>
      </c>
      <c r="AA10" s="4">
        <f>IF(  AA73&gt;$E$2, SUMIFS(IF($G$2="CPR",'Grid Data'!$V$4:$V$2342,'Grid Data'!$W$4:$W$2342),'Grid Data'!$N$4:$N$2342,$D10,'Grid Data'!$O$4:$O$2342,AA$4,'Grid Data'!$M$4:$M$2342,$D$2)*100, 0)</f>
        <v>4.8410000000000002</v>
      </c>
      <c r="AB10" s="4">
        <f>IF(  AB73&gt;$E$2, SUMIFS(IF($G$2="CPR",'Grid Data'!$V$4:$V$2342,'Grid Data'!$W$4:$W$2342),'Grid Data'!$N$4:$N$2342,$D10,'Grid Data'!$O$4:$O$2342,AB$4,'Grid Data'!$M$4:$M$2342,$D$2)*100, 0)</f>
        <v>4.7307000000000006</v>
      </c>
      <c r="AC10" s="4">
        <f>IF(  AC73&gt;$E$2, SUMIFS(IF($G$2="CPR",'Grid Data'!$V$4:$V$2342,'Grid Data'!$W$4:$W$2342),'Grid Data'!$N$4:$N$2342,$D10,'Grid Data'!$O$4:$O$2342,AC$4,'Grid Data'!$M$4:$M$2342,$D$2)*100, 0)</f>
        <v>4.38</v>
      </c>
      <c r="AD10" s="4">
        <f>IF(  AD73&gt;$E$2, SUMIFS(IF($G$2="CPR",'Grid Data'!$V$4:$V$2342,'Grid Data'!$W$4:$W$2342),'Grid Data'!$N$4:$N$2342,$D10,'Grid Data'!$O$4:$O$2342,AD$4,'Grid Data'!$M$4:$M$2342,$D$2)*100, 0)</f>
        <v>17.367699999999999</v>
      </c>
      <c r="AE10" s="4">
        <f>IF(  AE73&gt;$E$2, SUMIFS(IF($G$2="CPR",'Grid Data'!$V$4:$V$2342,'Grid Data'!$W$4:$W$2342),'Grid Data'!$N$4:$N$2342,$D10,'Grid Data'!$O$4:$O$2342,AE$4,'Grid Data'!$M$4:$M$2342,$D$2)*100, 0)</f>
        <v>0</v>
      </c>
      <c r="AF10" s="4">
        <f>IF(  AF73&gt;$E$2, SUMIFS(IF($G$2="CPR",'Grid Data'!$V$4:$V$2342,'Grid Data'!$W$4:$W$2342),'Grid Data'!$N$4:$N$2342,$D10,'Grid Data'!$O$4:$O$2342,AF$4,'Grid Data'!$M$4:$M$2342,$D$2)*100, 0)</f>
        <v>0</v>
      </c>
      <c r="AG10" s="4">
        <f>IF(  AG73&gt;$E$2, SUMIFS(IF($G$2="CPR",'Grid Data'!$V$4:$V$2342,'Grid Data'!$W$4:$W$2342),'Grid Data'!$N$4:$N$2342,$D10,'Grid Data'!$O$4:$O$2342,AG$4,'Grid Data'!$M$4:$M$2342,$D$2)*100, 0)</f>
        <v>0</v>
      </c>
      <c r="AH10" s="4">
        <f>IF(  AH73&gt;$E$2, SUMIFS(IF($G$2="CPR",'Grid Data'!$V$4:$V$2342,'Grid Data'!$W$4:$W$2342),'Grid Data'!$N$4:$N$2342,$D10,'Grid Data'!$O$4:$O$2342,AH$4,'Grid Data'!$M$4:$M$2342,$D$2)*100, 0)</f>
        <v>0</v>
      </c>
    </row>
    <row r="11" spans="4:34" x14ac:dyDescent="0.35">
      <c r="D11">
        <v>3500</v>
      </c>
      <c r="E11" s="4">
        <f>IF(  E74&gt;$E$2, SUMIFS(IF($G$2="CPR",'Grid Data'!$V$4:$V$2342,'Grid Data'!$W$4:$W$2342),'Grid Data'!$N$4:$N$2342,$D11,'Grid Data'!$O$4:$O$2342,E$4,'Grid Data'!$M$4:$M$2342,$D$2)*100, 0)</f>
        <v>0</v>
      </c>
      <c r="F11" s="4">
        <f>IF(  F74&gt;$E$2, SUMIFS(IF($G$2="CPR",'Grid Data'!$V$4:$V$2342,'Grid Data'!$W$4:$W$2342),'Grid Data'!$N$4:$N$2342,$D11,'Grid Data'!$O$4:$O$2342,F$4,'Grid Data'!$M$4:$M$2342,$D$2)*100, 0)</f>
        <v>0</v>
      </c>
      <c r="G11" s="4">
        <f>IF(  G74&gt;$E$2, SUMIFS(IF($G$2="CPR",'Grid Data'!$V$4:$V$2342,'Grid Data'!$W$4:$W$2342),'Grid Data'!$N$4:$N$2342,$D11,'Grid Data'!$O$4:$O$2342,G$4,'Grid Data'!$M$4:$M$2342,$D$2)*100, 0)</f>
        <v>0</v>
      </c>
      <c r="H11" s="4">
        <f>IF(  H74&gt;$E$2, SUMIFS(IF($G$2="CPR",'Grid Data'!$V$4:$V$2342,'Grid Data'!$W$4:$W$2342),'Grid Data'!$N$4:$N$2342,$D11,'Grid Data'!$O$4:$O$2342,H$4,'Grid Data'!$M$4:$M$2342,$D$2)*100, 0)</f>
        <v>0</v>
      </c>
      <c r="I11" s="4">
        <f>IF(  I74&gt;$E$2, SUMIFS(IF($G$2="CPR",'Grid Data'!$V$4:$V$2342,'Grid Data'!$W$4:$W$2342),'Grid Data'!$N$4:$N$2342,$D11,'Grid Data'!$O$4:$O$2342,I$4,'Grid Data'!$M$4:$M$2342,$D$2)*100, 0)</f>
        <v>0</v>
      </c>
      <c r="J11" s="4">
        <f>IF(  J74&gt;$E$2, SUMIFS(IF($G$2="CPR",'Grid Data'!$V$4:$V$2342,'Grid Data'!$W$4:$W$2342),'Grid Data'!$N$4:$N$2342,$D11,'Grid Data'!$O$4:$O$2342,J$4,'Grid Data'!$M$4:$M$2342,$D$2)*100, 0)</f>
        <v>0</v>
      </c>
      <c r="K11" s="4">
        <f>IF(  K74&gt;$E$2, SUMIFS(IF($G$2="CPR",'Grid Data'!$V$4:$V$2342,'Grid Data'!$W$4:$W$2342),'Grid Data'!$N$4:$N$2342,$D11,'Grid Data'!$O$4:$O$2342,K$4,'Grid Data'!$M$4:$M$2342,$D$2)*100, 0)</f>
        <v>0</v>
      </c>
      <c r="L11" s="4">
        <f>IF(  L74&gt;$E$2, SUMIFS(IF($G$2="CPR",'Grid Data'!$V$4:$V$2342,'Grid Data'!$W$4:$W$2342),'Grid Data'!$N$4:$N$2342,$D11,'Grid Data'!$O$4:$O$2342,L$4,'Grid Data'!$M$4:$M$2342,$D$2)*100, 0)</f>
        <v>0</v>
      </c>
      <c r="M11" s="4">
        <f>IF(  M74&gt;$E$2, SUMIFS(IF($G$2="CPR",'Grid Data'!$V$4:$V$2342,'Grid Data'!$W$4:$W$2342),'Grid Data'!$N$4:$N$2342,$D11,'Grid Data'!$O$4:$O$2342,M$4,'Grid Data'!$M$4:$M$2342,$D$2)*100, 0)</f>
        <v>0</v>
      </c>
      <c r="N11" s="4">
        <f>IF(  N74&gt;$E$2, SUMIFS(IF($G$2="CPR",'Grid Data'!$V$4:$V$2342,'Grid Data'!$W$4:$W$2342),'Grid Data'!$N$4:$N$2342,$D11,'Grid Data'!$O$4:$O$2342,N$4,'Grid Data'!$M$4:$M$2342,$D$2)*100, 0)</f>
        <v>0</v>
      </c>
      <c r="O11" s="4">
        <f>IF(  O74&gt;$E$2, SUMIFS(IF($G$2="CPR",'Grid Data'!$V$4:$V$2342,'Grid Data'!$W$4:$W$2342),'Grid Data'!$N$4:$N$2342,$D11,'Grid Data'!$O$4:$O$2342,O$4,'Grid Data'!$M$4:$M$2342,$D$2)*100, 0)</f>
        <v>0</v>
      </c>
      <c r="P11" s="4">
        <f>IF(  P74&gt;$E$2, SUMIFS(IF($G$2="CPR",'Grid Data'!$V$4:$V$2342,'Grid Data'!$W$4:$W$2342),'Grid Data'!$N$4:$N$2342,$D11,'Grid Data'!$O$4:$O$2342,P$4,'Grid Data'!$M$4:$M$2342,$D$2)*100, 0)</f>
        <v>0</v>
      </c>
      <c r="Q11" s="4">
        <f>IF(  Q74&gt;$E$2, SUMIFS(IF($G$2="CPR",'Grid Data'!$V$4:$V$2342,'Grid Data'!$W$4:$W$2342),'Grid Data'!$N$4:$N$2342,$D11,'Grid Data'!$O$4:$O$2342,Q$4,'Grid Data'!$M$4:$M$2342,$D$2)*100, 0)</f>
        <v>0</v>
      </c>
      <c r="R11" s="4">
        <f>IF(  R74&gt;$E$2, SUMIFS(IF($G$2="CPR",'Grid Data'!$V$4:$V$2342,'Grid Data'!$W$4:$W$2342),'Grid Data'!$N$4:$N$2342,$D11,'Grid Data'!$O$4:$O$2342,R$4,'Grid Data'!$M$4:$M$2342,$D$2)*100, 0)</f>
        <v>0</v>
      </c>
      <c r="S11" s="4">
        <f>IF(  S74&gt;$E$2, SUMIFS(IF($G$2="CPR",'Grid Data'!$V$4:$V$2342,'Grid Data'!$W$4:$W$2342),'Grid Data'!$N$4:$N$2342,$D11,'Grid Data'!$O$4:$O$2342,S$4,'Grid Data'!$M$4:$M$2342,$D$2)*100, 0)</f>
        <v>0</v>
      </c>
      <c r="T11" s="4">
        <f>IF(  T74&gt;$E$2, SUMIFS(IF($G$2="CPR",'Grid Data'!$V$4:$V$2342,'Grid Data'!$W$4:$W$2342),'Grid Data'!$N$4:$N$2342,$D11,'Grid Data'!$O$4:$O$2342,T$4,'Grid Data'!$M$4:$M$2342,$D$2)*100, 0)</f>
        <v>5.8603000000000005</v>
      </c>
      <c r="U11" s="4">
        <f>IF(  U74&gt;$E$2, SUMIFS(IF($G$2="CPR",'Grid Data'!$V$4:$V$2342,'Grid Data'!$W$4:$W$2342),'Grid Data'!$N$4:$N$2342,$D11,'Grid Data'!$O$4:$O$2342,U$4,'Grid Data'!$M$4:$M$2342,$D$2)*100, 0)</f>
        <v>6.1245000000000003</v>
      </c>
      <c r="V11" s="4">
        <f>IF(  V74&gt;$E$2, SUMIFS(IF($G$2="CPR",'Grid Data'!$V$4:$V$2342,'Grid Data'!$W$4:$W$2342),'Grid Data'!$N$4:$N$2342,$D11,'Grid Data'!$O$4:$O$2342,V$4,'Grid Data'!$M$4:$M$2342,$D$2)*100, 0)</f>
        <v>6.3923999999999994</v>
      </c>
      <c r="W11" s="4">
        <f>IF(  W74&gt;$E$2, SUMIFS(IF($G$2="CPR",'Grid Data'!$V$4:$V$2342,'Grid Data'!$W$4:$W$2342),'Grid Data'!$N$4:$N$2342,$D11,'Grid Data'!$O$4:$O$2342,W$4,'Grid Data'!$M$4:$M$2342,$D$2)*100, 0)</f>
        <v>6.8533999999999997</v>
      </c>
      <c r="X11" s="4">
        <f>IF(  X74&gt;$E$2, SUMIFS(IF($G$2="CPR",'Grid Data'!$V$4:$V$2342,'Grid Data'!$W$4:$W$2342),'Grid Data'!$N$4:$N$2342,$D11,'Grid Data'!$O$4:$O$2342,X$4,'Grid Data'!$M$4:$M$2342,$D$2)*100, 0)</f>
        <v>6.1818999999999997</v>
      </c>
      <c r="Y11" s="4">
        <f>IF(  Y74&gt;$E$2, SUMIFS(IF($G$2="CPR",'Grid Data'!$V$4:$V$2342,'Grid Data'!$W$4:$W$2342),'Grid Data'!$N$4:$N$2342,$D11,'Grid Data'!$O$4:$O$2342,Y$4,'Grid Data'!$M$4:$M$2342,$D$2)*100, 0)</f>
        <v>5.7690999999999999</v>
      </c>
      <c r="Z11" s="4">
        <f>IF(  Z74&gt;$E$2, SUMIFS(IF($G$2="CPR",'Grid Data'!$V$4:$V$2342,'Grid Data'!$W$4:$W$2342),'Grid Data'!$N$4:$N$2342,$D11,'Grid Data'!$O$4:$O$2342,Z$4,'Grid Data'!$M$4:$M$2342,$D$2)*100, 0)</f>
        <v>4.8765999999999998</v>
      </c>
      <c r="AA11" s="4">
        <f>IF(  AA74&gt;$E$2, SUMIFS(IF($G$2="CPR",'Grid Data'!$V$4:$V$2342,'Grid Data'!$W$4:$W$2342),'Grid Data'!$N$4:$N$2342,$D11,'Grid Data'!$O$4:$O$2342,AA$4,'Grid Data'!$M$4:$M$2342,$D$2)*100, 0)</f>
        <v>6.3125</v>
      </c>
      <c r="AB11" s="4">
        <f>IF(  AB74&gt;$E$2, SUMIFS(IF($G$2="CPR",'Grid Data'!$V$4:$V$2342,'Grid Data'!$W$4:$W$2342),'Grid Data'!$N$4:$N$2342,$D11,'Grid Data'!$O$4:$O$2342,AB$4,'Grid Data'!$M$4:$M$2342,$D$2)*100, 0)</f>
        <v>5.5072999999999999</v>
      </c>
      <c r="AC11" s="4">
        <f>IF(  AC74&gt;$E$2, SUMIFS(IF($G$2="CPR",'Grid Data'!$V$4:$V$2342,'Grid Data'!$W$4:$W$2342),'Grid Data'!$N$4:$N$2342,$D11,'Grid Data'!$O$4:$O$2342,AC$4,'Grid Data'!$M$4:$M$2342,$D$2)*100, 0)</f>
        <v>4.8174000000000001</v>
      </c>
      <c r="AD11" s="4">
        <f>IF(  AD74&gt;$E$2, SUMIFS(IF($G$2="CPR",'Grid Data'!$V$4:$V$2342,'Grid Data'!$W$4:$W$2342),'Grid Data'!$N$4:$N$2342,$D11,'Grid Data'!$O$4:$O$2342,AD$4,'Grid Data'!$M$4:$M$2342,$D$2)*100, 0)</f>
        <v>4.0392000000000001</v>
      </c>
      <c r="AE11" s="4">
        <f>IF(  AE74&gt;$E$2, SUMIFS(IF($G$2="CPR",'Grid Data'!$V$4:$V$2342,'Grid Data'!$W$4:$W$2342),'Grid Data'!$N$4:$N$2342,$D11,'Grid Data'!$O$4:$O$2342,AE$4,'Grid Data'!$M$4:$M$2342,$D$2)*100, 0)</f>
        <v>0</v>
      </c>
      <c r="AF11" s="4">
        <f>IF(  AF74&gt;$E$2, SUMIFS(IF($G$2="CPR",'Grid Data'!$V$4:$V$2342,'Grid Data'!$W$4:$W$2342),'Grid Data'!$N$4:$N$2342,$D11,'Grid Data'!$O$4:$O$2342,AF$4,'Grid Data'!$M$4:$M$2342,$D$2)*100, 0)</f>
        <v>0</v>
      </c>
      <c r="AG11" s="4">
        <f>IF(  AG74&gt;$E$2, SUMIFS(IF($G$2="CPR",'Grid Data'!$V$4:$V$2342,'Grid Data'!$W$4:$W$2342),'Grid Data'!$N$4:$N$2342,$D11,'Grid Data'!$O$4:$O$2342,AG$4,'Grid Data'!$M$4:$M$2342,$D$2)*100, 0)</f>
        <v>0</v>
      </c>
      <c r="AH11" s="4">
        <f>IF(  AH74&gt;$E$2, SUMIFS(IF($G$2="CPR",'Grid Data'!$V$4:$V$2342,'Grid Data'!$W$4:$W$2342),'Grid Data'!$N$4:$N$2342,$D11,'Grid Data'!$O$4:$O$2342,AH$4,'Grid Data'!$M$4:$M$2342,$D$2)*100, 0)</f>
        <v>0</v>
      </c>
    </row>
    <row r="12" spans="4:34" x14ac:dyDescent="0.35">
      <c r="D12">
        <v>3750</v>
      </c>
      <c r="E12" s="4">
        <f>IF(  E75&gt;$E$2, SUMIFS(IF($G$2="CPR",'Grid Data'!$V$4:$V$2342,'Grid Data'!$W$4:$W$2342),'Grid Data'!$N$4:$N$2342,$D12,'Grid Data'!$O$4:$O$2342,E$4,'Grid Data'!$M$4:$M$2342,$D$2)*100, 0)</f>
        <v>0</v>
      </c>
      <c r="F12" s="4">
        <f>IF(  F75&gt;$E$2, SUMIFS(IF($G$2="CPR",'Grid Data'!$V$4:$V$2342,'Grid Data'!$W$4:$W$2342),'Grid Data'!$N$4:$N$2342,$D12,'Grid Data'!$O$4:$O$2342,F$4,'Grid Data'!$M$4:$M$2342,$D$2)*100, 0)</f>
        <v>0</v>
      </c>
      <c r="G12" s="4">
        <f>IF(  G75&gt;$E$2, SUMIFS(IF($G$2="CPR",'Grid Data'!$V$4:$V$2342,'Grid Data'!$W$4:$W$2342),'Grid Data'!$N$4:$N$2342,$D12,'Grid Data'!$O$4:$O$2342,G$4,'Grid Data'!$M$4:$M$2342,$D$2)*100, 0)</f>
        <v>0</v>
      </c>
      <c r="H12" s="4">
        <f>IF(  H75&gt;$E$2, SUMIFS(IF($G$2="CPR",'Grid Data'!$V$4:$V$2342,'Grid Data'!$W$4:$W$2342),'Grid Data'!$N$4:$N$2342,$D12,'Grid Data'!$O$4:$O$2342,H$4,'Grid Data'!$M$4:$M$2342,$D$2)*100, 0)</f>
        <v>0</v>
      </c>
      <c r="I12" s="4">
        <f>IF(  I75&gt;$E$2, SUMIFS(IF($G$2="CPR",'Grid Data'!$V$4:$V$2342,'Grid Data'!$W$4:$W$2342),'Grid Data'!$N$4:$N$2342,$D12,'Grid Data'!$O$4:$O$2342,I$4,'Grid Data'!$M$4:$M$2342,$D$2)*100, 0)</f>
        <v>0</v>
      </c>
      <c r="J12" s="4">
        <f>IF(  J75&gt;$E$2, SUMIFS(IF($G$2="CPR",'Grid Data'!$V$4:$V$2342,'Grid Data'!$W$4:$W$2342),'Grid Data'!$N$4:$N$2342,$D12,'Grid Data'!$O$4:$O$2342,J$4,'Grid Data'!$M$4:$M$2342,$D$2)*100, 0)</f>
        <v>0</v>
      </c>
      <c r="K12" s="4">
        <f>IF(  K75&gt;$E$2, SUMIFS(IF($G$2="CPR",'Grid Data'!$V$4:$V$2342,'Grid Data'!$W$4:$W$2342),'Grid Data'!$N$4:$N$2342,$D12,'Grid Data'!$O$4:$O$2342,K$4,'Grid Data'!$M$4:$M$2342,$D$2)*100, 0)</f>
        <v>0</v>
      </c>
      <c r="L12" s="4">
        <f>IF(  L75&gt;$E$2, SUMIFS(IF($G$2="CPR",'Grid Data'!$V$4:$V$2342,'Grid Data'!$W$4:$W$2342),'Grid Data'!$N$4:$N$2342,$D12,'Grid Data'!$O$4:$O$2342,L$4,'Grid Data'!$M$4:$M$2342,$D$2)*100, 0)</f>
        <v>0</v>
      </c>
      <c r="M12" s="4">
        <f>IF(  M75&gt;$E$2, SUMIFS(IF($G$2="CPR",'Grid Data'!$V$4:$V$2342,'Grid Data'!$W$4:$W$2342),'Grid Data'!$N$4:$N$2342,$D12,'Grid Data'!$O$4:$O$2342,M$4,'Grid Data'!$M$4:$M$2342,$D$2)*100, 0)</f>
        <v>0</v>
      </c>
      <c r="N12" s="4">
        <f>IF(  N75&gt;$E$2, SUMIFS(IF($G$2="CPR",'Grid Data'!$V$4:$V$2342,'Grid Data'!$W$4:$W$2342),'Grid Data'!$N$4:$N$2342,$D12,'Grid Data'!$O$4:$O$2342,N$4,'Grid Data'!$M$4:$M$2342,$D$2)*100, 0)</f>
        <v>2.7942</v>
      </c>
      <c r="O12" s="4">
        <f>IF(  O75&gt;$E$2, SUMIFS(IF($G$2="CPR",'Grid Data'!$V$4:$V$2342,'Grid Data'!$W$4:$W$2342),'Grid Data'!$N$4:$N$2342,$D12,'Grid Data'!$O$4:$O$2342,O$4,'Grid Data'!$M$4:$M$2342,$D$2)*100, 0)</f>
        <v>0</v>
      </c>
      <c r="P12" s="4">
        <f>IF(  P75&gt;$E$2, SUMIFS(IF($G$2="CPR",'Grid Data'!$V$4:$V$2342,'Grid Data'!$W$4:$W$2342),'Grid Data'!$N$4:$N$2342,$D12,'Grid Data'!$O$4:$O$2342,P$4,'Grid Data'!$M$4:$M$2342,$D$2)*100, 0)</f>
        <v>0</v>
      </c>
      <c r="Q12" s="4">
        <f>IF(  Q75&gt;$E$2, SUMIFS(IF($G$2="CPR",'Grid Data'!$V$4:$V$2342,'Grid Data'!$W$4:$W$2342),'Grid Data'!$N$4:$N$2342,$D12,'Grid Data'!$O$4:$O$2342,Q$4,'Grid Data'!$M$4:$M$2342,$D$2)*100, 0)</f>
        <v>0</v>
      </c>
      <c r="R12" s="4">
        <f>IF(  R75&gt;$E$2, SUMIFS(IF($G$2="CPR",'Grid Data'!$V$4:$V$2342,'Grid Data'!$W$4:$W$2342),'Grid Data'!$N$4:$N$2342,$D12,'Grid Data'!$O$4:$O$2342,R$4,'Grid Data'!$M$4:$M$2342,$D$2)*100, 0)</f>
        <v>0</v>
      </c>
      <c r="S12" s="4">
        <f>IF(  S75&gt;$E$2, SUMIFS(IF($G$2="CPR",'Grid Data'!$V$4:$V$2342,'Grid Data'!$W$4:$W$2342),'Grid Data'!$N$4:$N$2342,$D12,'Grid Data'!$O$4:$O$2342,S$4,'Grid Data'!$M$4:$M$2342,$D$2)*100, 0)</f>
        <v>5.7605000000000004</v>
      </c>
      <c r="T12" s="4">
        <f>IF(  T75&gt;$E$2, SUMIFS(IF($G$2="CPR",'Grid Data'!$V$4:$V$2342,'Grid Data'!$W$4:$W$2342),'Grid Data'!$N$4:$N$2342,$D12,'Grid Data'!$O$4:$O$2342,T$4,'Grid Data'!$M$4:$M$2342,$D$2)*100, 0)</f>
        <v>5.2999000000000001</v>
      </c>
      <c r="U12" s="4">
        <f>IF(  U75&gt;$E$2, SUMIFS(IF($G$2="CPR",'Grid Data'!$V$4:$V$2342,'Grid Data'!$W$4:$W$2342),'Grid Data'!$N$4:$N$2342,$D12,'Grid Data'!$O$4:$O$2342,U$4,'Grid Data'!$M$4:$M$2342,$D$2)*100, 0)</f>
        <v>6.1928000000000001</v>
      </c>
      <c r="V12" s="4">
        <f>IF(  V75&gt;$E$2, SUMIFS(IF($G$2="CPR",'Grid Data'!$V$4:$V$2342,'Grid Data'!$W$4:$W$2342),'Grid Data'!$N$4:$N$2342,$D12,'Grid Data'!$O$4:$O$2342,V$4,'Grid Data'!$M$4:$M$2342,$D$2)*100, 0)</f>
        <v>6.0746000000000002</v>
      </c>
      <c r="W12" s="4">
        <f>IF(  W75&gt;$E$2, SUMIFS(IF($G$2="CPR",'Grid Data'!$V$4:$V$2342,'Grid Data'!$W$4:$W$2342),'Grid Data'!$N$4:$N$2342,$D12,'Grid Data'!$O$4:$O$2342,W$4,'Grid Data'!$M$4:$M$2342,$D$2)*100, 0)</f>
        <v>6.7738000000000005</v>
      </c>
      <c r="X12" s="4">
        <f>IF(  X75&gt;$E$2, SUMIFS(IF($G$2="CPR",'Grid Data'!$V$4:$V$2342,'Grid Data'!$W$4:$W$2342),'Grid Data'!$N$4:$N$2342,$D12,'Grid Data'!$O$4:$O$2342,X$4,'Grid Data'!$M$4:$M$2342,$D$2)*100, 0)</f>
        <v>6.780899999999999</v>
      </c>
      <c r="Y12" s="4">
        <f>IF(  Y75&gt;$E$2, SUMIFS(IF($G$2="CPR",'Grid Data'!$V$4:$V$2342,'Grid Data'!$W$4:$W$2342),'Grid Data'!$N$4:$N$2342,$D12,'Grid Data'!$O$4:$O$2342,Y$4,'Grid Data'!$M$4:$M$2342,$D$2)*100, 0)</f>
        <v>5.1770999999999994</v>
      </c>
      <c r="Z12" s="4">
        <f>IF(  Z75&gt;$E$2, SUMIFS(IF($G$2="CPR",'Grid Data'!$V$4:$V$2342,'Grid Data'!$W$4:$W$2342),'Grid Data'!$N$4:$N$2342,$D12,'Grid Data'!$O$4:$O$2342,Z$4,'Grid Data'!$M$4:$M$2342,$D$2)*100, 0)</f>
        <v>6.1237000000000004</v>
      </c>
      <c r="AA12" s="4">
        <f>IF(  AA75&gt;$E$2, SUMIFS(IF($G$2="CPR",'Grid Data'!$V$4:$V$2342,'Grid Data'!$W$4:$W$2342),'Grid Data'!$N$4:$N$2342,$D12,'Grid Data'!$O$4:$O$2342,AA$4,'Grid Data'!$M$4:$M$2342,$D$2)*100, 0)</f>
        <v>6.2891000000000004</v>
      </c>
      <c r="AB12" s="4">
        <f>IF(  AB75&gt;$E$2, SUMIFS(IF($G$2="CPR",'Grid Data'!$V$4:$V$2342,'Grid Data'!$W$4:$W$2342),'Grid Data'!$N$4:$N$2342,$D12,'Grid Data'!$O$4:$O$2342,AB$4,'Grid Data'!$M$4:$M$2342,$D$2)*100, 0)</f>
        <v>5.8620999999999999</v>
      </c>
      <c r="AC12" s="4">
        <f>IF(  AC75&gt;$E$2, SUMIFS(IF($G$2="CPR",'Grid Data'!$V$4:$V$2342,'Grid Data'!$W$4:$W$2342),'Grid Data'!$N$4:$N$2342,$D12,'Grid Data'!$O$4:$O$2342,AC$4,'Grid Data'!$M$4:$M$2342,$D$2)*100, 0)</f>
        <v>5.3548</v>
      </c>
      <c r="AD12" s="4">
        <f>IF(  AD75&gt;$E$2, SUMIFS(IF($G$2="CPR",'Grid Data'!$V$4:$V$2342,'Grid Data'!$W$4:$W$2342),'Grid Data'!$N$4:$N$2342,$D12,'Grid Data'!$O$4:$O$2342,AD$4,'Grid Data'!$M$4:$M$2342,$D$2)*100, 0)</f>
        <v>4.2803000000000004</v>
      </c>
      <c r="AE12" s="4">
        <f>IF(  AE75&gt;$E$2, SUMIFS(IF($G$2="CPR",'Grid Data'!$V$4:$V$2342,'Grid Data'!$W$4:$W$2342),'Grid Data'!$N$4:$N$2342,$D12,'Grid Data'!$O$4:$O$2342,AE$4,'Grid Data'!$M$4:$M$2342,$D$2)*100, 0)</f>
        <v>0</v>
      </c>
      <c r="AF12" s="4">
        <f>IF(  AF75&gt;$E$2, SUMIFS(IF($G$2="CPR",'Grid Data'!$V$4:$V$2342,'Grid Data'!$W$4:$W$2342),'Grid Data'!$N$4:$N$2342,$D12,'Grid Data'!$O$4:$O$2342,AF$4,'Grid Data'!$M$4:$M$2342,$D$2)*100, 0)</f>
        <v>0</v>
      </c>
      <c r="AG12" s="4">
        <f>IF(  AG75&gt;$E$2, SUMIFS(IF($G$2="CPR",'Grid Data'!$V$4:$V$2342,'Grid Data'!$W$4:$W$2342),'Grid Data'!$N$4:$N$2342,$D12,'Grid Data'!$O$4:$O$2342,AG$4,'Grid Data'!$M$4:$M$2342,$D$2)*100, 0)</f>
        <v>0</v>
      </c>
      <c r="AH12" s="4">
        <f>IF(  AH75&gt;$E$2, SUMIFS(IF($G$2="CPR",'Grid Data'!$V$4:$V$2342,'Grid Data'!$W$4:$W$2342),'Grid Data'!$N$4:$N$2342,$D12,'Grid Data'!$O$4:$O$2342,AH$4,'Grid Data'!$M$4:$M$2342,$D$2)*100, 0)</f>
        <v>0</v>
      </c>
    </row>
    <row r="13" spans="4:34" x14ac:dyDescent="0.35">
      <c r="D13">
        <v>4000</v>
      </c>
      <c r="E13" s="4">
        <f>IF(  E76&gt;$E$2, SUMIFS(IF($G$2="CPR",'Grid Data'!$V$4:$V$2342,'Grid Data'!$W$4:$W$2342),'Grid Data'!$N$4:$N$2342,$D13,'Grid Data'!$O$4:$O$2342,E$4,'Grid Data'!$M$4:$M$2342,$D$2)*100, 0)</f>
        <v>0.13969999999999999</v>
      </c>
      <c r="F13" s="4">
        <f>IF(  F76&gt;$E$2, SUMIFS(IF($G$2="CPR",'Grid Data'!$V$4:$V$2342,'Grid Data'!$W$4:$W$2342),'Grid Data'!$N$4:$N$2342,$D13,'Grid Data'!$O$4:$O$2342,F$4,'Grid Data'!$M$4:$M$2342,$D$2)*100, 0)</f>
        <v>0</v>
      </c>
      <c r="G13" s="4">
        <f>IF(  G76&gt;$E$2, SUMIFS(IF($G$2="CPR",'Grid Data'!$V$4:$V$2342,'Grid Data'!$W$4:$W$2342),'Grid Data'!$N$4:$N$2342,$D13,'Grid Data'!$O$4:$O$2342,G$4,'Grid Data'!$M$4:$M$2342,$D$2)*100, 0)</f>
        <v>0</v>
      </c>
      <c r="H13" s="4">
        <f>IF(  H76&gt;$E$2, SUMIFS(IF($G$2="CPR",'Grid Data'!$V$4:$V$2342,'Grid Data'!$W$4:$W$2342),'Grid Data'!$N$4:$N$2342,$D13,'Grid Data'!$O$4:$O$2342,H$4,'Grid Data'!$M$4:$M$2342,$D$2)*100, 0)</f>
        <v>0.56429999999999991</v>
      </c>
      <c r="I13" s="4">
        <f>IF(  I76&gt;$E$2, SUMIFS(IF($G$2="CPR",'Grid Data'!$V$4:$V$2342,'Grid Data'!$W$4:$W$2342),'Grid Data'!$N$4:$N$2342,$D13,'Grid Data'!$O$4:$O$2342,I$4,'Grid Data'!$M$4:$M$2342,$D$2)*100, 0)</f>
        <v>1.2577</v>
      </c>
      <c r="J13" s="4">
        <f>IF(  J76&gt;$E$2, SUMIFS(IF($G$2="CPR",'Grid Data'!$V$4:$V$2342,'Grid Data'!$W$4:$W$2342),'Grid Data'!$N$4:$N$2342,$D13,'Grid Data'!$O$4:$O$2342,J$4,'Grid Data'!$M$4:$M$2342,$D$2)*100, 0)</f>
        <v>0</v>
      </c>
      <c r="K13" s="4">
        <f>IF(  K76&gt;$E$2, SUMIFS(IF($G$2="CPR",'Grid Data'!$V$4:$V$2342,'Grid Data'!$W$4:$W$2342),'Grid Data'!$N$4:$N$2342,$D13,'Grid Data'!$O$4:$O$2342,K$4,'Grid Data'!$M$4:$M$2342,$D$2)*100, 0)</f>
        <v>0</v>
      </c>
      <c r="L13" s="4">
        <f>IF(  L76&gt;$E$2, SUMIFS(IF($G$2="CPR",'Grid Data'!$V$4:$V$2342,'Grid Data'!$W$4:$W$2342),'Grid Data'!$N$4:$N$2342,$D13,'Grid Data'!$O$4:$O$2342,L$4,'Grid Data'!$M$4:$M$2342,$D$2)*100, 0)</f>
        <v>0</v>
      </c>
      <c r="M13" s="4">
        <f>IF(  M76&gt;$E$2, SUMIFS(IF($G$2="CPR",'Grid Data'!$V$4:$V$2342,'Grid Data'!$W$4:$W$2342),'Grid Data'!$N$4:$N$2342,$D13,'Grid Data'!$O$4:$O$2342,M$4,'Grid Data'!$M$4:$M$2342,$D$2)*100, 0)</f>
        <v>0.57010000000000005</v>
      </c>
      <c r="N13" s="4">
        <f>IF(  N76&gt;$E$2, SUMIFS(IF($G$2="CPR",'Grid Data'!$V$4:$V$2342,'Grid Data'!$W$4:$W$2342),'Grid Data'!$N$4:$N$2342,$D13,'Grid Data'!$O$4:$O$2342,N$4,'Grid Data'!$M$4:$M$2342,$D$2)*100, 0)</f>
        <v>0.81259999999999999</v>
      </c>
      <c r="O13" s="4">
        <f>IF(  O76&gt;$E$2, SUMIFS(IF($G$2="CPR",'Grid Data'!$V$4:$V$2342,'Grid Data'!$W$4:$W$2342),'Grid Data'!$N$4:$N$2342,$D13,'Grid Data'!$O$4:$O$2342,O$4,'Grid Data'!$M$4:$M$2342,$D$2)*100, 0)</f>
        <v>0</v>
      </c>
      <c r="P13" s="4">
        <f>IF(  P76&gt;$E$2, SUMIFS(IF($G$2="CPR",'Grid Data'!$V$4:$V$2342,'Grid Data'!$W$4:$W$2342),'Grid Data'!$N$4:$N$2342,$D13,'Grid Data'!$O$4:$O$2342,P$4,'Grid Data'!$M$4:$M$2342,$D$2)*100, 0)</f>
        <v>0</v>
      </c>
      <c r="Q13" s="4">
        <f>IF(  Q76&gt;$E$2, SUMIFS(IF($G$2="CPR",'Grid Data'!$V$4:$V$2342,'Grid Data'!$W$4:$W$2342),'Grid Data'!$N$4:$N$2342,$D13,'Grid Data'!$O$4:$O$2342,Q$4,'Grid Data'!$M$4:$M$2342,$D$2)*100, 0)</f>
        <v>0</v>
      </c>
      <c r="R13" s="4">
        <f>IF(  R76&gt;$E$2, SUMIFS(IF($G$2="CPR",'Grid Data'!$V$4:$V$2342,'Grid Data'!$W$4:$W$2342),'Grid Data'!$N$4:$N$2342,$D13,'Grid Data'!$O$4:$O$2342,R$4,'Grid Data'!$M$4:$M$2342,$D$2)*100, 0)</f>
        <v>0</v>
      </c>
      <c r="S13" s="4">
        <f>IF(  S76&gt;$E$2, SUMIFS(IF($G$2="CPR",'Grid Data'!$V$4:$V$2342,'Grid Data'!$W$4:$W$2342),'Grid Data'!$N$4:$N$2342,$D13,'Grid Data'!$O$4:$O$2342,S$4,'Grid Data'!$M$4:$M$2342,$D$2)*100, 0)</f>
        <v>5.1952999999999996</v>
      </c>
      <c r="T13" s="4">
        <f>IF(  T76&gt;$E$2, SUMIFS(IF($G$2="CPR",'Grid Data'!$V$4:$V$2342,'Grid Data'!$W$4:$W$2342),'Grid Data'!$N$4:$N$2342,$D13,'Grid Data'!$O$4:$O$2342,T$4,'Grid Data'!$M$4:$M$2342,$D$2)*100, 0)</f>
        <v>6.3852999999999991</v>
      </c>
      <c r="U13" s="4">
        <f>IF(  U76&gt;$E$2, SUMIFS(IF($G$2="CPR",'Grid Data'!$V$4:$V$2342,'Grid Data'!$W$4:$W$2342),'Grid Data'!$N$4:$N$2342,$D13,'Grid Data'!$O$4:$O$2342,U$4,'Grid Data'!$M$4:$M$2342,$D$2)*100, 0)</f>
        <v>6.7322999999999995</v>
      </c>
      <c r="V13" s="4">
        <f>IF(  V76&gt;$E$2, SUMIFS(IF($G$2="CPR",'Grid Data'!$V$4:$V$2342,'Grid Data'!$W$4:$W$2342),'Grid Data'!$N$4:$N$2342,$D13,'Grid Data'!$O$4:$O$2342,V$4,'Grid Data'!$M$4:$M$2342,$D$2)*100, 0)</f>
        <v>5.9922000000000004</v>
      </c>
      <c r="W13" s="4">
        <f>IF(  W76&gt;$E$2, SUMIFS(IF($G$2="CPR",'Grid Data'!$V$4:$V$2342,'Grid Data'!$W$4:$W$2342),'Grid Data'!$N$4:$N$2342,$D13,'Grid Data'!$O$4:$O$2342,W$4,'Grid Data'!$M$4:$M$2342,$D$2)*100, 0)</f>
        <v>6.9993999999999996</v>
      </c>
      <c r="X13" s="4">
        <f>IF(  X76&gt;$E$2, SUMIFS(IF($G$2="CPR",'Grid Data'!$V$4:$V$2342,'Grid Data'!$W$4:$W$2342),'Grid Data'!$N$4:$N$2342,$D13,'Grid Data'!$O$4:$O$2342,X$4,'Grid Data'!$M$4:$M$2342,$D$2)*100, 0)</f>
        <v>6.6172999999999993</v>
      </c>
      <c r="Y13" s="4">
        <f>IF(  Y76&gt;$E$2, SUMIFS(IF($G$2="CPR",'Grid Data'!$V$4:$V$2342,'Grid Data'!$W$4:$W$2342),'Grid Data'!$N$4:$N$2342,$D13,'Grid Data'!$O$4:$O$2342,Y$4,'Grid Data'!$M$4:$M$2342,$D$2)*100, 0)</f>
        <v>5.2786999999999997</v>
      </c>
      <c r="Z13" s="4">
        <f>IF(  Z76&gt;$E$2, SUMIFS(IF($G$2="CPR",'Grid Data'!$V$4:$V$2342,'Grid Data'!$W$4:$W$2342),'Grid Data'!$N$4:$N$2342,$D13,'Grid Data'!$O$4:$O$2342,Z$4,'Grid Data'!$M$4:$M$2342,$D$2)*100, 0)</f>
        <v>5.9931999999999999</v>
      </c>
      <c r="AA13" s="4">
        <f>IF(  AA76&gt;$E$2, SUMIFS(IF($G$2="CPR",'Grid Data'!$V$4:$V$2342,'Grid Data'!$W$4:$W$2342),'Grid Data'!$N$4:$N$2342,$D13,'Grid Data'!$O$4:$O$2342,AA$4,'Grid Data'!$M$4:$M$2342,$D$2)*100, 0)</f>
        <v>5.907</v>
      </c>
      <c r="AB13" s="4">
        <f>IF(  AB76&gt;$E$2, SUMIFS(IF($G$2="CPR",'Grid Data'!$V$4:$V$2342,'Grid Data'!$W$4:$W$2342),'Grid Data'!$N$4:$N$2342,$D13,'Grid Data'!$O$4:$O$2342,AB$4,'Grid Data'!$M$4:$M$2342,$D$2)*100, 0)</f>
        <v>6.4861000000000004</v>
      </c>
      <c r="AC13" s="4">
        <f>IF(  AC76&gt;$E$2, SUMIFS(IF($G$2="CPR",'Grid Data'!$V$4:$V$2342,'Grid Data'!$W$4:$W$2342),'Grid Data'!$N$4:$N$2342,$D13,'Grid Data'!$O$4:$O$2342,AC$4,'Grid Data'!$M$4:$M$2342,$D$2)*100, 0)</f>
        <v>5.2610999999999999</v>
      </c>
      <c r="AD13" s="4">
        <f>IF(  AD76&gt;$E$2, SUMIFS(IF($G$2="CPR",'Grid Data'!$V$4:$V$2342,'Grid Data'!$W$4:$W$2342),'Grid Data'!$N$4:$N$2342,$D13,'Grid Data'!$O$4:$O$2342,AD$4,'Grid Data'!$M$4:$M$2342,$D$2)*100, 0)</f>
        <v>5.1833</v>
      </c>
      <c r="AE13" s="4">
        <f>IF(  AE76&gt;$E$2, SUMIFS(IF($G$2="CPR",'Grid Data'!$V$4:$V$2342,'Grid Data'!$W$4:$W$2342),'Grid Data'!$N$4:$N$2342,$D13,'Grid Data'!$O$4:$O$2342,AE$4,'Grid Data'!$M$4:$M$2342,$D$2)*100, 0)</f>
        <v>0</v>
      </c>
      <c r="AF13" s="4">
        <f>IF(  AF76&gt;$E$2, SUMIFS(IF($G$2="CPR",'Grid Data'!$V$4:$V$2342,'Grid Data'!$W$4:$W$2342),'Grid Data'!$N$4:$N$2342,$D13,'Grid Data'!$O$4:$O$2342,AF$4,'Grid Data'!$M$4:$M$2342,$D$2)*100, 0)</f>
        <v>0</v>
      </c>
      <c r="AG13" s="4">
        <f>IF(  AG76&gt;$E$2, SUMIFS(IF($G$2="CPR",'Grid Data'!$V$4:$V$2342,'Grid Data'!$W$4:$W$2342),'Grid Data'!$N$4:$N$2342,$D13,'Grid Data'!$O$4:$O$2342,AG$4,'Grid Data'!$M$4:$M$2342,$D$2)*100, 0)</f>
        <v>0</v>
      </c>
      <c r="AH13" s="4">
        <f>IF(  AH76&gt;$E$2, SUMIFS(IF($G$2="CPR",'Grid Data'!$V$4:$V$2342,'Grid Data'!$W$4:$W$2342),'Grid Data'!$N$4:$N$2342,$D13,'Grid Data'!$O$4:$O$2342,AH$4,'Grid Data'!$M$4:$M$2342,$D$2)*100, 0)</f>
        <v>0</v>
      </c>
    </row>
    <row r="14" spans="4:34" x14ac:dyDescent="0.35">
      <c r="D14">
        <v>4250</v>
      </c>
      <c r="E14" s="4">
        <f>IF(  E77&gt;$E$2, SUMIFS(IF($G$2="CPR",'Grid Data'!$V$4:$V$2342,'Grid Data'!$W$4:$W$2342),'Grid Data'!$N$4:$N$2342,$D14,'Grid Data'!$O$4:$O$2342,E$4,'Grid Data'!$M$4:$M$2342,$D$2)*100, 0)</f>
        <v>0</v>
      </c>
      <c r="F14" s="4">
        <f>IF(  F77&gt;$E$2, SUMIFS(IF($G$2="CPR",'Grid Data'!$V$4:$V$2342,'Grid Data'!$W$4:$W$2342),'Grid Data'!$N$4:$N$2342,$D14,'Grid Data'!$O$4:$O$2342,F$4,'Grid Data'!$M$4:$M$2342,$D$2)*100, 0)</f>
        <v>0</v>
      </c>
      <c r="G14" s="4">
        <f>IF(  G77&gt;$E$2, SUMIFS(IF($G$2="CPR",'Grid Data'!$V$4:$V$2342,'Grid Data'!$W$4:$W$2342),'Grid Data'!$N$4:$N$2342,$D14,'Grid Data'!$O$4:$O$2342,G$4,'Grid Data'!$M$4:$M$2342,$D$2)*100, 0)</f>
        <v>0</v>
      </c>
      <c r="H14" s="4">
        <f>IF(  H77&gt;$E$2, SUMIFS(IF($G$2="CPR",'Grid Data'!$V$4:$V$2342,'Grid Data'!$W$4:$W$2342),'Grid Data'!$N$4:$N$2342,$D14,'Grid Data'!$O$4:$O$2342,H$4,'Grid Data'!$M$4:$M$2342,$D$2)*100, 0)</f>
        <v>0</v>
      </c>
      <c r="I14" s="4">
        <f>IF(  I77&gt;$E$2, SUMIFS(IF($G$2="CPR",'Grid Data'!$V$4:$V$2342,'Grid Data'!$W$4:$W$2342),'Grid Data'!$N$4:$N$2342,$D14,'Grid Data'!$O$4:$O$2342,I$4,'Grid Data'!$M$4:$M$2342,$D$2)*100, 0)</f>
        <v>0</v>
      </c>
      <c r="J14" s="4">
        <f>IF(  J77&gt;$E$2, SUMIFS(IF($G$2="CPR",'Grid Data'!$V$4:$V$2342,'Grid Data'!$W$4:$W$2342),'Grid Data'!$N$4:$N$2342,$D14,'Grid Data'!$O$4:$O$2342,J$4,'Grid Data'!$M$4:$M$2342,$D$2)*100, 0)</f>
        <v>0</v>
      </c>
      <c r="K14" s="4">
        <f>IF(  K77&gt;$E$2, SUMIFS(IF($G$2="CPR",'Grid Data'!$V$4:$V$2342,'Grid Data'!$W$4:$W$2342),'Grid Data'!$N$4:$N$2342,$D14,'Grid Data'!$O$4:$O$2342,K$4,'Grid Data'!$M$4:$M$2342,$D$2)*100, 0)</f>
        <v>0</v>
      </c>
      <c r="L14" s="4">
        <f>IF(  L77&gt;$E$2, SUMIFS(IF($G$2="CPR",'Grid Data'!$V$4:$V$2342,'Grid Data'!$W$4:$W$2342),'Grid Data'!$N$4:$N$2342,$D14,'Grid Data'!$O$4:$O$2342,L$4,'Grid Data'!$M$4:$M$2342,$D$2)*100, 0)</f>
        <v>0</v>
      </c>
      <c r="M14" s="4">
        <f>IF(  M77&gt;$E$2, SUMIFS(IF($G$2="CPR",'Grid Data'!$V$4:$V$2342,'Grid Data'!$W$4:$W$2342),'Grid Data'!$N$4:$N$2342,$D14,'Grid Data'!$O$4:$O$2342,M$4,'Grid Data'!$M$4:$M$2342,$D$2)*100, 0)</f>
        <v>0.99439999999999995</v>
      </c>
      <c r="N14" s="4">
        <f>IF(  N77&gt;$E$2, SUMIFS(IF($G$2="CPR",'Grid Data'!$V$4:$V$2342,'Grid Data'!$W$4:$W$2342),'Grid Data'!$N$4:$N$2342,$D14,'Grid Data'!$O$4:$O$2342,N$4,'Grid Data'!$M$4:$M$2342,$D$2)*100, 0)</f>
        <v>1.1994</v>
      </c>
      <c r="O14" s="4">
        <f>IF(  O77&gt;$E$2, SUMIFS(IF($G$2="CPR",'Grid Data'!$V$4:$V$2342,'Grid Data'!$W$4:$W$2342),'Grid Data'!$N$4:$N$2342,$D14,'Grid Data'!$O$4:$O$2342,O$4,'Grid Data'!$M$4:$M$2342,$D$2)*100, 0)</f>
        <v>0</v>
      </c>
      <c r="P14" s="4">
        <f>IF(  P77&gt;$E$2, SUMIFS(IF($G$2="CPR",'Grid Data'!$V$4:$V$2342,'Grid Data'!$W$4:$W$2342),'Grid Data'!$N$4:$N$2342,$D14,'Grid Data'!$O$4:$O$2342,P$4,'Grid Data'!$M$4:$M$2342,$D$2)*100, 0)</f>
        <v>2.9649999999999999</v>
      </c>
      <c r="Q14" s="4">
        <f>IF(  Q77&gt;$E$2, SUMIFS(IF($G$2="CPR",'Grid Data'!$V$4:$V$2342,'Grid Data'!$W$4:$W$2342),'Grid Data'!$N$4:$N$2342,$D14,'Grid Data'!$O$4:$O$2342,Q$4,'Grid Data'!$M$4:$M$2342,$D$2)*100, 0)</f>
        <v>3.3403</v>
      </c>
      <c r="R14" s="4">
        <f>IF(  R77&gt;$E$2, SUMIFS(IF($G$2="CPR",'Grid Data'!$V$4:$V$2342,'Grid Data'!$W$4:$W$2342),'Grid Data'!$N$4:$N$2342,$D14,'Grid Data'!$O$4:$O$2342,R$4,'Grid Data'!$M$4:$M$2342,$D$2)*100, 0)</f>
        <v>1.9218999999999999</v>
      </c>
      <c r="S14" s="4">
        <f>IF(  S77&gt;$E$2, SUMIFS(IF($G$2="CPR",'Grid Data'!$V$4:$V$2342,'Grid Data'!$W$4:$W$2342),'Grid Data'!$N$4:$N$2342,$D14,'Grid Data'!$O$4:$O$2342,S$4,'Grid Data'!$M$4:$M$2342,$D$2)*100, 0)</f>
        <v>5.8342000000000001</v>
      </c>
      <c r="T14" s="4">
        <f>IF(  T77&gt;$E$2, SUMIFS(IF($G$2="CPR",'Grid Data'!$V$4:$V$2342,'Grid Data'!$W$4:$W$2342),'Grid Data'!$N$4:$N$2342,$D14,'Grid Data'!$O$4:$O$2342,T$4,'Grid Data'!$M$4:$M$2342,$D$2)*100, 0)</f>
        <v>6.7495000000000003</v>
      </c>
      <c r="U14" s="4">
        <f>IF(  U77&gt;$E$2, SUMIFS(IF($G$2="CPR",'Grid Data'!$V$4:$V$2342,'Grid Data'!$W$4:$W$2342),'Grid Data'!$N$4:$N$2342,$D14,'Grid Data'!$O$4:$O$2342,U$4,'Grid Data'!$M$4:$M$2342,$D$2)*100, 0)</f>
        <v>6.3563999999999998</v>
      </c>
      <c r="V14" s="4">
        <f>IF(  V77&gt;$E$2, SUMIFS(IF($G$2="CPR",'Grid Data'!$V$4:$V$2342,'Grid Data'!$W$4:$W$2342),'Grid Data'!$N$4:$N$2342,$D14,'Grid Data'!$O$4:$O$2342,V$4,'Grid Data'!$M$4:$M$2342,$D$2)*100, 0)</f>
        <v>7.7715999999999994</v>
      </c>
      <c r="W14" s="4">
        <f>IF(  W77&gt;$E$2, SUMIFS(IF($G$2="CPR",'Grid Data'!$V$4:$V$2342,'Grid Data'!$W$4:$W$2342),'Grid Data'!$N$4:$N$2342,$D14,'Grid Data'!$O$4:$O$2342,W$4,'Grid Data'!$M$4:$M$2342,$D$2)*100, 0)</f>
        <v>7.1963999999999997</v>
      </c>
      <c r="X14" s="4">
        <f>IF(  X77&gt;$E$2, SUMIFS(IF($G$2="CPR",'Grid Data'!$V$4:$V$2342,'Grid Data'!$W$4:$W$2342),'Grid Data'!$N$4:$N$2342,$D14,'Grid Data'!$O$4:$O$2342,X$4,'Grid Data'!$M$4:$M$2342,$D$2)*100, 0)</f>
        <v>7.2449000000000003</v>
      </c>
      <c r="Y14" s="4">
        <f>IF(  Y77&gt;$E$2, SUMIFS(IF($G$2="CPR",'Grid Data'!$V$4:$V$2342,'Grid Data'!$W$4:$W$2342),'Grid Data'!$N$4:$N$2342,$D14,'Grid Data'!$O$4:$O$2342,Y$4,'Grid Data'!$M$4:$M$2342,$D$2)*100, 0)</f>
        <v>6.3355999999999995</v>
      </c>
      <c r="Z14" s="4">
        <f>IF(  Z77&gt;$E$2, SUMIFS(IF($G$2="CPR",'Grid Data'!$V$4:$V$2342,'Grid Data'!$W$4:$W$2342),'Grid Data'!$N$4:$N$2342,$D14,'Grid Data'!$O$4:$O$2342,Z$4,'Grid Data'!$M$4:$M$2342,$D$2)*100, 0)</f>
        <v>7.2027999999999999</v>
      </c>
      <c r="AA14" s="4">
        <f>IF(  AA77&gt;$E$2, SUMIFS(IF($G$2="CPR",'Grid Data'!$V$4:$V$2342,'Grid Data'!$W$4:$W$2342),'Grid Data'!$N$4:$N$2342,$D14,'Grid Data'!$O$4:$O$2342,AA$4,'Grid Data'!$M$4:$M$2342,$D$2)*100, 0)</f>
        <v>6.8604000000000003</v>
      </c>
      <c r="AB14" s="4">
        <f>IF(  AB77&gt;$E$2, SUMIFS(IF($G$2="CPR",'Grid Data'!$V$4:$V$2342,'Grid Data'!$W$4:$W$2342),'Grid Data'!$N$4:$N$2342,$D14,'Grid Data'!$O$4:$O$2342,AB$4,'Grid Data'!$M$4:$M$2342,$D$2)*100, 0)</f>
        <v>6.1621000000000006</v>
      </c>
      <c r="AC14" s="4">
        <f>IF(  AC77&gt;$E$2, SUMIFS(IF($G$2="CPR",'Grid Data'!$V$4:$V$2342,'Grid Data'!$W$4:$W$2342),'Grid Data'!$N$4:$N$2342,$D14,'Grid Data'!$O$4:$O$2342,AC$4,'Grid Data'!$M$4:$M$2342,$D$2)*100, 0)</f>
        <v>6.0403000000000002</v>
      </c>
      <c r="AD14" s="4">
        <f>IF(  AD77&gt;$E$2, SUMIFS(IF($G$2="CPR",'Grid Data'!$V$4:$V$2342,'Grid Data'!$W$4:$W$2342),'Grid Data'!$N$4:$N$2342,$D14,'Grid Data'!$O$4:$O$2342,AD$4,'Grid Data'!$M$4:$M$2342,$D$2)*100, 0)</f>
        <v>5.2199</v>
      </c>
      <c r="AE14" s="4">
        <f>IF(  AE77&gt;$E$2, SUMIFS(IF($G$2="CPR",'Grid Data'!$V$4:$V$2342,'Grid Data'!$W$4:$W$2342),'Grid Data'!$N$4:$N$2342,$D14,'Grid Data'!$O$4:$O$2342,AE$4,'Grid Data'!$M$4:$M$2342,$D$2)*100, 0)</f>
        <v>0.1</v>
      </c>
      <c r="AF14" s="4">
        <f>IF(  AF77&gt;$E$2, SUMIFS(IF($G$2="CPR",'Grid Data'!$V$4:$V$2342,'Grid Data'!$W$4:$W$2342),'Grid Data'!$N$4:$N$2342,$D14,'Grid Data'!$O$4:$O$2342,AF$4,'Grid Data'!$M$4:$M$2342,$D$2)*100, 0)</f>
        <v>0</v>
      </c>
      <c r="AG14" s="4">
        <f>IF(  AG77&gt;$E$2, SUMIFS(IF($G$2="CPR",'Grid Data'!$V$4:$V$2342,'Grid Data'!$W$4:$W$2342),'Grid Data'!$N$4:$N$2342,$D14,'Grid Data'!$O$4:$O$2342,AG$4,'Grid Data'!$M$4:$M$2342,$D$2)*100, 0)</f>
        <v>0</v>
      </c>
      <c r="AH14" s="4">
        <f>IF(  AH77&gt;$E$2, SUMIFS(IF($G$2="CPR",'Grid Data'!$V$4:$V$2342,'Grid Data'!$W$4:$W$2342),'Grid Data'!$N$4:$N$2342,$D14,'Grid Data'!$O$4:$O$2342,AH$4,'Grid Data'!$M$4:$M$2342,$D$2)*100, 0)</f>
        <v>0</v>
      </c>
    </row>
    <row r="15" spans="4:34" x14ac:dyDescent="0.35">
      <c r="D15">
        <v>4500</v>
      </c>
      <c r="E15" s="4">
        <f>IF(  E78&gt;$E$2, SUMIFS(IF($G$2="CPR",'Grid Data'!$V$4:$V$2342,'Grid Data'!$W$4:$W$2342),'Grid Data'!$N$4:$N$2342,$D15,'Grid Data'!$O$4:$O$2342,E$4,'Grid Data'!$M$4:$M$2342,$D$2)*100, 0)</f>
        <v>0</v>
      </c>
      <c r="F15" s="4">
        <f>IF(  F78&gt;$E$2, SUMIFS(IF($G$2="CPR",'Grid Data'!$V$4:$V$2342,'Grid Data'!$W$4:$W$2342),'Grid Data'!$N$4:$N$2342,$D15,'Grid Data'!$O$4:$O$2342,F$4,'Grid Data'!$M$4:$M$2342,$D$2)*100, 0)</f>
        <v>2.4293</v>
      </c>
      <c r="G15" s="4">
        <f>IF(  G78&gt;$E$2, SUMIFS(IF($G$2="CPR",'Grid Data'!$V$4:$V$2342,'Grid Data'!$W$4:$W$2342),'Grid Data'!$N$4:$N$2342,$D15,'Grid Data'!$O$4:$O$2342,G$4,'Grid Data'!$M$4:$M$2342,$D$2)*100, 0)</f>
        <v>0</v>
      </c>
      <c r="H15" s="4">
        <f>IF(  H78&gt;$E$2, SUMIFS(IF($G$2="CPR",'Grid Data'!$V$4:$V$2342,'Grid Data'!$W$4:$W$2342),'Grid Data'!$N$4:$N$2342,$D15,'Grid Data'!$O$4:$O$2342,H$4,'Grid Data'!$M$4:$M$2342,$D$2)*100, 0)</f>
        <v>0</v>
      </c>
      <c r="I15" s="4">
        <f>IF(  I78&gt;$E$2, SUMIFS(IF($G$2="CPR",'Grid Data'!$V$4:$V$2342,'Grid Data'!$W$4:$W$2342),'Grid Data'!$N$4:$N$2342,$D15,'Grid Data'!$O$4:$O$2342,I$4,'Grid Data'!$M$4:$M$2342,$D$2)*100, 0)</f>
        <v>0</v>
      </c>
      <c r="J15" s="4">
        <f>IF(  J78&gt;$E$2, SUMIFS(IF($G$2="CPR",'Grid Data'!$V$4:$V$2342,'Grid Data'!$W$4:$W$2342),'Grid Data'!$N$4:$N$2342,$D15,'Grid Data'!$O$4:$O$2342,J$4,'Grid Data'!$M$4:$M$2342,$D$2)*100, 0)</f>
        <v>0</v>
      </c>
      <c r="K15" s="4">
        <f>IF(  K78&gt;$E$2, SUMIFS(IF($G$2="CPR",'Grid Data'!$V$4:$V$2342,'Grid Data'!$W$4:$W$2342),'Grid Data'!$N$4:$N$2342,$D15,'Grid Data'!$O$4:$O$2342,K$4,'Grid Data'!$M$4:$M$2342,$D$2)*100, 0)</f>
        <v>2.3807</v>
      </c>
      <c r="L15" s="4">
        <f>IF(  L78&gt;$E$2, SUMIFS(IF($G$2="CPR",'Grid Data'!$V$4:$V$2342,'Grid Data'!$W$4:$W$2342),'Grid Data'!$N$4:$N$2342,$D15,'Grid Data'!$O$4:$O$2342,L$4,'Grid Data'!$M$4:$M$2342,$D$2)*100, 0)</f>
        <v>1.2989999999999999</v>
      </c>
      <c r="M15" s="4">
        <f>IF(  M78&gt;$E$2, SUMIFS(IF($G$2="CPR",'Grid Data'!$V$4:$V$2342,'Grid Data'!$W$4:$W$2342),'Grid Data'!$N$4:$N$2342,$D15,'Grid Data'!$O$4:$O$2342,M$4,'Grid Data'!$M$4:$M$2342,$D$2)*100, 0)</f>
        <v>0.6754</v>
      </c>
      <c r="N15" s="4">
        <f>IF(  N78&gt;$E$2, SUMIFS(IF($G$2="CPR",'Grid Data'!$V$4:$V$2342,'Grid Data'!$W$4:$W$2342),'Grid Data'!$N$4:$N$2342,$D15,'Grid Data'!$O$4:$O$2342,N$4,'Grid Data'!$M$4:$M$2342,$D$2)*100, 0)</f>
        <v>0.90690000000000004</v>
      </c>
      <c r="O15" s="4">
        <f>IF(  O78&gt;$E$2, SUMIFS(IF($G$2="CPR",'Grid Data'!$V$4:$V$2342,'Grid Data'!$W$4:$W$2342),'Grid Data'!$N$4:$N$2342,$D15,'Grid Data'!$O$4:$O$2342,O$4,'Grid Data'!$M$4:$M$2342,$D$2)*100, 0)</f>
        <v>2.3443000000000001</v>
      </c>
      <c r="P15" s="4">
        <f>IF(  P78&gt;$E$2, SUMIFS(IF($G$2="CPR",'Grid Data'!$V$4:$V$2342,'Grid Data'!$W$4:$W$2342),'Grid Data'!$N$4:$N$2342,$D15,'Grid Data'!$O$4:$O$2342,P$4,'Grid Data'!$M$4:$M$2342,$D$2)*100, 0)</f>
        <v>2.6762999999999999</v>
      </c>
      <c r="Q15" s="4">
        <f>IF(  Q78&gt;$E$2, SUMIFS(IF($G$2="CPR",'Grid Data'!$V$4:$V$2342,'Grid Data'!$W$4:$W$2342),'Grid Data'!$N$4:$N$2342,$D15,'Grid Data'!$O$4:$O$2342,Q$4,'Grid Data'!$M$4:$M$2342,$D$2)*100, 0)</f>
        <v>0</v>
      </c>
      <c r="R15" s="4">
        <f>IF(  R78&gt;$E$2, SUMIFS(IF($G$2="CPR",'Grid Data'!$V$4:$V$2342,'Grid Data'!$W$4:$W$2342),'Grid Data'!$N$4:$N$2342,$D15,'Grid Data'!$O$4:$O$2342,R$4,'Grid Data'!$M$4:$M$2342,$D$2)*100, 0)</f>
        <v>8.490499999999999</v>
      </c>
      <c r="S15" s="4">
        <f>IF(  S78&gt;$E$2, SUMIFS(IF($G$2="CPR",'Grid Data'!$V$4:$V$2342,'Grid Data'!$W$4:$W$2342),'Grid Data'!$N$4:$N$2342,$D15,'Grid Data'!$O$4:$O$2342,S$4,'Grid Data'!$M$4:$M$2342,$D$2)*100, 0)</f>
        <v>6.0255999999999998</v>
      </c>
      <c r="T15" s="4">
        <f>IF(  T78&gt;$E$2, SUMIFS(IF($G$2="CPR",'Grid Data'!$V$4:$V$2342,'Grid Data'!$W$4:$W$2342),'Grid Data'!$N$4:$N$2342,$D15,'Grid Data'!$O$4:$O$2342,T$4,'Grid Data'!$M$4:$M$2342,$D$2)*100, 0)</f>
        <v>7.6244000000000005</v>
      </c>
      <c r="U15" s="4">
        <f>IF(  U78&gt;$E$2, SUMIFS(IF($G$2="CPR",'Grid Data'!$V$4:$V$2342,'Grid Data'!$W$4:$W$2342),'Grid Data'!$N$4:$N$2342,$D15,'Grid Data'!$O$4:$O$2342,U$4,'Grid Data'!$M$4:$M$2342,$D$2)*100, 0)</f>
        <v>5.6497999999999999</v>
      </c>
      <c r="V15" s="4">
        <f>IF(  V78&gt;$E$2, SUMIFS(IF($G$2="CPR",'Grid Data'!$V$4:$V$2342,'Grid Data'!$W$4:$W$2342),'Grid Data'!$N$4:$N$2342,$D15,'Grid Data'!$O$4:$O$2342,V$4,'Grid Data'!$M$4:$M$2342,$D$2)*100, 0)</f>
        <v>6.3136999999999999</v>
      </c>
      <c r="W15" s="4">
        <f>IF(  W78&gt;$E$2, SUMIFS(IF($G$2="CPR",'Grid Data'!$V$4:$V$2342,'Grid Data'!$W$4:$W$2342),'Grid Data'!$N$4:$N$2342,$D15,'Grid Data'!$O$4:$O$2342,W$4,'Grid Data'!$M$4:$M$2342,$D$2)*100, 0)</f>
        <v>4.9142999999999999</v>
      </c>
      <c r="X15" s="4">
        <f>IF(  X78&gt;$E$2, SUMIFS(IF($G$2="CPR",'Grid Data'!$V$4:$V$2342,'Grid Data'!$W$4:$W$2342),'Grid Data'!$N$4:$N$2342,$D15,'Grid Data'!$O$4:$O$2342,X$4,'Grid Data'!$M$4:$M$2342,$D$2)*100, 0)</f>
        <v>7.5724999999999998</v>
      </c>
      <c r="Y15" s="4">
        <f>IF(  Y78&gt;$E$2, SUMIFS(IF($G$2="CPR",'Grid Data'!$V$4:$V$2342,'Grid Data'!$W$4:$W$2342),'Grid Data'!$N$4:$N$2342,$D15,'Grid Data'!$O$4:$O$2342,Y$4,'Grid Data'!$M$4:$M$2342,$D$2)*100, 0)</f>
        <v>7.0240999999999998</v>
      </c>
      <c r="Z15" s="4">
        <f>IF(  Z78&gt;$E$2, SUMIFS(IF($G$2="CPR",'Grid Data'!$V$4:$V$2342,'Grid Data'!$W$4:$W$2342),'Grid Data'!$N$4:$N$2342,$D15,'Grid Data'!$O$4:$O$2342,Z$4,'Grid Data'!$M$4:$M$2342,$D$2)*100, 0)</f>
        <v>7.0000999999999998</v>
      </c>
      <c r="AA15" s="4">
        <f>IF(  AA78&gt;$E$2, SUMIFS(IF($G$2="CPR",'Grid Data'!$V$4:$V$2342,'Grid Data'!$W$4:$W$2342),'Grid Data'!$N$4:$N$2342,$D15,'Grid Data'!$O$4:$O$2342,AA$4,'Grid Data'!$M$4:$M$2342,$D$2)*100, 0)</f>
        <v>7.0049999999999999</v>
      </c>
      <c r="AB15" s="4">
        <f>IF(  AB78&gt;$E$2, SUMIFS(IF($G$2="CPR",'Grid Data'!$V$4:$V$2342,'Grid Data'!$W$4:$W$2342),'Grid Data'!$N$4:$N$2342,$D15,'Grid Data'!$O$4:$O$2342,AB$4,'Grid Data'!$M$4:$M$2342,$D$2)*100, 0)</f>
        <v>5.9107000000000003</v>
      </c>
      <c r="AC15" s="4">
        <f>IF(  AC78&gt;$E$2, SUMIFS(IF($G$2="CPR",'Grid Data'!$V$4:$V$2342,'Grid Data'!$W$4:$W$2342),'Grid Data'!$N$4:$N$2342,$D15,'Grid Data'!$O$4:$O$2342,AC$4,'Grid Data'!$M$4:$M$2342,$D$2)*100, 0)</f>
        <v>5.5807000000000002</v>
      </c>
      <c r="AD15" s="4">
        <f>IF(  AD78&gt;$E$2, SUMIFS(IF($G$2="CPR",'Grid Data'!$V$4:$V$2342,'Grid Data'!$W$4:$W$2342),'Grid Data'!$N$4:$N$2342,$D15,'Grid Data'!$O$4:$O$2342,AD$4,'Grid Data'!$M$4:$M$2342,$D$2)*100, 0)</f>
        <v>5.3902000000000001</v>
      </c>
      <c r="AE15" s="4">
        <f>IF(  AE78&gt;$E$2, SUMIFS(IF($G$2="CPR",'Grid Data'!$V$4:$V$2342,'Grid Data'!$W$4:$W$2342),'Grid Data'!$N$4:$N$2342,$D15,'Grid Data'!$O$4:$O$2342,AE$4,'Grid Data'!$M$4:$M$2342,$D$2)*100, 0)</f>
        <v>4.9816000000000003</v>
      </c>
      <c r="AF15" s="4">
        <f>IF(  AF78&gt;$E$2, SUMIFS(IF($G$2="CPR",'Grid Data'!$V$4:$V$2342,'Grid Data'!$W$4:$W$2342),'Grid Data'!$N$4:$N$2342,$D15,'Grid Data'!$O$4:$O$2342,AF$4,'Grid Data'!$M$4:$M$2342,$D$2)*100, 0)</f>
        <v>0</v>
      </c>
      <c r="AG15" s="4">
        <f>IF(  AG78&gt;$E$2, SUMIFS(IF($G$2="CPR",'Grid Data'!$V$4:$V$2342,'Grid Data'!$W$4:$W$2342),'Grid Data'!$N$4:$N$2342,$D15,'Grid Data'!$O$4:$O$2342,AG$4,'Grid Data'!$M$4:$M$2342,$D$2)*100, 0)</f>
        <v>16.9665</v>
      </c>
      <c r="AH15" s="4">
        <f>IF(  AH78&gt;$E$2, SUMIFS(IF($G$2="CPR",'Grid Data'!$V$4:$V$2342,'Grid Data'!$W$4:$W$2342),'Grid Data'!$N$4:$N$2342,$D15,'Grid Data'!$O$4:$O$2342,AH$4,'Grid Data'!$M$4:$M$2342,$D$2)*100, 0)</f>
        <v>0</v>
      </c>
    </row>
    <row r="16" spans="4:34" x14ac:dyDescent="0.35">
      <c r="D16">
        <v>4750</v>
      </c>
      <c r="E16" s="4">
        <f>IF(  E79&gt;$E$2, SUMIFS(IF($G$2="CPR",'Grid Data'!$V$4:$V$2342,'Grid Data'!$W$4:$W$2342),'Grid Data'!$N$4:$N$2342,$D16,'Grid Data'!$O$4:$O$2342,E$4,'Grid Data'!$M$4:$M$2342,$D$2)*100, 0)</f>
        <v>0.3498</v>
      </c>
      <c r="F16" s="4">
        <f>IF(  F79&gt;$E$2, SUMIFS(IF($G$2="CPR",'Grid Data'!$V$4:$V$2342,'Grid Data'!$W$4:$W$2342),'Grid Data'!$N$4:$N$2342,$D16,'Grid Data'!$O$4:$O$2342,F$4,'Grid Data'!$M$4:$M$2342,$D$2)*100, 0)</f>
        <v>1.718</v>
      </c>
      <c r="G16" s="4">
        <f>IF(  G79&gt;$E$2, SUMIFS(IF($G$2="CPR",'Grid Data'!$V$4:$V$2342,'Grid Data'!$W$4:$W$2342),'Grid Data'!$N$4:$N$2342,$D16,'Grid Data'!$O$4:$O$2342,G$4,'Grid Data'!$M$4:$M$2342,$D$2)*100, 0)</f>
        <v>1.0669</v>
      </c>
      <c r="H16" s="4">
        <f>IF(  H79&gt;$E$2, SUMIFS(IF($G$2="CPR",'Grid Data'!$V$4:$V$2342,'Grid Data'!$W$4:$W$2342),'Grid Data'!$N$4:$N$2342,$D16,'Grid Data'!$O$4:$O$2342,H$4,'Grid Data'!$M$4:$M$2342,$D$2)*100, 0)</f>
        <v>0</v>
      </c>
      <c r="I16" s="4">
        <f>IF(  I79&gt;$E$2, SUMIFS(IF($G$2="CPR",'Grid Data'!$V$4:$V$2342,'Grid Data'!$W$4:$W$2342),'Grid Data'!$N$4:$N$2342,$D16,'Grid Data'!$O$4:$O$2342,I$4,'Grid Data'!$M$4:$M$2342,$D$2)*100, 0)</f>
        <v>0</v>
      </c>
      <c r="J16" s="4">
        <f>IF(  J79&gt;$E$2, SUMIFS(IF($G$2="CPR",'Grid Data'!$V$4:$V$2342,'Grid Data'!$W$4:$W$2342),'Grid Data'!$N$4:$N$2342,$D16,'Grid Data'!$O$4:$O$2342,J$4,'Grid Data'!$M$4:$M$2342,$D$2)*100, 0)</f>
        <v>0.80779999999999996</v>
      </c>
      <c r="K16" s="4">
        <f>IF(  K79&gt;$E$2, SUMIFS(IF($G$2="CPR",'Grid Data'!$V$4:$V$2342,'Grid Data'!$W$4:$W$2342),'Grid Data'!$N$4:$N$2342,$D16,'Grid Data'!$O$4:$O$2342,K$4,'Grid Data'!$M$4:$M$2342,$D$2)*100, 0)</f>
        <v>0</v>
      </c>
      <c r="L16" s="4">
        <f>IF(  L79&gt;$E$2, SUMIFS(IF($G$2="CPR",'Grid Data'!$V$4:$V$2342,'Grid Data'!$W$4:$W$2342),'Grid Data'!$N$4:$N$2342,$D16,'Grid Data'!$O$4:$O$2342,L$4,'Grid Data'!$M$4:$M$2342,$D$2)*100, 0)</f>
        <v>1.9952000000000001</v>
      </c>
      <c r="M16" s="4">
        <f>IF(  M79&gt;$E$2, SUMIFS(IF($G$2="CPR",'Grid Data'!$V$4:$V$2342,'Grid Data'!$W$4:$W$2342),'Grid Data'!$N$4:$N$2342,$D16,'Grid Data'!$O$4:$O$2342,M$4,'Grid Data'!$M$4:$M$2342,$D$2)*100, 0)</f>
        <v>2.6989999999999998</v>
      </c>
      <c r="N16" s="4">
        <f>IF(  N79&gt;$E$2, SUMIFS(IF($G$2="CPR",'Grid Data'!$V$4:$V$2342,'Grid Data'!$W$4:$W$2342),'Grid Data'!$N$4:$N$2342,$D16,'Grid Data'!$O$4:$O$2342,N$4,'Grid Data'!$M$4:$M$2342,$D$2)*100, 0)</f>
        <v>0.7228</v>
      </c>
      <c r="O16" s="4">
        <f>IF(  O79&gt;$E$2, SUMIFS(IF($G$2="CPR",'Grid Data'!$V$4:$V$2342,'Grid Data'!$W$4:$W$2342),'Grid Data'!$N$4:$N$2342,$D16,'Grid Data'!$O$4:$O$2342,O$4,'Grid Data'!$M$4:$M$2342,$D$2)*100, 0)</f>
        <v>0</v>
      </c>
      <c r="P16" s="4">
        <f>IF(  P79&gt;$E$2, SUMIFS(IF($G$2="CPR",'Grid Data'!$V$4:$V$2342,'Grid Data'!$W$4:$W$2342),'Grid Data'!$N$4:$N$2342,$D16,'Grid Data'!$O$4:$O$2342,P$4,'Grid Data'!$M$4:$M$2342,$D$2)*100, 0)</f>
        <v>2.2533000000000003</v>
      </c>
      <c r="Q16" s="4">
        <f>IF(  Q79&gt;$E$2, SUMIFS(IF($G$2="CPR",'Grid Data'!$V$4:$V$2342,'Grid Data'!$W$4:$W$2342),'Grid Data'!$N$4:$N$2342,$D16,'Grid Data'!$O$4:$O$2342,Q$4,'Grid Data'!$M$4:$M$2342,$D$2)*100, 0)</f>
        <v>1.3136000000000001</v>
      </c>
      <c r="R16" s="4">
        <f>IF(  R79&gt;$E$2, SUMIFS(IF($G$2="CPR",'Grid Data'!$V$4:$V$2342,'Grid Data'!$W$4:$W$2342),'Grid Data'!$N$4:$N$2342,$D16,'Grid Data'!$O$4:$O$2342,R$4,'Grid Data'!$M$4:$M$2342,$D$2)*100, 0)</f>
        <v>3.9257</v>
      </c>
      <c r="S16" s="4">
        <f>IF(  S79&gt;$E$2, SUMIFS(IF($G$2="CPR",'Grid Data'!$V$4:$V$2342,'Grid Data'!$W$4:$W$2342),'Grid Data'!$N$4:$N$2342,$D16,'Grid Data'!$O$4:$O$2342,S$4,'Grid Data'!$M$4:$M$2342,$D$2)*100, 0)</f>
        <v>8.1076999999999995</v>
      </c>
      <c r="T16" s="4">
        <f>IF(  T79&gt;$E$2, SUMIFS(IF($G$2="CPR",'Grid Data'!$V$4:$V$2342,'Grid Data'!$W$4:$W$2342),'Grid Data'!$N$4:$N$2342,$D16,'Grid Data'!$O$4:$O$2342,T$4,'Grid Data'!$M$4:$M$2342,$D$2)*100, 0)</f>
        <v>7.1679000000000004</v>
      </c>
      <c r="U16" s="4">
        <f>IF(  U79&gt;$E$2, SUMIFS(IF($G$2="CPR",'Grid Data'!$V$4:$V$2342,'Grid Data'!$W$4:$W$2342),'Grid Data'!$N$4:$N$2342,$D16,'Grid Data'!$O$4:$O$2342,U$4,'Grid Data'!$M$4:$M$2342,$D$2)*100, 0)</f>
        <v>6.5198000000000009</v>
      </c>
      <c r="V16" s="4">
        <f>IF(  V79&gt;$E$2, SUMIFS(IF($G$2="CPR",'Grid Data'!$V$4:$V$2342,'Grid Data'!$W$4:$W$2342),'Grid Data'!$N$4:$N$2342,$D16,'Grid Data'!$O$4:$O$2342,V$4,'Grid Data'!$M$4:$M$2342,$D$2)*100, 0)</f>
        <v>3.7524000000000002</v>
      </c>
      <c r="W16" s="4">
        <f>IF(  W79&gt;$E$2, SUMIFS(IF($G$2="CPR",'Grid Data'!$V$4:$V$2342,'Grid Data'!$W$4:$W$2342),'Grid Data'!$N$4:$N$2342,$D16,'Grid Data'!$O$4:$O$2342,W$4,'Grid Data'!$M$4:$M$2342,$D$2)*100, 0)</f>
        <v>9.3979999999999997</v>
      </c>
      <c r="X16" s="4">
        <f>IF(  X79&gt;$E$2, SUMIFS(IF($G$2="CPR",'Grid Data'!$V$4:$V$2342,'Grid Data'!$W$4:$W$2342),'Grid Data'!$N$4:$N$2342,$D16,'Grid Data'!$O$4:$O$2342,X$4,'Grid Data'!$M$4:$M$2342,$D$2)*100, 0)</f>
        <v>7.6698000000000004</v>
      </c>
      <c r="Y16" s="4">
        <f>IF(  Y79&gt;$E$2, SUMIFS(IF($G$2="CPR",'Grid Data'!$V$4:$V$2342,'Grid Data'!$W$4:$W$2342),'Grid Data'!$N$4:$N$2342,$D16,'Grid Data'!$O$4:$O$2342,Y$4,'Grid Data'!$M$4:$M$2342,$D$2)*100, 0)</f>
        <v>7.2841000000000005</v>
      </c>
      <c r="Z16" s="4">
        <f>IF(  Z79&gt;$E$2, SUMIFS(IF($G$2="CPR",'Grid Data'!$V$4:$V$2342,'Grid Data'!$W$4:$W$2342),'Grid Data'!$N$4:$N$2342,$D16,'Grid Data'!$O$4:$O$2342,Z$4,'Grid Data'!$M$4:$M$2342,$D$2)*100, 0)</f>
        <v>6.6966000000000001</v>
      </c>
      <c r="AA16" s="4">
        <f>IF(  AA79&gt;$E$2, SUMIFS(IF($G$2="CPR",'Grid Data'!$V$4:$V$2342,'Grid Data'!$W$4:$W$2342),'Grid Data'!$N$4:$N$2342,$D16,'Grid Data'!$O$4:$O$2342,AA$4,'Grid Data'!$M$4:$M$2342,$D$2)*100, 0)</f>
        <v>6.2500999999999998</v>
      </c>
      <c r="AB16" s="4">
        <f>IF(  AB79&gt;$E$2, SUMIFS(IF($G$2="CPR",'Grid Data'!$V$4:$V$2342,'Grid Data'!$W$4:$W$2342),'Grid Data'!$N$4:$N$2342,$D16,'Grid Data'!$O$4:$O$2342,AB$4,'Grid Data'!$M$4:$M$2342,$D$2)*100, 0)</f>
        <v>6.6823999999999995</v>
      </c>
      <c r="AC16" s="4">
        <f>IF(  AC79&gt;$E$2, SUMIFS(IF($G$2="CPR",'Grid Data'!$V$4:$V$2342,'Grid Data'!$W$4:$W$2342),'Grid Data'!$N$4:$N$2342,$D16,'Grid Data'!$O$4:$O$2342,AC$4,'Grid Data'!$M$4:$M$2342,$D$2)*100, 0)</f>
        <v>6.83</v>
      </c>
      <c r="AD16" s="4">
        <f>IF(  AD79&gt;$E$2, SUMIFS(IF($G$2="CPR",'Grid Data'!$V$4:$V$2342,'Grid Data'!$W$4:$W$2342),'Grid Data'!$N$4:$N$2342,$D16,'Grid Data'!$O$4:$O$2342,AD$4,'Grid Data'!$M$4:$M$2342,$D$2)*100, 0)</f>
        <v>5.3320999999999996</v>
      </c>
      <c r="AE16" s="4">
        <f>IF(  AE79&gt;$E$2, SUMIFS(IF($G$2="CPR",'Grid Data'!$V$4:$V$2342,'Grid Data'!$W$4:$W$2342),'Grid Data'!$N$4:$N$2342,$D16,'Grid Data'!$O$4:$O$2342,AE$4,'Grid Data'!$M$4:$M$2342,$D$2)*100, 0)</f>
        <v>3.7504000000000004</v>
      </c>
      <c r="AF16" s="4">
        <f>IF(  AF79&gt;$E$2, SUMIFS(IF($G$2="CPR",'Grid Data'!$V$4:$V$2342,'Grid Data'!$W$4:$W$2342),'Grid Data'!$N$4:$N$2342,$D16,'Grid Data'!$O$4:$O$2342,AF$4,'Grid Data'!$M$4:$M$2342,$D$2)*100, 0)</f>
        <v>0</v>
      </c>
      <c r="AG16" s="4">
        <f>IF(  AG79&gt;$E$2, SUMIFS(IF($G$2="CPR",'Grid Data'!$V$4:$V$2342,'Grid Data'!$W$4:$W$2342),'Grid Data'!$N$4:$N$2342,$D16,'Grid Data'!$O$4:$O$2342,AG$4,'Grid Data'!$M$4:$M$2342,$D$2)*100, 0)</f>
        <v>0</v>
      </c>
      <c r="AH16" s="4">
        <f>IF(  AH79&gt;$E$2, SUMIFS(IF($G$2="CPR",'Grid Data'!$V$4:$V$2342,'Grid Data'!$W$4:$W$2342),'Grid Data'!$N$4:$N$2342,$D16,'Grid Data'!$O$4:$O$2342,AH$4,'Grid Data'!$M$4:$M$2342,$D$2)*100, 0)</f>
        <v>0</v>
      </c>
    </row>
    <row r="17" spans="4:34" x14ac:dyDescent="0.35">
      <c r="D17">
        <v>5000</v>
      </c>
      <c r="E17" s="4">
        <f>IF(  E80&gt;$E$2, SUMIFS(IF($G$2="CPR",'Grid Data'!$V$4:$V$2342,'Grid Data'!$W$4:$W$2342),'Grid Data'!$N$4:$N$2342,$D17,'Grid Data'!$O$4:$O$2342,E$4,'Grid Data'!$M$4:$M$2342,$D$2)*100, 0)</f>
        <v>0.85540000000000005</v>
      </c>
      <c r="F17" s="4">
        <f>IF(  F80&gt;$E$2, SUMIFS(IF($G$2="CPR",'Grid Data'!$V$4:$V$2342,'Grid Data'!$W$4:$W$2342),'Grid Data'!$N$4:$N$2342,$D17,'Grid Data'!$O$4:$O$2342,F$4,'Grid Data'!$M$4:$M$2342,$D$2)*100, 0)</f>
        <v>0.3422</v>
      </c>
      <c r="G17" s="4">
        <f>IF(  G80&gt;$E$2, SUMIFS(IF($G$2="CPR",'Grid Data'!$V$4:$V$2342,'Grid Data'!$W$4:$W$2342),'Grid Data'!$N$4:$N$2342,$D17,'Grid Data'!$O$4:$O$2342,G$4,'Grid Data'!$M$4:$M$2342,$D$2)*100, 0)</f>
        <v>0.53689999999999993</v>
      </c>
      <c r="H17" s="4">
        <f>IF(  H80&gt;$E$2, SUMIFS(IF($G$2="CPR",'Grid Data'!$V$4:$V$2342,'Grid Data'!$W$4:$W$2342),'Grid Data'!$N$4:$N$2342,$D17,'Grid Data'!$O$4:$O$2342,H$4,'Grid Data'!$M$4:$M$2342,$D$2)*100, 0)</f>
        <v>1.2909999999999999</v>
      </c>
      <c r="I17" s="4">
        <f>IF(  I80&gt;$E$2, SUMIFS(IF($G$2="CPR",'Grid Data'!$V$4:$V$2342,'Grid Data'!$W$4:$W$2342),'Grid Data'!$N$4:$N$2342,$D17,'Grid Data'!$O$4:$O$2342,I$4,'Grid Data'!$M$4:$M$2342,$D$2)*100, 0)</f>
        <v>0.84910000000000008</v>
      </c>
      <c r="J17" s="4">
        <f>IF(  J80&gt;$E$2, SUMIFS(IF($G$2="CPR",'Grid Data'!$V$4:$V$2342,'Grid Data'!$W$4:$W$2342),'Grid Data'!$N$4:$N$2342,$D17,'Grid Data'!$O$4:$O$2342,J$4,'Grid Data'!$M$4:$M$2342,$D$2)*100, 0)</f>
        <v>0</v>
      </c>
      <c r="K17" s="4">
        <f>IF(  K80&gt;$E$2, SUMIFS(IF($G$2="CPR",'Grid Data'!$V$4:$V$2342,'Grid Data'!$W$4:$W$2342),'Grid Data'!$N$4:$N$2342,$D17,'Grid Data'!$O$4:$O$2342,K$4,'Grid Data'!$M$4:$M$2342,$D$2)*100, 0)</f>
        <v>1.2812999999999999</v>
      </c>
      <c r="L17" s="4">
        <f>IF(  L80&gt;$E$2, SUMIFS(IF($G$2="CPR",'Grid Data'!$V$4:$V$2342,'Grid Data'!$W$4:$W$2342),'Grid Data'!$N$4:$N$2342,$D17,'Grid Data'!$O$4:$O$2342,L$4,'Grid Data'!$M$4:$M$2342,$D$2)*100, 0)</f>
        <v>2.6175999999999999</v>
      </c>
      <c r="M17" s="4">
        <f>IF(  M80&gt;$E$2, SUMIFS(IF($G$2="CPR",'Grid Data'!$V$4:$V$2342,'Grid Data'!$W$4:$W$2342),'Grid Data'!$N$4:$N$2342,$D17,'Grid Data'!$O$4:$O$2342,M$4,'Grid Data'!$M$4:$M$2342,$D$2)*100, 0)</f>
        <v>1.5931000000000002</v>
      </c>
      <c r="N17" s="4">
        <f>IF(  N80&gt;$E$2, SUMIFS(IF($G$2="CPR",'Grid Data'!$V$4:$V$2342,'Grid Data'!$W$4:$W$2342),'Grid Data'!$N$4:$N$2342,$D17,'Grid Data'!$O$4:$O$2342,N$4,'Grid Data'!$M$4:$M$2342,$D$2)*100, 0)</f>
        <v>3.8588999999999998</v>
      </c>
      <c r="O17" s="4">
        <f>IF(  O80&gt;$E$2, SUMIFS(IF($G$2="CPR",'Grid Data'!$V$4:$V$2342,'Grid Data'!$W$4:$W$2342),'Grid Data'!$N$4:$N$2342,$D17,'Grid Data'!$O$4:$O$2342,O$4,'Grid Data'!$M$4:$M$2342,$D$2)*100, 0)</f>
        <v>2.6109</v>
      </c>
      <c r="P17" s="4">
        <f>IF(  P80&gt;$E$2, SUMIFS(IF($G$2="CPR",'Grid Data'!$V$4:$V$2342,'Grid Data'!$W$4:$W$2342),'Grid Data'!$N$4:$N$2342,$D17,'Grid Data'!$O$4:$O$2342,P$4,'Grid Data'!$M$4:$M$2342,$D$2)*100, 0)</f>
        <v>2.5379</v>
      </c>
      <c r="Q17" s="4">
        <f>IF(  Q80&gt;$E$2, SUMIFS(IF($G$2="CPR",'Grid Data'!$V$4:$V$2342,'Grid Data'!$W$4:$W$2342),'Grid Data'!$N$4:$N$2342,$D17,'Grid Data'!$O$4:$O$2342,Q$4,'Grid Data'!$M$4:$M$2342,$D$2)*100, 0)</f>
        <v>4.9258999999999995</v>
      </c>
      <c r="R17" s="4">
        <f>IF(  R80&gt;$E$2, SUMIFS(IF($G$2="CPR",'Grid Data'!$V$4:$V$2342,'Grid Data'!$W$4:$W$2342),'Grid Data'!$N$4:$N$2342,$D17,'Grid Data'!$O$4:$O$2342,R$4,'Grid Data'!$M$4:$M$2342,$D$2)*100, 0)</f>
        <v>5.4537000000000004</v>
      </c>
      <c r="S17" s="4">
        <f>IF(  S80&gt;$E$2, SUMIFS(IF($G$2="CPR",'Grid Data'!$V$4:$V$2342,'Grid Data'!$W$4:$W$2342),'Grid Data'!$N$4:$N$2342,$D17,'Grid Data'!$O$4:$O$2342,S$4,'Grid Data'!$M$4:$M$2342,$D$2)*100, 0)</f>
        <v>9.3183000000000007</v>
      </c>
      <c r="T17" s="4">
        <f>IF(  T80&gt;$E$2, SUMIFS(IF($G$2="CPR",'Grid Data'!$V$4:$V$2342,'Grid Data'!$W$4:$W$2342),'Grid Data'!$N$4:$N$2342,$D17,'Grid Data'!$O$4:$O$2342,T$4,'Grid Data'!$M$4:$M$2342,$D$2)*100, 0)</f>
        <v>7.4689000000000005</v>
      </c>
      <c r="U17" s="4">
        <f>IF(  U80&gt;$E$2, SUMIFS(IF($G$2="CPR",'Grid Data'!$V$4:$V$2342,'Grid Data'!$W$4:$W$2342),'Grid Data'!$N$4:$N$2342,$D17,'Grid Data'!$O$4:$O$2342,U$4,'Grid Data'!$M$4:$M$2342,$D$2)*100, 0)</f>
        <v>7.3040999999999991</v>
      </c>
      <c r="V17" s="4">
        <f>IF(  V80&gt;$E$2, SUMIFS(IF($G$2="CPR",'Grid Data'!$V$4:$V$2342,'Grid Data'!$W$4:$W$2342),'Grid Data'!$N$4:$N$2342,$D17,'Grid Data'!$O$4:$O$2342,V$4,'Grid Data'!$M$4:$M$2342,$D$2)*100, 0)</f>
        <v>8.9329000000000001</v>
      </c>
      <c r="W17" s="4">
        <f>IF(  W80&gt;$E$2, SUMIFS(IF($G$2="CPR",'Grid Data'!$V$4:$V$2342,'Grid Data'!$W$4:$W$2342),'Grid Data'!$N$4:$N$2342,$D17,'Grid Data'!$O$4:$O$2342,W$4,'Grid Data'!$M$4:$M$2342,$D$2)*100, 0)</f>
        <v>11.315</v>
      </c>
      <c r="X17" s="4">
        <f>IF(  X80&gt;$E$2, SUMIFS(IF($G$2="CPR",'Grid Data'!$V$4:$V$2342,'Grid Data'!$W$4:$W$2342),'Grid Data'!$N$4:$N$2342,$D17,'Grid Data'!$O$4:$O$2342,X$4,'Grid Data'!$M$4:$M$2342,$D$2)*100, 0)</f>
        <v>7.8889000000000005</v>
      </c>
      <c r="Y17" s="4">
        <f>IF(  Y80&gt;$E$2, SUMIFS(IF($G$2="CPR",'Grid Data'!$V$4:$V$2342,'Grid Data'!$W$4:$W$2342),'Grid Data'!$N$4:$N$2342,$D17,'Grid Data'!$O$4:$O$2342,Y$4,'Grid Data'!$M$4:$M$2342,$D$2)*100, 0)</f>
        <v>8.5356000000000005</v>
      </c>
      <c r="Z17" s="4">
        <f>IF(  Z80&gt;$E$2, SUMIFS(IF($G$2="CPR",'Grid Data'!$V$4:$V$2342,'Grid Data'!$W$4:$W$2342),'Grid Data'!$N$4:$N$2342,$D17,'Grid Data'!$O$4:$O$2342,Z$4,'Grid Data'!$M$4:$M$2342,$D$2)*100, 0)</f>
        <v>7.9234999999999998</v>
      </c>
      <c r="AA17" s="4">
        <f>IF(  AA80&gt;$E$2, SUMIFS(IF($G$2="CPR",'Grid Data'!$V$4:$V$2342,'Grid Data'!$W$4:$W$2342),'Grid Data'!$N$4:$N$2342,$D17,'Grid Data'!$O$4:$O$2342,AA$4,'Grid Data'!$M$4:$M$2342,$D$2)*100, 0)</f>
        <v>4.5992999999999995</v>
      </c>
      <c r="AB17" s="4">
        <f>IF(  AB80&gt;$E$2, SUMIFS(IF($G$2="CPR",'Grid Data'!$V$4:$V$2342,'Grid Data'!$W$4:$W$2342),'Grid Data'!$N$4:$N$2342,$D17,'Grid Data'!$O$4:$O$2342,AB$4,'Grid Data'!$M$4:$M$2342,$D$2)*100, 0)</f>
        <v>6.2757999999999994</v>
      </c>
      <c r="AC17" s="4">
        <f>IF(  AC80&gt;$E$2, SUMIFS(IF($G$2="CPR",'Grid Data'!$V$4:$V$2342,'Grid Data'!$W$4:$W$2342),'Grid Data'!$N$4:$N$2342,$D17,'Grid Data'!$O$4:$O$2342,AC$4,'Grid Data'!$M$4:$M$2342,$D$2)*100, 0)</f>
        <v>7.3685</v>
      </c>
      <c r="AD17" s="4">
        <f>IF(  AD80&gt;$E$2, SUMIFS(IF($G$2="CPR",'Grid Data'!$V$4:$V$2342,'Grid Data'!$W$4:$W$2342),'Grid Data'!$N$4:$N$2342,$D17,'Grid Data'!$O$4:$O$2342,AD$4,'Grid Data'!$M$4:$M$2342,$D$2)*100, 0)</f>
        <v>5.8268000000000004</v>
      </c>
      <c r="AE17" s="4">
        <f>IF(  AE80&gt;$E$2, SUMIFS(IF($G$2="CPR",'Grid Data'!$V$4:$V$2342,'Grid Data'!$W$4:$W$2342),'Grid Data'!$N$4:$N$2342,$D17,'Grid Data'!$O$4:$O$2342,AE$4,'Grid Data'!$M$4:$M$2342,$D$2)*100, 0)</f>
        <v>6.4898999999999996</v>
      </c>
      <c r="AF17" s="4">
        <f>IF(  AF80&gt;$E$2, SUMIFS(IF($G$2="CPR",'Grid Data'!$V$4:$V$2342,'Grid Data'!$W$4:$W$2342),'Grid Data'!$N$4:$N$2342,$D17,'Grid Data'!$O$4:$O$2342,AF$4,'Grid Data'!$M$4:$M$2342,$D$2)*100, 0)</f>
        <v>0</v>
      </c>
      <c r="AG17" s="4">
        <f>IF(  AG80&gt;$E$2, SUMIFS(IF($G$2="CPR",'Grid Data'!$V$4:$V$2342,'Grid Data'!$W$4:$W$2342),'Grid Data'!$N$4:$N$2342,$D17,'Grid Data'!$O$4:$O$2342,AG$4,'Grid Data'!$M$4:$M$2342,$D$2)*100, 0)</f>
        <v>7.5353000000000003</v>
      </c>
      <c r="AH17" s="4">
        <f>IF(  AH80&gt;$E$2, SUMIFS(IF($G$2="CPR",'Grid Data'!$V$4:$V$2342,'Grid Data'!$W$4:$W$2342),'Grid Data'!$N$4:$N$2342,$D17,'Grid Data'!$O$4:$O$2342,AH$4,'Grid Data'!$M$4:$M$2342,$D$2)*100, 0)</f>
        <v>0</v>
      </c>
    </row>
    <row r="18" spans="4:34" x14ac:dyDescent="0.35">
      <c r="D18">
        <v>5250</v>
      </c>
      <c r="E18" s="4">
        <f>IF(  E81&gt;$E$2, SUMIFS(IF($G$2="CPR",'Grid Data'!$V$4:$V$2342,'Grid Data'!$W$4:$W$2342),'Grid Data'!$N$4:$N$2342,$D18,'Grid Data'!$O$4:$O$2342,E$4,'Grid Data'!$M$4:$M$2342,$D$2)*100, 0)</f>
        <v>1.1527000000000001</v>
      </c>
      <c r="F18" s="4">
        <f>IF(  F81&gt;$E$2, SUMIFS(IF($G$2="CPR",'Grid Data'!$V$4:$V$2342,'Grid Data'!$W$4:$W$2342),'Grid Data'!$N$4:$N$2342,$D18,'Grid Data'!$O$4:$O$2342,F$4,'Grid Data'!$M$4:$M$2342,$D$2)*100, 0)</f>
        <v>3.1426999999999996</v>
      </c>
      <c r="G18" s="4">
        <f>IF(  G81&gt;$E$2, SUMIFS(IF($G$2="CPR",'Grid Data'!$V$4:$V$2342,'Grid Data'!$W$4:$W$2342),'Grid Data'!$N$4:$N$2342,$D18,'Grid Data'!$O$4:$O$2342,G$4,'Grid Data'!$M$4:$M$2342,$D$2)*100, 0)</f>
        <v>4.5129000000000001</v>
      </c>
      <c r="H18" s="4">
        <f>IF(  H81&gt;$E$2, SUMIFS(IF($G$2="CPR",'Grid Data'!$V$4:$V$2342,'Grid Data'!$W$4:$W$2342),'Grid Data'!$N$4:$N$2342,$D18,'Grid Data'!$O$4:$O$2342,H$4,'Grid Data'!$M$4:$M$2342,$D$2)*100, 0)</f>
        <v>0.91879999999999995</v>
      </c>
      <c r="I18" s="4">
        <f>IF(  I81&gt;$E$2, SUMIFS(IF($G$2="CPR",'Grid Data'!$V$4:$V$2342,'Grid Data'!$W$4:$W$2342),'Grid Data'!$N$4:$N$2342,$D18,'Grid Data'!$O$4:$O$2342,I$4,'Grid Data'!$M$4:$M$2342,$D$2)*100, 0)</f>
        <v>1.4262000000000001</v>
      </c>
      <c r="J18" s="4">
        <f>IF(  J81&gt;$E$2, SUMIFS(IF($G$2="CPR",'Grid Data'!$V$4:$V$2342,'Grid Data'!$W$4:$W$2342),'Grid Data'!$N$4:$N$2342,$D18,'Grid Data'!$O$4:$O$2342,J$4,'Grid Data'!$M$4:$M$2342,$D$2)*100, 0)</f>
        <v>4.0739000000000001</v>
      </c>
      <c r="K18" s="4">
        <f>IF(  K81&gt;$E$2, SUMIFS(IF($G$2="CPR",'Grid Data'!$V$4:$V$2342,'Grid Data'!$W$4:$W$2342),'Grid Data'!$N$4:$N$2342,$D18,'Grid Data'!$O$4:$O$2342,K$4,'Grid Data'!$M$4:$M$2342,$D$2)*100, 0)</f>
        <v>2.3945000000000003</v>
      </c>
      <c r="L18" s="4">
        <f>IF(  L81&gt;$E$2, SUMIFS(IF($G$2="CPR",'Grid Data'!$V$4:$V$2342,'Grid Data'!$W$4:$W$2342),'Grid Data'!$N$4:$N$2342,$D18,'Grid Data'!$O$4:$O$2342,L$4,'Grid Data'!$M$4:$M$2342,$D$2)*100, 0)</f>
        <v>2.5794000000000001</v>
      </c>
      <c r="M18" s="4">
        <f>IF(  M81&gt;$E$2, SUMIFS(IF($G$2="CPR",'Grid Data'!$V$4:$V$2342,'Grid Data'!$W$4:$W$2342),'Grid Data'!$N$4:$N$2342,$D18,'Grid Data'!$O$4:$O$2342,M$4,'Grid Data'!$M$4:$M$2342,$D$2)*100, 0)</f>
        <v>4.9711999999999996</v>
      </c>
      <c r="N18" s="4">
        <f>IF(  N81&gt;$E$2, SUMIFS(IF($G$2="CPR",'Grid Data'!$V$4:$V$2342,'Grid Data'!$W$4:$W$2342),'Grid Data'!$N$4:$N$2342,$D18,'Grid Data'!$O$4:$O$2342,N$4,'Grid Data'!$M$4:$M$2342,$D$2)*100, 0)</f>
        <v>5.7029000000000005</v>
      </c>
      <c r="O18" s="4">
        <f>IF(  O81&gt;$E$2, SUMIFS(IF($G$2="CPR",'Grid Data'!$V$4:$V$2342,'Grid Data'!$W$4:$W$2342),'Grid Data'!$N$4:$N$2342,$D18,'Grid Data'!$O$4:$O$2342,O$4,'Grid Data'!$M$4:$M$2342,$D$2)*100, 0)</f>
        <v>6.9528000000000008</v>
      </c>
      <c r="P18" s="4">
        <f>IF(  P81&gt;$E$2, SUMIFS(IF($G$2="CPR",'Grid Data'!$V$4:$V$2342,'Grid Data'!$W$4:$W$2342),'Grid Data'!$N$4:$N$2342,$D18,'Grid Data'!$O$4:$O$2342,P$4,'Grid Data'!$M$4:$M$2342,$D$2)*100, 0)</f>
        <v>3.8002000000000002</v>
      </c>
      <c r="Q18" s="4">
        <f>IF(  Q81&gt;$E$2, SUMIFS(IF($G$2="CPR",'Grid Data'!$V$4:$V$2342,'Grid Data'!$W$4:$W$2342),'Grid Data'!$N$4:$N$2342,$D18,'Grid Data'!$O$4:$O$2342,Q$4,'Grid Data'!$M$4:$M$2342,$D$2)*100, 0)</f>
        <v>5.1807999999999996</v>
      </c>
      <c r="R18" s="4">
        <f>IF(  R81&gt;$E$2, SUMIFS(IF($G$2="CPR",'Grid Data'!$V$4:$V$2342,'Grid Data'!$W$4:$W$2342),'Grid Data'!$N$4:$N$2342,$D18,'Grid Data'!$O$4:$O$2342,R$4,'Grid Data'!$M$4:$M$2342,$D$2)*100, 0)</f>
        <v>5.6867000000000001</v>
      </c>
      <c r="S18" s="4">
        <f>IF(  S81&gt;$E$2, SUMIFS(IF($G$2="CPR",'Grid Data'!$V$4:$V$2342,'Grid Data'!$W$4:$W$2342),'Grid Data'!$N$4:$N$2342,$D18,'Grid Data'!$O$4:$O$2342,S$4,'Grid Data'!$M$4:$M$2342,$D$2)*100, 0)</f>
        <v>8.1982999999999997</v>
      </c>
      <c r="T18" s="4">
        <f>IF(  T81&gt;$E$2, SUMIFS(IF($G$2="CPR",'Grid Data'!$V$4:$V$2342,'Grid Data'!$W$4:$W$2342),'Grid Data'!$N$4:$N$2342,$D18,'Grid Data'!$O$4:$O$2342,T$4,'Grid Data'!$M$4:$M$2342,$D$2)*100, 0)</f>
        <v>8.8981000000000012</v>
      </c>
      <c r="U18" s="4">
        <f>IF(  U81&gt;$E$2, SUMIFS(IF($G$2="CPR",'Grid Data'!$V$4:$V$2342,'Grid Data'!$W$4:$W$2342),'Grid Data'!$N$4:$N$2342,$D18,'Grid Data'!$O$4:$O$2342,U$4,'Grid Data'!$M$4:$M$2342,$D$2)*100, 0)</f>
        <v>5.9253</v>
      </c>
      <c r="V18" s="4">
        <f>IF(  V81&gt;$E$2, SUMIFS(IF($G$2="CPR",'Grid Data'!$V$4:$V$2342,'Grid Data'!$W$4:$W$2342),'Grid Data'!$N$4:$N$2342,$D18,'Grid Data'!$O$4:$O$2342,V$4,'Grid Data'!$M$4:$M$2342,$D$2)*100, 0)</f>
        <v>8.0717999999999996</v>
      </c>
      <c r="W18" s="4">
        <f>IF(  W81&gt;$E$2, SUMIFS(IF($G$2="CPR",'Grid Data'!$V$4:$V$2342,'Grid Data'!$W$4:$W$2342),'Grid Data'!$N$4:$N$2342,$D18,'Grid Data'!$O$4:$O$2342,W$4,'Grid Data'!$M$4:$M$2342,$D$2)*100, 0)</f>
        <v>5.4962999999999997</v>
      </c>
      <c r="X18" s="4">
        <f>IF(  X81&gt;$E$2, SUMIFS(IF($G$2="CPR",'Grid Data'!$V$4:$V$2342,'Grid Data'!$W$4:$W$2342),'Grid Data'!$N$4:$N$2342,$D18,'Grid Data'!$O$4:$O$2342,X$4,'Grid Data'!$M$4:$M$2342,$D$2)*100, 0)</f>
        <v>7.9529000000000005</v>
      </c>
      <c r="Y18" s="4">
        <f>IF(  Y81&gt;$E$2, SUMIFS(IF($G$2="CPR",'Grid Data'!$V$4:$V$2342,'Grid Data'!$W$4:$W$2342),'Grid Data'!$N$4:$N$2342,$D18,'Grid Data'!$O$4:$O$2342,Y$4,'Grid Data'!$M$4:$M$2342,$D$2)*100, 0)</f>
        <v>8.5272000000000006</v>
      </c>
      <c r="Z18" s="4">
        <f>IF(  Z81&gt;$E$2, SUMIFS(IF($G$2="CPR",'Grid Data'!$V$4:$V$2342,'Grid Data'!$W$4:$W$2342),'Grid Data'!$N$4:$N$2342,$D18,'Grid Data'!$O$4:$O$2342,Z$4,'Grid Data'!$M$4:$M$2342,$D$2)*100, 0)</f>
        <v>9.736699999999999</v>
      </c>
      <c r="AA18" s="4">
        <f>IF(  AA81&gt;$E$2, SUMIFS(IF($G$2="CPR",'Grid Data'!$V$4:$V$2342,'Grid Data'!$W$4:$W$2342),'Grid Data'!$N$4:$N$2342,$D18,'Grid Data'!$O$4:$O$2342,AA$4,'Grid Data'!$M$4:$M$2342,$D$2)*100, 0)</f>
        <v>6.3441000000000001</v>
      </c>
      <c r="AB18" s="4">
        <f>IF(  AB81&gt;$E$2, SUMIFS(IF($G$2="CPR",'Grid Data'!$V$4:$V$2342,'Grid Data'!$W$4:$W$2342),'Grid Data'!$N$4:$N$2342,$D18,'Grid Data'!$O$4:$O$2342,AB$4,'Grid Data'!$M$4:$M$2342,$D$2)*100, 0)</f>
        <v>14.105</v>
      </c>
      <c r="AC18" s="4">
        <f>IF(  AC81&gt;$E$2, SUMIFS(IF($G$2="CPR",'Grid Data'!$V$4:$V$2342,'Grid Data'!$W$4:$W$2342),'Grid Data'!$N$4:$N$2342,$D18,'Grid Data'!$O$4:$O$2342,AC$4,'Grid Data'!$M$4:$M$2342,$D$2)*100, 0)</f>
        <v>5.6362000000000005</v>
      </c>
      <c r="AD18" s="4">
        <f>IF(  AD81&gt;$E$2, SUMIFS(IF($G$2="CPR",'Grid Data'!$V$4:$V$2342,'Grid Data'!$W$4:$W$2342),'Grid Data'!$N$4:$N$2342,$D18,'Grid Data'!$O$4:$O$2342,AD$4,'Grid Data'!$M$4:$M$2342,$D$2)*100, 0)</f>
        <v>6.0933999999999999</v>
      </c>
      <c r="AE18" s="4">
        <f>IF(  AE81&gt;$E$2, SUMIFS(IF($G$2="CPR",'Grid Data'!$V$4:$V$2342,'Grid Data'!$W$4:$W$2342),'Grid Data'!$N$4:$N$2342,$D18,'Grid Data'!$O$4:$O$2342,AE$4,'Grid Data'!$M$4:$M$2342,$D$2)*100, 0)</f>
        <v>5.8883999999999999</v>
      </c>
      <c r="AF18" s="4">
        <f>IF(  AF81&gt;$E$2, SUMIFS(IF($G$2="CPR",'Grid Data'!$V$4:$V$2342,'Grid Data'!$W$4:$W$2342),'Grid Data'!$N$4:$N$2342,$D18,'Grid Data'!$O$4:$O$2342,AF$4,'Grid Data'!$M$4:$M$2342,$D$2)*100, 0)</f>
        <v>5.9973999999999998</v>
      </c>
      <c r="AG18" s="4">
        <f>IF(  AG81&gt;$E$2, SUMIFS(IF($G$2="CPR",'Grid Data'!$V$4:$V$2342,'Grid Data'!$W$4:$W$2342),'Grid Data'!$N$4:$N$2342,$D18,'Grid Data'!$O$4:$O$2342,AG$4,'Grid Data'!$M$4:$M$2342,$D$2)*100, 0)</f>
        <v>5.1421000000000001</v>
      </c>
      <c r="AH18" s="4">
        <f>IF(  AH81&gt;$E$2, SUMIFS(IF($G$2="CPR",'Grid Data'!$V$4:$V$2342,'Grid Data'!$W$4:$W$2342),'Grid Data'!$N$4:$N$2342,$D18,'Grid Data'!$O$4:$O$2342,AH$4,'Grid Data'!$M$4:$M$2342,$D$2)*100, 0)</f>
        <v>0</v>
      </c>
    </row>
    <row r="19" spans="4:34" x14ac:dyDescent="0.35">
      <c r="D19">
        <v>5500</v>
      </c>
      <c r="E19" s="4">
        <f>IF(  E82&gt;$E$2, SUMIFS(IF($G$2="CPR",'Grid Data'!$V$4:$V$2342,'Grid Data'!$W$4:$W$2342),'Grid Data'!$N$4:$N$2342,$D19,'Grid Data'!$O$4:$O$2342,E$4,'Grid Data'!$M$4:$M$2342,$D$2)*100, 0)</f>
        <v>0.99950000000000006</v>
      </c>
      <c r="F19" s="4">
        <f>IF(  F82&gt;$E$2, SUMIFS(IF($G$2="CPR",'Grid Data'!$V$4:$V$2342,'Grid Data'!$W$4:$W$2342),'Grid Data'!$N$4:$N$2342,$D19,'Grid Data'!$O$4:$O$2342,F$4,'Grid Data'!$M$4:$M$2342,$D$2)*100, 0)</f>
        <v>1.8647</v>
      </c>
      <c r="G19" s="4">
        <f>IF(  G82&gt;$E$2, SUMIFS(IF($G$2="CPR",'Grid Data'!$V$4:$V$2342,'Grid Data'!$W$4:$W$2342),'Grid Data'!$N$4:$N$2342,$D19,'Grid Data'!$O$4:$O$2342,G$4,'Grid Data'!$M$4:$M$2342,$D$2)*100, 0)</f>
        <v>3.7588999999999997</v>
      </c>
      <c r="H19" s="4">
        <f>IF(  H82&gt;$E$2, SUMIFS(IF($G$2="CPR",'Grid Data'!$V$4:$V$2342,'Grid Data'!$W$4:$W$2342),'Grid Data'!$N$4:$N$2342,$D19,'Grid Data'!$O$4:$O$2342,H$4,'Grid Data'!$M$4:$M$2342,$D$2)*100, 0)</f>
        <v>3.4411999999999998</v>
      </c>
      <c r="I19" s="4">
        <f>IF(  I82&gt;$E$2, SUMIFS(IF($G$2="CPR",'Grid Data'!$V$4:$V$2342,'Grid Data'!$W$4:$W$2342),'Grid Data'!$N$4:$N$2342,$D19,'Grid Data'!$O$4:$O$2342,I$4,'Grid Data'!$M$4:$M$2342,$D$2)*100, 0)</f>
        <v>2.4699999999999998</v>
      </c>
      <c r="J19" s="4">
        <f>IF(  J82&gt;$E$2, SUMIFS(IF($G$2="CPR",'Grid Data'!$V$4:$V$2342,'Grid Data'!$W$4:$W$2342),'Grid Data'!$N$4:$N$2342,$D19,'Grid Data'!$O$4:$O$2342,J$4,'Grid Data'!$M$4:$M$2342,$D$2)*100, 0)</f>
        <v>4.5617999999999999</v>
      </c>
      <c r="K19" s="4">
        <f>IF(  K82&gt;$E$2, SUMIFS(IF($G$2="CPR",'Grid Data'!$V$4:$V$2342,'Grid Data'!$W$4:$W$2342),'Grid Data'!$N$4:$N$2342,$D19,'Grid Data'!$O$4:$O$2342,K$4,'Grid Data'!$M$4:$M$2342,$D$2)*100, 0)</f>
        <v>3.7793000000000001</v>
      </c>
      <c r="L19" s="4">
        <f>IF(  L82&gt;$E$2, SUMIFS(IF($G$2="CPR",'Grid Data'!$V$4:$V$2342,'Grid Data'!$W$4:$W$2342),'Grid Data'!$N$4:$N$2342,$D19,'Grid Data'!$O$4:$O$2342,L$4,'Grid Data'!$M$4:$M$2342,$D$2)*100, 0)</f>
        <v>5.1821999999999999</v>
      </c>
      <c r="M19" s="4">
        <f>IF(  M82&gt;$E$2, SUMIFS(IF($G$2="CPR",'Grid Data'!$V$4:$V$2342,'Grid Data'!$W$4:$W$2342),'Grid Data'!$N$4:$N$2342,$D19,'Grid Data'!$O$4:$O$2342,M$4,'Grid Data'!$M$4:$M$2342,$D$2)*100, 0)</f>
        <v>6.2894000000000005</v>
      </c>
      <c r="N19" s="4">
        <f>IF(  N82&gt;$E$2, SUMIFS(IF($G$2="CPR",'Grid Data'!$V$4:$V$2342,'Grid Data'!$W$4:$W$2342),'Grid Data'!$N$4:$N$2342,$D19,'Grid Data'!$O$4:$O$2342,N$4,'Grid Data'!$M$4:$M$2342,$D$2)*100, 0)</f>
        <v>5.7561999999999998</v>
      </c>
      <c r="O19" s="4">
        <f>IF(  O82&gt;$E$2, SUMIFS(IF($G$2="CPR",'Grid Data'!$V$4:$V$2342,'Grid Data'!$W$4:$W$2342),'Grid Data'!$N$4:$N$2342,$D19,'Grid Data'!$O$4:$O$2342,O$4,'Grid Data'!$M$4:$M$2342,$D$2)*100, 0)</f>
        <v>4.9508000000000001</v>
      </c>
      <c r="P19" s="4">
        <f>IF(  P82&gt;$E$2, SUMIFS(IF($G$2="CPR",'Grid Data'!$V$4:$V$2342,'Grid Data'!$W$4:$W$2342),'Grid Data'!$N$4:$N$2342,$D19,'Grid Data'!$O$4:$O$2342,P$4,'Grid Data'!$M$4:$M$2342,$D$2)*100, 0)</f>
        <v>5.4778000000000002</v>
      </c>
      <c r="Q19" s="4">
        <f>IF(  Q82&gt;$E$2, SUMIFS(IF($G$2="CPR",'Grid Data'!$V$4:$V$2342,'Grid Data'!$W$4:$W$2342),'Grid Data'!$N$4:$N$2342,$D19,'Grid Data'!$O$4:$O$2342,Q$4,'Grid Data'!$M$4:$M$2342,$D$2)*100, 0)</f>
        <v>6.94</v>
      </c>
      <c r="R19" s="4">
        <f>IF(  R82&gt;$E$2, SUMIFS(IF($G$2="CPR",'Grid Data'!$V$4:$V$2342,'Grid Data'!$W$4:$W$2342),'Grid Data'!$N$4:$N$2342,$D19,'Grid Data'!$O$4:$O$2342,R$4,'Grid Data'!$M$4:$M$2342,$D$2)*100, 0)</f>
        <v>9.0841000000000012</v>
      </c>
      <c r="S19" s="4">
        <f>IF(  S82&gt;$E$2, SUMIFS(IF($G$2="CPR",'Grid Data'!$V$4:$V$2342,'Grid Data'!$W$4:$W$2342),'Grid Data'!$N$4:$N$2342,$D19,'Grid Data'!$O$4:$O$2342,S$4,'Grid Data'!$M$4:$M$2342,$D$2)*100, 0)</f>
        <v>7.4184999999999999</v>
      </c>
      <c r="T19" s="4">
        <f>IF(  T82&gt;$E$2, SUMIFS(IF($G$2="CPR",'Grid Data'!$V$4:$V$2342,'Grid Data'!$W$4:$W$2342),'Grid Data'!$N$4:$N$2342,$D19,'Grid Data'!$O$4:$O$2342,T$4,'Grid Data'!$M$4:$M$2342,$D$2)*100, 0)</f>
        <v>7.7967999999999993</v>
      </c>
      <c r="U19" s="4">
        <f>IF(  U82&gt;$E$2, SUMIFS(IF($G$2="CPR",'Grid Data'!$V$4:$V$2342,'Grid Data'!$W$4:$W$2342),'Grid Data'!$N$4:$N$2342,$D19,'Grid Data'!$O$4:$O$2342,U$4,'Grid Data'!$M$4:$M$2342,$D$2)*100, 0)</f>
        <v>34.156700000000001</v>
      </c>
      <c r="V19" s="4">
        <f>IF(  V82&gt;$E$2, SUMIFS(IF($G$2="CPR",'Grid Data'!$V$4:$V$2342,'Grid Data'!$W$4:$W$2342),'Grid Data'!$N$4:$N$2342,$D19,'Grid Data'!$O$4:$O$2342,V$4,'Grid Data'!$M$4:$M$2342,$D$2)*100, 0)</f>
        <v>0</v>
      </c>
      <c r="W19" s="4">
        <f>IF(  W82&gt;$E$2, SUMIFS(IF($G$2="CPR",'Grid Data'!$V$4:$V$2342,'Grid Data'!$W$4:$W$2342),'Grid Data'!$N$4:$N$2342,$D19,'Grid Data'!$O$4:$O$2342,W$4,'Grid Data'!$M$4:$M$2342,$D$2)*100, 0)</f>
        <v>31.693100000000001</v>
      </c>
      <c r="X19" s="4">
        <f>IF(  X82&gt;$E$2, SUMIFS(IF($G$2="CPR",'Grid Data'!$V$4:$V$2342,'Grid Data'!$W$4:$W$2342),'Grid Data'!$N$4:$N$2342,$D19,'Grid Data'!$O$4:$O$2342,X$4,'Grid Data'!$M$4:$M$2342,$D$2)*100, 0)</f>
        <v>8.3591999999999995</v>
      </c>
      <c r="Y19" s="4">
        <f>IF(  Y82&gt;$E$2, SUMIFS(IF($G$2="CPR",'Grid Data'!$V$4:$V$2342,'Grid Data'!$W$4:$W$2342),'Grid Data'!$N$4:$N$2342,$D19,'Grid Data'!$O$4:$O$2342,Y$4,'Grid Data'!$M$4:$M$2342,$D$2)*100, 0)</f>
        <v>8.9115000000000002</v>
      </c>
      <c r="Z19" s="4">
        <f>IF(  Z82&gt;$E$2, SUMIFS(IF($G$2="CPR",'Grid Data'!$V$4:$V$2342,'Grid Data'!$W$4:$W$2342),'Grid Data'!$N$4:$N$2342,$D19,'Grid Data'!$O$4:$O$2342,Z$4,'Grid Data'!$M$4:$M$2342,$D$2)*100, 0)</f>
        <v>7.3083999999999998</v>
      </c>
      <c r="AA19" s="4">
        <f>IF(  AA82&gt;$E$2, SUMIFS(IF($G$2="CPR",'Grid Data'!$V$4:$V$2342,'Grid Data'!$W$4:$W$2342),'Grid Data'!$N$4:$N$2342,$D19,'Grid Data'!$O$4:$O$2342,AA$4,'Grid Data'!$M$4:$M$2342,$D$2)*100, 0)</f>
        <v>0</v>
      </c>
      <c r="AB19" s="4">
        <f>IF(  AB82&gt;$E$2, SUMIFS(IF($G$2="CPR",'Grid Data'!$V$4:$V$2342,'Grid Data'!$W$4:$W$2342),'Grid Data'!$N$4:$N$2342,$D19,'Grid Data'!$O$4:$O$2342,AB$4,'Grid Data'!$M$4:$M$2342,$D$2)*100, 0)</f>
        <v>7.9035999999999991</v>
      </c>
      <c r="AC19" s="4">
        <f>IF(  AC82&gt;$E$2, SUMIFS(IF($G$2="CPR",'Grid Data'!$V$4:$V$2342,'Grid Data'!$W$4:$W$2342),'Grid Data'!$N$4:$N$2342,$D19,'Grid Data'!$O$4:$O$2342,AC$4,'Grid Data'!$M$4:$M$2342,$D$2)*100, 0)</f>
        <v>2.5746000000000002</v>
      </c>
      <c r="AD19" s="4">
        <f>IF(  AD82&gt;$E$2, SUMIFS(IF($G$2="CPR",'Grid Data'!$V$4:$V$2342,'Grid Data'!$W$4:$W$2342),'Grid Data'!$N$4:$N$2342,$D19,'Grid Data'!$O$4:$O$2342,AD$4,'Grid Data'!$M$4:$M$2342,$D$2)*100, 0)</f>
        <v>5.8135000000000003</v>
      </c>
      <c r="AE19" s="4">
        <f>IF(  AE82&gt;$E$2, SUMIFS(IF($G$2="CPR",'Grid Data'!$V$4:$V$2342,'Grid Data'!$W$4:$W$2342),'Grid Data'!$N$4:$N$2342,$D19,'Grid Data'!$O$4:$O$2342,AE$4,'Grid Data'!$M$4:$M$2342,$D$2)*100, 0)</f>
        <v>5.7972999999999999</v>
      </c>
      <c r="AF19" s="4">
        <f>IF(  AF82&gt;$E$2, SUMIFS(IF($G$2="CPR",'Grid Data'!$V$4:$V$2342,'Grid Data'!$W$4:$W$2342),'Grid Data'!$N$4:$N$2342,$D19,'Grid Data'!$O$4:$O$2342,AF$4,'Grid Data'!$M$4:$M$2342,$D$2)*100, 0)</f>
        <v>2.8134000000000001</v>
      </c>
      <c r="AG19" s="4">
        <f>IF(  AG82&gt;$E$2, SUMIFS(IF($G$2="CPR",'Grid Data'!$V$4:$V$2342,'Grid Data'!$W$4:$W$2342),'Grid Data'!$N$4:$N$2342,$D19,'Grid Data'!$O$4:$O$2342,AG$4,'Grid Data'!$M$4:$M$2342,$D$2)*100, 0)</f>
        <v>6.7368999999999994</v>
      </c>
      <c r="AH19" s="4">
        <f>IF(  AH82&gt;$E$2, SUMIFS(IF($G$2="CPR",'Grid Data'!$V$4:$V$2342,'Grid Data'!$W$4:$W$2342),'Grid Data'!$N$4:$N$2342,$D19,'Grid Data'!$O$4:$O$2342,AH$4,'Grid Data'!$M$4:$M$2342,$D$2)*100, 0)</f>
        <v>0</v>
      </c>
    </row>
    <row r="20" spans="4:34" x14ac:dyDescent="0.35">
      <c r="D20">
        <v>5750</v>
      </c>
      <c r="E20" s="4">
        <f>IF(  E83&gt;$E$2, SUMIFS(IF($G$2="CPR",'Grid Data'!$V$4:$V$2342,'Grid Data'!$W$4:$W$2342),'Grid Data'!$N$4:$N$2342,$D20,'Grid Data'!$O$4:$O$2342,E$4,'Grid Data'!$M$4:$M$2342,$D$2)*100, 0)</f>
        <v>1.1844999999999999</v>
      </c>
      <c r="F20" s="4">
        <f>IF(  F83&gt;$E$2, SUMIFS(IF($G$2="CPR",'Grid Data'!$V$4:$V$2342,'Grid Data'!$W$4:$W$2342),'Grid Data'!$N$4:$N$2342,$D20,'Grid Data'!$O$4:$O$2342,F$4,'Grid Data'!$M$4:$M$2342,$D$2)*100, 0)</f>
        <v>4.0002999999999993</v>
      </c>
      <c r="G20" s="4">
        <f>IF(  G83&gt;$E$2, SUMIFS(IF($G$2="CPR",'Grid Data'!$V$4:$V$2342,'Grid Data'!$W$4:$W$2342),'Grid Data'!$N$4:$N$2342,$D20,'Grid Data'!$O$4:$O$2342,G$4,'Grid Data'!$M$4:$M$2342,$D$2)*100, 0)</f>
        <v>3.2988000000000004</v>
      </c>
      <c r="H20" s="4">
        <f>IF(  H83&gt;$E$2, SUMIFS(IF($G$2="CPR",'Grid Data'!$V$4:$V$2342,'Grid Data'!$W$4:$W$2342),'Grid Data'!$N$4:$N$2342,$D20,'Grid Data'!$O$4:$O$2342,H$4,'Grid Data'!$M$4:$M$2342,$D$2)*100, 0)</f>
        <v>4.5723000000000003</v>
      </c>
      <c r="I20" s="4">
        <f>IF(  I83&gt;$E$2, SUMIFS(IF($G$2="CPR",'Grid Data'!$V$4:$V$2342,'Grid Data'!$W$4:$W$2342),'Grid Data'!$N$4:$N$2342,$D20,'Grid Data'!$O$4:$O$2342,I$4,'Grid Data'!$M$4:$M$2342,$D$2)*100, 0)</f>
        <v>8.2805999999999997</v>
      </c>
      <c r="J20" s="4">
        <f>IF(  J83&gt;$E$2, SUMIFS(IF($G$2="CPR",'Grid Data'!$V$4:$V$2342,'Grid Data'!$W$4:$W$2342),'Grid Data'!$N$4:$N$2342,$D20,'Grid Data'!$O$4:$O$2342,J$4,'Grid Data'!$M$4:$M$2342,$D$2)*100, 0)</f>
        <v>4.2250000000000005</v>
      </c>
      <c r="K20" s="4">
        <f>IF(  K83&gt;$E$2, SUMIFS(IF($G$2="CPR",'Grid Data'!$V$4:$V$2342,'Grid Data'!$W$4:$W$2342),'Grid Data'!$N$4:$N$2342,$D20,'Grid Data'!$O$4:$O$2342,K$4,'Grid Data'!$M$4:$M$2342,$D$2)*100, 0)</f>
        <v>4.7542</v>
      </c>
      <c r="L20" s="4">
        <f>IF(  L83&gt;$E$2, SUMIFS(IF($G$2="CPR",'Grid Data'!$V$4:$V$2342,'Grid Data'!$W$4:$W$2342),'Grid Data'!$N$4:$N$2342,$D20,'Grid Data'!$O$4:$O$2342,L$4,'Grid Data'!$M$4:$M$2342,$D$2)*100, 0)</f>
        <v>6.4163999999999994</v>
      </c>
      <c r="M20" s="4">
        <f>IF(  M83&gt;$E$2, SUMIFS(IF($G$2="CPR",'Grid Data'!$V$4:$V$2342,'Grid Data'!$W$4:$W$2342),'Grid Data'!$N$4:$N$2342,$D20,'Grid Data'!$O$4:$O$2342,M$4,'Grid Data'!$M$4:$M$2342,$D$2)*100, 0)</f>
        <v>7.6024999999999991</v>
      </c>
      <c r="N20" s="4">
        <f>IF(  N83&gt;$E$2, SUMIFS(IF($G$2="CPR",'Grid Data'!$V$4:$V$2342,'Grid Data'!$W$4:$W$2342),'Grid Data'!$N$4:$N$2342,$D20,'Grid Data'!$O$4:$O$2342,N$4,'Grid Data'!$M$4:$M$2342,$D$2)*100, 0)</f>
        <v>7.2857000000000003</v>
      </c>
      <c r="O20" s="4">
        <f>IF(  O83&gt;$E$2, SUMIFS(IF($G$2="CPR",'Grid Data'!$V$4:$V$2342,'Grid Data'!$W$4:$W$2342),'Grid Data'!$N$4:$N$2342,$D20,'Grid Data'!$O$4:$O$2342,O$4,'Grid Data'!$M$4:$M$2342,$D$2)*100, 0)</f>
        <v>6.2558000000000007</v>
      </c>
      <c r="P20" s="4">
        <f>IF(  P83&gt;$E$2, SUMIFS(IF($G$2="CPR",'Grid Data'!$V$4:$V$2342,'Grid Data'!$W$4:$W$2342),'Grid Data'!$N$4:$N$2342,$D20,'Grid Data'!$O$4:$O$2342,P$4,'Grid Data'!$M$4:$M$2342,$D$2)*100, 0)</f>
        <v>8.3596000000000004</v>
      </c>
      <c r="Q20" s="4">
        <f>IF(  Q83&gt;$E$2, SUMIFS(IF($G$2="CPR",'Grid Data'!$V$4:$V$2342,'Grid Data'!$W$4:$W$2342),'Grid Data'!$N$4:$N$2342,$D20,'Grid Data'!$O$4:$O$2342,Q$4,'Grid Data'!$M$4:$M$2342,$D$2)*100, 0)</f>
        <v>8.2919999999999998</v>
      </c>
      <c r="R20" s="4">
        <f>IF(  R83&gt;$E$2, SUMIFS(IF($G$2="CPR",'Grid Data'!$V$4:$V$2342,'Grid Data'!$W$4:$W$2342),'Grid Data'!$N$4:$N$2342,$D20,'Grid Data'!$O$4:$O$2342,R$4,'Grid Data'!$M$4:$M$2342,$D$2)*100, 0)</f>
        <v>8.5442999999999998</v>
      </c>
      <c r="S20" s="4">
        <f>IF(  S83&gt;$E$2, SUMIFS(IF($G$2="CPR",'Grid Data'!$V$4:$V$2342,'Grid Data'!$W$4:$W$2342),'Grid Data'!$N$4:$N$2342,$D20,'Grid Data'!$O$4:$O$2342,S$4,'Grid Data'!$M$4:$M$2342,$D$2)*100, 0)</f>
        <v>10.061299999999999</v>
      </c>
      <c r="T20" s="4">
        <f>IF(  T83&gt;$E$2, SUMIFS(IF($G$2="CPR",'Grid Data'!$V$4:$V$2342,'Grid Data'!$W$4:$W$2342),'Grid Data'!$N$4:$N$2342,$D20,'Grid Data'!$O$4:$O$2342,T$4,'Grid Data'!$M$4:$M$2342,$D$2)*100, 0)</f>
        <v>8.5564</v>
      </c>
      <c r="U20" s="4">
        <f>IF(  U83&gt;$E$2, SUMIFS(IF($G$2="CPR",'Grid Data'!$V$4:$V$2342,'Grid Data'!$W$4:$W$2342),'Grid Data'!$N$4:$N$2342,$D20,'Grid Data'!$O$4:$O$2342,U$4,'Grid Data'!$M$4:$M$2342,$D$2)*100, 0)</f>
        <v>0</v>
      </c>
      <c r="V20" s="4">
        <f>IF(  V83&gt;$E$2, SUMIFS(IF($G$2="CPR",'Grid Data'!$V$4:$V$2342,'Grid Data'!$W$4:$W$2342),'Grid Data'!$N$4:$N$2342,$D20,'Grid Data'!$O$4:$O$2342,V$4,'Grid Data'!$M$4:$M$2342,$D$2)*100, 0)</f>
        <v>0</v>
      </c>
      <c r="W20" s="4">
        <f>IF(  W83&gt;$E$2, SUMIFS(IF($G$2="CPR",'Grid Data'!$V$4:$V$2342,'Grid Data'!$W$4:$W$2342),'Grid Data'!$N$4:$N$2342,$D20,'Grid Data'!$O$4:$O$2342,W$4,'Grid Data'!$M$4:$M$2342,$D$2)*100, 0)</f>
        <v>0</v>
      </c>
      <c r="X20" s="4">
        <f>IF(  X83&gt;$E$2, SUMIFS(IF($G$2="CPR",'Grid Data'!$V$4:$V$2342,'Grid Data'!$W$4:$W$2342),'Grid Data'!$N$4:$N$2342,$D20,'Grid Data'!$O$4:$O$2342,X$4,'Grid Data'!$M$4:$M$2342,$D$2)*100, 0)</f>
        <v>8.9870000000000001</v>
      </c>
      <c r="Y20" s="4">
        <f>IF(  Y83&gt;$E$2, SUMIFS(IF($G$2="CPR",'Grid Data'!$V$4:$V$2342,'Grid Data'!$W$4:$W$2342),'Grid Data'!$N$4:$N$2342,$D20,'Grid Data'!$O$4:$O$2342,Y$4,'Grid Data'!$M$4:$M$2342,$D$2)*100, 0)</f>
        <v>8.6010000000000009</v>
      </c>
      <c r="Z20" s="4">
        <f>IF(  Z83&gt;$E$2, SUMIFS(IF($G$2="CPR",'Grid Data'!$V$4:$V$2342,'Grid Data'!$W$4:$W$2342),'Grid Data'!$N$4:$N$2342,$D20,'Grid Data'!$O$4:$O$2342,Z$4,'Grid Data'!$M$4:$M$2342,$D$2)*100, 0)</f>
        <v>8.8132999999999999</v>
      </c>
      <c r="AA20" s="4">
        <f>IF(  AA83&gt;$E$2, SUMIFS(IF($G$2="CPR",'Grid Data'!$V$4:$V$2342,'Grid Data'!$W$4:$W$2342),'Grid Data'!$N$4:$N$2342,$D20,'Grid Data'!$O$4:$O$2342,AA$4,'Grid Data'!$M$4:$M$2342,$D$2)*100, 0)</f>
        <v>0</v>
      </c>
      <c r="AB20" s="4">
        <f>IF(  AB83&gt;$E$2, SUMIFS(IF($G$2="CPR",'Grid Data'!$V$4:$V$2342,'Grid Data'!$W$4:$W$2342),'Grid Data'!$N$4:$N$2342,$D20,'Grid Data'!$O$4:$O$2342,AB$4,'Grid Data'!$M$4:$M$2342,$D$2)*100, 0)</f>
        <v>7.6321000000000003</v>
      </c>
      <c r="AC20" s="4">
        <f>IF(  AC83&gt;$E$2, SUMIFS(IF($G$2="CPR",'Grid Data'!$V$4:$V$2342,'Grid Data'!$W$4:$W$2342),'Grid Data'!$N$4:$N$2342,$D20,'Grid Data'!$O$4:$O$2342,AC$4,'Grid Data'!$M$4:$M$2342,$D$2)*100, 0)</f>
        <v>0</v>
      </c>
      <c r="AD20" s="4">
        <f>IF(  AD83&gt;$E$2, SUMIFS(IF($G$2="CPR",'Grid Data'!$V$4:$V$2342,'Grid Data'!$W$4:$W$2342),'Grid Data'!$N$4:$N$2342,$D20,'Grid Data'!$O$4:$O$2342,AD$4,'Grid Data'!$M$4:$M$2342,$D$2)*100, 0)</f>
        <v>7.4817999999999998</v>
      </c>
      <c r="AE20" s="4">
        <f>IF(  AE83&gt;$E$2, SUMIFS(IF($G$2="CPR",'Grid Data'!$V$4:$V$2342,'Grid Data'!$W$4:$W$2342),'Grid Data'!$N$4:$N$2342,$D20,'Grid Data'!$O$4:$O$2342,AE$4,'Grid Data'!$M$4:$M$2342,$D$2)*100, 0)</f>
        <v>5.6261999999999999</v>
      </c>
      <c r="AF20" s="4">
        <f>IF(  AF83&gt;$E$2, SUMIFS(IF($G$2="CPR",'Grid Data'!$V$4:$V$2342,'Grid Data'!$W$4:$W$2342),'Grid Data'!$N$4:$N$2342,$D20,'Grid Data'!$O$4:$O$2342,AF$4,'Grid Data'!$M$4:$M$2342,$D$2)*100, 0)</f>
        <v>1.9171</v>
      </c>
      <c r="AG20" s="4">
        <f>IF(  AG83&gt;$E$2, SUMIFS(IF($G$2="CPR",'Grid Data'!$V$4:$V$2342,'Grid Data'!$W$4:$W$2342),'Grid Data'!$N$4:$N$2342,$D20,'Grid Data'!$O$4:$O$2342,AG$4,'Grid Data'!$M$4:$M$2342,$D$2)*100, 0)</f>
        <v>6.6229999999999993</v>
      </c>
      <c r="AH20" s="4">
        <f>IF(  AH83&gt;$E$2, SUMIFS(IF($G$2="CPR",'Grid Data'!$V$4:$V$2342,'Grid Data'!$W$4:$W$2342),'Grid Data'!$N$4:$N$2342,$D20,'Grid Data'!$O$4:$O$2342,AH$4,'Grid Data'!$M$4:$M$2342,$D$2)*100, 0)</f>
        <v>9.3199000000000005</v>
      </c>
    </row>
    <row r="21" spans="4:34" x14ac:dyDescent="0.35">
      <c r="D21">
        <v>6000</v>
      </c>
      <c r="E21" s="4">
        <f>IF(  E84&gt;$E$2, SUMIFS(IF($G$2="CPR",'Grid Data'!$V$4:$V$2342,'Grid Data'!$W$4:$W$2342),'Grid Data'!$N$4:$N$2342,$D21,'Grid Data'!$O$4:$O$2342,E$4,'Grid Data'!$M$4:$M$2342,$D$2)*100, 0)</f>
        <v>1.6403000000000001</v>
      </c>
      <c r="F21" s="4">
        <f>IF(  F84&gt;$E$2, SUMIFS(IF($G$2="CPR",'Grid Data'!$V$4:$V$2342,'Grid Data'!$W$4:$W$2342),'Grid Data'!$N$4:$N$2342,$D21,'Grid Data'!$O$4:$O$2342,F$4,'Grid Data'!$M$4:$M$2342,$D$2)*100, 0)</f>
        <v>5.8997000000000002</v>
      </c>
      <c r="G21" s="4">
        <f>IF(  G84&gt;$E$2, SUMIFS(IF($G$2="CPR",'Grid Data'!$V$4:$V$2342,'Grid Data'!$W$4:$W$2342),'Grid Data'!$N$4:$N$2342,$D21,'Grid Data'!$O$4:$O$2342,G$4,'Grid Data'!$M$4:$M$2342,$D$2)*100, 0)</f>
        <v>11.3725</v>
      </c>
      <c r="H21" s="4">
        <f>IF(  H84&gt;$E$2, SUMIFS(IF($G$2="CPR",'Grid Data'!$V$4:$V$2342,'Grid Data'!$W$4:$W$2342),'Grid Data'!$N$4:$N$2342,$D21,'Grid Data'!$O$4:$O$2342,H$4,'Grid Data'!$M$4:$M$2342,$D$2)*100, 0)</f>
        <v>7.7066999999999997</v>
      </c>
      <c r="I21" s="4">
        <f>IF(  I84&gt;$E$2, SUMIFS(IF($G$2="CPR",'Grid Data'!$V$4:$V$2342,'Grid Data'!$W$4:$W$2342),'Grid Data'!$N$4:$N$2342,$D21,'Grid Data'!$O$4:$O$2342,I$4,'Grid Data'!$M$4:$M$2342,$D$2)*100, 0)</f>
        <v>7.2523</v>
      </c>
      <c r="J21" s="4">
        <f>IF(  J84&gt;$E$2, SUMIFS(IF($G$2="CPR",'Grid Data'!$V$4:$V$2342,'Grid Data'!$W$4:$W$2342),'Grid Data'!$N$4:$N$2342,$D21,'Grid Data'!$O$4:$O$2342,J$4,'Grid Data'!$M$4:$M$2342,$D$2)*100, 0)</f>
        <v>8.6921999999999997</v>
      </c>
      <c r="K21" s="4">
        <f>IF(  K84&gt;$E$2, SUMIFS(IF($G$2="CPR",'Grid Data'!$V$4:$V$2342,'Grid Data'!$W$4:$W$2342),'Grid Data'!$N$4:$N$2342,$D21,'Grid Data'!$O$4:$O$2342,K$4,'Grid Data'!$M$4:$M$2342,$D$2)*100, 0)</f>
        <v>8.2477</v>
      </c>
      <c r="L21" s="4">
        <f>IF(  L84&gt;$E$2, SUMIFS(IF($G$2="CPR",'Grid Data'!$V$4:$V$2342,'Grid Data'!$W$4:$W$2342),'Grid Data'!$N$4:$N$2342,$D21,'Grid Data'!$O$4:$O$2342,L$4,'Grid Data'!$M$4:$M$2342,$D$2)*100, 0)</f>
        <v>10.546099999999999</v>
      </c>
      <c r="M21" s="4">
        <f>IF(  M84&gt;$E$2, SUMIFS(IF($G$2="CPR",'Grid Data'!$V$4:$V$2342,'Grid Data'!$W$4:$W$2342),'Grid Data'!$N$4:$N$2342,$D21,'Grid Data'!$O$4:$O$2342,M$4,'Grid Data'!$M$4:$M$2342,$D$2)*100, 0)</f>
        <v>10.526399999999999</v>
      </c>
      <c r="N21" s="4">
        <f>IF(  N84&gt;$E$2, SUMIFS(IF($G$2="CPR",'Grid Data'!$V$4:$V$2342,'Grid Data'!$W$4:$W$2342),'Grid Data'!$N$4:$N$2342,$D21,'Grid Data'!$O$4:$O$2342,N$4,'Grid Data'!$M$4:$M$2342,$D$2)*100, 0)</f>
        <v>9.3896999999999995</v>
      </c>
      <c r="O21" s="4">
        <f>IF(  O84&gt;$E$2, SUMIFS(IF($G$2="CPR",'Grid Data'!$V$4:$V$2342,'Grid Data'!$W$4:$W$2342),'Grid Data'!$N$4:$N$2342,$D21,'Grid Data'!$O$4:$O$2342,O$4,'Grid Data'!$M$4:$M$2342,$D$2)*100, 0)</f>
        <v>10.049900000000001</v>
      </c>
      <c r="P21" s="4">
        <f>IF(  P84&gt;$E$2, SUMIFS(IF($G$2="CPR",'Grid Data'!$V$4:$V$2342,'Grid Data'!$W$4:$W$2342),'Grid Data'!$N$4:$N$2342,$D21,'Grid Data'!$O$4:$O$2342,P$4,'Grid Data'!$M$4:$M$2342,$D$2)*100, 0)</f>
        <v>10.5914</v>
      </c>
      <c r="Q21" s="4">
        <f>IF(  Q84&gt;$E$2, SUMIFS(IF($G$2="CPR",'Grid Data'!$V$4:$V$2342,'Grid Data'!$W$4:$W$2342),'Grid Data'!$N$4:$N$2342,$D21,'Grid Data'!$O$4:$O$2342,Q$4,'Grid Data'!$M$4:$M$2342,$D$2)*100, 0)</f>
        <v>9.694700000000001</v>
      </c>
      <c r="R21" s="4">
        <f>IF(  R84&gt;$E$2, SUMIFS(IF($G$2="CPR",'Grid Data'!$V$4:$V$2342,'Grid Data'!$W$4:$W$2342),'Grid Data'!$N$4:$N$2342,$D21,'Grid Data'!$O$4:$O$2342,R$4,'Grid Data'!$M$4:$M$2342,$D$2)*100, 0)</f>
        <v>11.185700000000001</v>
      </c>
      <c r="S21" s="4">
        <f>IF(  S84&gt;$E$2, SUMIFS(IF($G$2="CPR",'Grid Data'!$V$4:$V$2342,'Grid Data'!$W$4:$W$2342),'Grid Data'!$N$4:$N$2342,$D21,'Grid Data'!$O$4:$O$2342,S$4,'Grid Data'!$M$4:$M$2342,$D$2)*100, 0)</f>
        <v>11.1129</v>
      </c>
      <c r="T21" s="4">
        <f>IF(  T84&gt;$E$2, SUMIFS(IF($G$2="CPR",'Grid Data'!$V$4:$V$2342,'Grid Data'!$W$4:$W$2342),'Grid Data'!$N$4:$N$2342,$D21,'Grid Data'!$O$4:$O$2342,T$4,'Grid Data'!$M$4:$M$2342,$D$2)*100, 0)</f>
        <v>10.63</v>
      </c>
      <c r="U21" s="4">
        <f>IF(  U84&gt;$E$2, SUMIFS(IF($G$2="CPR",'Grid Data'!$V$4:$V$2342,'Grid Data'!$W$4:$W$2342),'Grid Data'!$N$4:$N$2342,$D21,'Grid Data'!$O$4:$O$2342,U$4,'Grid Data'!$M$4:$M$2342,$D$2)*100, 0)</f>
        <v>0</v>
      </c>
      <c r="V21" s="4">
        <f>IF(  V84&gt;$E$2, SUMIFS(IF($G$2="CPR",'Grid Data'!$V$4:$V$2342,'Grid Data'!$W$4:$W$2342),'Grid Data'!$N$4:$N$2342,$D21,'Grid Data'!$O$4:$O$2342,V$4,'Grid Data'!$M$4:$M$2342,$D$2)*100, 0)</f>
        <v>0</v>
      </c>
      <c r="W21" s="4">
        <f>IF(  W84&gt;$E$2, SUMIFS(IF($G$2="CPR",'Grid Data'!$V$4:$V$2342,'Grid Data'!$W$4:$W$2342),'Grid Data'!$N$4:$N$2342,$D21,'Grid Data'!$O$4:$O$2342,W$4,'Grid Data'!$M$4:$M$2342,$D$2)*100, 0)</f>
        <v>0</v>
      </c>
      <c r="X21" s="4">
        <f>IF(  X84&gt;$E$2, SUMIFS(IF($G$2="CPR",'Grid Data'!$V$4:$V$2342,'Grid Data'!$W$4:$W$2342),'Grid Data'!$N$4:$N$2342,$D21,'Grid Data'!$O$4:$O$2342,X$4,'Grid Data'!$M$4:$M$2342,$D$2)*100, 0)</f>
        <v>13.629</v>
      </c>
      <c r="Y21" s="4">
        <f>IF(  Y84&gt;$E$2, SUMIFS(IF($G$2="CPR",'Grid Data'!$V$4:$V$2342,'Grid Data'!$W$4:$W$2342),'Grid Data'!$N$4:$N$2342,$D21,'Grid Data'!$O$4:$O$2342,Y$4,'Grid Data'!$M$4:$M$2342,$D$2)*100, 0)</f>
        <v>6.0935999999999995</v>
      </c>
      <c r="Z21" s="4">
        <f>IF(  Z84&gt;$E$2, SUMIFS(IF($G$2="CPR",'Grid Data'!$V$4:$V$2342,'Grid Data'!$W$4:$W$2342),'Grid Data'!$N$4:$N$2342,$D21,'Grid Data'!$O$4:$O$2342,Z$4,'Grid Data'!$M$4:$M$2342,$D$2)*100, 0)</f>
        <v>0</v>
      </c>
      <c r="AA21" s="4">
        <f>IF(  AA84&gt;$E$2, SUMIFS(IF($G$2="CPR",'Grid Data'!$V$4:$V$2342,'Grid Data'!$W$4:$W$2342),'Grid Data'!$N$4:$N$2342,$D21,'Grid Data'!$O$4:$O$2342,AA$4,'Grid Data'!$M$4:$M$2342,$D$2)*100, 0)</f>
        <v>0</v>
      </c>
      <c r="AB21" s="4">
        <f>IF(  AB84&gt;$E$2, SUMIFS(IF($G$2="CPR",'Grid Data'!$V$4:$V$2342,'Grid Data'!$W$4:$W$2342),'Grid Data'!$N$4:$N$2342,$D21,'Grid Data'!$O$4:$O$2342,AB$4,'Grid Data'!$M$4:$M$2342,$D$2)*100, 0)</f>
        <v>0</v>
      </c>
      <c r="AC21" s="4">
        <f>IF(  AC84&gt;$E$2, SUMIFS(IF($G$2="CPR",'Grid Data'!$V$4:$V$2342,'Grid Data'!$W$4:$W$2342),'Grid Data'!$N$4:$N$2342,$D21,'Grid Data'!$O$4:$O$2342,AC$4,'Grid Data'!$M$4:$M$2342,$D$2)*100, 0)</f>
        <v>0</v>
      </c>
      <c r="AD21" s="4">
        <f>IF(  AD84&gt;$E$2, SUMIFS(IF($G$2="CPR",'Grid Data'!$V$4:$V$2342,'Grid Data'!$W$4:$W$2342),'Grid Data'!$N$4:$N$2342,$D21,'Grid Data'!$O$4:$O$2342,AD$4,'Grid Data'!$M$4:$M$2342,$D$2)*100, 0)</f>
        <v>14.448700000000001</v>
      </c>
      <c r="AE21" s="4">
        <f>IF(  AE84&gt;$E$2, SUMIFS(IF($G$2="CPR",'Grid Data'!$V$4:$V$2342,'Grid Data'!$W$4:$W$2342),'Grid Data'!$N$4:$N$2342,$D21,'Grid Data'!$O$4:$O$2342,AE$4,'Grid Data'!$M$4:$M$2342,$D$2)*100, 0)</f>
        <v>5.8264000000000005</v>
      </c>
      <c r="AF21" s="4">
        <f>IF(  AF84&gt;$E$2, SUMIFS(IF($G$2="CPR",'Grid Data'!$V$4:$V$2342,'Grid Data'!$W$4:$W$2342),'Grid Data'!$N$4:$N$2342,$D21,'Grid Data'!$O$4:$O$2342,AF$4,'Grid Data'!$M$4:$M$2342,$D$2)*100, 0)</f>
        <v>6.6859999999999999</v>
      </c>
      <c r="AG21" s="4">
        <f>IF(  AG84&gt;$E$2, SUMIFS(IF($G$2="CPR",'Grid Data'!$V$4:$V$2342,'Grid Data'!$W$4:$W$2342),'Grid Data'!$N$4:$N$2342,$D21,'Grid Data'!$O$4:$O$2342,AG$4,'Grid Data'!$M$4:$M$2342,$D$2)*100, 0)</f>
        <v>6.6252000000000004</v>
      </c>
      <c r="AH21" s="4">
        <f>IF(  AH84&gt;$E$2, SUMIFS(IF($G$2="CPR",'Grid Data'!$V$4:$V$2342,'Grid Data'!$W$4:$W$2342),'Grid Data'!$N$4:$N$2342,$D21,'Grid Data'!$O$4:$O$2342,AH$4,'Grid Data'!$M$4:$M$2342,$D$2)*100, 0)</f>
        <v>9.3974000000000011</v>
      </c>
    </row>
    <row r="22" spans="4:34" x14ac:dyDescent="0.35">
      <c r="D22">
        <v>6250</v>
      </c>
      <c r="E22" s="4">
        <f>IF(  E85&gt;$E$2, SUMIFS(IF($G$2="CPR",'Grid Data'!$V$4:$V$2342,'Grid Data'!$W$4:$W$2342),'Grid Data'!$N$4:$N$2342,$D22,'Grid Data'!$O$4:$O$2342,E$4,'Grid Data'!$M$4:$M$2342,$D$2)*100, 0)</f>
        <v>1.8402000000000003</v>
      </c>
      <c r="F22" s="4">
        <f>IF(  F85&gt;$E$2, SUMIFS(IF($G$2="CPR",'Grid Data'!$V$4:$V$2342,'Grid Data'!$W$4:$W$2342),'Grid Data'!$N$4:$N$2342,$D22,'Grid Data'!$O$4:$O$2342,F$4,'Grid Data'!$M$4:$M$2342,$D$2)*100, 0)</f>
        <v>10.892899999999999</v>
      </c>
      <c r="G22" s="4">
        <f>IF(  G85&gt;$E$2, SUMIFS(IF($G$2="CPR",'Grid Data'!$V$4:$V$2342,'Grid Data'!$W$4:$W$2342),'Grid Data'!$N$4:$N$2342,$D22,'Grid Data'!$O$4:$O$2342,G$4,'Grid Data'!$M$4:$M$2342,$D$2)*100, 0)</f>
        <v>16.915500000000002</v>
      </c>
      <c r="H22" s="4">
        <f>IF(  H85&gt;$E$2, SUMIFS(IF($G$2="CPR",'Grid Data'!$V$4:$V$2342,'Grid Data'!$W$4:$W$2342),'Grid Data'!$N$4:$N$2342,$D22,'Grid Data'!$O$4:$O$2342,H$4,'Grid Data'!$M$4:$M$2342,$D$2)*100, 0)</f>
        <v>13.211500000000001</v>
      </c>
      <c r="I22" s="4">
        <f>IF(  I85&gt;$E$2, SUMIFS(IF($G$2="CPR",'Grid Data'!$V$4:$V$2342,'Grid Data'!$W$4:$W$2342),'Grid Data'!$N$4:$N$2342,$D22,'Grid Data'!$O$4:$O$2342,I$4,'Grid Data'!$M$4:$M$2342,$D$2)*100, 0)</f>
        <v>12.799900000000001</v>
      </c>
      <c r="J22" s="4">
        <f>IF(  J85&gt;$E$2, SUMIFS(IF($G$2="CPR",'Grid Data'!$V$4:$V$2342,'Grid Data'!$W$4:$W$2342),'Grid Data'!$N$4:$N$2342,$D22,'Grid Data'!$O$4:$O$2342,J$4,'Grid Data'!$M$4:$M$2342,$D$2)*100, 0)</f>
        <v>13.0967</v>
      </c>
      <c r="K22" s="4">
        <f>IF(  K85&gt;$E$2, SUMIFS(IF($G$2="CPR",'Grid Data'!$V$4:$V$2342,'Grid Data'!$W$4:$W$2342),'Grid Data'!$N$4:$N$2342,$D22,'Grid Data'!$O$4:$O$2342,K$4,'Grid Data'!$M$4:$M$2342,$D$2)*100, 0)</f>
        <v>13.9619</v>
      </c>
      <c r="L22" s="4">
        <f>IF(  L85&gt;$E$2, SUMIFS(IF($G$2="CPR",'Grid Data'!$V$4:$V$2342,'Grid Data'!$W$4:$W$2342),'Grid Data'!$N$4:$N$2342,$D22,'Grid Data'!$O$4:$O$2342,L$4,'Grid Data'!$M$4:$M$2342,$D$2)*100, 0)</f>
        <v>15.445300000000001</v>
      </c>
      <c r="M22" s="4">
        <f>IF(  M85&gt;$E$2, SUMIFS(IF($G$2="CPR",'Grid Data'!$V$4:$V$2342,'Grid Data'!$W$4:$W$2342),'Grid Data'!$N$4:$N$2342,$D22,'Grid Data'!$O$4:$O$2342,M$4,'Grid Data'!$M$4:$M$2342,$D$2)*100, 0)</f>
        <v>14.163700000000002</v>
      </c>
      <c r="N22" s="4">
        <f>IF(  N85&gt;$E$2, SUMIFS(IF($G$2="CPR",'Grid Data'!$V$4:$V$2342,'Grid Data'!$W$4:$W$2342),'Grid Data'!$N$4:$N$2342,$D22,'Grid Data'!$O$4:$O$2342,N$4,'Grid Data'!$M$4:$M$2342,$D$2)*100, 0)</f>
        <v>13.791300000000001</v>
      </c>
      <c r="O22" s="4">
        <f>IF(  O85&gt;$E$2, SUMIFS(IF($G$2="CPR",'Grid Data'!$V$4:$V$2342,'Grid Data'!$W$4:$W$2342),'Grid Data'!$N$4:$N$2342,$D22,'Grid Data'!$O$4:$O$2342,O$4,'Grid Data'!$M$4:$M$2342,$D$2)*100, 0)</f>
        <v>13.994899999999999</v>
      </c>
      <c r="P22" s="4">
        <f>IF(  P85&gt;$E$2, SUMIFS(IF($G$2="CPR",'Grid Data'!$V$4:$V$2342,'Grid Data'!$W$4:$W$2342),'Grid Data'!$N$4:$N$2342,$D22,'Grid Data'!$O$4:$O$2342,P$4,'Grid Data'!$M$4:$M$2342,$D$2)*100, 0)</f>
        <v>13.680100000000001</v>
      </c>
      <c r="Q22" s="4">
        <f>IF(  Q85&gt;$E$2, SUMIFS(IF($G$2="CPR",'Grid Data'!$V$4:$V$2342,'Grid Data'!$W$4:$W$2342),'Grid Data'!$N$4:$N$2342,$D22,'Grid Data'!$O$4:$O$2342,Q$4,'Grid Data'!$M$4:$M$2342,$D$2)*100, 0)</f>
        <v>13.2608</v>
      </c>
      <c r="R22" s="4">
        <f>IF(  R85&gt;$E$2, SUMIFS(IF($G$2="CPR",'Grid Data'!$V$4:$V$2342,'Grid Data'!$W$4:$W$2342),'Grid Data'!$N$4:$N$2342,$D22,'Grid Data'!$O$4:$O$2342,R$4,'Grid Data'!$M$4:$M$2342,$D$2)*100, 0)</f>
        <v>14.3805</v>
      </c>
      <c r="S22" s="4">
        <f>IF(  S85&gt;$E$2, SUMIFS(IF($G$2="CPR",'Grid Data'!$V$4:$V$2342,'Grid Data'!$W$4:$W$2342),'Grid Data'!$N$4:$N$2342,$D22,'Grid Data'!$O$4:$O$2342,S$4,'Grid Data'!$M$4:$M$2342,$D$2)*100, 0)</f>
        <v>14.8119</v>
      </c>
      <c r="T22" s="4">
        <f>IF(  T85&gt;$E$2, SUMIFS(IF($G$2="CPR",'Grid Data'!$V$4:$V$2342,'Grid Data'!$W$4:$W$2342),'Grid Data'!$N$4:$N$2342,$D22,'Grid Data'!$O$4:$O$2342,T$4,'Grid Data'!$M$4:$M$2342,$D$2)*100, 0)</f>
        <v>11.0206</v>
      </c>
      <c r="U22" s="4">
        <f>IF(  U85&gt;$E$2, SUMIFS(IF($G$2="CPR",'Grid Data'!$V$4:$V$2342,'Grid Data'!$W$4:$W$2342),'Grid Data'!$N$4:$N$2342,$D22,'Grid Data'!$O$4:$O$2342,U$4,'Grid Data'!$M$4:$M$2342,$D$2)*100, 0)</f>
        <v>0</v>
      </c>
      <c r="V22" s="4">
        <f>IF(  V85&gt;$E$2, SUMIFS(IF($G$2="CPR",'Grid Data'!$V$4:$V$2342,'Grid Data'!$W$4:$W$2342),'Grid Data'!$N$4:$N$2342,$D22,'Grid Data'!$O$4:$O$2342,V$4,'Grid Data'!$M$4:$M$2342,$D$2)*100, 0)</f>
        <v>0</v>
      </c>
      <c r="W22" s="4">
        <f>IF(  W85&gt;$E$2, SUMIFS(IF($G$2="CPR",'Grid Data'!$V$4:$V$2342,'Grid Data'!$W$4:$W$2342),'Grid Data'!$N$4:$N$2342,$D22,'Grid Data'!$O$4:$O$2342,W$4,'Grid Data'!$M$4:$M$2342,$D$2)*100, 0)</f>
        <v>0</v>
      </c>
      <c r="X22" s="4">
        <f>IF(  X85&gt;$E$2, SUMIFS(IF($G$2="CPR",'Grid Data'!$V$4:$V$2342,'Grid Data'!$W$4:$W$2342),'Grid Data'!$N$4:$N$2342,$D22,'Grid Data'!$O$4:$O$2342,X$4,'Grid Data'!$M$4:$M$2342,$D$2)*100, 0)</f>
        <v>6.6233000000000004</v>
      </c>
      <c r="Y22" s="4">
        <f>IF(  Y85&gt;$E$2, SUMIFS(IF($G$2="CPR",'Grid Data'!$V$4:$V$2342,'Grid Data'!$W$4:$W$2342),'Grid Data'!$N$4:$N$2342,$D22,'Grid Data'!$O$4:$O$2342,Y$4,'Grid Data'!$M$4:$M$2342,$D$2)*100, 0)</f>
        <v>10.942300000000001</v>
      </c>
      <c r="Z22" s="4">
        <f>IF(  Z85&gt;$E$2, SUMIFS(IF($G$2="CPR",'Grid Data'!$V$4:$V$2342,'Grid Data'!$W$4:$W$2342),'Grid Data'!$N$4:$N$2342,$D22,'Grid Data'!$O$4:$O$2342,Z$4,'Grid Data'!$M$4:$M$2342,$D$2)*100, 0)</f>
        <v>0</v>
      </c>
      <c r="AA22" s="4">
        <f>IF(  AA85&gt;$E$2, SUMIFS(IF($G$2="CPR",'Grid Data'!$V$4:$V$2342,'Grid Data'!$W$4:$W$2342),'Grid Data'!$N$4:$N$2342,$D22,'Grid Data'!$O$4:$O$2342,AA$4,'Grid Data'!$M$4:$M$2342,$D$2)*100, 0)</f>
        <v>0</v>
      </c>
      <c r="AB22" s="4">
        <f>IF(  AB85&gt;$E$2, SUMIFS(IF($G$2="CPR",'Grid Data'!$V$4:$V$2342,'Grid Data'!$W$4:$W$2342),'Grid Data'!$N$4:$N$2342,$D22,'Grid Data'!$O$4:$O$2342,AB$4,'Grid Data'!$M$4:$M$2342,$D$2)*100, 0)</f>
        <v>0</v>
      </c>
      <c r="AC22" s="4">
        <f>IF(  AC85&gt;$E$2, SUMIFS(IF($G$2="CPR",'Grid Data'!$V$4:$V$2342,'Grid Data'!$W$4:$W$2342),'Grid Data'!$N$4:$N$2342,$D22,'Grid Data'!$O$4:$O$2342,AC$4,'Grid Data'!$M$4:$M$2342,$D$2)*100, 0)</f>
        <v>0</v>
      </c>
      <c r="AD22" s="4">
        <f>IF(  AD85&gt;$E$2, SUMIFS(IF($G$2="CPR",'Grid Data'!$V$4:$V$2342,'Grid Data'!$W$4:$W$2342),'Grid Data'!$N$4:$N$2342,$D22,'Grid Data'!$O$4:$O$2342,AD$4,'Grid Data'!$M$4:$M$2342,$D$2)*100, 0)</f>
        <v>0</v>
      </c>
      <c r="AE22" s="4">
        <f>IF(  AE85&gt;$E$2, SUMIFS(IF($G$2="CPR",'Grid Data'!$V$4:$V$2342,'Grid Data'!$W$4:$W$2342),'Grid Data'!$N$4:$N$2342,$D22,'Grid Data'!$O$4:$O$2342,AE$4,'Grid Data'!$M$4:$M$2342,$D$2)*100, 0)</f>
        <v>9.1989000000000001</v>
      </c>
      <c r="AF22" s="4">
        <f>IF(  AF85&gt;$E$2, SUMIFS(IF($G$2="CPR",'Grid Data'!$V$4:$V$2342,'Grid Data'!$W$4:$W$2342),'Grid Data'!$N$4:$N$2342,$D22,'Grid Data'!$O$4:$O$2342,AF$4,'Grid Data'!$M$4:$M$2342,$D$2)*100, 0)</f>
        <v>9.6823000000000015</v>
      </c>
      <c r="AG22" s="4">
        <f>IF(  AG85&gt;$E$2, SUMIFS(IF($G$2="CPR",'Grid Data'!$V$4:$V$2342,'Grid Data'!$W$4:$W$2342),'Grid Data'!$N$4:$N$2342,$D22,'Grid Data'!$O$4:$O$2342,AG$4,'Grid Data'!$M$4:$M$2342,$D$2)*100, 0)</f>
        <v>6.9810999999999996</v>
      </c>
      <c r="AH22" s="4">
        <f>IF(  AH85&gt;$E$2, SUMIFS(IF($G$2="CPR",'Grid Data'!$V$4:$V$2342,'Grid Data'!$W$4:$W$2342),'Grid Data'!$N$4:$N$2342,$D22,'Grid Data'!$O$4:$O$2342,AH$4,'Grid Data'!$M$4:$M$2342,$D$2)*100, 0)</f>
        <v>18.1477</v>
      </c>
    </row>
    <row r="23" spans="4:34" x14ac:dyDescent="0.35">
      <c r="D23">
        <v>6500</v>
      </c>
      <c r="E23" s="4">
        <f>IF(  E86&gt;$E$2, SUMIFS(IF($G$2="CPR",'Grid Data'!$V$4:$V$2342,'Grid Data'!$W$4:$W$2342),'Grid Data'!$N$4:$N$2342,$D23,'Grid Data'!$O$4:$O$2342,E$4,'Grid Data'!$M$4:$M$2342,$D$2)*100, 0)</f>
        <v>2.5923000000000003</v>
      </c>
      <c r="F23" s="4">
        <f>IF(  F86&gt;$E$2, SUMIFS(IF($G$2="CPR",'Grid Data'!$V$4:$V$2342,'Grid Data'!$W$4:$W$2342),'Grid Data'!$N$4:$N$2342,$D23,'Grid Data'!$O$4:$O$2342,F$4,'Grid Data'!$M$4:$M$2342,$D$2)*100, 0)</f>
        <v>17.5425</v>
      </c>
      <c r="G23" s="4">
        <f>IF(  G86&gt;$E$2, SUMIFS(IF($G$2="CPR",'Grid Data'!$V$4:$V$2342,'Grid Data'!$W$4:$W$2342),'Grid Data'!$N$4:$N$2342,$D23,'Grid Data'!$O$4:$O$2342,G$4,'Grid Data'!$M$4:$M$2342,$D$2)*100, 0)</f>
        <v>25.3569</v>
      </c>
      <c r="H23" s="4">
        <f>IF(  H86&gt;$E$2, SUMIFS(IF($G$2="CPR",'Grid Data'!$V$4:$V$2342,'Grid Data'!$W$4:$W$2342),'Grid Data'!$N$4:$N$2342,$D23,'Grid Data'!$O$4:$O$2342,H$4,'Grid Data'!$M$4:$M$2342,$D$2)*100, 0)</f>
        <v>22.595299999999998</v>
      </c>
      <c r="I23" s="4">
        <f>IF(  I86&gt;$E$2, SUMIFS(IF($G$2="CPR",'Grid Data'!$V$4:$V$2342,'Grid Data'!$W$4:$W$2342),'Grid Data'!$N$4:$N$2342,$D23,'Grid Data'!$O$4:$O$2342,I$4,'Grid Data'!$M$4:$M$2342,$D$2)*100, 0)</f>
        <v>18.121100000000002</v>
      </c>
      <c r="J23" s="4">
        <f>IF(  J86&gt;$E$2, SUMIFS(IF($G$2="CPR",'Grid Data'!$V$4:$V$2342,'Grid Data'!$W$4:$W$2342),'Grid Data'!$N$4:$N$2342,$D23,'Grid Data'!$O$4:$O$2342,J$4,'Grid Data'!$M$4:$M$2342,$D$2)*100, 0)</f>
        <v>16.692299999999999</v>
      </c>
      <c r="K23" s="4">
        <f>IF(  K86&gt;$E$2, SUMIFS(IF($G$2="CPR",'Grid Data'!$V$4:$V$2342,'Grid Data'!$W$4:$W$2342),'Grid Data'!$N$4:$N$2342,$D23,'Grid Data'!$O$4:$O$2342,K$4,'Grid Data'!$M$4:$M$2342,$D$2)*100, 0)</f>
        <v>16.516100000000002</v>
      </c>
      <c r="L23" s="4">
        <f>IF(  L86&gt;$E$2, SUMIFS(IF($G$2="CPR",'Grid Data'!$V$4:$V$2342,'Grid Data'!$W$4:$W$2342),'Grid Data'!$N$4:$N$2342,$D23,'Grid Data'!$O$4:$O$2342,L$4,'Grid Data'!$M$4:$M$2342,$D$2)*100, 0)</f>
        <v>17.934200000000001</v>
      </c>
      <c r="M23" s="4">
        <f>IF(  M86&gt;$E$2, SUMIFS(IF($G$2="CPR",'Grid Data'!$V$4:$V$2342,'Grid Data'!$W$4:$W$2342),'Grid Data'!$N$4:$N$2342,$D23,'Grid Data'!$O$4:$O$2342,M$4,'Grid Data'!$M$4:$M$2342,$D$2)*100, 0)</f>
        <v>16.698499999999999</v>
      </c>
      <c r="N23" s="4">
        <f>IF(  N86&gt;$E$2, SUMIFS(IF($G$2="CPR",'Grid Data'!$V$4:$V$2342,'Grid Data'!$W$4:$W$2342),'Grid Data'!$N$4:$N$2342,$D23,'Grid Data'!$O$4:$O$2342,N$4,'Grid Data'!$M$4:$M$2342,$D$2)*100, 0)</f>
        <v>15.266499999999999</v>
      </c>
      <c r="O23" s="4">
        <f>IF(  O86&gt;$E$2, SUMIFS(IF($G$2="CPR",'Grid Data'!$V$4:$V$2342,'Grid Data'!$W$4:$W$2342),'Grid Data'!$N$4:$N$2342,$D23,'Grid Data'!$O$4:$O$2342,O$4,'Grid Data'!$M$4:$M$2342,$D$2)*100, 0)</f>
        <v>15.588900000000001</v>
      </c>
      <c r="P23" s="4">
        <f>IF(  P86&gt;$E$2, SUMIFS(IF($G$2="CPR",'Grid Data'!$V$4:$V$2342,'Grid Data'!$W$4:$W$2342),'Grid Data'!$N$4:$N$2342,$D23,'Grid Data'!$O$4:$O$2342,P$4,'Grid Data'!$M$4:$M$2342,$D$2)*100, 0)</f>
        <v>19.246199999999998</v>
      </c>
      <c r="Q23" s="4">
        <f>IF(  Q86&gt;$E$2, SUMIFS(IF($G$2="CPR",'Grid Data'!$V$4:$V$2342,'Grid Data'!$W$4:$W$2342),'Grid Data'!$N$4:$N$2342,$D23,'Grid Data'!$O$4:$O$2342,Q$4,'Grid Data'!$M$4:$M$2342,$D$2)*100, 0)</f>
        <v>17.2059</v>
      </c>
      <c r="R23" s="4">
        <f>IF(  R86&gt;$E$2, SUMIFS(IF($G$2="CPR",'Grid Data'!$V$4:$V$2342,'Grid Data'!$W$4:$W$2342),'Grid Data'!$N$4:$N$2342,$D23,'Grid Data'!$O$4:$O$2342,R$4,'Grid Data'!$M$4:$M$2342,$D$2)*100, 0)</f>
        <v>15.9323</v>
      </c>
      <c r="S23" s="4">
        <f>IF(  S86&gt;$E$2, SUMIFS(IF($G$2="CPR",'Grid Data'!$V$4:$V$2342,'Grid Data'!$W$4:$W$2342),'Grid Data'!$N$4:$N$2342,$D23,'Grid Data'!$O$4:$O$2342,S$4,'Grid Data'!$M$4:$M$2342,$D$2)*100, 0)</f>
        <v>17.092399999999998</v>
      </c>
      <c r="T23" s="4">
        <f>IF(  T86&gt;$E$2, SUMIFS(IF($G$2="CPR",'Grid Data'!$V$4:$V$2342,'Grid Data'!$W$4:$W$2342),'Grid Data'!$N$4:$N$2342,$D23,'Grid Data'!$O$4:$O$2342,T$4,'Grid Data'!$M$4:$M$2342,$D$2)*100, 0)</f>
        <v>8.0861999999999998</v>
      </c>
      <c r="U23" s="4">
        <f>IF(  U86&gt;$E$2, SUMIFS(IF($G$2="CPR",'Grid Data'!$V$4:$V$2342,'Grid Data'!$W$4:$W$2342),'Grid Data'!$N$4:$N$2342,$D23,'Grid Data'!$O$4:$O$2342,U$4,'Grid Data'!$M$4:$M$2342,$D$2)*100, 0)</f>
        <v>0</v>
      </c>
      <c r="V23" s="4">
        <f>IF(  V86&gt;$E$2, SUMIFS(IF($G$2="CPR",'Grid Data'!$V$4:$V$2342,'Grid Data'!$W$4:$W$2342),'Grid Data'!$N$4:$N$2342,$D23,'Grid Data'!$O$4:$O$2342,V$4,'Grid Data'!$M$4:$M$2342,$D$2)*100, 0)</f>
        <v>0</v>
      </c>
      <c r="W23" s="4">
        <f>IF(  W86&gt;$E$2, SUMIFS(IF($G$2="CPR",'Grid Data'!$V$4:$V$2342,'Grid Data'!$W$4:$W$2342),'Grid Data'!$N$4:$N$2342,$D23,'Grid Data'!$O$4:$O$2342,W$4,'Grid Data'!$M$4:$M$2342,$D$2)*100, 0)</f>
        <v>0</v>
      </c>
      <c r="X23" s="4">
        <f>IF(  X86&gt;$E$2, SUMIFS(IF($G$2="CPR",'Grid Data'!$V$4:$V$2342,'Grid Data'!$W$4:$W$2342),'Grid Data'!$N$4:$N$2342,$D23,'Grid Data'!$O$4:$O$2342,X$4,'Grid Data'!$M$4:$M$2342,$D$2)*100, 0)</f>
        <v>0</v>
      </c>
      <c r="Y23" s="4">
        <f>IF(  Y86&gt;$E$2, SUMIFS(IF($G$2="CPR",'Grid Data'!$V$4:$V$2342,'Grid Data'!$W$4:$W$2342),'Grid Data'!$N$4:$N$2342,$D23,'Grid Data'!$O$4:$O$2342,Y$4,'Grid Data'!$M$4:$M$2342,$D$2)*100, 0)</f>
        <v>0</v>
      </c>
      <c r="Z23" s="4">
        <f>IF(  Z86&gt;$E$2, SUMIFS(IF($G$2="CPR",'Grid Data'!$V$4:$V$2342,'Grid Data'!$W$4:$W$2342),'Grid Data'!$N$4:$N$2342,$D23,'Grid Data'!$O$4:$O$2342,Z$4,'Grid Data'!$M$4:$M$2342,$D$2)*100, 0)</f>
        <v>0</v>
      </c>
      <c r="AA23" s="4">
        <f>IF(  AA86&gt;$E$2, SUMIFS(IF($G$2="CPR",'Grid Data'!$V$4:$V$2342,'Grid Data'!$W$4:$W$2342),'Grid Data'!$N$4:$N$2342,$D23,'Grid Data'!$O$4:$O$2342,AA$4,'Grid Data'!$M$4:$M$2342,$D$2)*100, 0)</f>
        <v>0</v>
      </c>
      <c r="AB23" s="4">
        <f>IF(  AB86&gt;$E$2, SUMIFS(IF($G$2="CPR",'Grid Data'!$V$4:$V$2342,'Grid Data'!$W$4:$W$2342),'Grid Data'!$N$4:$N$2342,$D23,'Grid Data'!$O$4:$O$2342,AB$4,'Grid Data'!$M$4:$M$2342,$D$2)*100, 0)</f>
        <v>0</v>
      </c>
      <c r="AC23" s="4">
        <f>IF(  AC86&gt;$E$2, SUMIFS(IF($G$2="CPR",'Grid Data'!$V$4:$V$2342,'Grid Data'!$W$4:$W$2342),'Grid Data'!$N$4:$N$2342,$D23,'Grid Data'!$O$4:$O$2342,AC$4,'Grid Data'!$M$4:$M$2342,$D$2)*100, 0)</f>
        <v>16.911899999999999</v>
      </c>
      <c r="AD23" s="4">
        <f>IF(  AD86&gt;$E$2, SUMIFS(IF($G$2="CPR",'Grid Data'!$V$4:$V$2342,'Grid Data'!$W$4:$W$2342),'Grid Data'!$N$4:$N$2342,$D23,'Grid Data'!$O$4:$O$2342,AD$4,'Grid Data'!$M$4:$M$2342,$D$2)*100, 0)</f>
        <v>10.8774</v>
      </c>
      <c r="AE23" s="4">
        <f>IF(  AE86&gt;$E$2, SUMIFS(IF($G$2="CPR",'Grid Data'!$V$4:$V$2342,'Grid Data'!$W$4:$W$2342),'Grid Data'!$N$4:$N$2342,$D23,'Grid Data'!$O$4:$O$2342,AE$4,'Grid Data'!$M$4:$M$2342,$D$2)*100, 0)</f>
        <v>7.3467000000000002</v>
      </c>
      <c r="AF23" s="4">
        <f>IF(  AF86&gt;$E$2, SUMIFS(IF($G$2="CPR",'Grid Data'!$V$4:$V$2342,'Grid Data'!$W$4:$W$2342),'Grid Data'!$N$4:$N$2342,$D23,'Grid Data'!$O$4:$O$2342,AF$4,'Grid Data'!$M$4:$M$2342,$D$2)*100, 0)</f>
        <v>6.5397999999999996</v>
      </c>
      <c r="AG23" s="4">
        <f>IF(  AG86&gt;$E$2, SUMIFS(IF($G$2="CPR",'Grid Data'!$V$4:$V$2342,'Grid Data'!$W$4:$W$2342),'Grid Data'!$N$4:$N$2342,$D23,'Grid Data'!$O$4:$O$2342,AG$4,'Grid Data'!$M$4:$M$2342,$D$2)*100, 0)</f>
        <v>6.5740000000000007</v>
      </c>
      <c r="AH23" s="4">
        <f>IF(  AH86&gt;$E$2, SUMIFS(IF($G$2="CPR",'Grid Data'!$V$4:$V$2342,'Grid Data'!$W$4:$W$2342),'Grid Data'!$N$4:$N$2342,$D23,'Grid Data'!$O$4:$O$2342,AH$4,'Grid Data'!$M$4:$M$2342,$D$2)*100, 0)</f>
        <v>9.5408999999999988</v>
      </c>
    </row>
    <row r="24" spans="4:34" x14ac:dyDescent="0.35">
      <c r="D24">
        <v>6750</v>
      </c>
      <c r="E24" s="4">
        <f>IF(  E87&gt;$E$2, SUMIFS(IF($G$2="CPR",'Grid Data'!$V$4:$V$2342,'Grid Data'!$W$4:$W$2342),'Grid Data'!$N$4:$N$2342,$D24,'Grid Data'!$O$4:$O$2342,E$4,'Grid Data'!$M$4:$M$2342,$D$2)*100, 0)</f>
        <v>3.3723999999999998</v>
      </c>
      <c r="F24" s="4">
        <f>IF(  F87&gt;$E$2, SUMIFS(IF($G$2="CPR",'Grid Data'!$V$4:$V$2342,'Grid Data'!$W$4:$W$2342),'Grid Data'!$N$4:$N$2342,$D24,'Grid Data'!$O$4:$O$2342,F$4,'Grid Data'!$M$4:$M$2342,$D$2)*100, 0)</f>
        <v>28.336299999999998</v>
      </c>
      <c r="G24" s="4">
        <f>IF(  G87&gt;$E$2, SUMIFS(IF($G$2="CPR",'Grid Data'!$V$4:$V$2342,'Grid Data'!$W$4:$W$2342),'Grid Data'!$N$4:$N$2342,$D24,'Grid Data'!$O$4:$O$2342,G$4,'Grid Data'!$M$4:$M$2342,$D$2)*100, 0)</f>
        <v>36.857700000000001</v>
      </c>
      <c r="H24" s="4">
        <f>IF(  H87&gt;$E$2, SUMIFS(IF($G$2="CPR",'Grid Data'!$V$4:$V$2342,'Grid Data'!$W$4:$W$2342),'Grid Data'!$N$4:$N$2342,$D24,'Grid Data'!$O$4:$O$2342,H$4,'Grid Data'!$M$4:$M$2342,$D$2)*100, 0)</f>
        <v>31.074000000000002</v>
      </c>
      <c r="I24" s="4">
        <f>IF(  I87&gt;$E$2, SUMIFS(IF($G$2="CPR",'Grid Data'!$V$4:$V$2342,'Grid Data'!$W$4:$W$2342),'Grid Data'!$N$4:$N$2342,$D24,'Grid Data'!$O$4:$O$2342,I$4,'Grid Data'!$M$4:$M$2342,$D$2)*100, 0)</f>
        <v>25.554300000000001</v>
      </c>
      <c r="J24" s="4">
        <f>IF(  J87&gt;$E$2, SUMIFS(IF($G$2="CPR",'Grid Data'!$V$4:$V$2342,'Grid Data'!$W$4:$W$2342),'Grid Data'!$N$4:$N$2342,$D24,'Grid Data'!$O$4:$O$2342,J$4,'Grid Data'!$M$4:$M$2342,$D$2)*100, 0)</f>
        <v>23.156299999999998</v>
      </c>
      <c r="K24" s="4">
        <f>IF(  K87&gt;$E$2, SUMIFS(IF($G$2="CPR",'Grid Data'!$V$4:$V$2342,'Grid Data'!$W$4:$W$2342),'Grid Data'!$N$4:$N$2342,$D24,'Grid Data'!$O$4:$O$2342,K$4,'Grid Data'!$M$4:$M$2342,$D$2)*100, 0)</f>
        <v>24.697500000000002</v>
      </c>
      <c r="L24" s="4">
        <f>IF(  L87&gt;$E$2, SUMIFS(IF($G$2="CPR",'Grid Data'!$V$4:$V$2342,'Grid Data'!$W$4:$W$2342),'Grid Data'!$N$4:$N$2342,$D24,'Grid Data'!$O$4:$O$2342,L$4,'Grid Data'!$M$4:$M$2342,$D$2)*100, 0)</f>
        <v>24.132300000000001</v>
      </c>
      <c r="M24" s="4">
        <f>IF(  M87&gt;$E$2, SUMIFS(IF($G$2="CPR",'Grid Data'!$V$4:$V$2342,'Grid Data'!$W$4:$W$2342),'Grid Data'!$N$4:$N$2342,$D24,'Grid Data'!$O$4:$O$2342,M$4,'Grid Data'!$M$4:$M$2342,$D$2)*100, 0)</f>
        <v>21.375399999999999</v>
      </c>
      <c r="N24" s="4">
        <f>IF(  N87&gt;$E$2, SUMIFS(IF($G$2="CPR",'Grid Data'!$V$4:$V$2342,'Grid Data'!$W$4:$W$2342),'Grid Data'!$N$4:$N$2342,$D24,'Grid Data'!$O$4:$O$2342,N$4,'Grid Data'!$M$4:$M$2342,$D$2)*100, 0)</f>
        <v>18.0944</v>
      </c>
      <c r="O24" s="4">
        <f>IF(  O87&gt;$E$2, SUMIFS(IF($G$2="CPR",'Grid Data'!$V$4:$V$2342,'Grid Data'!$W$4:$W$2342),'Grid Data'!$N$4:$N$2342,$D24,'Grid Data'!$O$4:$O$2342,O$4,'Grid Data'!$M$4:$M$2342,$D$2)*100, 0)</f>
        <v>19.653700000000001</v>
      </c>
      <c r="P24" s="4">
        <f>IF(  P87&gt;$E$2, SUMIFS(IF($G$2="CPR",'Grid Data'!$V$4:$V$2342,'Grid Data'!$W$4:$W$2342),'Grid Data'!$N$4:$N$2342,$D24,'Grid Data'!$O$4:$O$2342,P$4,'Grid Data'!$M$4:$M$2342,$D$2)*100, 0)</f>
        <v>21.545500000000001</v>
      </c>
      <c r="Q24" s="4">
        <f>IF(  Q87&gt;$E$2, SUMIFS(IF($G$2="CPR",'Grid Data'!$V$4:$V$2342,'Grid Data'!$W$4:$W$2342),'Grid Data'!$N$4:$N$2342,$D24,'Grid Data'!$O$4:$O$2342,Q$4,'Grid Data'!$M$4:$M$2342,$D$2)*100, 0)</f>
        <v>18.608000000000001</v>
      </c>
      <c r="R24" s="4">
        <f>IF(  R87&gt;$E$2, SUMIFS(IF($G$2="CPR",'Grid Data'!$V$4:$V$2342,'Grid Data'!$W$4:$W$2342),'Grid Data'!$N$4:$N$2342,$D24,'Grid Data'!$O$4:$O$2342,R$4,'Grid Data'!$M$4:$M$2342,$D$2)*100, 0)</f>
        <v>19.471399999999999</v>
      </c>
      <c r="S24" s="4">
        <f>IF(  S87&gt;$E$2, SUMIFS(IF($G$2="CPR",'Grid Data'!$V$4:$V$2342,'Grid Data'!$W$4:$W$2342),'Grid Data'!$N$4:$N$2342,$D24,'Grid Data'!$O$4:$O$2342,S$4,'Grid Data'!$M$4:$M$2342,$D$2)*100, 0)</f>
        <v>21.845200000000002</v>
      </c>
      <c r="T24" s="4">
        <f>IF(  T87&gt;$E$2, SUMIFS(IF($G$2="CPR",'Grid Data'!$V$4:$V$2342,'Grid Data'!$W$4:$W$2342),'Grid Data'!$N$4:$N$2342,$D24,'Grid Data'!$O$4:$O$2342,T$4,'Grid Data'!$M$4:$M$2342,$D$2)*100, 0)</f>
        <v>11.115</v>
      </c>
      <c r="U24" s="4">
        <f>IF(  U87&gt;$E$2, SUMIFS(IF($G$2="CPR",'Grid Data'!$V$4:$V$2342,'Grid Data'!$W$4:$W$2342),'Grid Data'!$N$4:$N$2342,$D24,'Grid Data'!$O$4:$O$2342,U$4,'Grid Data'!$M$4:$M$2342,$D$2)*100, 0)</f>
        <v>0</v>
      </c>
      <c r="V24" s="4">
        <f>IF(  V87&gt;$E$2, SUMIFS(IF($G$2="CPR",'Grid Data'!$V$4:$V$2342,'Grid Data'!$W$4:$W$2342),'Grid Data'!$N$4:$N$2342,$D24,'Grid Data'!$O$4:$O$2342,V$4,'Grid Data'!$M$4:$M$2342,$D$2)*100, 0)</f>
        <v>0</v>
      </c>
      <c r="W24" s="4">
        <f>IF(  W87&gt;$E$2, SUMIFS(IF($G$2="CPR",'Grid Data'!$V$4:$V$2342,'Grid Data'!$W$4:$W$2342),'Grid Data'!$N$4:$N$2342,$D24,'Grid Data'!$O$4:$O$2342,W$4,'Grid Data'!$M$4:$M$2342,$D$2)*100, 0)</f>
        <v>0</v>
      </c>
      <c r="X24" s="4">
        <f>IF(  X87&gt;$E$2, SUMIFS(IF($G$2="CPR",'Grid Data'!$V$4:$V$2342,'Grid Data'!$W$4:$W$2342),'Grid Data'!$N$4:$N$2342,$D24,'Grid Data'!$O$4:$O$2342,X$4,'Grid Data'!$M$4:$M$2342,$D$2)*100, 0)</f>
        <v>0</v>
      </c>
      <c r="Y24" s="4">
        <f>IF(  Y87&gt;$E$2, SUMIFS(IF($G$2="CPR",'Grid Data'!$V$4:$V$2342,'Grid Data'!$W$4:$W$2342),'Grid Data'!$N$4:$N$2342,$D24,'Grid Data'!$O$4:$O$2342,Y$4,'Grid Data'!$M$4:$M$2342,$D$2)*100, 0)</f>
        <v>0</v>
      </c>
      <c r="Z24" s="4">
        <f>IF(  Z87&gt;$E$2, SUMIFS(IF($G$2="CPR",'Grid Data'!$V$4:$V$2342,'Grid Data'!$W$4:$W$2342),'Grid Data'!$N$4:$N$2342,$D24,'Grid Data'!$O$4:$O$2342,Z$4,'Grid Data'!$M$4:$M$2342,$D$2)*100, 0)</f>
        <v>0</v>
      </c>
      <c r="AA24" s="4">
        <f>IF(  AA87&gt;$E$2, SUMIFS(IF($G$2="CPR",'Grid Data'!$V$4:$V$2342,'Grid Data'!$W$4:$W$2342),'Grid Data'!$N$4:$N$2342,$D24,'Grid Data'!$O$4:$O$2342,AA$4,'Grid Data'!$M$4:$M$2342,$D$2)*100, 0)</f>
        <v>0</v>
      </c>
      <c r="AB24" s="4">
        <f>IF(  AB87&gt;$E$2, SUMIFS(IF($G$2="CPR",'Grid Data'!$V$4:$V$2342,'Grid Data'!$W$4:$W$2342),'Grid Data'!$N$4:$N$2342,$D24,'Grid Data'!$O$4:$O$2342,AB$4,'Grid Data'!$M$4:$M$2342,$D$2)*100, 0)</f>
        <v>0</v>
      </c>
      <c r="AC24" s="4">
        <f>IF(  AC87&gt;$E$2, SUMIFS(IF($G$2="CPR",'Grid Data'!$V$4:$V$2342,'Grid Data'!$W$4:$W$2342),'Grid Data'!$N$4:$N$2342,$D24,'Grid Data'!$O$4:$O$2342,AC$4,'Grid Data'!$M$4:$M$2342,$D$2)*100, 0)</f>
        <v>0</v>
      </c>
      <c r="AD24" s="4">
        <f>IF(  AD87&gt;$E$2, SUMIFS(IF($G$2="CPR",'Grid Data'!$V$4:$V$2342,'Grid Data'!$W$4:$W$2342),'Grid Data'!$N$4:$N$2342,$D24,'Grid Data'!$O$4:$O$2342,AD$4,'Grid Data'!$M$4:$M$2342,$D$2)*100, 0)</f>
        <v>0</v>
      </c>
      <c r="AE24" s="4">
        <f>IF(  AE87&gt;$E$2, SUMIFS(IF($G$2="CPR",'Grid Data'!$V$4:$V$2342,'Grid Data'!$W$4:$W$2342),'Grid Data'!$N$4:$N$2342,$D24,'Grid Data'!$O$4:$O$2342,AE$4,'Grid Data'!$M$4:$M$2342,$D$2)*100, 0)</f>
        <v>9.6164000000000005</v>
      </c>
      <c r="AF24" s="4">
        <f>IF(  AF87&gt;$E$2, SUMIFS(IF($G$2="CPR",'Grid Data'!$V$4:$V$2342,'Grid Data'!$W$4:$W$2342),'Grid Data'!$N$4:$N$2342,$D24,'Grid Data'!$O$4:$O$2342,AF$4,'Grid Data'!$M$4:$M$2342,$D$2)*100, 0)</f>
        <v>5.3720999999999997</v>
      </c>
      <c r="AG24" s="4">
        <f>IF(  AG87&gt;$E$2, SUMIFS(IF($G$2="CPR",'Grid Data'!$V$4:$V$2342,'Grid Data'!$W$4:$W$2342),'Grid Data'!$N$4:$N$2342,$D24,'Grid Data'!$O$4:$O$2342,AG$4,'Grid Data'!$M$4:$M$2342,$D$2)*100, 0)</f>
        <v>7.3411000000000008</v>
      </c>
      <c r="AH24" s="4">
        <f>IF(  AH87&gt;$E$2, SUMIFS(IF($G$2="CPR",'Grid Data'!$V$4:$V$2342,'Grid Data'!$W$4:$W$2342),'Grid Data'!$N$4:$N$2342,$D24,'Grid Data'!$O$4:$O$2342,AH$4,'Grid Data'!$M$4:$M$2342,$D$2)*100, 0)</f>
        <v>3.8718000000000004</v>
      </c>
    </row>
    <row r="25" spans="4:34" x14ac:dyDescent="0.35">
      <c r="D25">
        <v>7000</v>
      </c>
      <c r="E25" s="4">
        <f>IF(  E88&gt;$E$2, SUMIFS(IF($G$2="CPR",'Grid Data'!$V$4:$V$2342,'Grid Data'!$W$4:$W$2342),'Grid Data'!$N$4:$N$2342,$D25,'Grid Data'!$O$4:$O$2342,E$4,'Grid Data'!$M$4:$M$2342,$D$2)*100, 0)</f>
        <v>4.0232999999999999</v>
      </c>
      <c r="F25" s="4">
        <f>IF(  F88&gt;$E$2, SUMIFS(IF($G$2="CPR",'Grid Data'!$V$4:$V$2342,'Grid Data'!$W$4:$W$2342),'Grid Data'!$N$4:$N$2342,$D25,'Grid Data'!$O$4:$O$2342,F$4,'Grid Data'!$M$4:$M$2342,$D$2)*100, 0)</f>
        <v>38.259900000000002</v>
      </c>
      <c r="G25" s="4">
        <f>IF(  G88&gt;$E$2, SUMIFS(IF($G$2="CPR",'Grid Data'!$V$4:$V$2342,'Grid Data'!$W$4:$W$2342),'Grid Data'!$N$4:$N$2342,$D25,'Grid Data'!$O$4:$O$2342,G$4,'Grid Data'!$M$4:$M$2342,$D$2)*100, 0)</f>
        <v>42.462600000000002</v>
      </c>
      <c r="H25" s="4">
        <f>IF(  H88&gt;$E$2, SUMIFS(IF($G$2="CPR",'Grid Data'!$V$4:$V$2342,'Grid Data'!$W$4:$W$2342),'Grid Data'!$N$4:$N$2342,$D25,'Grid Data'!$O$4:$O$2342,H$4,'Grid Data'!$M$4:$M$2342,$D$2)*100, 0)</f>
        <v>32.7819</v>
      </c>
      <c r="I25" s="4">
        <f>IF(  I88&gt;$E$2, SUMIFS(IF($G$2="CPR",'Grid Data'!$V$4:$V$2342,'Grid Data'!$W$4:$W$2342),'Grid Data'!$N$4:$N$2342,$D25,'Grid Data'!$O$4:$O$2342,I$4,'Grid Data'!$M$4:$M$2342,$D$2)*100, 0)</f>
        <v>29.6935</v>
      </c>
      <c r="J25" s="4">
        <f>IF(  J88&gt;$E$2, SUMIFS(IF($G$2="CPR",'Grid Data'!$V$4:$V$2342,'Grid Data'!$W$4:$W$2342),'Grid Data'!$N$4:$N$2342,$D25,'Grid Data'!$O$4:$O$2342,J$4,'Grid Data'!$M$4:$M$2342,$D$2)*100, 0)</f>
        <v>22.462199999999999</v>
      </c>
      <c r="K25" s="4">
        <f>IF(  K88&gt;$E$2, SUMIFS(IF($G$2="CPR",'Grid Data'!$V$4:$V$2342,'Grid Data'!$W$4:$W$2342),'Grid Data'!$N$4:$N$2342,$D25,'Grid Data'!$O$4:$O$2342,K$4,'Grid Data'!$M$4:$M$2342,$D$2)*100, 0)</f>
        <v>24.6126</v>
      </c>
      <c r="L25" s="4">
        <f>IF(  L88&gt;$E$2, SUMIFS(IF($G$2="CPR",'Grid Data'!$V$4:$V$2342,'Grid Data'!$W$4:$W$2342),'Grid Data'!$N$4:$N$2342,$D25,'Grid Data'!$O$4:$O$2342,L$4,'Grid Data'!$M$4:$M$2342,$D$2)*100, 0)</f>
        <v>22.4406</v>
      </c>
      <c r="M25" s="4">
        <f>IF(  M88&gt;$E$2, SUMIFS(IF($G$2="CPR",'Grid Data'!$V$4:$V$2342,'Grid Data'!$W$4:$W$2342),'Grid Data'!$N$4:$N$2342,$D25,'Grid Data'!$O$4:$O$2342,M$4,'Grid Data'!$M$4:$M$2342,$D$2)*100, 0)</f>
        <v>19.982800000000001</v>
      </c>
      <c r="N25" s="4">
        <f>IF(  N88&gt;$E$2, SUMIFS(IF($G$2="CPR",'Grid Data'!$V$4:$V$2342,'Grid Data'!$W$4:$W$2342),'Grid Data'!$N$4:$N$2342,$D25,'Grid Data'!$O$4:$O$2342,N$4,'Grid Data'!$M$4:$M$2342,$D$2)*100, 0)</f>
        <v>18.965</v>
      </c>
      <c r="O25" s="4">
        <f>IF(  O88&gt;$E$2, SUMIFS(IF($G$2="CPR",'Grid Data'!$V$4:$V$2342,'Grid Data'!$W$4:$W$2342),'Grid Data'!$N$4:$N$2342,$D25,'Grid Data'!$O$4:$O$2342,O$4,'Grid Data'!$M$4:$M$2342,$D$2)*100, 0)</f>
        <v>21.066800000000001</v>
      </c>
      <c r="P25" s="4">
        <f>IF(  P88&gt;$E$2, SUMIFS(IF($G$2="CPR",'Grid Data'!$V$4:$V$2342,'Grid Data'!$W$4:$W$2342),'Grid Data'!$N$4:$N$2342,$D25,'Grid Data'!$O$4:$O$2342,P$4,'Grid Data'!$M$4:$M$2342,$D$2)*100, 0)</f>
        <v>23.180500000000002</v>
      </c>
      <c r="Q25" s="4">
        <f>IF(  Q88&gt;$E$2, SUMIFS(IF($G$2="CPR",'Grid Data'!$V$4:$V$2342,'Grid Data'!$W$4:$W$2342),'Grid Data'!$N$4:$N$2342,$D25,'Grid Data'!$O$4:$O$2342,Q$4,'Grid Data'!$M$4:$M$2342,$D$2)*100, 0)</f>
        <v>23.144000000000002</v>
      </c>
      <c r="R25" s="4">
        <f>IF(  R88&gt;$E$2, SUMIFS(IF($G$2="CPR",'Grid Data'!$V$4:$V$2342,'Grid Data'!$W$4:$W$2342),'Grid Data'!$N$4:$N$2342,$D25,'Grid Data'!$O$4:$O$2342,R$4,'Grid Data'!$M$4:$M$2342,$D$2)*100, 0)</f>
        <v>22.2058</v>
      </c>
      <c r="S25" s="4">
        <f>IF(  S88&gt;$E$2, SUMIFS(IF($G$2="CPR",'Grid Data'!$V$4:$V$2342,'Grid Data'!$W$4:$W$2342),'Grid Data'!$N$4:$N$2342,$D25,'Grid Data'!$O$4:$O$2342,S$4,'Grid Data'!$M$4:$M$2342,$D$2)*100, 0)</f>
        <v>21.7272</v>
      </c>
      <c r="T25" s="4">
        <f>IF(  T88&gt;$E$2, SUMIFS(IF($G$2="CPR",'Grid Data'!$V$4:$V$2342,'Grid Data'!$W$4:$W$2342),'Grid Data'!$N$4:$N$2342,$D25,'Grid Data'!$O$4:$O$2342,T$4,'Grid Data'!$M$4:$M$2342,$D$2)*100, 0)</f>
        <v>20.314799999999998</v>
      </c>
      <c r="U25" s="4">
        <f>IF(  U88&gt;$E$2, SUMIFS(IF($G$2="CPR",'Grid Data'!$V$4:$V$2342,'Grid Data'!$W$4:$W$2342),'Grid Data'!$N$4:$N$2342,$D25,'Grid Data'!$O$4:$O$2342,U$4,'Grid Data'!$M$4:$M$2342,$D$2)*100, 0)</f>
        <v>0</v>
      </c>
      <c r="V25" s="4">
        <f>IF(  V88&gt;$E$2, SUMIFS(IF($G$2="CPR",'Grid Data'!$V$4:$V$2342,'Grid Data'!$W$4:$W$2342),'Grid Data'!$N$4:$N$2342,$D25,'Grid Data'!$O$4:$O$2342,V$4,'Grid Data'!$M$4:$M$2342,$D$2)*100, 0)</f>
        <v>0</v>
      </c>
      <c r="W25" s="4">
        <f>IF(  W88&gt;$E$2, SUMIFS(IF($G$2="CPR",'Grid Data'!$V$4:$V$2342,'Grid Data'!$W$4:$W$2342),'Grid Data'!$N$4:$N$2342,$D25,'Grid Data'!$O$4:$O$2342,W$4,'Grid Data'!$M$4:$M$2342,$D$2)*100, 0)</f>
        <v>0</v>
      </c>
      <c r="X25" s="4">
        <f>IF(  X88&gt;$E$2, SUMIFS(IF($G$2="CPR",'Grid Data'!$V$4:$V$2342,'Grid Data'!$W$4:$W$2342),'Grid Data'!$N$4:$N$2342,$D25,'Grid Data'!$O$4:$O$2342,X$4,'Grid Data'!$M$4:$M$2342,$D$2)*100, 0)</f>
        <v>0</v>
      </c>
      <c r="Y25" s="4">
        <f>IF(  Y88&gt;$E$2, SUMIFS(IF($G$2="CPR",'Grid Data'!$V$4:$V$2342,'Grid Data'!$W$4:$W$2342),'Grid Data'!$N$4:$N$2342,$D25,'Grid Data'!$O$4:$O$2342,Y$4,'Grid Data'!$M$4:$M$2342,$D$2)*100, 0)</f>
        <v>0</v>
      </c>
      <c r="Z25" s="4">
        <f>IF(  Z88&gt;$E$2, SUMIFS(IF($G$2="CPR",'Grid Data'!$V$4:$V$2342,'Grid Data'!$W$4:$W$2342),'Grid Data'!$N$4:$N$2342,$D25,'Grid Data'!$O$4:$O$2342,Z$4,'Grid Data'!$M$4:$M$2342,$D$2)*100, 0)</f>
        <v>0</v>
      </c>
      <c r="AA25" s="4">
        <f>IF(  AA88&gt;$E$2, SUMIFS(IF($G$2="CPR",'Grid Data'!$V$4:$V$2342,'Grid Data'!$W$4:$W$2342),'Grid Data'!$N$4:$N$2342,$D25,'Grid Data'!$O$4:$O$2342,AA$4,'Grid Data'!$M$4:$M$2342,$D$2)*100, 0)</f>
        <v>0</v>
      </c>
      <c r="AB25" s="4">
        <f>IF(  AB88&gt;$E$2, SUMIFS(IF($G$2="CPR",'Grid Data'!$V$4:$V$2342,'Grid Data'!$W$4:$W$2342),'Grid Data'!$N$4:$N$2342,$D25,'Grid Data'!$O$4:$O$2342,AB$4,'Grid Data'!$M$4:$M$2342,$D$2)*100, 0)</f>
        <v>0</v>
      </c>
      <c r="AC25" s="4">
        <f>IF(  AC88&gt;$E$2, SUMIFS(IF($G$2="CPR",'Grid Data'!$V$4:$V$2342,'Grid Data'!$W$4:$W$2342),'Grid Data'!$N$4:$N$2342,$D25,'Grid Data'!$O$4:$O$2342,AC$4,'Grid Data'!$M$4:$M$2342,$D$2)*100, 0)</f>
        <v>0</v>
      </c>
      <c r="AD25" s="4">
        <f>IF(  AD88&gt;$E$2, SUMIFS(IF($G$2="CPR",'Grid Data'!$V$4:$V$2342,'Grid Data'!$W$4:$W$2342),'Grid Data'!$N$4:$N$2342,$D25,'Grid Data'!$O$4:$O$2342,AD$4,'Grid Data'!$M$4:$M$2342,$D$2)*100, 0)</f>
        <v>0</v>
      </c>
      <c r="AE25" s="4">
        <f>IF(  AE88&gt;$E$2, SUMIFS(IF($G$2="CPR",'Grid Data'!$V$4:$V$2342,'Grid Data'!$W$4:$W$2342),'Grid Data'!$N$4:$N$2342,$D25,'Grid Data'!$O$4:$O$2342,AE$4,'Grid Data'!$M$4:$M$2342,$D$2)*100, 0)</f>
        <v>8.1006</v>
      </c>
      <c r="AF25" s="4">
        <f>IF(  AF88&gt;$E$2, SUMIFS(IF($G$2="CPR",'Grid Data'!$V$4:$V$2342,'Grid Data'!$W$4:$W$2342),'Grid Data'!$N$4:$N$2342,$D25,'Grid Data'!$O$4:$O$2342,AF$4,'Grid Data'!$M$4:$M$2342,$D$2)*100, 0)</f>
        <v>6.4912999999999998</v>
      </c>
      <c r="AG25" s="4">
        <f>IF(  AG88&gt;$E$2, SUMIFS(IF($G$2="CPR",'Grid Data'!$V$4:$V$2342,'Grid Data'!$W$4:$W$2342),'Grid Data'!$N$4:$N$2342,$D25,'Grid Data'!$O$4:$O$2342,AG$4,'Grid Data'!$M$4:$M$2342,$D$2)*100, 0)</f>
        <v>6.4024000000000001</v>
      </c>
      <c r="AH25" s="4">
        <f>IF(  AH88&gt;$E$2, SUMIFS(IF($G$2="CPR",'Grid Data'!$V$4:$V$2342,'Grid Data'!$W$4:$W$2342),'Grid Data'!$N$4:$N$2342,$D25,'Grid Data'!$O$4:$O$2342,AH$4,'Grid Data'!$M$4:$M$2342,$D$2)*100, 0)</f>
        <v>7.9927000000000001</v>
      </c>
    </row>
    <row r="26" spans="4:34" x14ac:dyDescent="0.35">
      <c r="D26">
        <v>7250</v>
      </c>
      <c r="E26" s="4">
        <f>IF(  E89&gt;$E$2, SUMIFS(IF($G$2="CPR",'Grid Data'!$V$4:$V$2342,'Grid Data'!$W$4:$W$2342),'Grid Data'!$N$4:$N$2342,$D26,'Grid Data'!$O$4:$O$2342,E$4,'Grid Data'!$M$4:$M$2342,$D$2)*100, 0)</f>
        <v>3.5992000000000002</v>
      </c>
      <c r="F26" s="4">
        <f>IF(  F89&gt;$E$2, SUMIFS(IF($G$2="CPR",'Grid Data'!$V$4:$V$2342,'Grid Data'!$W$4:$W$2342),'Grid Data'!$N$4:$N$2342,$D26,'Grid Data'!$O$4:$O$2342,F$4,'Grid Data'!$M$4:$M$2342,$D$2)*100, 0)</f>
        <v>52.093100000000007</v>
      </c>
      <c r="G26" s="4">
        <f>IF(  G89&gt;$E$2, SUMIFS(IF($G$2="CPR",'Grid Data'!$V$4:$V$2342,'Grid Data'!$W$4:$W$2342),'Grid Data'!$N$4:$N$2342,$D26,'Grid Data'!$O$4:$O$2342,G$4,'Grid Data'!$M$4:$M$2342,$D$2)*100, 0)</f>
        <v>53.4559</v>
      </c>
      <c r="H26" s="4">
        <f>IF(  H89&gt;$E$2, SUMIFS(IF($G$2="CPR",'Grid Data'!$V$4:$V$2342,'Grid Data'!$W$4:$W$2342),'Grid Data'!$N$4:$N$2342,$D26,'Grid Data'!$O$4:$O$2342,H$4,'Grid Data'!$M$4:$M$2342,$D$2)*100, 0)</f>
        <v>36.872899999999994</v>
      </c>
      <c r="I26" s="4">
        <f>IF(  I89&gt;$E$2, SUMIFS(IF($G$2="CPR",'Grid Data'!$V$4:$V$2342,'Grid Data'!$W$4:$W$2342),'Grid Data'!$N$4:$N$2342,$D26,'Grid Data'!$O$4:$O$2342,I$4,'Grid Data'!$M$4:$M$2342,$D$2)*100, 0)</f>
        <v>25.754999999999999</v>
      </c>
      <c r="J26" s="4">
        <f>IF(  J89&gt;$E$2, SUMIFS(IF($G$2="CPR",'Grid Data'!$V$4:$V$2342,'Grid Data'!$W$4:$W$2342),'Grid Data'!$N$4:$N$2342,$D26,'Grid Data'!$O$4:$O$2342,J$4,'Grid Data'!$M$4:$M$2342,$D$2)*100, 0)</f>
        <v>29.463299999999997</v>
      </c>
      <c r="K26" s="4">
        <f>IF(  K89&gt;$E$2, SUMIFS(IF($G$2="CPR",'Grid Data'!$V$4:$V$2342,'Grid Data'!$W$4:$W$2342),'Grid Data'!$N$4:$N$2342,$D26,'Grid Data'!$O$4:$O$2342,K$4,'Grid Data'!$M$4:$M$2342,$D$2)*100, 0)</f>
        <v>34.833399999999997</v>
      </c>
      <c r="L26" s="4">
        <f>IF(  L89&gt;$E$2, SUMIFS(IF($G$2="CPR",'Grid Data'!$V$4:$V$2342,'Grid Data'!$W$4:$W$2342),'Grid Data'!$N$4:$N$2342,$D26,'Grid Data'!$O$4:$O$2342,L$4,'Grid Data'!$M$4:$M$2342,$D$2)*100, 0)</f>
        <v>26.6038</v>
      </c>
      <c r="M26" s="4">
        <f>IF(  M89&gt;$E$2, SUMIFS(IF($G$2="CPR",'Grid Data'!$V$4:$V$2342,'Grid Data'!$W$4:$W$2342),'Grid Data'!$N$4:$N$2342,$D26,'Grid Data'!$O$4:$O$2342,M$4,'Grid Data'!$M$4:$M$2342,$D$2)*100, 0)</f>
        <v>31.220199999999998</v>
      </c>
      <c r="N26" s="4">
        <f>IF(  N89&gt;$E$2, SUMIFS(IF($G$2="CPR",'Grid Data'!$V$4:$V$2342,'Grid Data'!$W$4:$W$2342),'Grid Data'!$N$4:$N$2342,$D26,'Grid Data'!$O$4:$O$2342,N$4,'Grid Data'!$M$4:$M$2342,$D$2)*100, 0)</f>
        <v>24.0731</v>
      </c>
      <c r="O26" s="4">
        <f>IF(  O89&gt;$E$2, SUMIFS(IF($G$2="CPR",'Grid Data'!$V$4:$V$2342,'Grid Data'!$W$4:$W$2342),'Grid Data'!$N$4:$N$2342,$D26,'Grid Data'!$O$4:$O$2342,O$4,'Grid Data'!$M$4:$M$2342,$D$2)*100, 0)</f>
        <v>29.894100000000002</v>
      </c>
      <c r="P26" s="4">
        <f>IF(  P89&gt;$E$2, SUMIFS(IF($G$2="CPR",'Grid Data'!$V$4:$V$2342,'Grid Data'!$W$4:$W$2342),'Grid Data'!$N$4:$N$2342,$D26,'Grid Data'!$O$4:$O$2342,P$4,'Grid Data'!$M$4:$M$2342,$D$2)*100, 0)</f>
        <v>29.587799999999998</v>
      </c>
      <c r="Q26" s="4">
        <f>IF(  Q89&gt;$E$2, SUMIFS(IF($G$2="CPR",'Grid Data'!$V$4:$V$2342,'Grid Data'!$W$4:$W$2342),'Grid Data'!$N$4:$N$2342,$D26,'Grid Data'!$O$4:$O$2342,Q$4,'Grid Data'!$M$4:$M$2342,$D$2)*100, 0)</f>
        <v>28.387699999999999</v>
      </c>
      <c r="R26" s="4">
        <f>IF(  R89&gt;$E$2, SUMIFS(IF($G$2="CPR",'Grid Data'!$V$4:$V$2342,'Grid Data'!$W$4:$W$2342),'Grid Data'!$N$4:$N$2342,$D26,'Grid Data'!$O$4:$O$2342,R$4,'Grid Data'!$M$4:$M$2342,$D$2)*100, 0)</f>
        <v>28.336299999999998</v>
      </c>
      <c r="S26" s="4">
        <f>IF(  S89&gt;$E$2, SUMIFS(IF($G$2="CPR",'Grid Data'!$V$4:$V$2342,'Grid Data'!$W$4:$W$2342),'Grid Data'!$N$4:$N$2342,$D26,'Grid Data'!$O$4:$O$2342,S$4,'Grid Data'!$M$4:$M$2342,$D$2)*100, 0)</f>
        <v>26.290900000000001</v>
      </c>
      <c r="T26" s="4">
        <f>IF(  T89&gt;$E$2, SUMIFS(IF($G$2="CPR",'Grid Data'!$V$4:$V$2342,'Grid Data'!$W$4:$W$2342),'Grid Data'!$N$4:$N$2342,$D26,'Grid Data'!$O$4:$O$2342,T$4,'Grid Data'!$M$4:$M$2342,$D$2)*100, 0)</f>
        <v>15.5672</v>
      </c>
      <c r="U26" s="4">
        <f>IF(  U89&gt;$E$2, SUMIFS(IF($G$2="CPR",'Grid Data'!$V$4:$V$2342,'Grid Data'!$W$4:$W$2342),'Grid Data'!$N$4:$N$2342,$D26,'Grid Data'!$O$4:$O$2342,U$4,'Grid Data'!$M$4:$M$2342,$D$2)*100, 0)</f>
        <v>0</v>
      </c>
      <c r="V26" s="4">
        <f>IF(  V89&gt;$E$2, SUMIFS(IF($G$2="CPR",'Grid Data'!$V$4:$V$2342,'Grid Data'!$W$4:$W$2342),'Grid Data'!$N$4:$N$2342,$D26,'Grid Data'!$O$4:$O$2342,V$4,'Grid Data'!$M$4:$M$2342,$D$2)*100, 0)</f>
        <v>0</v>
      </c>
      <c r="W26" s="4">
        <f>IF(  W89&gt;$E$2, SUMIFS(IF($G$2="CPR",'Grid Data'!$V$4:$V$2342,'Grid Data'!$W$4:$W$2342),'Grid Data'!$N$4:$N$2342,$D26,'Grid Data'!$O$4:$O$2342,W$4,'Grid Data'!$M$4:$M$2342,$D$2)*100, 0)</f>
        <v>0</v>
      </c>
      <c r="X26" s="4">
        <f>IF(  X89&gt;$E$2, SUMIFS(IF($G$2="CPR",'Grid Data'!$V$4:$V$2342,'Grid Data'!$W$4:$W$2342),'Grid Data'!$N$4:$N$2342,$D26,'Grid Data'!$O$4:$O$2342,X$4,'Grid Data'!$M$4:$M$2342,$D$2)*100, 0)</f>
        <v>0</v>
      </c>
      <c r="Y26" s="4">
        <f>IF(  Y89&gt;$E$2, SUMIFS(IF($G$2="CPR",'Grid Data'!$V$4:$V$2342,'Grid Data'!$W$4:$W$2342),'Grid Data'!$N$4:$N$2342,$D26,'Grid Data'!$O$4:$O$2342,Y$4,'Grid Data'!$M$4:$M$2342,$D$2)*100, 0)</f>
        <v>0</v>
      </c>
      <c r="Z26" s="4">
        <f>IF(  Z89&gt;$E$2, SUMIFS(IF($G$2="CPR",'Grid Data'!$V$4:$V$2342,'Grid Data'!$W$4:$W$2342),'Grid Data'!$N$4:$N$2342,$D26,'Grid Data'!$O$4:$O$2342,Z$4,'Grid Data'!$M$4:$M$2342,$D$2)*100, 0)</f>
        <v>0</v>
      </c>
      <c r="AA26" s="4">
        <f>IF(  AA89&gt;$E$2, SUMIFS(IF($G$2="CPR",'Grid Data'!$V$4:$V$2342,'Grid Data'!$W$4:$W$2342),'Grid Data'!$N$4:$N$2342,$D26,'Grid Data'!$O$4:$O$2342,AA$4,'Grid Data'!$M$4:$M$2342,$D$2)*100, 0)</f>
        <v>0</v>
      </c>
      <c r="AB26" s="4">
        <f>IF(  AB89&gt;$E$2, SUMIFS(IF($G$2="CPR",'Grid Data'!$V$4:$V$2342,'Grid Data'!$W$4:$W$2342),'Grid Data'!$N$4:$N$2342,$D26,'Grid Data'!$O$4:$O$2342,AB$4,'Grid Data'!$M$4:$M$2342,$D$2)*100, 0)</f>
        <v>0</v>
      </c>
      <c r="AC26" s="4">
        <f>IF(  AC89&gt;$E$2, SUMIFS(IF($G$2="CPR",'Grid Data'!$V$4:$V$2342,'Grid Data'!$W$4:$W$2342),'Grid Data'!$N$4:$N$2342,$D26,'Grid Data'!$O$4:$O$2342,AC$4,'Grid Data'!$M$4:$M$2342,$D$2)*100, 0)</f>
        <v>0</v>
      </c>
      <c r="AD26" s="4">
        <f>IF(  AD89&gt;$E$2, SUMIFS(IF($G$2="CPR",'Grid Data'!$V$4:$V$2342,'Grid Data'!$W$4:$W$2342),'Grid Data'!$N$4:$N$2342,$D26,'Grid Data'!$O$4:$O$2342,AD$4,'Grid Data'!$M$4:$M$2342,$D$2)*100, 0)</f>
        <v>0</v>
      </c>
      <c r="AE26" s="4">
        <f>IF(  AE89&gt;$E$2, SUMIFS(IF($G$2="CPR",'Grid Data'!$V$4:$V$2342,'Grid Data'!$W$4:$W$2342),'Grid Data'!$N$4:$N$2342,$D26,'Grid Data'!$O$4:$O$2342,AE$4,'Grid Data'!$M$4:$M$2342,$D$2)*100, 0)</f>
        <v>15.336600000000001</v>
      </c>
      <c r="AF26" s="4">
        <f>IF(  AF89&gt;$E$2, SUMIFS(IF($G$2="CPR",'Grid Data'!$V$4:$V$2342,'Grid Data'!$W$4:$W$2342),'Grid Data'!$N$4:$N$2342,$D26,'Grid Data'!$O$4:$O$2342,AF$4,'Grid Data'!$M$4:$M$2342,$D$2)*100, 0)</f>
        <v>4.6753999999999998</v>
      </c>
      <c r="AG26" s="4">
        <f>IF(  AG89&gt;$E$2, SUMIFS(IF($G$2="CPR",'Grid Data'!$V$4:$V$2342,'Grid Data'!$W$4:$W$2342),'Grid Data'!$N$4:$N$2342,$D26,'Grid Data'!$O$4:$O$2342,AG$4,'Grid Data'!$M$4:$M$2342,$D$2)*100, 0)</f>
        <v>3.2524999999999999</v>
      </c>
      <c r="AH26" s="4">
        <f>IF(  AH89&gt;$E$2, SUMIFS(IF($G$2="CPR",'Grid Data'!$V$4:$V$2342,'Grid Data'!$W$4:$W$2342),'Grid Data'!$N$4:$N$2342,$D26,'Grid Data'!$O$4:$O$2342,AH$4,'Grid Data'!$M$4:$M$2342,$D$2)*100, 0)</f>
        <v>9.4792000000000005</v>
      </c>
    </row>
    <row r="27" spans="4:34" x14ac:dyDescent="0.35">
      <c r="D27">
        <v>7500</v>
      </c>
      <c r="E27" s="4">
        <f>IF(  E90&gt;$E$2, SUMIFS(IF($G$2="CPR",'Grid Data'!$V$4:$V$2342,'Grid Data'!$W$4:$W$2342),'Grid Data'!$N$4:$N$2342,$D27,'Grid Data'!$O$4:$O$2342,E$4,'Grid Data'!$M$4:$M$2342,$D$2)*100, 0)</f>
        <v>1.7119</v>
      </c>
      <c r="F27" s="4">
        <f>IF(  F90&gt;$E$2, SUMIFS(IF($G$2="CPR",'Grid Data'!$V$4:$V$2342,'Grid Data'!$W$4:$W$2342),'Grid Data'!$N$4:$N$2342,$D27,'Grid Data'!$O$4:$O$2342,F$4,'Grid Data'!$M$4:$M$2342,$D$2)*100, 0)</f>
        <v>43.287799999999997</v>
      </c>
      <c r="G27" s="4">
        <f>IF(  G90&gt;$E$2, SUMIFS(IF($G$2="CPR",'Grid Data'!$V$4:$V$2342,'Grid Data'!$W$4:$W$2342),'Grid Data'!$N$4:$N$2342,$D27,'Grid Data'!$O$4:$O$2342,G$4,'Grid Data'!$M$4:$M$2342,$D$2)*100, 0)</f>
        <v>42.092600000000004</v>
      </c>
      <c r="H27" s="4">
        <f>IF(  H90&gt;$E$2, SUMIFS(IF($G$2="CPR",'Grid Data'!$V$4:$V$2342,'Grid Data'!$W$4:$W$2342),'Grid Data'!$N$4:$N$2342,$D27,'Grid Data'!$O$4:$O$2342,H$4,'Grid Data'!$M$4:$M$2342,$D$2)*100, 0)</f>
        <v>43.080400000000004</v>
      </c>
      <c r="I27" s="4">
        <f>IF(  I90&gt;$E$2, SUMIFS(IF($G$2="CPR",'Grid Data'!$V$4:$V$2342,'Grid Data'!$W$4:$W$2342),'Grid Data'!$N$4:$N$2342,$D27,'Grid Data'!$O$4:$O$2342,I$4,'Grid Data'!$M$4:$M$2342,$D$2)*100, 0)</f>
        <v>34.550899999999999</v>
      </c>
      <c r="J27" s="4">
        <f>IF(  J90&gt;$E$2, SUMIFS(IF($G$2="CPR",'Grid Data'!$V$4:$V$2342,'Grid Data'!$W$4:$W$2342),'Grid Data'!$N$4:$N$2342,$D27,'Grid Data'!$O$4:$O$2342,J$4,'Grid Data'!$M$4:$M$2342,$D$2)*100, 0)</f>
        <v>16.938400000000001</v>
      </c>
      <c r="K27" s="4">
        <f>IF(  K90&gt;$E$2, SUMIFS(IF($G$2="CPR",'Grid Data'!$V$4:$V$2342,'Grid Data'!$W$4:$W$2342),'Grid Data'!$N$4:$N$2342,$D27,'Grid Data'!$O$4:$O$2342,K$4,'Grid Data'!$M$4:$M$2342,$D$2)*100, 0)</f>
        <v>24.296900000000001</v>
      </c>
      <c r="L27" s="4">
        <f>IF(  L90&gt;$E$2, SUMIFS(IF($G$2="CPR",'Grid Data'!$V$4:$V$2342,'Grid Data'!$W$4:$W$2342),'Grid Data'!$N$4:$N$2342,$D27,'Grid Data'!$O$4:$O$2342,L$4,'Grid Data'!$M$4:$M$2342,$D$2)*100, 0)</f>
        <v>33.719000000000001</v>
      </c>
      <c r="M27" s="4">
        <f>IF(  M90&gt;$E$2, SUMIFS(IF($G$2="CPR",'Grid Data'!$V$4:$V$2342,'Grid Data'!$W$4:$W$2342),'Grid Data'!$N$4:$N$2342,$D27,'Grid Data'!$O$4:$O$2342,M$4,'Grid Data'!$M$4:$M$2342,$D$2)*100, 0)</f>
        <v>22.188500000000001</v>
      </c>
      <c r="N27" s="4">
        <f>IF(  N90&gt;$E$2, SUMIFS(IF($G$2="CPR",'Grid Data'!$V$4:$V$2342,'Grid Data'!$W$4:$W$2342),'Grid Data'!$N$4:$N$2342,$D27,'Grid Data'!$O$4:$O$2342,N$4,'Grid Data'!$M$4:$M$2342,$D$2)*100, 0)</f>
        <v>14.9621</v>
      </c>
      <c r="O27" s="4">
        <f>IF(  O90&gt;$E$2, SUMIFS(IF($G$2="CPR",'Grid Data'!$V$4:$V$2342,'Grid Data'!$W$4:$W$2342),'Grid Data'!$N$4:$N$2342,$D27,'Grid Data'!$O$4:$O$2342,O$4,'Grid Data'!$M$4:$M$2342,$D$2)*100, 0)</f>
        <v>23.147599999999997</v>
      </c>
      <c r="P27" s="4">
        <f>IF(  P90&gt;$E$2, SUMIFS(IF($G$2="CPR",'Grid Data'!$V$4:$V$2342,'Grid Data'!$W$4:$W$2342),'Grid Data'!$N$4:$N$2342,$D27,'Grid Data'!$O$4:$O$2342,P$4,'Grid Data'!$M$4:$M$2342,$D$2)*100, 0)</f>
        <v>22.756399999999999</v>
      </c>
      <c r="Q27" s="4">
        <f>IF(  Q90&gt;$E$2, SUMIFS(IF($G$2="CPR",'Grid Data'!$V$4:$V$2342,'Grid Data'!$W$4:$W$2342),'Grid Data'!$N$4:$N$2342,$D27,'Grid Data'!$O$4:$O$2342,Q$4,'Grid Data'!$M$4:$M$2342,$D$2)*100, 0)</f>
        <v>26.700600000000001</v>
      </c>
      <c r="R27" s="4">
        <f>IF(  R90&gt;$E$2, SUMIFS(IF($G$2="CPR",'Grid Data'!$V$4:$V$2342,'Grid Data'!$W$4:$W$2342),'Grid Data'!$N$4:$N$2342,$D27,'Grid Data'!$O$4:$O$2342,R$4,'Grid Data'!$M$4:$M$2342,$D$2)*100, 0)</f>
        <v>21.0716</v>
      </c>
      <c r="S27" s="4">
        <f>IF(  S90&gt;$E$2, SUMIFS(IF($G$2="CPR",'Grid Data'!$V$4:$V$2342,'Grid Data'!$W$4:$W$2342),'Grid Data'!$N$4:$N$2342,$D27,'Grid Data'!$O$4:$O$2342,S$4,'Grid Data'!$M$4:$M$2342,$D$2)*100, 0)</f>
        <v>22.363499999999998</v>
      </c>
      <c r="T27" s="4">
        <f>IF(  T90&gt;$E$2, SUMIFS(IF($G$2="CPR",'Grid Data'!$V$4:$V$2342,'Grid Data'!$W$4:$W$2342),'Grid Data'!$N$4:$N$2342,$D27,'Grid Data'!$O$4:$O$2342,T$4,'Grid Data'!$M$4:$M$2342,$D$2)*100, 0)</f>
        <v>0</v>
      </c>
      <c r="U27" s="4">
        <f>IF(  U90&gt;$E$2, SUMIFS(IF($G$2="CPR",'Grid Data'!$V$4:$V$2342,'Grid Data'!$W$4:$W$2342),'Grid Data'!$N$4:$N$2342,$D27,'Grid Data'!$O$4:$O$2342,U$4,'Grid Data'!$M$4:$M$2342,$D$2)*100, 0)</f>
        <v>0</v>
      </c>
      <c r="V27" s="4">
        <f>IF(  V90&gt;$E$2, SUMIFS(IF($G$2="CPR",'Grid Data'!$V$4:$V$2342,'Grid Data'!$W$4:$W$2342),'Grid Data'!$N$4:$N$2342,$D27,'Grid Data'!$O$4:$O$2342,V$4,'Grid Data'!$M$4:$M$2342,$D$2)*100, 0)</f>
        <v>0</v>
      </c>
      <c r="W27" s="4">
        <f>IF(  W90&gt;$E$2, SUMIFS(IF($G$2="CPR",'Grid Data'!$V$4:$V$2342,'Grid Data'!$W$4:$W$2342),'Grid Data'!$N$4:$N$2342,$D27,'Grid Data'!$O$4:$O$2342,W$4,'Grid Data'!$M$4:$M$2342,$D$2)*100, 0)</f>
        <v>0</v>
      </c>
      <c r="X27" s="4">
        <f>IF(  X90&gt;$E$2, SUMIFS(IF($G$2="CPR",'Grid Data'!$V$4:$V$2342,'Grid Data'!$W$4:$W$2342),'Grid Data'!$N$4:$N$2342,$D27,'Grid Data'!$O$4:$O$2342,X$4,'Grid Data'!$M$4:$M$2342,$D$2)*100, 0)</f>
        <v>0</v>
      </c>
      <c r="Y27" s="4">
        <f>IF(  Y90&gt;$E$2, SUMIFS(IF($G$2="CPR",'Grid Data'!$V$4:$V$2342,'Grid Data'!$W$4:$W$2342),'Grid Data'!$N$4:$N$2342,$D27,'Grid Data'!$O$4:$O$2342,Y$4,'Grid Data'!$M$4:$M$2342,$D$2)*100, 0)</f>
        <v>0</v>
      </c>
      <c r="Z27" s="4">
        <f>IF(  Z90&gt;$E$2, SUMIFS(IF($G$2="CPR",'Grid Data'!$V$4:$V$2342,'Grid Data'!$W$4:$W$2342),'Grid Data'!$N$4:$N$2342,$D27,'Grid Data'!$O$4:$O$2342,Z$4,'Grid Data'!$M$4:$M$2342,$D$2)*100, 0)</f>
        <v>0</v>
      </c>
      <c r="AA27" s="4">
        <f>IF(  AA90&gt;$E$2, SUMIFS(IF($G$2="CPR",'Grid Data'!$V$4:$V$2342,'Grid Data'!$W$4:$W$2342),'Grid Data'!$N$4:$N$2342,$D27,'Grid Data'!$O$4:$O$2342,AA$4,'Grid Data'!$M$4:$M$2342,$D$2)*100, 0)</f>
        <v>0</v>
      </c>
      <c r="AB27" s="4">
        <f>IF(  AB90&gt;$E$2, SUMIFS(IF($G$2="CPR",'Grid Data'!$V$4:$V$2342,'Grid Data'!$W$4:$W$2342),'Grid Data'!$N$4:$N$2342,$D27,'Grid Data'!$O$4:$O$2342,AB$4,'Grid Data'!$M$4:$M$2342,$D$2)*100, 0)</f>
        <v>0</v>
      </c>
      <c r="AC27" s="4">
        <f>IF(  AC90&gt;$E$2, SUMIFS(IF($G$2="CPR",'Grid Data'!$V$4:$V$2342,'Grid Data'!$W$4:$W$2342),'Grid Data'!$N$4:$N$2342,$D27,'Grid Data'!$O$4:$O$2342,AC$4,'Grid Data'!$M$4:$M$2342,$D$2)*100, 0)</f>
        <v>0</v>
      </c>
      <c r="AD27" s="4">
        <f>IF(  AD90&gt;$E$2, SUMIFS(IF($G$2="CPR",'Grid Data'!$V$4:$V$2342,'Grid Data'!$W$4:$W$2342),'Grid Data'!$N$4:$N$2342,$D27,'Grid Data'!$O$4:$O$2342,AD$4,'Grid Data'!$M$4:$M$2342,$D$2)*100, 0)</f>
        <v>0</v>
      </c>
      <c r="AE27" s="4">
        <f>IF(  AE90&gt;$E$2, SUMIFS(IF($G$2="CPR",'Grid Data'!$V$4:$V$2342,'Grid Data'!$W$4:$W$2342),'Grid Data'!$N$4:$N$2342,$D27,'Grid Data'!$O$4:$O$2342,AE$4,'Grid Data'!$M$4:$M$2342,$D$2)*100, 0)</f>
        <v>12.485799999999999</v>
      </c>
      <c r="AF27" s="4">
        <f>IF(  AF90&gt;$E$2, SUMIFS(IF($G$2="CPR",'Grid Data'!$V$4:$V$2342,'Grid Data'!$W$4:$W$2342),'Grid Data'!$N$4:$N$2342,$D27,'Grid Data'!$O$4:$O$2342,AF$4,'Grid Data'!$M$4:$M$2342,$D$2)*100, 0)</f>
        <v>8.5986000000000011</v>
      </c>
      <c r="AG27" s="4">
        <f>IF(  AG90&gt;$E$2, SUMIFS(IF($G$2="CPR",'Grid Data'!$V$4:$V$2342,'Grid Data'!$W$4:$W$2342),'Grid Data'!$N$4:$N$2342,$D27,'Grid Data'!$O$4:$O$2342,AG$4,'Grid Data'!$M$4:$M$2342,$D$2)*100, 0)</f>
        <v>6.6800999999999995</v>
      </c>
      <c r="AH27" s="4">
        <f>IF(  AH90&gt;$E$2, SUMIFS(IF($G$2="CPR",'Grid Data'!$V$4:$V$2342,'Grid Data'!$W$4:$W$2342),'Grid Data'!$N$4:$N$2342,$D27,'Grid Data'!$O$4:$O$2342,AH$4,'Grid Data'!$M$4:$M$2342,$D$2)*100, 0)</f>
        <v>9.6409000000000002</v>
      </c>
    </row>
    <row r="28" spans="4:34" x14ac:dyDescent="0.35">
      <c r="D28">
        <v>7750</v>
      </c>
      <c r="E28" s="4">
        <f>IF(  E91&gt;$E$2, SUMIFS(IF($G$2="CPR",'Grid Data'!$V$4:$V$2342,'Grid Data'!$W$4:$W$2342),'Grid Data'!$N$4:$N$2342,$D28,'Grid Data'!$O$4:$O$2342,E$4,'Grid Data'!$M$4:$M$2342,$D$2)*100, 0)</f>
        <v>3.6981000000000002</v>
      </c>
      <c r="F28" s="4">
        <f>IF(  F91&gt;$E$2, SUMIFS(IF($G$2="CPR",'Grid Data'!$V$4:$V$2342,'Grid Data'!$W$4:$W$2342),'Grid Data'!$N$4:$N$2342,$D28,'Grid Data'!$O$4:$O$2342,F$4,'Grid Data'!$M$4:$M$2342,$D$2)*100, 0)</f>
        <v>53.039000000000001</v>
      </c>
      <c r="G28" s="4">
        <f>IF(  G91&gt;$E$2, SUMIFS(IF($G$2="CPR",'Grid Data'!$V$4:$V$2342,'Grid Data'!$W$4:$W$2342),'Grid Data'!$N$4:$N$2342,$D28,'Grid Data'!$O$4:$O$2342,G$4,'Grid Data'!$M$4:$M$2342,$D$2)*100, 0)</f>
        <v>45.876800000000003</v>
      </c>
      <c r="H28" s="4">
        <f>IF(  H91&gt;$E$2, SUMIFS(IF($G$2="CPR",'Grid Data'!$V$4:$V$2342,'Grid Data'!$W$4:$W$2342),'Grid Data'!$N$4:$N$2342,$D28,'Grid Data'!$O$4:$O$2342,H$4,'Grid Data'!$M$4:$M$2342,$D$2)*100, 0)</f>
        <v>21.3809</v>
      </c>
      <c r="I28" s="4">
        <f>IF(  I91&gt;$E$2, SUMIFS(IF($G$2="CPR",'Grid Data'!$V$4:$V$2342,'Grid Data'!$W$4:$W$2342),'Grid Data'!$N$4:$N$2342,$D28,'Grid Data'!$O$4:$O$2342,I$4,'Grid Data'!$M$4:$M$2342,$D$2)*100, 0)</f>
        <v>16.409599999999998</v>
      </c>
      <c r="J28" s="4">
        <f>IF(  J91&gt;$E$2, SUMIFS(IF($G$2="CPR",'Grid Data'!$V$4:$V$2342,'Grid Data'!$W$4:$W$2342),'Grid Data'!$N$4:$N$2342,$D28,'Grid Data'!$O$4:$O$2342,J$4,'Grid Data'!$M$4:$M$2342,$D$2)*100, 0)</f>
        <v>22.501300000000001</v>
      </c>
      <c r="K28" s="4">
        <f>IF(  K91&gt;$E$2, SUMIFS(IF($G$2="CPR",'Grid Data'!$V$4:$V$2342,'Grid Data'!$W$4:$W$2342),'Grid Data'!$N$4:$N$2342,$D28,'Grid Data'!$O$4:$O$2342,K$4,'Grid Data'!$M$4:$M$2342,$D$2)*100, 0)</f>
        <v>26.984300000000001</v>
      </c>
      <c r="L28" s="4">
        <f>IF(  L91&gt;$E$2, SUMIFS(IF($G$2="CPR",'Grid Data'!$V$4:$V$2342,'Grid Data'!$W$4:$W$2342),'Grid Data'!$N$4:$N$2342,$D28,'Grid Data'!$O$4:$O$2342,L$4,'Grid Data'!$M$4:$M$2342,$D$2)*100, 0)</f>
        <v>34.7455</v>
      </c>
      <c r="M28" s="4">
        <f>IF(  M91&gt;$E$2, SUMIFS(IF($G$2="CPR",'Grid Data'!$V$4:$V$2342,'Grid Data'!$W$4:$W$2342),'Grid Data'!$N$4:$N$2342,$D28,'Grid Data'!$O$4:$O$2342,M$4,'Grid Data'!$M$4:$M$2342,$D$2)*100, 0)</f>
        <v>19.609199999999998</v>
      </c>
      <c r="N28" s="4">
        <f>IF(  N91&gt;$E$2, SUMIFS(IF($G$2="CPR",'Grid Data'!$V$4:$V$2342,'Grid Data'!$W$4:$W$2342),'Grid Data'!$N$4:$N$2342,$D28,'Grid Data'!$O$4:$O$2342,N$4,'Grid Data'!$M$4:$M$2342,$D$2)*100, 0)</f>
        <v>18.734300000000001</v>
      </c>
      <c r="O28" s="4">
        <f>IF(  O91&gt;$E$2, SUMIFS(IF($G$2="CPR",'Grid Data'!$V$4:$V$2342,'Grid Data'!$W$4:$W$2342),'Grid Data'!$N$4:$N$2342,$D28,'Grid Data'!$O$4:$O$2342,O$4,'Grid Data'!$M$4:$M$2342,$D$2)*100, 0)</f>
        <v>23.346600000000002</v>
      </c>
      <c r="P28" s="4">
        <f>IF(  P91&gt;$E$2, SUMIFS(IF($G$2="CPR",'Grid Data'!$V$4:$V$2342,'Grid Data'!$W$4:$W$2342),'Grid Data'!$N$4:$N$2342,$D28,'Grid Data'!$O$4:$O$2342,P$4,'Grid Data'!$M$4:$M$2342,$D$2)*100, 0)</f>
        <v>27.7592</v>
      </c>
      <c r="Q28" s="4">
        <f>IF(  Q91&gt;$E$2, SUMIFS(IF($G$2="CPR",'Grid Data'!$V$4:$V$2342,'Grid Data'!$W$4:$W$2342),'Grid Data'!$N$4:$N$2342,$D28,'Grid Data'!$O$4:$O$2342,Q$4,'Grid Data'!$M$4:$M$2342,$D$2)*100, 0)</f>
        <v>29.582799999999999</v>
      </c>
      <c r="R28" s="4">
        <f>IF(  R91&gt;$E$2, SUMIFS(IF($G$2="CPR",'Grid Data'!$V$4:$V$2342,'Grid Data'!$W$4:$W$2342),'Grid Data'!$N$4:$N$2342,$D28,'Grid Data'!$O$4:$O$2342,R$4,'Grid Data'!$M$4:$M$2342,$D$2)*100, 0)</f>
        <v>25.274400000000004</v>
      </c>
      <c r="S28" s="4">
        <f>IF(  S91&gt;$E$2, SUMIFS(IF($G$2="CPR",'Grid Data'!$V$4:$V$2342,'Grid Data'!$W$4:$W$2342),'Grid Data'!$N$4:$N$2342,$D28,'Grid Data'!$O$4:$O$2342,S$4,'Grid Data'!$M$4:$M$2342,$D$2)*100, 0)</f>
        <v>34.099400000000003</v>
      </c>
      <c r="T28" s="4">
        <f>IF(  T91&gt;$E$2, SUMIFS(IF($G$2="CPR",'Grid Data'!$V$4:$V$2342,'Grid Data'!$W$4:$W$2342),'Grid Data'!$N$4:$N$2342,$D28,'Grid Data'!$O$4:$O$2342,T$4,'Grid Data'!$M$4:$M$2342,$D$2)*100, 0)</f>
        <v>0</v>
      </c>
      <c r="U28" s="4">
        <f>IF(  U91&gt;$E$2, SUMIFS(IF($G$2="CPR",'Grid Data'!$V$4:$V$2342,'Grid Data'!$W$4:$W$2342),'Grid Data'!$N$4:$N$2342,$D28,'Grid Data'!$O$4:$O$2342,U$4,'Grid Data'!$M$4:$M$2342,$D$2)*100, 0)</f>
        <v>0</v>
      </c>
      <c r="V28" s="4">
        <f>IF(  V91&gt;$E$2, SUMIFS(IF($G$2="CPR",'Grid Data'!$V$4:$V$2342,'Grid Data'!$W$4:$W$2342),'Grid Data'!$N$4:$N$2342,$D28,'Grid Data'!$O$4:$O$2342,V$4,'Grid Data'!$M$4:$M$2342,$D$2)*100, 0)</f>
        <v>0</v>
      </c>
      <c r="W28" s="4">
        <f>IF(  W91&gt;$E$2, SUMIFS(IF($G$2="CPR",'Grid Data'!$V$4:$V$2342,'Grid Data'!$W$4:$W$2342),'Grid Data'!$N$4:$N$2342,$D28,'Grid Data'!$O$4:$O$2342,W$4,'Grid Data'!$M$4:$M$2342,$D$2)*100, 0)</f>
        <v>0</v>
      </c>
      <c r="X28" s="4">
        <f>IF(  X91&gt;$E$2, SUMIFS(IF($G$2="CPR",'Grid Data'!$V$4:$V$2342,'Grid Data'!$W$4:$W$2342),'Grid Data'!$N$4:$N$2342,$D28,'Grid Data'!$O$4:$O$2342,X$4,'Grid Data'!$M$4:$M$2342,$D$2)*100, 0)</f>
        <v>0</v>
      </c>
      <c r="Y28" s="4">
        <f>IF(  Y91&gt;$E$2, SUMIFS(IF($G$2="CPR",'Grid Data'!$V$4:$V$2342,'Grid Data'!$W$4:$W$2342),'Grid Data'!$N$4:$N$2342,$D28,'Grid Data'!$O$4:$O$2342,Y$4,'Grid Data'!$M$4:$M$2342,$D$2)*100, 0)</f>
        <v>0</v>
      </c>
      <c r="Z28" s="4">
        <f>IF(  Z91&gt;$E$2, SUMIFS(IF($G$2="CPR",'Grid Data'!$V$4:$V$2342,'Grid Data'!$W$4:$W$2342),'Grid Data'!$N$4:$N$2342,$D28,'Grid Data'!$O$4:$O$2342,Z$4,'Grid Data'!$M$4:$M$2342,$D$2)*100, 0)</f>
        <v>0</v>
      </c>
      <c r="AA28" s="4">
        <f>IF(  AA91&gt;$E$2, SUMIFS(IF($G$2="CPR",'Grid Data'!$V$4:$V$2342,'Grid Data'!$W$4:$W$2342),'Grid Data'!$N$4:$N$2342,$D28,'Grid Data'!$O$4:$O$2342,AA$4,'Grid Data'!$M$4:$M$2342,$D$2)*100, 0)</f>
        <v>0</v>
      </c>
      <c r="AB28" s="4">
        <f>IF(  AB91&gt;$E$2, SUMIFS(IF($G$2="CPR",'Grid Data'!$V$4:$V$2342,'Grid Data'!$W$4:$W$2342),'Grid Data'!$N$4:$N$2342,$D28,'Grid Data'!$O$4:$O$2342,AB$4,'Grid Data'!$M$4:$M$2342,$D$2)*100, 0)</f>
        <v>0</v>
      </c>
      <c r="AC28" s="4">
        <f>IF(  AC91&gt;$E$2, SUMIFS(IF($G$2="CPR",'Grid Data'!$V$4:$V$2342,'Grid Data'!$W$4:$W$2342),'Grid Data'!$N$4:$N$2342,$D28,'Grid Data'!$O$4:$O$2342,AC$4,'Grid Data'!$M$4:$M$2342,$D$2)*100, 0)</f>
        <v>0</v>
      </c>
      <c r="AD28" s="4">
        <f>IF(  AD91&gt;$E$2, SUMIFS(IF($G$2="CPR",'Grid Data'!$V$4:$V$2342,'Grid Data'!$W$4:$W$2342),'Grid Data'!$N$4:$N$2342,$D28,'Grid Data'!$O$4:$O$2342,AD$4,'Grid Data'!$M$4:$M$2342,$D$2)*100, 0)</f>
        <v>0</v>
      </c>
      <c r="AE28" s="4">
        <f>IF(  AE91&gt;$E$2, SUMIFS(IF($G$2="CPR",'Grid Data'!$V$4:$V$2342,'Grid Data'!$W$4:$W$2342),'Grid Data'!$N$4:$N$2342,$D28,'Grid Data'!$O$4:$O$2342,AE$4,'Grid Data'!$M$4:$M$2342,$D$2)*100, 0)</f>
        <v>0</v>
      </c>
      <c r="AF28" s="4">
        <f>IF(  AF91&gt;$E$2, SUMIFS(IF($G$2="CPR",'Grid Data'!$V$4:$V$2342,'Grid Data'!$W$4:$W$2342),'Grid Data'!$N$4:$N$2342,$D28,'Grid Data'!$O$4:$O$2342,AF$4,'Grid Data'!$M$4:$M$2342,$D$2)*100, 0)</f>
        <v>0</v>
      </c>
      <c r="AG28" s="4">
        <f>IF(  AG91&gt;$E$2, SUMIFS(IF($G$2="CPR",'Grid Data'!$V$4:$V$2342,'Grid Data'!$W$4:$W$2342),'Grid Data'!$N$4:$N$2342,$D28,'Grid Data'!$O$4:$O$2342,AG$4,'Grid Data'!$M$4:$M$2342,$D$2)*100, 0)</f>
        <v>4.5805999999999996</v>
      </c>
      <c r="AH28" s="4">
        <f>IF(  AH91&gt;$E$2, SUMIFS(IF($G$2="CPR",'Grid Data'!$V$4:$V$2342,'Grid Data'!$W$4:$W$2342),'Grid Data'!$N$4:$N$2342,$D28,'Grid Data'!$O$4:$O$2342,AH$4,'Grid Data'!$M$4:$M$2342,$D$2)*100, 0)</f>
        <v>10.2563</v>
      </c>
    </row>
    <row r="29" spans="4:34" x14ac:dyDescent="0.35">
      <c r="D29">
        <v>8000</v>
      </c>
      <c r="E29" s="4">
        <f>IF(  E92&gt;$E$2, SUMIFS(IF($G$2="CPR",'Grid Data'!$V$4:$V$2342,'Grid Data'!$W$4:$W$2342),'Grid Data'!$N$4:$N$2342,$D29,'Grid Data'!$O$4:$O$2342,E$4,'Grid Data'!$M$4:$M$2342,$D$2)*100, 0)</f>
        <v>0</v>
      </c>
      <c r="F29" s="4">
        <f>IF(  F92&gt;$E$2, SUMIFS(IF($G$2="CPR",'Grid Data'!$V$4:$V$2342,'Grid Data'!$W$4:$W$2342),'Grid Data'!$N$4:$N$2342,$D29,'Grid Data'!$O$4:$O$2342,F$4,'Grid Data'!$M$4:$M$2342,$D$2)*100, 0)</f>
        <v>0</v>
      </c>
      <c r="G29" s="4">
        <f>IF(  G92&gt;$E$2, SUMIFS(IF($G$2="CPR",'Grid Data'!$V$4:$V$2342,'Grid Data'!$W$4:$W$2342),'Grid Data'!$N$4:$N$2342,$D29,'Grid Data'!$O$4:$O$2342,G$4,'Grid Data'!$M$4:$M$2342,$D$2)*100, 0)</f>
        <v>21.619900000000001</v>
      </c>
      <c r="H29" s="4">
        <f>IF(  H92&gt;$E$2, SUMIFS(IF($G$2="CPR",'Grid Data'!$V$4:$V$2342,'Grid Data'!$W$4:$W$2342),'Grid Data'!$N$4:$N$2342,$D29,'Grid Data'!$O$4:$O$2342,H$4,'Grid Data'!$M$4:$M$2342,$D$2)*100, 0)</f>
        <v>10.3588</v>
      </c>
      <c r="I29" s="4">
        <f>IF(  I92&gt;$E$2, SUMIFS(IF($G$2="CPR",'Grid Data'!$V$4:$V$2342,'Grid Data'!$W$4:$W$2342),'Grid Data'!$N$4:$N$2342,$D29,'Grid Data'!$O$4:$O$2342,I$4,'Grid Data'!$M$4:$M$2342,$D$2)*100, 0)</f>
        <v>34.881099999999996</v>
      </c>
      <c r="J29" s="4">
        <f>IF(  J92&gt;$E$2, SUMIFS(IF($G$2="CPR",'Grid Data'!$V$4:$V$2342,'Grid Data'!$W$4:$W$2342),'Grid Data'!$N$4:$N$2342,$D29,'Grid Data'!$O$4:$O$2342,J$4,'Grid Data'!$M$4:$M$2342,$D$2)*100, 0)</f>
        <v>4.6383000000000001</v>
      </c>
      <c r="K29" s="4">
        <f>IF(  K92&gt;$E$2, SUMIFS(IF($G$2="CPR",'Grid Data'!$V$4:$V$2342,'Grid Data'!$W$4:$W$2342),'Grid Data'!$N$4:$N$2342,$D29,'Grid Data'!$O$4:$O$2342,K$4,'Grid Data'!$M$4:$M$2342,$D$2)*100, 0)</f>
        <v>24.469899999999999</v>
      </c>
      <c r="L29" s="4">
        <f>IF(  L92&gt;$E$2, SUMIFS(IF($G$2="CPR",'Grid Data'!$V$4:$V$2342,'Grid Data'!$W$4:$W$2342),'Grid Data'!$N$4:$N$2342,$D29,'Grid Data'!$O$4:$O$2342,L$4,'Grid Data'!$M$4:$M$2342,$D$2)*100, 0)</f>
        <v>33.582299999999996</v>
      </c>
      <c r="M29" s="4">
        <f>IF(  M92&gt;$E$2, SUMIFS(IF($G$2="CPR",'Grid Data'!$V$4:$V$2342,'Grid Data'!$W$4:$W$2342),'Grid Data'!$N$4:$N$2342,$D29,'Grid Data'!$O$4:$O$2342,M$4,'Grid Data'!$M$4:$M$2342,$D$2)*100, 0)</f>
        <v>14.343</v>
      </c>
      <c r="N29" s="4">
        <f>IF(  N92&gt;$E$2, SUMIFS(IF($G$2="CPR",'Grid Data'!$V$4:$V$2342,'Grid Data'!$W$4:$W$2342),'Grid Data'!$N$4:$N$2342,$D29,'Grid Data'!$O$4:$O$2342,N$4,'Grid Data'!$M$4:$M$2342,$D$2)*100, 0)</f>
        <v>22.6752</v>
      </c>
      <c r="O29" s="4">
        <f>IF(  O92&gt;$E$2, SUMIFS(IF($G$2="CPR",'Grid Data'!$V$4:$V$2342,'Grid Data'!$W$4:$W$2342),'Grid Data'!$N$4:$N$2342,$D29,'Grid Data'!$O$4:$O$2342,O$4,'Grid Data'!$M$4:$M$2342,$D$2)*100, 0)</f>
        <v>29.011099999999999</v>
      </c>
      <c r="P29" s="4">
        <f>IF(  P92&gt;$E$2, SUMIFS(IF($G$2="CPR",'Grid Data'!$V$4:$V$2342,'Grid Data'!$W$4:$W$2342),'Grid Data'!$N$4:$N$2342,$D29,'Grid Data'!$O$4:$O$2342,P$4,'Grid Data'!$M$4:$M$2342,$D$2)*100, 0)</f>
        <v>23.494699999999998</v>
      </c>
      <c r="Q29" s="4">
        <f>IF(  Q92&gt;$E$2, SUMIFS(IF($G$2="CPR",'Grid Data'!$V$4:$V$2342,'Grid Data'!$W$4:$W$2342),'Grid Data'!$N$4:$N$2342,$D29,'Grid Data'!$O$4:$O$2342,Q$4,'Grid Data'!$M$4:$M$2342,$D$2)*100, 0)</f>
        <v>19.180600000000002</v>
      </c>
      <c r="R29" s="4">
        <f>IF(  R92&gt;$E$2, SUMIFS(IF($G$2="CPR",'Grid Data'!$V$4:$V$2342,'Grid Data'!$W$4:$W$2342),'Grid Data'!$N$4:$N$2342,$D29,'Grid Data'!$O$4:$O$2342,R$4,'Grid Data'!$M$4:$M$2342,$D$2)*100, 0)</f>
        <v>22.223200000000002</v>
      </c>
      <c r="S29" s="4">
        <f>IF(  S92&gt;$E$2, SUMIFS(IF($G$2="CPR",'Grid Data'!$V$4:$V$2342,'Grid Data'!$W$4:$W$2342),'Grid Data'!$N$4:$N$2342,$D29,'Grid Data'!$O$4:$O$2342,S$4,'Grid Data'!$M$4:$M$2342,$D$2)*100, 0)</f>
        <v>51.676699999999997</v>
      </c>
      <c r="T29" s="4">
        <f>IF(  T92&gt;$E$2, SUMIFS(IF($G$2="CPR",'Grid Data'!$V$4:$V$2342,'Grid Data'!$W$4:$W$2342),'Grid Data'!$N$4:$N$2342,$D29,'Grid Data'!$O$4:$O$2342,T$4,'Grid Data'!$M$4:$M$2342,$D$2)*100, 0)</f>
        <v>0</v>
      </c>
      <c r="U29" s="4">
        <f>IF(  U92&gt;$E$2, SUMIFS(IF($G$2="CPR",'Grid Data'!$V$4:$V$2342,'Grid Data'!$W$4:$W$2342),'Grid Data'!$N$4:$N$2342,$D29,'Grid Data'!$O$4:$O$2342,U$4,'Grid Data'!$M$4:$M$2342,$D$2)*100, 0)</f>
        <v>0</v>
      </c>
      <c r="V29" s="4">
        <f>IF(  V92&gt;$E$2, SUMIFS(IF($G$2="CPR",'Grid Data'!$V$4:$V$2342,'Grid Data'!$W$4:$W$2342),'Grid Data'!$N$4:$N$2342,$D29,'Grid Data'!$O$4:$O$2342,V$4,'Grid Data'!$M$4:$M$2342,$D$2)*100, 0)</f>
        <v>0</v>
      </c>
      <c r="W29" s="4">
        <f>IF(  W92&gt;$E$2, SUMIFS(IF($G$2="CPR",'Grid Data'!$V$4:$V$2342,'Grid Data'!$W$4:$W$2342),'Grid Data'!$N$4:$N$2342,$D29,'Grid Data'!$O$4:$O$2342,W$4,'Grid Data'!$M$4:$M$2342,$D$2)*100, 0)</f>
        <v>0</v>
      </c>
      <c r="X29" s="4">
        <f>IF(  X92&gt;$E$2, SUMIFS(IF($G$2="CPR",'Grid Data'!$V$4:$V$2342,'Grid Data'!$W$4:$W$2342),'Grid Data'!$N$4:$N$2342,$D29,'Grid Data'!$O$4:$O$2342,X$4,'Grid Data'!$M$4:$M$2342,$D$2)*100, 0)</f>
        <v>0</v>
      </c>
      <c r="Y29" s="4">
        <f>IF(  Y92&gt;$E$2, SUMIFS(IF($G$2="CPR",'Grid Data'!$V$4:$V$2342,'Grid Data'!$W$4:$W$2342),'Grid Data'!$N$4:$N$2342,$D29,'Grid Data'!$O$4:$O$2342,Y$4,'Grid Data'!$M$4:$M$2342,$D$2)*100, 0)</f>
        <v>0</v>
      </c>
      <c r="Z29" s="4">
        <f>IF(  Z92&gt;$E$2, SUMIFS(IF($G$2="CPR",'Grid Data'!$V$4:$V$2342,'Grid Data'!$W$4:$W$2342),'Grid Data'!$N$4:$N$2342,$D29,'Grid Data'!$O$4:$O$2342,Z$4,'Grid Data'!$M$4:$M$2342,$D$2)*100, 0)</f>
        <v>0</v>
      </c>
      <c r="AA29" s="4">
        <f>IF(  AA92&gt;$E$2, SUMIFS(IF($G$2="CPR",'Grid Data'!$V$4:$V$2342,'Grid Data'!$W$4:$W$2342),'Grid Data'!$N$4:$N$2342,$D29,'Grid Data'!$O$4:$O$2342,AA$4,'Grid Data'!$M$4:$M$2342,$D$2)*100, 0)</f>
        <v>0</v>
      </c>
      <c r="AB29" s="4">
        <f>IF(  AB92&gt;$E$2, SUMIFS(IF($G$2="CPR",'Grid Data'!$V$4:$V$2342,'Grid Data'!$W$4:$W$2342),'Grid Data'!$N$4:$N$2342,$D29,'Grid Data'!$O$4:$O$2342,AB$4,'Grid Data'!$M$4:$M$2342,$D$2)*100, 0)</f>
        <v>0</v>
      </c>
      <c r="AC29" s="4">
        <f>IF(  AC92&gt;$E$2, SUMIFS(IF($G$2="CPR",'Grid Data'!$V$4:$V$2342,'Grid Data'!$W$4:$W$2342),'Grid Data'!$N$4:$N$2342,$D29,'Grid Data'!$O$4:$O$2342,AC$4,'Grid Data'!$M$4:$M$2342,$D$2)*100, 0)</f>
        <v>0</v>
      </c>
      <c r="AD29" s="4">
        <f>IF(  AD92&gt;$E$2, SUMIFS(IF($G$2="CPR",'Grid Data'!$V$4:$V$2342,'Grid Data'!$W$4:$W$2342),'Grid Data'!$N$4:$N$2342,$D29,'Grid Data'!$O$4:$O$2342,AD$4,'Grid Data'!$M$4:$M$2342,$D$2)*100, 0)</f>
        <v>0</v>
      </c>
      <c r="AE29" s="4">
        <f>IF(  AE92&gt;$E$2, SUMIFS(IF($G$2="CPR",'Grid Data'!$V$4:$V$2342,'Grid Data'!$W$4:$W$2342),'Grid Data'!$N$4:$N$2342,$D29,'Grid Data'!$O$4:$O$2342,AE$4,'Grid Data'!$M$4:$M$2342,$D$2)*100, 0)</f>
        <v>0</v>
      </c>
      <c r="AF29" s="4">
        <f>IF(  AF92&gt;$E$2, SUMIFS(IF($G$2="CPR",'Grid Data'!$V$4:$V$2342,'Grid Data'!$W$4:$W$2342),'Grid Data'!$N$4:$N$2342,$D29,'Grid Data'!$O$4:$O$2342,AF$4,'Grid Data'!$M$4:$M$2342,$D$2)*100, 0)</f>
        <v>0</v>
      </c>
      <c r="AG29" s="4">
        <f>IF(  AG92&gt;$E$2, SUMIFS(IF($G$2="CPR",'Grid Data'!$V$4:$V$2342,'Grid Data'!$W$4:$W$2342),'Grid Data'!$N$4:$N$2342,$D29,'Grid Data'!$O$4:$O$2342,AG$4,'Grid Data'!$M$4:$M$2342,$D$2)*100, 0)</f>
        <v>3.9662999999999995</v>
      </c>
      <c r="AH29" s="4">
        <f>IF(  AH92&gt;$E$2, SUMIFS(IF($G$2="CPR",'Grid Data'!$V$4:$V$2342,'Grid Data'!$W$4:$W$2342),'Grid Data'!$N$4:$N$2342,$D29,'Grid Data'!$O$4:$O$2342,AH$4,'Grid Data'!$M$4:$M$2342,$D$2)*100, 0)</f>
        <v>9.9855999999999998</v>
      </c>
    </row>
    <row r="30" spans="4:34" x14ac:dyDescent="0.35">
      <c r="D30">
        <v>8250</v>
      </c>
      <c r="E30" s="4">
        <f>IF(  E93&gt;$E$2, SUMIFS(IF($G$2="CPR",'Grid Data'!$V$4:$V$2342,'Grid Data'!$W$4:$W$2342),'Grid Data'!$N$4:$N$2342,$D30,'Grid Data'!$O$4:$O$2342,E$4,'Grid Data'!$M$4:$M$2342,$D$2)*100, 0)</f>
        <v>0</v>
      </c>
      <c r="F30" s="4">
        <f>IF(  F93&gt;$E$2, SUMIFS(IF($G$2="CPR",'Grid Data'!$V$4:$V$2342,'Grid Data'!$W$4:$W$2342),'Grid Data'!$N$4:$N$2342,$D30,'Grid Data'!$O$4:$O$2342,F$4,'Grid Data'!$M$4:$M$2342,$D$2)*100, 0)</f>
        <v>0</v>
      </c>
      <c r="G30" s="4">
        <f>IF(  G93&gt;$E$2, SUMIFS(IF($G$2="CPR",'Grid Data'!$V$4:$V$2342,'Grid Data'!$W$4:$W$2342),'Grid Data'!$N$4:$N$2342,$D30,'Grid Data'!$O$4:$O$2342,G$4,'Grid Data'!$M$4:$M$2342,$D$2)*100, 0)</f>
        <v>0</v>
      </c>
      <c r="H30" s="4">
        <f>IF(  H93&gt;$E$2, SUMIFS(IF($G$2="CPR",'Grid Data'!$V$4:$V$2342,'Grid Data'!$W$4:$W$2342),'Grid Data'!$N$4:$N$2342,$D30,'Grid Data'!$O$4:$O$2342,H$4,'Grid Data'!$M$4:$M$2342,$D$2)*100, 0)</f>
        <v>7.2695999999999996</v>
      </c>
      <c r="I30" s="4">
        <f>IF(  I93&gt;$E$2, SUMIFS(IF($G$2="CPR",'Grid Data'!$V$4:$V$2342,'Grid Data'!$W$4:$W$2342),'Grid Data'!$N$4:$N$2342,$D30,'Grid Data'!$O$4:$O$2342,I$4,'Grid Data'!$M$4:$M$2342,$D$2)*100, 0)</f>
        <v>11.5419</v>
      </c>
      <c r="J30" s="4">
        <f>IF(  J93&gt;$E$2, SUMIFS(IF($G$2="CPR",'Grid Data'!$V$4:$V$2342,'Grid Data'!$W$4:$W$2342),'Grid Data'!$N$4:$N$2342,$D30,'Grid Data'!$O$4:$O$2342,J$4,'Grid Data'!$M$4:$M$2342,$D$2)*100, 0)</f>
        <v>0</v>
      </c>
      <c r="K30" s="4">
        <f>IF(  K93&gt;$E$2, SUMIFS(IF($G$2="CPR",'Grid Data'!$V$4:$V$2342,'Grid Data'!$W$4:$W$2342),'Grid Data'!$N$4:$N$2342,$D30,'Grid Data'!$O$4:$O$2342,K$4,'Grid Data'!$M$4:$M$2342,$D$2)*100, 0)</f>
        <v>5.5329999999999995</v>
      </c>
      <c r="L30" s="4">
        <f>IF(  L93&gt;$E$2, SUMIFS(IF($G$2="CPR",'Grid Data'!$V$4:$V$2342,'Grid Data'!$W$4:$W$2342),'Grid Data'!$N$4:$N$2342,$D30,'Grid Data'!$O$4:$O$2342,L$4,'Grid Data'!$M$4:$M$2342,$D$2)*100, 0)</f>
        <v>22.477900000000002</v>
      </c>
      <c r="M30" s="4">
        <f>IF(  M93&gt;$E$2, SUMIFS(IF($G$2="CPR",'Grid Data'!$V$4:$V$2342,'Grid Data'!$W$4:$W$2342),'Grid Data'!$N$4:$N$2342,$D30,'Grid Data'!$O$4:$O$2342,M$4,'Grid Data'!$M$4:$M$2342,$D$2)*100, 0)</f>
        <v>25.286999999999999</v>
      </c>
      <c r="N30" s="4">
        <f>IF(  N93&gt;$E$2, SUMIFS(IF($G$2="CPR",'Grid Data'!$V$4:$V$2342,'Grid Data'!$W$4:$W$2342),'Grid Data'!$N$4:$N$2342,$D30,'Grid Data'!$O$4:$O$2342,N$4,'Grid Data'!$M$4:$M$2342,$D$2)*100, 0)</f>
        <v>18.926100000000002</v>
      </c>
      <c r="O30" s="4">
        <f>IF(  O93&gt;$E$2, SUMIFS(IF($G$2="CPR",'Grid Data'!$V$4:$V$2342,'Grid Data'!$W$4:$W$2342),'Grid Data'!$N$4:$N$2342,$D30,'Grid Data'!$O$4:$O$2342,O$4,'Grid Data'!$M$4:$M$2342,$D$2)*100, 0)</f>
        <v>26.364999999999998</v>
      </c>
      <c r="P30" s="4">
        <f>IF(  P93&gt;$E$2, SUMIFS(IF($G$2="CPR",'Grid Data'!$V$4:$V$2342,'Grid Data'!$W$4:$W$2342),'Grid Data'!$N$4:$N$2342,$D30,'Grid Data'!$O$4:$O$2342,P$4,'Grid Data'!$M$4:$M$2342,$D$2)*100, 0)</f>
        <v>25.810600000000001</v>
      </c>
      <c r="Q30" s="4">
        <f>IF(  Q93&gt;$E$2, SUMIFS(IF($G$2="CPR",'Grid Data'!$V$4:$V$2342,'Grid Data'!$W$4:$W$2342),'Grid Data'!$N$4:$N$2342,$D30,'Grid Data'!$O$4:$O$2342,Q$4,'Grid Data'!$M$4:$M$2342,$D$2)*100, 0)</f>
        <v>29.185100000000002</v>
      </c>
      <c r="R30" s="4">
        <f>IF(  R93&gt;$E$2, SUMIFS(IF($G$2="CPR",'Grid Data'!$V$4:$V$2342,'Grid Data'!$W$4:$W$2342),'Grid Data'!$N$4:$N$2342,$D30,'Grid Data'!$O$4:$O$2342,R$4,'Grid Data'!$M$4:$M$2342,$D$2)*100, 0)</f>
        <v>11.457599999999999</v>
      </c>
      <c r="S30" s="4">
        <f>IF(  S93&gt;$E$2, SUMIFS(IF($G$2="CPR",'Grid Data'!$V$4:$V$2342,'Grid Data'!$W$4:$W$2342),'Grid Data'!$N$4:$N$2342,$D30,'Grid Data'!$O$4:$O$2342,S$4,'Grid Data'!$M$4:$M$2342,$D$2)*100, 0)</f>
        <v>0</v>
      </c>
      <c r="T30" s="4">
        <f>IF(  T93&gt;$E$2, SUMIFS(IF($G$2="CPR",'Grid Data'!$V$4:$V$2342,'Grid Data'!$W$4:$W$2342),'Grid Data'!$N$4:$N$2342,$D30,'Grid Data'!$O$4:$O$2342,T$4,'Grid Data'!$M$4:$M$2342,$D$2)*100, 0)</f>
        <v>0</v>
      </c>
      <c r="U30" s="4">
        <f>IF(  U93&gt;$E$2, SUMIFS(IF($G$2="CPR",'Grid Data'!$V$4:$V$2342,'Grid Data'!$W$4:$W$2342),'Grid Data'!$N$4:$N$2342,$D30,'Grid Data'!$O$4:$O$2342,U$4,'Grid Data'!$M$4:$M$2342,$D$2)*100, 0)</f>
        <v>0</v>
      </c>
      <c r="V30" s="4">
        <f>IF(  V93&gt;$E$2, SUMIFS(IF($G$2="CPR",'Grid Data'!$V$4:$V$2342,'Grid Data'!$W$4:$W$2342),'Grid Data'!$N$4:$N$2342,$D30,'Grid Data'!$O$4:$O$2342,V$4,'Grid Data'!$M$4:$M$2342,$D$2)*100, 0)</f>
        <v>0</v>
      </c>
      <c r="W30" s="4">
        <f>IF(  W93&gt;$E$2, SUMIFS(IF($G$2="CPR",'Grid Data'!$V$4:$V$2342,'Grid Data'!$W$4:$W$2342),'Grid Data'!$N$4:$N$2342,$D30,'Grid Data'!$O$4:$O$2342,W$4,'Grid Data'!$M$4:$M$2342,$D$2)*100, 0)</f>
        <v>0</v>
      </c>
      <c r="X30" s="4">
        <f>IF(  X93&gt;$E$2, SUMIFS(IF($G$2="CPR",'Grid Data'!$V$4:$V$2342,'Grid Data'!$W$4:$W$2342),'Grid Data'!$N$4:$N$2342,$D30,'Grid Data'!$O$4:$O$2342,X$4,'Grid Data'!$M$4:$M$2342,$D$2)*100, 0)</f>
        <v>0</v>
      </c>
      <c r="Y30" s="4">
        <f>IF(  Y93&gt;$E$2, SUMIFS(IF($G$2="CPR",'Grid Data'!$V$4:$V$2342,'Grid Data'!$W$4:$W$2342),'Grid Data'!$N$4:$N$2342,$D30,'Grid Data'!$O$4:$O$2342,Y$4,'Grid Data'!$M$4:$M$2342,$D$2)*100, 0)</f>
        <v>0</v>
      </c>
      <c r="Z30" s="4">
        <f>IF(  Z93&gt;$E$2, SUMIFS(IF($G$2="CPR",'Grid Data'!$V$4:$V$2342,'Grid Data'!$W$4:$W$2342),'Grid Data'!$N$4:$N$2342,$D30,'Grid Data'!$O$4:$O$2342,Z$4,'Grid Data'!$M$4:$M$2342,$D$2)*100, 0)</f>
        <v>0</v>
      </c>
      <c r="AA30" s="4">
        <f>IF(  AA93&gt;$E$2, SUMIFS(IF($G$2="CPR",'Grid Data'!$V$4:$V$2342,'Grid Data'!$W$4:$W$2342),'Grid Data'!$N$4:$N$2342,$D30,'Grid Data'!$O$4:$O$2342,AA$4,'Grid Data'!$M$4:$M$2342,$D$2)*100, 0)</f>
        <v>0</v>
      </c>
      <c r="AB30" s="4">
        <f>IF(  AB93&gt;$E$2, SUMIFS(IF($G$2="CPR",'Grid Data'!$V$4:$V$2342,'Grid Data'!$W$4:$W$2342),'Grid Data'!$N$4:$N$2342,$D30,'Grid Data'!$O$4:$O$2342,AB$4,'Grid Data'!$M$4:$M$2342,$D$2)*100, 0)</f>
        <v>0</v>
      </c>
      <c r="AC30" s="4">
        <f>IF(  AC93&gt;$E$2, SUMIFS(IF($G$2="CPR",'Grid Data'!$V$4:$V$2342,'Grid Data'!$W$4:$W$2342),'Grid Data'!$N$4:$N$2342,$D30,'Grid Data'!$O$4:$O$2342,AC$4,'Grid Data'!$M$4:$M$2342,$D$2)*100, 0)</f>
        <v>0</v>
      </c>
      <c r="AD30" s="4">
        <f>IF(  AD93&gt;$E$2, SUMIFS(IF($G$2="CPR",'Grid Data'!$V$4:$V$2342,'Grid Data'!$W$4:$W$2342),'Grid Data'!$N$4:$N$2342,$D30,'Grid Data'!$O$4:$O$2342,AD$4,'Grid Data'!$M$4:$M$2342,$D$2)*100, 0)</f>
        <v>0</v>
      </c>
      <c r="AE30" s="4">
        <f>IF(  AE93&gt;$E$2, SUMIFS(IF($G$2="CPR",'Grid Data'!$V$4:$V$2342,'Grid Data'!$W$4:$W$2342),'Grid Data'!$N$4:$N$2342,$D30,'Grid Data'!$O$4:$O$2342,AE$4,'Grid Data'!$M$4:$M$2342,$D$2)*100, 0)</f>
        <v>0</v>
      </c>
      <c r="AF30" s="4">
        <f>IF(  AF93&gt;$E$2, SUMIFS(IF($G$2="CPR",'Grid Data'!$V$4:$V$2342,'Grid Data'!$W$4:$W$2342),'Grid Data'!$N$4:$N$2342,$D30,'Grid Data'!$O$4:$O$2342,AF$4,'Grid Data'!$M$4:$M$2342,$D$2)*100, 0)</f>
        <v>0</v>
      </c>
      <c r="AG30" s="4">
        <f>IF(  AG93&gt;$E$2, SUMIFS(IF($G$2="CPR",'Grid Data'!$V$4:$V$2342,'Grid Data'!$W$4:$W$2342),'Grid Data'!$N$4:$N$2342,$D30,'Grid Data'!$O$4:$O$2342,AG$4,'Grid Data'!$M$4:$M$2342,$D$2)*100, 0)</f>
        <v>14.445</v>
      </c>
      <c r="AH30" s="4">
        <f>IF(  AH93&gt;$E$2, SUMIFS(IF($G$2="CPR",'Grid Data'!$V$4:$V$2342,'Grid Data'!$W$4:$W$2342),'Grid Data'!$N$4:$N$2342,$D30,'Grid Data'!$O$4:$O$2342,AH$4,'Grid Data'!$M$4:$M$2342,$D$2)*100, 0)</f>
        <v>22.456599999999998</v>
      </c>
    </row>
    <row r="31" spans="4:34" x14ac:dyDescent="0.35">
      <c r="D31">
        <v>8500</v>
      </c>
      <c r="E31" s="4">
        <f>IF(  E94&gt;$E$2, SUMIFS(IF($G$2="CPR",'Grid Data'!$V$4:$V$2342,'Grid Data'!$W$4:$W$2342),'Grid Data'!$N$4:$N$2342,$D31,'Grid Data'!$O$4:$O$2342,E$4,'Grid Data'!$M$4:$M$2342,$D$2)*100, 0)</f>
        <v>0</v>
      </c>
      <c r="F31" s="4">
        <f>IF(  F94&gt;$E$2, SUMIFS(IF($G$2="CPR",'Grid Data'!$V$4:$V$2342,'Grid Data'!$W$4:$W$2342),'Grid Data'!$N$4:$N$2342,$D31,'Grid Data'!$O$4:$O$2342,F$4,'Grid Data'!$M$4:$M$2342,$D$2)*100, 0)</f>
        <v>0</v>
      </c>
      <c r="G31" s="4">
        <f>IF(  G94&gt;$E$2, SUMIFS(IF($G$2="CPR",'Grid Data'!$V$4:$V$2342,'Grid Data'!$W$4:$W$2342),'Grid Data'!$N$4:$N$2342,$D31,'Grid Data'!$O$4:$O$2342,G$4,'Grid Data'!$M$4:$M$2342,$D$2)*100, 0)</f>
        <v>0</v>
      </c>
      <c r="H31" s="4">
        <f>IF(  H94&gt;$E$2, SUMIFS(IF($G$2="CPR",'Grid Data'!$V$4:$V$2342,'Grid Data'!$W$4:$W$2342),'Grid Data'!$N$4:$N$2342,$D31,'Grid Data'!$O$4:$O$2342,H$4,'Grid Data'!$M$4:$M$2342,$D$2)*100, 0)</f>
        <v>0</v>
      </c>
      <c r="I31" s="4">
        <f>IF(  I94&gt;$E$2, SUMIFS(IF($G$2="CPR",'Grid Data'!$V$4:$V$2342,'Grid Data'!$W$4:$W$2342),'Grid Data'!$N$4:$N$2342,$D31,'Grid Data'!$O$4:$O$2342,I$4,'Grid Data'!$M$4:$M$2342,$D$2)*100, 0)</f>
        <v>0</v>
      </c>
      <c r="J31" s="4">
        <f>IF(  J94&gt;$E$2, SUMIFS(IF($G$2="CPR",'Grid Data'!$V$4:$V$2342,'Grid Data'!$W$4:$W$2342),'Grid Data'!$N$4:$N$2342,$D31,'Grid Data'!$O$4:$O$2342,J$4,'Grid Data'!$M$4:$M$2342,$D$2)*100, 0)</f>
        <v>0</v>
      </c>
      <c r="K31" s="4">
        <f>IF(  K94&gt;$E$2, SUMIFS(IF($G$2="CPR",'Grid Data'!$V$4:$V$2342,'Grid Data'!$W$4:$W$2342),'Grid Data'!$N$4:$N$2342,$D31,'Grid Data'!$O$4:$O$2342,K$4,'Grid Data'!$M$4:$M$2342,$D$2)*100, 0)</f>
        <v>0</v>
      </c>
      <c r="L31" s="4">
        <f>IF(  L94&gt;$E$2, SUMIFS(IF($G$2="CPR",'Grid Data'!$V$4:$V$2342,'Grid Data'!$W$4:$W$2342),'Grid Data'!$N$4:$N$2342,$D31,'Grid Data'!$O$4:$O$2342,L$4,'Grid Data'!$M$4:$M$2342,$D$2)*100, 0)</f>
        <v>0</v>
      </c>
      <c r="M31" s="4">
        <f>IF(  M94&gt;$E$2, SUMIFS(IF($G$2="CPR",'Grid Data'!$V$4:$V$2342,'Grid Data'!$W$4:$W$2342),'Grid Data'!$N$4:$N$2342,$D31,'Grid Data'!$O$4:$O$2342,M$4,'Grid Data'!$M$4:$M$2342,$D$2)*100, 0)</f>
        <v>0</v>
      </c>
      <c r="N31" s="4">
        <f>IF(  N94&gt;$E$2, SUMIFS(IF($G$2="CPR",'Grid Data'!$V$4:$V$2342,'Grid Data'!$W$4:$W$2342),'Grid Data'!$N$4:$N$2342,$D31,'Grid Data'!$O$4:$O$2342,N$4,'Grid Data'!$M$4:$M$2342,$D$2)*100, 0)</f>
        <v>0</v>
      </c>
      <c r="O31" s="4">
        <f>IF(  O94&gt;$E$2, SUMIFS(IF($G$2="CPR",'Grid Data'!$V$4:$V$2342,'Grid Data'!$W$4:$W$2342),'Grid Data'!$N$4:$N$2342,$D31,'Grid Data'!$O$4:$O$2342,O$4,'Grid Data'!$M$4:$M$2342,$D$2)*100, 0)</f>
        <v>0</v>
      </c>
      <c r="P31" s="4">
        <f>IF(  P94&gt;$E$2, SUMIFS(IF($G$2="CPR",'Grid Data'!$V$4:$V$2342,'Grid Data'!$W$4:$W$2342),'Grid Data'!$N$4:$N$2342,$D31,'Grid Data'!$O$4:$O$2342,P$4,'Grid Data'!$M$4:$M$2342,$D$2)*100, 0)</f>
        <v>0</v>
      </c>
      <c r="Q31" s="4">
        <f>IF(  Q94&gt;$E$2, SUMIFS(IF($G$2="CPR",'Grid Data'!$V$4:$V$2342,'Grid Data'!$W$4:$W$2342),'Grid Data'!$N$4:$N$2342,$D31,'Grid Data'!$O$4:$O$2342,Q$4,'Grid Data'!$M$4:$M$2342,$D$2)*100, 0)</f>
        <v>14.346999999999998</v>
      </c>
      <c r="R31" s="4">
        <f>IF(  R94&gt;$E$2, SUMIFS(IF($G$2="CPR",'Grid Data'!$V$4:$V$2342,'Grid Data'!$W$4:$W$2342),'Grid Data'!$N$4:$N$2342,$D31,'Grid Data'!$O$4:$O$2342,R$4,'Grid Data'!$M$4:$M$2342,$D$2)*100, 0)</f>
        <v>0</v>
      </c>
      <c r="S31" s="4">
        <f>IF(  S94&gt;$E$2, SUMIFS(IF($G$2="CPR",'Grid Data'!$V$4:$V$2342,'Grid Data'!$W$4:$W$2342),'Grid Data'!$N$4:$N$2342,$D31,'Grid Data'!$O$4:$O$2342,S$4,'Grid Data'!$M$4:$M$2342,$D$2)*100, 0)</f>
        <v>0</v>
      </c>
      <c r="T31" s="4">
        <f>IF(  T94&gt;$E$2, SUMIFS(IF($G$2="CPR",'Grid Data'!$V$4:$V$2342,'Grid Data'!$W$4:$W$2342),'Grid Data'!$N$4:$N$2342,$D31,'Grid Data'!$O$4:$O$2342,T$4,'Grid Data'!$M$4:$M$2342,$D$2)*100, 0)</f>
        <v>0</v>
      </c>
      <c r="U31" s="4">
        <f>IF(  U94&gt;$E$2, SUMIFS(IF($G$2="CPR",'Grid Data'!$V$4:$V$2342,'Grid Data'!$W$4:$W$2342),'Grid Data'!$N$4:$N$2342,$D31,'Grid Data'!$O$4:$O$2342,U$4,'Grid Data'!$M$4:$M$2342,$D$2)*100, 0)</f>
        <v>0</v>
      </c>
      <c r="V31" s="4">
        <f>IF(  V94&gt;$E$2, SUMIFS(IF($G$2="CPR",'Grid Data'!$V$4:$V$2342,'Grid Data'!$W$4:$W$2342),'Grid Data'!$N$4:$N$2342,$D31,'Grid Data'!$O$4:$O$2342,V$4,'Grid Data'!$M$4:$M$2342,$D$2)*100, 0)</f>
        <v>0</v>
      </c>
      <c r="W31" s="4">
        <f>IF(  W94&gt;$E$2, SUMIFS(IF($G$2="CPR",'Grid Data'!$V$4:$V$2342,'Grid Data'!$W$4:$W$2342),'Grid Data'!$N$4:$N$2342,$D31,'Grid Data'!$O$4:$O$2342,W$4,'Grid Data'!$M$4:$M$2342,$D$2)*100, 0)</f>
        <v>0</v>
      </c>
      <c r="X31" s="4">
        <f>IF(  X94&gt;$E$2, SUMIFS(IF($G$2="CPR",'Grid Data'!$V$4:$V$2342,'Grid Data'!$W$4:$W$2342),'Grid Data'!$N$4:$N$2342,$D31,'Grid Data'!$O$4:$O$2342,X$4,'Grid Data'!$M$4:$M$2342,$D$2)*100, 0)</f>
        <v>0</v>
      </c>
      <c r="Y31" s="4">
        <f>IF(  Y94&gt;$E$2, SUMIFS(IF($G$2="CPR",'Grid Data'!$V$4:$V$2342,'Grid Data'!$W$4:$W$2342),'Grid Data'!$N$4:$N$2342,$D31,'Grid Data'!$O$4:$O$2342,Y$4,'Grid Data'!$M$4:$M$2342,$D$2)*100, 0)</f>
        <v>0</v>
      </c>
      <c r="Z31" s="4">
        <f>IF(  Z94&gt;$E$2, SUMIFS(IF($G$2="CPR",'Grid Data'!$V$4:$V$2342,'Grid Data'!$W$4:$W$2342),'Grid Data'!$N$4:$N$2342,$D31,'Grid Data'!$O$4:$O$2342,Z$4,'Grid Data'!$M$4:$M$2342,$D$2)*100, 0)</f>
        <v>0</v>
      </c>
      <c r="AA31" s="4">
        <f>IF(  AA94&gt;$E$2, SUMIFS(IF($G$2="CPR",'Grid Data'!$V$4:$V$2342,'Grid Data'!$W$4:$W$2342),'Grid Data'!$N$4:$N$2342,$D31,'Grid Data'!$O$4:$O$2342,AA$4,'Grid Data'!$M$4:$M$2342,$D$2)*100, 0)</f>
        <v>0</v>
      </c>
      <c r="AB31" s="4">
        <f>IF(  AB94&gt;$E$2, SUMIFS(IF($G$2="CPR",'Grid Data'!$V$4:$V$2342,'Grid Data'!$W$4:$W$2342),'Grid Data'!$N$4:$N$2342,$D31,'Grid Data'!$O$4:$O$2342,AB$4,'Grid Data'!$M$4:$M$2342,$D$2)*100, 0)</f>
        <v>0</v>
      </c>
      <c r="AC31" s="4">
        <f>IF(  AC94&gt;$E$2, SUMIFS(IF($G$2="CPR",'Grid Data'!$V$4:$V$2342,'Grid Data'!$W$4:$W$2342),'Grid Data'!$N$4:$N$2342,$D31,'Grid Data'!$O$4:$O$2342,AC$4,'Grid Data'!$M$4:$M$2342,$D$2)*100, 0)</f>
        <v>0</v>
      </c>
      <c r="AD31" s="4">
        <f>IF(  AD94&gt;$E$2, SUMIFS(IF($G$2="CPR",'Grid Data'!$V$4:$V$2342,'Grid Data'!$W$4:$W$2342),'Grid Data'!$N$4:$N$2342,$D31,'Grid Data'!$O$4:$O$2342,AD$4,'Grid Data'!$M$4:$M$2342,$D$2)*100, 0)</f>
        <v>0</v>
      </c>
      <c r="AE31" s="4">
        <f>IF(  AE94&gt;$E$2, SUMIFS(IF($G$2="CPR",'Grid Data'!$V$4:$V$2342,'Grid Data'!$W$4:$W$2342),'Grid Data'!$N$4:$N$2342,$D31,'Grid Data'!$O$4:$O$2342,AE$4,'Grid Data'!$M$4:$M$2342,$D$2)*100, 0)</f>
        <v>0</v>
      </c>
      <c r="AF31" s="4">
        <f>IF(  AF94&gt;$E$2, SUMIFS(IF($G$2="CPR",'Grid Data'!$V$4:$V$2342,'Grid Data'!$W$4:$W$2342),'Grid Data'!$N$4:$N$2342,$D31,'Grid Data'!$O$4:$O$2342,AF$4,'Grid Data'!$M$4:$M$2342,$D$2)*100, 0)</f>
        <v>0</v>
      </c>
      <c r="AG31" s="4">
        <f>IF(  AG94&gt;$E$2, SUMIFS(IF($G$2="CPR",'Grid Data'!$V$4:$V$2342,'Grid Data'!$W$4:$W$2342),'Grid Data'!$N$4:$N$2342,$D31,'Grid Data'!$O$4:$O$2342,AG$4,'Grid Data'!$M$4:$M$2342,$D$2)*100, 0)</f>
        <v>6.5247000000000002</v>
      </c>
      <c r="AH31" s="4">
        <f>IF(  AH94&gt;$E$2, SUMIFS(IF($G$2="CPR",'Grid Data'!$V$4:$V$2342,'Grid Data'!$W$4:$W$2342),'Grid Data'!$N$4:$N$2342,$D31,'Grid Data'!$O$4:$O$2342,AH$4,'Grid Data'!$M$4:$M$2342,$D$2)*100, 0)</f>
        <v>14.7867</v>
      </c>
    </row>
    <row r="32" spans="4:34" x14ac:dyDescent="0.35">
      <c r="D32">
        <v>9000</v>
      </c>
      <c r="E32" s="4">
        <f>IF(  E95&gt;$E$2, SUMIFS(IF($G$2="CPR",'Grid Data'!$V$4:$V$2342,'Grid Data'!$W$4:$W$2342),'Grid Data'!$N$4:$N$2342,$D32,'Grid Data'!$O$4:$O$2342,E$4,'Grid Data'!$M$4:$M$2342,$D$2)*100, 0)</f>
        <v>0</v>
      </c>
      <c r="F32" s="4">
        <f>IF(  F95&gt;$E$2, SUMIFS(IF($G$2="CPR",'Grid Data'!$V$4:$V$2342,'Grid Data'!$W$4:$W$2342),'Grid Data'!$N$4:$N$2342,$D32,'Grid Data'!$O$4:$O$2342,F$4,'Grid Data'!$M$4:$M$2342,$D$2)*100, 0)</f>
        <v>0</v>
      </c>
      <c r="G32" s="4">
        <f>IF(  G95&gt;$E$2, SUMIFS(IF($G$2="CPR",'Grid Data'!$V$4:$V$2342,'Grid Data'!$W$4:$W$2342),'Grid Data'!$N$4:$N$2342,$D32,'Grid Data'!$O$4:$O$2342,G$4,'Grid Data'!$M$4:$M$2342,$D$2)*100, 0)</f>
        <v>0</v>
      </c>
      <c r="H32" s="4">
        <f>IF(  H95&gt;$E$2, SUMIFS(IF($G$2="CPR",'Grid Data'!$V$4:$V$2342,'Grid Data'!$W$4:$W$2342),'Grid Data'!$N$4:$N$2342,$D32,'Grid Data'!$O$4:$O$2342,H$4,'Grid Data'!$M$4:$M$2342,$D$2)*100, 0)</f>
        <v>0</v>
      </c>
      <c r="I32" s="4">
        <f>IF(  I95&gt;$E$2, SUMIFS(IF($G$2="CPR",'Grid Data'!$V$4:$V$2342,'Grid Data'!$W$4:$W$2342),'Grid Data'!$N$4:$N$2342,$D32,'Grid Data'!$O$4:$O$2342,I$4,'Grid Data'!$M$4:$M$2342,$D$2)*100, 0)</f>
        <v>0</v>
      </c>
      <c r="J32" s="4">
        <f>IF(  J95&gt;$E$2, SUMIFS(IF($G$2="CPR",'Grid Data'!$V$4:$V$2342,'Grid Data'!$W$4:$W$2342),'Grid Data'!$N$4:$N$2342,$D32,'Grid Data'!$O$4:$O$2342,J$4,'Grid Data'!$M$4:$M$2342,$D$2)*100, 0)</f>
        <v>0</v>
      </c>
      <c r="K32" s="4">
        <f>IF(  K95&gt;$E$2, SUMIFS(IF($G$2="CPR",'Grid Data'!$V$4:$V$2342,'Grid Data'!$W$4:$W$2342),'Grid Data'!$N$4:$N$2342,$D32,'Grid Data'!$O$4:$O$2342,K$4,'Grid Data'!$M$4:$M$2342,$D$2)*100, 0)</f>
        <v>0</v>
      </c>
      <c r="L32" s="4">
        <f>IF(  L95&gt;$E$2, SUMIFS(IF($G$2="CPR",'Grid Data'!$V$4:$V$2342,'Grid Data'!$W$4:$W$2342),'Grid Data'!$N$4:$N$2342,$D32,'Grid Data'!$O$4:$O$2342,L$4,'Grid Data'!$M$4:$M$2342,$D$2)*100, 0)</f>
        <v>0</v>
      </c>
      <c r="M32" s="4">
        <f>IF(  M95&gt;$E$2, SUMIFS(IF($G$2="CPR",'Grid Data'!$V$4:$V$2342,'Grid Data'!$W$4:$W$2342),'Grid Data'!$N$4:$N$2342,$D32,'Grid Data'!$O$4:$O$2342,M$4,'Grid Data'!$M$4:$M$2342,$D$2)*100, 0)</f>
        <v>0</v>
      </c>
      <c r="N32" s="4">
        <f>IF(  N95&gt;$E$2, SUMIFS(IF($G$2="CPR",'Grid Data'!$V$4:$V$2342,'Grid Data'!$W$4:$W$2342),'Grid Data'!$N$4:$N$2342,$D32,'Grid Data'!$O$4:$O$2342,N$4,'Grid Data'!$M$4:$M$2342,$D$2)*100, 0)</f>
        <v>0</v>
      </c>
      <c r="O32" s="4">
        <f>IF(  O95&gt;$E$2, SUMIFS(IF($G$2="CPR",'Grid Data'!$V$4:$V$2342,'Grid Data'!$W$4:$W$2342),'Grid Data'!$N$4:$N$2342,$D32,'Grid Data'!$O$4:$O$2342,O$4,'Grid Data'!$M$4:$M$2342,$D$2)*100, 0)</f>
        <v>0</v>
      </c>
      <c r="P32" s="4">
        <f>IF(  P95&gt;$E$2, SUMIFS(IF($G$2="CPR",'Grid Data'!$V$4:$V$2342,'Grid Data'!$W$4:$W$2342),'Grid Data'!$N$4:$N$2342,$D32,'Grid Data'!$O$4:$O$2342,P$4,'Grid Data'!$M$4:$M$2342,$D$2)*100, 0)</f>
        <v>0</v>
      </c>
      <c r="Q32" s="4">
        <f>IF(  Q95&gt;$E$2, SUMIFS(IF($G$2="CPR",'Grid Data'!$V$4:$V$2342,'Grid Data'!$W$4:$W$2342),'Grid Data'!$N$4:$N$2342,$D32,'Grid Data'!$O$4:$O$2342,Q$4,'Grid Data'!$M$4:$M$2342,$D$2)*100, 0)</f>
        <v>25.708599999999997</v>
      </c>
      <c r="R32" s="4">
        <f>IF(  R95&gt;$E$2, SUMIFS(IF($G$2="CPR",'Grid Data'!$V$4:$V$2342,'Grid Data'!$W$4:$W$2342),'Grid Data'!$N$4:$N$2342,$D32,'Grid Data'!$O$4:$O$2342,R$4,'Grid Data'!$M$4:$M$2342,$D$2)*100, 0)</f>
        <v>0</v>
      </c>
      <c r="S32" s="4">
        <f>IF(  S95&gt;$E$2, SUMIFS(IF($G$2="CPR",'Grid Data'!$V$4:$V$2342,'Grid Data'!$W$4:$W$2342),'Grid Data'!$N$4:$N$2342,$D32,'Grid Data'!$O$4:$O$2342,S$4,'Grid Data'!$M$4:$M$2342,$D$2)*100, 0)</f>
        <v>0</v>
      </c>
      <c r="T32" s="4">
        <f>IF(  T95&gt;$E$2, SUMIFS(IF($G$2="CPR",'Grid Data'!$V$4:$V$2342,'Grid Data'!$W$4:$W$2342),'Grid Data'!$N$4:$N$2342,$D32,'Grid Data'!$O$4:$O$2342,T$4,'Grid Data'!$M$4:$M$2342,$D$2)*100, 0)</f>
        <v>0</v>
      </c>
      <c r="U32" s="4">
        <f>IF(  U95&gt;$E$2, SUMIFS(IF($G$2="CPR",'Grid Data'!$V$4:$V$2342,'Grid Data'!$W$4:$W$2342),'Grid Data'!$N$4:$N$2342,$D32,'Grid Data'!$O$4:$O$2342,U$4,'Grid Data'!$M$4:$M$2342,$D$2)*100, 0)</f>
        <v>0</v>
      </c>
      <c r="V32" s="4">
        <f>IF(  V95&gt;$E$2, SUMIFS(IF($G$2="CPR",'Grid Data'!$V$4:$V$2342,'Grid Data'!$W$4:$W$2342),'Grid Data'!$N$4:$N$2342,$D32,'Grid Data'!$O$4:$O$2342,V$4,'Grid Data'!$M$4:$M$2342,$D$2)*100, 0)</f>
        <v>0</v>
      </c>
      <c r="W32" s="4">
        <f>IF(  W95&gt;$E$2, SUMIFS(IF($G$2="CPR",'Grid Data'!$V$4:$V$2342,'Grid Data'!$W$4:$W$2342),'Grid Data'!$N$4:$N$2342,$D32,'Grid Data'!$O$4:$O$2342,W$4,'Grid Data'!$M$4:$M$2342,$D$2)*100, 0)</f>
        <v>0</v>
      </c>
      <c r="X32" s="4">
        <f>IF(  X95&gt;$E$2, SUMIFS(IF($G$2="CPR",'Grid Data'!$V$4:$V$2342,'Grid Data'!$W$4:$W$2342),'Grid Data'!$N$4:$N$2342,$D32,'Grid Data'!$O$4:$O$2342,X$4,'Grid Data'!$M$4:$M$2342,$D$2)*100, 0)</f>
        <v>0</v>
      </c>
      <c r="Y32" s="4">
        <f>IF(  Y95&gt;$E$2, SUMIFS(IF($G$2="CPR",'Grid Data'!$V$4:$V$2342,'Grid Data'!$W$4:$W$2342),'Grid Data'!$N$4:$N$2342,$D32,'Grid Data'!$O$4:$O$2342,Y$4,'Grid Data'!$M$4:$M$2342,$D$2)*100, 0)</f>
        <v>0</v>
      </c>
      <c r="Z32" s="4">
        <f>IF(  Z95&gt;$E$2, SUMIFS(IF($G$2="CPR",'Grid Data'!$V$4:$V$2342,'Grid Data'!$W$4:$W$2342),'Grid Data'!$N$4:$N$2342,$D32,'Grid Data'!$O$4:$O$2342,Z$4,'Grid Data'!$M$4:$M$2342,$D$2)*100, 0)</f>
        <v>0</v>
      </c>
      <c r="AA32" s="4">
        <f>IF(  AA95&gt;$E$2, SUMIFS(IF($G$2="CPR",'Grid Data'!$V$4:$V$2342,'Grid Data'!$W$4:$W$2342),'Grid Data'!$N$4:$N$2342,$D32,'Grid Data'!$O$4:$O$2342,AA$4,'Grid Data'!$M$4:$M$2342,$D$2)*100, 0)</f>
        <v>0</v>
      </c>
      <c r="AB32" s="4">
        <f>IF(  AB95&gt;$E$2, SUMIFS(IF($G$2="CPR",'Grid Data'!$V$4:$V$2342,'Grid Data'!$W$4:$W$2342),'Grid Data'!$N$4:$N$2342,$D32,'Grid Data'!$O$4:$O$2342,AB$4,'Grid Data'!$M$4:$M$2342,$D$2)*100, 0)</f>
        <v>0</v>
      </c>
      <c r="AC32" s="4">
        <f>IF(  AC95&gt;$E$2, SUMIFS(IF($G$2="CPR",'Grid Data'!$V$4:$V$2342,'Grid Data'!$W$4:$W$2342),'Grid Data'!$N$4:$N$2342,$D32,'Grid Data'!$O$4:$O$2342,AC$4,'Grid Data'!$M$4:$M$2342,$D$2)*100, 0)</f>
        <v>0</v>
      </c>
      <c r="AD32" s="4">
        <f>IF(  AD95&gt;$E$2, SUMIFS(IF($G$2="CPR",'Grid Data'!$V$4:$V$2342,'Grid Data'!$W$4:$W$2342),'Grid Data'!$N$4:$N$2342,$D32,'Grid Data'!$O$4:$O$2342,AD$4,'Grid Data'!$M$4:$M$2342,$D$2)*100, 0)</f>
        <v>0</v>
      </c>
      <c r="AE32" s="4">
        <f>IF(  AE95&gt;$E$2, SUMIFS(IF($G$2="CPR",'Grid Data'!$V$4:$V$2342,'Grid Data'!$W$4:$W$2342),'Grid Data'!$N$4:$N$2342,$D32,'Grid Data'!$O$4:$O$2342,AE$4,'Grid Data'!$M$4:$M$2342,$D$2)*100, 0)</f>
        <v>0</v>
      </c>
      <c r="AF32" s="4">
        <f>IF(  AF95&gt;$E$2, SUMIFS(IF($G$2="CPR",'Grid Data'!$V$4:$V$2342,'Grid Data'!$W$4:$W$2342),'Grid Data'!$N$4:$N$2342,$D32,'Grid Data'!$O$4:$O$2342,AF$4,'Grid Data'!$M$4:$M$2342,$D$2)*100, 0)</f>
        <v>0</v>
      </c>
      <c r="AG32" s="4">
        <f>IF(  AG95&gt;$E$2, SUMIFS(IF($G$2="CPR",'Grid Data'!$V$4:$V$2342,'Grid Data'!$W$4:$W$2342),'Grid Data'!$N$4:$N$2342,$D32,'Grid Data'!$O$4:$O$2342,AG$4,'Grid Data'!$M$4:$M$2342,$D$2)*100, 0)</f>
        <v>3.4195999999999995</v>
      </c>
      <c r="AH32" s="4">
        <f>IF(  AH95&gt;$E$2, SUMIFS(IF($G$2="CPR",'Grid Data'!$V$4:$V$2342,'Grid Data'!$W$4:$W$2342),'Grid Data'!$N$4:$N$2342,$D32,'Grid Data'!$O$4:$O$2342,AH$4,'Grid Data'!$M$4:$M$2342,$D$2)*100, 0)</f>
        <v>19.497500000000002</v>
      </c>
    </row>
    <row r="33" spans="1:34" x14ac:dyDescent="0.35">
      <c r="D33">
        <v>20000</v>
      </c>
      <c r="E33" s="4">
        <f>IF(  E96&gt;$E$2, SUMIFS(IF($G$2="CPR",'Grid Data'!$V$4:$V$2342,'Grid Data'!$W$4:$W$2342),'Grid Data'!$N$4:$N$2342,$D33,'Grid Data'!$O$4:$O$2342,E$4,'Grid Data'!$M$4:$M$2342,$D$2)*100, 0)</f>
        <v>0</v>
      </c>
      <c r="F33" s="4">
        <f>IF(  F96&gt;$E$2, SUMIFS(IF($G$2="CPR",'Grid Data'!$V$4:$V$2342,'Grid Data'!$W$4:$W$2342),'Grid Data'!$N$4:$N$2342,$D33,'Grid Data'!$O$4:$O$2342,F$4,'Grid Data'!$M$4:$M$2342,$D$2)*100, 0)</f>
        <v>0</v>
      </c>
      <c r="G33" s="4">
        <f>IF(  G96&gt;$E$2, SUMIFS(IF($G$2="CPR",'Grid Data'!$V$4:$V$2342,'Grid Data'!$W$4:$W$2342),'Grid Data'!$N$4:$N$2342,$D33,'Grid Data'!$O$4:$O$2342,G$4,'Grid Data'!$M$4:$M$2342,$D$2)*100, 0)</f>
        <v>0</v>
      </c>
      <c r="H33" s="4">
        <f>IF(  H96&gt;$E$2, SUMIFS(IF($G$2="CPR",'Grid Data'!$V$4:$V$2342,'Grid Data'!$W$4:$W$2342),'Grid Data'!$N$4:$N$2342,$D33,'Grid Data'!$O$4:$O$2342,H$4,'Grid Data'!$M$4:$M$2342,$D$2)*100, 0)</f>
        <v>0</v>
      </c>
      <c r="I33" s="4">
        <f>IF(  I96&gt;$E$2, SUMIFS(IF($G$2="CPR",'Grid Data'!$V$4:$V$2342,'Grid Data'!$W$4:$W$2342),'Grid Data'!$N$4:$N$2342,$D33,'Grid Data'!$O$4:$O$2342,I$4,'Grid Data'!$M$4:$M$2342,$D$2)*100, 0)</f>
        <v>0</v>
      </c>
      <c r="J33" s="4">
        <f>IF(  J96&gt;$E$2, SUMIFS(IF($G$2="CPR",'Grid Data'!$V$4:$V$2342,'Grid Data'!$W$4:$W$2342),'Grid Data'!$N$4:$N$2342,$D33,'Grid Data'!$O$4:$O$2342,J$4,'Grid Data'!$M$4:$M$2342,$D$2)*100, 0)</f>
        <v>0</v>
      </c>
      <c r="K33" s="4">
        <f>IF(  K96&gt;$E$2, SUMIFS(IF($G$2="CPR",'Grid Data'!$V$4:$V$2342,'Grid Data'!$W$4:$W$2342),'Grid Data'!$N$4:$N$2342,$D33,'Grid Data'!$O$4:$O$2342,K$4,'Grid Data'!$M$4:$M$2342,$D$2)*100, 0)</f>
        <v>0</v>
      </c>
      <c r="L33" s="4">
        <f>IF(  L96&gt;$E$2, SUMIFS(IF($G$2="CPR",'Grid Data'!$V$4:$V$2342,'Grid Data'!$W$4:$W$2342),'Grid Data'!$N$4:$N$2342,$D33,'Grid Data'!$O$4:$O$2342,L$4,'Grid Data'!$M$4:$M$2342,$D$2)*100, 0)</f>
        <v>0</v>
      </c>
      <c r="M33" s="4">
        <f>IF(  M96&gt;$E$2, SUMIFS(IF($G$2="CPR",'Grid Data'!$V$4:$V$2342,'Grid Data'!$W$4:$W$2342),'Grid Data'!$N$4:$N$2342,$D33,'Grid Data'!$O$4:$O$2342,M$4,'Grid Data'!$M$4:$M$2342,$D$2)*100, 0)</f>
        <v>0</v>
      </c>
      <c r="N33" s="4">
        <f>IF(  N96&gt;$E$2, SUMIFS(IF($G$2="CPR",'Grid Data'!$V$4:$V$2342,'Grid Data'!$W$4:$W$2342),'Grid Data'!$N$4:$N$2342,$D33,'Grid Data'!$O$4:$O$2342,N$4,'Grid Data'!$M$4:$M$2342,$D$2)*100, 0)</f>
        <v>0</v>
      </c>
      <c r="O33" s="4">
        <f>IF(  O96&gt;$E$2, SUMIFS(IF($G$2="CPR",'Grid Data'!$V$4:$V$2342,'Grid Data'!$W$4:$W$2342),'Grid Data'!$N$4:$N$2342,$D33,'Grid Data'!$O$4:$O$2342,O$4,'Grid Data'!$M$4:$M$2342,$D$2)*100, 0)</f>
        <v>0</v>
      </c>
      <c r="P33" s="4">
        <f>IF(  P96&gt;$E$2, SUMIFS(IF($G$2="CPR",'Grid Data'!$V$4:$V$2342,'Grid Data'!$W$4:$W$2342),'Grid Data'!$N$4:$N$2342,$D33,'Grid Data'!$O$4:$O$2342,P$4,'Grid Data'!$M$4:$M$2342,$D$2)*100, 0)</f>
        <v>0</v>
      </c>
      <c r="Q33" s="4">
        <f>IF(  Q96&gt;$E$2, SUMIFS(IF($G$2="CPR",'Grid Data'!$V$4:$V$2342,'Grid Data'!$W$4:$W$2342),'Grid Data'!$N$4:$N$2342,$D33,'Grid Data'!$O$4:$O$2342,Q$4,'Grid Data'!$M$4:$M$2342,$D$2)*100, 0)</f>
        <v>0</v>
      </c>
      <c r="R33" s="4">
        <f>IF(  R96&gt;$E$2, SUMIFS(IF($G$2="CPR",'Grid Data'!$V$4:$V$2342,'Grid Data'!$W$4:$W$2342),'Grid Data'!$N$4:$N$2342,$D33,'Grid Data'!$O$4:$O$2342,R$4,'Grid Data'!$M$4:$M$2342,$D$2)*100, 0)</f>
        <v>0</v>
      </c>
      <c r="S33" s="4">
        <f>IF(  S96&gt;$E$2, SUMIFS(IF($G$2="CPR",'Grid Data'!$V$4:$V$2342,'Grid Data'!$W$4:$W$2342),'Grid Data'!$N$4:$N$2342,$D33,'Grid Data'!$O$4:$O$2342,S$4,'Grid Data'!$M$4:$M$2342,$D$2)*100, 0)</f>
        <v>0</v>
      </c>
      <c r="T33" s="4">
        <f>IF(  T96&gt;$E$2, SUMIFS(IF($G$2="CPR",'Grid Data'!$V$4:$V$2342,'Grid Data'!$W$4:$W$2342),'Grid Data'!$N$4:$N$2342,$D33,'Grid Data'!$O$4:$O$2342,T$4,'Grid Data'!$M$4:$M$2342,$D$2)*100, 0)</f>
        <v>0</v>
      </c>
      <c r="U33" s="4">
        <f>IF(  U96&gt;$E$2, SUMIFS(IF($G$2="CPR",'Grid Data'!$V$4:$V$2342,'Grid Data'!$W$4:$W$2342),'Grid Data'!$N$4:$N$2342,$D33,'Grid Data'!$O$4:$O$2342,U$4,'Grid Data'!$M$4:$M$2342,$D$2)*100, 0)</f>
        <v>0</v>
      </c>
      <c r="V33" s="4">
        <f>IF(  V96&gt;$E$2, SUMIFS(IF($G$2="CPR",'Grid Data'!$V$4:$V$2342,'Grid Data'!$W$4:$W$2342),'Grid Data'!$N$4:$N$2342,$D33,'Grid Data'!$O$4:$O$2342,V$4,'Grid Data'!$M$4:$M$2342,$D$2)*100, 0)</f>
        <v>0</v>
      </c>
      <c r="W33" s="4">
        <f>IF(  W96&gt;$E$2, SUMIFS(IF($G$2="CPR",'Grid Data'!$V$4:$V$2342,'Grid Data'!$W$4:$W$2342),'Grid Data'!$N$4:$N$2342,$D33,'Grid Data'!$O$4:$O$2342,W$4,'Grid Data'!$M$4:$M$2342,$D$2)*100, 0)</f>
        <v>0</v>
      </c>
      <c r="X33" s="4">
        <f>IF(  X96&gt;$E$2, SUMIFS(IF($G$2="CPR",'Grid Data'!$V$4:$V$2342,'Grid Data'!$W$4:$W$2342),'Grid Data'!$N$4:$N$2342,$D33,'Grid Data'!$O$4:$O$2342,X$4,'Grid Data'!$M$4:$M$2342,$D$2)*100, 0)</f>
        <v>0</v>
      </c>
      <c r="Y33" s="4">
        <f>IF(  Y96&gt;$E$2, SUMIFS(IF($G$2="CPR",'Grid Data'!$V$4:$V$2342,'Grid Data'!$W$4:$W$2342),'Grid Data'!$N$4:$N$2342,$D33,'Grid Data'!$O$4:$O$2342,Y$4,'Grid Data'!$M$4:$M$2342,$D$2)*100, 0)</f>
        <v>0</v>
      </c>
      <c r="Z33" s="4">
        <f>IF(  Z96&gt;$E$2, SUMIFS(IF($G$2="CPR",'Grid Data'!$V$4:$V$2342,'Grid Data'!$W$4:$W$2342),'Grid Data'!$N$4:$N$2342,$D33,'Grid Data'!$O$4:$O$2342,Z$4,'Grid Data'!$M$4:$M$2342,$D$2)*100, 0)</f>
        <v>0</v>
      </c>
      <c r="AA33" s="4">
        <f>IF(  AA96&gt;$E$2, SUMIFS(IF($G$2="CPR",'Grid Data'!$V$4:$V$2342,'Grid Data'!$W$4:$W$2342),'Grid Data'!$N$4:$N$2342,$D33,'Grid Data'!$O$4:$O$2342,AA$4,'Grid Data'!$M$4:$M$2342,$D$2)*100, 0)</f>
        <v>0</v>
      </c>
      <c r="AB33" s="4">
        <f>IF(  AB96&gt;$E$2, SUMIFS(IF($G$2="CPR",'Grid Data'!$V$4:$V$2342,'Grid Data'!$W$4:$W$2342),'Grid Data'!$N$4:$N$2342,$D33,'Grid Data'!$O$4:$O$2342,AB$4,'Grid Data'!$M$4:$M$2342,$D$2)*100, 0)</f>
        <v>0</v>
      </c>
      <c r="AC33" s="4">
        <f>IF(  AC96&gt;$E$2, SUMIFS(IF($G$2="CPR",'Grid Data'!$V$4:$V$2342,'Grid Data'!$W$4:$W$2342),'Grid Data'!$N$4:$N$2342,$D33,'Grid Data'!$O$4:$O$2342,AC$4,'Grid Data'!$M$4:$M$2342,$D$2)*100, 0)</f>
        <v>0</v>
      </c>
      <c r="AD33" s="4">
        <f>IF(  AD96&gt;$E$2, SUMIFS(IF($G$2="CPR",'Grid Data'!$V$4:$V$2342,'Grid Data'!$W$4:$W$2342),'Grid Data'!$N$4:$N$2342,$D33,'Grid Data'!$O$4:$O$2342,AD$4,'Grid Data'!$M$4:$M$2342,$D$2)*100, 0)</f>
        <v>0</v>
      </c>
      <c r="AE33" s="4">
        <f>IF(  AE96&gt;$E$2, SUMIFS(IF($G$2="CPR",'Grid Data'!$V$4:$V$2342,'Grid Data'!$W$4:$W$2342),'Grid Data'!$N$4:$N$2342,$D33,'Grid Data'!$O$4:$O$2342,AE$4,'Grid Data'!$M$4:$M$2342,$D$2)*100, 0)</f>
        <v>0</v>
      </c>
      <c r="AF33" s="4">
        <f>IF(  AF96&gt;$E$2, SUMIFS(IF($G$2="CPR",'Grid Data'!$V$4:$V$2342,'Grid Data'!$W$4:$W$2342),'Grid Data'!$N$4:$N$2342,$D33,'Grid Data'!$O$4:$O$2342,AF$4,'Grid Data'!$M$4:$M$2342,$D$2)*100, 0)</f>
        <v>0</v>
      </c>
      <c r="AG33" s="4">
        <f>IF(  AG96&gt;$E$2, SUMIFS(IF($G$2="CPR",'Grid Data'!$V$4:$V$2342,'Grid Data'!$W$4:$W$2342),'Grid Data'!$N$4:$N$2342,$D33,'Grid Data'!$O$4:$O$2342,AG$4,'Grid Data'!$M$4:$M$2342,$D$2)*100, 0)</f>
        <v>0</v>
      </c>
      <c r="AH33" s="4">
        <f>IF(  AH96&gt;$E$2, SUMIFS(IF($G$2="CPR",'Grid Data'!$V$4:$V$2342,'Grid Data'!$W$4:$W$2342),'Grid Data'!$N$4:$N$2342,$D33,'Grid Data'!$O$4:$O$2342,AH$4,'Grid Data'!$M$4:$M$2342,$D$2)*100, 0)</f>
        <v>0</v>
      </c>
    </row>
    <row r="34" spans="1:34" x14ac:dyDescent="0.35"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spans="1:34" x14ac:dyDescent="0.35">
      <c r="E35" s="6" t="s">
        <v>7</v>
      </c>
    </row>
    <row r="36" spans="1:34" x14ac:dyDescent="0.35">
      <c r="D36" s="3" t="s">
        <v>6</v>
      </c>
      <c r="E36">
        <v>5</v>
      </c>
      <c r="F36">
        <v>6</v>
      </c>
      <c r="G36">
        <v>7</v>
      </c>
      <c r="H36">
        <v>8</v>
      </c>
      <c r="I36">
        <v>9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24</v>
      </c>
      <c r="Q36">
        <v>30</v>
      </c>
      <c r="R36">
        <v>36</v>
      </c>
      <c r="S36">
        <v>42</v>
      </c>
      <c r="T36">
        <v>48</v>
      </c>
      <c r="U36">
        <v>54</v>
      </c>
      <c r="V36">
        <v>60</v>
      </c>
      <c r="W36">
        <v>72</v>
      </c>
      <c r="X36">
        <v>84</v>
      </c>
      <c r="Y36">
        <v>96</v>
      </c>
      <c r="Z36">
        <v>108</v>
      </c>
      <c r="AA36">
        <v>120</v>
      </c>
      <c r="AB36">
        <v>144</v>
      </c>
      <c r="AC36">
        <v>168</v>
      </c>
      <c r="AD36">
        <v>192</v>
      </c>
      <c r="AE36">
        <v>216</v>
      </c>
      <c r="AF36">
        <v>240</v>
      </c>
      <c r="AG36">
        <v>320</v>
      </c>
      <c r="AH36">
        <v>360</v>
      </c>
    </row>
    <row r="37" spans="1:34" x14ac:dyDescent="0.35">
      <c r="D37">
        <v>2000</v>
      </c>
      <c r="E37" s="5" t="str">
        <f>IF(  E68&gt;$E$2, SUMIFS(IF($G$2="CPR",'Grid Data'!$AH$4:$AH$2342,'Grid Data'!$AI$4:$AI$2342),'Grid Data'!$Z$4:$Z$2342,$D37,'Grid Data'!$AA$4:$AA$2342,E$4,'Grid Data'!$Y$4:$Y$2342,$D$2)*100-E5, "--")</f>
        <v>--</v>
      </c>
      <c r="F37" s="5" t="str">
        <f>IF(  F68&gt;$E$2, SUMIFS(IF($G$2="CPR",'Grid Data'!$AH$4:$AH$2342,'Grid Data'!$AI$4:$AI$2342),'Grid Data'!$Z$4:$Z$2342,$D37,'Grid Data'!$AA$4:$AA$2342,F$4,'Grid Data'!$Y$4:$Y$2342,$D$2)*100-F5, "--")</f>
        <v>--</v>
      </c>
      <c r="G37" s="5" t="str">
        <f>IF(  G68&gt;$E$2, SUMIFS(IF($G$2="CPR",'Grid Data'!$AH$4:$AH$2342,'Grid Data'!$AI$4:$AI$2342),'Grid Data'!$Z$4:$Z$2342,$D37,'Grid Data'!$AA$4:$AA$2342,G$4,'Grid Data'!$Y$4:$Y$2342,$D$2)*100-G5, "--")</f>
        <v>--</v>
      </c>
      <c r="H37" s="5" t="str">
        <f>IF(  H68&gt;$E$2, SUMIFS(IF($G$2="CPR",'Grid Data'!$AH$4:$AH$2342,'Grid Data'!$AI$4:$AI$2342),'Grid Data'!$Z$4:$Z$2342,$D37,'Grid Data'!$AA$4:$AA$2342,H$4,'Grid Data'!$Y$4:$Y$2342,$D$2)*100-H5, "--")</f>
        <v>--</v>
      </c>
      <c r="I37" s="5" t="str">
        <f>IF(  I68&gt;$E$2, SUMIFS(IF($G$2="CPR",'Grid Data'!$AH$4:$AH$2342,'Grid Data'!$AI$4:$AI$2342),'Grid Data'!$Z$4:$Z$2342,$D37,'Grid Data'!$AA$4:$AA$2342,I$4,'Grid Data'!$Y$4:$Y$2342,$D$2)*100-I5, "--")</f>
        <v>--</v>
      </c>
      <c r="J37" s="5" t="str">
        <f>IF(  J68&gt;$E$2, SUMIFS(IF($G$2="CPR",'Grid Data'!$AH$4:$AH$2342,'Grid Data'!$AI$4:$AI$2342),'Grid Data'!$Z$4:$Z$2342,$D37,'Grid Data'!$AA$4:$AA$2342,J$4,'Grid Data'!$Y$4:$Y$2342,$D$2)*100-J5, "--")</f>
        <v>--</v>
      </c>
      <c r="K37" s="5" t="str">
        <f>IF(  K68&gt;$E$2, SUMIFS(IF($G$2="CPR",'Grid Data'!$AH$4:$AH$2342,'Grid Data'!$AI$4:$AI$2342),'Grid Data'!$Z$4:$Z$2342,$D37,'Grid Data'!$AA$4:$AA$2342,K$4,'Grid Data'!$Y$4:$Y$2342,$D$2)*100-K5, "--")</f>
        <v>--</v>
      </c>
      <c r="L37" s="5" t="str">
        <f>IF(  L68&gt;$E$2, SUMIFS(IF($G$2="CPR",'Grid Data'!$AH$4:$AH$2342,'Grid Data'!$AI$4:$AI$2342),'Grid Data'!$Z$4:$Z$2342,$D37,'Grid Data'!$AA$4:$AA$2342,L$4,'Grid Data'!$Y$4:$Y$2342,$D$2)*100-L5, "--")</f>
        <v>--</v>
      </c>
      <c r="M37" s="5" t="str">
        <f>IF(  M68&gt;$E$2, SUMIFS(IF($G$2="CPR",'Grid Data'!$AH$4:$AH$2342,'Grid Data'!$AI$4:$AI$2342),'Grid Data'!$Z$4:$Z$2342,$D37,'Grid Data'!$AA$4:$AA$2342,M$4,'Grid Data'!$Y$4:$Y$2342,$D$2)*100-M5, "--")</f>
        <v>--</v>
      </c>
      <c r="N37" s="5" t="str">
        <f>IF(  N68&gt;$E$2, SUMIFS(IF($G$2="CPR",'Grid Data'!$AH$4:$AH$2342,'Grid Data'!$AI$4:$AI$2342),'Grid Data'!$Z$4:$Z$2342,$D37,'Grid Data'!$AA$4:$AA$2342,N$4,'Grid Data'!$Y$4:$Y$2342,$D$2)*100-N5, "--")</f>
        <v>--</v>
      </c>
      <c r="O37" s="5" t="str">
        <f>IF(  O68&gt;$E$2, SUMIFS(IF($G$2="CPR",'Grid Data'!$AH$4:$AH$2342,'Grid Data'!$AI$4:$AI$2342),'Grid Data'!$Z$4:$Z$2342,$D37,'Grid Data'!$AA$4:$AA$2342,O$4,'Grid Data'!$Y$4:$Y$2342,$D$2)*100-O5, "--")</f>
        <v>--</v>
      </c>
      <c r="P37" s="5" t="str">
        <f>IF(  P68&gt;$E$2, SUMIFS(IF($G$2="CPR",'Grid Data'!$AH$4:$AH$2342,'Grid Data'!$AI$4:$AI$2342),'Grid Data'!$Z$4:$Z$2342,$D37,'Grid Data'!$AA$4:$AA$2342,P$4,'Grid Data'!$Y$4:$Y$2342,$D$2)*100-P5, "--")</f>
        <v>--</v>
      </c>
      <c r="Q37" s="5" t="str">
        <f>IF(  Q68&gt;$E$2, SUMIFS(IF($G$2="CPR",'Grid Data'!$AH$4:$AH$2342,'Grid Data'!$AI$4:$AI$2342),'Grid Data'!$Z$4:$Z$2342,$D37,'Grid Data'!$AA$4:$AA$2342,Q$4,'Grid Data'!$Y$4:$Y$2342,$D$2)*100-Q5, "--")</f>
        <v>--</v>
      </c>
      <c r="R37" s="5" t="str">
        <f>IF(  R68&gt;$E$2, SUMIFS(IF($G$2="CPR",'Grid Data'!$AH$4:$AH$2342,'Grid Data'!$AI$4:$AI$2342),'Grid Data'!$Z$4:$Z$2342,$D37,'Grid Data'!$AA$4:$AA$2342,R$4,'Grid Data'!$Y$4:$Y$2342,$D$2)*100-R5, "--")</f>
        <v>--</v>
      </c>
      <c r="S37" s="5" t="str">
        <f>IF(  S68&gt;$E$2, SUMIFS(IF($G$2="CPR",'Grid Data'!$AH$4:$AH$2342,'Grid Data'!$AI$4:$AI$2342),'Grid Data'!$Z$4:$Z$2342,$D37,'Grid Data'!$AA$4:$AA$2342,S$4,'Grid Data'!$Y$4:$Y$2342,$D$2)*100-S5, "--")</f>
        <v>--</v>
      </c>
      <c r="T37" s="5" t="str">
        <f>IF(  T68&gt;$E$2, SUMIFS(IF($G$2="CPR",'Grid Data'!$AH$4:$AH$2342,'Grid Data'!$AI$4:$AI$2342),'Grid Data'!$Z$4:$Z$2342,$D37,'Grid Data'!$AA$4:$AA$2342,T$4,'Grid Data'!$Y$4:$Y$2342,$D$2)*100-T5, "--")</f>
        <v>--</v>
      </c>
      <c r="U37" s="5">
        <f>IF(  U68&gt;$E$2, SUMIFS(IF($G$2="CPR",'Grid Data'!$AH$4:$AH$2342,'Grid Data'!$AI$4:$AI$2342),'Grid Data'!$Z$4:$Z$2342,$D37,'Grid Data'!$AA$4:$AA$2342,U$4,'Grid Data'!$Y$4:$Y$2342,$D$2)*100-U5, "--")</f>
        <v>6.1257000000000001</v>
      </c>
      <c r="V37" s="5">
        <f>IF(  V68&gt;$E$2, SUMIFS(IF($G$2="CPR",'Grid Data'!$AH$4:$AH$2342,'Grid Data'!$AI$4:$AI$2342),'Grid Data'!$Z$4:$Z$2342,$D37,'Grid Data'!$AA$4:$AA$2342,V$4,'Grid Data'!$Y$4:$Y$2342,$D$2)*100-V5, "--")</f>
        <v>0</v>
      </c>
      <c r="W37" s="5">
        <f>IF(  W68&gt;$E$2, SUMIFS(IF($G$2="CPR",'Grid Data'!$AH$4:$AH$2342,'Grid Data'!$AI$4:$AI$2342),'Grid Data'!$Z$4:$Z$2342,$D37,'Grid Data'!$AA$4:$AA$2342,W$4,'Grid Data'!$Y$4:$Y$2342,$D$2)*100-W5, "--")</f>
        <v>0</v>
      </c>
      <c r="X37" s="5" t="str">
        <f>IF(  X68&gt;$E$2, SUMIFS(IF($G$2="CPR",'Grid Data'!$AH$4:$AH$2342,'Grid Data'!$AI$4:$AI$2342),'Grid Data'!$Z$4:$Z$2342,$D37,'Grid Data'!$AA$4:$AA$2342,X$4,'Grid Data'!$Y$4:$Y$2342,$D$2)*100-X5, "--")</f>
        <v>--</v>
      </c>
      <c r="Y37" s="5" t="str">
        <f>IF(  Y68&gt;$E$2, SUMIFS(IF($G$2="CPR",'Grid Data'!$AH$4:$AH$2342,'Grid Data'!$AI$4:$AI$2342),'Grid Data'!$Z$4:$Z$2342,$D37,'Grid Data'!$AA$4:$AA$2342,Y$4,'Grid Data'!$Y$4:$Y$2342,$D$2)*100-Y5, "--")</f>
        <v>--</v>
      </c>
      <c r="Z37" s="5" t="str">
        <f>IF(  Z68&gt;$E$2, SUMIFS(IF($G$2="CPR",'Grid Data'!$AH$4:$AH$2342,'Grid Data'!$AI$4:$AI$2342),'Grid Data'!$Z$4:$Z$2342,$D37,'Grid Data'!$AA$4:$AA$2342,Z$4,'Grid Data'!$Y$4:$Y$2342,$D$2)*100-Z5, "--")</f>
        <v>--</v>
      </c>
      <c r="AA37" s="5" t="str">
        <f>IF(  AA68&gt;$E$2, SUMIFS(IF($G$2="CPR",'Grid Data'!$AH$4:$AH$2342,'Grid Data'!$AI$4:$AI$2342),'Grid Data'!$Z$4:$Z$2342,$D37,'Grid Data'!$AA$4:$AA$2342,AA$4,'Grid Data'!$Y$4:$Y$2342,$D$2)*100-AA5, "--")</f>
        <v>--</v>
      </c>
      <c r="AB37" s="5" t="str">
        <f>IF(  AB68&gt;$E$2, SUMIFS(IF($G$2="CPR",'Grid Data'!$AH$4:$AH$2342,'Grid Data'!$AI$4:$AI$2342),'Grid Data'!$Z$4:$Z$2342,$D37,'Grid Data'!$AA$4:$AA$2342,AB$4,'Grid Data'!$Y$4:$Y$2342,$D$2)*100-AB5, "--")</f>
        <v>--</v>
      </c>
      <c r="AC37" s="5" t="str">
        <f>IF(  AC68&gt;$E$2, SUMIFS(IF($G$2="CPR",'Grid Data'!$AH$4:$AH$2342,'Grid Data'!$AI$4:$AI$2342),'Grid Data'!$Z$4:$Z$2342,$D37,'Grid Data'!$AA$4:$AA$2342,AC$4,'Grid Data'!$Y$4:$Y$2342,$D$2)*100-AC5, "--")</f>
        <v>--</v>
      </c>
      <c r="AD37" s="5" t="str">
        <f>IF(  AD68&gt;$E$2, SUMIFS(IF($G$2="CPR",'Grid Data'!$AH$4:$AH$2342,'Grid Data'!$AI$4:$AI$2342),'Grid Data'!$Z$4:$Z$2342,$D37,'Grid Data'!$AA$4:$AA$2342,AD$4,'Grid Data'!$Y$4:$Y$2342,$D$2)*100-AD5, "--")</f>
        <v>--</v>
      </c>
      <c r="AE37" s="5" t="str">
        <f>IF(  AE68&gt;$E$2, SUMIFS(IF($G$2="CPR",'Grid Data'!$AH$4:$AH$2342,'Grid Data'!$AI$4:$AI$2342),'Grid Data'!$Z$4:$Z$2342,$D37,'Grid Data'!$AA$4:$AA$2342,AE$4,'Grid Data'!$Y$4:$Y$2342,$D$2)*100-AE5, "--")</f>
        <v>--</v>
      </c>
      <c r="AF37" s="5" t="str">
        <f>IF(  AF68&gt;$E$2, SUMIFS(IF($G$2="CPR",'Grid Data'!$AH$4:$AH$2342,'Grid Data'!$AI$4:$AI$2342),'Grid Data'!$Z$4:$Z$2342,$D37,'Grid Data'!$AA$4:$AA$2342,AF$4,'Grid Data'!$Y$4:$Y$2342,$D$2)*100-AF5, "--")</f>
        <v>--</v>
      </c>
      <c r="AG37" s="5" t="str">
        <f>IF(  AG68&gt;$E$2, SUMIFS(IF($G$2="CPR",'Grid Data'!$AH$4:$AH$2342,'Grid Data'!$AI$4:$AI$2342),'Grid Data'!$Z$4:$Z$2342,$D37,'Grid Data'!$AA$4:$AA$2342,AG$4,'Grid Data'!$Y$4:$Y$2342,$D$2)*100-AG5, "--")</f>
        <v>--</v>
      </c>
      <c r="AH37" s="5" t="str">
        <f>IF(  AH68&gt;$E$2, SUMIFS(IF($G$2="CPR",'Grid Data'!$AH$4:$AH$2342,'Grid Data'!$AI$4:$AI$2342),'Grid Data'!$Z$4:$Z$2342,$D37,'Grid Data'!$AA$4:$AA$2342,AH$4,'Grid Data'!$Y$4:$Y$2342,$D$2)*100-AH5, "--")</f>
        <v>--</v>
      </c>
    </row>
    <row r="38" spans="1:34" x14ac:dyDescent="0.35">
      <c r="A38">
        <f>SUMPRODUCT(T37:W46,T68:W77)/SUM(T68:W77)</f>
        <v>-2.9477431578302134E-2</v>
      </c>
      <c r="D38">
        <v>2250</v>
      </c>
      <c r="E38" s="5" t="str">
        <f>IF(  E69&gt;$E$2, SUMIFS(IF($G$2="CPR",'Grid Data'!$AH$4:$AH$2342,'Grid Data'!$AI$4:$AI$2342),'Grid Data'!$Z$4:$Z$2342,$D38,'Grid Data'!$AA$4:$AA$2342,E$4,'Grid Data'!$Y$4:$Y$2342,$D$2)*100-E6, "--")</f>
        <v>--</v>
      </c>
      <c r="F38" s="5" t="str">
        <f>IF(  F69&gt;$E$2, SUMIFS(IF($G$2="CPR",'Grid Data'!$AH$4:$AH$2342,'Grid Data'!$AI$4:$AI$2342),'Grid Data'!$Z$4:$Z$2342,$D38,'Grid Data'!$AA$4:$AA$2342,F$4,'Grid Data'!$Y$4:$Y$2342,$D$2)*100-F6, "--")</f>
        <v>--</v>
      </c>
      <c r="G38" s="5" t="str">
        <f>IF(  G69&gt;$E$2, SUMIFS(IF($G$2="CPR",'Grid Data'!$AH$4:$AH$2342,'Grid Data'!$AI$4:$AI$2342),'Grid Data'!$Z$4:$Z$2342,$D38,'Grid Data'!$AA$4:$AA$2342,G$4,'Grid Data'!$Y$4:$Y$2342,$D$2)*100-G6, "--")</f>
        <v>--</v>
      </c>
      <c r="H38" s="5" t="str">
        <f>IF(  H69&gt;$E$2, SUMIFS(IF($G$2="CPR",'Grid Data'!$AH$4:$AH$2342,'Grid Data'!$AI$4:$AI$2342),'Grid Data'!$Z$4:$Z$2342,$D38,'Grid Data'!$AA$4:$AA$2342,H$4,'Grid Data'!$Y$4:$Y$2342,$D$2)*100-H6, "--")</f>
        <v>--</v>
      </c>
      <c r="I38" s="5" t="str">
        <f>IF(  I69&gt;$E$2, SUMIFS(IF($G$2="CPR",'Grid Data'!$AH$4:$AH$2342,'Grid Data'!$AI$4:$AI$2342),'Grid Data'!$Z$4:$Z$2342,$D38,'Grid Data'!$AA$4:$AA$2342,I$4,'Grid Data'!$Y$4:$Y$2342,$D$2)*100-I6, "--")</f>
        <v>--</v>
      </c>
      <c r="J38" s="5" t="str">
        <f>IF(  J69&gt;$E$2, SUMIFS(IF($G$2="CPR",'Grid Data'!$AH$4:$AH$2342,'Grid Data'!$AI$4:$AI$2342),'Grid Data'!$Z$4:$Z$2342,$D38,'Grid Data'!$AA$4:$AA$2342,J$4,'Grid Data'!$Y$4:$Y$2342,$D$2)*100-J6, "--")</f>
        <v>--</v>
      </c>
      <c r="K38" s="5" t="str">
        <f>IF(  K69&gt;$E$2, SUMIFS(IF($G$2="CPR",'Grid Data'!$AH$4:$AH$2342,'Grid Data'!$AI$4:$AI$2342),'Grid Data'!$Z$4:$Z$2342,$D38,'Grid Data'!$AA$4:$AA$2342,K$4,'Grid Data'!$Y$4:$Y$2342,$D$2)*100-K6, "--")</f>
        <v>--</v>
      </c>
      <c r="L38" s="5" t="str">
        <f>IF(  L69&gt;$E$2, SUMIFS(IF($G$2="CPR",'Grid Data'!$AH$4:$AH$2342,'Grid Data'!$AI$4:$AI$2342),'Grid Data'!$Z$4:$Z$2342,$D38,'Grid Data'!$AA$4:$AA$2342,L$4,'Grid Data'!$Y$4:$Y$2342,$D$2)*100-L6, "--")</f>
        <v>--</v>
      </c>
      <c r="M38" s="5" t="str">
        <f>IF(  M69&gt;$E$2, SUMIFS(IF($G$2="CPR",'Grid Data'!$AH$4:$AH$2342,'Grid Data'!$AI$4:$AI$2342),'Grid Data'!$Z$4:$Z$2342,$D38,'Grid Data'!$AA$4:$AA$2342,M$4,'Grid Data'!$Y$4:$Y$2342,$D$2)*100-M6, "--")</f>
        <v>--</v>
      </c>
      <c r="N38" s="5" t="str">
        <f>IF(  N69&gt;$E$2, SUMIFS(IF($G$2="CPR",'Grid Data'!$AH$4:$AH$2342,'Grid Data'!$AI$4:$AI$2342),'Grid Data'!$Z$4:$Z$2342,$D38,'Grid Data'!$AA$4:$AA$2342,N$4,'Grid Data'!$Y$4:$Y$2342,$D$2)*100-N6, "--")</f>
        <v>--</v>
      </c>
      <c r="O38" s="5" t="str">
        <f>IF(  O69&gt;$E$2, SUMIFS(IF($G$2="CPR",'Grid Data'!$AH$4:$AH$2342,'Grid Data'!$AI$4:$AI$2342),'Grid Data'!$Z$4:$Z$2342,$D38,'Grid Data'!$AA$4:$AA$2342,O$4,'Grid Data'!$Y$4:$Y$2342,$D$2)*100-O6, "--")</f>
        <v>--</v>
      </c>
      <c r="P38" s="5" t="str">
        <f>IF(  P69&gt;$E$2, SUMIFS(IF($G$2="CPR",'Grid Data'!$AH$4:$AH$2342,'Grid Data'!$AI$4:$AI$2342),'Grid Data'!$Z$4:$Z$2342,$D38,'Grid Data'!$AA$4:$AA$2342,P$4,'Grid Data'!$Y$4:$Y$2342,$D$2)*100-P6, "--")</f>
        <v>--</v>
      </c>
      <c r="Q38" s="5" t="str">
        <f>IF(  Q69&gt;$E$2, SUMIFS(IF($G$2="CPR",'Grid Data'!$AH$4:$AH$2342,'Grid Data'!$AI$4:$AI$2342),'Grid Data'!$Z$4:$Z$2342,$D38,'Grid Data'!$AA$4:$AA$2342,Q$4,'Grid Data'!$Y$4:$Y$2342,$D$2)*100-Q6, "--")</f>
        <v>--</v>
      </c>
      <c r="R38" s="5" t="str">
        <f>IF(  R69&gt;$E$2, SUMIFS(IF($G$2="CPR",'Grid Data'!$AH$4:$AH$2342,'Grid Data'!$AI$4:$AI$2342),'Grid Data'!$Z$4:$Z$2342,$D38,'Grid Data'!$AA$4:$AA$2342,R$4,'Grid Data'!$Y$4:$Y$2342,$D$2)*100-R6, "--")</f>
        <v>--</v>
      </c>
      <c r="S38" s="5" t="str">
        <f>IF(  S69&gt;$E$2, SUMIFS(IF($G$2="CPR",'Grid Data'!$AH$4:$AH$2342,'Grid Data'!$AI$4:$AI$2342),'Grid Data'!$Z$4:$Z$2342,$D38,'Grid Data'!$AA$4:$AA$2342,S$4,'Grid Data'!$Y$4:$Y$2342,$D$2)*100-S6, "--")</f>
        <v>--</v>
      </c>
      <c r="T38" s="5">
        <f>IF(  T69&gt;$E$2, SUMIFS(IF($G$2="CPR",'Grid Data'!$AH$4:$AH$2342,'Grid Data'!$AI$4:$AI$2342),'Grid Data'!$Z$4:$Z$2342,$D38,'Grid Data'!$AA$4:$AA$2342,T$4,'Grid Data'!$Y$4:$Y$2342,$D$2)*100-T6, "--")</f>
        <v>-6.8511999999999995</v>
      </c>
      <c r="U38" s="5">
        <f>IF(  U69&gt;$E$2, SUMIFS(IF($G$2="CPR",'Grid Data'!$AH$4:$AH$2342,'Grid Data'!$AI$4:$AI$2342),'Grid Data'!$Z$4:$Z$2342,$D38,'Grid Data'!$AA$4:$AA$2342,U$4,'Grid Data'!$Y$4:$Y$2342,$D$2)*100-U6, "--")</f>
        <v>-0.13470000000000049</v>
      </c>
      <c r="V38" s="5">
        <f>IF(  V69&gt;$E$2, SUMIFS(IF($G$2="CPR",'Grid Data'!$AH$4:$AH$2342,'Grid Data'!$AI$4:$AI$2342),'Grid Data'!$Z$4:$Z$2342,$D38,'Grid Data'!$AA$4:$AA$2342,V$4,'Grid Data'!$Y$4:$Y$2342,$D$2)*100-V6, "--")</f>
        <v>-0.70870000000000033</v>
      </c>
      <c r="W38" s="5">
        <f>IF(  W69&gt;$E$2, SUMIFS(IF($G$2="CPR",'Grid Data'!$AH$4:$AH$2342,'Grid Data'!$AI$4:$AI$2342),'Grid Data'!$Z$4:$Z$2342,$D38,'Grid Data'!$AA$4:$AA$2342,W$4,'Grid Data'!$Y$4:$Y$2342,$D$2)*100-W6, "--")</f>
        <v>0.67189999999999994</v>
      </c>
      <c r="X38" s="5" t="str">
        <f>IF(  X69&gt;$E$2, SUMIFS(IF($G$2="CPR",'Grid Data'!$AH$4:$AH$2342,'Grid Data'!$AI$4:$AI$2342),'Grid Data'!$Z$4:$Z$2342,$D38,'Grid Data'!$AA$4:$AA$2342,X$4,'Grid Data'!$Y$4:$Y$2342,$D$2)*100-X6, "--")</f>
        <v>--</v>
      </c>
      <c r="Y38" s="5" t="str">
        <f>IF(  Y69&gt;$E$2, SUMIFS(IF($G$2="CPR",'Grid Data'!$AH$4:$AH$2342,'Grid Data'!$AI$4:$AI$2342),'Grid Data'!$Z$4:$Z$2342,$D38,'Grid Data'!$AA$4:$AA$2342,Y$4,'Grid Data'!$Y$4:$Y$2342,$D$2)*100-Y6, "--")</f>
        <v>--</v>
      </c>
      <c r="Z38" s="5" t="str">
        <f>IF(  Z69&gt;$E$2, SUMIFS(IF($G$2="CPR",'Grid Data'!$AH$4:$AH$2342,'Grid Data'!$AI$4:$AI$2342),'Grid Data'!$Z$4:$Z$2342,$D38,'Grid Data'!$AA$4:$AA$2342,Z$4,'Grid Data'!$Y$4:$Y$2342,$D$2)*100-Z6, "--")</f>
        <v>--</v>
      </c>
      <c r="AA38" s="5" t="str">
        <f>IF(  AA69&gt;$E$2, SUMIFS(IF($G$2="CPR",'Grid Data'!$AH$4:$AH$2342,'Grid Data'!$AI$4:$AI$2342),'Grid Data'!$Z$4:$Z$2342,$D38,'Grid Data'!$AA$4:$AA$2342,AA$4,'Grid Data'!$Y$4:$Y$2342,$D$2)*100-AA6, "--")</f>
        <v>--</v>
      </c>
      <c r="AB38" s="5" t="str">
        <f>IF(  AB69&gt;$E$2, SUMIFS(IF($G$2="CPR",'Grid Data'!$AH$4:$AH$2342,'Grid Data'!$AI$4:$AI$2342),'Grid Data'!$Z$4:$Z$2342,$D38,'Grid Data'!$AA$4:$AA$2342,AB$4,'Grid Data'!$Y$4:$Y$2342,$D$2)*100-AB6, "--")</f>
        <v>--</v>
      </c>
      <c r="AC38" s="5" t="str">
        <f>IF(  AC69&gt;$E$2, SUMIFS(IF($G$2="CPR",'Grid Data'!$AH$4:$AH$2342,'Grid Data'!$AI$4:$AI$2342),'Grid Data'!$Z$4:$Z$2342,$D38,'Grid Data'!$AA$4:$AA$2342,AC$4,'Grid Data'!$Y$4:$Y$2342,$D$2)*100-AC6, "--")</f>
        <v>--</v>
      </c>
      <c r="AD38" s="5" t="str">
        <f>IF(  AD69&gt;$E$2, SUMIFS(IF($G$2="CPR",'Grid Data'!$AH$4:$AH$2342,'Grid Data'!$AI$4:$AI$2342),'Grid Data'!$Z$4:$Z$2342,$D38,'Grid Data'!$AA$4:$AA$2342,AD$4,'Grid Data'!$Y$4:$Y$2342,$D$2)*100-AD6, "--")</f>
        <v>--</v>
      </c>
      <c r="AE38" s="5" t="str">
        <f>IF(  AE69&gt;$E$2, SUMIFS(IF($G$2="CPR",'Grid Data'!$AH$4:$AH$2342,'Grid Data'!$AI$4:$AI$2342),'Grid Data'!$Z$4:$Z$2342,$D38,'Grid Data'!$AA$4:$AA$2342,AE$4,'Grid Data'!$Y$4:$Y$2342,$D$2)*100-AE6, "--")</f>
        <v>--</v>
      </c>
      <c r="AF38" s="5" t="str">
        <f>IF(  AF69&gt;$E$2, SUMIFS(IF($G$2="CPR",'Grid Data'!$AH$4:$AH$2342,'Grid Data'!$AI$4:$AI$2342),'Grid Data'!$Z$4:$Z$2342,$D38,'Grid Data'!$AA$4:$AA$2342,AF$4,'Grid Data'!$Y$4:$Y$2342,$D$2)*100-AF6, "--")</f>
        <v>--</v>
      </c>
      <c r="AG38" s="5" t="str">
        <f>IF(  AG69&gt;$E$2, SUMIFS(IF($G$2="CPR",'Grid Data'!$AH$4:$AH$2342,'Grid Data'!$AI$4:$AI$2342),'Grid Data'!$Z$4:$Z$2342,$D38,'Grid Data'!$AA$4:$AA$2342,AG$4,'Grid Data'!$Y$4:$Y$2342,$D$2)*100-AG6, "--")</f>
        <v>--</v>
      </c>
      <c r="AH38" s="5" t="str">
        <f>IF(  AH69&gt;$E$2, SUMIFS(IF($G$2="CPR",'Grid Data'!$AH$4:$AH$2342,'Grid Data'!$AI$4:$AI$2342),'Grid Data'!$Z$4:$Z$2342,$D38,'Grid Data'!$AA$4:$AA$2342,AH$4,'Grid Data'!$Y$4:$Y$2342,$D$2)*100-AH6, "--")</f>
        <v>--</v>
      </c>
    </row>
    <row r="39" spans="1:34" x14ac:dyDescent="0.35">
      <c r="D39">
        <v>2500</v>
      </c>
      <c r="E39" s="5" t="str">
        <f>IF(  E70&gt;$E$2, SUMIFS(IF($G$2="CPR",'Grid Data'!$AH$4:$AH$2342,'Grid Data'!$AI$4:$AI$2342),'Grid Data'!$Z$4:$Z$2342,$D39,'Grid Data'!$AA$4:$AA$2342,E$4,'Grid Data'!$Y$4:$Y$2342,$D$2)*100-E7, "--")</f>
        <v>--</v>
      </c>
      <c r="F39" s="5" t="str">
        <f>IF(  F70&gt;$E$2, SUMIFS(IF($G$2="CPR",'Grid Data'!$AH$4:$AH$2342,'Grid Data'!$AI$4:$AI$2342),'Grid Data'!$Z$4:$Z$2342,$D39,'Grid Data'!$AA$4:$AA$2342,F$4,'Grid Data'!$Y$4:$Y$2342,$D$2)*100-F7, "--")</f>
        <v>--</v>
      </c>
      <c r="G39" s="5" t="str">
        <f>IF(  G70&gt;$E$2, SUMIFS(IF($G$2="CPR",'Grid Data'!$AH$4:$AH$2342,'Grid Data'!$AI$4:$AI$2342),'Grid Data'!$Z$4:$Z$2342,$D39,'Grid Data'!$AA$4:$AA$2342,G$4,'Grid Data'!$Y$4:$Y$2342,$D$2)*100-G7, "--")</f>
        <v>--</v>
      </c>
      <c r="H39" s="5" t="str">
        <f>IF(  H70&gt;$E$2, SUMIFS(IF($G$2="CPR",'Grid Data'!$AH$4:$AH$2342,'Grid Data'!$AI$4:$AI$2342),'Grid Data'!$Z$4:$Z$2342,$D39,'Grid Data'!$AA$4:$AA$2342,H$4,'Grid Data'!$Y$4:$Y$2342,$D$2)*100-H7, "--")</f>
        <v>--</v>
      </c>
      <c r="I39" s="5" t="str">
        <f>IF(  I70&gt;$E$2, SUMIFS(IF($G$2="CPR",'Grid Data'!$AH$4:$AH$2342,'Grid Data'!$AI$4:$AI$2342),'Grid Data'!$Z$4:$Z$2342,$D39,'Grid Data'!$AA$4:$AA$2342,I$4,'Grid Data'!$Y$4:$Y$2342,$D$2)*100-I7, "--")</f>
        <v>--</v>
      </c>
      <c r="J39" s="5" t="str">
        <f>IF(  J70&gt;$E$2, SUMIFS(IF($G$2="CPR",'Grid Data'!$AH$4:$AH$2342,'Grid Data'!$AI$4:$AI$2342),'Grid Data'!$Z$4:$Z$2342,$D39,'Grid Data'!$AA$4:$AA$2342,J$4,'Grid Data'!$Y$4:$Y$2342,$D$2)*100-J7, "--")</f>
        <v>--</v>
      </c>
      <c r="K39" s="5" t="str">
        <f>IF(  K70&gt;$E$2, SUMIFS(IF($G$2="CPR",'Grid Data'!$AH$4:$AH$2342,'Grid Data'!$AI$4:$AI$2342),'Grid Data'!$Z$4:$Z$2342,$D39,'Grid Data'!$AA$4:$AA$2342,K$4,'Grid Data'!$Y$4:$Y$2342,$D$2)*100-K7, "--")</f>
        <v>--</v>
      </c>
      <c r="L39" s="5" t="str">
        <f>IF(  L70&gt;$E$2, SUMIFS(IF($G$2="CPR",'Grid Data'!$AH$4:$AH$2342,'Grid Data'!$AI$4:$AI$2342),'Grid Data'!$Z$4:$Z$2342,$D39,'Grid Data'!$AA$4:$AA$2342,L$4,'Grid Data'!$Y$4:$Y$2342,$D$2)*100-L7, "--")</f>
        <v>--</v>
      </c>
      <c r="M39" s="5" t="str">
        <f>IF(  M70&gt;$E$2, SUMIFS(IF($G$2="CPR",'Grid Data'!$AH$4:$AH$2342,'Grid Data'!$AI$4:$AI$2342),'Grid Data'!$Z$4:$Z$2342,$D39,'Grid Data'!$AA$4:$AA$2342,M$4,'Grid Data'!$Y$4:$Y$2342,$D$2)*100-M7, "--")</f>
        <v>--</v>
      </c>
      <c r="N39" s="5" t="str">
        <f>IF(  N70&gt;$E$2, SUMIFS(IF($G$2="CPR",'Grid Data'!$AH$4:$AH$2342,'Grid Data'!$AI$4:$AI$2342),'Grid Data'!$Z$4:$Z$2342,$D39,'Grid Data'!$AA$4:$AA$2342,N$4,'Grid Data'!$Y$4:$Y$2342,$D$2)*100-N7, "--")</f>
        <v>--</v>
      </c>
      <c r="O39" s="5" t="str">
        <f>IF(  O70&gt;$E$2, SUMIFS(IF($G$2="CPR",'Grid Data'!$AH$4:$AH$2342,'Grid Data'!$AI$4:$AI$2342),'Grid Data'!$Z$4:$Z$2342,$D39,'Grid Data'!$AA$4:$AA$2342,O$4,'Grid Data'!$Y$4:$Y$2342,$D$2)*100-O7, "--")</f>
        <v>--</v>
      </c>
      <c r="P39" s="5" t="str">
        <f>IF(  P70&gt;$E$2, SUMIFS(IF($G$2="CPR",'Grid Data'!$AH$4:$AH$2342,'Grid Data'!$AI$4:$AI$2342),'Grid Data'!$Z$4:$Z$2342,$D39,'Grid Data'!$AA$4:$AA$2342,P$4,'Grid Data'!$Y$4:$Y$2342,$D$2)*100-P7, "--")</f>
        <v>--</v>
      </c>
      <c r="Q39" s="5" t="str">
        <f>IF(  Q70&gt;$E$2, SUMIFS(IF($G$2="CPR",'Grid Data'!$AH$4:$AH$2342,'Grid Data'!$AI$4:$AI$2342),'Grid Data'!$Z$4:$Z$2342,$D39,'Grid Data'!$AA$4:$AA$2342,Q$4,'Grid Data'!$Y$4:$Y$2342,$D$2)*100-Q7, "--")</f>
        <v>--</v>
      </c>
      <c r="R39" s="5" t="str">
        <f>IF(  R70&gt;$E$2, SUMIFS(IF($G$2="CPR",'Grid Data'!$AH$4:$AH$2342,'Grid Data'!$AI$4:$AI$2342),'Grid Data'!$Z$4:$Z$2342,$D39,'Grid Data'!$AA$4:$AA$2342,R$4,'Grid Data'!$Y$4:$Y$2342,$D$2)*100-R7, "--")</f>
        <v>--</v>
      </c>
      <c r="S39" s="5" t="str">
        <f>IF(  S70&gt;$E$2, SUMIFS(IF($G$2="CPR",'Grid Data'!$AH$4:$AH$2342,'Grid Data'!$AI$4:$AI$2342),'Grid Data'!$Z$4:$Z$2342,$D39,'Grid Data'!$AA$4:$AA$2342,S$4,'Grid Data'!$Y$4:$Y$2342,$D$2)*100-S7, "--")</f>
        <v>--</v>
      </c>
      <c r="T39" s="5">
        <f>IF(  T70&gt;$E$2, SUMIFS(IF($G$2="CPR",'Grid Data'!$AH$4:$AH$2342,'Grid Data'!$AI$4:$AI$2342),'Grid Data'!$Z$4:$Z$2342,$D39,'Grid Data'!$AA$4:$AA$2342,T$4,'Grid Data'!$Y$4:$Y$2342,$D$2)*100-T7, "--")</f>
        <v>-4.2221000000000002</v>
      </c>
      <c r="U39" s="5">
        <f>IF(  U70&gt;$E$2, SUMIFS(IF($G$2="CPR",'Grid Data'!$AH$4:$AH$2342,'Grid Data'!$AI$4:$AI$2342),'Grid Data'!$Z$4:$Z$2342,$D39,'Grid Data'!$AA$4:$AA$2342,U$4,'Grid Data'!$Y$4:$Y$2342,$D$2)*100-U7, "--")</f>
        <v>0.57620000000000005</v>
      </c>
      <c r="V39" s="5">
        <f>IF(  V70&gt;$E$2, SUMIFS(IF($G$2="CPR",'Grid Data'!$AH$4:$AH$2342,'Grid Data'!$AI$4:$AI$2342),'Grid Data'!$Z$4:$Z$2342,$D39,'Grid Data'!$AA$4:$AA$2342,V$4,'Grid Data'!$Y$4:$Y$2342,$D$2)*100-V7, "--")</f>
        <v>-6.9499999999999673E-2</v>
      </c>
      <c r="W39" s="5">
        <f>IF(  W70&gt;$E$2, SUMIFS(IF($G$2="CPR",'Grid Data'!$AH$4:$AH$2342,'Grid Data'!$AI$4:$AI$2342),'Grid Data'!$Z$4:$Z$2342,$D39,'Grid Data'!$AA$4:$AA$2342,W$4,'Grid Data'!$Y$4:$Y$2342,$D$2)*100-W7, "--")</f>
        <v>-0.21640000000000015</v>
      </c>
      <c r="X39" s="5" t="str">
        <f>IF(  X70&gt;$E$2, SUMIFS(IF($G$2="CPR",'Grid Data'!$AH$4:$AH$2342,'Grid Data'!$AI$4:$AI$2342),'Grid Data'!$Z$4:$Z$2342,$D39,'Grid Data'!$AA$4:$AA$2342,X$4,'Grid Data'!$Y$4:$Y$2342,$D$2)*100-X7, "--")</f>
        <v>--</v>
      </c>
      <c r="Y39" s="5" t="str">
        <f>IF(  Y70&gt;$E$2, SUMIFS(IF($G$2="CPR",'Grid Data'!$AH$4:$AH$2342,'Grid Data'!$AI$4:$AI$2342),'Grid Data'!$Z$4:$Z$2342,$D39,'Grid Data'!$AA$4:$AA$2342,Y$4,'Grid Data'!$Y$4:$Y$2342,$D$2)*100-Y7, "--")</f>
        <v>--</v>
      </c>
      <c r="Z39" s="5" t="str">
        <f>IF(  Z70&gt;$E$2, SUMIFS(IF($G$2="CPR",'Grid Data'!$AH$4:$AH$2342,'Grid Data'!$AI$4:$AI$2342),'Grid Data'!$Z$4:$Z$2342,$D39,'Grid Data'!$AA$4:$AA$2342,Z$4,'Grid Data'!$Y$4:$Y$2342,$D$2)*100-Z7, "--")</f>
        <v>--</v>
      </c>
      <c r="AA39" s="5">
        <f>IF(  AA70&gt;$E$2, SUMIFS(IF($G$2="CPR",'Grid Data'!$AH$4:$AH$2342,'Grid Data'!$AI$4:$AI$2342),'Grid Data'!$Z$4:$Z$2342,$D39,'Grid Data'!$AA$4:$AA$2342,AA$4,'Grid Data'!$Y$4:$Y$2342,$D$2)*100-AA7, "--")</f>
        <v>1.3851</v>
      </c>
      <c r="AB39" s="5" t="str">
        <f>IF(  AB70&gt;$E$2, SUMIFS(IF($G$2="CPR",'Grid Data'!$AH$4:$AH$2342,'Grid Data'!$AI$4:$AI$2342),'Grid Data'!$Z$4:$Z$2342,$D39,'Grid Data'!$AA$4:$AA$2342,AB$4,'Grid Data'!$Y$4:$Y$2342,$D$2)*100-AB7, "--")</f>
        <v>--</v>
      </c>
      <c r="AC39" s="5">
        <f>IF(  AC70&gt;$E$2, SUMIFS(IF($G$2="CPR",'Grid Data'!$AH$4:$AH$2342,'Grid Data'!$AI$4:$AI$2342),'Grid Data'!$Z$4:$Z$2342,$D39,'Grid Data'!$AA$4:$AA$2342,AC$4,'Grid Data'!$Y$4:$Y$2342,$D$2)*100-AC7, "--")</f>
        <v>0.1120000000000001</v>
      </c>
      <c r="AD39" s="5" t="str">
        <f>IF(  AD70&gt;$E$2, SUMIFS(IF($G$2="CPR",'Grid Data'!$AH$4:$AH$2342,'Grid Data'!$AI$4:$AI$2342),'Grid Data'!$Z$4:$Z$2342,$D39,'Grid Data'!$AA$4:$AA$2342,AD$4,'Grid Data'!$Y$4:$Y$2342,$D$2)*100-AD7, "--")</f>
        <v>--</v>
      </c>
      <c r="AE39" s="5" t="str">
        <f>IF(  AE70&gt;$E$2, SUMIFS(IF($G$2="CPR",'Grid Data'!$AH$4:$AH$2342,'Grid Data'!$AI$4:$AI$2342),'Grid Data'!$Z$4:$Z$2342,$D39,'Grid Data'!$AA$4:$AA$2342,AE$4,'Grid Data'!$Y$4:$Y$2342,$D$2)*100-AE7, "--")</f>
        <v>--</v>
      </c>
      <c r="AF39" s="5" t="str">
        <f>IF(  AF70&gt;$E$2, SUMIFS(IF($G$2="CPR",'Grid Data'!$AH$4:$AH$2342,'Grid Data'!$AI$4:$AI$2342),'Grid Data'!$Z$4:$Z$2342,$D39,'Grid Data'!$AA$4:$AA$2342,AF$4,'Grid Data'!$Y$4:$Y$2342,$D$2)*100-AF7, "--")</f>
        <v>--</v>
      </c>
      <c r="AG39" s="5" t="str">
        <f>IF(  AG70&gt;$E$2, SUMIFS(IF($G$2="CPR",'Grid Data'!$AH$4:$AH$2342,'Grid Data'!$AI$4:$AI$2342),'Grid Data'!$Z$4:$Z$2342,$D39,'Grid Data'!$AA$4:$AA$2342,AG$4,'Grid Data'!$Y$4:$Y$2342,$D$2)*100-AG7, "--")</f>
        <v>--</v>
      </c>
      <c r="AH39" s="5" t="str">
        <f>IF(  AH70&gt;$E$2, SUMIFS(IF($G$2="CPR",'Grid Data'!$AH$4:$AH$2342,'Grid Data'!$AI$4:$AI$2342),'Grid Data'!$Z$4:$Z$2342,$D39,'Grid Data'!$AA$4:$AA$2342,AH$4,'Grid Data'!$Y$4:$Y$2342,$D$2)*100-AH7, "--")</f>
        <v>--</v>
      </c>
    </row>
    <row r="40" spans="1:34" x14ac:dyDescent="0.35">
      <c r="D40">
        <v>2750</v>
      </c>
      <c r="E40" s="5" t="str">
        <f>IF(  E71&gt;$E$2, SUMIFS(IF($G$2="CPR",'Grid Data'!$AH$4:$AH$2342,'Grid Data'!$AI$4:$AI$2342),'Grid Data'!$Z$4:$Z$2342,$D40,'Grid Data'!$AA$4:$AA$2342,E$4,'Grid Data'!$Y$4:$Y$2342,$D$2)*100-E8, "--")</f>
        <v>--</v>
      </c>
      <c r="F40" s="5" t="str">
        <f>IF(  F71&gt;$E$2, SUMIFS(IF($G$2="CPR",'Grid Data'!$AH$4:$AH$2342,'Grid Data'!$AI$4:$AI$2342),'Grid Data'!$Z$4:$Z$2342,$D40,'Grid Data'!$AA$4:$AA$2342,F$4,'Grid Data'!$Y$4:$Y$2342,$D$2)*100-F8, "--")</f>
        <v>--</v>
      </c>
      <c r="G40" s="5" t="str">
        <f>IF(  G71&gt;$E$2, SUMIFS(IF($G$2="CPR",'Grid Data'!$AH$4:$AH$2342,'Grid Data'!$AI$4:$AI$2342),'Grid Data'!$Z$4:$Z$2342,$D40,'Grid Data'!$AA$4:$AA$2342,G$4,'Grid Data'!$Y$4:$Y$2342,$D$2)*100-G8, "--")</f>
        <v>--</v>
      </c>
      <c r="H40" s="5" t="str">
        <f>IF(  H71&gt;$E$2, SUMIFS(IF($G$2="CPR",'Grid Data'!$AH$4:$AH$2342,'Grid Data'!$AI$4:$AI$2342),'Grid Data'!$Z$4:$Z$2342,$D40,'Grid Data'!$AA$4:$AA$2342,H$4,'Grid Data'!$Y$4:$Y$2342,$D$2)*100-H8, "--")</f>
        <v>--</v>
      </c>
      <c r="I40" s="5" t="str">
        <f>IF(  I71&gt;$E$2, SUMIFS(IF($G$2="CPR",'Grid Data'!$AH$4:$AH$2342,'Grid Data'!$AI$4:$AI$2342),'Grid Data'!$Z$4:$Z$2342,$D40,'Grid Data'!$AA$4:$AA$2342,I$4,'Grid Data'!$Y$4:$Y$2342,$D$2)*100-I8, "--")</f>
        <v>--</v>
      </c>
      <c r="J40" s="5" t="str">
        <f>IF(  J71&gt;$E$2, SUMIFS(IF($G$2="CPR",'Grid Data'!$AH$4:$AH$2342,'Grid Data'!$AI$4:$AI$2342),'Grid Data'!$Z$4:$Z$2342,$D40,'Grid Data'!$AA$4:$AA$2342,J$4,'Grid Data'!$Y$4:$Y$2342,$D$2)*100-J8, "--")</f>
        <v>--</v>
      </c>
      <c r="K40" s="5" t="str">
        <f>IF(  K71&gt;$E$2, SUMIFS(IF($G$2="CPR",'Grid Data'!$AH$4:$AH$2342,'Grid Data'!$AI$4:$AI$2342),'Grid Data'!$Z$4:$Z$2342,$D40,'Grid Data'!$AA$4:$AA$2342,K$4,'Grid Data'!$Y$4:$Y$2342,$D$2)*100-K8, "--")</f>
        <v>--</v>
      </c>
      <c r="L40" s="5" t="str">
        <f>IF(  L71&gt;$E$2, SUMIFS(IF($G$2="CPR",'Grid Data'!$AH$4:$AH$2342,'Grid Data'!$AI$4:$AI$2342),'Grid Data'!$Z$4:$Z$2342,$D40,'Grid Data'!$AA$4:$AA$2342,L$4,'Grid Data'!$Y$4:$Y$2342,$D$2)*100-L8, "--")</f>
        <v>--</v>
      </c>
      <c r="M40" s="5" t="str">
        <f>IF(  M71&gt;$E$2, SUMIFS(IF($G$2="CPR",'Grid Data'!$AH$4:$AH$2342,'Grid Data'!$AI$4:$AI$2342),'Grid Data'!$Z$4:$Z$2342,$D40,'Grid Data'!$AA$4:$AA$2342,M$4,'Grid Data'!$Y$4:$Y$2342,$D$2)*100-M8, "--")</f>
        <v>--</v>
      </c>
      <c r="N40" s="5" t="str">
        <f>IF(  N71&gt;$E$2, SUMIFS(IF($G$2="CPR",'Grid Data'!$AH$4:$AH$2342,'Grid Data'!$AI$4:$AI$2342),'Grid Data'!$Z$4:$Z$2342,$D40,'Grid Data'!$AA$4:$AA$2342,N$4,'Grid Data'!$Y$4:$Y$2342,$D$2)*100-N8, "--")</f>
        <v>--</v>
      </c>
      <c r="O40" s="5" t="str">
        <f>IF(  O71&gt;$E$2, SUMIFS(IF($G$2="CPR",'Grid Data'!$AH$4:$AH$2342,'Grid Data'!$AI$4:$AI$2342),'Grid Data'!$Z$4:$Z$2342,$D40,'Grid Data'!$AA$4:$AA$2342,O$4,'Grid Data'!$Y$4:$Y$2342,$D$2)*100-O8, "--")</f>
        <v>--</v>
      </c>
      <c r="P40" s="5" t="str">
        <f>IF(  P71&gt;$E$2, SUMIFS(IF($G$2="CPR",'Grid Data'!$AH$4:$AH$2342,'Grid Data'!$AI$4:$AI$2342),'Grid Data'!$Z$4:$Z$2342,$D40,'Grid Data'!$AA$4:$AA$2342,P$4,'Grid Data'!$Y$4:$Y$2342,$D$2)*100-P8, "--")</f>
        <v>--</v>
      </c>
      <c r="Q40" s="5" t="str">
        <f>IF(  Q71&gt;$E$2, SUMIFS(IF($G$2="CPR",'Grid Data'!$AH$4:$AH$2342,'Grid Data'!$AI$4:$AI$2342),'Grid Data'!$Z$4:$Z$2342,$D40,'Grid Data'!$AA$4:$AA$2342,Q$4,'Grid Data'!$Y$4:$Y$2342,$D$2)*100-Q8, "--")</f>
        <v>--</v>
      </c>
      <c r="R40" s="5" t="str">
        <f>IF(  R71&gt;$E$2, SUMIFS(IF($G$2="CPR",'Grid Data'!$AH$4:$AH$2342,'Grid Data'!$AI$4:$AI$2342),'Grid Data'!$Z$4:$Z$2342,$D40,'Grid Data'!$AA$4:$AA$2342,R$4,'Grid Data'!$Y$4:$Y$2342,$D$2)*100-R8, "--")</f>
        <v>--</v>
      </c>
      <c r="S40" s="5" t="str">
        <f>IF(  S71&gt;$E$2, SUMIFS(IF($G$2="CPR",'Grid Data'!$AH$4:$AH$2342,'Grid Data'!$AI$4:$AI$2342),'Grid Data'!$Z$4:$Z$2342,$D40,'Grid Data'!$AA$4:$AA$2342,S$4,'Grid Data'!$Y$4:$Y$2342,$D$2)*100-S8, "--")</f>
        <v>--</v>
      </c>
      <c r="T40" s="5">
        <f>IF(  T71&gt;$E$2, SUMIFS(IF($G$2="CPR",'Grid Data'!$AH$4:$AH$2342,'Grid Data'!$AI$4:$AI$2342),'Grid Data'!$Z$4:$Z$2342,$D40,'Grid Data'!$AA$4:$AA$2342,T$4,'Grid Data'!$Y$4:$Y$2342,$D$2)*100-T8, "--")</f>
        <v>1.0764999999999993</v>
      </c>
      <c r="U40" s="5">
        <f>IF(  U71&gt;$E$2, SUMIFS(IF($G$2="CPR",'Grid Data'!$AH$4:$AH$2342,'Grid Data'!$AI$4:$AI$2342),'Grid Data'!$Z$4:$Z$2342,$D40,'Grid Data'!$AA$4:$AA$2342,U$4,'Grid Data'!$Y$4:$Y$2342,$D$2)*100-U8, "--")</f>
        <v>-0.12780000000000058</v>
      </c>
      <c r="V40" s="5">
        <f>IF(  V71&gt;$E$2, SUMIFS(IF($G$2="CPR",'Grid Data'!$AH$4:$AH$2342,'Grid Data'!$AI$4:$AI$2342),'Grid Data'!$Z$4:$Z$2342,$D40,'Grid Data'!$AA$4:$AA$2342,V$4,'Grid Data'!$Y$4:$Y$2342,$D$2)*100-V8, "--")</f>
        <v>2.4600000000000399E-2</v>
      </c>
      <c r="W40" s="5">
        <f>IF(  W71&gt;$E$2, SUMIFS(IF($G$2="CPR",'Grid Data'!$AH$4:$AH$2342,'Grid Data'!$AI$4:$AI$2342),'Grid Data'!$Z$4:$Z$2342,$D40,'Grid Data'!$AA$4:$AA$2342,W$4,'Grid Data'!$Y$4:$Y$2342,$D$2)*100-W8, "--")</f>
        <v>0.43560000000000088</v>
      </c>
      <c r="X40" s="5">
        <f>IF(  X71&gt;$E$2, SUMIFS(IF($G$2="CPR",'Grid Data'!$AH$4:$AH$2342,'Grid Data'!$AI$4:$AI$2342),'Grid Data'!$Z$4:$Z$2342,$D40,'Grid Data'!$AA$4:$AA$2342,X$4,'Grid Data'!$Y$4:$Y$2342,$D$2)*100-X8, "--")</f>
        <v>-2.5407999999999999</v>
      </c>
      <c r="Y40" s="5" t="str">
        <f>IF(  Y71&gt;$E$2, SUMIFS(IF($G$2="CPR",'Grid Data'!$AH$4:$AH$2342,'Grid Data'!$AI$4:$AI$2342),'Grid Data'!$Z$4:$Z$2342,$D40,'Grid Data'!$AA$4:$AA$2342,Y$4,'Grid Data'!$Y$4:$Y$2342,$D$2)*100-Y8, "--")</f>
        <v>--</v>
      </c>
      <c r="Z40" s="5" t="str">
        <f>IF(  Z71&gt;$E$2, SUMIFS(IF($G$2="CPR",'Grid Data'!$AH$4:$AH$2342,'Grid Data'!$AI$4:$AI$2342),'Grid Data'!$Z$4:$Z$2342,$D40,'Grid Data'!$AA$4:$AA$2342,Z$4,'Grid Data'!$Y$4:$Y$2342,$D$2)*100-Z8, "--")</f>
        <v>--</v>
      </c>
      <c r="AA40" s="5">
        <f>IF(  AA71&gt;$E$2, SUMIFS(IF($G$2="CPR",'Grid Data'!$AH$4:$AH$2342,'Grid Data'!$AI$4:$AI$2342),'Grid Data'!$Z$4:$Z$2342,$D40,'Grid Data'!$AA$4:$AA$2342,AA$4,'Grid Data'!$Y$4:$Y$2342,$D$2)*100-AA8, "--")</f>
        <v>4.7812999999999999</v>
      </c>
      <c r="AB40" s="5" t="str">
        <f>IF(  AB71&gt;$E$2, SUMIFS(IF($G$2="CPR",'Grid Data'!$AH$4:$AH$2342,'Grid Data'!$AI$4:$AI$2342),'Grid Data'!$Z$4:$Z$2342,$D40,'Grid Data'!$AA$4:$AA$2342,AB$4,'Grid Data'!$Y$4:$Y$2342,$D$2)*100-AB8, "--")</f>
        <v>--</v>
      </c>
      <c r="AC40" s="5">
        <f>IF(  AC71&gt;$E$2, SUMIFS(IF($G$2="CPR",'Grid Data'!$AH$4:$AH$2342,'Grid Data'!$AI$4:$AI$2342),'Grid Data'!$Z$4:$Z$2342,$D40,'Grid Data'!$AA$4:$AA$2342,AC$4,'Grid Data'!$Y$4:$Y$2342,$D$2)*100-AC8, "--")</f>
        <v>-0.91609999999999969</v>
      </c>
      <c r="AD40" s="5" t="str">
        <f>IF(  AD71&gt;$E$2, SUMIFS(IF($G$2="CPR",'Grid Data'!$AH$4:$AH$2342,'Grid Data'!$AI$4:$AI$2342),'Grid Data'!$Z$4:$Z$2342,$D40,'Grid Data'!$AA$4:$AA$2342,AD$4,'Grid Data'!$Y$4:$Y$2342,$D$2)*100-AD8, "--")</f>
        <v>--</v>
      </c>
      <c r="AE40" s="5" t="str">
        <f>IF(  AE71&gt;$E$2, SUMIFS(IF($G$2="CPR",'Grid Data'!$AH$4:$AH$2342,'Grid Data'!$AI$4:$AI$2342),'Grid Data'!$Z$4:$Z$2342,$D40,'Grid Data'!$AA$4:$AA$2342,AE$4,'Grid Data'!$Y$4:$Y$2342,$D$2)*100-AE8, "--")</f>
        <v>--</v>
      </c>
      <c r="AF40" s="5" t="str">
        <f>IF(  AF71&gt;$E$2, SUMIFS(IF($G$2="CPR",'Grid Data'!$AH$4:$AH$2342,'Grid Data'!$AI$4:$AI$2342),'Grid Data'!$Z$4:$Z$2342,$D40,'Grid Data'!$AA$4:$AA$2342,AF$4,'Grid Data'!$Y$4:$Y$2342,$D$2)*100-AF8, "--")</f>
        <v>--</v>
      </c>
      <c r="AG40" s="5" t="str">
        <f>IF(  AG71&gt;$E$2, SUMIFS(IF($G$2="CPR",'Grid Data'!$AH$4:$AH$2342,'Grid Data'!$AI$4:$AI$2342),'Grid Data'!$Z$4:$Z$2342,$D40,'Grid Data'!$AA$4:$AA$2342,AG$4,'Grid Data'!$Y$4:$Y$2342,$D$2)*100-AG8, "--")</f>
        <v>--</v>
      </c>
      <c r="AH40" s="5" t="str">
        <f>IF(  AH71&gt;$E$2, SUMIFS(IF($G$2="CPR",'Grid Data'!$AH$4:$AH$2342,'Grid Data'!$AI$4:$AI$2342),'Grid Data'!$Z$4:$Z$2342,$D40,'Grid Data'!$AA$4:$AA$2342,AH$4,'Grid Data'!$Y$4:$Y$2342,$D$2)*100-AH8, "--")</f>
        <v>--</v>
      </c>
    </row>
    <row r="41" spans="1:34" x14ac:dyDescent="0.35">
      <c r="D41">
        <v>3000</v>
      </c>
      <c r="E41" s="5" t="str">
        <f>IF(  E72&gt;$E$2, SUMIFS(IF($G$2="CPR",'Grid Data'!$AH$4:$AH$2342,'Grid Data'!$AI$4:$AI$2342),'Grid Data'!$Z$4:$Z$2342,$D41,'Grid Data'!$AA$4:$AA$2342,E$4,'Grid Data'!$Y$4:$Y$2342,$D$2)*100-E9, "--")</f>
        <v>--</v>
      </c>
      <c r="F41" s="5" t="str">
        <f>IF(  F72&gt;$E$2, SUMIFS(IF($G$2="CPR",'Grid Data'!$AH$4:$AH$2342,'Grid Data'!$AI$4:$AI$2342),'Grid Data'!$Z$4:$Z$2342,$D41,'Grid Data'!$AA$4:$AA$2342,F$4,'Grid Data'!$Y$4:$Y$2342,$D$2)*100-F9, "--")</f>
        <v>--</v>
      </c>
      <c r="G41" s="5" t="str">
        <f>IF(  G72&gt;$E$2, SUMIFS(IF($G$2="CPR",'Grid Data'!$AH$4:$AH$2342,'Grid Data'!$AI$4:$AI$2342),'Grid Data'!$Z$4:$Z$2342,$D41,'Grid Data'!$AA$4:$AA$2342,G$4,'Grid Data'!$Y$4:$Y$2342,$D$2)*100-G9, "--")</f>
        <v>--</v>
      </c>
      <c r="H41" s="5" t="str">
        <f>IF(  H72&gt;$E$2, SUMIFS(IF($G$2="CPR",'Grid Data'!$AH$4:$AH$2342,'Grid Data'!$AI$4:$AI$2342),'Grid Data'!$Z$4:$Z$2342,$D41,'Grid Data'!$AA$4:$AA$2342,H$4,'Grid Data'!$Y$4:$Y$2342,$D$2)*100-H9, "--")</f>
        <v>--</v>
      </c>
      <c r="I41" s="5" t="str">
        <f>IF(  I72&gt;$E$2, SUMIFS(IF($G$2="CPR",'Grid Data'!$AH$4:$AH$2342,'Grid Data'!$AI$4:$AI$2342),'Grid Data'!$Z$4:$Z$2342,$D41,'Grid Data'!$AA$4:$AA$2342,I$4,'Grid Data'!$Y$4:$Y$2342,$D$2)*100-I9, "--")</f>
        <v>--</v>
      </c>
      <c r="J41" s="5" t="str">
        <f>IF(  J72&gt;$E$2, SUMIFS(IF($G$2="CPR",'Grid Data'!$AH$4:$AH$2342,'Grid Data'!$AI$4:$AI$2342),'Grid Data'!$Z$4:$Z$2342,$D41,'Grid Data'!$AA$4:$AA$2342,J$4,'Grid Data'!$Y$4:$Y$2342,$D$2)*100-J9, "--")</f>
        <v>--</v>
      </c>
      <c r="K41" s="5" t="str">
        <f>IF(  K72&gt;$E$2, SUMIFS(IF($G$2="CPR",'Grid Data'!$AH$4:$AH$2342,'Grid Data'!$AI$4:$AI$2342),'Grid Data'!$Z$4:$Z$2342,$D41,'Grid Data'!$AA$4:$AA$2342,K$4,'Grid Data'!$Y$4:$Y$2342,$D$2)*100-K9, "--")</f>
        <v>--</v>
      </c>
      <c r="L41" s="5" t="str">
        <f>IF(  L72&gt;$E$2, SUMIFS(IF($G$2="CPR",'Grid Data'!$AH$4:$AH$2342,'Grid Data'!$AI$4:$AI$2342),'Grid Data'!$Z$4:$Z$2342,$D41,'Grid Data'!$AA$4:$AA$2342,L$4,'Grid Data'!$Y$4:$Y$2342,$D$2)*100-L9, "--")</f>
        <v>--</v>
      </c>
      <c r="M41" s="5" t="str">
        <f>IF(  M72&gt;$E$2, SUMIFS(IF($G$2="CPR",'Grid Data'!$AH$4:$AH$2342,'Grid Data'!$AI$4:$AI$2342),'Grid Data'!$Z$4:$Z$2342,$D41,'Grid Data'!$AA$4:$AA$2342,M$4,'Grid Data'!$Y$4:$Y$2342,$D$2)*100-M9, "--")</f>
        <v>--</v>
      </c>
      <c r="N41" s="5" t="str">
        <f>IF(  N72&gt;$E$2, SUMIFS(IF($G$2="CPR",'Grid Data'!$AH$4:$AH$2342,'Grid Data'!$AI$4:$AI$2342),'Grid Data'!$Z$4:$Z$2342,$D41,'Grid Data'!$AA$4:$AA$2342,N$4,'Grid Data'!$Y$4:$Y$2342,$D$2)*100-N9, "--")</f>
        <v>--</v>
      </c>
      <c r="O41" s="5" t="str">
        <f>IF(  O72&gt;$E$2, SUMIFS(IF($G$2="CPR",'Grid Data'!$AH$4:$AH$2342,'Grid Data'!$AI$4:$AI$2342),'Grid Data'!$Z$4:$Z$2342,$D41,'Grid Data'!$AA$4:$AA$2342,O$4,'Grid Data'!$Y$4:$Y$2342,$D$2)*100-O9, "--")</f>
        <v>--</v>
      </c>
      <c r="P41" s="5" t="str">
        <f>IF(  P72&gt;$E$2, SUMIFS(IF($G$2="CPR",'Grid Data'!$AH$4:$AH$2342,'Grid Data'!$AI$4:$AI$2342),'Grid Data'!$Z$4:$Z$2342,$D41,'Grid Data'!$AA$4:$AA$2342,P$4,'Grid Data'!$Y$4:$Y$2342,$D$2)*100-P9, "--")</f>
        <v>--</v>
      </c>
      <c r="Q41" s="5" t="str">
        <f>IF(  Q72&gt;$E$2, SUMIFS(IF($G$2="CPR",'Grid Data'!$AH$4:$AH$2342,'Grid Data'!$AI$4:$AI$2342),'Grid Data'!$Z$4:$Z$2342,$D41,'Grid Data'!$AA$4:$AA$2342,Q$4,'Grid Data'!$Y$4:$Y$2342,$D$2)*100-Q9, "--")</f>
        <v>--</v>
      </c>
      <c r="R41" s="5" t="str">
        <f>IF(  R72&gt;$E$2, SUMIFS(IF($G$2="CPR",'Grid Data'!$AH$4:$AH$2342,'Grid Data'!$AI$4:$AI$2342),'Grid Data'!$Z$4:$Z$2342,$D41,'Grid Data'!$AA$4:$AA$2342,R$4,'Grid Data'!$Y$4:$Y$2342,$D$2)*100-R9, "--")</f>
        <v>--</v>
      </c>
      <c r="S41" s="5">
        <f>IF(  S72&gt;$E$2, SUMIFS(IF($G$2="CPR",'Grid Data'!$AH$4:$AH$2342,'Grid Data'!$AI$4:$AI$2342),'Grid Data'!$Z$4:$Z$2342,$D41,'Grid Data'!$AA$4:$AA$2342,S$4,'Grid Data'!$Y$4:$Y$2342,$D$2)*100-S9, "--")</f>
        <v>-7.3841000000000001</v>
      </c>
      <c r="T41" s="5">
        <f>IF(  T72&gt;$E$2, SUMIFS(IF($G$2="CPR",'Grid Data'!$AH$4:$AH$2342,'Grid Data'!$AI$4:$AI$2342),'Grid Data'!$Z$4:$Z$2342,$D41,'Grid Data'!$AA$4:$AA$2342,T$4,'Grid Data'!$Y$4:$Y$2342,$D$2)*100-T9, "--")</f>
        <v>-0.92810000000000059</v>
      </c>
      <c r="U41" s="5">
        <f>IF(  U72&gt;$E$2, SUMIFS(IF($G$2="CPR",'Grid Data'!$AH$4:$AH$2342,'Grid Data'!$AI$4:$AI$2342),'Grid Data'!$Z$4:$Z$2342,$D41,'Grid Data'!$AA$4:$AA$2342,U$4,'Grid Data'!$Y$4:$Y$2342,$D$2)*100-U9, "--")</f>
        <v>0.37309999999999999</v>
      </c>
      <c r="V41" s="5">
        <f>IF(  V72&gt;$E$2, SUMIFS(IF($G$2="CPR",'Grid Data'!$AH$4:$AH$2342,'Grid Data'!$AI$4:$AI$2342),'Grid Data'!$Z$4:$Z$2342,$D41,'Grid Data'!$AA$4:$AA$2342,V$4,'Grid Data'!$Y$4:$Y$2342,$D$2)*100-V9, "--")</f>
        <v>-4.5499999999999652E-2</v>
      </c>
      <c r="W41" s="5">
        <f>IF(  W72&gt;$E$2, SUMIFS(IF($G$2="CPR",'Grid Data'!$AH$4:$AH$2342,'Grid Data'!$AI$4:$AI$2342),'Grid Data'!$Z$4:$Z$2342,$D41,'Grid Data'!$AA$4:$AA$2342,W$4,'Grid Data'!$Y$4:$Y$2342,$D$2)*100-W9, "--")</f>
        <v>-0.55959999999999965</v>
      </c>
      <c r="X41" s="5">
        <f>IF(  X72&gt;$E$2, SUMIFS(IF($G$2="CPR",'Grid Data'!$AH$4:$AH$2342,'Grid Data'!$AI$4:$AI$2342),'Grid Data'!$Z$4:$Z$2342,$D41,'Grid Data'!$AA$4:$AA$2342,X$4,'Grid Data'!$Y$4:$Y$2342,$D$2)*100-X9, "--")</f>
        <v>1.9582000000000002</v>
      </c>
      <c r="Y41" s="5" t="str">
        <f>IF(  Y72&gt;$E$2, SUMIFS(IF($G$2="CPR",'Grid Data'!$AH$4:$AH$2342,'Grid Data'!$AI$4:$AI$2342),'Grid Data'!$Z$4:$Z$2342,$D41,'Grid Data'!$AA$4:$AA$2342,Y$4,'Grid Data'!$Y$4:$Y$2342,$D$2)*100-Y9, "--")</f>
        <v>--</v>
      </c>
      <c r="Z41" s="5">
        <f>IF(  Z72&gt;$E$2, SUMIFS(IF($G$2="CPR",'Grid Data'!$AH$4:$AH$2342,'Grid Data'!$AI$4:$AI$2342),'Grid Data'!$Z$4:$Z$2342,$D41,'Grid Data'!$AA$4:$AA$2342,Z$4,'Grid Data'!$Y$4:$Y$2342,$D$2)*100-Z9, "--")</f>
        <v>0</v>
      </c>
      <c r="AA41" s="5">
        <f>IF(  AA72&gt;$E$2, SUMIFS(IF($G$2="CPR",'Grid Data'!$AH$4:$AH$2342,'Grid Data'!$AI$4:$AI$2342),'Grid Data'!$Z$4:$Z$2342,$D41,'Grid Data'!$AA$4:$AA$2342,AA$4,'Grid Data'!$Y$4:$Y$2342,$D$2)*100-AA9, "--")</f>
        <v>-1.9400999999999997</v>
      </c>
      <c r="AB41" s="5">
        <f>IF(  AB72&gt;$E$2, SUMIFS(IF($G$2="CPR",'Grid Data'!$AH$4:$AH$2342,'Grid Data'!$AI$4:$AI$2342),'Grid Data'!$Z$4:$Z$2342,$D41,'Grid Data'!$AA$4:$AA$2342,AB$4,'Grid Data'!$Y$4:$Y$2342,$D$2)*100-AB9, "--")</f>
        <v>-2.7576999999999998</v>
      </c>
      <c r="AC41" s="5">
        <f>IF(  AC72&gt;$E$2, SUMIFS(IF($G$2="CPR",'Grid Data'!$AH$4:$AH$2342,'Grid Data'!$AI$4:$AI$2342),'Grid Data'!$Z$4:$Z$2342,$D41,'Grid Data'!$AA$4:$AA$2342,AC$4,'Grid Data'!$Y$4:$Y$2342,$D$2)*100-AC9, "--")</f>
        <v>-0.1650999999999998</v>
      </c>
      <c r="AD41" s="5">
        <f>IF(  AD72&gt;$E$2, SUMIFS(IF($G$2="CPR",'Grid Data'!$AH$4:$AH$2342,'Grid Data'!$AI$4:$AI$2342),'Grid Data'!$Z$4:$Z$2342,$D41,'Grid Data'!$AA$4:$AA$2342,AD$4,'Grid Data'!$Y$4:$Y$2342,$D$2)*100-AD9, "--")</f>
        <v>-9.2774999999999999</v>
      </c>
      <c r="AE41" s="5" t="str">
        <f>IF(  AE72&gt;$E$2, SUMIFS(IF($G$2="CPR",'Grid Data'!$AH$4:$AH$2342,'Grid Data'!$AI$4:$AI$2342),'Grid Data'!$Z$4:$Z$2342,$D41,'Grid Data'!$AA$4:$AA$2342,AE$4,'Grid Data'!$Y$4:$Y$2342,$D$2)*100-AE9, "--")</f>
        <v>--</v>
      </c>
      <c r="AF41" s="5" t="str">
        <f>IF(  AF72&gt;$E$2, SUMIFS(IF($G$2="CPR",'Grid Data'!$AH$4:$AH$2342,'Grid Data'!$AI$4:$AI$2342),'Grid Data'!$Z$4:$Z$2342,$D41,'Grid Data'!$AA$4:$AA$2342,AF$4,'Grid Data'!$Y$4:$Y$2342,$D$2)*100-AF9, "--")</f>
        <v>--</v>
      </c>
      <c r="AG41" s="5" t="str">
        <f>IF(  AG72&gt;$E$2, SUMIFS(IF($G$2="CPR",'Grid Data'!$AH$4:$AH$2342,'Grid Data'!$AI$4:$AI$2342),'Grid Data'!$Z$4:$Z$2342,$D41,'Grid Data'!$AA$4:$AA$2342,AG$4,'Grid Data'!$Y$4:$Y$2342,$D$2)*100-AG9, "--")</f>
        <v>--</v>
      </c>
      <c r="AH41" s="5" t="str">
        <f>IF(  AH72&gt;$E$2, SUMIFS(IF($G$2="CPR",'Grid Data'!$AH$4:$AH$2342,'Grid Data'!$AI$4:$AI$2342),'Grid Data'!$Z$4:$Z$2342,$D41,'Grid Data'!$AA$4:$AA$2342,AH$4,'Grid Data'!$Y$4:$Y$2342,$D$2)*100-AH9, "--")</f>
        <v>--</v>
      </c>
    </row>
    <row r="42" spans="1:34" x14ac:dyDescent="0.35">
      <c r="D42">
        <v>3250</v>
      </c>
      <c r="E42" s="5">
        <f>IF(  E73&gt;$E$2, SUMIFS(IF($G$2="CPR",'Grid Data'!$AH$4:$AH$2342,'Grid Data'!$AI$4:$AI$2342),'Grid Data'!$Z$4:$Z$2342,$D42,'Grid Data'!$AA$4:$AA$2342,E$4,'Grid Data'!$Y$4:$Y$2342,$D$2)*100-E10, "--")</f>
        <v>0</v>
      </c>
      <c r="F42" s="5" t="str">
        <f>IF(  F73&gt;$E$2, SUMIFS(IF($G$2="CPR",'Grid Data'!$AH$4:$AH$2342,'Grid Data'!$AI$4:$AI$2342),'Grid Data'!$Z$4:$Z$2342,$D42,'Grid Data'!$AA$4:$AA$2342,F$4,'Grid Data'!$Y$4:$Y$2342,$D$2)*100-F10, "--")</f>
        <v>--</v>
      </c>
      <c r="G42" s="5" t="str">
        <f>IF(  G73&gt;$E$2, SUMIFS(IF($G$2="CPR",'Grid Data'!$AH$4:$AH$2342,'Grid Data'!$AI$4:$AI$2342),'Grid Data'!$Z$4:$Z$2342,$D42,'Grid Data'!$AA$4:$AA$2342,G$4,'Grid Data'!$Y$4:$Y$2342,$D$2)*100-G10, "--")</f>
        <v>--</v>
      </c>
      <c r="H42" s="5" t="str">
        <f>IF(  H73&gt;$E$2, SUMIFS(IF($G$2="CPR",'Grid Data'!$AH$4:$AH$2342,'Grid Data'!$AI$4:$AI$2342),'Grid Data'!$Z$4:$Z$2342,$D42,'Grid Data'!$AA$4:$AA$2342,H$4,'Grid Data'!$Y$4:$Y$2342,$D$2)*100-H10, "--")</f>
        <v>--</v>
      </c>
      <c r="I42" s="5" t="str">
        <f>IF(  I73&gt;$E$2, SUMIFS(IF($G$2="CPR",'Grid Data'!$AH$4:$AH$2342,'Grid Data'!$AI$4:$AI$2342),'Grid Data'!$Z$4:$Z$2342,$D42,'Grid Data'!$AA$4:$AA$2342,I$4,'Grid Data'!$Y$4:$Y$2342,$D$2)*100-I10, "--")</f>
        <v>--</v>
      </c>
      <c r="J42" s="5" t="str">
        <f>IF(  J73&gt;$E$2, SUMIFS(IF($G$2="CPR",'Grid Data'!$AH$4:$AH$2342,'Grid Data'!$AI$4:$AI$2342),'Grid Data'!$Z$4:$Z$2342,$D42,'Grid Data'!$AA$4:$AA$2342,J$4,'Grid Data'!$Y$4:$Y$2342,$D$2)*100-J10, "--")</f>
        <v>--</v>
      </c>
      <c r="K42" s="5" t="str">
        <f>IF(  K73&gt;$E$2, SUMIFS(IF($G$2="CPR",'Grid Data'!$AH$4:$AH$2342,'Grid Data'!$AI$4:$AI$2342),'Grid Data'!$Z$4:$Z$2342,$D42,'Grid Data'!$AA$4:$AA$2342,K$4,'Grid Data'!$Y$4:$Y$2342,$D$2)*100-K10, "--")</f>
        <v>--</v>
      </c>
      <c r="L42" s="5" t="str">
        <f>IF(  L73&gt;$E$2, SUMIFS(IF($G$2="CPR",'Grid Data'!$AH$4:$AH$2342,'Grid Data'!$AI$4:$AI$2342),'Grid Data'!$Z$4:$Z$2342,$D42,'Grid Data'!$AA$4:$AA$2342,L$4,'Grid Data'!$Y$4:$Y$2342,$D$2)*100-L10, "--")</f>
        <v>--</v>
      </c>
      <c r="M42" s="5" t="str">
        <f>IF(  M73&gt;$E$2, SUMIFS(IF($G$2="CPR",'Grid Data'!$AH$4:$AH$2342,'Grid Data'!$AI$4:$AI$2342),'Grid Data'!$Z$4:$Z$2342,$D42,'Grid Data'!$AA$4:$AA$2342,M$4,'Grid Data'!$Y$4:$Y$2342,$D$2)*100-M10, "--")</f>
        <v>--</v>
      </c>
      <c r="N42" s="5" t="str">
        <f>IF(  N73&gt;$E$2, SUMIFS(IF($G$2="CPR",'Grid Data'!$AH$4:$AH$2342,'Grid Data'!$AI$4:$AI$2342),'Grid Data'!$Z$4:$Z$2342,$D42,'Grid Data'!$AA$4:$AA$2342,N$4,'Grid Data'!$Y$4:$Y$2342,$D$2)*100-N10, "--")</f>
        <v>--</v>
      </c>
      <c r="O42" s="5" t="str">
        <f>IF(  O73&gt;$E$2, SUMIFS(IF($G$2="CPR",'Grid Data'!$AH$4:$AH$2342,'Grid Data'!$AI$4:$AI$2342),'Grid Data'!$Z$4:$Z$2342,$D42,'Grid Data'!$AA$4:$AA$2342,O$4,'Grid Data'!$Y$4:$Y$2342,$D$2)*100-O10, "--")</f>
        <v>--</v>
      </c>
      <c r="P42" s="5" t="str">
        <f>IF(  P73&gt;$E$2, SUMIFS(IF($G$2="CPR",'Grid Data'!$AH$4:$AH$2342,'Grid Data'!$AI$4:$AI$2342),'Grid Data'!$Z$4:$Z$2342,$D42,'Grid Data'!$AA$4:$AA$2342,P$4,'Grid Data'!$Y$4:$Y$2342,$D$2)*100-P10, "--")</f>
        <v>--</v>
      </c>
      <c r="Q42" s="5" t="str">
        <f>IF(  Q73&gt;$E$2, SUMIFS(IF($G$2="CPR",'Grid Data'!$AH$4:$AH$2342,'Grid Data'!$AI$4:$AI$2342),'Grid Data'!$Z$4:$Z$2342,$D42,'Grid Data'!$AA$4:$AA$2342,Q$4,'Grid Data'!$Y$4:$Y$2342,$D$2)*100-Q10, "--")</f>
        <v>--</v>
      </c>
      <c r="R42" s="5" t="str">
        <f>IF(  R73&gt;$E$2, SUMIFS(IF($G$2="CPR",'Grid Data'!$AH$4:$AH$2342,'Grid Data'!$AI$4:$AI$2342),'Grid Data'!$Z$4:$Z$2342,$D42,'Grid Data'!$AA$4:$AA$2342,R$4,'Grid Data'!$Y$4:$Y$2342,$D$2)*100-R10, "--")</f>
        <v>--</v>
      </c>
      <c r="S42" s="5">
        <f>IF(  S73&gt;$E$2, SUMIFS(IF($G$2="CPR",'Grid Data'!$AH$4:$AH$2342,'Grid Data'!$AI$4:$AI$2342),'Grid Data'!$Z$4:$Z$2342,$D42,'Grid Data'!$AA$4:$AA$2342,S$4,'Grid Data'!$Y$4:$Y$2342,$D$2)*100-S10, "--")</f>
        <v>-5.632200000000001</v>
      </c>
      <c r="T42" s="5">
        <f>IF(  T73&gt;$E$2, SUMIFS(IF($G$2="CPR",'Grid Data'!$AH$4:$AH$2342,'Grid Data'!$AI$4:$AI$2342),'Grid Data'!$Z$4:$Z$2342,$D42,'Grid Data'!$AA$4:$AA$2342,T$4,'Grid Data'!$Y$4:$Y$2342,$D$2)*100-T10, "--")</f>
        <v>0.21580000000000066</v>
      </c>
      <c r="U42" s="5">
        <f>IF(  U73&gt;$E$2, SUMIFS(IF($G$2="CPR",'Grid Data'!$AH$4:$AH$2342,'Grid Data'!$AI$4:$AI$2342),'Grid Data'!$Z$4:$Z$2342,$D42,'Grid Data'!$AA$4:$AA$2342,U$4,'Grid Data'!$Y$4:$Y$2342,$D$2)*100-U10, "--")</f>
        <v>3.8399999999999324E-2</v>
      </c>
      <c r="V42" s="5">
        <f>IF(  V73&gt;$E$2, SUMIFS(IF($G$2="CPR",'Grid Data'!$AH$4:$AH$2342,'Grid Data'!$AI$4:$AI$2342),'Grid Data'!$Z$4:$Z$2342,$D42,'Grid Data'!$AA$4:$AA$2342,V$4,'Grid Data'!$Y$4:$Y$2342,$D$2)*100-V10, "--")</f>
        <v>8.1799999999999429E-2</v>
      </c>
      <c r="W42" s="5">
        <f>IF(  W73&gt;$E$2, SUMIFS(IF($G$2="CPR",'Grid Data'!$AH$4:$AH$2342,'Grid Data'!$AI$4:$AI$2342),'Grid Data'!$Z$4:$Z$2342,$D42,'Grid Data'!$AA$4:$AA$2342,W$4,'Grid Data'!$Y$4:$Y$2342,$D$2)*100-W10, "--")</f>
        <v>-0.35699999999999932</v>
      </c>
      <c r="X42" s="5">
        <f>IF(  X73&gt;$E$2, SUMIFS(IF($G$2="CPR",'Grid Data'!$AH$4:$AH$2342,'Grid Data'!$AI$4:$AI$2342),'Grid Data'!$Z$4:$Z$2342,$D42,'Grid Data'!$AA$4:$AA$2342,X$4,'Grid Data'!$Y$4:$Y$2342,$D$2)*100-X10, "--")</f>
        <v>-0.45150000000000112</v>
      </c>
      <c r="Y42" s="5">
        <f>IF(  Y73&gt;$E$2, SUMIFS(IF($G$2="CPR",'Grid Data'!$AH$4:$AH$2342,'Grid Data'!$AI$4:$AI$2342),'Grid Data'!$Z$4:$Z$2342,$D42,'Grid Data'!$AA$4:$AA$2342,Y$4,'Grid Data'!$Y$4:$Y$2342,$D$2)*100-Y10, "--")</f>
        <v>3.1630000000000003</v>
      </c>
      <c r="Z42" s="5">
        <f>IF(  Z73&gt;$E$2, SUMIFS(IF($G$2="CPR",'Grid Data'!$AH$4:$AH$2342,'Grid Data'!$AI$4:$AI$2342),'Grid Data'!$Z$4:$Z$2342,$D42,'Grid Data'!$AA$4:$AA$2342,Z$4,'Grid Data'!$Y$4:$Y$2342,$D$2)*100-Z10, "--")</f>
        <v>0.87019999999999964</v>
      </c>
      <c r="AA42" s="5">
        <f>IF(  AA73&gt;$E$2, SUMIFS(IF($G$2="CPR",'Grid Data'!$AH$4:$AH$2342,'Grid Data'!$AI$4:$AI$2342),'Grid Data'!$Z$4:$Z$2342,$D42,'Grid Data'!$AA$4:$AA$2342,AA$4,'Grid Data'!$Y$4:$Y$2342,$D$2)*100-AA10, "--")</f>
        <v>1.0572999999999997</v>
      </c>
      <c r="AB42" s="5">
        <f>IF(  AB73&gt;$E$2, SUMIFS(IF($G$2="CPR",'Grid Data'!$AH$4:$AH$2342,'Grid Data'!$AI$4:$AI$2342),'Grid Data'!$Z$4:$Z$2342,$D42,'Grid Data'!$AA$4:$AA$2342,AB$4,'Grid Data'!$Y$4:$Y$2342,$D$2)*100-AB10, "--")</f>
        <v>0.60029999999999983</v>
      </c>
      <c r="AC42" s="5">
        <f>IF(  AC73&gt;$E$2, SUMIFS(IF($G$2="CPR",'Grid Data'!$AH$4:$AH$2342,'Grid Data'!$AI$4:$AI$2342),'Grid Data'!$Z$4:$Z$2342,$D42,'Grid Data'!$AA$4:$AA$2342,AC$4,'Grid Data'!$Y$4:$Y$2342,$D$2)*100-AC10, "--")</f>
        <v>0.13710000000000022</v>
      </c>
      <c r="AD42" s="5">
        <f>IF(  AD73&gt;$E$2, SUMIFS(IF($G$2="CPR",'Grid Data'!$AH$4:$AH$2342,'Grid Data'!$AI$4:$AI$2342),'Grid Data'!$Z$4:$Z$2342,$D42,'Grid Data'!$AA$4:$AA$2342,AD$4,'Grid Data'!$Y$4:$Y$2342,$D$2)*100-AD10, "--")</f>
        <v>-7.011099999999999</v>
      </c>
      <c r="AE42" s="5" t="str">
        <f>IF(  AE73&gt;$E$2, SUMIFS(IF($G$2="CPR",'Grid Data'!$AH$4:$AH$2342,'Grid Data'!$AI$4:$AI$2342),'Grid Data'!$Z$4:$Z$2342,$D42,'Grid Data'!$AA$4:$AA$2342,AE$4,'Grid Data'!$Y$4:$Y$2342,$D$2)*100-AE10, "--")</f>
        <v>--</v>
      </c>
      <c r="AF42" s="5" t="str">
        <f>IF(  AF73&gt;$E$2, SUMIFS(IF($G$2="CPR",'Grid Data'!$AH$4:$AH$2342,'Grid Data'!$AI$4:$AI$2342),'Grid Data'!$Z$4:$Z$2342,$D42,'Grid Data'!$AA$4:$AA$2342,AF$4,'Grid Data'!$Y$4:$Y$2342,$D$2)*100-AF10, "--")</f>
        <v>--</v>
      </c>
      <c r="AG42" s="5" t="str">
        <f>IF(  AG73&gt;$E$2, SUMIFS(IF($G$2="CPR",'Grid Data'!$AH$4:$AH$2342,'Grid Data'!$AI$4:$AI$2342),'Grid Data'!$Z$4:$Z$2342,$D42,'Grid Data'!$AA$4:$AA$2342,AG$4,'Grid Data'!$Y$4:$Y$2342,$D$2)*100-AG10, "--")</f>
        <v>--</v>
      </c>
      <c r="AH42" s="5" t="str">
        <f>IF(  AH73&gt;$E$2, SUMIFS(IF($G$2="CPR",'Grid Data'!$AH$4:$AH$2342,'Grid Data'!$AI$4:$AI$2342),'Grid Data'!$Z$4:$Z$2342,$D42,'Grid Data'!$AA$4:$AA$2342,AH$4,'Grid Data'!$Y$4:$Y$2342,$D$2)*100-AH10, "--")</f>
        <v>--</v>
      </c>
    </row>
    <row r="43" spans="1:34" x14ac:dyDescent="0.35">
      <c r="D43">
        <v>3500</v>
      </c>
      <c r="E43" s="5">
        <f>IF(  E74&gt;$E$2, SUMIFS(IF($G$2="CPR",'Grid Data'!$AH$4:$AH$2342,'Grid Data'!$AI$4:$AI$2342),'Grid Data'!$Z$4:$Z$2342,$D43,'Grid Data'!$AA$4:$AA$2342,E$4,'Grid Data'!$Y$4:$Y$2342,$D$2)*100-E11, "--")</f>
        <v>0</v>
      </c>
      <c r="F43" s="5" t="str">
        <f>IF(  F74&gt;$E$2, SUMIFS(IF($G$2="CPR",'Grid Data'!$AH$4:$AH$2342,'Grid Data'!$AI$4:$AI$2342),'Grid Data'!$Z$4:$Z$2342,$D43,'Grid Data'!$AA$4:$AA$2342,F$4,'Grid Data'!$Y$4:$Y$2342,$D$2)*100-F11, "--")</f>
        <v>--</v>
      </c>
      <c r="G43" s="5" t="str">
        <f>IF(  G74&gt;$E$2, SUMIFS(IF($G$2="CPR",'Grid Data'!$AH$4:$AH$2342,'Grid Data'!$AI$4:$AI$2342),'Grid Data'!$Z$4:$Z$2342,$D43,'Grid Data'!$AA$4:$AA$2342,G$4,'Grid Data'!$Y$4:$Y$2342,$D$2)*100-G11, "--")</f>
        <v>--</v>
      </c>
      <c r="H43" s="5" t="str">
        <f>IF(  H74&gt;$E$2, SUMIFS(IF($G$2="CPR",'Grid Data'!$AH$4:$AH$2342,'Grid Data'!$AI$4:$AI$2342),'Grid Data'!$Z$4:$Z$2342,$D43,'Grid Data'!$AA$4:$AA$2342,H$4,'Grid Data'!$Y$4:$Y$2342,$D$2)*100-H11, "--")</f>
        <v>--</v>
      </c>
      <c r="I43" s="5" t="str">
        <f>IF(  I74&gt;$E$2, SUMIFS(IF($G$2="CPR",'Grid Data'!$AH$4:$AH$2342,'Grid Data'!$AI$4:$AI$2342),'Grid Data'!$Z$4:$Z$2342,$D43,'Grid Data'!$AA$4:$AA$2342,I$4,'Grid Data'!$Y$4:$Y$2342,$D$2)*100-I11, "--")</f>
        <v>--</v>
      </c>
      <c r="J43" s="5" t="str">
        <f>IF(  J74&gt;$E$2, SUMIFS(IF($G$2="CPR",'Grid Data'!$AH$4:$AH$2342,'Grid Data'!$AI$4:$AI$2342),'Grid Data'!$Z$4:$Z$2342,$D43,'Grid Data'!$AA$4:$AA$2342,J$4,'Grid Data'!$Y$4:$Y$2342,$D$2)*100-J11, "--")</f>
        <v>--</v>
      </c>
      <c r="K43" s="5" t="str">
        <f>IF(  K74&gt;$E$2, SUMIFS(IF($G$2="CPR",'Grid Data'!$AH$4:$AH$2342,'Grid Data'!$AI$4:$AI$2342),'Grid Data'!$Z$4:$Z$2342,$D43,'Grid Data'!$AA$4:$AA$2342,K$4,'Grid Data'!$Y$4:$Y$2342,$D$2)*100-K11, "--")</f>
        <v>--</v>
      </c>
      <c r="L43" s="5" t="str">
        <f>IF(  L74&gt;$E$2, SUMIFS(IF($G$2="CPR",'Grid Data'!$AH$4:$AH$2342,'Grid Data'!$AI$4:$AI$2342),'Grid Data'!$Z$4:$Z$2342,$D43,'Grid Data'!$AA$4:$AA$2342,L$4,'Grid Data'!$Y$4:$Y$2342,$D$2)*100-L11, "--")</f>
        <v>--</v>
      </c>
      <c r="M43" s="5" t="str">
        <f>IF(  M74&gt;$E$2, SUMIFS(IF($G$2="CPR",'Grid Data'!$AH$4:$AH$2342,'Grid Data'!$AI$4:$AI$2342),'Grid Data'!$Z$4:$Z$2342,$D43,'Grid Data'!$AA$4:$AA$2342,M$4,'Grid Data'!$Y$4:$Y$2342,$D$2)*100-M11, "--")</f>
        <v>--</v>
      </c>
      <c r="N43" s="5" t="str">
        <f>IF(  N74&gt;$E$2, SUMIFS(IF($G$2="CPR",'Grid Data'!$AH$4:$AH$2342,'Grid Data'!$AI$4:$AI$2342),'Grid Data'!$Z$4:$Z$2342,$D43,'Grid Data'!$AA$4:$AA$2342,N$4,'Grid Data'!$Y$4:$Y$2342,$D$2)*100-N11, "--")</f>
        <v>--</v>
      </c>
      <c r="O43" s="5" t="str">
        <f>IF(  O74&gt;$E$2, SUMIFS(IF($G$2="CPR",'Grid Data'!$AH$4:$AH$2342,'Grid Data'!$AI$4:$AI$2342),'Grid Data'!$Z$4:$Z$2342,$D43,'Grid Data'!$AA$4:$AA$2342,O$4,'Grid Data'!$Y$4:$Y$2342,$D$2)*100-O11, "--")</f>
        <v>--</v>
      </c>
      <c r="P43" s="5" t="str">
        <f>IF(  P74&gt;$E$2, SUMIFS(IF($G$2="CPR",'Grid Data'!$AH$4:$AH$2342,'Grid Data'!$AI$4:$AI$2342),'Grid Data'!$Z$4:$Z$2342,$D43,'Grid Data'!$AA$4:$AA$2342,P$4,'Grid Data'!$Y$4:$Y$2342,$D$2)*100-P11, "--")</f>
        <v>--</v>
      </c>
      <c r="Q43" s="5" t="str">
        <f>IF(  Q74&gt;$E$2, SUMIFS(IF($G$2="CPR",'Grid Data'!$AH$4:$AH$2342,'Grid Data'!$AI$4:$AI$2342),'Grid Data'!$Z$4:$Z$2342,$D43,'Grid Data'!$AA$4:$AA$2342,Q$4,'Grid Data'!$Y$4:$Y$2342,$D$2)*100-Q11, "--")</f>
        <v>--</v>
      </c>
      <c r="R43" s="5" t="str">
        <f>IF(  R74&gt;$E$2, SUMIFS(IF($G$2="CPR",'Grid Data'!$AH$4:$AH$2342,'Grid Data'!$AI$4:$AI$2342),'Grid Data'!$Z$4:$Z$2342,$D43,'Grid Data'!$AA$4:$AA$2342,R$4,'Grid Data'!$Y$4:$Y$2342,$D$2)*100-R11, "--")</f>
        <v>--</v>
      </c>
      <c r="S43" s="5">
        <f>IF(  S74&gt;$E$2, SUMIFS(IF($G$2="CPR",'Grid Data'!$AH$4:$AH$2342,'Grid Data'!$AI$4:$AI$2342),'Grid Data'!$Z$4:$Z$2342,$D43,'Grid Data'!$AA$4:$AA$2342,S$4,'Grid Data'!$Y$4:$Y$2342,$D$2)*100-S11, "--")</f>
        <v>0</v>
      </c>
      <c r="T43" s="5">
        <f>IF(  T74&gt;$E$2, SUMIFS(IF($G$2="CPR",'Grid Data'!$AH$4:$AH$2342,'Grid Data'!$AI$4:$AI$2342),'Grid Data'!$Z$4:$Z$2342,$D43,'Grid Data'!$AA$4:$AA$2342,T$4,'Grid Data'!$Y$4:$Y$2342,$D$2)*100-T11, "--")</f>
        <v>0.65699999999999914</v>
      </c>
      <c r="U43" s="5">
        <f>IF(  U74&gt;$E$2, SUMIFS(IF($G$2="CPR",'Grid Data'!$AH$4:$AH$2342,'Grid Data'!$AI$4:$AI$2342),'Grid Data'!$Z$4:$Z$2342,$D43,'Grid Data'!$AA$4:$AA$2342,U$4,'Grid Data'!$Y$4:$Y$2342,$D$2)*100-U11, "--")</f>
        <v>1.2899999999999245E-2</v>
      </c>
      <c r="V43" s="5">
        <f>IF(  V74&gt;$E$2, SUMIFS(IF($G$2="CPR",'Grid Data'!$AH$4:$AH$2342,'Grid Data'!$AI$4:$AI$2342),'Grid Data'!$Z$4:$Z$2342,$D43,'Grid Data'!$AA$4:$AA$2342,V$4,'Grid Data'!$Y$4:$Y$2342,$D$2)*100-V11, "--")</f>
        <v>-0.35309999999999953</v>
      </c>
      <c r="W43" s="5">
        <f>IF(  W74&gt;$E$2, SUMIFS(IF($G$2="CPR",'Grid Data'!$AH$4:$AH$2342,'Grid Data'!$AI$4:$AI$2342),'Grid Data'!$Z$4:$Z$2342,$D43,'Grid Data'!$AA$4:$AA$2342,W$4,'Grid Data'!$Y$4:$Y$2342,$D$2)*100-W11, "--")</f>
        <v>-0.14610000000000056</v>
      </c>
      <c r="X43" s="5">
        <f>IF(  X74&gt;$E$2, SUMIFS(IF($G$2="CPR",'Grid Data'!$AH$4:$AH$2342,'Grid Data'!$AI$4:$AI$2342),'Grid Data'!$Z$4:$Z$2342,$D43,'Grid Data'!$AA$4:$AA$2342,X$4,'Grid Data'!$Y$4:$Y$2342,$D$2)*100-X11, "--")</f>
        <v>-0.25819999999999954</v>
      </c>
      <c r="Y43" s="5">
        <f>IF(  Y74&gt;$E$2, SUMIFS(IF($G$2="CPR",'Grid Data'!$AH$4:$AH$2342,'Grid Data'!$AI$4:$AI$2342),'Grid Data'!$Z$4:$Z$2342,$D43,'Grid Data'!$AA$4:$AA$2342,Y$4,'Grid Data'!$Y$4:$Y$2342,$D$2)*100-Y11, "--")</f>
        <v>1.7048000000000005</v>
      </c>
      <c r="Z43" s="5">
        <f>IF(  Z74&gt;$E$2, SUMIFS(IF($G$2="CPR",'Grid Data'!$AH$4:$AH$2342,'Grid Data'!$AI$4:$AI$2342),'Grid Data'!$Z$4:$Z$2342,$D43,'Grid Data'!$AA$4:$AA$2342,Z$4,'Grid Data'!$Y$4:$Y$2342,$D$2)*100-Z11, "--")</f>
        <v>1.1933999999999996</v>
      </c>
      <c r="AA43" s="5">
        <f>IF(  AA74&gt;$E$2, SUMIFS(IF($G$2="CPR",'Grid Data'!$AH$4:$AH$2342,'Grid Data'!$AI$4:$AI$2342),'Grid Data'!$Z$4:$Z$2342,$D43,'Grid Data'!$AA$4:$AA$2342,AA$4,'Grid Data'!$Y$4:$Y$2342,$D$2)*100-AA11, "--")</f>
        <v>-0.62069999999999936</v>
      </c>
      <c r="AB43" s="5">
        <f>IF(  AB74&gt;$E$2, SUMIFS(IF($G$2="CPR",'Grid Data'!$AH$4:$AH$2342,'Grid Data'!$AI$4:$AI$2342),'Grid Data'!$Z$4:$Z$2342,$D43,'Grid Data'!$AA$4:$AA$2342,AB$4,'Grid Data'!$Y$4:$Y$2342,$D$2)*100-AB11, "--")</f>
        <v>-5.2899999999999281E-2</v>
      </c>
      <c r="AC43" s="5">
        <f>IF(  AC74&gt;$E$2, SUMIFS(IF($G$2="CPR",'Grid Data'!$AH$4:$AH$2342,'Grid Data'!$AI$4:$AI$2342),'Grid Data'!$Z$4:$Z$2342,$D43,'Grid Data'!$AA$4:$AA$2342,AC$4,'Grid Data'!$Y$4:$Y$2342,$D$2)*100-AC11, "--")</f>
        <v>0.15120000000000022</v>
      </c>
      <c r="AD43" s="5">
        <f>IF(  AD74&gt;$E$2, SUMIFS(IF($G$2="CPR",'Grid Data'!$AH$4:$AH$2342,'Grid Data'!$AI$4:$AI$2342),'Grid Data'!$Z$4:$Z$2342,$D43,'Grid Data'!$AA$4:$AA$2342,AD$4,'Grid Data'!$Y$4:$Y$2342,$D$2)*100-AD11, "--")</f>
        <v>-1.6469</v>
      </c>
      <c r="AE43" s="5" t="str">
        <f>IF(  AE74&gt;$E$2, SUMIFS(IF($G$2="CPR",'Grid Data'!$AH$4:$AH$2342,'Grid Data'!$AI$4:$AI$2342),'Grid Data'!$Z$4:$Z$2342,$D43,'Grid Data'!$AA$4:$AA$2342,AE$4,'Grid Data'!$Y$4:$Y$2342,$D$2)*100-AE11, "--")</f>
        <v>--</v>
      </c>
      <c r="AF43" s="5" t="str">
        <f>IF(  AF74&gt;$E$2, SUMIFS(IF($G$2="CPR",'Grid Data'!$AH$4:$AH$2342,'Grid Data'!$AI$4:$AI$2342),'Grid Data'!$Z$4:$Z$2342,$D43,'Grid Data'!$AA$4:$AA$2342,AF$4,'Grid Data'!$Y$4:$Y$2342,$D$2)*100-AF11, "--")</f>
        <v>--</v>
      </c>
      <c r="AG43" s="5" t="str">
        <f>IF(  AG74&gt;$E$2, SUMIFS(IF($G$2="CPR",'Grid Data'!$AH$4:$AH$2342,'Grid Data'!$AI$4:$AI$2342),'Grid Data'!$Z$4:$Z$2342,$D43,'Grid Data'!$AA$4:$AA$2342,AG$4,'Grid Data'!$Y$4:$Y$2342,$D$2)*100-AG11, "--")</f>
        <v>--</v>
      </c>
      <c r="AH43" s="5" t="str">
        <f>IF(  AH74&gt;$E$2, SUMIFS(IF($G$2="CPR",'Grid Data'!$AH$4:$AH$2342,'Grid Data'!$AI$4:$AI$2342),'Grid Data'!$Z$4:$Z$2342,$D43,'Grid Data'!$AA$4:$AA$2342,AH$4,'Grid Data'!$Y$4:$Y$2342,$D$2)*100-AH11, "--")</f>
        <v>--</v>
      </c>
    </row>
    <row r="44" spans="1:34" x14ac:dyDescent="0.35">
      <c r="D44">
        <v>3750</v>
      </c>
      <c r="E44" s="5">
        <f>IF(  E75&gt;$E$2, SUMIFS(IF($G$2="CPR",'Grid Data'!$AH$4:$AH$2342,'Grid Data'!$AI$4:$AI$2342),'Grid Data'!$Z$4:$Z$2342,$D44,'Grid Data'!$AA$4:$AA$2342,E$4,'Grid Data'!$Y$4:$Y$2342,$D$2)*100-E12, "--")</f>
        <v>0</v>
      </c>
      <c r="F44" s="5">
        <f>IF(  F75&gt;$E$2, SUMIFS(IF($G$2="CPR",'Grid Data'!$AH$4:$AH$2342,'Grid Data'!$AI$4:$AI$2342),'Grid Data'!$Z$4:$Z$2342,$D44,'Grid Data'!$AA$4:$AA$2342,F$4,'Grid Data'!$Y$4:$Y$2342,$D$2)*100-F12, "--")</f>
        <v>0</v>
      </c>
      <c r="G44" s="5">
        <f>IF(  G75&gt;$E$2, SUMIFS(IF($G$2="CPR",'Grid Data'!$AH$4:$AH$2342,'Grid Data'!$AI$4:$AI$2342),'Grid Data'!$Z$4:$Z$2342,$D44,'Grid Data'!$AA$4:$AA$2342,G$4,'Grid Data'!$Y$4:$Y$2342,$D$2)*100-G12, "--")</f>
        <v>0</v>
      </c>
      <c r="H44" s="5">
        <f>IF(  H75&gt;$E$2, SUMIFS(IF($G$2="CPR",'Grid Data'!$AH$4:$AH$2342,'Grid Data'!$AI$4:$AI$2342),'Grid Data'!$Z$4:$Z$2342,$D44,'Grid Data'!$AA$4:$AA$2342,H$4,'Grid Data'!$Y$4:$Y$2342,$D$2)*100-H12, "--")</f>
        <v>0</v>
      </c>
      <c r="I44" s="5" t="str">
        <f>IF(  I75&gt;$E$2, SUMIFS(IF($G$2="CPR",'Grid Data'!$AH$4:$AH$2342,'Grid Data'!$AI$4:$AI$2342),'Grid Data'!$Z$4:$Z$2342,$D44,'Grid Data'!$AA$4:$AA$2342,I$4,'Grid Data'!$Y$4:$Y$2342,$D$2)*100-I12, "--")</f>
        <v>--</v>
      </c>
      <c r="J44" s="5">
        <f>IF(  J75&gt;$E$2, SUMIFS(IF($G$2="CPR",'Grid Data'!$AH$4:$AH$2342,'Grid Data'!$AI$4:$AI$2342),'Grid Data'!$Z$4:$Z$2342,$D44,'Grid Data'!$AA$4:$AA$2342,J$4,'Grid Data'!$Y$4:$Y$2342,$D$2)*100-J12, "--")</f>
        <v>0</v>
      </c>
      <c r="K44" s="5">
        <f>IF(  K75&gt;$E$2, SUMIFS(IF($G$2="CPR",'Grid Data'!$AH$4:$AH$2342,'Grid Data'!$AI$4:$AI$2342),'Grid Data'!$Z$4:$Z$2342,$D44,'Grid Data'!$AA$4:$AA$2342,K$4,'Grid Data'!$Y$4:$Y$2342,$D$2)*100-K12, "--")</f>
        <v>0</v>
      </c>
      <c r="L44" s="5">
        <f>IF(  L75&gt;$E$2, SUMIFS(IF($G$2="CPR",'Grid Data'!$AH$4:$AH$2342,'Grid Data'!$AI$4:$AI$2342),'Grid Data'!$Z$4:$Z$2342,$D44,'Grid Data'!$AA$4:$AA$2342,L$4,'Grid Data'!$Y$4:$Y$2342,$D$2)*100-L12, "--")</f>
        <v>0</v>
      </c>
      <c r="M44" s="5">
        <f>IF(  M75&gt;$E$2, SUMIFS(IF($G$2="CPR",'Grid Data'!$AH$4:$AH$2342,'Grid Data'!$AI$4:$AI$2342),'Grid Data'!$Z$4:$Z$2342,$D44,'Grid Data'!$AA$4:$AA$2342,M$4,'Grid Data'!$Y$4:$Y$2342,$D$2)*100-M12, "--")</f>
        <v>0</v>
      </c>
      <c r="N44" s="5">
        <f>IF(  N75&gt;$E$2, SUMIFS(IF($G$2="CPR",'Grid Data'!$AH$4:$AH$2342,'Grid Data'!$AI$4:$AI$2342),'Grid Data'!$Z$4:$Z$2342,$D44,'Grid Data'!$AA$4:$AA$2342,N$4,'Grid Data'!$Y$4:$Y$2342,$D$2)*100-N12, "--")</f>
        <v>6.6494</v>
      </c>
      <c r="O44" s="5" t="str">
        <f>IF(  O75&gt;$E$2, SUMIFS(IF($G$2="CPR",'Grid Data'!$AH$4:$AH$2342,'Grid Data'!$AI$4:$AI$2342),'Grid Data'!$Z$4:$Z$2342,$D44,'Grid Data'!$AA$4:$AA$2342,O$4,'Grid Data'!$Y$4:$Y$2342,$D$2)*100-O12, "--")</f>
        <v>--</v>
      </c>
      <c r="P44" s="5" t="str">
        <f>IF(  P75&gt;$E$2, SUMIFS(IF($G$2="CPR",'Grid Data'!$AH$4:$AH$2342,'Grid Data'!$AI$4:$AI$2342),'Grid Data'!$Z$4:$Z$2342,$D44,'Grid Data'!$AA$4:$AA$2342,P$4,'Grid Data'!$Y$4:$Y$2342,$D$2)*100-P12, "--")</f>
        <v>--</v>
      </c>
      <c r="Q44" s="5" t="str">
        <f>IF(  Q75&gt;$E$2, SUMIFS(IF($G$2="CPR",'Grid Data'!$AH$4:$AH$2342,'Grid Data'!$AI$4:$AI$2342),'Grid Data'!$Z$4:$Z$2342,$D44,'Grid Data'!$AA$4:$AA$2342,Q$4,'Grid Data'!$Y$4:$Y$2342,$D$2)*100-Q12, "--")</f>
        <v>--</v>
      </c>
      <c r="R44" s="5" t="str">
        <f>IF(  R75&gt;$E$2, SUMIFS(IF($G$2="CPR",'Grid Data'!$AH$4:$AH$2342,'Grid Data'!$AI$4:$AI$2342),'Grid Data'!$Z$4:$Z$2342,$D44,'Grid Data'!$AA$4:$AA$2342,R$4,'Grid Data'!$Y$4:$Y$2342,$D$2)*100-R12, "--")</f>
        <v>--</v>
      </c>
      <c r="S44" s="5">
        <f>IF(  S75&gt;$E$2, SUMIFS(IF($G$2="CPR",'Grid Data'!$AH$4:$AH$2342,'Grid Data'!$AI$4:$AI$2342),'Grid Data'!$Z$4:$Z$2342,$D44,'Grid Data'!$AA$4:$AA$2342,S$4,'Grid Data'!$Y$4:$Y$2342,$D$2)*100-S12, "--")</f>
        <v>3.9115000000000002</v>
      </c>
      <c r="T44" s="5">
        <f>IF(  T75&gt;$E$2, SUMIFS(IF($G$2="CPR",'Grid Data'!$AH$4:$AH$2342,'Grid Data'!$AI$4:$AI$2342),'Grid Data'!$Z$4:$Z$2342,$D44,'Grid Data'!$AA$4:$AA$2342,T$4,'Grid Data'!$Y$4:$Y$2342,$D$2)*100-T12, "--")</f>
        <v>0.78160000000000007</v>
      </c>
      <c r="U44" s="5">
        <f>IF(  U75&gt;$E$2, SUMIFS(IF($G$2="CPR",'Grid Data'!$AH$4:$AH$2342,'Grid Data'!$AI$4:$AI$2342),'Grid Data'!$Z$4:$Z$2342,$D44,'Grid Data'!$AA$4:$AA$2342,U$4,'Grid Data'!$Y$4:$Y$2342,$D$2)*100-U12, "--")</f>
        <v>-8.2500000000000462E-2</v>
      </c>
      <c r="V44" s="5">
        <f>IF(  V75&gt;$E$2, SUMIFS(IF($G$2="CPR",'Grid Data'!$AH$4:$AH$2342,'Grid Data'!$AI$4:$AI$2342),'Grid Data'!$Z$4:$Z$2342,$D44,'Grid Data'!$AA$4:$AA$2342,V$4,'Grid Data'!$Y$4:$Y$2342,$D$2)*100-V12, "--")</f>
        <v>-0.24150000000000027</v>
      </c>
      <c r="W44" s="5">
        <f>IF(  W75&gt;$E$2, SUMIFS(IF($G$2="CPR",'Grid Data'!$AH$4:$AH$2342,'Grid Data'!$AI$4:$AI$2342),'Grid Data'!$Z$4:$Z$2342,$D44,'Grid Data'!$AA$4:$AA$2342,W$4,'Grid Data'!$Y$4:$Y$2342,$D$2)*100-W12, "--")</f>
        <v>-0.31010000000000026</v>
      </c>
      <c r="X44" s="5">
        <f>IF(  X75&gt;$E$2, SUMIFS(IF($G$2="CPR",'Grid Data'!$AH$4:$AH$2342,'Grid Data'!$AI$4:$AI$2342),'Grid Data'!$Z$4:$Z$2342,$D44,'Grid Data'!$AA$4:$AA$2342,X$4,'Grid Data'!$Y$4:$Y$2342,$D$2)*100-X12, "--")</f>
        <v>-1.3792999999999989</v>
      </c>
      <c r="Y44" s="5">
        <f>IF(  Y75&gt;$E$2, SUMIFS(IF($G$2="CPR",'Grid Data'!$AH$4:$AH$2342,'Grid Data'!$AI$4:$AI$2342),'Grid Data'!$Z$4:$Z$2342,$D44,'Grid Data'!$AA$4:$AA$2342,Y$4,'Grid Data'!$Y$4:$Y$2342,$D$2)*100-Y12, "--")</f>
        <v>0.1637000000000004</v>
      </c>
      <c r="Z44" s="5">
        <f>IF(  Z75&gt;$E$2, SUMIFS(IF($G$2="CPR",'Grid Data'!$AH$4:$AH$2342,'Grid Data'!$AI$4:$AI$2342),'Grid Data'!$Z$4:$Z$2342,$D44,'Grid Data'!$AA$4:$AA$2342,Z$4,'Grid Data'!$Y$4:$Y$2342,$D$2)*100-Z12, "--")</f>
        <v>-0.24900000000000055</v>
      </c>
      <c r="AA44" s="5">
        <f>IF(  AA75&gt;$E$2, SUMIFS(IF($G$2="CPR",'Grid Data'!$AH$4:$AH$2342,'Grid Data'!$AI$4:$AI$2342),'Grid Data'!$Z$4:$Z$2342,$D44,'Grid Data'!$AA$4:$AA$2342,AA$4,'Grid Data'!$Y$4:$Y$2342,$D$2)*100-AA12, "--")</f>
        <v>-0.32450000000000045</v>
      </c>
      <c r="AB44" s="5">
        <f>IF(  AB75&gt;$E$2, SUMIFS(IF($G$2="CPR",'Grid Data'!$AH$4:$AH$2342,'Grid Data'!$AI$4:$AI$2342),'Grid Data'!$Z$4:$Z$2342,$D44,'Grid Data'!$AA$4:$AA$2342,AB$4,'Grid Data'!$Y$4:$Y$2342,$D$2)*100-AB12, "--")</f>
        <v>-8.0400000000000027E-2</v>
      </c>
      <c r="AC44" s="5">
        <f>IF(  AC75&gt;$E$2, SUMIFS(IF($G$2="CPR",'Grid Data'!$AH$4:$AH$2342,'Grid Data'!$AI$4:$AI$2342),'Grid Data'!$Z$4:$Z$2342,$D44,'Grid Data'!$AA$4:$AA$2342,AC$4,'Grid Data'!$Y$4:$Y$2342,$D$2)*100-AC12, "--")</f>
        <v>-0.25269999999999992</v>
      </c>
      <c r="AD44" s="5">
        <f>IF(  AD75&gt;$E$2, SUMIFS(IF($G$2="CPR",'Grid Data'!$AH$4:$AH$2342,'Grid Data'!$AI$4:$AI$2342),'Grid Data'!$Z$4:$Z$2342,$D44,'Grid Data'!$AA$4:$AA$2342,AD$4,'Grid Data'!$Y$4:$Y$2342,$D$2)*100-AD12, "--")</f>
        <v>1.0201999999999991</v>
      </c>
      <c r="AE44" s="5" t="str">
        <f>IF(  AE75&gt;$E$2, SUMIFS(IF($G$2="CPR",'Grid Data'!$AH$4:$AH$2342,'Grid Data'!$AI$4:$AI$2342),'Grid Data'!$Z$4:$Z$2342,$D44,'Grid Data'!$AA$4:$AA$2342,AE$4,'Grid Data'!$Y$4:$Y$2342,$D$2)*100-AE12, "--")</f>
        <v>--</v>
      </c>
      <c r="AF44" s="5" t="str">
        <f>IF(  AF75&gt;$E$2, SUMIFS(IF($G$2="CPR",'Grid Data'!$AH$4:$AH$2342,'Grid Data'!$AI$4:$AI$2342),'Grid Data'!$Z$4:$Z$2342,$D44,'Grid Data'!$AA$4:$AA$2342,AF$4,'Grid Data'!$Y$4:$Y$2342,$D$2)*100-AF12, "--")</f>
        <v>--</v>
      </c>
      <c r="AG44" s="5" t="str">
        <f>IF(  AG75&gt;$E$2, SUMIFS(IF($G$2="CPR",'Grid Data'!$AH$4:$AH$2342,'Grid Data'!$AI$4:$AI$2342),'Grid Data'!$Z$4:$Z$2342,$D44,'Grid Data'!$AA$4:$AA$2342,AG$4,'Grid Data'!$Y$4:$Y$2342,$D$2)*100-AG12, "--")</f>
        <v>--</v>
      </c>
      <c r="AH44" s="5" t="str">
        <f>IF(  AH75&gt;$E$2, SUMIFS(IF($G$2="CPR",'Grid Data'!$AH$4:$AH$2342,'Grid Data'!$AI$4:$AI$2342),'Grid Data'!$Z$4:$Z$2342,$D44,'Grid Data'!$AA$4:$AA$2342,AH$4,'Grid Data'!$Y$4:$Y$2342,$D$2)*100-AH12, "--")</f>
        <v>--</v>
      </c>
    </row>
    <row r="45" spans="1:34" x14ac:dyDescent="0.35">
      <c r="D45">
        <v>4000</v>
      </c>
      <c r="E45" s="5">
        <f>IF(  E76&gt;$E$2, SUMIFS(IF($G$2="CPR",'Grid Data'!$AH$4:$AH$2342,'Grid Data'!$AI$4:$AI$2342),'Grid Data'!$Z$4:$Z$2342,$D45,'Grid Data'!$AA$4:$AA$2342,E$4,'Grid Data'!$Y$4:$Y$2342,$D$2)*100-E13, "--")</f>
        <v>4.5300000000000007E-2</v>
      </c>
      <c r="F45" s="5">
        <f>IF(  F76&gt;$E$2, SUMIFS(IF($G$2="CPR",'Grid Data'!$AH$4:$AH$2342,'Grid Data'!$AI$4:$AI$2342),'Grid Data'!$Z$4:$Z$2342,$D45,'Grid Data'!$AA$4:$AA$2342,F$4,'Grid Data'!$Y$4:$Y$2342,$D$2)*100-F13, "--")</f>
        <v>0</v>
      </c>
      <c r="G45" s="5">
        <f>IF(  G76&gt;$E$2, SUMIFS(IF($G$2="CPR",'Grid Data'!$AH$4:$AH$2342,'Grid Data'!$AI$4:$AI$2342),'Grid Data'!$Z$4:$Z$2342,$D45,'Grid Data'!$AA$4:$AA$2342,G$4,'Grid Data'!$Y$4:$Y$2342,$D$2)*100-G13, "--")</f>
        <v>0</v>
      </c>
      <c r="H45" s="5">
        <f>IF(  H76&gt;$E$2, SUMIFS(IF($G$2="CPR",'Grid Data'!$AH$4:$AH$2342,'Grid Data'!$AI$4:$AI$2342),'Grid Data'!$Z$4:$Z$2342,$D45,'Grid Data'!$AA$4:$AA$2342,H$4,'Grid Data'!$Y$4:$Y$2342,$D$2)*100-H13, "--")</f>
        <v>-0.56429999999999991</v>
      </c>
      <c r="I45" s="5">
        <f>IF(  I76&gt;$E$2, SUMIFS(IF($G$2="CPR",'Grid Data'!$AH$4:$AH$2342,'Grid Data'!$AI$4:$AI$2342),'Grid Data'!$Z$4:$Z$2342,$D45,'Grid Data'!$AA$4:$AA$2342,I$4,'Grid Data'!$Y$4:$Y$2342,$D$2)*100-I13, "--")</f>
        <v>-1.2577</v>
      </c>
      <c r="J45" s="5">
        <f>IF(  J76&gt;$E$2, SUMIFS(IF($G$2="CPR",'Grid Data'!$AH$4:$AH$2342,'Grid Data'!$AI$4:$AI$2342),'Grid Data'!$Z$4:$Z$2342,$D45,'Grid Data'!$AA$4:$AA$2342,J$4,'Grid Data'!$Y$4:$Y$2342,$D$2)*100-J13, "--")</f>
        <v>1.9206999999999999</v>
      </c>
      <c r="K45" s="5">
        <f>IF(  K76&gt;$E$2, SUMIFS(IF($G$2="CPR",'Grid Data'!$AH$4:$AH$2342,'Grid Data'!$AI$4:$AI$2342),'Grid Data'!$Z$4:$Z$2342,$D45,'Grid Data'!$AA$4:$AA$2342,K$4,'Grid Data'!$Y$4:$Y$2342,$D$2)*100-K13, "--")</f>
        <v>2.3239999999999998</v>
      </c>
      <c r="L45" s="5">
        <f>IF(  L76&gt;$E$2, SUMIFS(IF($G$2="CPR",'Grid Data'!$AH$4:$AH$2342,'Grid Data'!$AI$4:$AI$2342),'Grid Data'!$Z$4:$Z$2342,$D45,'Grid Data'!$AA$4:$AA$2342,L$4,'Grid Data'!$Y$4:$Y$2342,$D$2)*100-L13, "--")</f>
        <v>3.8999999999999998E-3</v>
      </c>
      <c r="M45" s="5">
        <f>IF(  M76&gt;$E$2, SUMIFS(IF($G$2="CPR",'Grid Data'!$AH$4:$AH$2342,'Grid Data'!$AI$4:$AI$2342),'Grid Data'!$Z$4:$Z$2342,$D45,'Grid Data'!$AA$4:$AA$2342,M$4,'Grid Data'!$Y$4:$Y$2342,$D$2)*100-M13, "--")</f>
        <v>3.839999999999999E-2</v>
      </c>
      <c r="N45" s="5">
        <f>IF(  N76&gt;$E$2, SUMIFS(IF($G$2="CPR",'Grid Data'!$AH$4:$AH$2342,'Grid Data'!$AI$4:$AI$2342),'Grid Data'!$Z$4:$Z$2342,$D45,'Grid Data'!$AA$4:$AA$2342,N$4,'Grid Data'!$Y$4:$Y$2342,$D$2)*100-N13, "--")</f>
        <v>0.14490000000000003</v>
      </c>
      <c r="O45" s="5">
        <f>IF(  O76&gt;$E$2, SUMIFS(IF($G$2="CPR",'Grid Data'!$AH$4:$AH$2342,'Grid Data'!$AI$4:$AI$2342),'Grid Data'!$Z$4:$Z$2342,$D45,'Grid Data'!$AA$4:$AA$2342,O$4,'Grid Data'!$Y$4:$Y$2342,$D$2)*100-O13, "--")</f>
        <v>0</v>
      </c>
      <c r="P45" s="5" t="str">
        <f>IF(  P76&gt;$E$2, SUMIFS(IF($G$2="CPR",'Grid Data'!$AH$4:$AH$2342,'Grid Data'!$AI$4:$AI$2342),'Grid Data'!$Z$4:$Z$2342,$D45,'Grid Data'!$AA$4:$AA$2342,P$4,'Grid Data'!$Y$4:$Y$2342,$D$2)*100-P13, "--")</f>
        <v>--</v>
      </c>
      <c r="Q45" s="5" t="str">
        <f>IF(  Q76&gt;$E$2, SUMIFS(IF($G$2="CPR",'Grid Data'!$AH$4:$AH$2342,'Grid Data'!$AI$4:$AI$2342),'Grid Data'!$Z$4:$Z$2342,$D45,'Grid Data'!$AA$4:$AA$2342,Q$4,'Grid Data'!$Y$4:$Y$2342,$D$2)*100-Q13, "--")</f>
        <v>--</v>
      </c>
      <c r="R45" s="5" t="str">
        <f>IF(  R76&gt;$E$2, SUMIFS(IF($G$2="CPR",'Grid Data'!$AH$4:$AH$2342,'Grid Data'!$AI$4:$AI$2342),'Grid Data'!$Z$4:$Z$2342,$D45,'Grid Data'!$AA$4:$AA$2342,R$4,'Grid Data'!$Y$4:$Y$2342,$D$2)*100-R13, "--")</f>
        <v>--</v>
      </c>
      <c r="S45" s="5">
        <f>IF(  S76&gt;$E$2, SUMIFS(IF($G$2="CPR",'Grid Data'!$AH$4:$AH$2342,'Grid Data'!$AI$4:$AI$2342),'Grid Data'!$Z$4:$Z$2342,$D45,'Grid Data'!$AA$4:$AA$2342,S$4,'Grid Data'!$Y$4:$Y$2342,$D$2)*100-S13, "--")</f>
        <v>2.4830000000000005</v>
      </c>
      <c r="T45" s="5">
        <f>IF(  T76&gt;$E$2, SUMIFS(IF($G$2="CPR",'Grid Data'!$AH$4:$AH$2342,'Grid Data'!$AI$4:$AI$2342),'Grid Data'!$Z$4:$Z$2342,$D45,'Grid Data'!$AA$4:$AA$2342,T$4,'Grid Data'!$Y$4:$Y$2342,$D$2)*100-T13, "--")</f>
        <v>0.46120000000000072</v>
      </c>
      <c r="U45" s="5">
        <f>IF(  U76&gt;$E$2, SUMIFS(IF($G$2="CPR",'Grid Data'!$AH$4:$AH$2342,'Grid Data'!$AI$4:$AI$2342),'Grid Data'!$Z$4:$Z$2342,$D45,'Grid Data'!$AA$4:$AA$2342,U$4,'Grid Data'!$Y$4:$Y$2342,$D$2)*100-U13, "--")</f>
        <v>-1.3115999999999994</v>
      </c>
      <c r="V45" s="5">
        <f>IF(  V76&gt;$E$2, SUMIFS(IF($G$2="CPR",'Grid Data'!$AH$4:$AH$2342,'Grid Data'!$AI$4:$AI$2342),'Grid Data'!$Z$4:$Z$2342,$D45,'Grid Data'!$AA$4:$AA$2342,V$4,'Grid Data'!$Y$4:$Y$2342,$D$2)*100-V13, "--")</f>
        <v>-0.32310000000000016</v>
      </c>
      <c r="W45" s="5">
        <f>IF(  W76&gt;$E$2, SUMIFS(IF($G$2="CPR",'Grid Data'!$AH$4:$AH$2342,'Grid Data'!$AI$4:$AI$2342),'Grid Data'!$Z$4:$Z$2342,$D45,'Grid Data'!$AA$4:$AA$2342,W$4,'Grid Data'!$Y$4:$Y$2342,$D$2)*100-W13, "--")</f>
        <v>-0.83509999999999884</v>
      </c>
      <c r="X45" s="5">
        <f>IF(  X76&gt;$E$2, SUMIFS(IF($G$2="CPR",'Grid Data'!$AH$4:$AH$2342,'Grid Data'!$AI$4:$AI$2342),'Grid Data'!$Z$4:$Z$2342,$D45,'Grid Data'!$AA$4:$AA$2342,X$4,'Grid Data'!$Y$4:$Y$2342,$D$2)*100-X13, "--")</f>
        <v>0.37780000000000058</v>
      </c>
      <c r="Y45" s="5">
        <f>IF(  Y76&gt;$E$2, SUMIFS(IF($G$2="CPR",'Grid Data'!$AH$4:$AH$2342,'Grid Data'!$AI$4:$AI$2342),'Grid Data'!$Z$4:$Z$2342,$D45,'Grid Data'!$AA$4:$AA$2342,Y$4,'Grid Data'!$Y$4:$Y$2342,$D$2)*100-Y13, "--")</f>
        <v>2.1006999999999998</v>
      </c>
      <c r="Z45" s="5">
        <f>IF(  Z76&gt;$E$2, SUMIFS(IF($G$2="CPR",'Grid Data'!$AH$4:$AH$2342,'Grid Data'!$AI$4:$AI$2342),'Grid Data'!$Z$4:$Z$2342,$D45,'Grid Data'!$AA$4:$AA$2342,Z$4,'Grid Data'!$Y$4:$Y$2342,$D$2)*100-Z13, "--")</f>
        <v>0.41479999999999961</v>
      </c>
      <c r="AA45" s="5">
        <f>IF(  AA76&gt;$E$2, SUMIFS(IF($G$2="CPR",'Grid Data'!$AH$4:$AH$2342,'Grid Data'!$AI$4:$AI$2342),'Grid Data'!$Z$4:$Z$2342,$D45,'Grid Data'!$AA$4:$AA$2342,AA$4,'Grid Data'!$Y$4:$Y$2342,$D$2)*100-AA13, "--")</f>
        <v>0.50710000000000033</v>
      </c>
      <c r="AB45" s="5">
        <f>IF(  AB76&gt;$E$2, SUMIFS(IF($G$2="CPR",'Grid Data'!$AH$4:$AH$2342,'Grid Data'!$AI$4:$AI$2342),'Grid Data'!$Z$4:$Z$2342,$D45,'Grid Data'!$AA$4:$AA$2342,AB$4,'Grid Data'!$Y$4:$Y$2342,$D$2)*100-AB13, "--")</f>
        <v>-0.57060000000000066</v>
      </c>
      <c r="AC45" s="5">
        <f>IF(  AC76&gt;$E$2, SUMIFS(IF($G$2="CPR",'Grid Data'!$AH$4:$AH$2342,'Grid Data'!$AI$4:$AI$2342),'Grid Data'!$Z$4:$Z$2342,$D45,'Grid Data'!$AA$4:$AA$2342,AC$4,'Grid Data'!$Y$4:$Y$2342,$D$2)*100-AC13, "--")</f>
        <v>0.40770000000000017</v>
      </c>
      <c r="AD45" s="5">
        <f>IF(  AD76&gt;$E$2, SUMIFS(IF($G$2="CPR",'Grid Data'!$AH$4:$AH$2342,'Grid Data'!$AI$4:$AI$2342),'Grid Data'!$Z$4:$Z$2342,$D45,'Grid Data'!$AA$4:$AA$2342,AD$4,'Grid Data'!$Y$4:$Y$2342,$D$2)*100-AD13, "--")</f>
        <v>-0.23470000000000013</v>
      </c>
      <c r="AE45" s="5">
        <f>IF(  AE76&gt;$E$2, SUMIFS(IF($G$2="CPR",'Grid Data'!$AH$4:$AH$2342,'Grid Data'!$AI$4:$AI$2342),'Grid Data'!$Z$4:$Z$2342,$D45,'Grid Data'!$AA$4:$AA$2342,AE$4,'Grid Data'!$Y$4:$Y$2342,$D$2)*100-AE13, "--")</f>
        <v>14.360200000000001</v>
      </c>
      <c r="AF45" s="5" t="str">
        <f>IF(  AF76&gt;$E$2, SUMIFS(IF($G$2="CPR",'Grid Data'!$AH$4:$AH$2342,'Grid Data'!$AI$4:$AI$2342),'Grid Data'!$Z$4:$Z$2342,$D45,'Grid Data'!$AA$4:$AA$2342,AF$4,'Grid Data'!$Y$4:$Y$2342,$D$2)*100-AF13, "--")</f>
        <v>--</v>
      </c>
      <c r="AG45" s="5" t="str">
        <f>IF(  AG76&gt;$E$2, SUMIFS(IF($G$2="CPR",'Grid Data'!$AH$4:$AH$2342,'Grid Data'!$AI$4:$AI$2342),'Grid Data'!$Z$4:$Z$2342,$D45,'Grid Data'!$AA$4:$AA$2342,AG$4,'Grid Data'!$Y$4:$Y$2342,$D$2)*100-AG13, "--")</f>
        <v>--</v>
      </c>
      <c r="AH45" s="5" t="str">
        <f>IF(  AH76&gt;$E$2, SUMIFS(IF($G$2="CPR",'Grid Data'!$AH$4:$AH$2342,'Grid Data'!$AI$4:$AI$2342),'Grid Data'!$Z$4:$Z$2342,$D45,'Grid Data'!$AA$4:$AA$2342,AH$4,'Grid Data'!$Y$4:$Y$2342,$D$2)*100-AH13, "--")</f>
        <v>--</v>
      </c>
    </row>
    <row r="46" spans="1:34" x14ac:dyDescent="0.35">
      <c r="D46">
        <v>4250</v>
      </c>
      <c r="E46" s="5">
        <f>IF(  E77&gt;$E$2, SUMIFS(IF($G$2="CPR",'Grid Data'!$AH$4:$AH$2342,'Grid Data'!$AI$4:$AI$2342),'Grid Data'!$Z$4:$Z$2342,$D46,'Grid Data'!$AA$4:$AA$2342,E$4,'Grid Data'!$Y$4:$Y$2342,$D$2)*100-E14, "--")</f>
        <v>0.48510000000000003</v>
      </c>
      <c r="F46" s="5">
        <f>IF(  F77&gt;$E$2, SUMIFS(IF($G$2="CPR",'Grid Data'!$AH$4:$AH$2342,'Grid Data'!$AI$4:$AI$2342),'Grid Data'!$Z$4:$Z$2342,$D46,'Grid Data'!$AA$4:$AA$2342,F$4,'Grid Data'!$Y$4:$Y$2342,$D$2)*100-F14, "--")</f>
        <v>0</v>
      </c>
      <c r="G46" s="5">
        <f>IF(  G77&gt;$E$2, SUMIFS(IF($G$2="CPR",'Grid Data'!$AH$4:$AH$2342,'Grid Data'!$AI$4:$AI$2342),'Grid Data'!$Z$4:$Z$2342,$D46,'Grid Data'!$AA$4:$AA$2342,G$4,'Grid Data'!$Y$4:$Y$2342,$D$2)*100-G14, "--")</f>
        <v>0</v>
      </c>
      <c r="H46" s="5">
        <f>IF(  H77&gt;$E$2, SUMIFS(IF($G$2="CPR",'Grid Data'!$AH$4:$AH$2342,'Grid Data'!$AI$4:$AI$2342),'Grid Data'!$Z$4:$Z$2342,$D46,'Grid Data'!$AA$4:$AA$2342,H$4,'Grid Data'!$Y$4:$Y$2342,$D$2)*100-H14, "--")</f>
        <v>0</v>
      </c>
      <c r="I46" s="5">
        <f>IF(  I77&gt;$E$2, SUMIFS(IF($G$2="CPR",'Grid Data'!$AH$4:$AH$2342,'Grid Data'!$AI$4:$AI$2342),'Grid Data'!$Z$4:$Z$2342,$D46,'Grid Data'!$AA$4:$AA$2342,I$4,'Grid Data'!$Y$4:$Y$2342,$D$2)*100-I14, "--")</f>
        <v>0</v>
      </c>
      <c r="J46" s="5">
        <f>IF(  J77&gt;$E$2, SUMIFS(IF($G$2="CPR",'Grid Data'!$AH$4:$AH$2342,'Grid Data'!$AI$4:$AI$2342),'Grid Data'!$Z$4:$Z$2342,$D46,'Grid Data'!$AA$4:$AA$2342,J$4,'Grid Data'!$Y$4:$Y$2342,$D$2)*100-J14, "--")</f>
        <v>0</v>
      </c>
      <c r="K46" s="5">
        <f>IF(  K77&gt;$E$2, SUMIFS(IF($G$2="CPR",'Grid Data'!$AH$4:$AH$2342,'Grid Data'!$AI$4:$AI$2342),'Grid Data'!$Z$4:$Z$2342,$D46,'Grid Data'!$AA$4:$AA$2342,K$4,'Grid Data'!$Y$4:$Y$2342,$D$2)*100-K14, "--")</f>
        <v>0</v>
      </c>
      <c r="L46" s="5">
        <f>IF(  L77&gt;$E$2, SUMIFS(IF($G$2="CPR",'Grid Data'!$AH$4:$AH$2342,'Grid Data'!$AI$4:$AI$2342),'Grid Data'!$Z$4:$Z$2342,$D46,'Grid Data'!$AA$4:$AA$2342,L$4,'Grid Data'!$Y$4:$Y$2342,$D$2)*100-L14, "--")</f>
        <v>0</v>
      </c>
      <c r="M46" s="5">
        <f>IF(  M77&gt;$E$2, SUMIFS(IF($G$2="CPR",'Grid Data'!$AH$4:$AH$2342,'Grid Data'!$AI$4:$AI$2342),'Grid Data'!$Z$4:$Z$2342,$D46,'Grid Data'!$AA$4:$AA$2342,M$4,'Grid Data'!$Y$4:$Y$2342,$D$2)*100-M14, "--")</f>
        <v>-0.99439999999999995</v>
      </c>
      <c r="N46" s="5">
        <f>IF(  N77&gt;$E$2, SUMIFS(IF($G$2="CPR",'Grid Data'!$AH$4:$AH$2342,'Grid Data'!$AI$4:$AI$2342),'Grid Data'!$Z$4:$Z$2342,$D46,'Grid Data'!$AA$4:$AA$2342,N$4,'Grid Data'!$Y$4:$Y$2342,$D$2)*100-N14, "--")</f>
        <v>-1.1994</v>
      </c>
      <c r="O46" s="5">
        <f>IF(  O77&gt;$E$2, SUMIFS(IF($G$2="CPR",'Grid Data'!$AH$4:$AH$2342,'Grid Data'!$AI$4:$AI$2342),'Grid Data'!$Z$4:$Z$2342,$D46,'Grid Data'!$AA$4:$AA$2342,O$4,'Grid Data'!$Y$4:$Y$2342,$D$2)*100-O14, "--")</f>
        <v>0</v>
      </c>
      <c r="P46" s="5">
        <f>IF(  P77&gt;$E$2, SUMIFS(IF($G$2="CPR",'Grid Data'!$AH$4:$AH$2342,'Grid Data'!$AI$4:$AI$2342),'Grid Data'!$Z$4:$Z$2342,$D46,'Grid Data'!$AA$4:$AA$2342,P$4,'Grid Data'!$Y$4:$Y$2342,$D$2)*100-P14, "--")</f>
        <v>-0.29919999999999991</v>
      </c>
      <c r="Q46" s="5">
        <f>IF(  Q77&gt;$E$2, SUMIFS(IF($G$2="CPR",'Grid Data'!$AH$4:$AH$2342,'Grid Data'!$AI$4:$AI$2342),'Grid Data'!$Z$4:$Z$2342,$D46,'Grid Data'!$AA$4:$AA$2342,Q$4,'Grid Data'!$Y$4:$Y$2342,$D$2)*100-Q14, "--")</f>
        <v>-0.65969999999999995</v>
      </c>
      <c r="R46" s="5">
        <f>IF(  R77&gt;$E$2, SUMIFS(IF($G$2="CPR",'Grid Data'!$AH$4:$AH$2342,'Grid Data'!$AI$4:$AI$2342),'Grid Data'!$Z$4:$Z$2342,$D46,'Grid Data'!$AA$4:$AA$2342,R$4,'Grid Data'!$Y$4:$Y$2342,$D$2)*100-R14, "--")</f>
        <v>-1.9218999999999999</v>
      </c>
      <c r="S46" s="5">
        <f>IF(  S77&gt;$E$2, SUMIFS(IF($G$2="CPR",'Grid Data'!$AH$4:$AH$2342,'Grid Data'!$AI$4:$AI$2342),'Grid Data'!$Z$4:$Z$2342,$D46,'Grid Data'!$AA$4:$AA$2342,S$4,'Grid Data'!$Y$4:$Y$2342,$D$2)*100-S14, "--")</f>
        <v>-0.49699999999999989</v>
      </c>
      <c r="T46" s="5">
        <f>IF(  T77&gt;$E$2, SUMIFS(IF($G$2="CPR",'Grid Data'!$AH$4:$AH$2342,'Grid Data'!$AI$4:$AI$2342),'Grid Data'!$Z$4:$Z$2342,$D46,'Grid Data'!$AA$4:$AA$2342,T$4,'Grid Data'!$Y$4:$Y$2342,$D$2)*100-T14, "--")</f>
        <v>0.51510000000000034</v>
      </c>
      <c r="U46" s="5">
        <f>IF(  U77&gt;$E$2, SUMIFS(IF($G$2="CPR",'Grid Data'!$AH$4:$AH$2342,'Grid Data'!$AI$4:$AI$2342),'Grid Data'!$Z$4:$Z$2342,$D46,'Grid Data'!$AA$4:$AA$2342,U$4,'Grid Data'!$Y$4:$Y$2342,$D$2)*100-U14, "--")</f>
        <v>0.76029999999999998</v>
      </c>
      <c r="V46" s="5">
        <f>IF(  V77&gt;$E$2, SUMIFS(IF($G$2="CPR",'Grid Data'!$AH$4:$AH$2342,'Grid Data'!$AI$4:$AI$2342),'Grid Data'!$Z$4:$Z$2342,$D46,'Grid Data'!$AA$4:$AA$2342,V$4,'Grid Data'!$Y$4:$Y$2342,$D$2)*100-V14, "--")</f>
        <v>-0.52889999999999926</v>
      </c>
      <c r="W46" s="5">
        <f>IF(  W77&gt;$E$2, SUMIFS(IF($G$2="CPR",'Grid Data'!$AH$4:$AH$2342,'Grid Data'!$AI$4:$AI$2342),'Grid Data'!$Z$4:$Z$2342,$D46,'Grid Data'!$AA$4:$AA$2342,W$4,'Grid Data'!$Y$4:$Y$2342,$D$2)*100-W14, "--")</f>
        <v>1.2737000000000007</v>
      </c>
      <c r="X46" s="5">
        <f>IF(  X77&gt;$E$2, SUMIFS(IF($G$2="CPR",'Grid Data'!$AH$4:$AH$2342,'Grid Data'!$AI$4:$AI$2342),'Grid Data'!$Z$4:$Z$2342,$D46,'Grid Data'!$AA$4:$AA$2342,X$4,'Grid Data'!$Y$4:$Y$2342,$D$2)*100-X14, "--")</f>
        <v>-7.1400000000001462E-2</v>
      </c>
      <c r="Y46" s="5">
        <f>IF(  Y77&gt;$E$2, SUMIFS(IF($G$2="CPR",'Grid Data'!$AH$4:$AH$2342,'Grid Data'!$AI$4:$AI$2342),'Grid Data'!$Z$4:$Z$2342,$D46,'Grid Data'!$AA$4:$AA$2342,Y$4,'Grid Data'!$Y$4:$Y$2342,$D$2)*100-Y14, "--")</f>
        <v>0.98870000000000058</v>
      </c>
      <c r="Z46" s="5">
        <f>IF(  Z77&gt;$E$2, SUMIFS(IF($G$2="CPR",'Grid Data'!$AH$4:$AH$2342,'Grid Data'!$AI$4:$AI$2342),'Grid Data'!$Z$4:$Z$2342,$D46,'Grid Data'!$AA$4:$AA$2342,Z$4,'Grid Data'!$Y$4:$Y$2342,$D$2)*100-Z14, "--")</f>
        <v>-1.0861999999999998</v>
      </c>
      <c r="AA46" s="5">
        <f>IF(  AA77&gt;$E$2, SUMIFS(IF($G$2="CPR",'Grid Data'!$AH$4:$AH$2342,'Grid Data'!$AI$4:$AI$2342),'Grid Data'!$Z$4:$Z$2342,$D46,'Grid Data'!$AA$4:$AA$2342,AA$4,'Grid Data'!$Y$4:$Y$2342,$D$2)*100-AA14, "--")</f>
        <v>0.25019999999999953</v>
      </c>
      <c r="AB46" s="5">
        <f>IF(  AB77&gt;$E$2, SUMIFS(IF($G$2="CPR",'Grid Data'!$AH$4:$AH$2342,'Grid Data'!$AI$4:$AI$2342),'Grid Data'!$Z$4:$Z$2342,$D46,'Grid Data'!$AA$4:$AA$2342,AB$4,'Grid Data'!$Y$4:$Y$2342,$D$2)*100-AB14, "--")</f>
        <v>0.43960000000000043</v>
      </c>
      <c r="AC46" s="5">
        <f>IF(  AC77&gt;$E$2, SUMIFS(IF($G$2="CPR",'Grid Data'!$AH$4:$AH$2342,'Grid Data'!$AI$4:$AI$2342),'Grid Data'!$Z$4:$Z$2342,$D46,'Grid Data'!$AA$4:$AA$2342,AC$4,'Grid Data'!$Y$4:$Y$2342,$D$2)*100-AC14, "--")</f>
        <v>0.87149999999999928</v>
      </c>
      <c r="AD46" s="5">
        <f>IF(  AD77&gt;$E$2, SUMIFS(IF($G$2="CPR",'Grid Data'!$AH$4:$AH$2342,'Grid Data'!$AI$4:$AI$2342),'Grid Data'!$Z$4:$Z$2342,$D46,'Grid Data'!$AA$4:$AA$2342,AD$4,'Grid Data'!$Y$4:$Y$2342,$D$2)*100-AD14, "--")</f>
        <v>0.55109999999999992</v>
      </c>
      <c r="AE46" s="5">
        <f>IF(  AE77&gt;$E$2, SUMIFS(IF($G$2="CPR",'Grid Data'!$AH$4:$AH$2342,'Grid Data'!$AI$4:$AI$2342),'Grid Data'!$Z$4:$Z$2342,$D46,'Grid Data'!$AA$4:$AA$2342,AE$4,'Grid Data'!$Y$4:$Y$2342,$D$2)*100-AE14, "--")</f>
        <v>5.7930999999999999</v>
      </c>
      <c r="AF46" s="5" t="str">
        <f>IF(  AF77&gt;$E$2, SUMIFS(IF($G$2="CPR",'Grid Data'!$AH$4:$AH$2342,'Grid Data'!$AI$4:$AI$2342),'Grid Data'!$Z$4:$Z$2342,$D46,'Grid Data'!$AA$4:$AA$2342,AF$4,'Grid Data'!$Y$4:$Y$2342,$D$2)*100-AF14, "--")</f>
        <v>--</v>
      </c>
      <c r="AG46" s="5" t="str">
        <f>IF(  AG77&gt;$E$2, SUMIFS(IF($G$2="CPR",'Grid Data'!$AH$4:$AH$2342,'Grid Data'!$AI$4:$AI$2342),'Grid Data'!$Z$4:$Z$2342,$D46,'Grid Data'!$AA$4:$AA$2342,AG$4,'Grid Data'!$Y$4:$Y$2342,$D$2)*100-AG14, "--")</f>
        <v>--</v>
      </c>
      <c r="AH46" s="5" t="str">
        <f>IF(  AH77&gt;$E$2, SUMIFS(IF($G$2="CPR",'Grid Data'!$AH$4:$AH$2342,'Grid Data'!$AI$4:$AI$2342),'Grid Data'!$Z$4:$Z$2342,$D46,'Grid Data'!$AA$4:$AA$2342,AH$4,'Grid Data'!$Y$4:$Y$2342,$D$2)*100-AH14, "--")</f>
        <v>--</v>
      </c>
    </row>
    <row r="47" spans="1:34" x14ac:dyDescent="0.35">
      <c r="D47">
        <v>4500</v>
      </c>
      <c r="E47" s="5">
        <f>IF(  E78&gt;$E$2, SUMIFS(IF($G$2="CPR",'Grid Data'!$AH$4:$AH$2342,'Grid Data'!$AI$4:$AI$2342),'Grid Data'!$Z$4:$Z$2342,$D47,'Grid Data'!$AA$4:$AA$2342,E$4,'Grid Data'!$Y$4:$Y$2342,$D$2)*100-E15, "--")</f>
        <v>0</v>
      </c>
      <c r="F47" s="5">
        <f>IF(  F78&gt;$E$2, SUMIFS(IF($G$2="CPR",'Grid Data'!$AH$4:$AH$2342,'Grid Data'!$AI$4:$AI$2342),'Grid Data'!$Z$4:$Z$2342,$D47,'Grid Data'!$AA$4:$AA$2342,F$4,'Grid Data'!$Y$4:$Y$2342,$D$2)*100-F15, "--")</f>
        <v>-1.6929000000000001</v>
      </c>
      <c r="G47" s="5">
        <f>IF(  G78&gt;$E$2, SUMIFS(IF($G$2="CPR",'Grid Data'!$AH$4:$AH$2342,'Grid Data'!$AI$4:$AI$2342),'Grid Data'!$Z$4:$Z$2342,$D47,'Grid Data'!$AA$4:$AA$2342,G$4,'Grid Data'!$Y$4:$Y$2342,$D$2)*100-G15, "--")</f>
        <v>1.9001000000000001</v>
      </c>
      <c r="H47" s="5">
        <f>IF(  H78&gt;$E$2, SUMIFS(IF($G$2="CPR",'Grid Data'!$AH$4:$AH$2342,'Grid Data'!$AI$4:$AI$2342),'Grid Data'!$Z$4:$Z$2342,$D47,'Grid Data'!$AA$4:$AA$2342,H$4,'Grid Data'!$Y$4:$Y$2342,$D$2)*100-H15, "--")</f>
        <v>0</v>
      </c>
      <c r="I47" s="5">
        <f>IF(  I78&gt;$E$2, SUMIFS(IF($G$2="CPR",'Grid Data'!$AH$4:$AH$2342,'Grid Data'!$AI$4:$AI$2342),'Grid Data'!$Z$4:$Z$2342,$D47,'Grid Data'!$AA$4:$AA$2342,I$4,'Grid Data'!$Y$4:$Y$2342,$D$2)*100-I15, "--")</f>
        <v>0</v>
      </c>
      <c r="J47" s="5">
        <f>IF(  J78&gt;$E$2, SUMIFS(IF($G$2="CPR",'Grid Data'!$AH$4:$AH$2342,'Grid Data'!$AI$4:$AI$2342),'Grid Data'!$Z$4:$Z$2342,$D47,'Grid Data'!$AA$4:$AA$2342,J$4,'Grid Data'!$Y$4:$Y$2342,$D$2)*100-J15, "--")</f>
        <v>0</v>
      </c>
      <c r="K47" s="5">
        <f>IF(  K78&gt;$E$2, SUMIFS(IF($G$2="CPR",'Grid Data'!$AH$4:$AH$2342,'Grid Data'!$AI$4:$AI$2342),'Grid Data'!$Z$4:$Z$2342,$D47,'Grid Data'!$AA$4:$AA$2342,K$4,'Grid Data'!$Y$4:$Y$2342,$D$2)*100-K15, "--")</f>
        <v>-2.0701999999999998</v>
      </c>
      <c r="L47" s="5">
        <f>IF(  L78&gt;$E$2, SUMIFS(IF($G$2="CPR",'Grid Data'!$AH$4:$AH$2342,'Grid Data'!$AI$4:$AI$2342),'Grid Data'!$Z$4:$Z$2342,$D47,'Grid Data'!$AA$4:$AA$2342,L$4,'Grid Data'!$Y$4:$Y$2342,$D$2)*100-L15, "--")</f>
        <v>-1.2989999999999999</v>
      </c>
      <c r="M47" s="5">
        <f>IF(  M78&gt;$E$2, SUMIFS(IF($G$2="CPR",'Grid Data'!$AH$4:$AH$2342,'Grid Data'!$AI$4:$AI$2342),'Grid Data'!$Z$4:$Z$2342,$D47,'Grid Data'!$AA$4:$AA$2342,M$4,'Grid Data'!$Y$4:$Y$2342,$D$2)*100-M15, "--")</f>
        <v>1.0271999999999999</v>
      </c>
      <c r="N47" s="5">
        <f>IF(  N78&gt;$E$2, SUMIFS(IF($G$2="CPR",'Grid Data'!$AH$4:$AH$2342,'Grid Data'!$AI$4:$AI$2342),'Grid Data'!$Z$4:$Z$2342,$D47,'Grid Data'!$AA$4:$AA$2342,N$4,'Grid Data'!$Y$4:$Y$2342,$D$2)*100-N15, "--")</f>
        <v>-0.30630000000000002</v>
      </c>
      <c r="O47" s="5">
        <f>IF(  O78&gt;$E$2, SUMIFS(IF($G$2="CPR",'Grid Data'!$AH$4:$AH$2342,'Grid Data'!$AI$4:$AI$2342),'Grid Data'!$Z$4:$Z$2342,$D47,'Grid Data'!$AA$4:$AA$2342,O$4,'Grid Data'!$Y$4:$Y$2342,$D$2)*100-O15, "--")</f>
        <v>-2.3443000000000001</v>
      </c>
      <c r="P47" s="5">
        <f>IF(  P78&gt;$E$2, SUMIFS(IF($G$2="CPR",'Grid Data'!$AH$4:$AH$2342,'Grid Data'!$AI$4:$AI$2342),'Grid Data'!$Z$4:$Z$2342,$D47,'Grid Data'!$AA$4:$AA$2342,P$4,'Grid Data'!$Y$4:$Y$2342,$D$2)*100-P15, "--")</f>
        <v>0.30889999999999995</v>
      </c>
      <c r="Q47" s="5">
        <f>IF(  Q78&gt;$E$2, SUMIFS(IF($G$2="CPR",'Grid Data'!$AH$4:$AH$2342,'Grid Data'!$AI$4:$AI$2342),'Grid Data'!$Z$4:$Z$2342,$D47,'Grid Data'!$AA$4:$AA$2342,Q$4,'Grid Data'!$Y$4:$Y$2342,$D$2)*100-Q15, "--")</f>
        <v>1.1695</v>
      </c>
      <c r="R47" s="5">
        <f>IF(  R78&gt;$E$2, SUMIFS(IF($G$2="CPR",'Grid Data'!$AH$4:$AH$2342,'Grid Data'!$AI$4:$AI$2342),'Grid Data'!$Z$4:$Z$2342,$D47,'Grid Data'!$AA$4:$AA$2342,R$4,'Grid Data'!$Y$4:$Y$2342,$D$2)*100-R15, "--")</f>
        <v>-0.33359999999999879</v>
      </c>
      <c r="S47" s="5">
        <f>IF(  S78&gt;$E$2, SUMIFS(IF($G$2="CPR",'Grid Data'!$AH$4:$AH$2342,'Grid Data'!$AI$4:$AI$2342),'Grid Data'!$Z$4:$Z$2342,$D47,'Grid Data'!$AA$4:$AA$2342,S$4,'Grid Data'!$Y$4:$Y$2342,$D$2)*100-S15, "--")</f>
        <v>-0.46789999999999932</v>
      </c>
      <c r="T47" s="5">
        <f>IF(  T78&gt;$E$2, SUMIFS(IF($G$2="CPR",'Grid Data'!$AH$4:$AH$2342,'Grid Data'!$AI$4:$AI$2342),'Grid Data'!$Z$4:$Z$2342,$D47,'Grid Data'!$AA$4:$AA$2342,T$4,'Grid Data'!$Y$4:$Y$2342,$D$2)*100-T15, "--")</f>
        <v>-0.96150000000000091</v>
      </c>
      <c r="U47" s="5">
        <f>IF(  U78&gt;$E$2, SUMIFS(IF($G$2="CPR",'Grid Data'!$AH$4:$AH$2342,'Grid Data'!$AI$4:$AI$2342),'Grid Data'!$Z$4:$Z$2342,$D47,'Grid Data'!$AA$4:$AA$2342,U$4,'Grid Data'!$Y$4:$Y$2342,$D$2)*100-U15, "--")</f>
        <v>1.1593</v>
      </c>
      <c r="V47" s="5">
        <f>IF(  V78&gt;$E$2, SUMIFS(IF($G$2="CPR",'Grid Data'!$AH$4:$AH$2342,'Grid Data'!$AI$4:$AI$2342),'Grid Data'!$Z$4:$Z$2342,$D47,'Grid Data'!$AA$4:$AA$2342,V$4,'Grid Data'!$Y$4:$Y$2342,$D$2)*100-V15, "--")</f>
        <v>1.0525000000000011</v>
      </c>
      <c r="W47" s="5">
        <f>IF(  W78&gt;$E$2, SUMIFS(IF($G$2="CPR",'Grid Data'!$AH$4:$AH$2342,'Grid Data'!$AI$4:$AI$2342),'Grid Data'!$Z$4:$Z$2342,$D47,'Grid Data'!$AA$4:$AA$2342,W$4,'Grid Data'!$Y$4:$Y$2342,$D$2)*100-W15, "--")</f>
        <v>4.3932000000000011</v>
      </c>
      <c r="X47" s="5">
        <f>IF(  X78&gt;$E$2, SUMIFS(IF($G$2="CPR",'Grid Data'!$AH$4:$AH$2342,'Grid Data'!$AI$4:$AI$2342),'Grid Data'!$Z$4:$Z$2342,$D47,'Grid Data'!$AA$4:$AA$2342,X$4,'Grid Data'!$Y$4:$Y$2342,$D$2)*100-X15, "--")</f>
        <v>-0.40469999999999917</v>
      </c>
      <c r="Y47" s="5">
        <f>IF(  Y78&gt;$E$2, SUMIFS(IF($G$2="CPR",'Grid Data'!$AH$4:$AH$2342,'Grid Data'!$AI$4:$AI$2342),'Grid Data'!$Z$4:$Z$2342,$D47,'Grid Data'!$AA$4:$AA$2342,Y$4,'Grid Data'!$Y$4:$Y$2342,$D$2)*100-Y15, "--")</f>
        <v>0.56640000000000068</v>
      </c>
      <c r="Z47" s="5">
        <f>IF(  Z78&gt;$E$2, SUMIFS(IF($G$2="CPR",'Grid Data'!$AH$4:$AH$2342,'Grid Data'!$AI$4:$AI$2342),'Grid Data'!$Z$4:$Z$2342,$D47,'Grid Data'!$AA$4:$AA$2342,Z$4,'Grid Data'!$Y$4:$Y$2342,$D$2)*100-Z15, "--")</f>
        <v>-0.31340000000000057</v>
      </c>
      <c r="AA47" s="5">
        <f>IF(  AA78&gt;$E$2, SUMIFS(IF($G$2="CPR",'Grid Data'!$AH$4:$AH$2342,'Grid Data'!$AI$4:$AI$2342),'Grid Data'!$Z$4:$Z$2342,$D47,'Grid Data'!$AA$4:$AA$2342,AA$4,'Grid Data'!$Y$4:$Y$2342,$D$2)*100-AA15, "--")</f>
        <v>-0.67910000000000004</v>
      </c>
      <c r="AB47" s="5">
        <f>IF(  AB78&gt;$E$2, SUMIFS(IF($G$2="CPR",'Grid Data'!$AH$4:$AH$2342,'Grid Data'!$AI$4:$AI$2342),'Grid Data'!$Z$4:$Z$2342,$D47,'Grid Data'!$AA$4:$AA$2342,AB$4,'Grid Data'!$Y$4:$Y$2342,$D$2)*100-AB15, "--")</f>
        <v>0.97379999999999978</v>
      </c>
      <c r="AC47" s="5">
        <f>IF(  AC78&gt;$E$2, SUMIFS(IF($G$2="CPR",'Grid Data'!$AH$4:$AH$2342,'Grid Data'!$AI$4:$AI$2342),'Grid Data'!$Z$4:$Z$2342,$D47,'Grid Data'!$AA$4:$AA$2342,AC$4,'Grid Data'!$Y$4:$Y$2342,$D$2)*100-AC15, "--")</f>
        <v>0.24599999999999955</v>
      </c>
      <c r="AD47" s="5">
        <f>IF(  AD78&gt;$E$2, SUMIFS(IF($G$2="CPR",'Grid Data'!$AH$4:$AH$2342,'Grid Data'!$AI$4:$AI$2342),'Grid Data'!$Z$4:$Z$2342,$D47,'Grid Data'!$AA$4:$AA$2342,AD$4,'Grid Data'!$Y$4:$Y$2342,$D$2)*100-AD15, "--")</f>
        <v>0.38060000000000027</v>
      </c>
      <c r="AE47" s="5">
        <f>IF(  AE78&gt;$E$2, SUMIFS(IF($G$2="CPR",'Grid Data'!$AH$4:$AH$2342,'Grid Data'!$AI$4:$AI$2342),'Grid Data'!$Z$4:$Z$2342,$D47,'Grid Data'!$AA$4:$AA$2342,AE$4,'Grid Data'!$Y$4:$Y$2342,$D$2)*100-AE15, "--")</f>
        <v>2.0430000000000001</v>
      </c>
      <c r="AF47" s="5" t="str">
        <f>IF(  AF78&gt;$E$2, SUMIFS(IF($G$2="CPR",'Grid Data'!$AH$4:$AH$2342,'Grid Data'!$AI$4:$AI$2342),'Grid Data'!$Z$4:$Z$2342,$D47,'Grid Data'!$AA$4:$AA$2342,AF$4,'Grid Data'!$Y$4:$Y$2342,$D$2)*100-AF15, "--")</f>
        <v>--</v>
      </c>
      <c r="AG47" s="5">
        <f>IF(  AG78&gt;$E$2, SUMIFS(IF($G$2="CPR",'Grid Data'!$AH$4:$AH$2342,'Grid Data'!$AI$4:$AI$2342),'Grid Data'!$Z$4:$Z$2342,$D47,'Grid Data'!$AA$4:$AA$2342,AG$4,'Grid Data'!$Y$4:$Y$2342,$D$2)*100-AG15, "--")</f>
        <v>-12.777200000000001</v>
      </c>
      <c r="AH47" s="5" t="str">
        <f>IF(  AH78&gt;$E$2, SUMIFS(IF($G$2="CPR",'Grid Data'!$AH$4:$AH$2342,'Grid Data'!$AI$4:$AI$2342),'Grid Data'!$Z$4:$Z$2342,$D47,'Grid Data'!$AA$4:$AA$2342,AH$4,'Grid Data'!$Y$4:$Y$2342,$D$2)*100-AH15, "--")</f>
        <v>--</v>
      </c>
    </row>
    <row r="48" spans="1:34" x14ac:dyDescent="0.35">
      <c r="D48">
        <v>4750</v>
      </c>
      <c r="E48" s="5">
        <f>IF(  E79&gt;$E$2, SUMIFS(IF($G$2="CPR",'Grid Data'!$AH$4:$AH$2342,'Grid Data'!$AI$4:$AI$2342),'Grid Data'!$Z$4:$Z$2342,$D48,'Grid Data'!$AA$4:$AA$2342,E$4,'Grid Data'!$Y$4:$Y$2342,$D$2)*100-E16, "--")</f>
        <v>-0.1527</v>
      </c>
      <c r="F48" s="5">
        <f>IF(  F79&gt;$E$2, SUMIFS(IF($G$2="CPR",'Grid Data'!$AH$4:$AH$2342,'Grid Data'!$AI$4:$AI$2342),'Grid Data'!$Z$4:$Z$2342,$D48,'Grid Data'!$AA$4:$AA$2342,F$4,'Grid Data'!$Y$4:$Y$2342,$D$2)*100-F16, "--")</f>
        <v>-1.718</v>
      </c>
      <c r="G48" s="5">
        <f>IF(  G79&gt;$E$2, SUMIFS(IF($G$2="CPR",'Grid Data'!$AH$4:$AH$2342,'Grid Data'!$AI$4:$AI$2342),'Grid Data'!$Z$4:$Z$2342,$D48,'Grid Data'!$AA$4:$AA$2342,G$4,'Grid Data'!$Y$4:$Y$2342,$D$2)*100-G16, "--")</f>
        <v>0.15369999999999995</v>
      </c>
      <c r="H48" s="5">
        <f>IF(  H79&gt;$E$2, SUMIFS(IF($G$2="CPR",'Grid Data'!$AH$4:$AH$2342,'Grid Data'!$AI$4:$AI$2342),'Grid Data'!$Z$4:$Z$2342,$D48,'Grid Data'!$AA$4:$AA$2342,H$4,'Grid Data'!$Y$4:$Y$2342,$D$2)*100-H16, "--")</f>
        <v>0</v>
      </c>
      <c r="I48" s="5">
        <f>IF(  I79&gt;$E$2, SUMIFS(IF($G$2="CPR",'Grid Data'!$AH$4:$AH$2342,'Grid Data'!$AI$4:$AI$2342),'Grid Data'!$Z$4:$Z$2342,$D48,'Grid Data'!$AA$4:$AA$2342,I$4,'Grid Data'!$Y$4:$Y$2342,$D$2)*100-I16, "--")</f>
        <v>0</v>
      </c>
      <c r="J48" s="5">
        <f>IF(  J79&gt;$E$2, SUMIFS(IF($G$2="CPR",'Grid Data'!$AH$4:$AH$2342,'Grid Data'!$AI$4:$AI$2342),'Grid Data'!$Z$4:$Z$2342,$D48,'Grid Data'!$AA$4:$AA$2342,J$4,'Grid Data'!$Y$4:$Y$2342,$D$2)*100-J16, "--")</f>
        <v>-0.80779999999999996</v>
      </c>
      <c r="K48" s="5">
        <f>IF(  K79&gt;$E$2, SUMIFS(IF($G$2="CPR",'Grid Data'!$AH$4:$AH$2342,'Grid Data'!$AI$4:$AI$2342),'Grid Data'!$Z$4:$Z$2342,$D48,'Grid Data'!$AA$4:$AA$2342,K$4,'Grid Data'!$Y$4:$Y$2342,$D$2)*100-K16, "--")</f>
        <v>0</v>
      </c>
      <c r="L48" s="5">
        <f>IF(  L79&gt;$E$2, SUMIFS(IF($G$2="CPR",'Grid Data'!$AH$4:$AH$2342,'Grid Data'!$AI$4:$AI$2342),'Grid Data'!$Z$4:$Z$2342,$D48,'Grid Data'!$AA$4:$AA$2342,L$4,'Grid Data'!$Y$4:$Y$2342,$D$2)*100-L16, "--")</f>
        <v>0.24589999999999979</v>
      </c>
      <c r="M48" s="5">
        <f>IF(  M79&gt;$E$2, SUMIFS(IF($G$2="CPR",'Grid Data'!$AH$4:$AH$2342,'Grid Data'!$AI$4:$AI$2342),'Grid Data'!$Z$4:$Z$2342,$D48,'Grid Data'!$AA$4:$AA$2342,M$4,'Grid Data'!$Y$4:$Y$2342,$D$2)*100-M16, "--")</f>
        <v>0.66920000000000002</v>
      </c>
      <c r="N48" s="5">
        <f>IF(  N79&gt;$E$2, SUMIFS(IF($G$2="CPR",'Grid Data'!$AH$4:$AH$2342,'Grid Data'!$AI$4:$AI$2342),'Grid Data'!$Z$4:$Z$2342,$D48,'Grid Data'!$AA$4:$AA$2342,N$4,'Grid Data'!$Y$4:$Y$2342,$D$2)*100-N16, "--")</f>
        <v>1.27</v>
      </c>
      <c r="O48" s="5">
        <f>IF(  O79&gt;$E$2, SUMIFS(IF($G$2="CPR",'Grid Data'!$AH$4:$AH$2342,'Grid Data'!$AI$4:$AI$2342),'Grid Data'!$Z$4:$Z$2342,$D48,'Grid Data'!$AA$4:$AA$2342,O$4,'Grid Data'!$Y$4:$Y$2342,$D$2)*100-O16, "--")</f>
        <v>2.1243000000000003</v>
      </c>
      <c r="P48" s="5">
        <f>IF(  P79&gt;$E$2, SUMIFS(IF($G$2="CPR",'Grid Data'!$AH$4:$AH$2342,'Grid Data'!$AI$4:$AI$2342),'Grid Data'!$Z$4:$Z$2342,$D48,'Grid Data'!$AA$4:$AA$2342,P$4,'Grid Data'!$Y$4:$Y$2342,$D$2)*100-P16, "--")</f>
        <v>0.28939999999999966</v>
      </c>
      <c r="Q48" s="5">
        <f>IF(  Q79&gt;$E$2, SUMIFS(IF($G$2="CPR",'Grid Data'!$AH$4:$AH$2342,'Grid Data'!$AI$4:$AI$2342),'Grid Data'!$Z$4:$Z$2342,$D48,'Grid Data'!$AA$4:$AA$2342,Q$4,'Grid Data'!$Y$4:$Y$2342,$D$2)*100-Q16, "--")</f>
        <v>1.5945</v>
      </c>
      <c r="R48" s="5">
        <f>IF(  R79&gt;$E$2, SUMIFS(IF($G$2="CPR",'Grid Data'!$AH$4:$AH$2342,'Grid Data'!$AI$4:$AI$2342),'Grid Data'!$Z$4:$Z$2342,$D48,'Grid Data'!$AA$4:$AA$2342,R$4,'Grid Data'!$Y$4:$Y$2342,$D$2)*100-R16, "--")</f>
        <v>1.3499999999999996</v>
      </c>
      <c r="S48" s="5">
        <f>IF(  S79&gt;$E$2, SUMIFS(IF($G$2="CPR",'Grid Data'!$AH$4:$AH$2342,'Grid Data'!$AI$4:$AI$2342),'Grid Data'!$Z$4:$Z$2342,$D48,'Grid Data'!$AA$4:$AA$2342,S$4,'Grid Data'!$Y$4:$Y$2342,$D$2)*100-S16, "--")</f>
        <v>-1.0897999999999985</v>
      </c>
      <c r="T48" s="5">
        <f>IF(  T79&gt;$E$2, SUMIFS(IF($G$2="CPR",'Grid Data'!$AH$4:$AH$2342,'Grid Data'!$AI$4:$AI$2342),'Grid Data'!$Z$4:$Z$2342,$D48,'Grid Data'!$AA$4:$AA$2342,T$4,'Grid Data'!$Y$4:$Y$2342,$D$2)*100-T16, "--")</f>
        <v>1.2842999999999991</v>
      </c>
      <c r="U48" s="5">
        <f>IF(  U79&gt;$E$2, SUMIFS(IF($G$2="CPR",'Grid Data'!$AH$4:$AH$2342,'Grid Data'!$AI$4:$AI$2342),'Grid Data'!$Z$4:$Z$2342,$D48,'Grid Data'!$AA$4:$AA$2342,U$4,'Grid Data'!$Y$4:$Y$2342,$D$2)*100-U16, "--")</f>
        <v>0.76789999999999914</v>
      </c>
      <c r="V48" s="5">
        <f>IF(  V79&gt;$E$2, SUMIFS(IF($G$2="CPR",'Grid Data'!$AH$4:$AH$2342,'Grid Data'!$AI$4:$AI$2342),'Grid Data'!$Z$4:$Z$2342,$D48,'Grid Data'!$AA$4:$AA$2342,V$4,'Grid Data'!$Y$4:$Y$2342,$D$2)*100-V16, "--")</f>
        <v>2.5591000000000004</v>
      </c>
      <c r="W48" s="5">
        <f>IF(  W79&gt;$E$2, SUMIFS(IF($G$2="CPR",'Grid Data'!$AH$4:$AH$2342,'Grid Data'!$AI$4:$AI$2342),'Grid Data'!$Z$4:$Z$2342,$D48,'Grid Data'!$AA$4:$AA$2342,W$4,'Grid Data'!$Y$4:$Y$2342,$D$2)*100-W16, "--")</f>
        <v>-2.1541999999999994</v>
      </c>
      <c r="X48" s="5">
        <f>IF(  X79&gt;$E$2, SUMIFS(IF($G$2="CPR",'Grid Data'!$AH$4:$AH$2342,'Grid Data'!$AI$4:$AI$2342),'Grid Data'!$Z$4:$Z$2342,$D48,'Grid Data'!$AA$4:$AA$2342,X$4,'Grid Data'!$Y$4:$Y$2342,$D$2)*100-X16, "--")</f>
        <v>-3.9799999999999613E-2</v>
      </c>
      <c r="Y48" s="5">
        <f>IF(  Y79&gt;$E$2, SUMIFS(IF($G$2="CPR",'Grid Data'!$AH$4:$AH$2342,'Grid Data'!$AI$4:$AI$2342),'Grid Data'!$Z$4:$Z$2342,$D48,'Grid Data'!$AA$4:$AA$2342,Y$4,'Grid Data'!$Y$4:$Y$2342,$D$2)*100-Y16, "--")</f>
        <v>0.21619999999999973</v>
      </c>
      <c r="Z48" s="5">
        <f>IF(  Z79&gt;$E$2, SUMIFS(IF($G$2="CPR",'Grid Data'!$AH$4:$AH$2342,'Grid Data'!$AI$4:$AI$2342),'Grid Data'!$Z$4:$Z$2342,$D48,'Grid Data'!$AA$4:$AA$2342,Z$4,'Grid Data'!$Y$4:$Y$2342,$D$2)*100-Z16, "--")</f>
        <v>1.0372000000000003</v>
      </c>
      <c r="AA48" s="5">
        <f>IF(  AA79&gt;$E$2, SUMIFS(IF($G$2="CPR",'Grid Data'!$AH$4:$AH$2342,'Grid Data'!$AI$4:$AI$2342),'Grid Data'!$Z$4:$Z$2342,$D48,'Grid Data'!$AA$4:$AA$2342,AA$4,'Grid Data'!$Y$4:$Y$2342,$D$2)*100-AA16, "--")</f>
        <v>-0.35269999999999957</v>
      </c>
      <c r="AB48" s="5">
        <f>IF(  AB79&gt;$E$2, SUMIFS(IF($G$2="CPR",'Grid Data'!$AH$4:$AH$2342,'Grid Data'!$AI$4:$AI$2342),'Grid Data'!$Z$4:$Z$2342,$D48,'Grid Data'!$AA$4:$AA$2342,AB$4,'Grid Data'!$Y$4:$Y$2342,$D$2)*100-AB16, "--")</f>
        <v>9.8300000000000942E-2</v>
      </c>
      <c r="AC48" s="5">
        <f>IF(  AC79&gt;$E$2, SUMIFS(IF($G$2="CPR",'Grid Data'!$AH$4:$AH$2342,'Grid Data'!$AI$4:$AI$2342),'Grid Data'!$Z$4:$Z$2342,$D48,'Grid Data'!$AA$4:$AA$2342,AC$4,'Grid Data'!$Y$4:$Y$2342,$D$2)*100-AC16, "--")</f>
        <v>-7.2899999999999743E-2</v>
      </c>
      <c r="AD48" s="5">
        <f>IF(  AD79&gt;$E$2, SUMIFS(IF($G$2="CPR",'Grid Data'!$AH$4:$AH$2342,'Grid Data'!$AI$4:$AI$2342),'Grid Data'!$Z$4:$Z$2342,$D48,'Grid Data'!$AA$4:$AA$2342,AD$4,'Grid Data'!$Y$4:$Y$2342,$D$2)*100-AD16, "--")</f>
        <v>0.84580000000000055</v>
      </c>
      <c r="AE48" s="5">
        <f>IF(  AE79&gt;$E$2, SUMIFS(IF($G$2="CPR",'Grid Data'!$AH$4:$AH$2342,'Grid Data'!$AI$4:$AI$2342),'Grid Data'!$Z$4:$Z$2342,$D48,'Grid Data'!$AA$4:$AA$2342,AE$4,'Grid Data'!$Y$4:$Y$2342,$D$2)*100-AE16, "--")</f>
        <v>1.2864</v>
      </c>
      <c r="AF48" s="5" t="str">
        <f>IF(  AF79&gt;$E$2, SUMIFS(IF($G$2="CPR",'Grid Data'!$AH$4:$AH$2342,'Grid Data'!$AI$4:$AI$2342),'Grid Data'!$Z$4:$Z$2342,$D48,'Grid Data'!$AA$4:$AA$2342,AF$4,'Grid Data'!$Y$4:$Y$2342,$D$2)*100-AF16, "--")</f>
        <v>--</v>
      </c>
      <c r="AG48" s="5">
        <f>IF(  AG79&gt;$E$2, SUMIFS(IF($G$2="CPR",'Grid Data'!$AH$4:$AH$2342,'Grid Data'!$AI$4:$AI$2342),'Grid Data'!$Z$4:$Z$2342,$D48,'Grid Data'!$AA$4:$AA$2342,AG$4,'Grid Data'!$Y$4:$Y$2342,$D$2)*100-AG16, "--")</f>
        <v>7.6831999999999994</v>
      </c>
      <c r="AH48" s="5" t="str">
        <f>IF(  AH79&gt;$E$2, SUMIFS(IF($G$2="CPR",'Grid Data'!$AH$4:$AH$2342,'Grid Data'!$AI$4:$AI$2342),'Grid Data'!$Z$4:$Z$2342,$D48,'Grid Data'!$AA$4:$AA$2342,AH$4,'Grid Data'!$Y$4:$Y$2342,$D$2)*100-AH16, "--")</f>
        <v>--</v>
      </c>
    </row>
    <row r="49" spans="4:34" x14ac:dyDescent="0.35">
      <c r="D49">
        <v>5000</v>
      </c>
      <c r="E49" s="5">
        <f>IF(  E80&gt;$E$2, SUMIFS(IF($G$2="CPR",'Grid Data'!$AH$4:$AH$2342,'Grid Data'!$AI$4:$AI$2342),'Grid Data'!$Z$4:$Z$2342,$D49,'Grid Data'!$AA$4:$AA$2342,E$4,'Grid Data'!$Y$4:$Y$2342,$D$2)*100-E17, "--")</f>
        <v>-0.4526</v>
      </c>
      <c r="F49" s="5">
        <f>IF(  F80&gt;$E$2, SUMIFS(IF($G$2="CPR",'Grid Data'!$AH$4:$AH$2342,'Grid Data'!$AI$4:$AI$2342),'Grid Data'!$Z$4:$Z$2342,$D49,'Grid Data'!$AA$4:$AA$2342,F$4,'Grid Data'!$Y$4:$Y$2342,$D$2)*100-F17, "--")</f>
        <v>0.2495</v>
      </c>
      <c r="G49" s="5">
        <f>IF(  G80&gt;$E$2, SUMIFS(IF($G$2="CPR",'Grid Data'!$AH$4:$AH$2342,'Grid Data'!$AI$4:$AI$2342),'Grid Data'!$Z$4:$Z$2342,$D49,'Grid Data'!$AA$4:$AA$2342,G$4,'Grid Data'!$Y$4:$Y$2342,$D$2)*100-G17, "--")</f>
        <v>0.31570000000000009</v>
      </c>
      <c r="H49" s="5">
        <f>IF(  H80&gt;$E$2, SUMIFS(IF($G$2="CPR",'Grid Data'!$AH$4:$AH$2342,'Grid Data'!$AI$4:$AI$2342),'Grid Data'!$Z$4:$Z$2342,$D49,'Grid Data'!$AA$4:$AA$2342,H$4,'Grid Data'!$Y$4:$Y$2342,$D$2)*100-H17, "--")</f>
        <v>0.75620000000000021</v>
      </c>
      <c r="I49" s="5">
        <f>IF(  I80&gt;$E$2, SUMIFS(IF($G$2="CPR",'Grid Data'!$AH$4:$AH$2342,'Grid Data'!$AI$4:$AI$2342),'Grid Data'!$Z$4:$Z$2342,$D49,'Grid Data'!$AA$4:$AA$2342,I$4,'Grid Data'!$Y$4:$Y$2342,$D$2)*100-I17, "--")</f>
        <v>-0.1876000000000001</v>
      </c>
      <c r="J49" s="5">
        <f>IF(  J80&gt;$E$2, SUMIFS(IF($G$2="CPR",'Grid Data'!$AH$4:$AH$2342,'Grid Data'!$AI$4:$AI$2342),'Grid Data'!$Z$4:$Z$2342,$D49,'Grid Data'!$AA$4:$AA$2342,J$4,'Grid Data'!$Y$4:$Y$2342,$D$2)*100-J17, "--")</f>
        <v>1.4101999999999999</v>
      </c>
      <c r="K49" s="5">
        <f>IF(  K80&gt;$E$2, SUMIFS(IF($G$2="CPR",'Grid Data'!$AH$4:$AH$2342,'Grid Data'!$AI$4:$AI$2342),'Grid Data'!$Z$4:$Z$2342,$D49,'Grid Data'!$AA$4:$AA$2342,K$4,'Grid Data'!$Y$4:$Y$2342,$D$2)*100-K17, "--")</f>
        <v>-8.5699999999999887E-2</v>
      </c>
      <c r="L49" s="5">
        <f>IF(  L80&gt;$E$2, SUMIFS(IF($G$2="CPR",'Grid Data'!$AH$4:$AH$2342,'Grid Data'!$AI$4:$AI$2342),'Grid Data'!$Z$4:$Z$2342,$D49,'Grid Data'!$AA$4:$AA$2342,L$4,'Grid Data'!$Y$4:$Y$2342,$D$2)*100-L17, "--")</f>
        <v>-1.0584</v>
      </c>
      <c r="M49" s="5">
        <f>IF(  M80&gt;$E$2, SUMIFS(IF($G$2="CPR",'Grid Data'!$AH$4:$AH$2342,'Grid Data'!$AI$4:$AI$2342),'Grid Data'!$Z$4:$Z$2342,$D49,'Grid Data'!$AA$4:$AA$2342,M$4,'Grid Data'!$Y$4:$Y$2342,$D$2)*100-M17, "--")</f>
        <v>2.4863999999999993</v>
      </c>
      <c r="N49" s="5">
        <f>IF(  N80&gt;$E$2, SUMIFS(IF($G$2="CPR",'Grid Data'!$AH$4:$AH$2342,'Grid Data'!$AI$4:$AI$2342),'Grid Data'!$Z$4:$Z$2342,$D49,'Grid Data'!$AA$4:$AA$2342,N$4,'Grid Data'!$Y$4:$Y$2342,$D$2)*100-N17, "--")</f>
        <v>-0.16170000000000018</v>
      </c>
      <c r="O49" s="5">
        <f>IF(  O80&gt;$E$2, SUMIFS(IF($G$2="CPR",'Grid Data'!$AH$4:$AH$2342,'Grid Data'!$AI$4:$AI$2342),'Grid Data'!$Z$4:$Z$2342,$D49,'Grid Data'!$AA$4:$AA$2342,O$4,'Grid Data'!$Y$4:$Y$2342,$D$2)*100-O17, "--")</f>
        <v>-0.5455000000000001</v>
      </c>
      <c r="P49" s="5">
        <f>IF(  P80&gt;$E$2, SUMIFS(IF($G$2="CPR",'Grid Data'!$AH$4:$AH$2342,'Grid Data'!$AI$4:$AI$2342),'Grid Data'!$Z$4:$Z$2342,$D49,'Grid Data'!$AA$4:$AA$2342,P$4,'Grid Data'!$Y$4:$Y$2342,$D$2)*100-P17, "--")</f>
        <v>0.35799999999999965</v>
      </c>
      <c r="Q49" s="5">
        <f>IF(  Q80&gt;$E$2, SUMIFS(IF($G$2="CPR",'Grid Data'!$AH$4:$AH$2342,'Grid Data'!$AI$4:$AI$2342),'Grid Data'!$Z$4:$Z$2342,$D49,'Grid Data'!$AA$4:$AA$2342,Q$4,'Grid Data'!$Y$4:$Y$2342,$D$2)*100-Q17, "--")</f>
        <v>0.37290000000000045</v>
      </c>
      <c r="R49" s="5">
        <f>IF(  R80&gt;$E$2, SUMIFS(IF($G$2="CPR",'Grid Data'!$AH$4:$AH$2342,'Grid Data'!$AI$4:$AI$2342),'Grid Data'!$Z$4:$Z$2342,$D49,'Grid Data'!$AA$4:$AA$2342,R$4,'Grid Data'!$Y$4:$Y$2342,$D$2)*100-R17, "--")</f>
        <v>4.1699999999999626E-2</v>
      </c>
      <c r="S49" s="5">
        <f>IF(  S80&gt;$E$2, SUMIFS(IF($G$2="CPR",'Grid Data'!$AH$4:$AH$2342,'Grid Data'!$AI$4:$AI$2342),'Grid Data'!$Z$4:$Z$2342,$D49,'Grid Data'!$AA$4:$AA$2342,S$4,'Grid Data'!$Y$4:$Y$2342,$D$2)*100-S17, "--")</f>
        <v>-2.0495000000000001</v>
      </c>
      <c r="T49" s="5">
        <f>IF(  T80&gt;$E$2, SUMIFS(IF($G$2="CPR",'Grid Data'!$AH$4:$AH$2342,'Grid Data'!$AI$4:$AI$2342),'Grid Data'!$Z$4:$Z$2342,$D49,'Grid Data'!$AA$4:$AA$2342,T$4,'Grid Data'!$Y$4:$Y$2342,$D$2)*100-T17, "--")</f>
        <v>0.69459999999999855</v>
      </c>
      <c r="U49" s="5">
        <f>IF(  U80&gt;$E$2, SUMIFS(IF($G$2="CPR",'Grid Data'!$AH$4:$AH$2342,'Grid Data'!$AI$4:$AI$2342),'Grid Data'!$Z$4:$Z$2342,$D49,'Grid Data'!$AA$4:$AA$2342,U$4,'Grid Data'!$Y$4:$Y$2342,$D$2)*100-U17, "--")</f>
        <v>9.3092000000000006</v>
      </c>
      <c r="V49" s="5">
        <f>IF(  V80&gt;$E$2, SUMIFS(IF($G$2="CPR",'Grid Data'!$AH$4:$AH$2342,'Grid Data'!$AI$4:$AI$2342),'Grid Data'!$Z$4:$Z$2342,$D49,'Grid Data'!$AA$4:$AA$2342,V$4,'Grid Data'!$Y$4:$Y$2342,$D$2)*100-V17, "--")</f>
        <v>-8.9329000000000001</v>
      </c>
      <c r="W49" s="5">
        <f>IF(  W80&gt;$E$2, SUMIFS(IF($G$2="CPR",'Grid Data'!$AH$4:$AH$2342,'Grid Data'!$AI$4:$AI$2342),'Grid Data'!$Z$4:$Z$2342,$D49,'Grid Data'!$AA$4:$AA$2342,W$4,'Grid Data'!$Y$4:$Y$2342,$D$2)*100-W17, "--")</f>
        <v>-0.20209999999999972</v>
      </c>
      <c r="X49" s="5">
        <f>IF(  X80&gt;$E$2, SUMIFS(IF($G$2="CPR",'Grid Data'!$AH$4:$AH$2342,'Grid Data'!$AI$4:$AI$2342),'Grid Data'!$Z$4:$Z$2342,$D49,'Grid Data'!$AA$4:$AA$2342,X$4,'Grid Data'!$Y$4:$Y$2342,$D$2)*100-X17, "--")</f>
        <v>-6.6500000000000448E-2</v>
      </c>
      <c r="Y49" s="5">
        <f>IF(  Y80&gt;$E$2, SUMIFS(IF($G$2="CPR",'Grid Data'!$AH$4:$AH$2342,'Grid Data'!$AI$4:$AI$2342),'Grid Data'!$Z$4:$Z$2342,$D49,'Grid Data'!$AA$4:$AA$2342,Y$4,'Grid Data'!$Y$4:$Y$2342,$D$2)*100-Y17, "--")</f>
        <v>-0.50570000000000093</v>
      </c>
      <c r="Z49" s="5">
        <f>IF(  Z80&gt;$E$2, SUMIFS(IF($G$2="CPR",'Grid Data'!$AH$4:$AH$2342,'Grid Data'!$AI$4:$AI$2342),'Grid Data'!$Z$4:$Z$2342,$D49,'Grid Data'!$AA$4:$AA$2342,Z$4,'Grid Data'!$Y$4:$Y$2342,$D$2)*100-Z17, "--")</f>
        <v>-0.58799999999999919</v>
      </c>
      <c r="AA49" s="5">
        <f>IF(  AA80&gt;$E$2, SUMIFS(IF($G$2="CPR",'Grid Data'!$AH$4:$AH$2342,'Grid Data'!$AI$4:$AI$2342),'Grid Data'!$Z$4:$Z$2342,$D49,'Grid Data'!$AA$4:$AA$2342,AA$4,'Grid Data'!$Y$4:$Y$2342,$D$2)*100-AA17, "--")</f>
        <v>1.9844999999999997</v>
      </c>
      <c r="AB49" s="5">
        <f>IF(  AB80&gt;$E$2, SUMIFS(IF($G$2="CPR",'Grid Data'!$AH$4:$AH$2342,'Grid Data'!$AI$4:$AI$2342),'Grid Data'!$Z$4:$Z$2342,$D49,'Grid Data'!$AA$4:$AA$2342,AB$4,'Grid Data'!$Y$4:$Y$2342,$D$2)*100-AB17, "--")</f>
        <v>0.64460000000000051</v>
      </c>
      <c r="AC49" s="5">
        <f>IF(  AC80&gt;$E$2, SUMIFS(IF($G$2="CPR",'Grid Data'!$AH$4:$AH$2342,'Grid Data'!$AI$4:$AI$2342),'Grid Data'!$Z$4:$Z$2342,$D49,'Grid Data'!$AA$4:$AA$2342,AC$4,'Grid Data'!$Y$4:$Y$2342,$D$2)*100-AC17, "--")</f>
        <v>-1.5924000000000005</v>
      </c>
      <c r="AD49" s="5">
        <f>IF(  AD80&gt;$E$2, SUMIFS(IF($G$2="CPR",'Grid Data'!$AH$4:$AH$2342,'Grid Data'!$AI$4:$AI$2342),'Grid Data'!$Z$4:$Z$2342,$D49,'Grid Data'!$AA$4:$AA$2342,AD$4,'Grid Data'!$Y$4:$Y$2342,$D$2)*100-AD17, "--")</f>
        <v>0.58389999999999898</v>
      </c>
      <c r="AE49" s="5">
        <f>IF(  AE80&gt;$E$2, SUMIFS(IF($G$2="CPR",'Grid Data'!$AH$4:$AH$2342,'Grid Data'!$AI$4:$AI$2342),'Grid Data'!$Z$4:$Z$2342,$D49,'Grid Data'!$AA$4:$AA$2342,AE$4,'Grid Data'!$Y$4:$Y$2342,$D$2)*100-AE17, "--")</f>
        <v>-0.61439999999999895</v>
      </c>
      <c r="AF49" s="5">
        <f>IF(  AF80&gt;$E$2, SUMIFS(IF($G$2="CPR",'Grid Data'!$AH$4:$AH$2342,'Grid Data'!$AI$4:$AI$2342),'Grid Data'!$Z$4:$Z$2342,$D49,'Grid Data'!$AA$4:$AA$2342,AF$4,'Grid Data'!$Y$4:$Y$2342,$D$2)*100-AF17, "--")</f>
        <v>3.4533</v>
      </c>
      <c r="AG49" s="5">
        <f>IF(  AG80&gt;$E$2, SUMIFS(IF($G$2="CPR",'Grid Data'!$AH$4:$AH$2342,'Grid Data'!$AI$4:$AI$2342),'Grid Data'!$Z$4:$Z$2342,$D49,'Grid Data'!$AA$4:$AA$2342,AG$4,'Grid Data'!$Y$4:$Y$2342,$D$2)*100-AG17, "--")</f>
        <v>-1.3514000000000008</v>
      </c>
      <c r="AH49" s="5" t="str">
        <f>IF(  AH80&gt;$E$2, SUMIFS(IF($G$2="CPR",'Grid Data'!$AH$4:$AH$2342,'Grid Data'!$AI$4:$AI$2342),'Grid Data'!$Z$4:$Z$2342,$D49,'Grid Data'!$AA$4:$AA$2342,AH$4,'Grid Data'!$Y$4:$Y$2342,$D$2)*100-AH17, "--")</f>
        <v>--</v>
      </c>
    </row>
    <row r="50" spans="4:34" x14ac:dyDescent="0.35">
      <c r="D50">
        <v>5250</v>
      </c>
      <c r="E50" s="5">
        <f>IF(  E81&gt;$E$2, SUMIFS(IF($G$2="CPR",'Grid Data'!$AH$4:$AH$2342,'Grid Data'!$AI$4:$AI$2342),'Grid Data'!$Z$4:$Z$2342,$D50,'Grid Data'!$AA$4:$AA$2342,E$4,'Grid Data'!$Y$4:$Y$2342,$D$2)*100-E18, "--")</f>
        <v>-8.560000000000012E-2</v>
      </c>
      <c r="F50" s="5">
        <f>IF(  F81&gt;$E$2, SUMIFS(IF($G$2="CPR",'Grid Data'!$AH$4:$AH$2342,'Grid Data'!$AI$4:$AI$2342),'Grid Data'!$Z$4:$Z$2342,$D50,'Grid Data'!$AA$4:$AA$2342,F$4,'Grid Data'!$Y$4:$Y$2342,$D$2)*100-F18, "--")</f>
        <v>-0.72559999999999958</v>
      </c>
      <c r="G50" s="5">
        <f>IF(  G81&gt;$E$2, SUMIFS(IF($G$2="CPR",'Grid Data'!$AH$4:$AH$2342,'Grid Data'!$AI$4:$AI$2342),'Grid Data'!$Z$4:$Z$2342,$D50,'Grid Data'!$AA$4:$AA$2342,G$4,'Grid Data'!$Y$4:$Y$2342,$D$2)*100-G18, "--")</f>
        <v>-4.5129000000000001</v>
      </c>
      <c r="H50" s="5">
        <f>IF(  H81&gt;$E$2, SUMIFS(IF($G$2="CPR",'Grid Data'!$AH$4:$AH$2342,'Grid Data'!$AI$4:$AI$2342),'Grid Data'!$Z$4:$Z$2342,$D50,'Grid Data'!$AA$4:$AA$2342,H$4,'Grid Data'!$Y$4:$Y$2342,$D$2)*100-H18, "--")</f>
        <v>0.4748</v>
      </c>
      <c r="I50" s="5">
        <f>IF(  I81&gt;$E$2, SUMIFS(IF($G$2="CPR",'Grid Data'!$AH$4:$AH$2342,'Grid Data'!$AI$4:$AI$2342),'Grid Data'!$Z$4:$Z$2342,$D50,'Grid Data'!$AA$4:$AA$2342,I$4,'Grid Data'!$Y$4:$Y$2342,$D$2)*100-I18, "--")</f>
        <v>-0.68060000000000009</v>
      </c>
      <c r="J50" s="5">
        <f>IF(  J81&gt;$E$2, SUMIFS(IF($G$2="CPR",'Grid Data'!$AH$4:$AH$2342,'Grid Data'!$AI$4:$AI$2342),'Grid Data'!$Z$4:$Z$2342,$D50,'Grid Data'!$AA$4:$AA$2342,J$4,'Grid Data'!$Y$4:$Y$2342,$D$2)*100-J18, "--")</f>
        <v>1.4314</v>
      </c>
      <c r="K50" s="5">
        <f>IF(  K81&gt;$E$2, SUMIFS(IF($G$2="CPR",'Grid Data'!$AH$4:$AH$2342,'Grid Data'!$AI$4:$AI$2342),'Grid Data'!$Z$4:$Z$2342,$D50,'Grid Data'!$AA$4:$AA$2342,K$4,'Grid Data'!$Y$4:$Y$2342,$D$2)*100-K18, "--")</f>
        <v>1.1637</v>
      </c>
      <c r="L50" s="5">
        <f>IF(  L81&gt;$E$2, SUMIFS(IF($G$2="CPR",'Grid Data'!$AH$4:$AH$2342,'Grid Data'!$AI$4:$AI$2342),'Grid Data'!$Z$4:$Z$2342,$D50,'Grid Data'!$AA$4:$AA$2342,L$4,'Grid Data'!$Y$4:$Y$2342,$D$2)*100-L18, "--")</f>
        <v>2.7913999999999999</v>
      </c>
      <c r="M50" s="5">
        <f>IF(  M81&gt;$E$2, SUMIFS(IF($G$2="CPR",'Grid Data'!$AH$4:$AH$2342,'Grid Data'!$AI$4:$AI$2342),'Grid Data'!$Z$4:$Z$2342,$D50,'Grid Data'!$AA$4:$AA$2342,M$4,'Grid Data'!$Y$4:$Y$2342,$D$2)*100-M18, "--")</f>
        <v>0.20169999999999977</v>
      </c>
      <c r="N50" s="5">
        <f>IF(  N81&gt;$E$2, SUMIFS(IF($G$2="CPR",'Grid Data'!$AH$4:$AH$2342,'Grid Data'!$AI$4:$AI$2342),'Grid Data'!$Z$4:$Z$2342,$D50,'Grid Data'!$AA$4:$AA$2342,N$4,'Grid Data'!$Y$4:$Y$2342,$D$2)*100-N18, "--")</f>
        <v>0.42989999999999995</v>
      </c>
      <c r="O50" s="5">
        <f>IF(  O81&gt;$E$2, SUMIFS(IF($G$2="CPR",'Grid Data'!$AH$4:$AH$2342,'Grid Data'!$AI$4:$AI$2342),'Grid Data'!$Z$4:$Z$2342,$D50,'Grid Data'!$AA$4:$AA$2342,O$4,'Grid Data'!$Y$4:$Y$2342,$D$2)*100-O18, "--")</f>
        <v>-4.9232000000000005</v>
      </c>
      <c r="P50" s="5">
        <f>IF(  P81&gt;$E$2, SUMIFS(IF($G$2="CPR",'Grid Data'!$AH$4:$AH$2342,'Grid Data'!$AI$4:$AI$2342),'Grid Data'!$Z$4:$Z$2342,$D50,'Grid Data'!$AA$4:$AA$2342,P$4,'Grid Data'!$Y$4:$Y$2342,$D$2)*100-P18, "--")</f>
        <v>0.16719999999999979</v>
      </c>
      <c r="Q50" s="5">
        <f>IF(  Q81&gt;$E$2, SUMIFS(IF($G$2="CPR",'Grid Data'!$AH$4:$AH$2342,'Grid Data'!$AI$4:$AI$2342),'Grid Data'!$Z$4:$Z$2342,$D50,'Grid Data'!$AA$4:$AA$2342,Q$4,'Grid Data'!$Y$4:$Y$2342,$D$2)*100-Q18, "--")</f>
        <v>2.1841999999999997</v>
      </c>
      <c r="R50" s="5">
        <f>IF(  R81&gt;$E$2, SUMIFS(IF($G$2="CPR",'Grid Data'!$AH$4:$AH$2342,'Grid Data'!$AI$4:$AI$2342),'Grid Data'!$Z$4:$Z$2342,$D50,'Grid Data'!$AA$4:$AA$2342,R$4,'Grid Data'!$Y$4:$Y$2342,$D$2)*100-R18, "--")</f>
        <v>3.9314999999999998</v>
      </c>
      <c r="S50" s="5">
        <f>IF(  S81&gt;$E$2, SUMIFS(IF($G$2="CPR",'Grid Data'!$AH$4:$AH$2342,'Grid Data'!$AI$4:$AI$2342),'Grid Data'!$Z$4:$Z$2342,$D50,'Grid Data'!$AA$4:$AA$2342,S$4,'Grid Data'!$Y$4:$Y$2342,$D$2)*100-S18, "--")</f>
        <v>-0.14199999999999946</v>
      </c>
      <c r="T50" s="5">
        <f>IF(  T81&gt;$E$2, SUMIFS(IF($G$2="CPR",'Grid Data'!$AH$4:$AH$2342,'Grid Data'!$AI$4:$AI$2342),'Grid Data'!$Z$4:$Z$2342,$D50,'Grid Data'!$AA$4:$AA$2342,T$4,'Grid Data'!$Y$4:$Y$2342,$D$2)*100-T18, "--")</f>
        <v>5.4299999999999571E-2</v>
      </c>
      <c r="U50" s="5">
        <f>IF(  U81&gt;$E$2, SUMIFS(IF($G$2="CPR",'Grid Data'!$AH$4:$AH$2342,'Grid Data'!$AI$4:$AI$2342),'Grid Data'!$Z$4:$Z$2342,$D50,'Grid Data'!$AA$4:$AA$2342,U$4,'Grid Data'!$Y$4:$Y$2342,$D$2)*100-U18, "--")</f>
        <v>-1.6217000000000006</v>
      </c>
      <c r="V50" s="5">
        <f>IF(  V81&gt;$E$2, SUMIFS(IF($G$2="CPR",'Grid Data'!$AH$4:$AH$2342,'Grid Data'!$AI$4:$AI$2342),'Grid Data'!$Z$4:$Z$2342,$D50,'Grid Data'!$AA$4:$AA$2342,V$4,'Grid Data'!$Y$4:$Y$2342,$D$2)*100-V18, "--")</f>
        <v>4.5414999999999992</v>
      </c>
      <c r="W50" s="5">
        <f>IF(  W81&gt;$E$2, SUMIFS(IF($G$2="CPR",'Grid Data'!$AH$4:$AH$2342,'Grid Data'!$AI$4:$AI$2342),'Grid Data'!$Z$4:$Z$2342,$D50,'Grid Data'!$AA$4:$AA$2342,W$4,'Grid Data'!$Y$4:$Y$2342,$D$2)*100-W18, "--")</f>
        <v>4.1408000000000005</v>
      </c>
      <c r="X50" s="5">
        <f>IF(  X81&gt;$E$2, SUMIFS(IF($G$2="CPR",'Grid Data'!$AH$4:$AH$2342,'Grid Data'!$AI$4:$AI$2342),'Grid Data'!$Z$4:$Z$2342,$D50,'Grid Data'!$AA$4:$AA$2342,X$4,'Grid Data'!$Y$4:$Y$2342,$D$2)*100-X18, "--")</f>
        <v>0.90399999999999903</v>
      </c>
      <c r="Y50" s="5">
        <f>IF(  Y81&gt;$E$2, SUMIFS(IF($G$2="CPR",'Grid Data'!$AH$4:$AH$2342,'Grid Data'!$AI$4:$AI$2342),'Grid Data'!$Z$4:$Z$2342,$D50,'Grid Data'!$AA$4:$AA$2342,Y$4,'Grid Data'!$Y$4:$Y$2342,$D$2)*100-Y18, "--")</f>
        <v>-0.89520000000000088</v>
      </c>
      <c r="Z50" s="5">
        <f>IF(  Z81&gt;$E$2, SUMIFS(IF($G$2="CPR",'Grid Data'!$AH$4:$AH$2342,'Grid Data'!$AI$4:$AI$2342),'Grid Data'!$Z$4:$Z$2342,$D50,'Grid Data'!$AA$4:$AA$2342,Z$4,'Grid Data'!$Y$4:$Y$2342,$D$2)*100-Z18, "--")</f>
        <v>1.4865000000000013</v>
      </c>
      <c r="AA50" s="5">
        <f>IF(  AA81&gt;$E$2, SUMIFS(IF($G$2="CPR",'Grid Data'!$AH$4:$AH$2342,'Grid Data'!$AI$4:$AI$2342),'Grid Data'!$Z$4:$Z$2342,$D50,'Grid Data'!$AA$4:$AA$2342,AA$4,'Grid Data'!$Y$4:$Y$2342,$D$2)*100-AA18, "--")</f>
        <v>-5.2544000000000004</v>
      </c>
      <c r="AB50" s="5">
        <f>IF(  AB81&gt;$E$2, SUMIFS(IF($G$2="CPR",'Grid Data'!$AH$4:$AH$2342,'Grid Data'!$AI$4:$AI$2342),'Grid Data'!$Z$4:$Z$2342,$D50,'Grid Data'!$AA$4:$AA$2342,AB$4,'Grid Data'!$Y$4:$Y$2342,$D$2)*100-AB18, "--")</f>
        <v>-3.0429000000000013</v>
      </c>
      <c r="AC50" s="5">
        <f>IF(  AC81&gt;$E$2, SUMIFS(IF($G$2="CPR",'Grid Data'!$AH$4:$AH$2342,'Grid Data'!$AI$4:$AI$2342),'Grid Data'!$Z$4:$Z$2342,$D50,'Grid Data'!$AA$4:$AA$2342,AC$4,'Grid Data'!$Y$4:$Y$2342,$D$2)*100-AC18, "--")</f>
        <v>-1.4124000000000008</v>
      </c>
      <c r="AD50" s="5">
        <f>IF(  AD81&gt;$E$2, SUMIFS(IF($G$2="CPR",'Grid Data'!$AH$4:$AH$2342,'Grid Data'!$AI$4:$AI$2342),'Grid Data'!$Z$4:$Z$2342,$D50,'Grid Data'!$AA$4:$AA$2342,AD$4,'Grid Data'!$Y$4:$Y$2342,$D$2)*100-AD18, "--")</f>
        <v>0.74820000000000064</v>
      </c>
      <c r="AE50" s="5">
        <f>IF(  AE81&gt;$E$2, SUMIFS(IF($G$2="CPR",'Grid Data'!$AH$4:$AH$2342,'Grid Data'!$AI$4:$AI$2342),'Grid Data'!$Z$4:$Z$2342,$D50,'Grid Data'!$AA$4:$AA$2342,AE$4,'Grid Data'!$Y$4:$Y$2342,$D$2)*100-AE18, "--")</f>
        <v>0.23819999999999997</v>
      </c>
      <c r="AF50" s="5">
        <f>IF(  AF81&gt;$E$2, SUMIFS(IF($G$2="CPR",'Grid Data'!$AH$4:$AH$2342,'Grid Data'!$AI$4:$AI$2342),'Grid Data'!$Z$4:$Z$2342,$D50,'Grid Data'!$AA$4:$AA$2342,AF$4,'Grid Data'!$Y$4:$Y$2342,$D$2)*100-AF18, "--")</f>
        <v>5.7337999999999996</v>
      </c>
      <c r="AG50" s="5">
        <f>IF(  AG81&gt;$E$2, SUMIFS(IF($G$2="CPR",'Grid Data'!$AH$4:$AH$2342,'Grid Data'!$AI$4:$AI$2342),'Grid Data'!$Z$4:$Z$2342,$D50,'Grid Data'!$AA$4:$AA$2342,AG$4,'Grid Data'!$Y$4:$Y$2342,$D$2)*100-AG18, "--")</f>
        <v>2.0481999999999996</v>
      </c>
      <c r="AH50" s="5" t="str">
        <f>IF(  AH81&gt;$E$2, SUMIFS(IF($G$2="CPR",'Grid Data'!$AH$4:$AH$2342,'Grid Data'!$AI$4:$AI$2342),'Grid Data'!$Z$4:$Z$2342,$D50,'Grid Data'!$AA$4:$AA$2342,AH$4,'Grid Data'!$Y$4:$Y$2342,$D$2)*100-AH18, "--")</f>
        <v>--</v>
      </c>
    </row>
    <row r="51" spans="4:34" x14ac:dyDescent="0.35">
      <c r="D51">
        <v>5500</v>
      </c>
      <c r="E51" s="5">
        <f>IF(  E82&gt;$E$2, SUMIFS(IF($G$2="CPR",'Grid Data'!$AH$4:$AH$2342,'Grid Data'!$AI$4:$AI$2342),'Grid Data'!$Z$4:$Z$2342,$D51,'Grid Data'!$AA$4:$AA$2342,E$4,'Grid Data'!$Y$4:$Y$2342,$D$2)*100-E19, "--")</f>
        <v>0.48770000000000002</v>
      </c>
      <c r="F51" s="5">
        <f>IF(  F82&gt;$E$2, SUMIFS(IF($G$2="CPR",'Grid Data'!$AH$4:$AH$2342,'Grid Data'!$AI$4:$AI$2342),'Grid Data'!$Z$4:$Z$2342,$D51,'Grid Data'!$AA$4:$AA$2342,F$4,'Grid Data'!$Y$4:$Y$2342,$D$2)*100-F19, "--")</f>
        <v>-4.6000000000000263E-2</v>
      </c>
      <c r="G51" s="5">
        <f>IF(  G82&gt;$E$2, SUMIFS(IF($G$2="CPR",'Grid Data'!$AH$4:$AH$2342,'Grid Data'!$AI$4:$AI$2342),'Grid Data'!$Z$4:$Z$2342,$D51,'Grid Data'!$AA$4:$AA$2342,G$4,'Grid Data'!$Y$4:$Y$2342,$D$2)*100-G19, "--")</f>
        <v>0.36520000000000064</v>
      </c>
      <c r="H51" s="5">
        <f>IF(  H82&gt;$E$2, SUMIFS(IF($G$2="CPR",'Grid Data'!$AH$4:$AH$2342,'Grid Data'!$AI$4:$AI$2342),'Grid Data'!$Z$4:$Z$2342,$D51,'Grid Data'!$AA$4:$AA$2342,H$4,'Grid Data'!$Y$4:$Y$2342,$D$2)*100-H19, "--")</f>
        <v>9.3700000000000117E-2</v>
      </c>
      <c r="I51" s="5">
        <f>IF(  I82&gt;$E$2, SUMIFS(IF($G$2="CPR",'Grid Data'!$AH$4:$AH$2342,'Grid Data'!$AI$4:$AI$2342),'Grid Data'!$Z$4:$Z$2342,$D51,'Grid Data'!$AA$4:$AA$2342,I$4,'Grid Data'!$Y$4:$Y$2342,$D$2)*100-I19, "--")</f>
        <v>2.7979000000000003</v>
      </c>
      <c r="J51" s="5">
        <f>IF(  J82&gt;$E$2, SUMIFS(IF($G$2="CPR",'Grid Data'!$AH$4:$AH$2342,'Grid Data'!$AI$4:$AI$2342),'Grid Data'!$Z$4:$Z$2342,$D51,'Grid Data'!$AA$4:$AA$2342,J$4,'Grid Data'!$Y$4:$Y$2342,$D$2)*100-J19, "--")</f>
        <v>0.11569999999999947</v>
      </c>
      <c r="K51" s="5">
        <f>IF(  K82&gt;$E$2, SUMIFS(IF($G$2="CPR",'Grid Data'!$AH$4:$AH$2342,'Grid Data'!$AI$4:$AI$2342),'Grid Data'!$Z$4:$Z$2342,$D51,'Grid Data'!$AA$4:$AA$2342,K$4,'Grid Data'!$Y$4:$Y$2342,$D$2)*100-K19, "--")</f>
        <v>1.5489999999999995</v>
      </c>
      <c r="L51" s="5">
        <f>IF(  L82&gt;$E$2, SUMIFS(IF($G$2="CPR",'Grid Data'!$AH$4:$AH$2342,'Grid Data'!$AI$4:$AI$2342),'Grid Data'!$Z$4:$Z$2342,$D51,'Grid Data'!$AA$4:$AA$2342,L$4,'Grid Data'!$Y$4:$Y$2342,$D$2)*100-L19, "--")</f>
        <v>1.0388999999999999</v>
      </c>
      <c r="M51" s="5">
        <f>IF(  M82&gt;$E$2, SUMIFS(IF($G$2="CPR",'Grid Data'!$AH$4:$AH$2342,'Grid Data'!$AI$4:$AI$2342),'Grid Data'!$Z$4:$Z$2342,$D51,'Grid Data'!$AA$4:$AA$2342,M$4,'Grid Data'!$Y$4:$Y$2342,$D$2)*100-M19, "--")</f>
        <v>1.3015999999999996</v>
      </c>
      <c r="N51" s="5">
        <f>IF(  N82&gt;$E$2, SUMIFS(IF($G$2="CPR",'Grid Data'!$AH$4:$AH$2342,'Grid Data'!$AI$4:$AI$2342),'Grid Data'!$Z$4:$Z$2342,$D51,'Grid Data'!$AA$4:$AA$2342,N$4,'Grid Data'!$Y$4:$Y$2342,$D$2)*100-N19, "--")</f>
        <v>1.0019000000000009</v>
      </c>
      <c r="O51" s="5">
        <f>IF(  O82&gt;$E$2, SUMIFS(IF($G$2="CPR",'Grid Data'!$AH$4:$AH$2342,'Grid Data'!$AI$4:$AI$2342),'Grid Data'!$Z$4:$Z$2342,$D51,'Grid Data'!$AA$4:$AA$2342,O$4,'Grid Data'!$Y$4:$Y$2342,$D$2)*100-O19, "--")</f>
        <v>-2.8743000000000003</v>
      </c>
      <c r="P51" s="5">
        <f>IF(  P82&gt;$E$2, SUMIFS(IF($G$2="CPR",'Grid Data'!$AH$4:$AH$2342,'Grid Data'!$AI$4:$AI$2342),'Grid Data'!$Z$4:$Z$2342,$D51,'Grid Data'!$AA$4:$AA$2342,P$4,'Grid Data'!$Y$4:$Y$2342,$D$2)*100-P19, "--")</f>
        <v>1.0833000000000004</v>
      </c>
      <c r="Q51" s="5">
        <f>IF(  Q82&gt;$E$2, SUMIFS(IF($G$2="CPR",'Grid Data'!$AH$4:$AH$2342,'Grid Data'!$AI$4:$AI$2342),'Grid Data'!$Z$4:$Z$2342,$D51,'Grid Data'!$AA$4:$AA$2342,Q$4,'Grid Data'!$Y$4:$Y$2342,$D$2)*100-Q19, "--")</f>
        <v>1.2998000000000003</v>
      </c>
      <c r="R51" s="5">
        <f>IF(  R82&gt;$E$2, SUMIFS(IF($G$2="CPR",'Grid Data'!$AH$4:$AH$2342,'Grid Data'!$AI$4:$AI$2342),'Grid Data'!$Z$4:$Z$2342,$D51,'Grid Data'!$AA$4:$AA$2342,R$4,'Grid Data'!$Y$4:$Y$2342,$D$2)*100-R19, "--")</f>
        <v>-0.1164000000000005</v>
      </c>
      <c r="S51" s="5">
        <f>IF(  S82&gt;$E$2, SUMIFS(IF($G$2="CPR",'Grid Data'!$AH$4:$AH$2342,'Grid Data'!$AI$4:$AI$2342),'Grid Data'!$Z$4:$Z$2342,$D51,'Grid Data'!$AA$4:$AA$2342,S$4,'Grid Data'!$Y$4:$Y$2342,$D$2)*100-S19, "--")</f>
        <v>3.317499999999999</v>
      </c>
      <c r="T51" s="5">
        <f>IF(  T82&gt;$E$2, SUMIFS(IF($G$2="CPR",'Grid Data'!$AH$4:$AH$2342,'Grid Data'!$AI$4:$AI$2342),'Grid Data'!$Z$4:$Z$2342,$D51,'Grid Data'!$AA$4:$AA$2342,T$4,'Grid Data'!$Y$4:$Y$2342,$D$2)*100-T19, "--")</f>
        <v>0.80750000000000099</v>
      </c>
      <c r="U51" s="5">
        <f>IF(  U82&gt;$E$2, SUMIFS(IF($G$2="CPR",'Grid Data'!$AH$4:$AH$2342,'Grid Data'!$AI$4:$AI$2342),'Grid Data'!$Z$4:$Z$2342,$D51,'Grid Data'!$AA$4:$AA$2342,U$4,'Grid Data'!$Y$4:$Y$2342,$D$2)*100-U19, "--")</f>
        <v>-34.156700000000001</v>
      </c>
      <c r="V51" s="5" t="str">
        <f>IF(  V82&gt;$E$2, SUMIFS(IF($G$2="CPR",'Grid Data'!$AH$4:$AH$2342,'Grid Data'!$AI$4:$AI$2342),'Grid Data'!$Z$4:$Z$2342,$D51,'Grid Data'!$AA$4:$AA$2342,V$4,'Grid Data'!$Y$4:$Y$2342,$D$2)*100-V19, "--")</f>
        <v>--</v>
      </c>
      <c r="W51" s="5">
        <f>IF(  W82&gt;$E$2, SUMIFS(IF($G$2="CPR",'Grid Data'!$AH$4:$AH$2342,'Grid Data'!$AI$4:$AI$2342),'Grid Data'!$Z$4:$Z$2342,$D51,'Grid Data'!$AA$4:$AA$2342,W$4,'Grid Data'!$Y$4:$Y$2342,$D$2)*100-W19, "--")</f>
        <v>-14.509400000000003</v>
      </c>
      <c r="X51" s="5">
        <f>IF(  X82&gt;$E$2, SUMIFS(IF($G$2="CPR",'Grid Data'!$AH$4:$AH$2342,'Grid Data'!$AI$4:$AI$2342),'Grid Data'!$Z$4:$Z$2342,$D51,'Grid Data'!$AA$4:$AA$2342,X$4,'Grid Data'!$Y$4:$Y$2342,$D$2)*100-X19, "--")</f>
        <v>2.9503000000000004</v>
      </c>
      <c r="Y51" s="5">
        <f>IF(  Y82&gt;$E$2, SUMIFS(IF($G$2="CPR",'Grid Data'!$AH$4:$AH$2342,'Grid Data'!$AI$4:$AI$2342),'Grid Data'!$Z$4:$Z$2342,$D51,'Grid Data'!$AA$4:$AA$2342,Y$4,'Grid Data'!$Y$4:$Y$2342,$D$2)*100-Y19, "--")</f>
        <v>-2.2031000000000001</v>
      </c>
      <c r="Z51" s="5">
        <f>IF(  Z82&gt;$E$2, SUMIFS(IF($G$2="CPR",'Grid Data'!$AH$4:$AH$2342,'Grid Data'!$AI$4:$AI$2342),'Grid Data'!$Z$4:$Z$2342,$D51,'Grid Data'!$AA$4:$AA$2342,Z$4,'Grid Data'!$Y$4:$Y$2342,$D$2)*100-Z19, "--")</f>
        <v>-1.0830999999999991</v>
      </c>
      <c r="AA51" s="5">
        <f>IF(  AA82&gt;$E$2, SUMIFS(IF($G$2="CPR",'Grid Data'!$AH$4:$AH$2342,'Grid Data'!$AI$4:$AI$2342),'Grid Data'!$Z$4:$Z$2342,$D51,'Grid Data'!$AA$4:$AA$2342,AA$4,'Grid Data'!$Y$4:$Y$2342,$D$2)*100-AA19, "--")</f>
        <v>11.857900000000001</v>
      </c>
      <c r="AB51" s="5">
        <f>IF(  AB82&gt;$E$2, SUMIFS(IF($G$2="CPR",'Grid Data'!$AH$4:$AH$2342,'Grid Data'!$AI$4:$AI$2342),'Grid Data'!$Z$4:$Z$2342,$D51,'Grid Data'!$AA$4:$AA$2342,AB$4,'Grid Data'!$Y$4:$Y$2342,$D$2)*100-AB19, "--")</f>
        <v>-2.9813999999999989</v>
      </c>
      <c r="AC51" s="5">
        <f>IF(  AC82&gt;$E$2, SUMIFS(IF($G$2="CPR",'Grid Data'!$AH$4:$AH$2342,'Grid Data'!$AI$4:$AI$2342),'Grid Data'!$Z$4:$Z$2342,$D51,'Grid Data'!$AA$4:$AA$2342,AC$4,'Grid Data'!$Y$4:$Y$2342,$D$2)*100-AC19, "--")</f>
        <v>8.0427</v>
      </c>
      <c r="AD51" s="5">
        <f>IF(  AD82&gt;$E$2, SUMIFS(IF($G$2="CPR",'Grid Data'!$AH$4:$AH$2342,'Grid Data'!$AI$4:$AI$2342),'Grid Data'!$Z$4:$Z$2342,$D51,'Grid Data'!$AA$4:$AA$2342,AD$4,'Grid Data'!$Y$4:$Y$2342,$D$2)*100-AD19, "--")</f>
        <v>-1.0758000000000001</v>
      </c>
      <c r="AE51" s="5">
        <f>IF(  AE82&gt;$E$2, SUMIFS(IF($G$2="CPR",'Grid Data'!$AH$4:$AH$2342,'Grid Data'!$AI$4:$AI$2342),'Grid Data'!$Z$4:$Z$2342,$D51,'Grid Data'!$AA$4:$AA$2342,AE$4,'Grid Data'!$Y$4:$Y$2342,$D$2)*100-AE19, "--")</f>
        <v>-8.5599999999999454E-2</v>
      </c>
      <c r="AF51" s="5">
        <f>IF(  AF82&gt;$E$2, SUMIFS(IF($G$2="CPR",'Grid Data'!$AH$4:$AH$2342,'Grid Data'!$AI$4:$AI$2342),'Grid Data'!$Z$4:$Z$2342,$D51,'Grid Data'!$AA$4:$AA$2342,AF$4,'Grid Data'!$Y$4:$Y$2342,$D$2)*100-AF19, "--")</f>
        <v>3.1385000000000001</v>
      </c>
      <c r="AG51" s="5">
        <f>IF(  AG82&gt;$E$2, SUMIFS(IF($G$2="CPR",'Grid Data'!$AH$4:$AH$2342,'Grid Data'!$AI$4:$AI$2342),'Grid Data'!$Z$4:$Z$2342,$D51,'Grid Data'!$AA$4:$AA$2342,AG$4,'Grid Data'!$Y$4:$Y$2342,$D$2)*100-AG19, "--")</f>
        <v>-0.10939999999999905</v>
      </c>
      <c r="AH51" s="5" t="str">
        <f>IF(  AH82&gt;$E$2, SUMIFS(IF($G$2="CPR",'Grid Data'!$AH$4:$AH$2342,'Grid Data'!$AI$4:$AI$2342),'Grid Data'!$Z$4:$Z$2342,$D51,'Grid Data'!$AA$4:$AA$2342,AH$4,'Grid Data'!$Y$4:$Y$2342,$D$2)*100-AH19, "--")</f>
        <v>--</v>
      </c>
    </row>
    <row r="52" spans="4:34" x14ac:dyDescent="0.35">
      <c r="D52">
        <v>5750</v>
      </c>
      <c r="E52" s="5">
        <f>IF(  E83&gt;$E$2, SUMIFS(IF($G$2="CPR",'Grid Data'!$AH$4:$AH$2342,'Grid Data'!$AI$4:$AI$2342),'Grid Data'!$Z$4:$Z$2342,$D52,'Grid Data'!$AA$4:$AA$2342,E$4,'Grid Data'!$Y$4:$Y$2342,$D$2)*100-E20, "--")</f>
        <v>0.28750000000000009</v>
      </c>
      <c r="F52" s="5">
        <f>IF(  F83&gt;$E$2, SUMIFS(IF($G$2="CPR",'Grid Data'!$AH$4:$AH$2342,'Grid Data'!$AI$4:$AI$2342),'Grid Data'!$Z$4:$Z$2342,$D52,'Grid Data'!$AA$4:$AA$2342,F$4,'Grid Data'!$Y$4:$Y$2342,$D$2)*100-F20, "--")</f>
        <v>2.8844000000000012</v>
      </c>
      <c r="G52" s="5">
        <f>IF(  G83&gt;$E$2, SUMIFS(IF($G$2="CPR",'Grid Data'!$AH$4:$AH$2342,'Grid Data'!$AI$4:$AI$2342),'Grid Data'!$Z$4:$Z$2342,$D52,'Grid Data'!$AA$4:$AA$2342,G$4,'Grid Data'!$Y$4:$Y$2342,$D$2)*100-G20, "--")</f>
        <v>3.0079999999999996</v>
      </c>
      <c r="H52" s="5">
        <f>IF(  H83&gt;$E$2, SUMIFS(IF($G$2="CPR",'Grid Data'!$AH$4:$AH$2342,'Grid Data'!$AI$4:$AI$2342),'Grid Data'!$Z$4:$Z$2342,$D52,'Grid Data'!$AA$4:$AA$2342,H$4,'Grid Data'!$Y$4:$Y$2342,$D$2)*100-H20, "--")</f>
        <v>0.17749999999999932</v>
      </c>
      <c r="I52" s="5">
        <f>IF(  I83&gt;$E$2, SUMIFS(IF($G$2="CPR",'Grid Data'!$AH$4:$AH$2342,'Grid Data'!$AI$4:$AI$2342),'Grid Data'!$Z$4:$Z$2342,$D52,'Grid Data'!$AA$4:$AA$2342,I$4,'Grid Data'!$Y$4:$Y$2342,$D$2)*100-I20, "--")</f>
        <v>-3.6400000000000432E-2</v>
      </c>
      <c r="J52" s="5">
        <f>IF(  J83&gt;$E$2, SUMIFS(IF($G$2="CPR",'Grid Data'!$AH$4:$AH$2342,'Grid Data'!$AI$4:$AI$2342),'Grid Data'!$Z$4:$Z$2342,$D52,'Grid Data'!$AA$4:$AA$2342,J$4,'Grid Data'!$Y$4:$Y$2342,$D$2)*100-J20, "--")</f>
        <v>1.1958999999999991</v>
      </c>
      <c r="K52" s="5">
        <f>IF(  K83&gt;$E$2, SUMIFS(IF($G$2="CPR",'Grid Data'!$AH$4:$AH$2342,'Grid Data'!$AI$4:$AI$2342),'Grid Data'!$Z$4:$Z$2342,$D52,'Grid Data'!$AA$4:$AA$2342,K$4,'Grid Data'!$Y$4:$Y$2342,$D$2)*100-K20, "--")</f>
        <v>2.4854000000000003</v>
      </c>
      <c r="L52" s="5">
        <f>IF(  L83&gt;$E$2, SUMIFS(IF($G$2="CPR",'Grid Data'!$AH$4:$AH$2342,'Grid Data'!$AI$4:$AI$2342),'Grid Data'!$Z$4:$Z$2342,$D52,'Grid Data'!$AA$4:$AA$2342,L$4,'Grid Data'!$Y$4:$Y$2342,$D$2)*100-L20, "--")</f>
        <v>2.0988000000000007</v>
      </c>
      <c r="M52" s="5">
        <f>IF(  M83&gt;$E$2, SUMIFS(IF($G$2="CPR",'Grid Data'!$AH$4:$AH$2342,'Grid Data'!$AI$4:$AI$2342),'Grid Data'!$Z$4:$Z$2342,$D52,'Grid Data'!$AA$4:$AA$2342,M$4,'Grid Data'!$Y$4:$Y$2342,$D$2)*100-M20, "--")</f>
        <v>-1.3316999999999988</v>
      </c>
      <c r="N52" s="5">
        <f>IF(  N83&gt;$E$2, SUMIFS(IF($G$2="CPR",'Grid Data'!$AH$4:$AH$2342,'Grid Data'!$AI$4:$AI$2342),'Grid Data'!$Z$4:$Z$2342,$D52,'Grid Data'!$AA$4:$AA$2342,N$4,'Grid Data'!$Y$4:$Y$2342,$D$2)*100-N20, "--")</f>
        <v>1.0213999999999999</v>
      </c>
      <c r="O52" s="5">
        <f>IF(  O83&gt;$E$2, SUMIFS(IF($G$2="CPR",'Grid Data'!$AH$4:$AH$2342,'Grid Data'!$AI$4:$AI$2342),'Grid Data'!$Z$4:$Z$2342,$D52,'Grid Data'!$AA$4:$AA$2342,O$4,'Grid Data'!$Y$4:$Y$2342,$D$2)*100-O20, "--")</f>
        <v>1.9816000000000003</v>
      </c>
      <c r="P52" s="5">
        <f>IF(  P83&gt;$E$2, SUMIFS(IF($G$2="CPR",'Grid Data'!$AH$4:$AH$2342,'Grid Data'!$AI$4:$AI$2342),'Grid Data'!$Z$4:$Z$2342,$D52,'Grid Data'!$AA$4:$AA$2342,P$4,'Grid Data'!$Y$4:$Y$2342,$D$2)*100-P20, "--")</f>
        <v>0.96249999999999858</v>
      </c>
      <c r="Q52" s="5">
        <f>IF(  Q83&gt;$E$2, SUMIFS(IF($G$2="CPR",'Grid Data'!$AH$4:$AH$2342,'Grid Data'!$AI$4:$AI$2342),'Grid Data'!$Z$4:$Z$2342,$D52,'Grid Data'!$AA$4:$AA$2342,Q$4,'Grid Data'!$Y$4:$Y$2342,$D$2)*100-Q20, "--")</f>
        <v>2.6014999999999997</v>
      </c>
      <c r="R52" s="5">
        <f>IF(  R83&gt;$E$2, SUMIFS(IF($G$2="CPR",'Grid Data'!$AH$4:$AH$2342,'Grid Data'!$AI$4:$AI$2342),'Grid Data'!$Z$4:$Z$2342,$D52,'Grid Data'!$AA$4:$AA$2342,R$4,'Grid Data'!$Y$4:$Y$2342,$D$2)*100-R20, "--")</f>
        <v>2.452</v>
      </c>
      <c r="S52" s="5">
        <f>IF(  S83&gt;$E$2, SUMIFS(IF($G$2="CPR",'Grid Data'!$AH$4:$AH$2342,'Grid Data'!$AI$4:$AI$2342),'Grid Data'!$Z$4:$Z$2342,$D52,'Grid Data'!$AA$4:$AA$2342,S$4,'Grid Data'!$Y$4:$Y$2342,$D$2)*100-S20, "--")</f>
        <v>0.36630000000000074</v>
      </c>
      <c r="T52" s="5">
        <f>IF(  T83&gt;$E$2, SUMIFS(IF($G$2="CPR",'Grid Data'!$AH$4:$AH$2342,'Grid Data'!$AI$4:$AI$2342),'Grid Data'!$Z$4:$Z$2342,$D52,'Grid Data'!$AA$4:$AA$2342,T$4,'Grid Data'!$Y$4:$Y$2342,$D$2)*100-T20, "--")</f>
        <v>1.4748999999999999</v>
      </c>
      <c r="U52" s="5" t="str">
        <f>IF(  U83&gt;$E$2, SUMIFS(IF($G$2="CPR",'Grid Data'!$AH$4:$AH$2342,'Grid Data'!$AI$4:$AI$2342),'Grid Data'!$Z$4:$Z$2342,$D52,'Grid Data'!$AA$4:$AA$2342,U$4,'Grid Data'!$Y$4:$Y$2342,$D$2)*100-U20, "--")</f>
        <v>--</v>
      </c>
      <c r="V52" s="5" t="str">
        <f>IF(  V83&gt;$E$2, SUMIFS(IF($G$2="CPR",'Grid Data'!$AH$4:$AH$2342,'Grid Data'!$AI$4:$AI$2342),'Grid Data'!$Z$4:$Z$2342,$D52,'Grid Data'!$AA$4:$AA$2342,V$4,'Grid Data'!$Y$4:$Y$2342,$D$2)*100-V20, "--")</f>
        <v>--</v>
      </c>
      <c r="W52" s="5">
        <f>IF(  W83&gt;$E$2, SUMIFS(IF($G$2="CPR",'Grid Data'!$AH$4:$AH$2342,'Grid Data'!$AI$4:$AI$2342),'Grid Data'!$Z$4:$Z$2342,$D52,'Grid Data'!$AA$4:$AA$2342,W$4,'Grid Data'!$Y$4:$Y$2342,$D$2)*100-W20, "--")</f>
        <v>32.212499999999999</v>
      </c>
      <c r="X52" s="5">
        <f>IF(  X83&gt;$E$2, SUMIFS(IF($G$2="CPR",'Grid Data'!$AH$4:$AH$2342,'Grid Data'!$AI$4:$AI$2342),'Grid Data'!$Z$4:$Z$2342,$D52,'Grid Data'!$AA$4:$AA$2342,X$4,'Grid Data'!$Y$4:$Y$2342,$D$2)*100-X20, "--")</f>
        <v>-0.24120000000000097</v>
      </c>
      <c r="Y52" s="5">
        <f>IF(  Y83&gt;$E$2, SUMIFS(IF($G$2="CPR",'Grid Data'!$AH$4:$AH$2342,'Grid Data'!$AI$4:$AI$2342),'Grid Data'!$Z$4:$Z$2342,$D52,'Grid Data'!$AA$4:$AA$2342,Y$4,'Grid Data'!$Y$4:$Y$2342,$D$2)*100-Y20, "--")</f>
        <v>2.9599999999998516E-2</v>
      </c>
      <c r="Z52" s="5">
        <f>IF(  Z83&gt;$E$2, SUMIFS(IF($G$2="CPR",'Grid Data'!$AH$4:$AH$2342,'Grid Data'!$AI$4:$AI$2342),'Grid Data'!$Z$4:$Z$2342,$D52,'Grid Data'!$AA$4:$AA$2342,Z$4,'Grid Data'!$Y$4:$Y$2342,$D$2)*100-Z20, "--")</f>
        <v>12.0602</v>
      </c>
      <c r="AA52" s="5" t="str">
        <f>IF(  AA83&gt;$E$2, SUMIFS(IF($G$2="CPR",'Grid Data'!$AH$4:$AH$2342,'Grid Data'!$AI$4:$AI$2342),'Grid Data'!$Z$4:$Z$2342,$D52,'Grid Data'!$AA$4:$AA$2342,AA$4,'Grid Data'!$Y$4:$Y$2342,$D$2)*100-AA20, "--")</f>
        <v>--</v>
      </c>
      <c r="AB52" s="5">
        <f>IF(  AB83&gt;$E$2, SUMIFS(IF($G$2="CPR",'Grid Data'!$AH$4:$AH$2342,'Grid Data'!$AI$4:$AI$2342),'Grid Data'!$Z$4:$Z$2342,$D52,'Grid Data'!$AA$4:$AA$2342,AB$4,'Grid Data'!$Y$4:$Y$2342,$D$2)*100-AB20, "--")</f>
        <v>-4.7439</v>
      </c>
      <c r="AC52" s="5">
        <f>IF(  AC83&gt;$E$2, SUMIFS(IF($G$2="CPR",'Grid Data'!$AH$4:$AH$2342,'Grid Data'!$AI$4:$AI$2342),'Grid Data'!$Z$4:$Z$2342,$D52,'Grid Data'!$AA$4:$AA$2342,AC$4,'Grid Data'!$Y$4:$Y$2342,$D$2)*100-AC20, "--")</f>
        <v>8.33</v>
      </c>
      <c r="AD52" s="5">
        <f>IF(  AD83&gt;$E$2, SUMIFS(IF($G$2="CPR",'Grid Data'!$AH$4:$AH$2342,'Grid Data'!$AI$4:$AI$2342),'Grid Data'!$Z$4:$Z$2342,$D52,'Grid Data'!$AA$4:$AA$2342,AD$4,'Grid Data'!$Y$4:$Y$2342,$D$2)*100-AD20, "--")</f>
        <v>0.53560000000000052</v>
      </c>
      <c r="AE52" s="5">
        <f>IF(  AE83&gt;$E$2, SUMIFS(IF($G$2="CPR",'Grid Data'!$AH$4:$AH$2342,'Grid Data'!$AI$4:$AI$2342),'Grid Data'!$Z$4:$Z$2342,$D52,'Grid Data'!$AA$4:$AA$2342,AE$4,'Grid Data'!$Y$4:$Y$2342,$D$2)*100-AE20, "--")</f>
        <v>0.78960000000000097</v>
      </c>
      <c r="AF52" s="5">
        <f>IF(  AF83&gt;$E$2, SUMIFS(IF($G$2="CPR",'Grid Data'!$AH$4:$AH$2342,'Grid Data'!$AI$4:$AI$2342),'Grid Data'!$Z$4:$Z$2342,$D52,'Grid Data'!$AA$4:$AA$2342,AF$4,'Grid Data'!$Y$4:$Y$2342,$D$2)*100-AF20, "--")</f>
        <v>5.6997</v>
      </c>
      <c r="AG52" s="5">
        <f>IF(  AG83&gt;$E$2, SUMIFS(IF($G$2="CPR",'Grid Data'!$AH$4:$AH$2342,'Grid Data'!$AI$4:$AI$2342),'Grid Data'!$Z$4:$Z$2342,$D52,'Grid Data'!$AA$4:$AA$2342,AG$4,'Grid Data'!$Y$4:$Y$2342,$D$2)*100-AG20, "--")</f>
        <v>0.87890000000000068</v>
      </c>
      <c r="AH52" s="5">
        <f>IF(  AH83&gt;$E$2, SUMIFS(IF($G$2="CPR",'Grid Data'!$AH$4:$AH$2342,'Grid Data'!$AI$4:$AI$2342),'Grid Data'!$Z$4:$Z$2342,$D52,'Grid Data'!$AA$4:$AA$2342,AH$4,'Grid Data'!$Y$4:$Y$2342,$D$2)*100-AH20, "--")</f>
        <v>8.3220999999999989</v>
      </c>
    </row>
    <row r="53" spans="4:34" x14ac:dyDescent="0.35">
      <c r="D53">
        <v>6000</v>
      </c>
      <c r="E53" s="5">
        <f>IF(  E84&gt;$E$2, SUMIFS(IF($G$2="CPR",'Grid Data'!$AH$4:$AH$2342,'Grid Data'!$AI$4:$AI$2342),'Grid Data'!$Z$4:$Z$2342,$D53,'Grid Data'!$AA$4:$AA$2342,E$4,'Grid Data'!$Y$4:$Y$2342,$D$2)*100-E21, "--")</f>
        <v>-3.6399999999999988E-2</v>
      </c>
      <c r="F53" s="5">
        <f>IF(  F84&gt;$E$2, SUMIFS(IF($G$2="CPR",'Grid Data'!$AH$4:$AH$2342,'Grid Data'!$AI$4:$AI$2342),'Grid Data'!$Z$4:$Z$2342,$D53,'Grid Data'!$AA$4:$AA$2342,F$4,'Grid Data'!$Y$4:$Y$2342,$D$2)*100-F21, "--")</f>
        <v>0.86459999999999937</v>
      </c>
      <c r="G53" s="5">
        <f>IF(  G84&gt;$E$2, SUMIFS(IF($G$2="CPR",'Grid Data'!$AH$4:$AH$2342,'Grid Data'!$AI$4:$AI$2342),'Grid Data'!$Z$4:$Z$2342,$D53,'Grid Data'!$AA$4:$AA$2342,G$4,'Grid Data'!$Y$4:$Y$2342,$D$2)*100-G21, "--")</f>
        <v>0.68369999999999997</v>
      </c>
      <c r="H53" s="5">
        <f>IF(  H84&gt;$E$2, SUMIFS(IF($G$2="CPR",'Grid Data'!$AH$4:$AH$2342,'Grid Data'!$AI$4:$AI$2342),'Grid Data'!$Z$4:$Z$2342,$D53,'Grid Data'!$AA$4:$AA$2342,H$4,'Grid Data'!$Y$4:$Y$2342,$D$2)*100-H21, "--")</f>
        <v>3.5524000000000004</v>
      </c>
      <c r="I53" s="5">
        <f>IF(  I84&gt;$E$2, SUMIFS(IF($G$2="CPR",'Grid Data'!$AH$4:$AH$2342,'Grid Data'!$AI$4:$AI$2342),'Grid Data'!$Z$4:$Z$2342,$D53,'Grid Data'!$AA$4:$AA$2342,I$4,'Grid Data'!$Y$4:$Y$2342,$D$2)*100-I21, "--")</f>
        <v>2.6257999999999999</v>
      </c>
      <c r="J53" s="5">
        <f>IF(  J84&gt;$E$2, SUMIFS(IF($G$2="CPR",'Grid Data'!$AH$4:$AH$2342,'Grid Data'!$AI$4:$AI$2342),'Grid Data'!$Z$4:$Z$2342,$D53,'Grid Data'!$AA$4:$AA$2342,J$4,'Grid Data'!$Y$4:$Y$2342,$D$2)*100-J21, "--")</f>
        <v>3.5015000000000001</v>
      </c>
      <c r="K53" s="5">
        <f>IF(  K84&gt;$E$2, SUMIFS(IF($G$2="CPR",'Grid Data'!$AH$4:$AH$2342,'Grid Data'!$AI$4:$AI$2342),'Grid Data'!$Z$4:$Z$2342,$D53,'Grid Data'!$AA$4:$AA$2342,K$4,'Grid Data'!$Y$4:$Y$2342,$D$2)*100-K21, "--")</f>
        <v>2.698500000000001</v>
      </c>
      <c r="L53" s="5">
        <f>IF(  L84&gt;$E$2, SUMIFS(IF($G$2="CPR",'Grid Data'!$AH$4:$AH$2342,'Grid Data'!$AI$4:$AI$2342),'Grid Data'!$Z$4:$Z$2342,$D53,'Grid Data'!$AA$4:$AA$2342,L$4,'Grid Data'!$Y$4:$Y$2342,$D$2)*100-L21, "--")</f>
        <v>0.17360000000000042</v>
      </c>
      <c r="M53" s="5">
        <f>IF(  M84&gt;$E$2, SUMIFS(IF($G$2="CPR",'Grid Data'!$AH$4:$AH$2342,'Grid Data'!$AI$4:$AI$2342),'Grid Data'!$Z$4:$Z$2342,$D53,'Grid Data'!$AA$4:$AA$2342,M$4,'Grid Data'!$Y$4:$Y$2342,$D$2)*100-M21, "--")</f>
        <v>0.43820000000000014</v>
      </c>
      <c r="N53" s="5">
        <f>IF(  N84&gt;$E$2, SUMIFS(IF($G$2="CPR",'Grid Data'!$AH$4:$AH$2342,'Grid Data'!$AI$4:$AI$2342),'Grid Data'!$Z$4:$Z$2342,$D53,'Grid Data'!$AA$4:$AA$2342,N$4,'Grid Data'!$Y$4:$Y$2342,$D$2)*100-N21, "--")</f>
        <v>2.5378000000000007</v>
      </c>
      <c r="O53" s="5">
        <f>IF(  O84&gt;$E$2, SUMIFS(IF($G$2="CPR",'Grid Data'!$AH$4:$AH$2342,'Grid Data'!$AI$4:$AI$2342),'Grid Data'!$Z$4:$Z$2342,$D53,'Grid Data'!$AA$4:$AA$2342,O$4,'Grid Data'!$Y$4:$Y$2342,$D$2)*100-O21, "--")</f>
        <v>0.50109999999999921</v>
      </c>
      <c r="P53" s="5">
        <f>IF(  P84&gt;$E$2, SUMIFS(IF($G$2="CPR",'Grid Data'!$AH$4:$AH$2342,'Grid Data'!$AI$4:$AI$2342),'Grid Data'!$Z$4:$Z$2342,$D53,'Grid Data'!$AA$4:$AA$2342,P$4,'Grid Data'!$Y$4:$Y$2342,$D$2)*100-P21, "--")</f>
        <v>0.92869999999999919</v>
      </c>
      <c r="Q53" s="5">
        <f>IF(  Q84&gt;$E$2, SUMIFS(IF($G$2="CPR",'Grid Data'!$AH$4:$AH$2342,'Grid Data'!$AI$4:$AI$2342),'Grid Data'!$Z$4:$Z$2342,$D53,'Grid Data'!$AA$4:$AA$2342,Q$4,'Grid Data'!$Y$4:$Y$2342,$D$2)*100-Q21, "--")</f>
        <v>1.6656999999999993</v>
      </c>
      <c r="R53" s="5">
        <f>IF(  R84&gt;$E$2, SUMIFS(IF($G$2="CPR",'Grid Data'!$AH$4:$AH$2342,'Grid Data'!$AI$4:$AI$2342),'Grid Data'!$Z$4:$Z$2342,$D53,'Grid Data'!$AA$4:$AA$2342,R$4,'Grid Data'!$Y$4:$Y$2342,$D$2)*100-R21, "--")</f>
        <v>0.2784999999999993</v>
      </c>
      <c r="S53" s="5">
        <f>IF(  S84&gt;$E$2, SUMIFS(IF($G$2="CPR",'Grid Data'!$AH$4:$AH$2342,'Grid Data'!$AI$4:$AI$2342),'Grid Data'!$Z$4:$Z$2342,$D53,'Grid Data'!$AA$4:$AA$2342,S$4,'Grid Data'!$Y$4:$Y$2342,$D$2)*100-S21, "--")</f>
        <v>3.2289999999999992</v>
      </c>
      <c r="T53" s="5">
        <f>IF(  T84&gt;$E$2, SUMIFS(IF($G$2="CPR",'Grid Data'!$AH$4:$AH$2342,'Grid Data'!$AI$4:$AI$2342),'Grid Data'!$Z$4:$Z$2342,$D53,'Grid Data'!$AA$4:$AA$2342,T$4,'Grid Data'!$Y$4:$Y$2342,$D$2)*100-T21, "--")</f>
        <v>-1.5532000000000004</v>
      </c>
      <c r="U53" s="5" t="str">
        <f>IF(  U84&gt;$E$2, SUMIFS(IF($G$2="CPR",'Grid Data'!$AH$4:$AH$2342,'Grid Data'!$AI$4:$AI$2342),'Grid Data'!$Z$4:$Z$2342,$D53,'Grid Data'!$AA$4:$AA$2342,U$4,'Grid Data'!$Y$4:$Y$2342,$D$2)*100-U21, "--")</f>
        <v>--</v>
      </c>
      <c r="V53" s="5" t="str">
        <f>IF(  V84&gt;$E$2, SUMIFS(IF($G$2="CPR",'Grid Data'!$AH$4:$AH$2342,'Grid Data'!$AI$4:$AI$2342),'Grid Data'!$Z$4:$Z$2342,$D53,'Grid Data'!$AA$4:$AA$2342,V$4,'Grid Data'!$Y$4:$Y$2342,$D$2)*100-V21, "--")</f>
        <v>--</v>
      </c>
      <c r="W53" s="5" t="str">
        <f>IF(  W84&gt;$E$2, SUMIFS(IF($G$2="CPR",'Grid Data'!$AH$4:$AH$2342,'Grid Data'!$AI$4:$AI$2342),'Grid Data'!$Z$4:$Z$2342,$D53,'Grid Data'!$AA$4:$AA$2342,W$4,'Grid Data'!$Y$4:$Y$2342,$D$2)*100-W21, "--")</f>
        <v>--</v>
      </c>
      <c r="X53" s="5">
        <f>IF(  X84&gt;$E$2, SUMIFS(IF($G$2="CPR",'Grid Data'!$AH$4:$AH$2342,'Grid Data'!$AI$4:$AI$2342),'Grid Data'!$Z$4:$Z$2342,$D53,'Grid Data'!$AA$4:$AA$2342,X$4,'Grid Data'!$Y$4:$Y$2342,$D$2)*100-X21, "--")</f>
        <v>-7.1697999999999995</v>
      </c>
      <c r="Y53" s="5">
        <f>IF(  Y84&gt;$E$2, SUMIFS(IF($G$2="CPR",'Grid Data'!$AH$4:$AH$2342,'Grid Data'!$AI$4:$AI$2342),'Grid Data'!$Z$4:$Z$2342,$D53,'Grid Data'!$AA$4:$AA$2342,Y$4,'Grid Data'!$Y$4:$Y$2342,$D$2)*100-Y21, "--")</f>
        <v>4.8922999999999996</v>
      </c>
      <c r="Z53" s="5" t="str">
        <f>IF(  Z84&gt;$E$2, SUMIFS(IF($G$2="CPR",'Grid Data'!$AH$4:$AH$2342,'Grid Data'!$AI$4:$AI$2342),'Grid Data'!$Z$4:$Z$2342,$D53,'Grid Data'!$AA$4:$AA$2342,Z$4,'Grid Data'!$Y$4:$Y$2342,$D$2)*100-Z21, "--")</f>
        <v>--</v>
      </c>
      <c r="AA53" s="5" t="str">
        <f>IF(  AA84&gt;$E$2, SUMIFS(IF($G$2="CPR",'Grid Data'!$AH$4:$AH$2342,'Grid Data'!$AI$4:$AI$2342),'Grid Data'!$Z$4:$Z$2342,$D53,'Grid Data'!$AA$4:$AA$2342,AA$4,'Grid Data'!$Y$4:$Y$2342,$D$2)*100-AA21, "--")</f>
        <v>--</v>
      </c>
      <c r="AB53" s="5" t="str">
        <f>IF(  AB84&gt;$E$2, SUMIFS(IF($G$2="CPR",'Grid Data'!$AH$4:$AH$2342,'Grid Data'!$AI$4:$AI$2342),'Grid Data'!$Z$4:$Z$2342,$D53,'Grid Data'!$AA$4:$AA$2342,AB$4,'Grid Data'!$Y$4:$Y$2342,$D$2)*100-AB21, "--")</f>
        <v>--</v>
      </c>
      <c r="AC53" s="5" t="str">
        <f>IF(  AC84&gt;$E$2, SUMIFS(IF($G$2="CPR",'Grid Data'!$AH$4:$AH$2342,'Grid Data'!$AI$4:$AI$2342),'Grid Data'!$Z$4:$Z$2342,$D53,'Grid Data'!$AA$4:$AA$2342,AC$4,'Grid Data'!$Y$4:$Y$2342,$D$2)*100-AC21, "--")</f>
        <v>--</v>
      </c>
      <c r="AD53" s="5">
        <f>IF(  AD84&gt;$E$2, SUMIFS(IF($G$2="CPR",'Grid Data'!$AH$4:$AH$2342,'Grid Data'!$AI$4:$AI$2342),'Grid Data'!$Z$4:$Z$2342,$D53,'Grid Data'!$AA$4:$AA$2342,AD$4,'Grid Data'!$Y$4:$Y$2342,$D$2)*100-AD21, "--")</f>
        <v>-6.7519000000000009</v>
      </c>
      <c r="AE53" s="5">
        <f>IF(  AE84&gt;$E$2, SUMIFS(IF($G$2="CPR",'Grid Data'!$AH$4:$AH$2342,'Grid Data'!$AI$4:$AI$2342),'Grid Data'!$Z$4:$Z$2342,$D53,'Grid Data'!$AA$4:$AA$2342,AE$4,'Grid Data'!$Y$4:$Y$2342,$D$2)*100-AE21, "--")</f>
        <v>0.68969999999999931</v>
      </c>
      <c r="AF53" s="5">
        <f>IF(  AF84&gt;$E$2, SUMIFS(IF($G$2="CPR",'Grid Data'!$AH$4:$AH$2342,'Grid Data'!$AI$4:$AI$2342),'Grid Data'!$Z$4:$Z$2342,$D53,'Grid Data'!$AA$4:$AA$2342,AF$4,'Grid Data'!$Y$4:$Y$2342,$D$2)*100-AF21, "--")</f>
        <v>-1.4736000000000002</v>
      </c>
      <c r="AG53" s="5">
        <f>IF(  AG84&gt;$E$2, SUMIFS(IF($G$2="CPR",'Grid Data'!$AH$4:$AH$2342,'Grid Data'!$AI$4:$AI$2342),'Grid Data'!$Z$4:$Z$2342,$D53,'Grid Data'!$AA$4:$AA$2342,AG$4,'Grid Data'!$Y$4:$Y$2342,$D$2)*100-AG21, "--")</f>
        <v>0.29819999999999958</v>
      </c>
      <c r="AH53" s="5">
        <f>IF(  AH84&gt;$E$2, SUMIFS(IF($G$2="CPR",'Grid Data'!$AH$4:$AH$2342,'Grid Data'!$AI$4:$AI$2342),'Grid Data'!$Z$4:$Z$2342,$D53,'Grid Data'!$AA$4:$AA$2342,AH$4,'Grid Data'!$Y$4:$Y$2342,$D$2)*100-AH21, "--")</f>
        <v>11.445499999999999</v>
      </c>
    </row>
    <row r="54" spans="4:34" x14ac:dyDescent="0.35">
      <c r="D54">
        <v>6250</v>
      </c>
      <c r="E54" s="5">
        <f>IF(  E85&gt;$E$2, SUMIFS(IF($G$2="CPR",'Grid Data'!$AH$4:$AH$2342,'Grid Data'!$AI$4:$AI$2342),'Grid Data'!$Z$4:$Z$2342,$D54,'Grid Data'!$AA$4:$AA$2342,E$4,'Grid Data'!$Y$4:$Y$2342,$D$2)*100-E22, "--")</f>
        <v>7.0899999999999741E-2</v>
      </c>
      <c r="F54" s="5">
        <f>IF(  F85&gt;$E$2, SUMIFS(IF($G$2="CPR",'Grid Data'!$AH$4:$AH$2342,'Grid Data'!$AI$4:$AI$2342),'Grid Data'!$Z$4:$Z$2342,$D54,'Grid Data'!$AA$4:$AA$2342,F$4,'Grid Data'!$Y$4:$Y$2342,$D$2)*100-F22, "--")</f>
        <v>1.4258000000000006</v>
      </c>
      <c r="G54" s="5">
        <f>IF(  G85&gt;$E$2, SUMIFS(IF($G$2="CPR",'Grid Data'!$AH$4:$AH$2342,'Grid Data'!$AI$4:$AI$2342),'Grid Data'!$Z$4:$Z$2342,$D54,'Grid Data'!$AA$4:$AA$2342,G$4,'Grid Data'!$Y$4:$Y$2342,$D$2)*100-G22, "--")</f>
        <v>8.936399999999999</v>
      </c>
      <c r="H54" s="5">
        <f>IF(  H85&gt;$E$2, SUMIFS(IF($G$2="CPR",'Grid Data'!$AH$4:$AH$2342,'Grid Data'!$AI$4:$AI$2342),'Grid Data'!$Z$4:$Z$2342,$D54,'Grid Data'!$AA$4:$AA$2342,H$4,'Grid Data'!$Y$4:$Y$2342,$D$2)*100-H22, "--")</f>
        <v>5.8004999999999995</v>
      </c>
      <c r="I54" s="5">
        <f>IF(  I85&gt;$E$2, SUMIFS(IF($G$2="CPR",'Grid Data'!$AH$4:$AH$2342,'Grid Data'!$AI$4:$AI$2342),'Grid Data'!$Z$4:$Z$2342,$D54,'Grid Data'!$AA$4:$AA$2342,I$4,'Grid Data'!$Y$4:$Y$2342,$D$2)*100-I22, "--")</f>
        <v>6.8009999999999984</v>
      </c>
      <c r="J54" s="5">
        <f>IF(  J85&gt;$E$2, SUMIFS(IF($G$2="CPR",'Grid Data'!$AH$4:$AH$2342,'Grid Data'!$AI$4:$AI$2342),'Grid Data'!$Z$4:$Z$2342,$D54,'Grid Data'!$AA$4:$AA$2342,J$4,'Grid Data'!$Y$4:$Y$2342,$D$2)*100-J22, "--")</f>
        <v>5.3797000000000015</v>
      </c>
      <c r="K54" s="5">
        <f>IF(  K85&gt;$E$2, SUMIFS(IF($G$2="CPR",'Grid Data'!$AH$4:$AH$2342,'Grid Data'!$AI$4:$AI$2342),'Grid Data'!$Z$4:$Z$2342,$D54,'Grid Data'!$AA$4:$AA$2342,K$4,'Grid Data'!$Y$4:$Y$2342,$D$2)*100-K22, "--")</f>
        <v>5.5016999999999996</v>
      </c>
      <c r="L54" s="5">
        <f>IF(  L85&gt;$E$2, SUMIFS(IF($G$2="CPR",'Grid Data'!$AH$4:$AH$2342,'Grid Data'!$AI$4:$AI$2342),'Grid Data'!$Z$4:$Z$2342,$D54,'Grid Data'!$AA$4:$AA$2342,L$4,'Grid Data'!$Y$4:$Y$2342,$D$2)*100-L22, "--")</f>
        <v>5.116399999999997</v>
      </c>
      <c r="M54" s="5">
        <f>IF(  M85&gt;$E$2, SUMIFS(IF($G$2="CPR",'Grid Data'!$AH$4:$AH$2342,'Grid Data'!$AI$4:$AI$2342),'Grid Data'!$Z$4:$Z$2342,$D54,'Grid Data'!$AA$4:$AA$2342,M$4,'Grid Data'!$Y$4:$Y$2342,$D$2)*100-M22, "--")</f>
        <v>4.2762999999999991</v>
      </c>
      <c r="N54" s="5">
        <f>IF(  N85&gt;$E$2, SUMIFS(IF($G$2="CPR",'Grid Data'!$AH$4:$AH$2342,'Grid Data'!$AI$4:$AI$2342),'Grid Data'!$Z$4:$Z$2342,$D54,'Grid Data'!$AA$4:$AA$2342,N$4,'Grid Data'!$Y$4:$Y$2342,$D$2)*100-N22, "--")</f>
        <v>2.4916</v>
      </c>
      <c r="O54" s="5">
        <f>IF(  O85&gt;$E$2, SUMIFS(IF($G$2="CPR",'Grid Data'!$AH$4:$AH$2342,'Grid Data'!$AI$4:$AI$2342),'Grid Data'!$Z$4:$Z$2342,$D54,'Grid Data'!$AA$4:$AA$2342,O$4,'Grid Data'!$Y$4:$Y$2342,$D$2)*100-O22, "--")</f>
        <v>4.3157000000000014</v>
      </c>
      <c r="P54" s="5">
        <f>IF(  P85&gt;$E$2, SUMIFS(IF($G$2="CPR",'Grid Data'!$AH$4:$AH$2342,'Grid Data'!$AI$4:$AI$2342),'Grid Data'!$Z$4:$Z$2342,$D54,'Grid Data'!$AA$4:$AA$2342,P$4,'Grid Data'!$Y$4:$Y$2342,$D$2)*100-P22, "--")</f>
        <v>4.1721999999999984</v>
      </c>
      <c r="Q54" s="5">
        <f>IF(  Q85&gt;$E$2, SUMIFS(IF($G$2="CPR",'Grid Data'!$AH$4:$AH$2342,'Grid Data'!$AI$4:$AI$2342),'Grid Data'!$Z$4:$Z$2342,$D54,'Grid Data'!$AA$4:$AA$2342,Q$4,'Grid Data'!$Y$4:$Y$2342,$D$2)*100-Q22, "--")</f>
        <v>5.0614999999999988</v>
      </c>
      <c r="R54" s="5">
        <f>IF(  R85&gt;$E$2, SUMIFS(IF($G$2="CPR",'Grid Data'!$AH$4:$AH$2342,'Grid Data'!$AI$4:$AI$2342),'Grid Data'!$Z$4:$Z$2342,$D54,'Grid Data'!$AA$4:$AA$2342,R$4,'Grid Data'!$Y$4:$Y$2342,$D$2)*100-R22, "--")</f>
        <v>2.1576000000000004</v>
      </c>
      <c r="S54" s="5">
        <f>IF(  S85&gt;$E$2, SUMIFS(IF($G$2="CPR",'Grid Data'!$AH$4:$AH$2342,'Grid Data'!$AI$4:$AI$2342),'Grid Data'!$Z$4:$Z$2342,$D54,'Grid Data'!$AA$4:$AA$2342,S$4,'Grid Data'!$Y$4:$Y$2342,$D$2)*100-S22, "--")</f>
        <v>3.8339000000000016</v>
      </c>
      <c r="T54" s="5">
        <f>IF(  T85&gt;$E$2, SUMIFS(IF($G$2="CPR",'Grid Data'!$AH$4:$AH$2342,'Grid Data'!$AI$4:$AI$2342),'Grid Data'!$Z$4:$Z$2342,$D54,'Grid Data'!$AA$4:$AA$2342,T$4,'Grid Data'!$Y$4:$Y$2342,$D$2)*100-T22, "--")</f>
        <v>3.6265999999999998</v>
      </c>
      <c r="U54" s="5" t="str">
        <f>IF(  U85&gt;$E$2, SUMIFS(IF($G$2="CPR",'Grid Data'!$AH$4:$AH$2342,'Grid Data'!$AI$4:$AI$2342),'Grid Data'!$Z$4:$Z$2342,$D54,'Grid Data'!$AA$4:$AA$2342,U$4,'Grid Data'!$Y$4:$Y$2342,$D$2)*100-U22, "--")</f>
        <v>--</v>
      </c>
      <c r="V54" s="5" t="str">
        <f>IF(  V85&gt;$E$2, SUMIFS(IF($G$2="CPR",'Grid Data'!$AH$4:$AH$2342,'Grid Data'!$AI$4:$AI$2342),'Grid Data'!$Z$4:$Z$2342,$D54,'Grid Data'!$AA$4:$AA$2342,V$4,'Grid Data'!$Y$4:$Y$2342,$D$2)*100-V22, "--")</f>
        <v>--</v>
      </c>
      <c r="W54" s="5" t="str">
        <f>IF(  W85&gt;$E$2, SUMIFS(IF($G$2="CPR",'Grid Data'!$AH$4:$AH$2342,'Grid Data'!$AI$4:$AI$2342),'Grid Data'!$Z$4:$Z$2342,$D54,'Grid Data'!$AA$4:$AA$2342,W$4,'Grid Data'!$Y$4:$Y$2342,$D$2)*100-W22, "--")</f>
        <v>--</v>
      </c>
      <c r="X54" s="5">
        <f>IF(  X85&gt;$E$2, SUMIFS(IF($G$2="CPR",'Grid Data'!$AH$4:$AH$2342,'Grid Data'!$AI$4:$AI$2342),'Grid Data'!$Z$4:$Z$2342,$D54,'Grid Data'!$AA$4:$AA$2342,X$4,'Grid Data'!$Y$4:$Y$2342,$D$2)*100-X22, "--")</f>
        <v>-0.50950000000000095</v>
      </c>
      <c r="Y54" s="5">
        <f>IF(  Y85&gt;$E$2, SUMIFS(IF($G$2="CPR",'Grid Data'!$AH$4:$AH$2342,'Grid Data'!$AI$4:$AI$2342),'Grid Data'!$Z$4:$Z$2342,$D54,'Grid Data'!$AA$4:$AA$2342,Y$4,'Grid Data'!$Y$4:$Y$2342,$D$2)*100-Y22, "--")</f>
        <v>-2.0214000000000016</v>
      </c>
      <c r="Z54" s="5" t="str">
        <f>IF(  Z85&gt;$E$2, SUMIFS(IF($G$2="CPR",'Grid Data'!$AH$4:$AH$2342,'Grid Data'!$AI$4:$AI$2342),'Grid Data'!$Z$4:$Z$2342,$D54,'Grid Data'!$AA$4:$AA$2342,Z$4,'Grid Data'!$Y$4:$Y$2342,$D$2)*100-Z22, "--")</f>
        <v>--</v>
      </c>
      <c r="AA54" s="5" t="str">
        <f>IF(  AA85&gt;$E$2, SUMIFS(IF($G$2="CPR",'Grid Data'!$AH$4:$AH$2342,'Grid Data'!$AI$4:$AI$2342),'Grid Data'!$Z$4:$Z$2342,$D54,'Grid Data'!$AA$4:$AA$2342,AA$4,'Grid Data'!$Y$4:$Y$2342,$D$2)*100-AA22, "--")</f>
        <v>--</v>
      </c>
      <c r="AB54" s="5" t="str">
        <f>IF(  AB85&gt;$E$2, SUMIFS(IF($G$2="CPR",'Grid Data'!$AH$4:$AH$2342,'Grid Data'!$AI$4:$AI$2342),'Grid Data'!$Z$4:$Z$2342,$D54,'Grid Data'!$AA$4:$AA$2342,AB$4,'Grid Data'!$Y$4:$Y$2342,$D$2)*100-AB22, "--")</f>
        <v>--</v>
      </c>
      <c r="AC54" s="5" t="str">
        <f>IF(  AC85&gt;$E$2, SUMIFS(IF($G$2="CPR",'Grid Data'!$AH$4:$AH$2342,'Grid Data'!$AI$4:$AI$2342),'Grid Data'!$Z$4:$Z$2342,$D54,'Grid Data'!$AA$4:$AA$2342,AC$4,'Grid Data'!$Y$4:$Y$2342,$D$2)*100-AC22, "--")</f>
        <v>--</v>
      </c>
      <c r="AD54" s="5">
        <f>IF(  AD85&gt;$E$2, SUMIFS(IF($G$2="CPR",'Grid Data'!$AH$4:$AH$2342,'Grid Data'!$AI$4:$AI$2342),'Grid Data'!$Z$4:$Z$2342,$D54,'Grid Data'!$AA$4:$AA$2342,AD$4,'Grid Data'!$Y$4:$Y$2342,$D$2)*100-AD22, "--")</f>
        <v>20.395299999999999</v>
      </c>
      <c r="AE54" s="5">
        <f>IF(  AE85&gt;$E$2, SUMIFS(IF($G$2="CPR",'Grid Data'!$AH$4:$AH$2342,'Grid Data'!$AI$4:$AI$2342),'Grid Data'!$Z$4:$Z$2342,$D54,'Grid Data'!$AA$4:$AA$2342,AE$4,'Grid Data'!$Y$4:$Y$2342,$D$2)*100-AE22, "--")</f>
        <v>-4.8120000000000003</v>
      </c>
      <c r="AF54" s="5">
        <f>IF(  AF85&gt;$E$2, SUMIFS(IF($G$2="CPR",'Grid Data'!$AH$4:$AH$2342,'Grid Data'!$AI$4:$AI$2342),'Grid Data'!$Z$4:$Z$2342,$D54,'Grid Data'!$AA$4:$AA$2342,AF$4,'Grid Data'!$Y$4:$Y$2342,$D$2)*100-AF22, "--")</f>
        <v>-4.0347000000000017</v>
      </c>
      <c r="AG54" s="5">
        <f>IF(  AG85&gt;$E$2, SUMIFS(IF($G$2="CPR",'Grid Data'!$AH$4:$AH$2342,'Grid Data'!$AI$4:$AI$2342),'Grid Data'!$Z$4:$Z$2342,$D54,'Grid Data'!$AA$4:$AA$2342,AG$4,'Grid Data'!$Y$4:$Y$2342,$D$2)*100-AG22, "--")</f>
        <v>0.45059999999999967</v>
      </c>
      <c r="AH54" s="5">
        <f>IF(  AH85&gt;$E$2, SUMIFS(IF($G$2="CPR",'Grid Data'!$AH$4:$AH$2342,'Grid Data'!$AI$4:$AI$2342),'Grid Data'!$Z$4:$Z$2342,$D54,'Grid Data'!$AA$4:$AA$2342,AH$4,'Grid Data'!$Y$4:$Y$2342,$D$2)*100-AH22, "--")</f>
        <v>-11.172699999999999</v>
      </c>
    </row>
    <row r="55" spans="4:34" x14ac:dyDescent="0.35">
      <c r="D55">
        <v>6500</v>
      </c>
      <c r="E55" s="5">
        <f>IF(  E86&gt;$E$2, SUMIFS(IF($G$2="CPR",'Grid Data'!$AH$4:$AH$2342,'Grid Data'!$AI$4:$AI$2342),'Grid Data'!$Z$4:$Z$2342,$D55,'Grid Data'!$AA$4:$AA$2342,E$4,'Grid Data'!$Y$4:$Y$2342,$D$2)*100-E23, "--")</f>
        <v>0.74619999999999953</v>
      </c>
      <c r="F55" s="5">
        <f>IF(  F86&gt;$E$2, SUMIFS(IF($G$2="CPR",'Grid Data'!$AH$4:$AH$2342,'Grid Data'!$AI$4:$AI$2342),'Grid Data'!$Z$4:$Z$2342,$D55,'Grid Data'!$AA$4:$AA$2342,F$4,'Grid Data'!$Y$4:$Y$2342,$D$2)*100-F23, "--")</f>
        <v>0.72179999999999822</v>
      </c>
      <c r="G55" s="5">
        <f>IF(  G86&gt;$E$2, SUMIFS(IF($G$2="CPR",'Grid Data'!$AH$4:$AH$2342,'Grid Data'!$AI$4:$AI$2342),'Grid Data'!$Z$4:$Z$2342,$D55,'Grid Data'!$AA$4:$AA$2342,G$4,'Grid Data'!$Y$4:$Y$2342,$D$2)*100-G23, "--")</f>
        <v>5.4664999999999999</v>
      </c>
      <c r="H55" s="5">
        <f>IF(  H86&gt;$E$2, SUMIFS(IF($G$2="CPR",'Grid Data'!$AH$4:$AH$2342,'Grid Data'!$AI$4:$AI$2342),'Grid Data'!$Z$4:$Z$2342,$D55,'Grid Data'!$AA$4:$AA$2342,H$4,'Grid Data'!$Y$4:$Y$2342,$D$2)*100-H23, "--")</f>
        <v>4.1087999999999987</v>
      </c>
      <c r="I55" s="5">
        <f>IF(  I86&gt;$E$2, SUMIFS(IF($G$2="CPR",'Grid Data'!$AH$4:$AH$2342,'Grid Data'!$AI$4:$AI$2342),'Grid Data'!$Z$4:$Z$2342,$D55,'Grid Data'!$AA$4:$AA$2342,I$4,'Grid Data'!$Y$4:$Y$2342,$D$2)*100-I23, "--")</f>
        <v>0.35429999999999851</v>
      </c>
      <c r="J55" s="5">
        <f>IF(  J86&gt;$E$2, SUMIFS(IF($G$2="CPR",'Grid Data'!$AH$4:$AH$2342,'Grid Data'!$AI$4:$AI$2342),'Grid Data'!$Z$4:$Z$2342,$D55,'Grid Data'!$AA$4:$AA$2342,J$4,'Grid Data'!$Y$4:$Y$2342,$D$2)*100-J23, "--")</f>
        <v>6.4059999999999988</v>
      </c>
      <c r="K55" s="5">
        <f>IF(  K86&gt;$E$2, SUMIFS(IF($G$2="CPR",'Grid Data'!$AH$4:$AH$2342,'Grid Data'!$AI$4:$AI$2342),'Grid Data'!$Z$4:$Z$2342,$D55,'Grid Data'!$AA$4:$AA$2342,K$4,'Grid Data'!$Y$4:$Y$2342,$D$2)*100-K23, "--")</f>
        <v>10.500900000000001</v>
      </c>
      <c r="L55" s="5">
        <f>IF(  L86&gt;$E$2, SUMIFS(IF($G$2="CPR",'Grid Data'!$AH$4:$AH$2342,'Grid Data'!$AI$4:$AI$2342),'Grid Data'!$Z$4:$Z$2342,$D55,'Grid Data'!$AA$4:$AA$2342,L$4,'Grid Data'!$Y$4:$Y$2342,$D$2)*100-L23, "--")</f>
        <v>2.6280000000000001</v>
      </c>
      <c r="M55" s="5">
        <f>IF(  M86&gt;$E$2, SUMIFS(IF($G$2="CPR",'Grid Data'!$AH$4:$AH$2342,'Grid Data'!$AI$4:$AI$2342),'Grid Data'!$Z$4:$Z$2342,$D55,'Grid Data'!$AA$4:$AA$2342,M$4,'Grid Data'!$Y$4:$Y$2342,$D$2)*100-M23, "--")</f>
        <v>2.5227000000000004</v>
      </c>
      <c r="N55" s="5">
        <f>IF(  N86&gt;$E$2, SUMIFS(IF($G$2="CPR",'Grid Data'!$AH$4:$AH$2342,'Grid Data'!$AI$4:$AI$2342),'Grid Data'!$Z$4:$Z$2342,$D55,'Grid Data'!$AA$4:$AA$2342,N$4,'Grid Data'!$Y$4:$Y$2342,$D$2)*100-N23, "--")</f>
        <v>5.7292000000000005</v>
      </c>
      <c r="O55" s="5">
        <f>IF(  O86&gt;$E$2, SUMIFS(IF($G$2="CPR",'Grid Data'!$AH$4:$AH$2342,'Grid Data'!$AI$4:$AI$2342),'Grid Data'!$Z$4:$Z$2342,$D55,'Grid Data'!$AA$4:$AA$2342,O$4,'Grid Data'!$Y$4:$Y$2342,$D$2)*100-O23, "--")</f>
        <v>6.4459999999999997</v>
      </c>
      <c r="P55" s="5">
        <f>IF(  P86&gt;$E$2, SUMIFS(IF($G$2="CPR",'Grid Data'!$AH$4:$AH$2342,'Grid Data'!$AI$4:$AI$2342),'Grid Data'!$Z$4:$Z$2342,$D55,'Grid Data'!$AA$4:$AA$2342,P$4,'Grid Data'!$Y$4:$Y$2342,$D$2)*100-P23, "--")</f>
        <v>2.5038000000000018</v>
      </c>
      <c r="Q55" s="5">
        <f>IF(  Q86&gt;$E$2, SUMIFS(IF($G$2="CPR",'Grid Data'!$AH$4:$AH$2342,'Grid Data'!$AI$4:$AI$2342),'Grid Data'!$Z$4:$Z$2342,$D55,'Grid Data'!$AA$4:$AA$2342,Q$4,'Grid Data'!$Y$4:$Y$2342,$D$2)*100-Q23, "--")</f>
        <v>3.0657999999999994</v>
      </c>
      <c r="R55" s="5">
        <f>IF(  R86&gt;$E$2, SUMIFS(IF($G$2="CPR",'Grid Data'!$AH$4:$AH$2342,'Grid Data'!$AI$4:$AI$2342),'Grid Data'!$Z$4:$Z$2342,$D55,'Grid Data'!$AA$4:$AA$2342,R$4,'Grid Data'!$Y$4:$Y$2342,$D$2)*100-R23, "--")</f>
        <v>1.3627999999999982</v>
      </c>
      <c r="S55" s="5">
        <f>IF(  S86&gt;$E$2, SUMIFS(IF($G$2="CPR",'Grid Data'!$AH$4:$AH$2342,'Grid Data'!$AI$4:$AI$2342),'Grid Data'!$Z$4:$Z$2342,$D55,'Grid Data'!$AA$4:$AA$2342,S$4,'Grid Data'!$Y$4:$Y$2342,$D$2)*100-S23, "--")</f>
        <v>6.8266000000000027</v>
      </c>
      <c r="T55" s="5">
        <f>IF(  T86&gt;$E$2, SUMIFS(IF($G$2="CPR",'Grid Data'!$AH$4:$AH$2342,'Grid Data'!$AI$4:$AI$2342),'Grid Data'!$Z$4:$Z$2342,$D55,'Grid Data'!$AA$4:$AA$2342,T$4,'Grid Data'!$Y$4:$Y$2342,$D$2)*100-T23, "--")</f>
        <v>9.190199999999999</v>
      </c>
      <c r="U55" s="5" t="str">
        <f>IF(  U86&gt;$E$2, SUMIFS(IF($G$2="CPR",'Grid Data'!$AH$4:$AH$2342,'Grid Data'!$AI$4:$AI$2342),'Grid Data'!$Z$4:$Z$2342,$D55,'Grid Data'!$AA$4:$AA$2342,U$4,'Grid Data'!$Y$4:$Y$2342,$D$2)*100-U23, "--")</f>
        <v>--</v>
      </c>
      <c r="V55" s="5" t="str">
        <f>IF(  V86&gt;$E$2, SUMIFS(IF($G$2="CPR",'Grid Data'!$AH$4:$AH$2342,'Grid Data'!$AI$4:$AI$2342),'Grid Data'!$Z$4:$Z$2342,$D55,'Grid Data'!$AA$4:$AA$2342,V$4,'Grid Data'!$Y$4:$Y$2342,$D$2)*100-V23, "--")</f>
        <v>--</v>
      </c>
      <c r="W55" s="5" t="str">
        <f>IF(  W86&gt;$E$2, SUMIFS(IF($G$2="CPR",'Grid Data'!$AH$4:$AH$2342,'Grid Data'!$AI$4:$AI$2342),'Grid Data'!$Z$4:$Z$2342,$D55,'Grid Data'!$AA$4:$AA$2342,W$4,'Grid Data'!$Y$4:$Y$2342,$D$2)*100-W23, "--")</f>
        <v>--</v>
      </c>
      <c r="X55" s="5" t="str">
        <f>IF(  X86&gt;$E$2, SUMIFS(IF($G$2="CPR",'Grid Data'!$AH$4:$AH$2342,'Grid Data'!$AI$4:$AI$2342),'Grid Data'!$Z$4:$Z$2342,$D55,'Grid Data'!$AA$4:$AA$2342,X$4,'Grid Data'!$Y$4:$Y$2342,$D$2)*100-X23, "--")</f>
        <v>--</v>
      </c>
      <c r="Y55" s="5" t="str">
        <f>IF(  Y86&gt;$E$2, SUMIFS(IF($G$2="CPR",'Grid Data'!$AH$4:$AH$2342,'Grid Data'!$AI$4:$AI$2342),'Grid Data'!$Z$4:$Z$2342,$D55,'Grid Data'!$AA$4:$AA$2342,Y$4,'Grid Data'!$Y$4:$Y$2342,$D$2)*100-Y23, "--")</f>
        <v>--</v>
      </c>
      <c r="Z55" s="5" t="str">
        <f>IF(  Z86&gt;$E$2, SUMIFS(IF($G$2="CPR",'Grid Data'!$AH$4:$AH$2342,'Grid Data'!$AI$4:$AI$2342),'Grid Data'!$Z$4:$Z$2342,$D55,'Grid Data'!$AA$4:$AA$2342,Z$4,'Grid Data'!$Y$4:$Y$2342,$D$2)*100-Z23, "--")</f>
        <v>--</v>
      </c>
      <c r="AA55" s="5" t="str">
        <f>IF(  AA86&gt;$E$2, SUMIFS(IF($G$2="CPR",'Grid Data'!$AH$4:$AH$2342,'Grid Data'!$AI$4:$AI$2342),'Grid Data'!$Z$4:$Z$2342,$D55,'Grid Data'!$AA$4:$AA$2342,AA$4,'Grid Data'!$Y$4:$Y$2342,$D$2)*100-AA23, "--")</f>
        <v>--</v>
      </c>
      <c r="AB55" s="5" t="str">
        <f>IF(  AB86&gt;$E$2, SUMIFS(IF($G$2="CPR",'Grid Data'!$AH$4:$AH$2342,'Grid Data'!$AI$4:$AI$2342),'Grid Data'!$Z$4:$Z$2342,$D55,'Grid Data'!$AA$4:$AA$2342,AB$4,'Grid Data'!$Y$4:$Y$2342,$D$2)*100-AB23, "--")</f>
        <v>--</v>
      </c>
      <c r="AC55" s="5">
        <f>IF(  AC86&gt;$E$2, SUMIFS(IF($G$2="CPR",'Grid Data'!$AH$4:$AH$2342,'Grid Data'!$AI$4:$AI$2342),'Grid Data'!$Z$4:$Z$2342,$D55,'Grid Data'!$AA$4:$AA$2342,AC$4,'Grid Data'!$Y$4:$Y$2342,$D$2)*100-AC23, "--")</f>
        <v>-16.911899999999999</v>
      </c>
      <c r="AD55" s="5">
        <f>IF(  AD86&gt;$E$2, SUMIFS(IF($G$2="CPR",'Grid Data'!$AH$4:$AH$2342,'Grid Data'!$AI$4:$AI$2342),'Grid Data'!$Z$4:$Z$2342,$D55,'Grid Data'!$AA$4:$AA$2342,AD$4,'Grid Data'!$Y$4:$Y$2342,$D$2)*100-AD23, "--")</f>
        <v>-10.8774</v>
      </c>
      <c r="AE55" s="5">
        <f>IF(  AE86&gt;$E$2, SUMIFS(IF($G$2="CPR",'Grid Data'!$AH$4:$AH$2342,'Grid Data'!$AI$4:$AI$2342),'Grid Data'!$Z$4:$Z$2342,$D55,'Grid Data'!$AA$4:$AA$2342,AE$4,'Grid Data'!$Y$4:$Y$2342,$D$2)*100-AE23, "--")</f>
        <v>-0.35080000000000133</v>
      </c>
      <c r="AF55" s="5">
        <f>IF(  AF86&gt;$E$2, SUMIFS(IF($G$2="CPR",'Grid Data'!$AH$4:$AH$2342,'Grid Data'!$AI$4:$AI$2342),'Grid Data'!$Z$4:$Z$2342,$D55,'Grid Data'!$AA$4:$AA$2342,AF$4,'Grid Data'!$Y$4:$Y$2342,$D$2)*100-AF23, "--")</f>
        <v>0.82470000000000088</v>
      </c>
      <c r="AG55" s="5">
        <f>IF(  AG86&gt;$E$2, SUMIFS(IF($G$2="CPR",'Grid Data'!$AH$4:$AH$2342,'Grid Data'!$AI$4:$AI$2342),'Grid Data'!$Z$4:$Z$2342,$D55,'Grid Data'!$AA$4:$AA$2342,AG$4,'Grid Data'!$Y$4:$Y$2342,$D$2)*100-AG23, "--")</f>
        <v>0.52389999999999937</v>
      </c>
      <c r="AH55" s="5">
        <f>IF(  AH86&gt;$E$2, SUMIFS(IF($G$2="CPR",'Grid Data'!$AH$4:$AH$2342,'Grid Data'!$AI$4:$AI$2342),'Grid Data'!$Z$4:$Z$2342,$D55,'Grid Data'!$AA$4:$AA$2342,AH$4,'Grid Data'!$Y$4:$Y$2342,$D$2)*100-AH23, "--")</f>
        <v>0.14950000000000152</v>
      </c>
    </row>
    <row r="56" spans="4:34" x14ac:dyDescent="0.35">
      <c r="D56">
        <v>6750</v>
      </c>
      <c r="E56" s="5">
        <f>IF(  E87&gt;$E$2, SUMIFS(IF($G$2="CPR",'Grid Data'!$AH$4:$AH$2342,'Grid Data'!$AI$4:$AI$2342),'Grid Data'!$Z$4:$Z$2342,$D56,'Grid Data'!$AA$4:$AA$2342,E$4,'Grid Data'!$Y$4:$Y$2342,$D$2)*100-E24, "--")</f>
        <v>6.7000000000003723E-3</v>
      </c>
      <c r="F56" s="5">
        <f>IF(  F87&gt;$E$2, SUMIFS(IF($G$2="CPR",'Grid Data'!$AH$4:$AH$2342,'Grid Data'!$AI$4:$AI$2342),'Grid Data'!$Z$4:$Z$2342,$D56,'Grid Data'!$AA$4:$AA$2342,F$4,'Grid Data'!$Y$4:$Y$2342,$D$2)*100-F24, "--")</f>
        <v>1.5850000000000044</v>
      </c>
      <c r="G56" s="5">
        <f>IF(  G87&gt;$E$2, SUMIFS(IF($G$2="CPR",'Grid Data'!$AH$4:$AH$2342,'Grid Data'!$AI$4:$AI$2342),'Grid Data'!$Z$4:$Z$2342,$D56,'Grid Data'!$AA$4:$AA$2342,G$4,'Grid Data'!$Y$4:$Y$2342,$D$2)*100-G24, "--")</f>
        <v>3.4291999999999945</v>
      </c>
      <c r="H56" s="5">
        <f>IF(  H87&gt;$E$2, SUMIFS(IF($G$2="CPR",'Grid Data'!$AH$4:$AH$2342,'Grid Data'!$AI$4:$AI$2342),'Grid Data'!$Z$4:$Z$2342,$D56,'Grid Data'!$AA$4:$AA$2342,H$4,'Grid Data'!$Y$4:$Y$2342,$D$2)*100-H24, "--")</f>
        <v>2.4858999999999973</v>
      </c>
      <c r="I56" s="5">
        <f>IF(  I87&gt;$E$2, SUMIFS(IF($G$2="CPR",'Grid Data'!$AH$4:$AH$2342,'Grid Data'!$AI$4:$AI$2342),'Grid Data'!$Z$4:$Z$2342,$D56,'Grid Data'!$AA$4:$AA$2342,I$4,'Grid Data'!$Y$4:$Y$2342,$D$2)*100-I24, "--")</f>
        <v>0.29719999999999658</v>
      </c>
      <c r="J56" s="5">
        <f>IF(  J87&gt;$E$2, SUMIFS(IF($G$2="CPR",'Grid Data'!$AH$4:$AH$2342,'Grid Data'!$AI$4:$AI$2342),'Grid Data'!$Z$4:$Z$2342,$D56,'Grid Data'!$AA$4:$AA$2342,J$4,'Grid Data'!$Y$4:$Y$2342,$D$2)*100-J24, "--")</f>
        <v>-2.6299999999999102E-2</v>
      </c>
      <c r="K56" s="5">
        <f>IF(  K87&gt;$E$2, SUMIFS(IF($G$2="CPR",'Grid Data'!$AH$4:$AH$2342,'Grid Data'!$AI$4:$AI$2342),'Grid Data'!$Z$4:$Z$2342,$D56,'Grid Data'!$AA$4:$AA$2342,K$4,'Grid Data'!$Y$4:$Y$2342,$D$2)*100-K24, "--")</f>
        <v>4.4632999999999967</v>
      </c>
      <c r="L56" s="5">
        <f>IF(  L87&gt;$E$2, SUMIFS(IF($G$2="CPR",'Grid Data'!$AH$4:$AH$2342,'Grid Data'!$AI$4:$AI$2342),'Grid Data'!$Z$4:$Z$2342,$D56,'Grid Data'!$AA$4:$AA$2342,L$4,'Grid Data'!$Y$4:$Y$2342,$D$2)*100-L24, "--")</f>
        <v>3.1849000000000025</v>
      </c>
      <c r="M56" s="5">
        <f>IF(  M87&gt;$E$2, SUMIFS(IF($G$2="CPR",'Grid Data'!$AH$4:$AH$2342,'Grid Data'!$AI$4:$AI$2342),'Grid Data'!$Z$4:$Z$2342,$D56,'Grid Data'!$AA$4:$AA$2342,M$4,'Grid Data'!$Y$4:$Y$2342,$D$2)*100-M24, "--")</f>
        <v>2.0008000000000017</v>
      </c>
      <c r="N56" s="5">
        <f>IF(  N87&gt;$E$2, SUMIFS(IF($G$2="CPR",'Grid Data'!$AH$4:$AH$2342,'Grid Data'!$AI$4:$AI$2342),'Grid Data'!$Z$4:$Z$2342,$D56,'Grid Data'!$AA$4:$AA$2342,N$4,'Grid Data'!$Y$4:$Y$2342,$D$2)*100-N24, "--")</f>
        <v>8.0610999999999962</v>
      </c>
      <c r="O56" s="5">
        <f>IF(  O87&gt;$E$2, SUMIFS(IF($G$2="CPR",'Grid Data'!$AH$4:$AH$2342,'Grid Data'!$AI$4:$AI$2342),'Grid Data'!$Z$4:$Z$2342,$D56,'Grid Data'!$AA$4:$AA$2342,O$4,'Grid Data'!$Y$4:$Y$2342,$D$2)*100-O24, "--")</f>
        <v>7.8645999999999994</v>
      </c>
      <c r="P56" s="5">
        <f>IF(  P87&gt;$E$2, SUMIFS(IF($G$2="CPR",'Grid Data'!$AH$4:$AH$2342,'Grid Data'!$AI$4:$AI$2342),'Grid Data'!$Z$4:$Z$2342,$D56,'Grid Data'!$AA$4:$AA$2342,P$4,'Grid Data'!$Y$4:$Y$2342,$D$2)*100-P24, "--")</f>
        <v>6.4300999999999995</v>
      </c>
      <c r="Q56" s="5">
        <f>IF(  Q87&gt;$E$2, SUMIFS(IF($G$2="CPR",'Grid Data'!$AH$4:$AH$2342,'Grid Data'!$AI$4:$AI$2342),'Grid Data'!$Z$4:$Z$2342,$D56,'Grid Data'!$AA$4:$AA$2342,Q$4,'Grid Data'!$Y$4:$Y$2342,$D$2)*100-Q24, "--")</f>
        <v>3.6219000000000001</v>
      </c>
      <c r="R56" s="5">
        <f>IF(  R87&gt;$E$2, SUMIFS(IF($G$2="CPR",'Grid Data'!$AH$4:$AH$2342,'Grid Data'!$AI$4:$AI$2342),'Grid Data'!$Z$4:$Z$2342,$D56,'Grid Data'!$AA$4:$AA$2342,R$4,'Grid Data'!$Y$4:$Y$2342,$D$2)*100-R24, "--")</f>
        <v>3.1739999999999995</v>
      </c>
      <c r="S56" s="5">
        <f>IF(  S87&gt;$E$2, SUMIFS(IF($G$2="CPR",'Grid Data'!$AH$4:$AH$2342,'Grid Data'!$AI$4:$AI$2342),'Grid Data'!$Z$4:$Z$2342,$D56,'Grid Data'!$AA$4:$AA$2342,S$4,'Grid Data'!$Y$4:$Y$2342,$D$2)*100-S24, "--")</f>
        <v>5.5384999999999991</v>
      </c>
      <c r="T56" s="5">
        <f>IF(  T87&gt;$E$2, SUMIFS(IF($G$2="CPR",'Grid Data'!$AH$4:$AH$2342,'Grid Data'!$AI$4:$AI$2342),'Grid Data'!$Z$4:$Z$2342,$D56,'Grid Data'!$AA$4:$AA$2342,T$4,'Grid Data'!$Y$4:$Y$2342,$D$2)*100-T24, "--")</f>
        <v>12.207100000000002</v>
      </c>
      <c r="U56" s="5" t="str">
        <f>IF(  U87&gt;$E$2, SUMIFS(IF($G$2="CPR",'Grid Data'!$AH$4:$AH$2342,'Grid Data'!$AI$4:$AI$2342),'Grid Data'!$Z$4:$Z$2342,$D56,'Grid Data'!$AA$4:$AA$2342,U$4,'Grid Data'!$Y$4:$Y$2342,$D$2)*100-U24, "--")</f>
        <v>--</v>
      </c>
      <c r="V56" s="5" t="str">
        <f>IF(  V87&gt;$E$2, SUMIFS(IF($G$2="CPR",'Grid Data'!$AH$4:$AH$2342,'Grid Data'!$AI$4:$AI$2342),'Grid Data'!$Z$4:$Z$2342,$D56,'Grid Data'!$AA$4:$AA$2342,V$4,'Grid Data'!$Y$4:$Y$2342,$D$2)*100-V24, "--")</f>
        <v>--</v>
      </c>
      <c r="W56" s="5" t="str">
        <f>IF(  W87&gt;$E$2, SUMIFS(IF($G$2="CPR",'Grid Data'!$AH$4:$AH$2342,'Grid Data'!$AI$4:$AI$2342),'Grid Data'!$Z$4:$Z$2342,$D56,'Grid Data'!$AA$4:$AA$2342,W$4,'Grid Data'!$Y$4:$Y$2342,$D$2)*100-W24, "--")</f>
        <v>--</v>
      </c>
      <c r="X56" s="5" t="str">
        <f>IF(  X87&gt;$E$2, SUMIFS(IF($G$2="CPR",'Grid Data'!$AH$4:$AH$2342,'Grid Data'!$AI$4:$AI$2342),'Grid Data'!$Z$4:$Z$2342,$D56,'Grid Data'!$AA$4:$AA$2342,X$4,'Grid Data'!$Y$4:$Y$2342,$D$2)*100-X24, "--")</f>
        <v>--</v>
      </c>
      <c r="Y56" s="5" t="str">
        <f>IF(  Y87&gt;$E$2, SUMIFS(IF($G$2="CPR",'Grid Data'!$AH$4:$AH$2342,'Grid Data'!$AI$4:$AI$2342),'Grid Data'!$Z$4:$Z$2342,$D56,'Grid Data'!$AA$4:$AA$2342,Y$4,'Grid Data'!$Y$4:$Y$2342,$D$2)*100-Y24, "--")</f>
        <v>--</v>
      </c>
      <c r="Z56" s="5" t="str">
        <f>IF(  Z87&gt;$E$2, SUMIFS(IF($G$2="CPR",'Grid Data'!$AH$4:$AH$2342,'Grid Data'!$AI$4:$AI$2342),'Grid Data'!$Z$4:$Z$2342,$D56,'Grid Data'!$AA$4:$AA$2342,Z$4,'Grid Data'!$Y$4:$Y$2342,$D$2)*100-Z24, "--")</f>
        <v>--</v>
      </c>
      <c r="AA56" s="5" t="str">
        <f>IF(  AA87&gt;$E$2, SUMIFS(IF($G$2="CPR",'Grid Data'!$AH$4:$AH$2342,'Grid Data'!$AI$4:$AI$2342),'Grid Data'!$Z$4:$Z$2342,$D56,'Grid Data'!$AA$4:$AA$2342,AA$4,'Grid Data'!$Y$4:$Y$2342,$D$2)*100-AA24, "--")</f>
        <v>--</v>
      </c>
      <c r="AB56" s="5" t="str">
        <f>IF(  AB87&gt;$E$2, SUMIFS(IF($G$2="CPR",'Grid Data'!$AH$4:$AH$2342,'Grid Data'!$AI$4:$AI$2342),'Grid Data'!$Z$4:$Z$2342,$D56,'Grid Data'!$AA$4:$AA$2342,AB$4,'Grid Data'!$Y$4:$Y$2342,$D$2)*100-AB24, "--")</f>
        <v>--</v>
      </c>
      <c r="AC56" s="5" t="str">
        <f>IF(  AC87&gt;$E$2, SUMIFS(IF($G$2="CPR",'Grid Data'!$AH$4:$AH$2342,'Grid Data'!$AI$4:$AI$2342),'Grid Data'!$Z$4:$Z$2342,$D56,'Grid Data'!$AA$4:$AA$2342,AC$4,'Grid Data'!$Y$4:$Y$2342,$D$2)*100-AC24, "--")</f>
        <v>--</v>
      </c>
      <c r="AD56" s="5" t="str">
        <f>IF(  AD87&gt;$E$2, SUMIFS(IF($G$2="CPR",'Grid Data'!$AH$4:$AH$2342,'Grid Data'!$AI$4:$AI$2342),'Grid Data'!$Z$4:$Z$2342,$D56,'Grid Data'!$AA$4:$AA$2342,AD$4,'Grid Data'!$Y$4:$Y$2342,$D$2)*100-AD24, "--")</f>
        <v>--</v>
      </c>
      <c r="AE56" s="5">
        <f>IF(  AE87&gt;$E$2, SUMIFS(IF($G$2="CPR",'Grid Data'!$AH$4:$AH$2342,'Grid Data'!$AI$4:$AI$2342),'Grid Data'!$Z$4:$Z$2342,$D56,'Grid Data'!$AA$4:$AA$2342,AE$4,'Grid Data'!$Y$4:$Y$2342,$D$2)*100-AE24, "--")</f>
        <v>0.22920000000000051</v>
      </c>
      <c r="AF56" s="5">
        <f>IF(  AF87&gt;$E$2, SUMIFS(IF($G$2="CPR",'Grid Data'!$AH$4:$AH$2342,'Grid Data'!$AI$4:$AI$2342),'Grid Data'!$Z$4:$Z$2342,$D56,'Grid Data'!$AA$4:$AA$2342,AF$4,'Grid Data'!$Y$4:$Y$2342,$D$2)*100-AF24, "--")</f>
        <v>3.1858000000000004</v>
      </c>
      <c r="AG56" s="5">
        <f>IF(  AG87&gt;$E$2, SUMIFS(IF($G$2="CPR",'Grid Data'!$AH$4:$AH$2342,'Grid Data'!$AI$4:$AI$2342),'Grid Data'!$Z$4:$Z$2342,$D56,'Grid Data'!$AA$4:$AA$2342,AG$4,'Grid Data'!$Y$4:$Y$2342,$D$2)*100-AG24, "--")</f>
        <v>-0.35240000000000027</v>
      </c>
      <c r="AH56" s="5">
        <f>IF(  AH87&gt;$E$2, SUMIFS(IF($G$2="CPR",'Grid Data'!$AH$4:$AH$2342,'Grid Data'!$AI$4:$AI$2342),'Grid Data'!$Z$4:$Z$2342,$D56,'Grid Data'!$AA$4:$AA$2342,AH$4,'Grid Data'!$Y$4:$Y$2342,$D$2)*100-AH24, "--")</f>
        <v>11.060400000000001</v>
      </c>
    </row>
    <row r="57" spans="4:34" x14ac:dyDescent="0.35">
      <c r="D57">
        <v>7000</v>
      </c>
      <c r="E57" s="5">
        <f>IF(  E88&gt;$E$2, SUMIFS(IF($G$2="CPR",'Grid Data'!$AH$4:$AH$2342,'Grid Data'!$AI$4:$AI$2342),'Grid Data'!$Z$4:$Z$2342,$D57,'Grid Data'!$AA$4:$AA$2342,E$4,'Grid Data'!$Y$4:$Y$2342,$D$2)*100-E25, "--")</f>
        <v>0.16650000000000009</v>
      </c>
      <c r="F57" s="5">
        <f>IF(  F88&gt;$E$2, SUMIFS(IF($G$2="CPR",'Grid Data'!$AH$4:$AH$2342,'Grid Data'!$AI$4:$AI$2342),'Grid Data'!$Z$4:$Z$2342,$D57,'Grid Data'!$AA$4:$AA$2342,F$4,'Grid Data'!$Y$4:$Y$2342,$D$2)*100-F25, "--")</f>
        <v>-1.4491000000000014</v>
      </c>
      <c r="G57" s="5">
        <f>IF(  G88&gt;$E$2, SUMIFS(IF($G$2="CPR",'Grid Data'!$AH$4:$AH$2342,'Grid Data'!$AI$4:$AI$2342),'Grid Data'!$Z$4:$Z$2342,$D57,'Grid Data'!$AA$4:$AA$2342,G$4,'Grid Data'!$Y$4:$Y$2342,$D$2)*100-G25, "--")</f>
        <v>-1.3609000000000009</v>
      </c>
      <c r="H57" s="5">
        <f>IF(  H88&gt;$E$2, SUMIFS(IF($G$2="CPR",'Grid Data'!$AH$4:$AH$2342,'Grid Data'!$AI$4:$AI$2342),'Grid Data'!$Z$4:$Z$2342,$D57,'Grid Data'!$AA$4:$AA$2342,H$4,'Grid Data'!$Y$4:$Y$2342,$D$2)*100-H25, "--")</f>
        <v>-1.9626000000000019</v>
      </c>
      <c r="I57" s="5">
        <f>IF(  I88&gt;$E$2, SUMIFS(IF($G$2="CPR",'Grid Data'!$AH$4:$AH$2342,'Grid Data'!$AI$4:$AI$2342),'Grid Data'!$Z$4:$Z$2342,$D57,'Grid Data'!$AA$4:$AA$2342,I$4,'Grid Data'!$Y$4:$Y$2342,$D$2)*100-I25, "--")</f>
        <v>-5.8445</v>
      </c>
      <c r="J57" s="5">
        <f>IF(  J88&gt;$E$2, SUMIFS(IF($G$2="CPR",'Grid Data'!$AH$4:$AH$2342,'Grid Data'!$AI$4:$AI$2342),'Grid Data'!$Z$4:$Z$2342,$D57,'Grid Data'!$AA$4:$AA$2342,J$4,'Grid Data'!$Y$4:$Y$2342,$D$2)*100-J25, "--")</f>
        <v>5.0053999999999981</v>
      </c>
      <c r="K57" s="5">
        <f>IF(  K88&gt;$E$2, SUMIFS(IF($G$2="CPR",'Grid Data'!$AH$4:$AH$2342,'Grid Data'!$AI$4:$AI$2342),'Grid Data'!$Z$4:$Z$2342,$D57,'Grid Data'!$AA$4:$AA$2342,K$4,'Grid Data'!$Y$4:$Y$2342,$D$2)*100-K25, "--")</f>
        <v>2.7999000000000009</v>
      </c>
      <c r="L57" s="5">
        <f>IF(  L88&gt;$E$2, SUMIFS(IF($G$2="CPR",'Grid Data'!$AH$4:$AH$2342,'Grid Data'!$AI$4:$AI$2342),'Grid Data'!$Z$4:$Z$2342,$D57,'Grid Data'!$AA$4:$AA$2342,L$4,'Grid Data'!$Y$4:$Y$2342,$D$2)*100-L25, "--")</f>
        <v>1.6951000000000001</v>
      </c>
      <c r="M57" s="5">
        <f>IF(  M88&gt;$E$2, SUMIFS(IF($G$2="CPR",'Grid Data'!$AH$4:$AH$2342,'Grid Data'!$AI$4:$AI$2342),'Grid Data'!$Z$4:$Z$2342,$D57,'Grid Data'!$AA$4:$AA$2342,M$4,'Grid Data'!$Y$4:$Y$2342,$D$2)*100-M25, "--")</f>
        <v>4.372799999999998</v>
      </c>
      <c r="N57" s="5">
        <f>IF(  N88&gt;$E$2, SUMIFS(IF($G$2="CPR",'Grid Data'!$AH$4:$AH$2342,'Grid Data'!$AI$4:$AI$2342),'Grid Data'!$Z$4:$Z$2342,$D57,'Grid Data'!$AA$4:$AA$2342,N$4,'Grid Data'!$Y$4:$Y$2342,$D$2)*100-N25, "--")</f>
        <v>1.8148000000000017</v>
      </c>
      <c r="O57" s="5">
        <f>IF(  O88&gt;$E$2, SUMIFS(IF($G$2="CPR",'Grid Data'!$AH$4:$AH$2342,'Grid Data'!$AI$4:$AI$2342),'Grid Data'!$Z$4:$Z$2342,$D57,'Grid Data'!$AA$4:$AA$2342,O$4,'Grid Data'!$Y$4:$Y$2342,$D$2)*100-O25, "--")</f>
        <v>6.8743000000000016</v>
      </c>
      <c r="P57" s="5">
        <f>IF(  P88&gt;$E$2, SUMIFS(IF($G$2="CPR",'Grid Data'!$AH$4:$AH$2342,'Grid Data'!$AI$4:$AI$2342),'Grid Data'!$Z$4:$Z$2342,$D57,'Grid Data'!$AA$4:$AA$2342,P$4,'Grid Data'!$Y$4:$Y$2342,$D$2)*100-P25, "--")</f>
        <v>1.7659999999999982</v>
      </c>
      <c r="Q57" s="5">
        <f>IF(  Q88&gt;$E$2, SUMIFS(IF($G$2="CPR",'Grid Data'!$AH$4:$AH$2342,'Grid Data'!$AI$4:$AI$2342),'Grid Data'!$Z$4:$Z$2342,$D57,'Grid Data'!$AA$4:$AA$2342,Q$4,'Grid Data'!$Y$4:$Y$2342,$D$2)*100-Q25, "--")</f>
        <v>2.4663000000000004</v>
      </c>
      <c r="R57" s="5">
        <f>IF(  R88&gt;$E$2, SUMIFS(IF($G$2="CPR",'Grid Data'!$AH$4:$AH$2342,'Grid Data'!$AI$4:$AI$2342),'Grid Data'!$Z$4:$Z$2342,$D57,'Grid Data'!$AA$4:$AA$2342,R$4,'Grid Data'!$Y$4:$Y$2342,$D$2)*100-R25, "--")</f>
        <v>1.0572000000000017</v>
      </c>
      <c r="S57" s="5">
        <f>IF(  S88&gt;$E$2, SUMIFS(IF($G$2="CPR",'Grid Data'!$AH$4:$AH$2342,'Grid Data'!$AI$4:$AI$2342),'Grid Data'!$Z$4:$Z$2342,$D57,'Grid Data'!$AA$4:$AA$2342,S$4,'Grid Data'!$Y$4:$Y$2342,$D$2)*100-S25, "--")</f>
        <v>1.5777000000000001</v>
      </c>
      <c r="T57" s="5">
        <f>IF(  T88&gt;$E$2, SUMIFS(IF($G$2="CPR",'Grid Data'!$AH$4:$AH$2342,'Grid Data'!$AI$4:$AI$2342),'Grid Data'!$Z$4:$Z$2342,$D57,'Grid Data'!$AA$4:$AA$2342,T$4,'Grid Data'!$Y$4:$Y$2342,$D$2)*100-T25, "--")</f>
        <v>-8.0690999999999988</v>
      </c>
      <c r="U57" s="5" t="str">
        <f>IF(  U88&gt;$E$2, SUMIFS(IF($G$2="CPR",'Grid Data'!$AH$4:$AH$2342,'Grid Data'!$AI$4:$AI$2342),'Grid Data'!$Z$4:$Z$2342,$D57,'Grid Data'!$AA$4:$AA$2342,U$4,'Grid Data'!$Y$4:$Y$2342,$D$2)*100-U25, "--")</f>
        <v>--</v>
      </c>
      <c r="V57" s="5" t="str">
        <f>IF(  V88&gt;$E$2, SUMIFS(IF($G$2="CPR",'Grid Data'!$AH$4:$AH$2342,'Grid Data'!$AI$4:$AI$2342),'Grid Data'!$Z$4:$Z$2342,$D57,'Grid Data'!$AA$4:$AA$2342,V$4,'Grid Data'!$Y$4:$Y$2342,$D$2)*100-V25, "--")</f>
        <v>--</v>
      </c>
      <c r="W57" s="5" t="str">
        <f>IF(  W88&gt;$E$2, SUMIFS(IF($G$2="CPR",'Grid Data'!$AH$4:$AH$2342,'Grid Data'!$AI$4:$AI$2342),'Grid Data'!$Z$4:$Z$2342,$D57,'Grid Data'!$AA$4:$AA$2342,W$4,'Grid Data'!$Y$4:$Y$2342,$D$2)*100-W25, "--")</f>
        <v>--</v>
      </c>
      <c r="X57" s="5" t="str">
        <f>IF(  X88&gt;$E$2, SUMIFS(IF($G$2="CPR",'Grid Data'!$AH$4:$AH$2342,'Grid Data'!$AI$4:$AI$2342),'Grid Data'!$Z$4:$Z$2342,$D57,'Grid Data'!$AA$4:$AA$2342,X$4,'Grid Data'!$Y$4:$Y$2342,$D$2)*100-X25, "--")</f>
        <v>--</v>
      </c>
      <c r="Y57" s="5" t="str">
        <f>IF(  Y88&gt;$E$2, SUMIFS(IF($G$2="CPR",'Grid Data'!$AH$4:$AH$2342,'Grid Data'!$AI$4:$AI$2342),'Grid Data'!$Z$4:$Z$2342,$D57,'Grid Data'!$AA$4:$AA$2342,Y$4,'Grid Data'!$Y$4:$Y$2342,$D$2)*100-Y25, "--")</f>
        <v>--</v>
      </c>
      <c r="Z57" s="5" t="str">
        <f>IF(  Z88&gt;$E$2, SUMIFS(IF($G$2="CPR",'Grid Data'!$AH$4:$AH$2342,'Grid Data'!$AI$4:$AI$2342),'Grid Data'!$Z$4:$Z$2342,$D57,'Grid Data'!$AA$4:$AA$2342,Z$4,'Grid Data'!$Y$4:$Y$2342,$D$2)*100-Z25, "--")</f>
        <v>--</v>
      </c>
      <c r="AA57" s="5" t="str">
        <f>IF(  AA88&gt;$E$2, SUMIFS(IF($G$2="CPR",'Grid Data'!$AH$4:$AH$2342,'Grid Data'!$AI$4:$AI$2342),'Grid Data'!$Z$4:$Z$2342,$D57,'Grid Data'!$AA$4:$AA$2342,AA$4,'Grid Data'!$Y$4:$Y$2342,$D$2)*100-AA25, "--")</f>
        <v>--</v>
      </c>
      <c r="AB57" s="5" t="str">
        <f>IF(  AB88&gt;$E$2, SUMIFS(IF($G$2="CPR",'Grid Data'!$AH$4:$AH$2342,'Grid Data'!$AI$4:$AI$2342),'Grid Data'!$Z$4:$Z$2342,$D57,'Grid Data'!$AA$4:$AA$2342,AB$4,'Grid Data'!$Y$4:$Y$2342,$D$2)*100-AB25, "--")</f>
        <v>--</v>
      </c>
      <c r="AC57" s="5" t="str">
        <f>IF(  AC88&gt;$E$2, SUMIFS(IF($G$2="CPR",'Grid Data'!$AH$4:$AH$2342,'Grid Data'!$AI$4:$AI$2342),'Grid Data'!$Z$4:$Z$2342,$D57,'Grid Data'!$AA$4:$AA$2342,AC$4,'Grid Data'!$Y$4:$Y$2342,$D$2)*100-AC25, "--")</f>
        <v>--</v>
      </c>
      <c r="AD57" s="5" t="str">
        <f>IF(  AD88&gt;$E$2, SUMIFS(IF($G$2="CPR",'Grid Data'!$AH$4:$AH$2342,'Grid Data'!$AI$4:$AI$2342),'Grid Data'!$Z$4:$Z$2342,$D57,'Grid Data'!$AA$4:$AA$2342,AD$4,'Grid Data'!$Y$4:$Y$2342,$D$2)*100-AD25, "--")</f>
        <v>--</v>
      </c>
      <c r="AE57" s="5">
        <f>IF(  AE88&gt;$E$2, SUMIFS(IF($G$2="CPR",'Grid Data'!$AH$4:$AH$2342,'Grid Data'!$AI$4:$AI$2342),'Grid Data'!$Z$4:$Z$2342,$D57,'Grid Data'!$AA$4:$AA$2342,AE$4,'Grid Data'!$Y$4:$Y$2342,$D$2)*100-AE25, "--")</f>
        <v>-2.7169999999999996</v>
      </c>
      <c r="AF57" s="5">
        <f>IF(  AF88&gt;$E$2, SUMIFS(IF($G$2="CPR",'Grid Data'!$AH$4:$AH$2342,'Grid Data'!$AI$4:$AI$2342),'Grid Data'!$Z$4:$Z$2342,$D57,'Grid Data'!$AA$4:$AA$2342,AF$4,'Grid Data'!$Y$4:$Y$2342,$D$2)*100-AF25, "--")</f>
        <v>2.2363999999999988</v>
      </c>
      <c r="AG57" s="5">
        <f>IF(  AG88&gt;$E$2, SUMIFS(IF($G$2="CPR",'Grid Data'!$AH$4:$AH$2342,'Grid Data'!$AI$4:$AI$2342),'Grid Data'!$Z$4:$Z$2342,$D57,'Grid Data'!$AA$4:$AA$2342,AG$4,'Grid Data'!$Y$4:$Y$2342,$D$2)*100-AG25, "--")</f>
        <v>-0.19500000000000028</v>
      </c>
      <c r="AH57" s="5">
        <f>IF(  AH88&gt;$E$2, SUMIFS(IF($G$2="CPR",'Grid Data'!$AH$4:$AH$2342,'Grid Data'!$AI$4:$AI$2342),'Grid Data'!$Z$4:$Z$2342,$D57,'Grid Data'!$AA$4:$AA$2342,AH$4,'Grid Data'!$Y$4:$Y$2342,$D$2)*100-AH25, "--")</f>
        <v>3.476</v>
      </c>
    </row>
    <row r="58" spans="4:34" x14ac:dyDescent="0.35">
      <c r="D58">
        <v>7250</v>
      </c>
      <c r="E58" s="5">
        <f>IF(  E89&gt;$E$2, SUMIFS(IF($G$2="CPR",'Grid Data'!$AH$4:$AH$2342,'Grid Data'!$AI$4:$AI$2342),'Grid Data'!$Z$4:$Z$2342,$D58,'Grid Data'!$AA$4:$AA$2342,E$4,'Grid Data'!$Y$4:$Y$2342,$D$2)*100-E26, "--")</f>
        <v>-0.39870000000000028</v>
      </c>
      <c r="F58" s="5">
        <f>IF(  F89&gt;$E$2, SUMIFS(IF($G$2="CPR",'Grid Data'!$AH$4:$AH$2342,'Grid Data'!$AI$4:$AI$2342),'Grid Data'!$Z$4:$Z$2342,$D58,'Grid Data'!$AA$4:$AA$2342,F$4,'Grid Data'!$Y$4:$Y$2342,$D$2)*100-F26, "--")</f>
        <v>-3.5646000000000058</v>
      </c>
      <c r="G58" s="5">
        <f>IF(  G89&gt;$E$2, SUMIFS(IF($G$2="CPR",'Grid Data'!$AH$4:$AH$2342,'Grid Data'!$AI$4:$AI$2342),'Grid Data'!$Z$4:$Z$2342,$D58,'Grid Data'!$AA$4:$AA$2342,G$4,'Grid Data'!$Y$4:$Y$2342,$D$2)*100-G26, "--")</f>
        <v>-1.727800000000002</v>
      </c>
      <c r="H58" s="5">
        <f>IF(  H89&gt;$E$2, SUMIFS(IF($G$2="CPR",'Grid Data'!$AH$4:$AH$2342,'Grid Data'!$AI$4:$AI$2342),'Grid Data'!$Z$4:$Z$2342,$D58,'Grid Data'!$AA$4:$AA$2342,H$4,'Grid Data'!$Y$4:$Y$2342,$D$2)*100-H26, "--")</f>
        <v>3.4895000000000067</v>
      </c>
      <c r="I58" s="5">
        <f>IF(  I89&gt;$E$2, SUMIFS(IF($G$2="CPR",'Grid Data'!$AH$4:$AH$2342,'Grid Data'!$AI$4:$AI$2342),'Grid Data'!$Z$4:$Z$2342,$D58,'Grid Data'!$AA$4:$AA$2342,I$4,'Grid Data'!$Y$4:$Y$2342,$D$2)*100-I26, "--")</f>
        <v>9.8229999999999968</v>
      </c>
      <c r="J58" s="5">
        <f>IF(  J89&gt;$E$2, SUMIFS(IF($G$2="CPR",'Grid Data'!$AH$4:$AH$2342,'Grid Data'!$AI$4:$AI$2342),'Grid Data'!$Z$4:$Z$2342,$D58,'Grid Data'!$AA$4:$AA$2342,J$4,'Grid Data'!$Y$4:$Y$2342,$D$2)*100-J26, "--")</f>
        <v>6.4388000000000005</v>
      </c>
      <c r="K58" s="5">
        <f>IF(  K89&gt;$E$2, SUMIFS(IF($G$2="CPR",'Grid Data'!$AH$4:$AH$2342,'Grid Data'!$AI$4:$AI$2342),'Grid Data'!$Z$4:$Z$2342,$D58,'Grid Data'!$AA$4:$AA$2342,K$4,'Grid Data'!$Y$4:$Y$2342,$D$2)*100-K26, "--")</f>
        <v>2.1149000000000058</v>
      </c>
      <c r="L58" s="5">
        <f>IF(  L89&gt;$E$2, SUMIFS(IF($G$2="CPR",'Grid Data'!$AH$4:$AH$2342,'Grid Data'!$AI$4:$AI$2342),'Grid Data'!$Z$4:$Z$2342,$D58,'Grid Data'!$AA$4:$AA$2342,L$4,'Grid Data'!$Y$4:$Y$2342,$D$2)*100-L26, "--")</f>
        <v>5.7736000000000018</v>
      </c>
      <c r="M58" s="5">
        <f>IF(  M89&gt;$E$2, SUMIFS(IF($G$2="CPR",'Grid Data'!$AH$4:$AH$2342,'Grid Data'!$AI$4:$AI$2342),'Grid Data'!$Z$4:$Z$2342,$D58,'Grid Data'!$AA$4:$AA$2342,M$4,'Grid Data'!$Y$4:$Y$2342,$D$2)*100-M26, "--")</f>
        <v>-4.3874999999999993</v>
      </c>
      <c r="N58" s="5">
        <f>IF(  N89&gt;$E$2, SUMIFS(IF($G$2="CPR",'Grid Data'!$AH$4:$AH$2342,'Grid Data'!$AI$4:$AI$2342),'Grid Data'!$Z$4:$Z$2342,$D58,'Grid Data'!$AA$4:$AA$2342,N$4,'Grid Data'!$Y$4:$Y$2342,$D$2)*100-N26, "--")</f>
        <v>5.5949999999999953</v>
      </c>
      <c r="O58" s="5">
        <f>IF(  O89&gt;$E$2, SUMIFS(IF($G$2="CPR",'Grid Data'!$AH$4:$AH$2342,'Grid Data'!$AI$4:$AI$2342),'Grid Data'!$Z$4:$Z$2342,$D58,'Grid Data'!$AA$4:$AA$2342,O$4,'Grid Data'!$Y$4:$Y$2342,$D$2)*100-O26, "--")</f>
        <v>1.9760999999999953</v>
      </c>
      <c r="P58" s="5">
        <f>IF(  P89&gt;$E$2, SUMIFS(IF($G$2="CPR",'Grid Data'!$AH$4:$AH$2342,'Grid Data'!$AI$4:$AI$2342),'Grid Data'!$Z$4:$Z$2342,$D58,'Grid Data'!$AA$4:$AA$2342,P$4,'Grid Data'!$Y$4:$Y$2342,$D$2)*100-P26, "--")</f>
        <v>2.7207000000000043</v>
      </c>
      <c r="Q58" s="5">
        <f>IF(  Q89&gt;$E$2, SUMIFS(IF($G$2="CPR",'Grid Data'!$AH$4:$AH$2342,'Grid Data'!$AI$4:$AI$2342),'Grid Data'!$Z$4:$Z$2342,$D58,'Grid Data'!$AA$4:$AA$2342,Q$4,'Grid Data'!$Y$4:$Y$2342,$D$2)*100-Q26, "--")</f>
        <v>4.0106000000000002</v>
      </c>
      <c r="R58" s="5">
        <f>IF(  R89&gt;$E$2, SUMIFS(IF($G$2="CPR",'Grid Data'!$AH$4:$AH$2342,'Grid Data'!$AI$4:$AI$2342),'Grid Data'!$Z$4:$Z$2342,$D58,'Grid Data'!$AA$4:$AA$2342,R$4,'Grid Data'!$Y$4:$Y$2342,$D$2)*100-R26, "--")</f>
        <v>-0.40299999999999869</v>
      </c>
      <c r="S58" s="5">
        <f>IF(  S89&gt;$E$2, SUMIFS(IF($G$2="CPR",'Grid Data'!$AH$4:$AH$2342,'Grid Data'!$AI$4:$AI$2342),'Grid Data'!$Z$4:$Z$2342,$D58,'Grid Data'!$AA$4:$AA$2342,S$4,'Grid Data'!$Y$4:$Y$2342,$D$2)*100-S26, "--")</f>
        <v>4.7202000000000019</v>
      </c>
      <c r="T58" s="5">
        <f>IF(  T89&gt;$E$2, SUMIFS(IF($G$2="CPR",'Grid Data'!$AH$4:$AH$2342,'Grid Data'!$AI$4:$AI$2342),'Grid Data'!$Z$4:$Z$2342,$D58,'Grid Data'!$AA$4:$AA$2342,T$4,'Grid Data'!$Y$4:$Y$2342,$D$2)*100-T26, "--")</f>
        <v>30.006500000000003</v>
      </c>
      <c r="U58" s="5" t="str">
        <f>IF(  U89&gt;$E$2, SUMIFS(IF($G$2="CPR",'Grid Data'!$AH$4:$AH$2342,'Grid Data'!$AI$4:$AI$2342),'Grid Data'!$Z$4:$Z$2342,$D58,'Grid Data'!$AA$4:$AA$2342,U$4,'Grid Data'!$Y$4:$Y$2342,$D$2)*100-U26, "--")</f>
        <v>--</v>
      </c>
      <c r="V58" s="5" t="str">
        <f>IF(  V89&gt;$E$2, SUMIFS(IF($G$2="CPR",'Grid Data'!$AH$4:$AH$2342,'Grid Data'!$AI$4:$AI$2342),'Grid Data'!$Z$4:$Z$2342,$D58,'Grid Data'!$AA$4:$AA$2342,V$4,'Grid Data'!$Y$4:$Y$2342,$D$2)*100-V26, "--")</f>
        <v>--</v>
      </c>
      <c r="W58" s="5" t="str">
        <f>IF(  W89&gt;$E$2, SUMIFS(IF($G$2="CPR",'Grid Data'!$AH$4:$AH$2342,'Grid Data'!$AI$4:$AI$2342),'Grid Data'!$Z$4:$Z$2342,$D58,'Grid Data'!$AA$4:$AA$2342,W$4,'Grid Data'!$Y$4:$Y$2342,$D$2)*100-W26, "--")</f>
        <v>--</v>
      </c>
      <c r="X58" s="5" t="str">
        <f>IF(  X89&gt;$E$2, SUMIFS(IF($G$2="CPR",'Grid Data'!$AH$4:$AH$2342,'Grid Data'!$AI$4:$AI$2342),'Grid Data'!$Z$4:$Z$2342,$D58,'Grid Data'!$AA$4:$AA$2342,X$4,'Grid Data'!$Y$4:$Y$2342,$D$2)*100-X26, "--")</f>
        <v>--</v>
      </c>
      <c r="Y58" s="5" t="str">
        <f>IF(  Y89&gt;$E$2, SUMIFS(IF($G$2="CPR",'Grid Data'!$AH$4:$AH$2342,'Grid Data'!$AI$4:$AI$2342),'Grid Data'!$Z$4:$Z$2342,$D58,'Grid Data'!$AA$4:$AA$2342,Y$4,'Grid Data'!$Y$4:$Y$2342,$D$2)*100-Y26, "--")</f>
        <v>--</v>
      </c>
      <c r="Z58" s="5" t="str">
        <f>IF(  Z89&gt;$E$2, SUMIFS(IF($G$2="CPR",'Grid Data'!$AH$4:$AH$2342,'Grid Data'!$AI$4:$AI$2342),'Grid Data'!$Z$4:$Z$2342,$D58,'Grid Data'!$AA$4:$AA$2342,Z$4,'Grid Data'!$Y$4:$Y$2342,$D$2)*100-Z26, "--")</f>
        <v>--</v>
      </c>
      <c r="AA58" s="5" t="str">
        <f>IF(  AA89&gt;$E$2, SUMIFS(IF($G$2="CPR",'Grid Data'!$AH$4:$AH$2342,'Grid Data'!$AI$4:$AI$2342),'Grid Data'!$Z$4:$Z$2342,$D58,'Grid Data'!$AA$4:$AA$2342,AA$4,'Grid Data'!$Y$4:$Y$2342,$D$2)*100-AA26, "--")</f>
        <v>--</v>
      </c>
      <c r="AB58" s="5" t="str">
        <f>IF(  AB89&gt;$E$2, SUMIFS(IF($G$2="CPR",'Grid Data'!$AH$4:$AH$2342,'Grid Data'!$AI$4:$AI$2342),'Grid Data'!$Z$4:$Z$2342,$D58,'Grid Data'!$AA$4:$AA$2342,AB$4,'Grid Data'!$Y$4:$Y$2342,$D$2)*100-AB26, "--")</f>
        <v>--</v>
      </c>
      <c r="AC58" s="5" t="str">
        <f>IF(  AC89&gt;$E$2, SUMIFS(IF($G$2="CPR",'Grid Data'!$AH$4:$AH$2342,'Grid Data'!$AI$4:$AI$2342),'Grid Data'!$Z$4:$Z$2342,$D58,'Grid Data'!$AA$4:$AA$2342,AC$4,'Grid Data'!$Y$4:$Y$2342,$D$2)*100-AC26, "--")</f>
        <v>--</v>
      </c>
      <c r="AD58" s="5" t="str">
        <f>IF(  AD89&gt;$E$2, SUMIFS(IF($G$2="CPR",'Grid Data'!$AH$4:$AH$2342,'Grid Data'!$AI$4:$AI$2342),'Grid Data'!$Z$4:$Z$2342,$D58,'Grid Data'!$AA$4:$AA$2342,AD$4,'Grid Data'!$Y$4:$Y$2342,$D$2)*100-AD26, "--")</f>
        <v>--</v>
      </c>
      <c r="AE58" s="5">
        <f>IF(  AE89&gt;$E$2, SUMIFS(IF($G$2="CPR",'Grid Data'!$AH$4:$AH$2342,'Grid Data'!$AI$4:$AI$2342),'Grid Data'!$Z$4:$Z$2342,$D58,'Grid Data'!$AA$4:$AA$2342,AE$4,'Grid Data'!$Y$4:$Y$2342,$D$2)*100-AE26, "--")</f>
        <v>-10.8307</v>
      </c>
      <c r="AF58" s="5">
        <f>IF(  AF89&gt;$E$2, SUMIFS(IF($G$2="CPR",'Grid Data'!$AH$4:$AH$2342,'Grid Data'!$AI$4:$AI$2342),'Grid Data'!$Z$4:$Z$2342,$D58,'Grid Data'!$AA$4:$AA$2342,AF$4,'Grid Data'!$Y$4:$Y$2342,$D$2)*100-AF26, "--")</f>
        <v>6.9913999999999987</v>
      </c>
      <c r="AG58" s="5">
        <f>IF(  AG89&gt;$E$2, SUMIFS(IF($G$2="CPR",'Grid Data'!$AH$4:$AH$2342,'Grid Data'!$AI$4:$AI$2342),'Grid Data'!$Z$4:$Z$2342,$D58,'Grid Data'!$AA$4:$AA$2342,AG$4,'Grid Data'!$Y$4:$Y$2342,$D$2)*100-AG26, "--")</f>
        <v>2.2861999999999996</v>
      </c>
      <c r="AH58" s="5">
        <f>IF(  AH89&gt;$E$2, SUMIFS(IF($G$2="CPR",'Grid Data'!$AH$4:$AH$2342,'Grid Data'!$AI$4:$AI$2342),'Grid Data'!$Z$4:$Z$2342,$D58,'Grid Data'!$AA$4:$AA$2342,AH$4,'Grid Data'!$Y$4:$Y$2342,$D$2)*100-AH26, "--")</f>
        <v>-4.0441000000000011</v>
      </c>
    </row>
    <row r="59" spans="4:34" x14ac:dyDescent="0.35">
      <c r="D59">
        <v>7500</v>
      </c>
      <c r="E59" s="5">
        <f>IF(  E90&gt;$E$2, SUMIFS(IF($G$2="CPR",'Grid Data'!$AH$4:$AH$2342,'Grid Data'!$AI$4:$AI$2342),'Grid Data'!$Z$4:$Z$2342,$D59,'Grid Data'!$AA$4:$AA$2342,E$4,'Grid Data'!$Y$4:$Y$2342,$D$2)*100-E27, "--")</f>
        <v>3.8116000000000003</v>
      </c>
      <c r="F59" s="5">
        <f>IF(  F90&gt;$E$2, SUMIFS(IF($G$2="CPR",'Grid Data'!$AH$4:$AH$2342,'Grid Data'!$AI$4:$AI$2342),'Grid Data'!$Z$4:$Z$2342,$D59,'Grid Data'!$AA$4:$AA$2342,F$4,'Grid Data'!$Y$4:$Y$2342,$D$2)*100-F27, "--")</f>
        <v>8.0724000000000018</v>
      </c>
      <c r="G59" s="5">
        <f>IF(  G90&gt;$E$2, SUMIFS(IF($G$2="CPR",'Grid Data'!$AH$4:$AH$2342,'Grid Data'!$AI$4:$AI$2342),'Grid Data'!$Z$4:$Z$2342,$D59,'Grid Data'!$AA$4:$AA$2342,G$4,'Grid Data'!$Y$4:$Y$2342,$D$2)*100-G27, "--")</f>
        <v>13.640399999999993</v>
      </c>
      <c r="H59" s="5">
        <f>IF(  H90&gt;$E$2, SUMIFS(IF($G$2="CPR",'Grid Data'!$AH$4:$AH$2342,'Grid Data'!$AI$4:$AI$2342),'Grid Data'!$Z$4:$Z$2342,$D59,'Grid Data'!$AA$4:$AA$2342,H$4,'Grid Data'!$Y$4:$Y$2342,$D$2)*100-H27, "--")</f>
        <v>-12.091500000000003</v>
      </c>
      <c r="I59" s="5">
        <f>IF(  I90&gt;$E$2, SUMIFS(IF($G$2="CPR",'Grid Data'!$AH$4:$AH$2342,'Grid Data'!$AI$4:$AI$2342),'Grid Data'!$Z$4:$Z$2342,$D59,'Grid Data'!$AA$4:$AA$2342,I$4,'Grid Data'!$Y$4:$Y$2342,$D$2)*100-I27, "--")</f>
        <v>-16.565100000000001</v>
      </c>
      <c r="J59" s="5">
        <f>IF(  J90&gt;$E$2, SUMIFS(IF($G$2="CPR",'Grid Data'!$AH$4:$AH$2342,'Grid Data'!$AI$4:$AI$2342),'Grid Data'!$Z$4:$Z$2342,$D59,'Grid Data'!$AA$4:$AA$2342,J$4,'Grid Data'!$Y$4:$Y$2342,$D$2)*100-J27, "--")</f>
        <v>6.764999999999997</v>
      </c>
      <c r="K59" s="5">
        <f>IF(  K90&gt;$E$2, SUMIFS(IF($G$2="CPR",'Grid Data'!$AH$4:$AH$2342,'Grid Data'!$AI$4:$AI$2342),'Grid Data'!$Z$4:$Z$2342,$D59,'Grid Data'!$AA$4:$AA$2342,K$4,'Grid Data'!$Y$4:$Y$2342,$D$2)*100-K27, "--")</f>
        <v>12.811300000000003</v>
      </c>
      <c r="L59" s="5">
        <f>IF(  L90&gt;$E$2, SUMIFS(IF($G$2="CPR",'Grid Data'!$AH$4:$AH$2342,'Grid Data'!$AI$4:$AI$2342),'Grid Data'!$Z$4:$Z$2342,$D59,'Grid Data'!$AA$4:$AA$2342,L$4,'Grid Data'!$Y$4:$Y$2342,$D$2)*100-L27, "--")</f>
        <v>-2.5519000000000034</v>
      </c>
      <c r="M59" s="5">
        <f>IF(  M90&gt;$E$2, SUMIFS(IF($G$2="CPR",'Grid Data'!$AH$4:$AH$2342,'Grid Data'!$AI$4:$AI$2342),'Grid Data'!$Z$4:$Z$2342,$D59,'Grid Data'!$AA$4:$AA$2342,M$4,'Grid Data'!$Y$4:$Y$2342,$D$2)*100-M27, "--")</f>
        <v>-5.8099999999999596E-2</v>
      </c>
      <c r="N59" s="5">
        <f>IF(  N90&gt;$E$2, SUMIFS(IF($G$2="CPR",'Grid Data'!$AH$4:$AH$2342,'Grid Data'!$AI$4:$AI$2342),'Grid Data'!$Z$4:$Z$2342,$D59,'Grid Data'!$AA$4:$AA$2342,N$4,'Grid Data'!$Y$4:$Y$2342,$D$2)*100-N27, "--")</f>
        <v>15.693400000000004</v>
      </c>
      <c r="O59" s="5">
        <f>IF(  O90&gt;$E$2, SUMIFS(IF($G$2="CPR",'Grid Data'!$AH$4:$AH$2342,'Grid Data'!$AI$4:$AI$2342),'Grid Data'!$Z$4:$Z$2342,$D59,'Grid Data'!$AA$4:$AA$2342,O$4,'Grid Data'!$Y$4:$Y$2342,$D$2)*100-O27, "--")</f>
        <v>-4.3602999999999952</v>
      </c>
      <c r="P59" s="5">
        <f>IF(  P90&gt;$E$2, SUMIFS(IF($G$2="CPR",'Grid Data'!$AH$4:$AH$2342,'Grid Data'!$AI$4:$AI$2342),'Grid Data'!$Z$4:$Z$2342,$D59,'Grid Data'!$AA$4:$AA$2342,P$4,'Grid Data'!$Y$4:$Y$2342,$D$2)*100-P27, "--")</f>
        <v>0.19689999999999941</v>
      </c>
      <c r="Q59" s="5">
        <f>IF(  Q90&gt;$E$2, SUMIFS(IF($G$2="CPR",'Grid Data'!$AH$4:$AH$2342,'Grid Data'!$AI$4:$AI$2342),'Grid Data'!$Z$4:$Z$2342,$D59,'Grid Data'!$AA$4:$AA$2342,Q$4,'Grid Data'!$Y$4:$Y$2342,$D$2)*100-Q27, "--")</f>
        <v>2.1957999999999984</v>
      </c>
      <c r="R59" s="5">
        <f>IF(  R90&gt;$E$2, SUMIFS(IF($G$2="CPR",'Grid Data'!$AH$4:$AH$2342,'Grid Data'!$AI$4:$AI$2342),'Grid Data'!$Z$4:$Z$2342,$D59,'Grid Data'!$AA$4:$AA$2342,R$4,'Grid Data'!$Y$4:$Y$2342,$D$2)*100-R27, "--")</f>
        <v>1.3335000000000008</v>
      </c>
      <c r="S59" s="5">
        <f>IF(  S90&gt;$E$2, SUMIFS(IF($G$2="CPR",'Grid Data'!$AH$4:$AH$2342,'Grid Data'!$AI$4:$AI$2342),'Grid Data'!$Z$4:$Z$2342,$D59,'Grid Data'!$AA$4:$AA$2342,S$4,'Grid Data'!$Y$4:$Y$2342,$D$2)*100-S27, "--")</f>
        <v>11.787899999999997</v>
      </c>
      <c r="T59" s="5" t="str">
        <f>IF(  T90&gt;$E$2, SUMIFS(IF($G$2="CPR",'Grid Data'!$AH$4:$AH$2342,'Grid Data'!$AI$4:$AI$2342),'Grid Data'!$Z$4:$Z$2342,$D59,'Grid Data'!$AA$4:$AA$2342,T$4,'Grid Data'!$Y$4:$Y$2342,$D$2)*100-T27, "--")</f>
        <v>--</v>
      </c>
      <c r="U59" s="5" t="str">
        <f>IF(  U90&gt;$E$2, SUMIFS(IF($G$2="CPR",'Grid Data'!$AH$4:$AH$2342,'Grid Data'!$AI$4:$AI$2342),'Grid Data'!$Z$4:$Z$2342,$D59,'Grid Data'!$AA$4:$AA$2342,U$4,'Grid Data'!$Y$4:$Y$2342,$D$2)*100-U27, "--")</f>
        <v>--</v>
      </c>
      <c r="V59" s="5" t="str">
        <f>IF(  V90&gt;$E$2, SUMIFS(IF($G$2="CPR",'Grid Data'!$AH$4:$AH$2342,'Grid Data'!$AI$4:$AI$2342),'Grid Data'!$Z$4:$Z$2342,$D59,'Grid Data'!$AA$4:$AA$2342,V$4,'Grid Data'!$Y$4:$Y$2342,$D$2)*100-V27, "--")</f>
        <v>--</v>
      </c>
      <c r="W59" s="5" t="str">
        <f>IF(  W90&gt;$E$2, SUMIFS(IF($G$2="CPR",'Grid Data'!$AH$4:$AH$2342,'Grid Data'!$AI$4:$AI$2342),'Grid Data'!$Z$4:$Z$2342,$D59,'Grid Data'!$AA$4:$AA$2342,W$4,'Grid Data'!$Y$4:$Y$2342,$D$2)*100-W27, "--")</f>
        <v>--</v>
      </c>
      <c r="X59" s="5" t="str">
        <f>IF(  X90&gt;$E$2, SUMIFS(IF($G$2="CPR",'Grid Data'!$AH$4:$AH$2342,'Grid Data'!$AI$4:$AI$2342),'Grid Data'!$Z$4:$Z$2342,$D59,'Grid Data'!$AA$4:$AA$2342,X$4,'Grid Data'!$Y$4:$Y$2342,$D$2)*100-X27, "--")</f>
        <v>--</v>
      </c>
      <c r="Y59" s="5" t="str">
        <f>IF(  Y90&gt;$E$2, SUMIFS(IF($G$2="CPR",'Grid Data'!$AH$4:$AH$2342,'Grid Data'!$AI$4:$AI$2342),'Grid Data'!$Z$4:$Z$2342,$D59,'Grid Data'!$AA$4:$AA$2342,Y$4,'Grid Data'!$Y$4:$Y$2342,$D$2)*100-Y27, "--")</f>
        <v>--</v>
      </c>
      <c r="Z59" s="5" t="str">
        <f>IF(  Z90&gt;$E$2, SUMIFS(IF($G$2="CPR",'Grid Data'!$AH$4:$AH$2342,'Grid Data'!$AI$4:$AI$2342),'Grid Data'!$Z$4:$Z$2342,$D59,'Grid Data'!$AA$4:$AA$2342,Z$4,'Grid Data'!$Y$4:$Y$2342,$D$2)*100-Z27, "--")</f>
        <v>--</v>
      </c>
      <c r="AA59" s="5" t="str">
        <f>IF(  AA90&gt;$E$2, SUMIFS(IF($G$2="CPR",'Grid Data'!$AH$4:$AH$2342,'Grid Data'!$AI$4:$AI$2342),'Grid Data'!$Z$4:$Z$2342,$D59,'Grid Data'!$AA$4:$AA$2342,AA$4,'Grid Data'!$Y$4:$Y$2342,$D$2)*100-AA27, "--")</f>
        <v>--</v>
      </c>
      <c r="AB59" s="5" t="str">
        <f>IF(  AB90&gt;$E$2, SUMIFS(IF($G$2="CPR",'Grid Data'!$AH$4:$AH$2342,'Grid Data'!$AI$4:$AI$2342),'Grid Data'!$Z$4:$Z$2342,$D59,'Grid Data'!$AA$4:$AA$2342,AB$4,'Grid Data'!$Y$4:$Y$2342,$D$2)*100-AB27, "--")</f>
        <v>--</v>
      </c>
      <c r="AC59" s="5" t="str">
        <f>IF(  AC90&gt;$E$2, SUMIFS(IF($G$2="CPR",'Grid Data'!$AH$4:$AH$2342,'Grid Data'!$AI$4:$AI$2342),'Grid Data'!$Z$4:$Z$2342,$D59,'Grid Data'!$AA$4:$AA$2342,AC$4,'Grid Data'!$Y$4:$Y$2342,$D$2)*100-AC27, "--")</f>
        <v>--</v>
      </c>
      <c r="AD59" s="5" t="str">
        <f>IF(  AD90&gt;$E$2, SUMIFS(IF($G$2="CPR",'Grid Data'!$AH$4:$AH$2342,'Grid Data'!$AI$4:$AI$2342),'Grid Data'!$Z$4:$Z$2342,$D59,'Grid Data'!$AA$4:$AA$2342,AD$4,'Grid Data'!$Y$4:$Y$2342,$D$2)*100-AD27, "--")</f>
        <v>--</v>
      </c>
      <c r="AE59" s="5">
        <f>IF(  AE90&gt;$E$2, SUMIFS(IF($G$2="CPR",'Grid Data'!$AH$4:$AH$2342,'Grid Data'!$AI$4:$AI$2342),'Grid Data'!$Z$4:$Z$2342,$D59,'Grid Data'!$AA$4:$AA$2342,AE$4,'Grid Data'!$Y$4:$Y$2342,$D$2)*100-AE27, "--")</f>
        <v>-2.9199999999999982</v>
      </c>
      <c r="AF59" s="5">
        <f>IF(  AF90&gt;$E$2, SUMIFS(IF($G$2="CPR",'Grid Data'!$AH$4:$AH$2342,'Grid Data'!$AI$4:$AI$2342),'Grid Data'!$Z$4:$Z$2342,$D59,'Grid Data'!$AA$4:$AA$2342,AF$4,'Grid Data'!$Y$4:$Y$2342,$D$2)*100-AF27, "--")</f>
        <v>-1.4459000000000017</v>
      </c>
      <c r="AG59" s="5">
        <f>IF(  AG90&gt;$E$2, SUMIFS(IF($G$2="CPR",'Grid Data'!$AH$4:$AH$2342,'Grid Data'!$AI$4:$AI$2342),'Grid Data'!$Z$4:$Z$2342,$D59,'Grid Data'!$AA$4:$AA$2342,AG$4,'Grid Data'!$Y$4:$Y$2342,$D$2)*100-AG27, "--")</f>
        <v>3.2078000000000007</v>
      </c>
      <c r="AH59" s="5">
        <f>IF(  AH90&gt;$E$2, SUMIFS(IF($G$2="CPR",'Grid Data'!$AH$4:$AH$2342,'Grid Data'!$AI$4:$AI$2342),'Grid Data'!$Z$4:$Z$2342,$D59,'Grid Data'!$AA$4:$AA$2342,AH$4,'Grid Data'!$Y$4:$Y$2342,$D$2)*100-AH27, "--")</f>
        <v>0.33079999999999998</v>
      </c>
    </row>
    <row r="60" spans="4:34" x14ac:dyDescent="0.35">
      <c r="D60">
        <v>7750</v>
      </c>
      <c r="E60" s="5">
        <f>IF(  E91&gt;$E$2, SUMIFS(IF($G$2="CPR",'Grid Data'!$AH$4:$AH$2342,'Grid Data'!$AI$4:$AI$2342),'Grid Data'!$Z$4:$Z$2342,$D60,'Grid Data'!$AA$4:$AA$2342,E$4,'Grid Data'!$Y$4:$Y$2342,$D$2)*100-E28, "--")</f>
        <v>-2.5305</v>
      </c>
      <c r="F60" s="5">
        <f>IF(  F91&gt;$E$2, SUMIFS(IF($G$2="CPR",'Grid Data'!$AH$4:$AH$2342,'Grid Data'!$AI$4:$AI$2342),'Grid Data'!$Z$4:$Z$2342,$D60,'Grid Data'!$AA$4:$AA$2342,F$4,'Grid Data'!$Y$4:$Y$2342,$D$2)*100-F28, "--")</f>
        <v>-0.42920000000000869</v>
      </c>
      <c r="G60" s="5">
        <f>IF(  G91&gt;$E$2, SUMIFS(IF($G$2="CPR",'Grid Data'!$AH$4:$AH$2342,'Grid Data'!$AI$4:$AI$2342),'Grid Data'!$Z$4:$Z$2342,$D60,'Grid Data'!$AA$4:$AA$2342,G$4,'Grid Data'!$Y$4:$Y$2342,$D$2)*100-G28, "--")</f>
        <v>-2.4665000000000035</v>
      </c>
      <c r="H60" s="5">
        <f>IF(  H91&gt;$E$2, SUMIFS(IF($G$2="CPR",'Grid Data'!$AH$4:$AH$2342,'Grid Data'!$AI$4:$AI$2342),'Grid Data'!$Z$4:$Z$2342,$D60,'Grid Data'!$AA$4:$AA$2342,H$4,'Grid Data'!$Y$4:$Y$2342,$D$2)*100-H28, "--")</f>
        <v>1.7682000000000002</v>
      </c>
      <c r="I60" s="5">
        <f>IF(  I91&gt;$E$2, SUMIFS(IF($G$2="CPR",'Grid Data'!$AH$4:$AH$2342,'Grid Data'!$AI$4:$AI$2342),'Grid Data'!$Z$4:$Z$2342,$D60,'Grid Data'!$AA$4:$AA$2342,I$4,'Grid Data'!$Y$4:$Y$2342,$D$2)*100-I28, "--")</f>
        <v>0.71710000000000207</v>
      </c>
      <c r="J60" s="5">
        <f>IF(  J91&gt;$E$2, SUMIFS(IF($G$2="CPR",'Grid Data'!$AH$4:$AH$2342,'Grid Data'!$AI$4:$AI$2342),'Grid Data'!$Z$4:$Z$2342,$D60,'Grid Data'!$AA$4:$AA$2342,J$4,'Grid Data'!$Y$4:$Y$2342,$D$2)*100-J28, "--")</f>
        <v>-1.7253000000000007</v>
      </c>
      <c r="K60" s="5">
        <f>IF(  K91&gt;$E$2, SUMIFS(IF($G$2="CPR",'Grid Data'!$AH$4:$AH$2342,'Grid Data'!$AI$4:$AI$2342),'Grid Data'!$Z$4:$Z$2342,$D60,'Grid Data'!$AA$4:$AA$2342,K$4,'Grid Data'!$Y$4:$Y$2342,$D$2)*100-K28, "--")</f>
        <v>3.6498999999999988</v>
      </c>
      <c r="L60" s="5">
        <f>IF(  L91&gt;$E$2, SUMIFS(IF($G$2="CPR",'Grid Data'!$AH$4:$AH$2342,'Grid Data'!$AI$4:$AI$2342),'Grid Data'!$Z$4:$Z$2342,$D60,'Grid Data'!$AA$4:$AA$2342,L$4,'Grid Data'!$Y$4:$Y$2342,$D$2)*100-L28, "--")</f>
        <v>-4.7764999999999986</v>
      </c>
      <c r="M60" s="5">
        <f>IF(  M91&gt;$E$2, SUMIFS(IF($G$2="CPR",'Grid Data'!$AH$4:$AH$2342,'Grid Data'!$AI$4:$AI$2342),'Grid Data'!$Z$4:$Z$2342,$D60,'Grid Data'!$AA$4:$AA$2342,M$4,'Grid Data'!$Y$4:$Y$2342,$D$2)*100-M28, "--")</f>
        <v>5.2131000000000007</v>
      </c>
      <c r="N60" s="5">
        <f>IF(  N91&gt;$E$2, SUMIFS(IF($G$2="CPR",'Grid Data'!$AH$4:$AH$2342,'Grid Data'!$AI$4:$AI$2342),'Grid Data'!$Z$4:$Z$2342,$D60,'Grid Data'!$AA$4:$AA$2342,N$4,'Grid Data'!$Y$4:$Y$2342,$D$2)*100-N28, "--")</f>
        <v>6.6968999999999959</v>
      </c>
      <c r="O60" s="5">
        <f>IF(  O91&gt;$E$2, SUMIFS(IF($G$2="CPR",'Grid Data'!$AH$4:$AH$2342,'Grid Data'!$AI$4:$AI$2342),'Grid Data'!$Z$4:$Z$2342,$D60,'Grid Data'!$AA$4:$AA$2342,O$4,'Grid Data'!$Y$4:$Y$2342,$D$2)*100-O28, "--")</f>
        <v>10.229599999999998</v>
      </c>
      <c r="P60" s="5">
        <f>IF(  P91&gt;$E$2, SUMIFS(IF($G$2="CPR",'Grid Data'!$AH$4:$AH$2342,'Grid Data'!$AI$4:$AI$2342),'Grid Data'!$Z$4:$Z$2342,$D60,'Grid Data'!$AA$4:$AA$2342,P$4,'Grid Data'!$Y$4:$Y$2342,$D$2)*100-P28, "--")</f>
        <v>2.0920999999999985</v>
      </c>
      <c r="Q60" s="5">
        <f>IF(  Q91&gt;$E$2, SUMIFS(IF($G$2="CPR",'Grid Data'!$AH$4:$AH$2342,'Grid Data'!$AI$4:$AI$2342),'Grid Data'!$Z$4:$Z$2342,$D60,'Grid Data'!$AA$4:$AA$2342,Q$4,'Grid Data'!$Y$4:$Y$2342,$D$2)*100-Q28, "--")</f>
        <v>6.4695999999999998</v>
      </c>
      <c r="R60" s="5">
        <f>IF(  R91&gt;$E$2, SUMIFS(IF($G$2="CPR",'Grid Data'!$AH$4:$AH$2342,'Grid Data'!$AI$4:$AI$2342),'Grid Data'!$Z$4:$Z$2342,$D60,'Grid Data'!$AA$4:$AA$2342,R$4,'Grid Data'!$Y$4:$Y$2342,$D$2)*100-R28, "--")</f>
        <v>-0.92560000000000286</v>
      </c>
      <c r="S60" s="5">
        <f>IF(  S91&gt;$E$2, SUMIFS(IF($G$2="CPR",'Grid Data'!$AH$4:$AH$2342,'Grid Data'!$AI$4:$AI$2342),'Grid Data'!$Z$4:$Z$2342,$D60,'Grid Data'!$AA$4:$AA$2342,S$4,'Grid Data'!$Y$4:$Y$2342,$D$2)*100-S28, "--")</f>
        <v>0.87039999999999651</v>
      </c>
      <c r="T60" s="5" t="str">
        <f>IF(  T91&gt;$E$2, SUMIFS(IF($G$2="CPR",'Grid Data'!$AH$4:$AH$2342,'Grid Data'!$AI$4:$AI$2342),'Grid Data'!$Z$4:$Z$2342,$D60,'Grid Data'!$AA$4:$AA$2342,T$4,'Grid Data'!$Y$4:$Y$2342,$D$2)*100-T28, "--")</f>
        <v>--</v>
      </c>
      <c r="U60" s="5" t="str">
        <f>IF(  U91&gt;$E$2, SUMIFS(IF($G$2="CPR",'Grid Data'!$AH$4:$AH$2342,'Grid Data'!$AI$4:$AI$2342),'Grid Data'!$Z$4:$Z$2342,$D60,'Grid Data'!$AA$4:$AA$2342,U$4,'Grid Data'!$Y$4:$Y$2342,$D$2)*100-U28, "--")</f>
        <v>--</v>
      </c>
      <c r="V60" s="5" t="str">
        <f>IF(  V91&gt;$E$2, SUMIFS(IF($G$2="CPR",'Grid Data'!$AH$4:$AH$2342,'Grid Data'!$AI$4:$AI$2342),'Grid Data'!$Z$4:$Z$2342,$D60,'Grid Data'!$AA$4:$AA$2342,V$4,'Grid Data'!$Y$4:$Y$2342,$D$2)*100-V28, "--")</f>
        <v>--</v>
      </c>
      <c r="W60" s="5" t="str">
        <f>IF(  W91&gt;$E$2, SUMIFS(IF($G$2="CPR",'Grid Data'!$AH$4:$AH$2342,'Grid Data'!$AI$4:$AI$2342),'Grid Data'!$Z$4:$Z$2342,$D60,'Grid Data'!$AA$4:$AA$2342,W$4,'Grid Data'!$Y$4:$Y$2342,$D$2)*100-W28, "--")</f>
        <v>--</v>
      </c>
      <c r="X60" s="5" t="str">
        <f>IF(  X91&gt;$E$2, SUMIFS(IF($G$2="CPR",'Grid Data'!$AH$4:$AH$2342,'Grid Data'!$AI$4:$AI$2342),'Grid Data'!$Z$4:$Z$2342,$D60,'Grid Data'!$AA$4:$AA$2342,X$4,'Grid Data'!$Y$4:$Y$2342,$D$2)*100-X28, "--")</f>
        <v>--</v>
      </c>
      <c r="Y60" s="5" t="str">
        <f>IF(  Y91&gt;$E$2, SUMIFS(IF($G$2="CPR",'Grid Data'!$AH$4:$AH$2342,'Grid Data'!$AI$4:$AI$2342),'Grid Data'!$Z$4:$Z$2342,$D60,'Grid Data'!$AA$4:$AA$2342,Y$4,'Grid Data'!$Y$4:$Y$2342,$D$2)*100-Y28, "--")</f>
        <v>--</v>
      </c>
      <c r="Z60" s="5" t="str">
        <f>IF(  Z91&gt;$E$2, SUMIFS(IF($G$2="CPR",'Grid Data'!$AH$4:$AH$2342,'Grid Data'!$AI$4:$AI$2342),'Grid Data'!$Z$4:$Z$2342,$D60,'Grid Data'!$AA$4:$AA$2342,Z$4,'Grid Data'!$Y$4:$Y$2342,$D$2)*100-Z28, "--")</f>
        <v>--</v>
      </c>
      <c r="AA60" s="5" t="str">
        <f>IF(  AA91&gt;$E$2, SUMIFS(IF($G$2="CPR",'Grid Data'!$AH$4:$AH$2342,'Grid Data'!$AI$4:$AI$2342),'Grid Data'!$Z$4:$Z$2342,$D60,'Grid Data'!$AA$4:$AA$2342,AA$4,'Grid Data'!$Y$4:$Y$2342,$D$2)*100-AA28, "--")</f>
        <v>--</v>
      </c>
      <c r="AB60" s="5" t="str">
        <f>IF(  AB91&gt;$E$2, SUMIFS(IF($G$2="CPR",'Grid Data'!$AH$4:$AH$2342,'Grid Data'!$AI$4:$AI$2342),'Grid Data'!$Z$4:$Z$2342,$D60,'Grid Data'!$AA$4:$AA$2342,AB$4,'Grid Data'!$Y$4:$Y$2342,$D$2)*100-AB28, "--")</f>
        <v>--</v>
      </c>
      <c r="AC60" s="5" t="str">
        <f>IF(  AC91&gt;$E$2, SUMIFS(IF($G$2="CPR",'Grid Data'!$AH$4:$AH$2342,'Grid Data'!$AI$4:$AI$2342),'Grid Data'!$Z$4:$Z$2342,$D60,'Grid Data'!$AA$4:$AA$2342,AC$4,'Grid Data'!$Y$4:$Y$2342,$D$2)*100-AC28, "--")</f>
        <v>--</v>
      </c>
      <c r="AD60" s="5" t="str">
        <f>IF(  AD91&gt;$E$2, SUMIFS(IF($G$2="CPR",'Grid Data'!$AH$4:$AH$2342,'Grid Data'!$AI$4:$AI$2342),'Grid Data'!$Z$4:$Z$2342,$D60,'Grid Data'!$AA$4:$AA$2342,AD$4,'Grid Data'!$Y$4:$Y$2342,$D$2)*100-AD28, "--")</f>
        <v>--</v>
      </c>
      <c r="AE60" s="5" t="str">
        <f>IF(  AE91&gt;$E$2, SUMIFS(IF($G$2="CPR",'Grid Data'!$AH$4:$AH$2342,'Grid Data'!$AI$4:$AI$2342),'Grid Data'!$Z$4:$Z$2342,$D60,'Grid Data'!$AA$4:$AA$2342,AE$4,'Grid Data'!$Y$4:$Y$2342,$D$2)*100-AE28, "--")</f>
        <v>--</v>
      </c>
      <c r="AF60" s="5" t="str">
        <f>IF(  AF91&gt;$E$2, SUMIFS(IF($G$2="CPR",'Grid Data'!$AH$4:$AH$2342,'Grid Data'!$AI$4:$AI$2342),'Grid Data'!$Z$4:$Z$2342,$D60,'Grid Data'!$AA$4:$AA$2342,AF$4,'Grid Data'!$Y$4:$Y$2342,$D$2)*100-AF28, "--")</f>
        <v>--</v>
      </c>
      <c r="AG60" s="5">
        <f>IF(  AG91&gt;$E$2, SUMIFS(IF($G$2="CPR",'Grid Data'!$AH$4:$AH$2342,'Grid Data'!$AI$4:$AI$2342),'Grid Data'!$Z$4:$Z$2342,$D60,'Grid Data'!$AA$4:$AA$2342,AG$4,'Grid Data'!$Y$4:$Y$2342,$D$2)*100-AG28, "--")</f>
        <v>3.9049000000000005</v>
      </c>
      <c r="AH60" s="5">
        <f>IF(  AH91&gt;$E$2, SUMIFS(IF($G$2="CPR",'Grid Data'!$AH$4:$AH$2342,'Grid Data'!$AI$4:$AI$2342),'Grid Data'!$Z$4:$Z$2342,$D60,'Grid Data'!$AA$4:$AA$2342,AH$4,'Grid Data'!$Y$4:$Y$2342,$D$2)*100-AH28, "--")</f>
        <v>-2.6918999999999995</v>
      </c>
    </row>
    <row r="61" spans="4:34" x14ac:dyDescent="0.35">
      <c r="D61">
        <v>8000</v>
      </c>
      <c r="E61" s="5">
        <f>IF(  E92&gt;$E$2, SUMIFS(IF($G$2="CPR",'Grid Data'!$AH$4:$AH$2342,'Grid Data'!$AI$4:$AI$2342),'Grid Data'!$Z$4:$Z$2342,$D61,'Grid Data'!$AA$4:$AA$2342,E$4,'Grid Data'!$Y$4:$Y$2342,$D$2)*100-E29, "--")</f>
        <v>3.7104999999999997</v>
      </c>
      <c r="F61" s="5" t="str">
        <f>IF(  F92&gt;$E$2, SUMIFS(IF($G$2="CPR",'Grid Data'!$AH$4:$AH$2342,'Grid Data'!$AI$4:$AI$2342),'Grid Data'!$Z$4:$Z$2342,$D61,'Grid Data'!$AA$4:$AA$2342,F$4,'Grid Data'!$Y$4:$Y$2342,$D$2)*100-F29, "--")</f>
        <v>--</v>
      </c>
      <c r="G61" s="5">
        <f>IF(  G92&gt;$E$2, SUMIFS(IF($G$2="CPR",'Grid Data'!$AH$4:$AH$2342,'Grid Data'!$AI$4:$AI$2342),'Grid Data'!$Z$4:$Z$2342,$D61,'Grid Data'!$AA$4:$AA$2342,G$4,'Grid Data'!$Y$4:$Y$2342,$D$2)*100-G29, "--")</f>
        <v>-13.493900000000002</v>
      </c>
      <c r="H61" s="5">
        <f>IF(  H92&gt;$E$2, SUMIFS(IF($G$2="CPR",'Grid Data'!$AH$4:$AH$2342,'Grid Data'!$AI$4:$AI$2342),'Grid Data'!$Z$4:$Z$2342,$D61,'Grid Data'!$AA$4:$AA$2342,H$4,'Grid Data'!$Y$4:$Y$2342,$D$2)*100-H29, "--")</f>
        <v>-10.3588</v>
      </c>
      <c r="I61" s="5">
        <f>IF(  I92&gt;$E$2, SUMIFS(IF($G$2="CPR",'Grid Data'!$AH$4:$AH$2342,'Grid Data'!$AI$4:$AI$2342),'Grid Data'!$Z$4:$Z$2342,$D61,'Grid Data'!$AA$4:$AA$2342,I$4,'Grid Data'!$Y$4:$Y$2342,$D$2)*100-I29, "--")</f>
        <v>-34.881099999999996</v>
      </c>
      <c r="J61" s="5">
        <f>IF(  J92&gt;$E$2, SUMIFS(IF($G$2="CPR",'Grid Data'!$AH$4:$AH$2342,'Grid Data'!$AI$4:$AI$2342),'Grid Data'!$Z$4:$Z$2342,$D61,'Grid Data'!$AA$4:$AA$2342,J$4,'Grid Data'!$Y$4:$Y$2342,$D$2)*100-J29, "--")</f>
        <v>-4.6383000000000001</v>
      </c>
      <c r="K61" s="5">
        <f>IF(  K92&gt;$E$2, SUMIFS(IF($G$2="CPR",'Grid Data'!$AH$4:$AH$2342,'Grid Data'!$AI$4:$AI$2342),'Grid Data'!$Z$4:$Z$2342,$D61,'Grid Data'!$AA$4:$AA$2342,K$4,'Grid Data'!$Y$4:$Y$2342,$D$2)*100-K29, "--")</f>
        <v>9.5787000000000013</v>
      </c>
      <c r="L61" s="5">
        <f>IF(  L92&gt;$E$2, SUMIFS(IF($G$2="CPR",'Grid Data'!$AH$4:$AH$2342,'Grid Data'!$AI$4:$AI$2342),'Grid Data'!$Z$4:$Z$2342,$D61,'Grid Data'!$AA$4:$AA$2342,L$4,'Grid Data'!$Y$4:$Y$2342,$D$2)*100-L29, "--")</f>
        <v>-25.416899999999998</v>
      </c>
      <c r="M61" s="5">
        <f>IF(  M92&gt;$E$2, SUMIFS(IF($G$2="CPR",'Grid Data'!$AH$4:$AH$2342,'Grid Data'!$AI$4:$AI$2342),'Grid Data'!$Z$4:$Z$2342,$D61,'Grid Data'!$AA$4:$AA$2342,M$4,'Grid Data'!$Y$4:$Y$2342,$D$2)*100-M29, "--")</f>
        <v>25.309000000000001</v>
      </c>
      <c r="N61" s="5">
        <f>IF(  N92&gt;$E$2, SUMIFS(IF($G$2="CPR",'Grid Data'!$AH$4:$AH$2342,'Grid Data'!$AI$4:$AI$2342),'Grid Data'!$Z$4:$Z$2342,$D61,'Grid Data'!$AA$4:$AA$2342,N$4,'Grid Data'!$Y$4:$Y$2342,$D$2)*100-N29, "--")</f>
        <v>35.418500000000009</v>
      </c>
      <c r="O61" s="5">
        <f>IF(  O92&gt;$E$2, SUMIFS(IF($G$2="CPR",'Grid Data'!$AH$4:$AH$2342,'Grid Data'!$AI$4:$AI$2342),'Grid Data'!$Z$4:$Z$2342,$D61,'Grid Data'!$AA$4:$AA$2342,O$4,'Grid Data'!$Y$4:$Y$2342,$D$2)*100-O29, "--")</f>
        <v>13.033099999999997</v>
      </c>
      <c r="P61" s="5">
        <f>IF(  P92&gt;$E$2, SUMIFS(IF($G$2="CPR",'Grid Data'!$AH$4:$AH$2342,'Grid Data'!$AI$4:$AI$2342),'Grid Data'!$Z$4:$Z$2342,$D61,'Grid Data'!$AA$4:$AA$2342,P$4,'Grid Data'!$Y$4:$Y$2342,$D$2)*100-P29, "--")</f>
        <v>8.9995000000000012</v>
      </c>
      <c r="Q61" s="5">
        <f>IF(  Q92&gt;$E$2, SUMIFS(IF($G$2="CPR",'Grid Data'!$AH$4:$AH$2342,'Grid Data'!$AI$4:$AI$2342),'Grid Data'!$Z$4:$Z$2342,$D61,'Grid Data'!$AA$4:$AA$2342,Q$4,'Grid Data'!$Y$4:$Y$2342,$D$2)*100-Q29, "--")</f>
        <v>4.4542999999999999</v>
      </c>
      <c r="R61" s="5">
        <f>IF(  R92&gt;$E$2, SUMIFS(IF($G$2="CPR",'Grid Data'!$AH$4:$AH$2342,'Grid Data'!$AI$4:$AI$2342),'Grid Data'!$Z$4:$Z$2342,$D61,'Grid Data'!$AA$4:$AA$2342,R$4,'Grid Data'!$Y$4:$Y$2342,$D$2)*100-R29, "--")</f>
        <v>14.386399999999998</v>
      </c>
      <c r="S61" s="5">
        <f>IF(  S92&gt;$E$2, SUMIFS(IF($G$2="CPR",'Grid Data'!$AH$4:$AH$2342,'Grid Data'!$AI$4:$AI$2342),'Grid Data'!$Z$4:$Z$2342,$D61,'Grid Data'!$AA$4:$AA$2342,S$4,'Grid Data'!$Y$4:$Y$2342,$D$2)*100-S29, "--")</f>
        <v>-15.261699999999998</v>
      </c>
      <c r="T61" s="5" t="str">
        <f>IF(  T92&gt;$E$2, SUMIFS(IF($G$2="CPR",'Grid Data'!$AH$4:$AH$2342,'Grid Data'!$AI$4:$AI$2342),'Grid Data'!$Z$4:$Z$2342,$D61,'Grid Data'!$AA$4:$AA$2342,T$4,'Grid Data'!$Y$4:$Y$2342,$D$2)*100-T29, "--")</f>
        <v>--</v>
      </c>
      <c r="U61" s="5" t="str">
        <f>IF(  U92&gt;$E$2, SUMIFS(IF($G$2="CPR",'Grid Data'!$AH$4:$AH$2342,'Grid Data'!$AI$4:$AI$2342),'Grid Data'!$Z$4:$Z$2342,$D61,'Grid Data'!$AA$4:$AA$2342,U$4,'Grid Data'!$Y$4:$Y$2342,$D$2)*100-U29, "--")</f>
        <v>--</v>
      </c>
      <c r="V61" s="5" t="str">
        <f>IF(  V92&gt;$E$2, SUMIFS(IF($G$2="CPR",'Grid Data'!$AH$4:$AH$2342,'Grid Data'!$AI$4:$AI$2342),'Grid Data'!$Z$4:$Z$2342,$D61,'Grid Data'!$AA$4:$AA$2342,V$4,'Grid Data'!$Y$4:$Y$2342,$D$2)*100-V29, "--")</f>
        <v>--</v>
      </c>
      <c r="W61" s="5" t="str">
        <f>IF(  W92&gt;$E$2, SUMIFS(IF($G$2="CPR",'Grid Data'!$AH$4:$AH$2342,'Grid Data'!$AI$4:$AI$2342),'Grid Data'!$Z$4:$Z$2342,$D61,'Grid Data'!$AA$4:$AA$2342,W$4,'Grid Data'!$Y$4:$Y$2342,$D$2)*100-W29, "--")</f>
        <v>--</v>
      </c>
      <c r="X61" s="5" t="str">
        <f>IF(  X92&gt;$E$2, SUMIFS(IF($G$2="CPR",'Grid Data'!$AH$4:$AH$2342,'Grid Data'!$AI$4:$AI$2342),'Grid Data'!$Z$4:$Z$2342,$D61,'Grid Data'!$AA$4:$AA$2342,X$4,'Grid Data'!$Y$4:$Y$2342,$D$2)*100-X29, "--")</f>
        <v>--</v>
      </c>
      <c r="Y61" s="5" t="str">
        <f>IF(  Y92&gt;$E$2, SUMIFS(IF($G$2="CPR",'Grid Data'!$AH$4:$AH$2342,'Grid Data'!$AI$4:$AI$2342),'Grid Data'!$Z$4:$Z$2342,$D61,'Grid Data'!$AA$4:$AA$2342,Y$4,'Grid Data'!$Y$4:$Y$2342,$D$2)*100-Y29, "--")</f>
        <v>--</v>
      </c>
      <c r="Z61" s="5" t="str">
        <f>IF(  Z92&gt;$E$2, SUMIFS(IF($G$2="CPR",'Grid Data'!$AH$4:$AH$2342,'Grid Data'!$AI$4:$AI$2342),'Grid Data'!$Z$4:$Z$2342,$D61,'Grid Data'!$AA$4:$AA$2342,Z$4,'Grid Data'!$Y$4:$Y$2342,$D$2)*100-Z29, "--")</f>
        <v>--</v>
      </c>
      <c r="AA61" s="5" t="str">
        <f>IF(  AA92&gt;$E$2, SUMIFS(IF($G$2="CPR",'Grid Data'!$AH$4:$AH$2342,'Grid Data'!$AI$4:$AI$2342),'Grid Data'!$Z$4:$Z$2342,$D61,'Grid Data'!$AA$4:$AA$2342,AA$4,'Grid Data'!$Y$4:$Y$2342,$D$2)*100-AA29, "--")</f>
        <v>--</v>
      </c>
      <c r="AB61" s="5" t="str">
        <f>IF(  AB92&gt;$E$2, SUMIFS(IF($G$2="CPR",'Grid Data'!$AH$4:$AH$2342,'Grid Data'!$AI$4:$AI$2342),'Grid Data'!$Z$4:$Z$2342,$D61,'Grid Data'!$AA$4:$AA$2342,AB$4,'Grid Data'!$Y$4:$Y$2342,$D$2)*100-AB29, "--")</f>
        <v>--</v>
      </c>
      <c r="AC61" s="5" t="str">
        <f>IF(  AC92&gt;$E$2, SUMIFS(IF($G$2="CPR",'Grid Data'!$AH$4:$AH$2342,'Grid Data'!$AI$4:$AI$2342),'Grid Data'!$Z$4:$Z$2342,$D61,'Grid Data'!$AA$4:$AA$2342,AC$4,'Grid Data'!$Y$4:$Y$2342,$D$2)*100-AC29, "--")</f>
        <v>--</v>
      </c>
      <c r="AD61" s="5" t="str">
        <f>IF(  AD92&gt;$E$2, SUMIFS(IF($G$2="CPR",'Grid Data'!$AH$4:$AH$2342,'Grid Data'!$AI$4:$AI$2342),'Grid Data'!$Z$4:$Z$2342,$D61,'Grid Data'!$AA$4:$AA$2342,AD$4,'Grid Data'!$Y$4:$Y$2342,$D$2)*100-AD29, "--")</f>
        <v>--</v>
      </c>
      <c r="AE61" s="5" t="str">
        <f>IF(  AE92&gt;$E$2, SUMIFS(IF($G$2="CPR",'Grid Data'!$AH$4:$AH$2342,'Grid Data'!$AI$4:$AI$2342),'Grid Data'!$Z$4:$Z$2342,$D61,'Grid Data'!$AA$4:$AA$2342,AE$4,'Grid Data'!$Y$4:$Y$2342,$D$2)*100-AE29, "--")</f>
        <v>--</v>
      </c>
      <c r="AF61" s="5" t="str">
        <f>IF(  AF92&gt;$E$2, SUMIFS(IF($G$2="CPR",'Grid Data'!$AH$4:$AH$2342,'Grid Data'!$AI$4:$AI$2342),'Grid Data'!$Z$4:$Z$2342,$D61,'Grid Data'!$AA$4:$AA$2342,AF$4,'Grid Data'!$Y$4:$Y$2342,$D$2)*100-AF29, "--")</f>
        <v>--</v>
      </c>
      <c r="AG61" s="5">
        <f>IF(  AG92&gt;$E$2, SUMIFS(IF($G$2="CPR",'Grid Data'!$AH$4:$AH$2342,'Grid Data'!$AI$4:$AI$2342),'Grid Data'!$Z$4:$Z$2342,$D61,'Grid Data'!$AA$4:$AA$2342,AG$4,'Grid Data'!$Y$4:$Y$2342,$D$2)*100-AG29, "--")</f>
        <v>5.4038000000000013</v>
      </c>
      <c r="AH61" s="5">
        <f>IF(  AH92&gt;$E$2, SUMIFS(IF($G$2="CPR",'Grid Data'!$AH$4:$AH$2342,'Grid Data'!$AI$4:$AI$2342),'Grid Data'!$Z$4:$Z$2342,$D61,'Grid Data'!$AA$4:$AA$2342,AH$4,'Grid Data'!$Y$4:$Y$2342,$D$2)*100-AH29, "--")</f>
        <v>2.0474999999999994</v>
      </c>
    </row>
    <row r="62" spans="4:34" x14ac:dyDescent="0.35">
      <c r="D62">
        <v>8250</v>
      </c>
      <c r="E62" s="5">
        <f>IF(  E93&gt;$E$2, SUMIFS(IF($G$2="CPR",'Grid Data'!$AH$4:$AH$2342,'Grid Data'!$AI$4:$AI$2342),'Grid Data'!$Z$4:$Z$2342,$D62,'Grid Data'!$AA$4:$AA$2342,E$4,'Grid Data'!$Y$4:$Y$2342,$D$2)*100-E30, "--")</f>
        <v>6.5368999999999993</v>
      </c>
      <c r="F62" s="5" t="str">
        <f>IF(  F93&gt;$E$2, SUMIFS(IF($G$2="CPR",'Grid Data'!$AH$4:$AH$2342,'Grid Data'!$AI$4:$AI$2342),'Grid Data'!$Z$4:$Z$2342,$D62,'Grid Data'!$AA$4:$AA$2342,F$4,'Grid Data'!$Y$4:$Y$2342,$D$2)*100-F30, "--")</f>
        <v>--</v>
      </c>
      <c r="G62" s="5">
        <f>IF(  G93&gt;$E$2, SUMIFS(IF($G$2="CPR",'Grid Data'!$AH$4:$AH$2342,'Grid Data'!$AI$4:$AI$2342),'Grid Data'!$Z$4:$Z$2342,$D62,'Grid Data'!$AA$4:$AA$2342,G$4,'Grid Data'!$Y$4:$Y$2342,$D$2)*100-G30, "--")</f>
        <v>27.645700000000001</v>
      </c>
      <c r="H62" s="5">
        <f>IF(  H93&gt;$E$2, SUMIFS(IF($G$2="CPR",'Grid Data'!$AH$4:$AH$2342,'Grid Data'!$AI$4:$AI$2342),'Grid Data'!$Z$4:$Z$2342,$D62,'Grid Data'!$AA$4:$AA$2342,H$4,'Grid Data'!$Y$4:$Y$2342,$D$2)*100-H30, "--")</f>
        <v>-7.2695999999999996</v>
      </c>
      <c r="I62" s="5">
        <f>IF(  I93&gt;$E$2, SUMIFS(IF($G$2="CPR",'Grid Data'!$AH$4:$AH$2342,'Grid Data'!$AI$4:$AI$2342),'Grid Data'!$Z$4:$Z$2342,$D62,'Grid Data'!$AA$4:$AA$2342,I$4,'Grid Data'!$Y$4:$Y$2342,$D$2)*100-I30, "--")</f>
        <v>-11.5419</v>
      </c>
      <c r="J62" s="5" t="str">
        <f>IF(  J93&gt;$E$2, SUMIFS(IF($G$2="CPR",'Grid Data'!$AH$4:$AH$2342,'Grid Data'!$AI$4:$AI$2342),'Grid Data'!$Z$4:$Z$2342,$D62,'Grid Data'!$AA$4:$AA$2342,J$4,'Grid Data'!$Y$4:$Y$2342,$D$2)*100-J30, "--")</f>
        <v>--</v>
      </c>
      <c r="K62" s="5">
        <f>IF(  K93&gt;$E$2, SUMIFS(IF($G$2="CPR",'Grid Data'!$AH$4:$AH$2342,'Grid Data'!$AI$4:$AI$2342),'Grid Data'!$Z$4:$Z$2342,$D62,'Grid Data'!$AA$4:$AA$2342,K$4,'Grid Data'!$Y$4:$Y$2342,$D$2)*100-K30, "--")</f>
        <v>25.291600000000003</v>
      </c>
      <c r="L62" s="5">
        <f>IF(  L93&gt;$E$2, SUMIFS(IF($G$2="CPR",'Grid Data'!$AH$4:$AH$2342,'Grid Data'!$AI$4:$AI$2342),'Grid Data'!$Z$4:$Z$2342,$D62,'Grid Data'!$AA$4:$AA$2342,L$4,'Grid Data'!$Y$4:$Y$2342,$D$2)*100-L30, "--")</f>
        <v>-2.1546000000000021</v>
      </c>
      <c r="M62" s="5">
        <f>IF(  M93&gt;$E$2, SUMIFS(IF($G$2="CPR",'Grid Data'!$AH$4:$AH$2342,'Grid Data'!$AI$4:$AI$2342),'Grid Data'!$Z$4:$Z$2342,$D62,'Grid Data'!$AA$4:$AA$2342,M$4,'Grid Data'!$Y$4:$Y$2342,$D$2)*100-M30, "--")</f>
        <v>-5.4223999999999997</v>
      </c>
      <c r="N62" s="5">
        <f>IF(  N93&gt;$E$2, SUMIFS(IF($G$2="CPR",'Grid Data'!$AH$4:$AH$2342,'Grid Data'!$AI$4:$AI$2342),'Grid Data'!$Z$4:$Z$2342,$D62,'Grid Data'!$AA$4:$AA$2342,N$4,'Grid Data'!$Y$4:$Y$2342,$D$2)*100-N30, "--")</f>
        <v>11.289299999999997</v>
      </c>
      <c r="O62" s="5">
        <f>IF(  O93&gt;$E$2, SUMIFS(IF($G$2="CPR",'Grid Data'!$AH$4:$AH$2342,'Grid Data'!$AI$4:$AI$2342),'Grid Data'!$Z$4:$Z$2342,$D62,'Grid Data'!$AA$4:$AA$2342,O$4,'Grid Data'!$Y$4:$Y$2342,$D$2)*100-O30, "--")</f>
        <v>-9.8415999999999997</v>
      </c>
      <c r="P62" s="5">
        <f>IF(  P93&gt;$E$2, SUMIFS(IF($G$2="CPR",'Grid Data'!$AH$4:$AH$2342,'Grid Data'!$AI$4:$AI$2342),'Grid Data'!$Z$4:$Z$2342,$D62,'Grid Data'!$AA$4:$AA$2342,P$4,'Grid Data'!$Y$4:$Y$2342,$D$2)*100-P30, "--")</f>
        <v>-3.2363999999999997</v>
      </c>
      <c r="Q62" s="5">
        <f>IF(  Q93&gt;$E$2, SUMIFS(IF($G$2="CPR",'Grid Data'!$AH$4:$AH$2342,'Grid Data'!$AI$4:$AI$2342),'Grid Data'!$Z$4:$Z$2342,$D62,'Grid Data'!$AA$4:$AA$2342,Q$4,'Grid Data'!$Y$4:$Y$2342,$D$2)*100-Q30, "--")</f>
        <v>4.6378999999999984</v>
      </c>
      <c r="R62" s="5">
        <f>IF(  R93&gt;$E$2, SUMIFS(IF($G$2="CPR",'Grid Data'!$AH$4:$AH$2342,'Grid Data'!$AI$4:$AI$2342),'Grid Data'!$Z$4:$Z$2342,$D62,'Grid Data'!$AA$4:$AA$2342,R$4,'Grid Data'!$Y$4:$Y$2342,$D$2)*100-R30, "--")</f>
        <v>-0.83929999999999971</v>
      </c>
      <c r="S62" s="5" t="str">
        <f>IF(  S93&gt;$E$2, SUMIFS(IF($G$2="CPR",'Grid Data'!$AH$4:$AH$2342,'Grid Data'!$AI$4:$AI$2342),'Grid Data'!$Z$4:$Z$2342,$D62,'Grid Data'!$AA$4:$AA$2342,S$4,'Grid Data'!$Y$4:$Y$2342,$D$2)*100-S30, "--")</f>
        <v>--</v>
      </c>
      <c r="T62" s="5" t="str">
        <f>IF(  T93&gt;$E$2, SUMIFS(IF($G$2="CPR",'Grid Data'!$AH$4:$AH$2342,'Grid Data'!$AI$4:$AI$2342),'Grid Data'!$Z$4:$Z$2342,$D62,'Grid Data'!$AA$4:$AA$2342,T$4,'Grid Data'!$Y$4:$Y$2342,$D$2)*100-T30, "--")</f>
        <v>--</v>
      </c>
      <c r="U62" s="5" t="str">
        <f>IF(  U93&gt;$E$2, SUMIFS(IF($G$2="CPR",'Grid Data'!$AH$4:$AH$2342,'Grid Data'!$AI$4:$AI$2342),'Grid Data'!$Z$4:$Z$2342,$D62,'Grid Data'!$AA$4:$AA$2342,U$4,'Grid Data'!$Y$4:$Y$2342,$D$2)*100-U30, "--")</f>
        <v>--</v>
      </c>
      <c r="V62" s="5" t="str">
        <f>IF(  V93&gt;$E$2, SUMIFS(IF($G$2="CPR",'Grid Data'!$AH$4:$AH$2342,'Grid Data'!$AI$4:$AI$2342),'Grid Data'!$Z$4:$Z$2342,$D62,'Grid Data'!$AA$4:$AA$2342,V$4,'Grid Data'!$Y$4:$Y$2342,$D$2)*100-V30, "--")</f>
        <v>--</v>
      </c>
      <c r="W62" s="5" t="str">
        <f>IF(  W93&gt;$E$2, SUMIFS(IF($G$2="CPR",'Grid Data'!$AH$4:$AH$2342,'Grid Data'!$AI$4:$AI$2342),'Grid Data'!$Z$4:$Z$2342,$D62,'Grid Data'!$AA$4:$AA$2342,W$4,'Grid Data'!$Y$4:$Y$2342,$D$2)*100-W30, "--")</f>
        <v>--</v>
      </c>
      <c r="X62" s="5" t="str">
        <f>IF(  X93&gt;$E$2, SUMIFS(IF($G$2="CPR",'Grid Data'!$AH$4:$AH$2342,'Grid Data'!$AI$4:$AI$2342),'Grid Data'!$Z$4:$Z$2342,$D62,'Grid Data'!$AA$4:$AA$2342,X$4,'Grid Data'!$Y$4:$Y$2342,$D$2)*100-X30, "--")</f>
        <v>--</v>
      </c>
      <c r="Y62" s="5" t="str">
        <f>IF(  Y93&gt;$E$2, SUMIFS(IF($G$2="CPR",'Grid Data'!$AH$4:$AH$2342,'Grid Data'!$AI$4:$AI$2342),'Grid Data'!$Z$4:$Z$2342,$D62,'Grid Data'!$AA$4:$AA$2342,Y$4,'Grid Data'!$Y$4:$Y$2342,$D$2)*100-Y30, "--")</f>
        <v>--</v>
      </c>
      <c r="Z62" s="5" t="str">
        <f>IF(  Z93&gt;$E$2, SUMIFS(IF($G$2="CPR",'Grid Data'!$AH$4:$AH$2342,'Grid Data'!$AI$4:$AI$2342),'Grid Data'!$Z$4:$Z$2342,$D62,'Grid Data'!$AA$4:$AA$2342,Z$4,'Grid Data'!$Y$4:$Y$2342,$D$2)*100-Z30, "--")</f>
        <v>--</v>
      </c>
      <c r="AA62" s="5" t="str">
        <f>IF(  AA93&gt;$E$2, SUMIFS(IF($G$2="CPR",'Grid Data'!$AH$4:$AH$2342,'Grid Data'!$AI$4:$AI$2342),'Grid Data'!$Z$4:$Z$2342,$D62,'Grid Data'!$AA$4:$AA$2342,AA$4,'Grid Data'!$Y$4:$Y$2342,$D$2)*100-AA30, "--")</f>
        <v>--</v>
      </c>
      <c r="AB62" s="5" t="str">
        <f>IF(  AB93&gt;$E$2, SUMIFS(IF($G$2="CPR",'Grid Data'!$AH$4:$AH$2342,'Grid Data'!$AI$4:$AI$2342),'Grid Data'!$Z$4:$Z$2342,$D62,'Grid Data'!$AA$4:$AA$2342,AB$4,'Grid Data'!$Y$4:$Y$2342,$D$2)*100-AB30, "--")</f>
        <v>--</v>
      </c>
      <c r="AC62" s="5" t="str">
        <f>IF(  AC93&gt;$E$2, SUMIFS(IF($G$2="CPR",'Grid Data'!$AH$4:$AH$2342,'Grid Data'!$AI$4:$AI$2342),'Grid Data'!$Z$4:$Z$2342,$D62,'Grid Data'!$AA$4:$AA$2342,AC$4,'Grid Data'!$Y$4:$Y$2342,$D$2)*100-AC30, "--")</f>
        <v>--</v>
      </c>
      <c r="AD62" s="5" t="str">
        <f>IF(  AD93&gt;$E$2, SUMIFS(IF($G$2="CPR",'Grid Data'!$AH$4:$AH$2342,'Grid Data'!$AI$4:$AI$2342),'Grid Data'!$Z$4:$Z$2342,$D62,'Grid Data'!$AA$4:$AA$2342,AD$4,'Grid Data'!$Y$4:$Y$2342,$D$2)*100-AD30, "--")</f>
        <v>--</v>
      </c>
      <c r="AE62" s="5" t="str">
        <f>IF(  AE93&gt;$E$2, SUMIFS(IF($G$2="CPR",'Grid Data'!$AH$4:$AH$2342,'Grid Data'!$AI$4:$AI$2342),'Grid Data'!$Z$4:$Z$2342,$D62,'Grid Data'!$AA$4:$AA$2342,AE$4,'Grid Data'!$Y$4:$Y$2342,$D$2)*100-AE30, "--")</f>
        <v>--</v>
      </c>
      <c r="AF62" s="5" t="str">
        <f>IF(  AF93&gt;$E$2, SUMIFS(IF($G$2="CPR",'Grid Data'!$AH$4:$AH$2342,'Grid Data'!$AI$4:$AI$2342),'Grid Data'!$Z$4:$Z$2342,$D62,'Grid Data'!$AA$4:$AA$2342,AF$4,'Grid Data'!$Y$4:$Y$2342,$D$2)*100-AF30, "--")</f>
        <v>--</v>
      </c>
      <c r="AG62" s="5">
        <f>IF(  AG93&gt;$E$2, SUMIFS(IF($G$2="CPR",'Grid Data'!$AH$4:$AH$2342,'Grid Data'!$AI$4:$AI$2342),'Grid Data'!$Z$4:$Z$2342,$D62,'Grid Data'!$AA$4:$AA$2342,AG$4,'Grid Data'!$Y$4:$Y$2342,$D$2)*100-AG30, "--")</f>
        <v>-1.9616000000000007</v>
      </c>
      <c r="AH62" s="5">
        <f>IF(  AH93&gt;$E$2, SUMIFS(IF($G$2="CPR",'Grid Data'!$AH$4:$AH$2342,'Grid Data'!$AI$4:$AI$2342),'Grid Data'!$Z$4:$Z$2342,$D62,'Grid Data'!$AA$4:$AA$2342,AH$4,'Grid Data'!$Y$4:$Y$2342,$D$2)*100-AH30, "--")</f>
        <v>-12.672099999999999</v>
      </c>
    </row>
    <row r="63" spans="4:34" x14ac:dyDescent="0.35">
      <c r="D63">
        <v>8500</v>
      </c>
      <c r="E63" s="5" t="str">
        <f>IF(  E94&gt;$E$2, SUMIFS(IF($G$2="CPR",'Grid Data'!$AH$4:$AH$2342,'Grid Data'!$AI$4:$AI$2342),'Grid Data'!$Z$4:$Z$2342,$D63,'Grid Data'!$AA$4:$AA$2342,E$4,'Grid Data'!$Y$4:$Y$2342,$D$2)*100-E31, "--")</f>
        <v>--</v>
      </c>
      <c r="F63" s="5" t="str">
        <f>IF(  F94&gt;$E$2, SUMIFS(IF($G$2="CPR",'Grid Data'!$AH$4:$AH$2342,'Grid Data'!$AI$4:$AI$2342),'Grid Data'!$Z$4:$Z$2342,$D63,'Grid Data'!$AA$4:$AA$2342,F$4,'Grid Data'!$Y$4:$Y$2342,$D$2)*100-F31, "--")</f>
        <v>--</v>
      </c>
      <c r="G63" s="5" t="str">
        <f>IF(  G94&gt;$E$2, SUMIFS(IF($G$2="CPR",'Grid Data'!$AH$4:$AH$2342,'Grid Data'!$AI$4:$AI$2342),'Grid Data'!$Z$4:$Z$2342,$D63,'Grid Data'!$AA$4:$AA$2342,G$4,'Grid Data'!$Y$4:$Y$2342,$D$2)*100-G31, "--")</f>
        <v>--</v>
      </c>
      <c r="H63" s="5" t="str">
        <f>IF(  H94&gt;$E$2, SUMIFS(IF($G$2="CPR",'Grid Data'!$AH$4:$AH$2342,'Grid Data'!$AI$4:$AI$2342),'Grid Data'!$Z$4:$Z$2342,$D63,'Grid Data'!$AA$4:$AA$2342,H$4,'Grid Data'!$Y$4:$Y$2342,$D$2)*100-H31, "--")</f>
        <v>--</v>
      </c>
      <c r="I63" s="5" t="str">
        <f>IF(  I94&gt;$E$2, SUMIFS(IF($G$2="CPR",'Grid Data'!$AH$4:$AH$2342,'Grid Data'!$AI$4:$AI$2342),'Grid Data'!$Z$4:$Z$2342,$D63,'Grid Data'!$AA$4:$AA$2342,I$4,'Grid Data'!$Y$4:$Y$2342,$D$2)*100-I31, "--")</f>
        <v>--</v>
      </c>
      <c r="J63" s="5" t="str">
        <f>IF(  J94&gt;$E$2, SUMIFS(IF($G$2="CPR",'Grid Data'!$AH$4:$AH$2342,'Grid Data'!$AI$4:$AI$2342),'Grid Data'!$Z$4:$Z$2342,$D63,'Grid Data'!$AA$4:$AA$2342,J$4,'Grid Data'!$Y$4:$Y$2342,$D$2)*100-J31, "--")</f>
        <v>--</v>
      </c>
      <c r="K63" s="5" t="str">
        <f>IF(  K94&gt;$E$2, SUMIFS(IF($G$2="CPR",'Grid Data'!$AH$4:$AH$2342,'Grid Data'!$AI$4:$AI$2342),'Grid Data'!$Z$4:$Z$2342,$D63,'Grid Data'!$AA$4:$AA$2342,K$4,'Grid Data'!$Y$4:$Y$2342,$D$2)*100-K31, "--")</f>
        <v>--</v>
      </c>
      <c r="L63" s="5" t="str">
        <f>IF(  L94&gt;$E$2, SUMIFS(IF($G$2="CPR",'Grid Data'!$AH$4:$AH$2342,'Grid Data'!$AI$4:$AI$2342),'Grid Data'!$Z$4:$Z$2342,$D63,'Grid Data'!$AA$4:$AA$2342,L$4,'Grid Data'!$Y$4:$Y$2342,$D$2)*100-L31, "--")</f>
        <v>--</v>
      </c>
      <c r="M63" s="5" t="str">
        <f>IF(  M94&gt;$E$2, SUMIFS(IF($G$2="CPR",'Grid Data'!$AH$4:$AH$2342,'Grid Data'!$AI$4:$AI$2342),'Grid Data'!$Z$4:$Z$2342,$D63,'Grid Data'!$AA$4:$AA$2342,M$4,'Grid Data'!$Y$4:$Y$2342,$D$2)*100-M31, "--")</f>
        <v>--</v>
      </c>
      <c r="N63" s="5" t="str">
        <f>IF(  N94&gt;$E$2, SUMIFS(IF($G$2="CPR",'Grid Data'!$AH$4:$AH$2342,'Grid Data'!$AI$4:$AI$2342),'Grid Data'!$Z$4:$Z$2342,$D63,'Grid Data'!$AA$4:$AA$2342,N$4,'Grid Data'!$Y$4:$Y$2342,$D$2)*100-N31, "--")</f>
        <v>--</v>
      </c>
      <c r="O63" s="5" t="str">
        <f>IF(  O94&gt;$E$2, SUMIFS(IF($G$2="CPR",'Grid Data'!$AH$4:$AH$2342,'Grid Data'!$AI$4:$AI$2342),'Grid Data'!$Z$4:$Z$2342,$D63,'Grid Data'!$AA$4:$AA$2342,O$4,'Grid Data'!$Y$4:$Y$2342,$D$2)*100-O31, "--")</f>
        <v>--</v>
      </c>
      <c r="P63" s="5" t="str">
        <f>IF(  P94&gt;$E$2, SUMIFS(IF($G$2="CPR",'Grid Data'!$AH$4:$AH$2342,'Grid Data'!$AI$4:$AI$2342),'Grid Data'!$Z$4:$Z$2342,$D63,'Grid Data'!$AA$4:$AA$2342,P$4,'Grid Data'!$Y$4:$Y$2342,$D$2)*100-P31, "--")</f>
        <v>--</v>
      </c>
      <c r="Q63" s="5">
        <f>IF(  Q94&gt;$E$2, SUMIFS(IF($G$2="CPR",'Grid Data'!$AH$4:$AH$2342,'Grid Data'!$AI$4:$AI$2342),'Grid Data'!$Z$4:$Z$2342,$D63,'Grid Data'!$AA$4:$AA$2342,Q$4,'Grid Data'!$Y$4:$Y$2342,$D$2)*100-Q31, "--")</f>
        <v>1.0447000000000024</v>
      </c>
      <c r="R63" s="5" t="str">
        <f>IF(  R94&gt;$E$2, SUMIFS(IF($G$2="CPR",'Grid Data'!$AH$4:$AH$2342,'Grid Data'!$AI$4:$AI$2342),'Grid Data'!$Z$4:$Z$2342,$D63,'Grid Data'!$AA$4:$AA$2342,R$4,'Grid Data'!$Y$4:$Y$2342,$D$2)*100-R31, "--")</f>
        <v>--</v>
      </c>
      <c r="S63" s="5" t="str">
        <f>IF(  S94&gt;$E$2, SUMIFS(IF($G$2="CPR",'Grid Data'!$AH$4:$AH$2342,'Grid Data'!$AI$4:$AI$2342),'Grid Data'!$Z$4:$Z$2342,$D63,'Grid Data'!$AA$4:$AA$2342,S$4,'Grid Data'!$Y$4:$Y$2342,$D$2)*100-S31, "--")</f>
        <v>--</v>
      </c>
      <c r="T63" s="5" t="str">
        <f>IF(  T94&gt;$E$2, SUMIFS(IF($G$2="CPR",'Grid Data'!$AH$4:$AH$2342,'Grid Data'!$AI$4:$AI$2342),'Grid Data'!$Z$4:$Z$2342,$D63,'Grid Data'!$AA$4:$AA$2342,T$4,'Grid Data'!$Y$4:$Y$2342,$D$2)*100-T31, "--")</f>
        <v>--</v>
      </c>
      <c r="U63" s="5" t="str">
        <f>IF(  U94&gt;$E$2, SUMIFS(IF($G$2="CPR",'Grid Data'!$AH$4:$AH$2342,'Grid Data'!$AI$4:$AI$2342),'Grid Data'!$Z$4:$Z$2342,$D63,'Grid Data'!$AA$4:$AA$2342,U$4,'Grid Data'!$Y$4:$Y$2342,$D$2)*100-U31, "--")</f>
        <v>--</v>
      </c>
      <c r="V63" s="5" t="str">
        <f>IF(  V94&gt;$E$2, SUMIFS(IF($G$2="CPR",'Grid Data'!$AH$4:$AH$2342,'Grid Data'!$AI$4:$AI$2342),'Grid Data'!$Z$4:$Z$2342,$D63,'Grid Data'!$AA$4:$AA$2342,V$4,'Grid Data'!$Y$4:$Y$2342,$D$2)*100-V31, "--")</f>
        <v>--</v>
      </c>
      <c r="W63" s="5" t="str">
        <f>IF(  W94&gt;$E$2, SUMIFS(IF($G$2="CPR",'Grid Data'!$AH$4:$AH$2342,'Grid Data'!$AI$4:$AI$2342),'Grid Data'!$Z$4:$Z$2342,$D63,'Grid Data'!$AA$4:$AA$2342,W$4,'Grid Data'!$Y$4:$Y$2342,$D$2)*100-W31, "--")</f>
        <v>--</v>
      </c>
      <c r="X63" s="5" t="str">
        <f>IF(  X94&gt;$E$2, SUMIFS(IF($G$2="CPR",'Grid Data'!$AH$4:$AH$2342,'Grid Data'!$AI$4:$AI$2342),'Grid Data'!$Z$4:$Z$2342,$D63,'Grid Data'!$AA$4:$AA$2342,X$4,'Grid Data'!$Y$4:$Y$2342,$D$2)*100-X31, "--")</f>
        <v>--</v>
      </c>
      <c r="Y63" s="5" t="str">
        <f>IF(  Y94&gt;$E$2, SUMIFS(IF($G$2="CPR",'Grid Data'!$AH$4:$AH$2342,'Grid Data'!$AI$4:$AI$2342),'Grid Data'!$Z$4:$Z$2342,$D63,'Grid Data'!$AA$4:$AA$2342,Y$4,'Grid Data'!$Y$4:$Y$2342,$D$2)*100-Y31, "--")</f>
        <v>--</v>
      </c>
      <c r="Z63" s="5" t="str">
        <f>IF(  Z94&gt;$E$2, SUMIFS(IF($G$2="CPR",'Grid Data'!$AH$4:$AH$2342,'Grid Data'!$AI$4:$AI$2342),'Grid Data'!$Z$4:$Z$2342,$D63,'Grid Data'!$AA$4:$AA$2342,Z$4,'Grid Data'!$Y$4:$Y$2342,$D$2)*100-Z31, "--")</f>
        <v>--</v>
      </c>
      <c r="AA63" s="5" t="str">
        <f>IF(  AA94&gt;$E$2, SUMIFS(IF($G$2="CPR",'Grid Data'!$AH$4:$AH$2342,'Grid Data'!$AI$4:$AI$2342),'Grid Data'!$Z$4:$Z$2342,$D63,'Grid Data'!$AA$4:$AA$2342,AA$4,'Grid Data'!$Y$4:$Y$2342,$D$2)*100-AA31, "--")</f>
        <v>--</v>
      </c>
      <c r="AB63" s="5" t="str">
        <f>IF(  AB94&gt;$E$2, SUMIFS(IF($G$2="CPR",'Grid Data'!$AH$4:$AH$2342,'Grid Data'!$AI$4:$AI$2342),'Grid Data'!$Z$4:$Z$2342,$D63,'Grid Data'!$AA$4:$AA$2342,AB$4,'Grid Data'!$Y$4:$Y$2342,$D$2)*100-AB31, "--")</f>
        <v>--</v>
      </c>
      <c r="AC63" s="5" t="str">
        <f>IF(  AC94&gt;$E$2, SUMIFS(IF($G$2="CPR",'Grid Data'!$AH$4:$AH$2342,'Grid Data'!$AI$4:$AI$2342),'Grid Data'!$Z$4:$Z$2342,$D63,'Grid Data'!$AA$4:$AA$2342,AC$4,'Grid Data'!$Y$4:$Y$2342,$D$2)*100-AC31, "--")</f>
        <v>--</v>
      </c>
      <c r="AD63" s="5" t="str">
        <f>IF(  AD94&gt;$E$2, SUMIFS(IF($G$2="CPR",'Grid Data'!$AH$4:$AH$2342,'Grid Data'!$AI$4:$AI$2342),'Grid Data'!$Z$4:$Z$2342,$D63,'Grid Data'!$AA$4:$AA$2342,AD$4,'Grid Data'!$Y$4:$Y$2342,$D$2)*100-AD31, "--")</f>
        <v>--</v>
      </c>
      <c r="AE63" s="5" t="str">
        <f>IF(  AE94&gt;$E$2, SUMIFS(IF($G$2="CPR",'Grid Data'!$AH$4:$AH$2342,'Grid Data'!$AI$4:$AI$2342),'Grid Data'!$Z$4:$Z$2342,$D63,'Grid Data'!$AA$4:$AA$2342,AE$4,'Grid Data'!$Y$4:$Y$2342,$D$2)*100-AE31, "--")</f>
        <v>--</v>
      </c>
      <c r="AF63" s="5" t="str">
        <f>IF(  AF94&gt;$E$2, SUMIFS(IF($G$2="CPR",'Grid Data'!$AH$4:$AH$2342,'Grid Data'!$AI$4:$AI$2342),'Grid Data'!$Z$4:$Z$2342,$D63,'Grid Data'!$AA$4:$AA$2342,AF$4,'Grid Data'!$Y$4:$Y$2342,$D$2)*100-AF31, "--")</f>
        <v>--</v>
      </c>
      <c r="AG63" s="5">
        <f>IF(  AG94&gt;$E$2, SUMIFS(IF($G$2="CPR",'Grid Data'!$AH$4:$AH$2342,'Grid Data'!$AI$4:$AI$2342),'Grid Data'!$Z$4:$Z$2342,$D63,'Grid Data'!$AA$4:$AA$2342,AG$4,'Grid Data'!$Y$4:$Y$2342,$D$2)*100-AG31, "--")</f>
        <v>2.9810000000000008</v>
      </c>
      <c r="AH63" s="5">
        <f>IF(  AH94&gt;$E$2, SUMIFS(IF($G$2="CPR",'Grid Data'!$AH$4:$AH$2342,'Grid Data'!$AI$4:$AI$2342),'Grid Data'!$Z$4:$Z$2342,$D63,'Grid Data'!$AA$4:$AA$2342,AH$4,'Grid Data'!$Y$4:$Y$2342,$D$2)*100-AH31, "--")</f>
        <v>7.9105000000000025</v>
      </c>
    </row>
    <row r="64" spans="4:34" x14ac:dyDescent="0.35">
      <c r="D64">
        <v>9000</v>
      </c>
      <c r="E64" s="5" t="str">
        <f>IF(  E95&gt;$E$2, SUMIFS(IF($G$2="CPR",'Grid Data'!$AH$4:$AH$2342,'Grid Data'!$AI$4:$AI$2342),'Grid Data'!$Z$4:$Z$2342,$D64,'Grid Data'!$AA$4:$AA$2342,E$4,'Grid Data'!$Y$4:$Y$2342,$D$2)*100-E32, "--")</f>
        <v>--</v>
      </c>
      <c r="F64" s="5" t="str">
        <f>IF(  F95&gt;$E$2, SUMIFS(IF($G$2="CPR",'Grid Data'!$AH$4:$AH$2342,'Grid Data'!$AI$4:$AI$2342),'Grid Data'!$Z$4:$Z$2342,$D64,'Grid Data'!$AA$4:$AA$2342,F$4,'Grid Data'!$Y$4:$Y$2342,$D$2)*100-F32, "--")</f>
        <v>--</v>
      </c>
      <c r="G64" s="5" t="str">
        <f>IF(  G95&gt;$E$2, SUMIFS(IF($G$2="CPR",'Grid Data'!$AH$4:$AH$2342,'Grid Data'!$AI$4:$AI$2342),'Grid Data'!$Z$4:$Z$2342,$D64,'Grid Data'!$AA$4:$AA$2342,G$4,'Grid Data'!$Y$4:$Y$2342,$D$2)*100-G32, "--")</f>
        <v>--</v>
      </c>
      <c r="H64" s="5" t="str">
        <f>IF(  H95&gt;$E$2, SUMIFS(IF($G$2="CPR",'Grid Data'!$AH$4:$AH$2342,'Grid Data'!$AI$4:$AI$2342),'Grid Data'!$Z$4:$Z$2342,$D64,'Grid Data'!$AA$4:$AA$2342,H$4,'Grid Data'!$Y$4:$Y$2342,$D$2)*100-H32, "--")</f>
        <v>--</v>
      </c>
      <c r="I64" s="5" t="str">
        <f>IF(  I95&gt;$E$2, SUMIFS(IF($G$2="CPR",'Grid Data'!$AH$4:$AH$2342,'Grid Data'!$AI$4:$AI$2342),'Grid Data'!$Z$4:$Z$2342,$D64,'Grid Data'!$AA$4:$AA$2342,I$4,'Grid Data'!$Y$4:$Y$2342,$D$2)*100-I32, "--")</f>
        <v>--</v>
      </c>
      <c r="J64" s="5" t="str">
        <f>IF(  J95&gt;$E$2, SUMIFS(IF($G$2="CPR",'Grid Data'!$AH$4:$AH$2342,'Grid Data'!$AI$4:$AI$2342),'Grid Data'!$Z$4:$Z$2342,$D64,'Grid Data'!$AA$4:$AA$2342,J$4,'Grid Data'!$Y$4:$Y$2342,$D$2)*100-J32, "--")</f>
        <v>--</v>
      </c>
      <c r="K64" s="5" t="str">
        <f>IF(  K95&gt;$E$2, SUMIFS(IF($G$2="CPR",'Grid Data'!$AH$4:$AH$2342,'Grid Data'!$AI$4:$AI$2342),'Grid Data'!$Z$4:$Z$2342,$D64,'Grid Data'!$AA$4:$AA$2342,K$4,'Grid Data'!$Y$4:$Y$2342,$D$2)*100-K32, "--")</f>
        <v>--</v>
      </c>
      <c r="L64" s="5" t="str">
        <f>IF(  L95&gt;$E$2, SUMIFS(IF($G$2="CPR",'Grid Data'!$AH$4:$AH$2342,'Grid Data'!$AI$4:$AI$2342),'Grid Data'!$Z$4:$Z$2342,$D64,'Grid Data'!$AA$4:$AA$2342,L$4,'Grid Data'!$Y$4:$Y$2342,$D$2)*100-L32, "--")</f>
        <v>--</v>
      </c>
      <c r="M64" s="5" t="str">
        <f>IF(  M95&gt;$E$2, SUMIFS(IF($G$2="CPR",'Grid Data'!$AH$4:$AH$2342,'Grid Data'!$AI$4:$AI$2342),'Grid Data'!$Z$4:$Z$2342,$D64,'Grid Data'!$AA$4:$AA$2342,M$4,'Grid Data'!$Y$4:$Y$2342,$D$2)*100-M32, "--")</f>
        <v>--</v>
      </c>
      <c r="N64" s="5" t="str">
        <f>IF(  N95&gt;$E$2, SUMIFS(IF($G$2="CPR",'Grid Data'!$AH$4:$AH$2342,'Grid Data'!$AI$4:$AI$2342),'Grid Data'!$Z$4:$Z$2342,$D64,'Grid Data'!$AA$4:$AA$2342,N$4,'Grid Data'!$Y$4:$Y$2342,$D$2)*100-N32, "--")</f>
        <v>--</v>
      </c>
      <c r="O64" s="5" t="str">
        <f>IF(  O95&gt;$E$2, SUMIFS(IF($G$2="CPR",'Grid Data'!$AH$4:$AH$2342,'Grid Data'!$AI$4:$AI$2342),'Grid Data'!$Z$4:$Z$2342,$D64,'Grid Data'!$AA$4:$AA$2342,O$4,'Grid Data'!$Y$4:$Y$2342,$D$2)*100-O32, "--")</f>
        <v>--</v>
      </c>
      <c r="P64" s="5" t="str">
        <f>IF(  P95&gt;$E$2, SUMIFS(IF($G$2="CPR",'Grid Data'!$AH$4:$AH$2342,'Grid Data'!$AI$4:$AI$2342),'Grid Data'!$Z$4:$Z$2342,$D64,'Grid Data'!$AA$4:$AA$2342,P$4,'Grid Data'!$Y$4:$Y$2342,$D$2)*100-P32, "--")</f>
        <v>--</v>
      </c>
      <c r="Q64" s="5">
        <f>IF(  Q95&gt;$E$2, SUMIFS(IF($G$2="CPR",'Grid Data'!$AH$4:$AH$2342,'Grid Data'!$AI$4:$AI$2342),'Grid Data'!$Z$4:$Z$2342,$D64,'Grid Data'!$AA$4:$AA$2342,Q$4,'Grid Data'!$Y$4:$Y$2342,$D$2)*100-Q32, "--")</f>
        <v>-10.731399999999999</v>
      </c>
      <c r="R64" s="5" t="str">
        <f>IF(  R95&gt;$E$2, SUMIFS(IF($G$2="CPR",'Grid Data'!$AH$4:$AH$2342,'Grid Data'!$AI$4:$AI$2342),'Grid Data'!$Z$4:$Z$2342,$D64,'Grid Data'!$AA$4:$AA$2342,R$4,'Grid Data'!$Y$4:$Y$2342,$D$2)*100-R32, "--")</f>
        <v>--</v>
      </c>
      <c r="S64" s="5" t="str">
        <f>IF(  S95&gt;$E$2, SUMIFS(IF($G$2="CPR",'Grid Data'!$AH$4:$AH$2342,'Grid Data'!$AI$4:$AI$2342),'Grid Data'!$Z$4:$Z$2342,$D64,'Grid Data'!$AA$4:$AA$2342,S$4,'Grid Data'!$Y$4:$Y$2342,$D$2)*100-S32, "--")</f>
        <v>--</v>
      </c>
      <c r="T64" s="5" t="str">
        <f>IF(  T95&gt;$E$2, SUMIFS(IF($G$2="CPR",'Grid Data'!$AH$4:$AH$2342,'Grid Data'!$AI$4:$AI$2342),'Grid Data'!$Z$4:$Z$2342,$D64,'Grid Data'!$AA$4:$AA$2342,T$4,'Grid Data'!$Y$4:$Y$2342,$D$2)*100-T32, "--")</f>
        <v>--</v>
      </c>
      <c r="U64" s="5" t="str">
        <f>IF(  U95&gt;$E$2, SUMIFS(IF($G$2="CPR",'Grid Data'!$AH$4:$AH$2342,'Grid Data'!$AI$4:$AI$2342),'Grid Data'!$Z$4:$Z$2342,$D64,'Grid Data'!$AA$4:$AA$2342,U$4,'Grid Data'!$Y$4:$Y$2342,$D$2)*100-U32, "--")</f>
        <v>--</v>
      </c>
      <c r="V64" s="5" t="str">
        <f>IF(  V95&gt;$E$2, SUMIFS(IF($G$2="CPR",'Grid Data'!$AH$4:$AH$2342,'Grid Data'!$AI$4:$AI$2342),'Grid Data'!$Z$4:$Z$2342,$D64,'Grid Data'!$AA$4:$AA$2342,V$4,'Grid Data'!$Y$4:$Y$2342,$D$2)*100-V32, "--")</f>
        <v>--</v>
      </c>
      <c r="W64" s="5" t="str">
        <f>IF(  W95&gt;$E$2, SUMIFS(IF($G$2="CPR",'Grid Data'!$AH$4:$AH$2342,'Grid Data'!$AI$4:$AI$2342),'Grid Data'!$Z$4:$Z$2342,$D64,'Grid Data'!$AA$4:$AA$2342,W$4,'Grid Data'!$Y$4:$Y$2342,$D$2)*100-W32, "--")</f>
        <v>--</v>
      </c>
      <c r="X64" s="5" t="str">
        <f>IF(  X95&gt;$E$2, SUMIFS(IF($G$2="CPR",'Grid Data'!$AH$4:$AH$2342,'Grid Data'!$AI$4:$AI$2342),'Grid Data'!$Z$4:$Z$2342,$D64,'Grid Data'!$AA$4:$AA$2342,X$4,'Grid Data'!$Y$4:$Y$2342,$D$2)*100-X32, "--")</f>
        <v>--</v>
      </c>
      <c r="Y64" s="5" t="str">
        <f>IF(  Y95&gt;$E$2, SUMIFS(IF($G$2="CPR",'Grid Data'!$AH$4:$AH$2342,'Grid Data'!$AI$4:$AI$2342),'Grid Data'!$Z$4:$Z$2342,$D64,'Grid Data'!$AA$4:$AA$2342,Y$4,'Grid Data'!$Y$4:$Y$2342,$D$2)*100-Y32, "--")</f>
        <v>--</v>
      </c>
      <c r="Z64" s="5" t="str">
        <f>IF(  Z95&gt;$E$2, SUMIFS(IF($G$2="CPR",'Grid Data'!$AH$4:$AH$2342,'Grid Data'!$AI$4:$AI$2342),'Grid Data'!$Z$4:$Z$2342,$D64,'Grid Data'!$AA$4:$AA$2342,Z$4,'Grid Data'!$Y$4:$Y$2342,$D$2)*100-Z32, "--")</f>
        <v>--</v>
      </c>
      <c r="AA64" s="5" t="str">
        <f>IF(  AA95&gt;$E$2, SUMIFS(IF($G$2="CPR",'Grid Data'!$AH$4:$AH$2342,'Grid Data'!$AI$4:$AI$2342),'Grid Data'!$Z$4:$Z$2342,$D64,'Grid Data'!$AA$4:$AA$2342,AA$4,'Grid Data'!$Y$4:$Y$2342,$D$2)*100-AA32, "--")</f>
        <v>--</v>
      </c>
      <c r="AB64" s="5" t="str">
        <f>IF(  AB95&gt;$E$2, SUMIFS(IF($G$2="CPR",'Grid Data'!$AH$4:$AH$2342,'Grid Data'!$AI$4:$AI$2342),'Grid Data'!$Z$4:$Z$2342,$D64,'Grid Data'!$AA$4:$AA$2342,AB$4,'Grid Data'!$Y$4:$Y$2342,$D$2)*100-AB32, "--")</f>
        <v>--</v>
      </c>
      <c r="AC64" s="5" t="str">
        <f>IF(  AC95&gt;$E$2, SUMIFS(IF($G$2="CPR",'Grid Data'!$AH$4:$AH$2342,'Grid Data'!$AI$4:$AI$2342),'Grid Data'!$Z$4:$Z$2342,$D64,'Grid Data'!$AA$4:$AA$2342,AC$4,'Grid Data'!$Y$4:$Y$2342,$D$2)*100-AC32, "--")</f>
        <v>--</v>
      </c>
      <c r="AD64" s="5" t="str">
        <f>IF(  AD95&gt;$E$2, SUMIFS(IF($G$2="CPR",'Grid Data'!$AH$4:$AH$2342,'Grid Data'!$AI$4:$AI$2342),'Grid Data'!$Z$4:$Z$2342,$D64,'Grid Data'!$AA$4:$AA$2342,AD$4,'Grid Data'!$Y$4:$Y$2342,$D$2)*100-AD32, "--")</f>
        <v>--</v>
      </c>
      <c r="AE64" s="5" t="str">
        <f>IF(  AE95&gt;$E$2, SUMIFS(IF($G$2="CPR",'Grid Data'!$AH$4:$AH$2342,'Grid Data'!$AI$4:$AI$2342),'Grid Data'!$Z$4:$Z$2342,$D64,'Grid Data'!$AA$4:$AA$2342,AE$4,'Grid Data'!$Y$4:$Y$2342,$D$2)*100-AE32, "--")</f>
        <v>--</v>
      </c>
      <c r="AF64" s="5" t="str">
        <f>IF(  AF95&gt;$E$2, SUMIFS(IF($G$2="CPR",'Grid Data'!$AH$4:$AH$2342,'Grid Data'!$AI$4:$AI$2342),'Grid Data'!$Z$4:$Z$2342,$D64,'Grid Data'!$AA$4:$AA$2342,AF$4,'Grid Data'!$Y$4:$Y$2342,$D$2)*100-AF32, "--")</f>
        <v>--</v>
      </c>
      <c r="AG64" s="5">
        <f>IF(  AG95&gt;$E$2, SUMIFS(IF($G$2="CPR",'Grid Data'!$AH$4:$AH$2342,'Grid Data'!$AI$4:$AI$2342),'Grid Data'!$Z$4:$Z$2342,$D64,'Grid Data'!$AA$4:$AA$2342,AG$4,'Grid Data'!$Y$4:$Y$2342,$D$2)*100-AG32, "--")</f>
        <v>10.514200000000001</v>
      </c>
      <c r="AH64" s="5">
        <f>IF(  AH95&gt;$E$2, SUMIFS(IF($G$2="CPR",'Grid Data'!$AH$4:$AH$2342,'Grid Data'!$AI$4:$AI$2342),'Grid Data'!$Z$4:$Z$2342,$D64,'Grid Data'!$AA$4:$AA$2342,AH$4,'Grid Data'!$Y$4:$Y$2342,$D$2)*100-AH32, "--")</f>
        <v>-9.451900000000002</v>
      </c>
    </row>
    <row r="65" spans="3:34" x14ac:dyDescent="0.35">
      <c r="D65">
        <v>20000</v>
      </c>
      <c r="E65" s="5" t="str">
        <f>IF(  E96&gt;$E$2, SUMIFS(IF($G$2="CPR",'Grid Data'!$AH$4:$AH$2342,'Grid Data'!$AI$4:$AI$2342),'Grid Data'!$Z$4:$Z$2342,$D65,'Grid Data'!$AA$4:$AA$2342,E$4,'Grid Data'!$Y$4:$Y$2342,$D$2)*100-E33, "--")</f>
        <v>--</v>
      </c>
      <c r="F65" s="5" t="str">
        <f>IF(  F96&gt;$E$2, SUMIFS(IF($G$2="CPR",'Grid Data'!$AH$4:$AH$2342,'Grid Data'!$AI$4:$AI$2342),'Grid Data'!$Z$4:$Z$2342,$D65,'Grid Data'!$AA$4:$AA$2342,F$4,'Grid Data'!$Y$4:$Y$2342,$D$2)*100-F33, "--")</f>
        <v>--</v>
      </c>
      <c r="G65" s="5" t="str">
        <f>IF(  G96&gt;$E$2, SUMIFS(IF($G$2="CPR",'Grid Data'!$AH$4:$AH$2342,'Grid Data'!$AI$4:$AI$2342),'Grid Data'!$Z$4:$Z$2342,$D65,'Grid Data'!$AA$4:$AA$2342,G$4,'Grid Data'!$Y$4:$Y$2342,$D$2)*100-G33, "--")</f>
        <v>--</v>
      </c>
      <c r="H65" s="5" t="str">
        <f>IF(  H96&gt;$E$2, SUMIFS(IF($G$2="CPR",'Grid Data'!$AH$4:$AH$2342,'Grid Data'!$AI$4:$AI$2342),'Grid Data'!$Z$4:$Z$2342,$D65,'Grid Data'!$AA$4:$AA$2342,H$4,'Grid Data'!$Y$4:$Y$2342,$D$2)*100-H33, "--")</f>
        <v>--</v>
      </c>
      <c r="I65" s="5" t="str">
        <f>IF(  I96&gt;$E$2, SUMIFS(IF($G$2="CPR",'Grid Data'!$AH$4:$AH$2342,'Grid Data'!$AI$4:$AI$2342),'Grid Data'!$Z$4:$Z$2342,$D65,'Grid Data'!$AA$4:$AA$2342,I$4,'Grid Data'!$Y$4:$Y$2342,$D$2)*100-I33, "--")</f>
        <v>--</v>
      </c>
      <c r="J65" s="5" t="str">
        <f>IF(  J96&gt;$E$2, SUMIFS(IF($G$2="CPR",'Grid Data'!$AH$4:$AH$2342,'Grid Data'!$AI$4:$AI$2342),'Grid Data'!$Z$4:$Z$2342,$D65,'Grid Data'!$AA$4:$AA$2342,J$4,'Grid Data'!$Y$4:$Y$2342,$D$2)*100-J33, "--")</f>
        <v>--</v>
      </c>
      <c r="K65" s="5" t="str">
        <f>IF(  K96&gt;$E$2, SUMIFS(IF($G$2="CPR",'Grid Data'!$AH$4:$AH$2342,'Grid Data'!$AI$4:$AI$2342),'Grid Data'!$Z$4:$Z$2342,$D65,'Grid Data'!$AA$4:$AA$2342,K$4,'Grid Data'!$Y$4:$Y$2342,$D$2)*100-K33, "--")</f>
        <v>--</v>
      </c>
      <c r="L65" s="5" t="str">
        <f>IF(  L96&gt;$E$2, SUMIFS(IF($G$2="CPR",'Grid Data'!$AH$4:$AH$2342,'Grid Data'!$AI$4:$AI$2342),'Grid Data'!$Z$4:$Z$2342,$D65,'Grid Data'!$AA$4:$AA$2342,L$4,'Grid Data'!$Y$4:$Y$2342,$D$2)*100-L33, "--")</f>
        <v>--</v>
      </c>
      <c r="M65" s="5" t="str">
        <f>IF(  M96&gt;$E$2, SUMIFS(IF($G$2="CPR",'Grid Data'!$AH$4:$AH$2342,'Grid Data'!$AI$4:$AI$2342),'Grid Data'!$Z$4:$Z$2342,$D65,'Grid Data'!$AA$4:$AA$2342,M$4,'Grid Data'!$Y$4:$Y$2342,$D$2)*100-M33, "--")</f>
        <v>--</v>
      </c>
      <c r="N65" s="5" t="str">
        <f>IF(  N96&gt;$E$2, SUMIFS(IF($G$2="CPR",'Grid Data'!$AH$4:$AH$2342,'Grid Data'!$AI$4:$AI$2342),'Grid Data'!$Z$4:$Z$2342,$D65,'Grid Data'!$AA$4:$AA$2342,N$4,'Grid Data'!$Y$4:$Y$2342,$D$2)*100-N33, "--")</f>
        <v>--</v>
      </c>
      <c r="O65" s="5" t="str">
        <f>IF(  O96&gt;$E$2, SUMIFS(IF($G$2="CPR",'Grid Data'!$AH$4:$AH$2342,'Grid Data'!$AI$4:$AI$2342),'Grid Data'!$Z$4:$Z$2342,$D65,'Grid Data'!$AA$4:$AA$2342,O$4,'Grid Data'!$Y$4:$Y$2342,$D$2)*100-O33, "--")</f>
        <v>--</v>
      </c>
      <c r="P65" s="5" t="str">
        <f>IF(  P96&gt;$E$2, SUMIFS(IF($G$2="CPR",'Grid Data'!$AH$4:$AH$2342,'Grid Data'!$AI$4:$AI$2342),'Grid Data'!$Z$4:$Z$2342,$D65,'Grid Data'!$AA$4:$AA$2342,P$4,'Grid Data'!$Y$4:$Y$2342,$D$2)*100-P33, "--")</f>
        <v>--</v>
      </c>
      <c r="Q65" s="5" t="str">
        <f>IF(  Q96&gt;$E$2, SUMIFS(IF($G$2="CPR",'Grid Data'!$AH$4:$AH$2342,'Grid Data'!$AI$4:$AI$2342),'Grid Data'!$Z$4:$Z$2342,$D65,'Grid Data'!$AA$4:$AA$2342,Q$4,'Grid Data'!$Y$4:$Y$2342,$D$2)*100-Q33, "--")</f>
        <v>--</v>
      </c>
      <c r="R65" s="5" t="str">
        <f>IF(  R96&gt;$E$2, SUMIFS(IF($G$2="CPR",'Grid Data'!$AH$4:$AH$2342,'Grid Data'!$AI$4:$AI$2342),'Grid Data'!$Z$4:$Z$2342,$D65,'Grid Data'!$AA$4:$AA$2342,R$4,'Grid Data'!$Y$4:$Y$2342,$D$2)*100-R33, "--")</f>
        <v>--</v>
      </c>
      <c r="S65" s="5" t="str">
        <f>IF(  S96&gt;$E$2, SUMIFS(IF($G$2="CPR",'Grid Data'!$AH$4:$AH$2342,'Grid Data'!$AI$4:$AI$2342),'Grid Data'!$Z$4:$Z$2342,$D65,'Grid Data'!$AA$4:$AA$2342,S$4,'Grid Data'!$Y$4:$Y$2342,$D$2)*100-S33, "--")</f>
        <v>--</v>
      </c>
      <c r="T65" s="5" t="str">
        <f>IF(  T96&gt;$E$2, SUMIFS(IF($G$2="CPR",'Grid Data'!$AH$4:$AH$2342,'Grid Data'!$AI$4:$AI$2342),'Grid Data'!$Z$4:$Z$2342,$D65,'Grid Data'!$AA$4:$AA$2342,T$4,'Grid Data'!$Y$4:$Y$2342,$D$2)*100-T33, "--")</f>
        <v>--</v>
      </c>
      <c r="U65" s="5" t="str">
        <f>IF(  U96&gt;$E$2, SUMIFS(IF($G$2="CPR",'Grid Data'!$AH$4:$AH$2342,'Grid Data'!$AI$4:$AI$2342),'Grid Data'!$Z$4:$Z$2342,$D65,'Grid Data'!$AA$4:$AA$2342,U$4,'Grid Data'!$Y$4:$Y$2342,$D$2)*100-U33, "--")</f>
        <v>--</v>
      </c>
      <c r="V65" s="5" t="str">
        <f>IF(  V96&gt;$E$2, SUMIFS(IF($G$2="CPR",'Grid Data'!$AH$4:$AH$2342,'Grid Data'!$AI$4:$AI$2342),'Grid Data'!$Z$4:$Z$2342,$D65,'Grid Data'!$AA$4:$AA$2342,V$4,'Grid Data'!$Y$4:$Y$2342,$D$2)*100-V33, "--")</f>
        <v>--</v>
      </c>
      <c r="W65" s="5" t="str">
        <f>IF(  W96&gt;$E$2, SUMIFS(IF($G$2="CPR",'Grid Data'!$AH$4:$AH$2342,'Grid Data'!$AI$4:$AI$2342),'Grid Data'!$Z$4:$Z$2342,$D65,'Grid Data'!$AA$4:$AA$2342,W$4,'Grid Data'!$Y$4:$Y$2342,$D$2)*100-W33, "--")</f>
        <v>--</v>
      </c>
      <c r="X65" s="5" t="str">
        <f>IF(  X96&gt;$E$2, SUMIFS(IF($G$2="CPR",'Grid Data'!$AH$4:$AH$2342,'Grid Data'!$AI$4:$AI$2342),'Grid Data'!$Z$4:$Z$2342,$D65,'Grid Data'!$AA$4:$AA$2342,X$4,'Grid Data'!$Y$4:$Y$2342,$D$2)*100-X33, "--")</f>
        <v>--</v>
      </c>
      <c r="Y65" s="5" t="str">
        <f>IF(  Y96&gt;$E$2, SUMIFS(IF($G$2="CPR",'Grid Data'!$AH$4:$AH$2342,'Grid Data'!$AI$4:$AI$2342),'Grid Data'!$Z$4:$Z$2342,$D65,'Grid Data'!$AA$4:$AA$2342,Y$4,'Grid Data'!$Y$4:$Y$2342,$D$2)*100-Y33, "--")</f>
        <v>--</v>
      </c>
      <c r="Z65" s="5" t="str">
        <f>IF(  Z96&gt;$E$2, SUMIFS(IF($G$2="CPR",'Grid Data'!$AH$4:$AH$2342,'Grid Data'!$AI$4:$AI$2342),'Grid Data'!$Z$4:$Z$2342,$D65,'Grid Data'!$AA$4:$AA$2342,Z$4,'Grid Data'!$Y$4:$Y$2342,$D$2)*100-Z33, "--")</f>
        <v>--</v>
      </c>
      <c r="AA65" s="5" t="str">
        <f>IF(  AA96&gt;$E$2, SUMIFS(IF($G$2="CPR",'Grid Data'!$AH$4:$AH$2342,'Grid Data'!$AI$4:$AI$2342),'Grid Data'!$Z$4:$Z$2342,$D65,'Grid Data'!$AA$4:$AA$2342,AA$4,'Grid Data'!$Y$4:$Y$2342,$D$2)*100-AA33, "--")</f>
        <v>--</v>
      </c>
      <c r="AB65" s="5" t="str">
        <f>IF(  AB96&gt;$E$2, SUMIFS(IF($G$2="CPR",'Grid Data'!$AH$4:$AH$2342,'Grid Data'!$AI$4:$AI$2342),'Grid Data'!$Z$4:$Z$2342,$D65,'Grid Data'!$AA$4:$AA$2342,AB$4,'Grid Data'!$Y$4:$Y$2342,$D$2)*100-AB33, "--")</f>
        <v>--</v>
      </c>
      <c r="AC65" s="5" t="str">
        <f>IF(  AC96&gt;$E$2, SUMIFS(IF($G$2="CPR",'Grid Data'!$AH$4:$AH$2342,'Grid Data'!$AI$4:$AI$2342),'Grid Data'!$Z$4:$Z$2342,$D65,'Grid Data'!$AA$4:$AA$2342,AC$4,'Grid Data'!$Y$4:$Y$2342,$D$2)*100-AC33, "--")</f>
        <v>--</v>
      </c>
      <c r="AD65" s="5" t="str">
        <f>IF(  AD96&gt;$E$2, SUMIFS(IF($G$2="CPR",'Grid Data'!$AH$4:$AH$2342,'Grid Data'!$AI$4:$AI$2342),'Grid Data'!$Z$4:$Z$2342,$D65,'Grid Data'!$AA$4:$AA$2342,AD$4,'Grid Data'!$Y$4:$Y$2342,$D$2)*100-AD33, "--")</f>
        <v>--</v>
      </c>
      <c r="AE65" s="5" t="str">
        <f>IF(  AE96&gt;$E$2, SUMIFS(IF($G$2="CPR",'Grid Data'!$AH$4:$AH$2342,'Grid Data'!$AI$4:$AI$2342),'Grid Data'!$Z$4:$Z$2342,$D65,'Grid Data'!$AA$4:$AA$2342,AE$4,'Grid Data'!$Y$4:$Y$2342,$D$2)*100-AE33, "--")</f>
        <v>--</v>
      </c>
      <c r="AF65" s="5" t="str">
        <f>IF(  AF96&gt;$E$2, SUMIFS(IF($G$2="CPR",'Grid Data'!$AH$4:$AH$2342,'Grid Data'!$AI$4:$AI$2342),'Grid Data'!$Z$4:$Z$2342,$D65,'Grid Data'!$AA$4:$AA$2342,AF$4,'Grid Data'!$Y$4:$Y$2342,$D$2)*100-AF33, "--")</f>
        <v>--</v>
      </c>
      <c r="AG65" s="5" t="str">
        <f>IF(  AG96&gt;$E$2, SUMIFS(IF($G$2="CPR",'Grid Data'!$AH$4:$AH$2342,'Grid Data'!$AI$4:$AI$2342),'Grid Data'!$Z$4:$Z$2342,$D65,'Grid Data'!$AA$4:$AA$2342,AG$4,'Grid Data'!$Y$4:$Y$2342,$D$2)*100-AG33, "--")</f>
        <v>--</v>
      </c>
      <c r="AH65" s="5" t="str">
        <f>IF(  AH96&gt;$E$2, SUMIFS(IF($G$2="CPR",'Grid Data'!$AH$4:$AH$2342,'Grid Data'!$AI$4:$AI$2342),'Grid Data'!$Z$4:$Z$2342,$D65,'Grid Data'!$AA$4:$AA$2342,AH$4,'Grid Data'!$Y$4:$Y$2342,$D$2)*100-AH33, "--")</f>
        <v>--</v>
      </c>
    </row>
    <row r="67" spans="3:34" x14ac:dyDescent="0.35">
      <c r="C67" s="3" t="s">
        <v>18</v>
      </c>
      <c r="D67" s="3" t="s">
        <v>8</v>
      </c>
      <c r="E67">
        <v>5</v>
      </c>
      <c r="F67">
        <v>6</v>
      </c>
      <c r="G67">
        <v>7</v>
      </c>
      <c r="H67">
        <v>8</v>
      </c>
      <c r="I67">
        <v>9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24</v>
      </c>
      <c r="Q67">
        <v>30</v>
      </c>
      <c r="R67">
        <v>36</v>
      </c>
      <c r="S67">
        <v>42</v>
      </c>
      <c r="T67">
        <v>48</v>
      </c>
      <c r="U67">
        <v>54</v>
      </c>
      <c r="V67">
        <v>60</v>
      </c>
      <c r="W67">
        <v>72</v>
      </c>
      <c r="X67">
        <v>84</v>
      </c>
      <c r="Y67">
        <v>96</v>
      </c>
      <c r="Z67">
        <v>108</v>
      </c>
      <c r="AA67">
        <v>120</v>
      </c>
      <c r="AB67">
        <v>144</v>
      </c>
      <c r="AC67">
        <v>168</v>
      </c>
      <c r="AD67">
        <v>192</v>
      </c>
      <c r="AE67">
        <v>216</v>
      </c>
      <c r="AF67">
        <v>240</v>
      </c>
      <c r="AG67">
        <v>320</v>
      </c>
      <c r="AH67">
        <v>360</v>
      </c>
    </row>
    <row r="68" spans="3:34" x14ac:dyDescent="0.35">
      <c r="D68">
        <v>2000</v>
      </c>
      <c r="E68" s="2">
        <f>SUMIFS('Grid Data'!$P$4:$P$2342,'Grid Data'!$N$4:$N$2342,$D68,'Grid Data'!$O$4:$O$2342,E$4,'Grid Data'!$M$4:$M$2342,$D$2)</f>
        <v>0</v>
      </c>
      <c r="F68" s="2">
        <f>SUMIFS('Grid Data'!$P$4:$P$2342,'Grid Data'!$N$4:$N$2342,$D68,'Grid Data'!$O$4:$O$2342,F$4,'Grid Data'!$M$4:$M$2342,$D$2)</f>
        <v>0</v>
      </c>
      <c r="G68" s="2">
        <f>SUMIFS('Grid Data'!$P$4:$P$2342,'Grid Data'!$N$4:$N$2342,$D68,'Grid Data'!$O$4:$O$2342,G$4,'Grid Data'!$M$4:$M$2342,$D$2)</f>
        <v>0</v>
      </c>
      <c r="H68" s="2">
        <f>SUMIFS('Grid Data'!$P$4:$P$2342,'Grid Data'!$N$4:$N$2342,$D68,'Grid Data'!$O$4:$O$2342,H$4,'Grid Data'!$M$4:$M$2342,$D$2)</f>
        <v>0</v>
      </c>
      <c r="I68" s="2">
        <f>SUMIFS('Grid Data'!$P$4:$P$2342,'Grid Data'!$N$4:$N$2342,$D68,'Grid Data'!$O$4:$O$2342,I$4,'Grid Data'!$M$4:$M$2342,$D$2)</f>
        <v>0</v>
      </c>
      <c r="J68" s="2">
        <f>SUMIFS('Grid Data'!$P$4:$P$2342,'Grid Data'!$N$4:$N$2342,$D68,'Grid Data'!$O$4:$O$2342,J$4,'Grid Data'!$M$4:$M$2342,$D$2)</f>
        <v>0</v>
      </c>
      <c r="K68" s="2">
        <f>SUMIFS('Grid Data'!$P$4:$P$2342,'Grid Data'!$N$4:$N$2342,$D68,'Grid Data'!$O$4:$O$2342,K$4,'Grid Data'!$M$4:$M$2342,$D$2)</f>
        <v>0</v>
      </c>
      <c r="L68" s="2">
        <f>SUMIFS('Grid Data'!$P$4:$P$2342,'Grid Data'!$N$4:$N$2342,$D68,'Grid Data'!$O$4:$O$2342,L$4,'Grid Data'!$M$4:$M$2342,$D$2)</f>
        <v>0</v>
      </c>
      <c r="M68" s="2">
        <f>SUMIFS('Grid Data'!$P$4:$P$2342,'Grid Data'!$N$4:$N$2342,$D68,'Grid Data'!$O$4:$O$2342,M$4,'Grid Data'!$M$4:$M$2342,$D$2)</f>
        <v>0</v>
      </c>
      <c r="N68" s="2">
        <f>SUMIFS('Grid Data'!$P$4:$P$2342,'Grid Data'!$N$4:$N$2342,$D68,'Grid Data'!$O$4:$O$2342,N$4,'Grid Data'!$M$4:$M$2342,$D$2)</f>
        <v>0</v>
      </c>
      <c r="O68" s="2">
        <f>SUMIFS('Grid Data'!$P$4:$P$2342,'Grid Data'!$N$4:$N$2342,$D68,'Grid Data'!$O$4:$O$2342,O$4,'Grid Data'!$M$4:$M$2342,$D$2)</f>
        <v>0</v>
      </c>
      <c r="P68" s="2">
        <f>SUMIFS('Grid Data'!$P$4:$P$2342,'Grid Data'!$N$4:$N$2342,$D68,'Grid Data'!$O$4:$O$2342,P$4,'Grid Data'!$M$4:$M$2342,$D$2)</f>
        <v>0</v>
      </c>
      <c r="Q68" s="2">
        <f>SUMIFS('Grid Data'!$P$4:$P$2342,'Grid Data'!$N$4:$N$2342,$D68,'Grid Data'!$O$4:$O$2342,Q$4,'Grid Data'!$M$4:$M$2342,$D$2)</f>
        <v>0</v>
      </c>
      <c r="R68" s="2">
        <f>SUMIFS('Grid Data'!$P$4:$P$2342,'Grid Data'!$N$4:$N$2342,$D68,'Grid Data'!$O$4:$O$2342,R$4,'Grid Data'!$M$4:$M$2342,$D$2)</f>
        <v>2</v>
      </c>
      <c r="S68" s="2">
        <f>SUMIFS('Grid Data'!$P$4:$P$2342,'Grid Data'!$N$4:$N$2342,$D68,'Grid Data'!$O$4:$O$2342,S$4,'Grid Data'!$M$4:$M$2342,$D$2)</f>
        <v>0</v>
      </c>
      <c r="T68" s="2">
        <f>SUMIFS('Grid Data'!$P$4:$P$2342,'Grid Data'!$N$4:$N$2342,$D68,'Grid Data'!$O$4:$O$2342,T$4,'Grid Data'!$M$4:$M$2342,$D$2)</f>
        <v>0</v>
      </c>
      <c r="U68" s="2">
        <f>SUMIFS('Grid Data'!$P$4:$P$2342,'Grid Data'!$N$4:$N$2342,$D68,'Grid Data'!$O$4:$O$2342,U$4,'Grid Data'!$M$4:$M$2342,$D$2)</f>
        <v>138</v>
      </c>
      <c r="V68" s="2">
        <f>SUMIFS('Grid Data'!$P$4:$P$2342,'Grid Data'!$N$4:$N$2342,$D68,'Grid Data'!$O$4:$O$2342,V$4,'Grid Data'!$M$4:$M$2342,$D$2)</f>
        <v>155</v>
      </c>
      <c r="W68" s="2">
        <f>SUMIFS('Grid Data'!$P$4:$P$2342,'Grid Data'!$N$4:$N$2342,$D68,'Grid Data'!$O$4:$O$2342,W$4,'Grid Data'!$M$4:$M$2342,$D$2)</f>
        <v>260</v>
      </c>
      <c r="X68" s="2">
        <f>SUMIFS('Grid Data'!$P$4:$P$2342,'Grid Data'!$N$4:$N$2342,$D68,'Grid Data'!$O$4:$O$2342,X$4,'Grid Data'!$M$4:$M$2342,$D$2)</f>
        <v>8</v>
      </c>
      <c r="Y68" s="2">
        <f>SUMIFS('Grid Data'!$P$4:$P$2342,'Grid Data'!$N$4:$N$2342,$D68,'Grid Data'!$O$4:$O$2342,Y$4,'Grid Data'!$M$4:$M$2342,$D$2)</f>
        <v>1</v>
      </c>
      <c r="Z68" s="2">
        <f>SUMIFS('Grid Data'!$P$4:$P$2342,'Grid Data'!$N$4:$N$2342,$D68,'Grid Data'!$O$4:$O$2342,Z$4,'Grid Data'!$M$4:$M$2342,$D$2)</f>
        <v>2</v>
      </c>
      <c r="AA68" s="2">
        <f>SUMIFS('Grid Data'!$P$4:$P$2342,'Grid Data'!$N$4:$N$2342,$D68,'Grid Data'!$O$4:$O$2342,AA$4,'Grid Data'!$M$4:$M$2342,$D$2)</f>
        <v>4</v>
      </c>
      <c r="AB68" s="2">
        <f>SUMIFS('Grid Data'!$P$4:$P$2342,'Grid Data'!$N$4:$N$2342,$D68,'Grid Data'!$O$4:$O$2342,AB$4,'Grid Data'!$M$4:$M$2342,$D$2)</f>
        <v>9</v>
      </c>
      <c r="AC68" s="2">
        <f>SUMIFS('Grid Data'!$P$4:$P$2342,'Grid Data'!$N$4:$N$2342,$D68,'Grid Data'!$O$4:$O$2342,AC$4,'Grid Data'!$M$4:$M$2342,$D$2)</f>
        <v>22</v>
      </c>
      <c r="AD68" s="2">
        <f>SUMIFS('Grid Data'!$P$4:$P$2342,'Grid Data'!$N$4:$N$2342,$D68,'Grid Data'!$O$4:$O$2342,AD$4,'Grid Data'!$M$4:$M$2342,$D$2)</f>
        <v>0</v>
      </c>
      <c r="AE68" s="2">
        <f>SUMIFS('Grid Data'!$P$4:$P$2342,'Grid Data'!$N$4:$N$2342,$D68,'Grid Data'!$O$4:$O$2342,AE$4,'Grid Data'!$M$4:$M$2342,$D$2)</f>
        <v>1</v>
      </c>
      <c r="AF68" s="2">
        <f>SUMIFS('Grid Data'!$P$4:$P$2342,'Grid Data'!$N$4:$N$2342,$D68,'Grid Data'!$O$4:$O$2342,AF$4,'Grid Data'!$M$4:$M$2342,$D$2)</f>
        <v>0</v>
      </c>
      <c r="AG68" s="2">
        <f>SUMIFS('Grid Data'!$P$4:$P$2342,'Grid Data'!$N$4:$N$2342,$D68,'Grid Data'!$O$4:$O$2342,AG$4,'Grid Data'!$M$4:$M$2342,$D$2)</f>
        <v>0</v>
      </c>
      <c r="AH68" s="2">
        <f>SUMIFS('Grid Data'!$P$4:$P$2342,'Grid Data'!$N$4:$N$2342,$D68,'Grid Data'!$O$4:$O$2342,AH$4,'Grid Data'!$M$4:$M$2342,$D$2)</f>
        <v>0</v>
      </c>
    </row>
    <row r="69" spans="3:34" x14ac:dyDescent="0.35">
      <c r="D69">
        <v>2250</v>
      </c>
      <c r="E69" s="2">
        <f>SUMIFS('Grid Data'!$P$4:$P$2342,'Grid Data'!$N$4:$N$2342,$D69,'Grid Data'!$O$4:$O$2342,E$4,'Grid Data'!$M$4:$M$2342,$D$2)</f>
        <v>0</v>
      </c>
      <c r="F69" s="2">
        <f>SUMIFS('Grid Data'!$P$4:$P$2342,'Grid Data'!$N$4:$N$2342,$D69,'Grid Data'!$O$4:$O$2342,F$4,'Grid Data'!$M$4:$M$2342,$D$2)</f>
        <v>0</v>
      </c>
      <c r="G69" s="2">
        <f>SUMIFS('Grid Data'!$P$4:$P$2342,'Grid Data'!$N$4:$N$2342,$D69,'Grid Data'!$O$4:$O$2342,G$4,'Grid Data'!$M$4:$M$2342,$D$2)</f>
        <v>0</v>
      </c>
      <c r="H69" s="2">
        <f>SUMIFS('Grid Data'!$P$4:$P$2342,'Grid Data'!$N$4:$N$2342,$D69,'Grid Data'!$O$4:$O$2342,H$4,'Grid Data'!$M$4:$M$2342,$D$2)</f>
        <v>0</v>
      </c>
      <c r="I69" s="2">
        <f>SUMIFS('Grid Data'!$P$4:$P$2342,'Grid Data'!$N$4:$N$2342,$D69,'Grid Data'!$O$4:$O$2342,I$4,'Grid Data'!$M$4:$M$2342,$D$2)</f>
        <v>0</v>
      </c>
      <c r="J69" s="2">
        <f>SUMIFS('Grid Data'!$P$4:$P$2342,'Grid Data'!$N$4:$N$2342,$D69,'Grid Data'!$O$4:$O$2342,J$4,'Grid Data'!$M$4:$M$2342,$D$2)</f>
        <v>0</v>
      </c>
      <c r="K69" s="2">
        <f>SUMIFS('Grid Data'!$P$4:$P$2342,'Grid Data'!$N$4:$N$2342,$D69,'Grid Data'!$O$4:$O$2342,K$4,'Grid Data'!$M$4:$M$2342,$D$2)</f>
        <v>0</v>
      </c>
      <c r="L69" s="2">
        <f>SUMIFS('Grid Data'!$P$4:$P$2342,'Grid Data'!$N$4:$N$2342,$D69,'Grid Data'!$O$4:$O$2342,L$4,'Grid Data'!$M$4:$M$2342,$D$2)</f>
        <v>0</v>
      </c>
      <c r="M69" s="2">
        <f>SUMIFS('Grid Data'!$P$4:$P$2342,'Grid Data'!$N$4:$N$2342,$D69,'Grid Data'!$O$4:$O$2342,M$4,'Grid Data'!$M$4:$M$2342,$D$2)</f>
        <v>0</v>
      </c>
      <c r="N69" s="2">
        <f>SUMIFS('Grid Data'!$P$4:$P$2342,'Grid Data'!$N$4:$N$2342,$D69,'Grid Data'!$O$4:$O$2342,N$4,'Grid Data'!$M$4:$M$2342,$D$2)</f>
        <v>0</v>
      </c>
      <c r="O69" s="2">
        <f>SUMIFS('Grid Data'!$P$4:$P$2342,'Grid Data'!$N$4:$N$2342,$D69,'Grid Data'!$O$4:$O$2342,O$4,'Grid Data'!$M$4:$M$2342,$D$2)</f>
        <v>0</v>
      </c>
      <c r="P69" s="2">
        <f>SUMIFS('Grid Data'!$P$4:$P$2342,'Grid Data'!$N$4:$N$2342,$D69,'Grid Data'!$O$4:$O$2342,P$4,'Grid Data'!$M$4:$M$2342,$D$2)</f>
        <v>0</v>
      </c>
      <c r="Q69" s="2">
        <f>SUMIFS('Grid Data'!$P$4:$P$2342,'Grid Data'!$N$4:$N$2342,$D69,'Grid Data'!$O$4:$O$2342,Q$4,'Grid Data'!$M$4:$M$2342,$D$2)</f>
        <v>2</v>
      </c>
      <c r="R69" s="2">
        <f>SUMIFS('Grid Data'!$P$4:$P$2342,'Grid Data'!$N$4:$N$2342,$D69,'Grid Data'!$O$4:$O$2342,R$4,'Grid Data'!$M$4:$M$2342,$D$2)</f>
        <v>2</v>
      </c>
      <c r="S69" s="2">
        <f>SUMIFS('Grid Data'!$P$4:$P$2342,'Grid Data'!$N$4:$N$2342,$D69,'Grid Data'!$O$4:$O$2342,S$4,'Grid Data'!$M$4:$M$2342,$D$2)</f>
        <v>0</v>
      </c>
      <c r="T69" s="2">
        <f>SUMIFS('Grid Data'!$P$4:$P$2342,'Grid Data'!$N$4:$N$2342,$D69,'Grid Data'!$O$4:$O$2342,T$4,'Grid Data'!$M$4:$M$2342,$D$2)</f>
        <v>185</v>
      </c>
      <c r="U69" s="2">
        <f>SUMIFS('Grid Data'!$P$4:$P$2342,'Grid Data'!$N$4:$N$2342,$D69,'Grid Data'!$O$4:$O$2342,U$4,'Grid Data'!$M$4:$M$2342,$D$2)</f>
        <v>10558</v>
      </c>
      <c r="V69" s="2">
        <f>SUMIFS('Grid Data'!$P$4:$P$2342,'Grid Data'!$N$4:$N$2342,$D69,'Grid Data'!$O$4:$O$2342,V$4,'Grid Data'!$M$4:$M$2342,$D$2)</f>
        <v>18322</v>
      </c>
      <c r="W69" s="2">
        <f>SUMIFS('Grid Data'!$P$4:$P$2342,'Grid Data'!$N$4:$N$2342,$D69,'Grid Data'!$O$4:$O$2342,W$4,'Grid Data'!$M$4:$M$2342,$D$2)</f>
        <v>32980</v>
      </c>
      <c r="X69" s="2">
        <f>SUMIFS('Grid Data'!$P$4:$P$2342,'Grid Data'!$N$4:$N$2342,$D69,'Grid Data'!$O$4:$O$2342,X$4,'Grid Data'!$M$4:$M$2342,$D$2)</f>
        <v>1</v>
      </c>
      <c r="Y69" s="2">
        <f>SUMIFS('Grid Data'!$P$4:$P$2342,'Grid Data'!$N$4:$N$2342,$D69,'Grid Data'!$O$4:$O$2342,Y$4,'Grid Data'!$M$4:$M$2342,$D$2)</f>
        <v>4</v>
      </c>
      <c r="Z69" s="2">
        <f>SUMIFS('Grid Data'!$P$4:$P$2342,'Grid Data'!$N$4:$N$2342,$D69,'Grid Data'!$O$4:$O$2342,Z$4,'Grid Data'!$M$4:$M$2342,$D$2)</f>
        <v>1</v>
      </c>
      <c r="AA69" s="2">
        <f>SUMIFS('Grid Data'!$P$4:$P$2342,'Grid Data'!$N$4:$N$2342,$D69,'Grid Data'!$O$4:$O$2342,AA$4,'Grid Data'!$M$4:$M$2342,$D$2)</f>
        <v>6</v>
      </c>
      <c r="AB69" s="2">
        <f>SUMIFS('Grid Data'!$P$4:$P$2342,'Grid Data'!$N$4:$N$2342,$D69,'Grid Data'!$O$4:$O$2342,AB$4,'Grid Data'!$M$4:$M$2342,$D$2)</f>
        <v>11</v>
      </c>
      <c r="AC69" s="2">
        <f>SUMIFS('Grid Data'!$P$4:$P$2342,'Grid Data'!$N$4:$N$2342,$D69,'Grid Data'!$O$4:$O$2342,AC$4,'Grid Data'!$M$4:$M$2342,$D$2)</f>
        <v>12</v>
      </c>
      <c r="AD69" s="2">
        <f>SUMIFS('Grid Data'!$P$4:$P$2342,'Grid Data'!$N$4:$N$2342,$D69,'Grid Data'!$O$4:$O$2342,AD$4,'Grid Data'!$M$4:$M$2342,$D$2)</f>
        <v>0</v>
      </c>
      <c r="AE69" s="2">
        <f>SUMIFS('Grid Data'!$P$4:$P$2342,'Grid Data'!$N$4:$N$2342,$D69,'Grid Data'!$O$4:$O$2342,AE$4,'Grid Data'!$M$4:$M$2342,$D$2)</f>
        <v>0</v>
      </c>
      <c r="AF69" s="2">
        <f>SUMIFS('Grid Data'!$P$4:$P$2342,'Grid Data'!$N$4:$N$2342,$D69,'Grid Data'!$O$4:$O$2342,AF$4,'Grid Data'!$M$4:$M$2342,$D$2)</f>
        <v>0</v>
      </c>
      <c r="AG69" s="2">
        <f>SUMIFS('Grid Data'!$P$4:$P$2342,'Grid Data'!$N$4:$N$2342,$D69,'Grid Data'!$O$4:$O$2342,AG$4,'Grid Data'!$M$4:$M$2342,$D$2)</f>
        <v>0</v>
      </c>
      <c r="AH69" s="2">
        <f>SUMIFS('Grid Data'!$P$4:$P$2342,'Grid Data'!$N$4:$N$2342,$D69,'Grid Data'!$O$4:$O$2342,AH$4,'Grid Data'!$M$4:$M$2342,$D$2)</f>
        <v>0</v>
      </c>
    </row>
    <row r="70" spans="3:34" x14ac:dyDescent="0.35">
      <c r="D70">
        <v>2500</v>
      </c>
      <c r="E70" s="2">
        <f>SUMIFS('Grid Data'!$P$4:$P$2342,'Grid Data'!$N$4:$N$2342,$D70,'Grid Data'!$O$4:$O$2342,E$4,'Grid Data'!$M$4:$M$2342,$D$2)</f>
        <v>0</v>
      </c>
      <c r="F70" s="2">
        <f>SUMIFS('Grid Data'!$P$4:$P$2342,'Grid Data'!$N$4:$N$2342,$D70,'Grid Data'!$O$4:$O$2342,F$4,'Grid Data'!$M$4:$M$2342,$D$2)</f>
        <v>0</v>
      </c>
      <c r="G70" s="2">
        <f>SUMIFS('Grid Data'!$P$4:$P$2342,'Grid Data'!$N$4:$N$2342,$D70,'Grid Data'!$O$4:$O$2342,G$4,'Grid Data'!$M$4:$M$2342,$D$2)</f>
        <v>0</v>
      </c>
      <c r="H70" s="2">
        <f>SUMIFS('Grid Data'!$P$4:$P$2342,'Grid Data'!$N$4:$N$2342,$D70,'Grid Data'!$O$4:$O$2342,H$4,'Grid Data'!$M$4:$M$2342,$D$2)</f>
        <v>0</v>
      </c>
      <c r="I70" s="2">
        <f>SUMIFS('Grid Data'!$P$4:$P$2342,'Grid Data'!$N$4:$N$2342,$D70,'Grid Data'!$O$4:$O$2342,I$4,'Grid Data'!$M$4:$M$2342,$D$2)</f>
        <v>0</v>
      </c>
      <c r="J70" s="2">
        <f>SUMIFS('Grid Data'!$P$4:$P$2342,'Grid Data'!$N$4:$N$2342,$D70,'Grid Data'!$O$4:$O$2342,J$4,'Grid Data'!$M$4:$M$2342,$D$2)</f>
        <v>0</v>
      </c>
      <c r="K70" s="2">
        <f>SUMIFS('Grid Data'!$P$4:$P$2342,'Grid Data'!$N$4:$N$2342,$D70,'Grid Data'!$O$4:$O$2342,K$4,'Grid Data'!$M$4:$M$2342,$D$2)</f>
        <v>6</v>
      </c>
      <c r="L70" s="2">
        <f>SUMIFS('Grid Data'!$P$4:$P$2342,'Grid Data'!$N$4:$N$2342,$D70,'Grid Data'!$O$4:$O$2342,L$4,'Grid Data'!$M$4:$M$2342,$D$2)</f>
        <v>1</v>
      </c>
      <c r="M70" s="2">
        <f>SUMIFS('Grid Data'!$P$4:$P$2342,'Grid Data'!$N$4:$N$2342,$D70,'Grid Data'!$O$4:$O$2342,M$4,'Grid Data'!$M$4:$M$2342,$D$2)</f>
        <v>0</v>
      </c>
      <c r="N70" s="2">
        <f>SUMIFS('Grid Data'!$P$4:$P$2342,'Grid Data'!$N$4:$N$2342,$D70,'Grid Data'!$O$4:$O$2342,N$4,'Grid Data'!$M$4:$M$2342,$D$2)</f>
        <v>1</v>
      </c>
      <c r="O70" s="2">
        <f>SUMIFS('Grid Data'!$P$4:$P$2342,'Grid Data'!$N$4:$N$2342,$D70,'Grid Data'!$O$4:$O$2342,O$4,'Grid Data'!$M$4:$M$2342,$D$2)</f>
        <v>0</v>
      </c>
      <c r="P70" s="2">
        <f>SUMIFS('Grid Data'!$P$4:$P$2342,'Grid Data'!$N$4:$N$2342,$D70,'Grid Data'!$O$4:$O$2342,P$4,'Grid Data'!$M$4:$M$2342,$D$2)</f>
        <v>0</v>
      </c>
      <c r="Q70" s="2">
        <f>SUMIFS('Grid Data'!$P$4:$P$2342,'Grid Data'!$N$4:$N$2342,$D70,'Grid Data'!$O$4:$O$2342,Q$4,'Grid Data'!$M$4:$M$2342,$D$2)</f>
        <v>3</v>
      </c>
      <c r="R70" s="2">
        <f>SUMIFS('Grid Data'!$P$4:$P$2342,'Grid Data'!$N$4:$N$2342,$D70,'Grid Data'!$O$4:$O$2342,R$4,'Grid Data'!$M$4:$M$2342,$D$2)</f>
        <v>2</v>
      </c>
      <c r="S70" s="2">
        <f>SUMIFS('Grid Data'!$P$4:$P$2342,'Grid Data'!$N$4:$N$2342,$D70,'Grid Data'!$O$4:$O$2342,S$4,'Grid Data'!$M$4:$M$2342,$D$2)</f>
        <v>3</v>
      </c>
      <c r="T70" s="2">
        <f>SUMIFS('Grid Data'!$P$4:$P$2342,'Grid Data'!$N$4:$N$2342,$D70,'Grid Data'!$O$4:$O$2342,T$4,'Grid Data'!$M$4:$M$2342,$D$2)</f>
        <v>384</v>
      </c>
      <c r="U70" s="2">
        <f>SUMIFS('Grid Data'!$P$4:$P$2342,'Grid Data'!$N$4:$N$2342,$D70,'Grid Data'!$O$4:$O$2342,U$4,'Grid Data'!$M$4:$M$2342,$D$2)</f>
        <v>25113</v>
      </c>
      <c r="V70" s="2">
        <f>SUMIFS('Grid Data'!$P$4:$P$2342,'Grid Data'!$N$4:$N$2342,$D70,'Grid Data'!$O$4:$O$2342,V$4,'Grid Data'!$M$4:$M$2342,$D$2)</f>
        <v>37182</v>
      </c>
      <c r="W70" s="2">
        <f>SUMIFS('Grid Data'!$P$4:$P$2342,'Grid Data'!$N$4:$N$2342,$D70,'Grid Data'!$O$4:$O$2342,W$4,'Grid Data'!$M$4:$M$2342,$D$2)</f>
        <v>65800</v>
      </c>
      <c r="X70" s="2">
        <f>SUMIFS('Grid Data'!$P$4:$P$2342,'Grid Data'!$N$4:$N$2342,$D70,'Grid Data'!$O$4:$O$2342,X$4,'Grid Data'!$M$4:$M$2342,$D$2)</f>
        <v>9</v>
      </c>
      <c r="Y70" s="2">
        <f>SUMIFS('Grid Data'!$P$4:$P$2342,'Grid Data'!$N$4:$N$2342,$D70,'Grid Data'!$O$4:$O$2342,Y$4,'Grid Data'!$M$4:$M$2342,$D$2)</f>
        <v>3</v>
      </c>
      <c r="Z70" s="2">
        <f>SUMIFS('Grid Data'!$P$4:$P$2342,'Grid Data'!$N$4:$N$2342,$D70,'Grid Data'!$O$4:$O$2342,Z$4,'Grid Data'!$M$4:$M$2342,$D$2)</f>
        <v>3</v>
      </c>
      <c r="AA70" s="2">
        <f>SUMIFS('Grid Data'!$P$4:$P$2342,'Grid Data'!$N$4:$N$2342,$D70,'Grid Data'!$O$4:$O$2342,AA$4,'Grid Data'!$M$4:$M$2342,$D$2)</f>
        <v>105</v>
      </c>
      <c r="AB70" s="2">
        <f>SUMIFS('Grid Data'!$P$4:$P$2342,'Grid Data'!$N$4:$N$2342,$D70,'Grid Data'!$O$4:$O$2342,AB$4,'Grid Data'!$M$4:$M$2342,$D$2)</f>
        <v>19</v>
      </c>
      <c r="AC70" s="2">
        <f>SUMIFS('Grid Data'!$P$4:$P$2342,'Grid Data'!$N$4:$N$2342,$D70,'Grid Data'!$O$4:$O$2342,AC$4,'Grid Data'!$M$4:$M$2342,$D$2)</f>
        <v>243</v>
      </c>
      <c r="AD70" s="2">
        <f>SUMIFS('Grid Data'!$P$4:$P$2342,'Grid Data'!$N$4:$N$2342,$D70,'Grid Data'!$O$4:$O$2342,AD$4,'Grid Data'!$M$4:$M$2342,$D$2)</f>
        <v>2</v>
      </c>
      <c r="AE70" s="2">
        <f>SUMIFS('Grid Data'!$P$4:$P$2342,'Grid Data'!$N$4:$N$2342,$D70,'Grid Data'!$O$4:$O$2342,AE$4,'Grid Data'!$M$4:$M$2342,$D$2)</f>
        <v>0</v>
      </c>
      <c r="AF70" s="2">
        <f>SUMIFS('Grid Data'!$P$4:$P$2342,'Grid Data'!$N$4:$N$2342,$D70,'Grid Data'!$O$4:$O$2342,AF$4,'Grid Data'!$M$4:$M$2342,$D$2)</f>
        <v>0</v>
      </c>
      <c r="AG70" s="2">
        <f>SUMIFS('Grid Data'!$P$4:$P$2342,'Grid Data'!$N$4:$N$2342,$D70,'Grid Data'!$O$4:$O$2342,AG$4,'Grid Data'!$M$4:$M$2342,$D$2)</f>
        <v>0</v>
      </c>
      <c r="AH70" s="2">
        <f>SUMIFS('Grid Data'!$P$4:$P$2342,'Grid Data'!$N$4:$N$2342,$D70,'Grid Data'!$O$4:$O$2342,AH$4,'Grid Data'!$M$4:$M$2342,$D$2)</f>
        <v>0</v>
      </c>
    </row>
    <row r="71" spans="3:34" x14ac:dyDescent="0.35">
      <c r="D71">
        <v>2750</v>
      </c>
      <c r="E71" s="2">
        <f>SUMIFS('Grid Data'!$P$4:$P$2342,'Grid Data'!$N$4:$N$2342,$D71,'Grid Data'!$O$4:$O$2342,E$4,'Grid Data'!$M$4:$M$2342,$D$2)</f>
        <v>6</v>
      </c>
      <c r="F71" s="2">
        <f>SUMIFS('Grid Data'!$P$4:$P$2342,'Grid Data'!$N$4:$N$2342,$D71,'Grid Data'!$O$4:$O$2342,F$4,'Grid Data'!$M$4:$M$2342,$D$2)</f>
        <v>0</v>
      </c>
      <c r="G71" s="2">
        <f>SUMIFS('Grid Data'!$P$4:$P$2342,'Grid Data'!$N$4:$N$2342,$D71,'Grid Data'!$O$4:$O$2342,G$4,'Grid Data'!$M$4:$M$2342,$D$2)</f>
        <v>0</v>
      </c>
      <c r="H71" s="2">
        <f>SUMIFS('Grid Data'!$P$4:$P$2342,'Grid Data'!$N$4:$N$2342,$D71,'Grid Data'!$O$4:$O$2342,H$4,'Grid Data'!$M$4:$M$2342,$D$2)</f>
        <v>1</v>
      </c>
      <c r="I71" s="2">
        <f>SUMIFS('Grid Data'!$P$4:$P$2342,'Grid Data'!$N$4:$N$2342,$D71,'Grid Data'!$O$4:$O$2342,I$4,'Grid Data'!$M$4:$M$2342,$D$2)</f>
        <v>0</v>
      </c>
      <c r="J71" s="2">
        <f>SUMIFS('Grid Data'!$P$4:$P$2342,'Grid Data'!$N$4:$N$2342,$D71,'Grid Data'!$O$4:$O$2342,J$4,'Grid Data'!$M$4:$M$2342,$D$2)</f>
        <v>0</v>
      </c>
      <c r="K71" s="2">
        <f>SUMIFS('Grid Data'!$P$4:$P$2342,'Grid Data'!$N$4:$N$2342,$D71,'Grid Data'!$O$4:$O$2342,K$4,'Grid Data'!$M$4:$M$2342,$D$2)</f>
        <v>12</v>
      </c>
      <c r="L71" s="2">
        <f>SUMIFS('Grid Data'!$P$4:$P$2342,'Grid Data'!$N$4:$N$2342,$D71,'Grid Data'!$O$4:$O$2342,L$4,'Grid Data'!$M$4:$M$2342,$D$2)</f>
        <v>1</v>
      </c>
      <c r="M71" s="2">
        <f>SUMIFS('Grid Data'!$P$4:$P$2342,'Grid Data'!$N$4:$N$2342,$D71,'Grid Data'!$O$4:$O$2342,M$4,'Grid Data'!$M$4:$M$2342,$D$2)</f>
        <v>2</v>
      </c>
      <c r="N71" s="2">
        <f>SUMIFS('Grid Data'!$P$4:$P$2342,'Grid Data'!$N$4:$N$2342,$D71,'Grid Data'!$O$4:$O$2342,N$4,'Grid Data'!$M$4:$M$2342,$D$2)</f>
        <v>1</v>
      </c>
      <c r="O71" s="2">
        <f>SUMIFS('Grid Data'!$P$4:$P$2342,'Grid Data'!$N$4:$N$2342,$D71,'Grid Data'!$O$4:$O$2342,O$4,'Grid Data'!$M$4:$M$2342,$D$2)</f>
        <v>1</v>
      </c>
      <c r="P71" s="2">
        <f>SUMIFS('Grid Data'!$P$4:$P$2342,'Grid Data'!$N$4:$N$2342,$D71,'Grid Data'!$O$4:$O$2342,P$4,'Grid Data'!$M$4:$M$2342,$D$2)</f>
        <v>1</v>
      </c>
      <c r="Q71" s="2">
        <f>SUMIFS('Grid Data'!$P$4:$P$2342,'Grid Data'!$N$4:$N$2342,$D71,'Grid Data'!$O$4:$O$2342,Q$4,'Grid Data'!$M$4:$M$2342,$D$2)</f>
        <v>3</v>
      </c>
      <c r="R71" s="2">
        <f>SUMIFS('Grid Data'!$P$4:$P$2342,'Grid Data'!$N$4:$N$2342,$D71,'Grid Data'!$O$4:$O$2342,R$4,'Grid Data'!$M$4:$M$2342,$D$2)</f>
        <v>9</v>
      </c>
      <c r="S71" s="2">
        <f>SUMIFS('Grid Data'!$P$4:$P$2342,'Grid Data'!$N$4:$N$2342,$D71,'Grid Data'!$O$4:$O$2342,S$4,'Grid Data'!$M$4:$M$2342,$D$2)</f>
        <v>24</v>
      </c>
      <c r="T71" s="2">
        <f>SUMIFS('Grid Data'!$P$4:$P$2342,'Grid Data'!$N$4:$N$2342,$D71,'Grid Data'!$O$4:$O$2342,T$4,'Grid Data'!$M$4:$M$2342,$D$2)</f>
        <v>2239</v>
      </c>
      <c r="U71" s="2">
        <f>SUMIFS('Grid Data'!$P$4:$P$2342,'Grid Data'!$N$4:$N$2342,$D71,'Grid Data'!$O$4:$O$2342,U$4,'Grid Data'!$M$4:$M$2342,$D$2)</f>
        <v>62281</v>
      </c>
      <c r="V71" s="2">
        <f>SUMIFS('Grid Data'!$P$4:$P$2342,'Grid Data'!$N$4:$N$2342,$D71,'Grid Data'!$O$4:$O$2342,V$4,'Grid Data'!$M$4:$M$2342,$D$2)</f>
        <v>111472</v>
      </c>
      <c r="W71" s="2">
        <f>SUMIFS('Grid Data'!$P$4:$P$2342,'Grid Data'!$N$4:$N$2342,$D71,'Grid Data'!$O$4:$O$2342,W$4,'Grid Data'!$M$4:$M$2342,$D$2)</f>
        <v>172730</v>
      </c>
      <c r="X71" s="2">
        <f>SUMIFS('Grid Data'!$P$4:$P$2342,'Grid Data'!$N$4:$N$2342,$D71,'Grid Data'!$O$4:$O$2342,X$4,'Grid Data'!$M$4:$M$2342,$D$2)</f>
        <v>915</v>
      </c>
      <c r="Y71" s="2">
        <f>SUMIFS('Grid Data'!$P$4:$P$2342,'Grid Data'!$N$4:$N$2342,$D71,'Grid Data'!$O$4:$O$2342,Y$4,'Grid Data'!$M$4:$M$2342,$D$2)</f>
        <v>9</v>
      </c>
      <c r="Z71" s="2">
        <f>SUMIFS('Grid Data'!$P$4:$P$2342,'Grid Data'!$N$4:$N$2342,$D71,'Grid Data'!$O$4:$O$2342,Z$4,'Grid Data'!$M$4:$M$2342,$D$2)</f>
        <v>24</v>
      </c>
      <c r="AA71" s="2">
        <f>SUMIFS('Grid Data'!$P$4:$P$2342,'Grid Data'!$N$4:$N$2342,$D71,'Grid Data'!$O$4:$O$2342,AA$4,'Grid Data'!$M$4:$M$2342,$D$2)</f>
        <v>492</v>
      </c>
      <c r="AB71" s="2">
        <f>SUMIFS('Grid Data'!$P$4:$P$2342,'Grid Data'!$N$4:$N$2342,$D71,'Grid Data'!$O$4:$O$2342,AB$4,'Grid Data'!$M$4:$M$2342,$D$2)</f>
        <v>69</v>
      </c>
      <c r="AC71" s="2">
        <f>SUMIFS('Grid Data'!$P$4:$P$2342,'Grid Data'!$N$4:$N$2342,$D71,'Grid Data'!$O$4:$O$2342,AC$4,'Grid Data'!$M$4:$M$2342,$D$2)</f>
        <v>500</v>
      </c>
      <c r="AD71" s="2">
        <f>SUMIFS('Grid Data'!$P$4:$P$2342,'Grid Data'!$N$4:$N$2342,$D71,'Grid Data'!$O$4:$O$2342,AD$4,'Grid Data'!$M$4:$M$2342,$D$2)</f>
        <v>2</v>
      </c>
      <c r="AE71" s="2">
        <f>SUMIFS('Grid Data'!$P$4:$P$2342,'Grid Data'!$N$4:$N$2342,$D71,'Grid Data'!$O$4:$O$2342,AE$4,'Grid Data'!$M$4:$M$2342,$D$2)</f>
        <v>0</v>
      </c>
      <c r="AF71" s="2">
        <f>SUMIFS('Grid Data'!$P$4:$P$2342,'Grid Data'!$N$4:$N$2342,$D71,'Grid Data'!$O$4:$O$2342,AF$4,'Grid Data'!$M$4:$M$2342,$D$2)</f>
        <v>7</v>
      </c>
      <c r="AG71" s="2">
        <f>SUMIFS('Grid Data'!$P$4:$P$2342,'Grid Data'!$N$4:$N$2342,$D71,'Grid Data'!$O$4:$O$2342,AG$4,'Grid Data'!$M$4:$M$2342,$D$2)</f>
        <v>0</v>
      </c>
      <c r="AH71" s="2">
        <f>SUMIFS('Grid Data'!$P$4:$P$2342,'Grid Data'!$N$4:$N$2342,$D71,'Grid Data'!$O$4:$O$2342,AH$4,'Grid Data'!$M$4:$M$2342,$D$2)</f>
        <v>0</v>
      </c>
    </row>
    <row r="72" spans="3:34" x14ac:dyDescent="0.35">
      <c r="D72">
        <v>3000</v>
      </c>
      <c r="E72" s="2">
        <f>SUMIFS('Grid Data'!$P$4:$P$2342,'Grid Data'!$N$4:$N$2342,$D72,'Grid Data'!$O$4:$O$2342,E$4,'Grid Data'!$M$4:$M$2342,$D$2)</f>
        <v>18</v>
      </c>
      <c r="F72" s="2">
        <f>SUMIFS('Grid Data'!$P$4:$P$2342,'Grid Data'!$N$4:$N$2342,$D72,'Grid Data'!$O$4:$O$2342,F$4,'Grid Data'!$M$4:$M$2342,$D$2)</f>
        <v>1</v>
      </c>
      <c r="G72" s="2">
        <f>SUMIFS('Grid Data'!$P$4:$P$2342,'Grid Data'!$N$4:$N$2342,$D72,'Grid Data'!$O$4:$O$2342,G$4,'Grid Data'!$M$4:$M$2342,$D$2)</f>
        <v>0</v>
      </c>
      <c r="H72" s="2">
        <f>SUMIFS('Grid Data'!$P$4:$P$2342,'Grid Data'!$N$4:$N$2342,$D72,'Grid Data'!$O$4:$O$2342,H$4,'Grid Data'!$M$4:$M$2342,$D$2)</f>
        <v>0</v>
      </c>
      <c r="I72" s="2">
        <f>SUMIFS('Grid Data'!$P$4:$P$2342,'Grid Data'!$N$4:$N$2342,$D72,'Grid Data'!$O$4:$O$2342,I$4,'Grid Data'!$M$4:$M$2342,$D$2)</f>
        <v>0</v>
      </c>
      <c r="J72" s="2">
        <f>SUMIFS('Grid Data'!$P$4:$P$2342,'Grid Data'!$N$4:$N$2342,$D72,'Grid Data'!$O$4:$O$2342,J$4,'Grid Data'!$M$4:$M$2342,$D$2)</f>
        <v>0</v>
      </c>
      <c r="K72" s="2">
        <f>SUMIFS('Grid Data'!$P$4:$P$2342,'Grid Data'!$N$4:$N$2342,$D72,'Grid Data'!$O$4:$O$2342,K$4,'Grid Data'!$M$4:$M$2342,$D$2)</f>
        <v>10</v>
      </c>
      <c r="L72" s="2">
        <f>SUMIFS('Grid Data'!$P$4:$P$2342,'Grid Data'!$N$4:$N$2342,$D72,'Grid Data'!$O$4:$O$2342,L$4,'Grid Data'!$M$4:$M$2342,$D$2)</f>
        <v>1</v>
      </c>
      <c r="M72" s="2">
        <f>SUMIFS('Grid Data'!$P$4:$P$2342,'Grid Data'!$N$4:$N$2342,$D72,'Grid Data'!$O$4:$O$2342,M$4,'Grid Data'!$M$4:$M$2342,$D$2)</f>
        <v>0</v>
      </c>
      <c r="N72" s="2">
        <f>SUMIFS('Grid Data'!$P$4:$P$2342,'Grid Data'!$N$4:$N$2342,$D72,'Grid Data'!$O$4:$O$2342,N$4,'Grid Data'!$M$4:$M$2342,$D$2)</f>
        <v>3</v>
      </c>
      <c r="O72" s="2">
        <f>SUMIFS('Grid Data'!$P$4:$P$2342,'Grid Data'!$N$4:$N$2342,$D72,'Grid Data'!$O$4:$O$2342,O$4,'Grid Data'!$M$4:$M$2342,$D$2)</f>
        <v>1</v>
      </c>
      <c r="P72" s="2">
        <f>SUMIFS('Grid Data'!$P$4:$P$2342,'Grid Data'!$N$4:$N$2342,$D72,'Grid Data'!$O$4:$O$2342,P$4,'Grid Data'!$M$4:$M$2342,$D$2)</f>
        <v>1</v>
      </c>
      <c r="Q72" s="2">
        <f>SUMIFS('Grid Data'!$P$4:$P$2342,'Grid Data'!$N$4:$N$2342,$D72,'Grid Data'!$O$4:$O$2342,Q$4,'Grid Data'!$M$4:$M$2342,$D$2)</f>
        <v>5</v>
      </c>
      <c r="R72" s="2">
        <f>SUMIFS('Grid Data'!$P$4:$P$2342,'Grid Data'!$N$4:$N$2342,$D72,'Grid Data'!$O$4:$O$2342,R$4,'Grid Data'!$M$4:$M$2342,$D$2)</f>
        <v>24</v>
      </c>
      <c r="S72" s="2">
        <f>SUMIFS('Grid Data'!$P$4:$P$2342,'Grid Data'!$N$4:$N$2342,$D72,'Grid Data'!$O$4:$O$2342,S$4,'Grid Data'!$M$4:$M$2342,$D$2)</f>
        <v>124</v>
      </c>
      <c r="T72" s="2">
        <f>SUMIFS('Grid Data'!$P$4:$P$2342,'Grid Data'!$N$4:$N$2342,$D72,'Grid Data'!$O$4:$O$2342,T$4,'Grid Data'!$M$4:$M$2342,$D$2)</f>
        <v>5119</v>
      </c>
      <c r="U72" s="2">
        <f>SUMIFS('Grid Data'!$P$4:$P$2342,'Grid Data'!$N$4:$N$2342,$D72,'Grid Data'!$O$4:$O$2342,U$4,'Grid Data'!$M$4:$M$2342,$D$2)</f>
        <v>118471</v>
      </c>
      <c r="V72" s="2">
        <f>SUMIFS('Grid Data'!$P$4:$P$2342,'Grid Data'!$N$4:$N$2342,$D72,'Grid Data'!$O$4:$O$2342,V$4,'Grid Data'!$M$4:$M$2342,$D$2)</f>
        <v>133545</v>
      </c>
      <c r="W72" s="2">
        <f>SUMIFS('Grid Data'!$P$4:$P$2342,'Grid Data'!$N$4:$N$2342,$D72,'Grid Data'!$O$4:$O$2342,W$4,'Grid Data'!$M$4:$M$2342,$D$2)</f>
        <v>158460</v>
      </c>
      <c r="X72" s="2">
        <f>SUMIFS('Grid Data'!$P$4:$P$2342,'Grid Data'!$N$4:$N$2342,$D72,'Grid Data'!$O$4:$O$2342,X$4,'Grid Data'!$M$4:$M$2342,$D$2)</f>
        <v>5812</v>
      </c>
      <c r="Y72" s="2">
        <f>SUMIFS('Grid Data'!$P$4:$P$2342,'Grid Data'!$N$4:$N$2342,$D72,'Grid Data'!$O$4:$O$2342,Y$4,'Grid Data'!$M$4:$M$2342,$D$2)</f>
        <v>29</v>
      </c>
      <c r="Z72" s="2">
        <f>SUMIFS('Grid Data'!$P$4:$P$2342,'Grid Data'!$N$4:$N$2342,$D72,'Grid Data'!$O$4:$O$2342,Z$4,'Grid Data'!$M$4:$M$2342,$D$2)</f>
        <v>162</v>
      </c>
      <c r="AA72" s="2">
        <f>SUMIFS('Grid Data'!$P$4:$P$2342,'Grid Data'!$N$4:$N$2342,$D72,'Grid Data'!$O$4:$O$2342,AA$4,'Grid Data'!$M$4:$M$2342,$D$2)</f>
        <v>2522</v>
      </c>
      <c r="AB72" s="2">
        <f>SUMIFS('Grid Data'!$P$4:$P$2342,'Grid Data'!$N$4:$N$2342,$D72,'Grid Data'!$O$4:$O$2342,AB$4,'Grid Data'!$M$4:$M$2342,$D$2)</f>
        <v>367</v>
      </c>
      <c r="AC72" s="2">
        <f>SUMIFS('Grid Data'!$P$4:$P$2342,'Grid Data'!$N$4:$N$2342,$D72,'Grid Data'!$O$4:$O$2342,AC$4,'Grid Data'!$M$4:$M$2342,$D$2)</f>
        <v>3209</v>
      </c>
      <c r="AD72" s="2">
        <f>SUMIFS('Grid Data'!$P$4:$P$2342,'Grid Data'!$N$4:$N$2342,$D72,'Grid Data'!$O$4:$O$2342,AD$4,'Grid Data'!$M$4:$M$2342,$D$2)</f>
        <v>162</v>
      </c>
      <c r="AE72" s="2">
        <f>SUMIFS('Grid Data'!$P$4:$P$2342,'Grid Data'!$N$4:$N$2342,$D72,'Grid Data'!$O$4:$O$2342,AE$4,'Grid Data'!$M$4:$M$2342,$D$2)</f>
        <v>1</v>
      </c>
      <c r="AF72" s="2">
        <f>SUMIFS('Grid Data'!$P$4:$P$2342,'Grid Data'!$N$4:$N$2342,$D72,'Grid Data'!$O$4:$O$2342,AF$4,'Grid Data'!$M$4:$M$2342,$D$2)</f>
        <v>3</v>
      </c>
      <c r="AG72" s="2">
        <f>SUMIFS('Grid Data'!$P$4:$P$2342,'Grid Data'!$N$4:$N$2342,$D72,'Grid Data'!$O$4:$O$2342,AG$4,'Grid Data'!$M$4:$M$2342,$D$2)</f>
        <v>36</v>
      </c>
      <c r="AH72" s="2">
        <f>SUMIFS('Grid Data'!$P$4:$P$2342,'Grid Data'!$N$4:$N$2342,$D72,'Grid Data'!$O$4:$O$2342,AH$4,'Grid Data'!$M$4:$M$2342,$D$2)</f>
        <v>4</v>
      </c>
    </row>
    <row r="73" spans="3:34" x14ac:dyDescent="0.35">
      <c r="D73">
        <v>3250</v>
      </c>
      <c r="E73" s="2">
        <f>SUMIFS('Grid Data'!$P$4:$P$2342,'Grid Data'!$N$4:$N$2342,$D73,'Grid Data'!$O$4:$O$2342,E$4,'Grid Data'!$M$4:$M$2342,$D$2)</f>
        <v>176</v>
      </c>
      <c r="F73" s="2">
        <f>SUMIFS('Grid Data'!$P$4:$P$2342,'Grid Data'!$N$4:$N$2342,$D73,'Grid Data'!$O$4:$O$2342,F$4,'Grid Data'!$M$4:$M$2342,$D$2)</f>
        <v>2</v>
      </c>
      <c r="G73" s="2">
        <f>SUMIFS('Grid Data'!$P$4:$P$2342,'Grid Data'!$N$4:$N$2342,$D73,'Grid Data'!$O$4:$O$2342,G$4,'Grid Data'!$M$4:$M$2342,$D$2)</f>
        <v>5</v>
      </c>
      <c r="H73" s="2">
        <f>SUMIFS('Grid Data'!$P$4:$P$2342,'Grid Data'!$N$4:$N$2342,$D73,'Grid Data'!$O$4:$O$2342,H$4,'Grid Data'!$M$4:$M$2342,$D$2)</f>
        <v>2</v>
      </c>
      <c r="I73" s="2">
        <f>SUMIFS('Grid Data'!$P$4:$P$2342,'Grid Data'!$N$4:$N$2342,$D73,'Grid Data'!$O$4:$O$2342,I$4,'Grid Data'!$M$4:$M$2342,$D$2)</f>
        <v>2</v>
      </c>
      <c r="J73" s="2">
        <f>SUMIFS('Grid Data'!$P$4:$P$2342,'Grid Data'!$N$4:$N$2342,$D73,'Grid Data'!$O$4:$O$2342,J$4,'Grid Data'!$M$4:$M$2342,$D$2)</f>
        <v>2</v>
      </c>
      <c r="K73" s="2">
        <f>SUMIFS('Grid Data'!$P$4:$P$2342,'Grid Data'!$N$4:$N$2342,$D73,'Grid Data'!$O$4:$O$2342,K$4,'Grid Data'!$M$4:$M$2342,$D$2)</f>
        <v>17</v>
      </c>
      <c r="L73" s="2">
        <f>SUMIFS('Grid Data'!$P$4:$P$2342,'Grid Data'!$N$4:$N$2342,$D73,'Grid Data'!$O$4:$O$2342,L$4,'Grid Data'!$M$4:$M$2342,$D$2)</f>
        <v>5</v>
      </c>
      <c r="M73" s="2">
        <f>SUMIFS('Grid Data'!$P$4:$P$2342,'Grid Data'!$N$4:$N$2342,$D73,'Grid Data'!$O$4:$O$2342,M$4,'Grid Data'!$M$4:$M$2342,$D$2)</f>
        <v>3</v>
      </c>
      <c r="N73" s="2">
        <f>SUMIFS('Grid Data'!$P$4:$P$2342,'Grid Data'!$N$4:$N$2342,$D73,'Grid Data'!$O$4:$O$2342,N$4,'Grid Data'!$M$4:$M$2342,$D$2)</f>
        <v>6</v>
      </c>
      <c r="O73" s="2">
        <f>SUMIFS('Grid Data'!$P$4:$P$2342,'Grid Data'!$N$4:$N$2342,$D73,'Grid Data'!$O$4:$O$2342,O$4,'Grid Data'!$M$4:$M$2342,$D$2)</f>
        <v>2</v>
      </c>
      <c r="P73" s="2">
        <f>SUMIFS('Grid Data'!$P$4:$P$2342,'Grid Data'!$N$4:$N$2342,$D73,'Grid Data'!$O$4:$O$2342,P$4,'Grid Data'!$M$4:$M$2342,$D$2)</f>
        <v>2</v>
      </c>
      <c r="Q73" s="2">
        <f>SUMIFS('Grid Data'!$P$4:$P$2342,'Grid Data'!$N$4:$N$2342,$D73,'Grid Data'!$O$4:$O$2342,Q$4,'Grid Data'!$M$4:$M$2342,$D$2)</f>
        <v>7</v>
      </c>
      <c r="R73" s="2">
        <f>SUMIFS('Grid Data'!$P$4:$P$2342,'Grid Data'!$N$4:$N$2342,$D73,'Grid Data'!$O$4:$O$2342,R$4,'Grid Data'!$M$4:$M$2342,$D$2)</f>
        <v>22</v>
      </c>
      <c r="S73" s="2">
        <f>SUMIFS('Grid Data'!$P$4:$P$2342,'Grid Data'!$N$4:$N$2342,$D73,'Grid Data'!$O$4:$O$2342,S$4,'Grid Data'!$M$4:$M$2342,$D$2)</f>
        <v>222</v>
      </c>
      <c r="T73" s="2">
        <f>SUMIFS('Grid Data'!$P$4:$P$2342,'Grid Data'!$N$4:$N$2342,$D73,'Grid Data'!$O$4:$O$2342,T$4,'Grid Data'!$M$4:$M$2342,$D$2)</f>
        <v>10432</v>
      </c>
      <c r="U73" s="2">
        <f>SUMIFS('Grid Data'!$P$4:$P$2342,'Grid Data'!$N$4:$N$2342,$D73,'Grid Data'!$O$4:$O$2342,U$4,'Grid Data'!$M$4:$M$2342,$D$2)</f>
        <v>142304</v>
      </c>
      <c r="V73" s="2">
        <f>SUMIFS('Grid Data'!$P$4:$P$2342,'Grid Data'!$N$4:$N$2342,$D73,'Grid Data'!$O$4:$O$2342,V$4,'Grid Data'!$M$4:$M$2342,$D$2)</f>
        <v>145749</v>
      </c>
      <c r="W73" s="2">
        <f>SUMIFS('Grid Data'!$P$4:$P$2342,'Grid Data'!$N$4:$N$2342,$D73,'Grid Data'!$O$4:$O$2342,W$4,'Grid Data'!$M$4:$M$2342,$D$2)</f>
        <v>161821</v>
      </c>
      <c r="X73" s="2">
        <f>SUMIFS('Grid Data'!$P$4:$P$2342,'Grid Data'!$N$4:$N$2342,$D73,'Grid Data'!$O$4:$O$2342,X$4,'Grid Data'!$M$4:$M$2342,$D$2)</f>
        <v>18957</v>
      </c>
      <c r="Y73" s="2">
        <f>SUMIFS('Grid Data'!$P$4:$P$2342,'Grid Data'!$N$4:$N$2342,$D73,'Grid Data'!$O$4:$O$2342,Y$4,'Grid Data'!$M$4:$M$2342,$D$2)</f>
        <v>431</v>
      </c>
      <c r="Z73" s="2">
        <f>SUMIFS('Grid Data'!$P$4:$P$2342,'Grid Data'!$N$4:$N$2342,$D73,'Grid Data'!$O$4:$O$2342,Z$4,'Grid Data'!$M$4:$M$2342,$D$2)</f>
        <v>2137</v>
      </c>
      <c r="AA73" s="2">
        <f>SUMIFS('Grid Data'!$P$4:$P$2342,'Grid Data'!$N$4:$N$2342,$D73,'Grid Data'!$O$4:$O$2342,AA$4,'Grid Data'!$M$4:$M$2342,$D$2)</f>
        <v>40079</v>
      </c>
      <c r="AB73" s="2">
        <f>SUMIFS('Grid Data'!$P$4:$P$2342,'Grid Data'!$N$4:$N$2342,$D73,'Grid Data'!$O$4:$O$2342,AB$4,'Grid Data'!$M$4:$M$2342,$D$2)</f>
        <v>7203</v>
      </c>
      <c r="AC73" s="2">
        <f>SUMIFS('Grid Data'!$P$4:$P$2342,'Grid Data'!$N$4:$N$2342,$D73,'Grid Data'!$O$4:$O$2342,AC$4,'Grid Data'!$M$4:$M$2342,$D$2)</f>
        <v>79055</v>
      </c>
      <c r="AD73" s="2">
        <f>SUMIFS('Grid Data'!$P$4:$P$2342,'Grid Data'!$N$4:$N$2342,$D73,'Grid Data'!$O$4:$O$2342,AD$4,'Grid Data'!$M$4:$M$2342,$D$2)</f>
        <v>161</v>
      </c>
      <c r="AE73" s="2">
        <f>SUMIFS('Grid Data'!$P$4:$P$2342,'Grid Data'!$N$4:$N$2342,$D73,'Grid Data'!$O$4:$O$2342,AE$4,'Grid Data'!$M$4:$M$2342,$D$2)</f>
        <v>0</v>
      </c>
      <c r="AF73" s="2">
        <f>SUMIFS('Grid Data'!$P$4:$P$2342,'Grid Data'!$N$4:$N$2342,$D73,'Grid Data'!$O$4:$O$2342,AF$4,'Grid Data'!$M$4:$M$2342,$D$2)</f>
        <v>0</v>
      </c>
      <c r="AG73" s="2">
        <f>SUMIFS('Grid Data'!$P$4:$P$2342,'Grid Data'!$N$4:$N$2342,$D73,'Grid Data'!$O$4:$O$2342,AG$4,'Grid Data'!$M$4:$M$2342,$D$2)</f>
        <v>0</v>
      </c>
      <c r="AH73" s="2">
        <f>SUMIFS('Grid Data'!$P$4:$P$2342,'Grid Data'!$N$4:$N$2342,$D73,'Grid Data'!$O$4:$O$2342,AH$4,'Grid Data'!$M$4:$M$2342,$D$2)</f>
        <v>0</v>
      </c>
    </row>
    <row r="74" spans="3:34" x14ac:dyDescent="0.35">
      <c r="D74">
        <v>3500</v>
      </c>
      <c r="E74" s="2">
        <f>SUMIFS('Grid Data'!$P$4:$P$2342,'Grid Data'!$N$4:$N$2342,$D74,'Grid Data'!$O$4:$O$2342,E$4,'Grid Data'!$M$4:$M$2342,$D$2)</f>
        <v>483</v>
      </c>
      <c r="F74" s="2">
        <f>SUMIFS('Grid Data'!$P$4:$P$2342,'Grid Data'!$N$4:$N$2342,$D74,'Grid Data'!$O$4:$O$2342,F$4,'Grid Data'!$M$4:$M$2342,$D$2)</f>
        <v>39</v>
      </c>
      <c r="G74" s="2">
        <f>SUMIFS('Grid Data'!$P$4:$P$2342,'Grid Data'!$N$4:$N$2342,$D74,'Grid Data'!$O$4:$O$2342,G$4,'Grid Data'!$M$4:$M$2342,$D$2)</f>
        <v>35</v>
      </c>
      <c r="H74" s="2">
        <f>SUMIFS('Grid Data'!$P$4:$P$2342,'Grid Data'!$N$4:$N$2342,$D74,'Grid Data'!$O$4:$O$2342,H$4,'Grid Data'!$M$4:$M$2342,$D$2)</f>
        <v>15</v>
      </c>
      <c r="I74" s="2">
        <f>SUMIFS('Grid Data'!$P$4:$P$2342,'Grid Data'!$N$4:$N$2342,$D74,'Grid Data'!$O$4:$O$2342,I$4,'Grid Data'!$M$4:$M$2342,$D$2)</f>
        <v>12</v>
      </c>
      <c r="J74" s="2">
        <f>SUMIFS('Grid Data'!$P$4:$P$2342,'Grid Data'!$N$4:$N$2342,$D74,'Grid Data'!$O$4:$O$2342,J$4,'Grid Data'!$M$4:$M$2342,$D$2)</f>
        <v>21</v>
      </c>
      <c r="K74" s="2">
        <f>SUMIFS('Grid Data'!$P$4:$P$2342,'Grid Data'!$N$4:$N$2342,$D74,'Grid Data'!$O$4:$O$2342,K$4,'Grid Data'!$M$4:$M$2342,$D$2)</f>
        <v>25</v>
      </c>
      <c r="L74" s="2">
        <f>SUMIFS('Grid Data'!$P$4:$P$2342,'Grid Data'!$N$4:$N$2342,$D74,'Grid Data'!$O$4:$O$2342,L$4,'Grid Data'!$M$4:$M$2342,$D$2)</f>
        <v>26</v>
      </c>
      <c r="M74" s="2">
        <f>SUMIFS('Grid Data'!$P$4:$P$2342,'Grid Data'!$N$4:$N$2342,$D74,'Grid Data'!$O$4:$O$2342,M$4,'Grid Data'!$M$4:$M$2342,$D$2)</f>
        <v>34</v>
      </c>
      <c r="N74" s="2">
        <f>SUMIFS('Grid Data'!$P$4:$P$2342,'Grid Data'!$N$4:$N$2342,$D74,'Grid Data'!$O$4:$O$2342,N$4,'Grid Data'!$M$4:$M$2342,$D$2)</f>
        <v>73</v>
      </c>
      <c r="O74" s="2">
        <f>SUMIFS('Grid Data'!$P$4:$P$2342,'Grid Data'!$N$4:$N$2342,$D74,'Grid Data'!$O$4:$O$2342,O$4,'Grid Data'!$M$4:$M$2342,$D$2)</f>
        <v>3</v>
      </c>
      <c r="P74" s="2">
        <f>SUMIFS('Grid Data'!$P$4:$P$2342,'Grid Data'!$N$4:$N$2342,$D74,'Grid Data'!$O$4:$O$2342,P$4,'Grid Data'!$M$4:$M$2342,$D$2)</f>
        <v>3</v>
      </c>
      <c r="Q74" s="2">
        <f>SUMIFS('Grid Data'!$P$4:$P$2342,'Grid Data'!$N$4:$N$2342,$D74,'Grid Data'!$O$4:$O$2342,Q$4,'Grid Data'!$M$4:$M$2342,$D$2)</f>
        <v>10</v>
      </c>
      <c r="R74" s="2">
        <f>SUMIFS('Grid Data'!$P$4:$P$2342,'Grid Data'!$N$4:$N$2342,$D74,'Grid Data'!$O$4:$O$2342,R$4,'Grid Data'!$M$4:$M$2342,$D$2)</f>
        <v>38</v>
      </c>
      <c r="S74" s="2">
        <f>SUMIFS('Grid Data'!$P$4:$P$2342,'Grid Data'!$N$4:$N$2342,$D74,'Grid Data'!$O$4:$O$2342,S$4,'Grid Data'!$M$4:$M$2342,$D$2)</f>
        <v>158</v>
      </c>
      <c r="T74" s="2">
        <f>SUMIFS('Grid Data'!$P$4:$P$2342,'Grid Data'!$N$4:$N$2342,$D74,'Grid Data'!$O$4:$O$2342,T$4,'Grid Data'!$M$4:$M$2342,$D$2)</f>
        <v>13176</v>
      </c>
      <c r="U74" s="2">
        <f>SUMIFS('Grid Data'!$P$4:$P$2342,'Grid Data'!$N$4:$N$2342,$D74,'Grid Data'!$O$4:$O$2342,U$4,'Grid Data'!$M$4:$M$2342,$D$2)</f>
        <v>57370</v>
      </c>
      <c r="V74" s="2">
        <f>SUMIFS('Grid Data'!$P$4:$P$2342,'Grid Data'!$N$4:$N$2342,$D74,'Grid Data'!$O$4:$O$2342,V$4,'Grid Data'!$M$4:$M$2342,$D$2)</f>
        <v>56795</v>
      </c>
      <c r="W74" s="2">
        <f>SUMIFS('Grid Data'!$P$4:$P$2342,'Grid Data'!$N$4:$N$2342,$D74,'Grid Data'!$O$4:$O$2342,W$4,'Grid Data'!$M$4:$M$2342,$D$2)</f>
        <v>60126</v>
      </c>
      <c r="X74" s="2">
        <f>SUMIFS('Grid Data'!$P$4:$P$2342,'Grid Data'!$N$4:$N$2342,$D74,'Grid Data'!$O$4:$O$2342,X$4,'Grid Data'!$M$4:$M$2342,$D$2)</f>
        <v>50206</v>
      </c>
      <c r="Y74" s="2">
        <f>SUMIFS('Grid Data'!$P$4:$P$2342,'Grid Data'!$N$4:$N$2342,$D74,'Grid Data'!$O$4:$O$2342,Y$4,'Grid Data'!$M$4:$M$2342,$D$2)</f>
        <v>1129</v>
      </c>
      <c r="Z74" s="2">
        <f>SUMIFS('Grid Data'!$P$4:$P$2342,'Grid Data'!$N$4:$N$2342,$D74,'Grid Data'!$O$4:$O$2342,Z$4,'Grid Data'!$M$4:$M$2342,$D$2)</f>
        <v>8683</v>
      </c>
      <c r="AA74" s="2">
        <f>SUMIFS('Grid Data'!$P$4:$P$2342,'Grid Data'!$N$4:$N$2342,$D74,'Grid Data'!$O$4:$O$2342,AA$4,'Grid Data'!$M$4:$M$2342,$D$2)</f>
        <v>61736</v>
      </c>
      <c r="AB74" s="2">
        <f>SUMIFS('Grid Data'!$P$4:$P$2342,'Grid Data'!$N$4:$N$2342,$D74,'Grid Data'!$O$4:$O$2342,AB$4,'Grid Data'!$M$4:$M$2342,$D$2)</f>
        <v>23656</v>
      </c>
      <c r="AC74" s="2">
        <f>SUMIFS('Grid Data'!$P$4:$P$2342,'Grid Data'!$N$4:$N$2342,$D74,'Grid Data'!$O$4:$O$2342,AC$4,'Grid Data'!$M$4:$M$2342,$D$2)</f>
        <v>80667</v>
      </c>
      <c r="AD74" s="2">
        <f>SUMIFS('Grid Data'!$P$4:$P$2342,'Grid Data'!$N$4:$N$2342,$D74,'Grid Data'!$O$4:$O$2342,AD$4,'Grid Data'!$M$4:$M$2342,$D$2)</f>
        <v>732</v>
      </c>
      <c r="AE74" s="2">
        <f>SUMIFS('Grid Data'!$P$4:$P$2342,'Grid Data'!$N$4:$N$2342,$D74,'Grid Data'!$O$4:$O$2342,AE$4,'Grid Data'!$M$4:$M$2342,$D$2)</f>
        <v>1</v>
      </c>
      <c r="AF74" s="2">
        <f>SUMIFS('Grid Data'!$P$4:$P$2342,'Grid Data'!$N$4:$N$2342,$D74,'Grid Data'!$O$4:$O$2342,AF$4,'Grid Data'!$M$4:$M$2342,$D$2)</f>
        <v>0</v>
      </c>
      <c r="AG74" s="2">
        <f>SUMIFS('Grid Data'!$P$4:$P$2342,'Grid Data'!$N$4:$N$2342,$D74,'Grid Data'!$O$4:$O$2342,AG$4,'Grid Data'!$M$4:$M$2342,$D$2)</f>
        <v>6</v>
      </c>
      <c r="AH74" s="2">
        <f>SUMIFS('Grid Data'!$P$4:$P$2342,'Grid Data'!$N$4:$N$2342,$D74,'Grid Data'!$O$4:$O$2342,AH$4,'Grid Data'!$M$4:$M$2342,$D$2)</f>
        <v>0</v>
      </c>
    </row>
    <row r="75" spans="3:34" x14ac:dyDescent="0.35">
      <c r="D75">
        <v>3750</v>
      </c>
      <c r="E75" s="2">
        <f>SUMIFS('Grid Data'!$P$4:$P$2342,'Grid Data'!$N$4:$N$2342,$D75,'Grid Data'!$O$4:$O$2342,E$4,'Grid Data'!$M$4:$M$2342,$D$2)</f>
        <v>810</v>
      </c>
      <c r="F75" s="2">
        <f>SUMIFS('Grid Data'!$P$4:$P$2342,'Grid Data'!$N$4:$N$2342,$D75,'Grid Data'!$O$4:$O$2342,F$4,'Grid Data'!$M$4:$M$2342,$D$2)</f>
        <v>107</v>
      </c>
      <c r="G75" s="2">
        <f>SUMIFS('Grid Data'!$P$4:$P$2342,'Grid Data'!$N$4:$N$2342,$D75,'Grid Data'!$O$4:$O$2342,G$4,'Grid Data'!$M$4:$M$2342,$D$2)</f>
        <v>154</v>
      </c>
      <c r="H75" s="2">
        <f>SUMIFS('Grid Data'!$P$4:$P$2342,'Grid Data'!$N$4:$N$2342,$D75,'Grid Data'!$O$4:$O$2342,H$4,'Grid Data'!$M$4:$M$2342,$D$2)</f>
        <v>119</v>
      </c>
      <c r="I75" s="2">
        <f>SUMIFS('Grid Data'!$P$4:$P$2342,'Grid Data'!$N$4:$N$2342,$D75,'Grid Data'!$O$4:$O$2342,I$4,'Grid Data'!$M$4:$M$2342,$D$2)</f>
        <v>80</v>
      </c>
      <c r="J75" s="2">
        <f>SUMIFS('Grid Data'!$P$4:$P$2342,'Grid Data'!$N$4:$N$2342,$D75,'Grid Data'!$O$4:$O$2342,J$4,'Grid Data'!$M$4:$M$2342,$D$2)</f>
        <v>202</v>
      </c>
      <c r="K75" s="2">
        <f>SUMIFS('Grid Data'!$P$4:$P$2342,'Grid Data'!$N$4:$N$2342,$D75,'Grid Data'!$O$4:$O$2342,K$4,'Grid Data'!$M$4:$M$2342,$D$2)</f>
        <v>175</v>
      </c>
      <c r="L75" s="2">
        <f>SUMIFS('Grid Data'!$P$4:$P$2342,'Grid Data'!$N$4:$N$2342,$D75,'Grid Data'!$O$4:$O$2342,L$4,'Grid Data'!$M$4:$M$2342,$D$2)</f>
        <v>125</v>
      </c>
      <c r="M75" s="2">
        <f>SUMIFS('Grid Data'!$P$4:$P$2342,'Grid Data'!$N$4:$N$2342,$D75,'Grid Data'!$O$4:$O$2342,M$4,'Grid Data'!$M$4:$M$2342,$D$2)</f>
        <v>484</v>
      </c>
      <c r="N75" s="2">
        <f>SUMIFS('Grid Data'!$P$4:$P$2342,'Grid Data'!$N$4:$N$2342,$D75,'Grid Data'!$O$4:$O$2342,N$4,'Grid Data'!$M$4:$M$2342,$D$2)</f>
        <v>357</v>
      </c>
      <c r="O75" s="2">
        <f>SUMIFS('Grid Data'!$P$4:$P$2342,'Grid Data'!$N$4:$N$2342,$D75,'Grid Data'!$O$4:$O$2342,O$4,'Grid Data'!$M$4:$M$2342,$D$2)</f>
        <v>34</v>
      </c>
      <c r="P75" s="2">
        <f>SUMIFS('Grid Data'!$P$4:$P$2342,'Grid Data'!$N$4:$N$2342,$D75,'Grid Data'!$O$4:$O$2342,P$4,'Grid Data'!$M$4:$M$2342,$D$2)</f>
        <v>18</v>
      </c>
      <c r="Q75" s="2">
        <f>SUMIFS('Grid Data'!$P$4:$P$2342,'Grid Data'!$N$4:$N$2342,$D75,'Grid Data'!$O$4:$O$2342,Q$4,'Grid Data'!$M$4:$M$2342,$D$2)</f>
        <v>31</v>
      </c>
      <c r="R75" s="2">
        <f>SUMIFS('Grid Data'!$P$4:$P$2342,'Grid Data'!$N$4:$N$2342,$D75,'Grid Data'!$O$4:$O$2342,R$4,'Grid Data'!$M$4:$M$2342,$D$2)</f>
        <v>76</v>
      </c>
      <c r="S75" s="2">
        <f>SUMIFS('Grid Data'!$P$4:$P$2342,'Grid Data'!$N$4:$N$2342,$D75,'Grid Data'!$O$4:$O$2342,S$4,'Grid Data'!$M$4:$M$2342,$D$2)</f>
        <v>427</v>
      </c>
      <c r="T75" s="2">
        <f>SUMIFS('Grid Data'!$P$4:$P$2342,'Grid Data'!$N$4:$N$2342,$D75,'Grid Data'!$O$4:$O$2342,T$4,'Grid Data'!$M$4:$M$2342,$D$2)</f>
        <v>23490</v>
      </c>
      <c r="U75" s="2">
        <f>SUMIFS('Grid Data'!$P$4:$P$2342,'Grid Data'!$N$4:$N$2342,$D75,'Grid Data'!$O$4:$O$2342,U$4,'Grid Data'!$M$4:$M$2342,$D$2)</f>
        <v>54962</v>
      </c>
      <c r="V75" s="2">
        <f>SUMIFS('Grid Data'!$P$4:$P$2342,'Grid Data'!$N$4:$N$2342,$D75,'Grid Data'!$O$4:$O$2342,V$4,'Grid Data'!$M$4:$M$2342,$D$2)</f>
        <v>43436</v>
      </c>
      <c r="W75" s="2">
        <f>SUMIFS('Grid Data'!$P$4:$P$2342,'Grid Data'!$N$4:$N$2342,$D75,'Grid Data'!$O$4:$O$2342,W$4,'Grid Data'!$M$4:$M$2342,$D$2)</f>
        <v>75352</v>
      </c>
      <c r="X75" s="2">
        <f>SUMIFS('Grid Data'!$P$4:$P$2342,'Grid Data'!$N$4:$N$2342,$D75,'Grid Data'!$O$4:$O$2342,X$4,'Grid Data'!$M$4:$M$2342,$D$2)</f>
        <v>70460</v>
      </c>
      <c r="Y75" s="2">
        <f>SUMIFS('Grid Data'!$P$4:$P$2342,'Grid Data'!$N$4:$N$2342,$D75,'Grid Data'!$O$4:$O$2342,Y$4,'Grid Data'!$M$4:$M$2342,$D$2)</f>
        <v>3195</v>
      </c>
      <c r="Z75" s="2">
        <f>SUMIFS('Grid Data'!$P$4:$P$2342,'Grid Data'!$N$4:$N$2342,$D75,'Grid Data'!$O$4:$O$2342,Z$4,'Grid Data'!$M$4:$M$2342,$D$2)</f>
        <v>42691</v>
      </c>
      <c r="AA75" s="2">
        <f>SUMIFS('Grid Data'!$P$4:$P$2342,'Grid Data'!$N$4:$N$2342,$D75,'Grid Data'!$O$4:$O$2342,AA$4,'Grid Data'!$M$4:$M$2342,$D$2)</f>
        <v>80786</v>
      </c>
      <c r="AB75" s="2">
        <f>SUMIFS('Grid Data'!$P$4:$P$2342,'Grid Data'!$N$4:$N$2342,$D75,'Grid Data'!$O$4:$O$2342,AB$4,'Grid Data'!$M$4:$M$2342,$D$2)</f>
        <v>81572</v>
      </c>
      <c r="AC75" s="2">
        <f>SUMIFS('Grid Data'!$P$4:$P$2342,'Grid Data'!$N$4:$N$2342,$D75,'Grid Data'!$O$4:$O$2342,AC$4,'Grid Data'!$M$4:$M$2342,$D$2)</f>
        <v>116361</v>
      </c>
      <c r="AD75" s="2">
        <f>SUMIFS('Grid Data'!$P$4:$P$2342,'Grid Data'!$N$4:$N$2342,$D75,'Grid Data'!$O$4:$O$2342,AD$4,'Grid Data'!$M$4:$M$2342,$D$2)</f>
        <v>13467</v>
      </c>
      <c r="AE75" s="2">
        <f>SUMIFS('Grid Data'!$P$4:$P$2342,'Grid Data'!$N$4:$N$2342,$D75,'Grid Data'!$O$4:$O$2342,AE$4,'Grid Data'!$M$4:$M$2342,$D$2)</f>
        <v>2</v>
      </c>
      <c r="AF75" s="2">
        <f>SUMIFS('Grid Data'!$P$4:$P$2342,'Grid Data'!$N$4:$N$2342,$D75,'Grid Data'!$O$4:$O$2342,AF$4,'Grid Data'!$M$4:$M$2342,$D$2)</f>
        <v>3</v>
      </c>
      <c r="AG75" s="2">
        <f>SUMIFS('Grid Data'!$P$4:$P$2342,'Grid Data'!$N$4:$N$2342,$D75,'Grid Data'!$O$4:$O$2342,AG$4,'Grid Data'!$M$4:$M$2342,$D$2)</f>
        <v>11</v>
      </c>
      <c r="AH75" s="2">
        <f>SUMIFS('Grid Data'!$P$4:$P$2342,'Grid Data'!$N$4:$N$2342,$D75,'Grid Data'!$O$4:$O$2342,AH$4,'Grid Data'!$M$4:$M$2342,$D$2)</f>
        <v>0</v>
      </c>
    </row>
    <row r="76" spans="3:34" x14ac:dyDescent="0.35">
      <c r="D76">
        <v>4000</v>
      </c>
      <c r="E76" s="2">
        <f>SUMIFS('Grid Data'!$P$4:$P$2342,'Grid Data'!$N$4:$N$2342,$D76,'Grid Data'!$O$4:$O$2342,E$4,'Grid Data'!$M$4:$M$2342,$D$2)</f>
        <v>12376</v>
      </c>
      <c r="F76" s="2">
        <f>SUMIFS('Grid Data'!$P$4:$P$2342,'Grid Data'!$N$4:$N$2342,$D76,'Grid Data'!$O$4:$O$2342,F$4,'Grid Data'!$M$4:$M$2342,$D$2)</f>
        <v>2669</v>
      </c>
      <c r="G76" s="2">
        <f>SUMIFS('Grid Data'!$P$4:$P$2342,'Grid Data'!$N$4:$N$2342,$D76,'Grid Data'!$O$4:$O$2342,G$4,'Grid Data'!$M$4:$M$2342,$D$2)</f>
        <v>1809</v>
      </c>
      <c r="H76" s="2">
        <f>SUMIFS('Grid Data'!$P$4:$P$2342,'Grid Data'!$N$4:$N$2342,$D76,'Grid Data'!$O$4:$O$2342,H$4,'Grid Data'!$M$4:$M$2342,$D$2)</f>
        <v>1429</v>
      </c>
      <c r="I76" s="2">
        <f>SUMIFS('Grid Data'!$P$4:$P$2342,'Grid Data'!$N$4:$N$2342,$D76,'Grid Data'!$O$4:$O$2342,I$4,'Grid Data'!$M$4:$M$2342,$D$2)</f>
        <v>1727</v>
      </c>
      <c r="J76" s="2">
        <f>SUMIFS('Grid Data'!$P$4:$P$2342,'Grid Data'!$N$4:$N$2342,$D76,'Grid Data'!$O$4:$O$2342,J$4,'Grid Data'!$M$4:$M$2342,$D$2)</f>
        <v>1866</v>
      </c>
      <c r="K76" s="2">
        <f>SUMIFS('Grid Data'!$P$4:$P$2342,'Grid Data'!$N$4:$N$2342,$D76,'Grid Data'!$O$4:$O$2342,K$4,'Grid Data'!$M$4:$M$2342,$D$2)</f>
        <v>1539</v>
      </c>
      <c r="L76" s="2">
        <f>SUMIFS('Grid Data'!$P$4:$P$2342,'Grid Data'!$N$4:$N$2342,$D76,'Grid Data'!$O$4:$O$2342,L$4,'Grid Data'!$M$4:$M$2342,$D$2)</f>
        <v>1510</v>
      </c>
      <c r="M76" s="2">
        <f>SUMIFS('Grid Data'!$P$4:$P$2342,'Grid Data'!$N$4:$N$2342,$D76,'Grid Data'!$O$4:$O$2342,M$4,'Grid Data'!$M$4:$M$2342,$D$2)</f>
        <v>3289</v>
      </c>
      <c r="N76" s="2">
        <f>SUMIFS('Grid Data'!$P$4:$P$2342,'Grid Data'!$N$4:$N$2342,$D76,'Grid Data'!$O$4:$O$2342,N$4,'Grid Data'!$M$4:$M$2342,$D$2)</f>
        <v>2446</v>
      </c>
      <c r="O76" s="2">
        <f>SUMIFS('Grid Data'!$P$4:$P$2342,'Grid Data'!$N$4:$N$2342,$D76,'Grid Data'!$O$4:$O$2342,O$4,'Grid Data'!$M$4:$M$2342,$D$2)</f>
        <v>136</v>
      </c>
      <c r="P76" s="2">
        <f>SUMIFS('Grid Data'!$P$4:$P$2342,'Grid Data'!$N$4:$N$2342,$D76,'Grid Data'!$O$4:$O$2342,P$4,'Grid Data'!$M$4:$M$2342,$D$2)</f>
        <v>19</v>
      </c>
      <c r="Q76" s="2">
        <f>SUMIFS('Grid Data'!$P$4:$P$2342,'Grid Data'!$N$4:$N$2342,$D76,'Grid Data'!$O$4:$O$2342,Q$4,'Grid Data'!$M$4:$M$2342,$D$2)</f>
        <v>28</v>
      </c>
      <c r="R76" s="2">
        <f>SUMIFS('Grid Data'!$P$4:$P$2342,'Grid Data'!$N$4:$N$2342,$D76,'Grid Data'!$O$4:$O$2342,R$4,'Grid Data'!$M$4:$M$2342,$D$2)</f>
        <v>96</v>
      </c>
      <c r="S76" s="2">
        <f>SUMIFS('Grid Data'!$P$4:$P$2342,'Grid Data'!$N$4:$N$2342,$D76,'Grid Data'!$O$4:$O$2342,S$4,'Grid Data'!$M$4:$M$2342,$D$2)</f>
        <v>2186</v>
      </c>
      <c r="T76" s="2">
        <f>SUMIFS('Grid Data'!$P$4:$P$2342,'Grid Data'!$N$4:$N$2342,$D76,'Grid Data'!$O$4:$O$2342,T$4,'Grid Data'!$M$4:$M$2342,$D$2)</f>
        <v>27184</v>
      </c>
      <c r="U76" s="2">
        <f>SUMIFS('Grid Data'!$P$4:$P$2342,'Grid Data'!$N$4:$N$2342,$D76,'Grid Data'!$O$4:$O$2342,U$4,'Grid Data'!$M$4:$M$2342,$D$2)</f>
        <v>22462</v>
      </c>
      <c r="V76" s="2">
        <f>SUMIFS('Grid Data'!$P$4:$P$2342,'Grid Data'!$N$4:$N$2342,$D76,'Grid Data'!$O$4:$O$2342,V$4,'Grid Data'!$M$4:$M$2342,$D$2)</f>
        <v>16154</v>
      </c>
      <c r="W76" s="2">
        <f>SUMIFS('Grid Data'!$P$4:$P$2342,'Grid Data'!$N$4:$N$2342,$D76,'Grid Data'!$O$4:$O$2342,W$4,'Grid Data'!$M$4:$M$2342,$D$2)</f>
        <v>23625</v>
      </c>
      <c r="X76" s="2">
        <f>SUMIFS('Grid Data'!$P$4:$P$2342,'Grid Data'!$N$4:$N$2342,$D76,'Grid Data'!$O$4:$O$2342,X$4,'Grid Data'!$M$4:$M$2342,$D$2)</f>
        <v>54123</v>
      </c>
      <c r="Y76" s="2">
        <f>SUMIFS('Grid Data'!$P$4:$P$2342,'Grid Data'!$N$4:$N$2342,$D76,'Grid Data'!$O$4:$O$2342,Y$4,'Grid Data'!$M$4:$M$2342,$D$2)</f>
        <v>5988</v>
      </c>
      <c r="Z76" s="2">
        <f>SUMIFS('Grid Data'!$P$4:$P$2342,'Grid Data'!$N$4:$N$2342,$D76,'Grid Data'!$O$4:$O$2342,Z$4,'Grid Data'!$M$4:$M$2342,$D$2)</f>
        <v>66219</v>
      </c>
      <c r="AA76" s="2">
        <f>SUMIFS('Grid Data'!$P$4:$P$2342,'Grid Data'!$N$4:$N$2342,$D76,'Grid Data'!$O$4:$O$2342,AA$4,'Grid Data'!$M$4:$M$2342,$D$2)</f>
        <v>68745</v>
      </c>
      <c r="AB76" s="2">
        <f>SUMIFS('Grid Data'!$P$4:$P$2342,'Grid Data'!$N$4:$N$2342,$D76,'Grid Data'!$O$4:$O$2342,AB$4,'Grid Data'!$M$4:$M$2342,$D$2)</f>
        <v>93421</v>
      </c>
      <c r="AC76" s="2">
        <f>SUMIFS('Grid Data'!$P$4:$P$2342,'Grid Data'!$N$4:$N$2342,$D76,'Grid Data'!$O$4:$O$2342,AC$4,'Grid Data'!$M$4:$M$2342,$D$2)</f>
        <v>88027</v>
      </c>
      <c r="AD76" s="2">
        <f>SUMIFS('Grid Data'!$P$4:$P$2342,'Grid Data'!$N$4:$N$2342,$D76,'Grid Data'!$O$4:$O$2342,AD$4,'Grid Data'!$M$4:$M$2342,$D$2)</f>
        <v>26527</v>
      </c>
      <c r="AE76" s="2">
        <f>SUMIFS('Grid Data'!$P$4:$P$2342,'Grid Data'!$N$4:$N$2342,$D76,'Grid Data'!$O$4:$O$2342,AE$4,'Grid Data'!$M$4:$M$2342,$D$2)</f>
        <v>125</v>
      </c>
      <c r="AF76" s="2">
        <f>SUMIFS('Grid Data'!$P$4:$P$2342,'Grid Data'!$N$4:$N$2342,$D76,'Grid Data'!$O$4:$O$2342,AF$4,'Grid Data'!$M$4:$M$2342,$D$2)</f>
        <v>15</v>
      </c>
      <c r="AG76" s="2">
        <f>SUMIFS('Grid Data'!$P$4:$P$2342,'Grid Data'!$N$4:$N$2342,$D76,'Grid Data'!$O$4:$O$2342,AG$4,'Grid Data'!$M$4:$M$2342,$D$2)</f>
        <v>39</v>
      </c>
      <c r="AH76" s="2">
        <f>SUMIFS('Grid Data'!$P$4:$P$2342,'Grid Data'!$N$4:$N$2342,$D76,'Grid Data'!$O$4:$O$2342,AH$4,'Grid Data'!$M$4:$M$2342,$D$2)</f>
        <v>42</v>
      </c>
    </row>
    <row r="77" spans="3:34" x14ac:dyDescent="0.35">
      <c r="D77">
        <v>4250</v>
      </c>
      <c r="E77" s="2">
        <f>SUMIFS('Grid Data'!$P$4:$P$2342,'Grid Data'!$N$4:$N$2342,$D77,'Grid Data'!$O$4:$O$2342,E$4,'Grid Data'!$M$4:$M$2342,$D$2)</f>
        <v>2520</v>
      </c>
      <c r="F77" s="2">
        <f>SUMIFS('Grid Data'!$P$4:$P$2342,'Grid Data'!$N$4:$N$2342,$D77,'Grid Data'!$O$4:$O$2342,F$4,'Grid Data'!$M$4:$M$2342,$D$2)</f>
        <v>322</v>
      </c>
      <c r="G77" s="2">
        <f>SUMIFS('Grid Data'!$P$4:$P$2342,'Grid Data'!$N$4:$N$2342,$D77,'Grid Data'!$O$4:$O$2342,G$4,'Grid Data'!$M$4:$M$2342,$D$2)</f>
        <v>326</v>
      </c>
      <c r="H77" s="2">
        <f>SUMIFS('Grid Data'!$P$4:$P$2342,'Grid Data'!$N$4:$N$2342,$D77,'Grid Data'!$O$4:$O$2342,H$4,'Grid Data'!$M$4:$M$2342,$D$2)</f>
        <v>296</v>
      </c>
      <c r="I77" s="2">
        <f>SUMIFS('Grid Data'!$P$4:$P$2342,'Grid Data'!$N$4:$N$2342,$D77,'Grid Data'!$O$4:$O$2342,I$4,'Grid Data'!$M$4:$M$2342,$D$2)</f>
        <v>355</v>
      </c>
      <c r="J77" s="2">
        <f>SUMIFS('Grid Data'!$P$4:$P$2342,'Grid Data'!$N$4:$N$2342,$D77,'Grid Data'!$O$4:$O$2342,J$4,'Grid Data'!$M$4:$M$2342,$D$2)</f>
        <v>540</v>
      </c>
      <c r="K77" s="2">
        <f>SUMIFS('Grid Data'!$P$4:$P$2342,'Grid Data'!$N$4:$N$2342,$D77,'Grid Data'!$O$4:$O$2342,K$4,'Grid Data'!$M$4:$M$2342,$D$2)</f>
        <v>663</v>
      </c>
      <c r="L77" s="2">
        <f>SUMIFS('Grid Data'!$P$4:$P$2342,'Grid Data'!$N$4:$N$2342,$D77,'Grid Data'!$O$4:$O$2342,L$4,'Grid Data'!$M$4:$M$2342,$D$2)</f>
        <v>687</v>
      </c>
      <c r="M77" s="2">
        <f>SUMIFS('Grid Data'!$P$4:$P$2342,'Grid Data'!$N$4:$N$2342,$D77,'Grid Data'!$O$4:$O$2342,M$4,'Grid Data'!$M$4:$M$2342,$D$2)</f>
        <v>1243</v>
      </c>
      <c r="N77" s="2">
        <f>SUMIFS('Grid Data'!$P$4:$P$2342,'Grid Data'!$N$4:$N$2342,$D77,'Grid Data'!$O$4:$O$2342,N$4,'Grid Data'!$M$4:$M$2342,$D$2)</f>
        <v>1220</v>
      </c>
      <c r="O77" s="2">
        <f>SUMIFS('Grid Data'!$P$4:$P$2342,'Grid Data'!$N$4:$N$2342,$D77,'Grid Data'!$O$4:$O$2342,O$4,'Grid Data'!$M$4:$M$2342,$D$2)</f>
        <v>635</v>
      </c>
      <c r="P77" s="2">
        <f>SUMIFS('Grid Data'!$P$4:$P$2342,'Grid Data'!$N$4:$N$2342,$D77,'Grid Data'!$O$4:$O$2342,P$4,'Grid Data'!$M$4:$M$2342,$D$2)</f>
        <v>364</v>
      </c>
      <c r="Q77" s="2">
        <f>SUMIFS('Grid Data'!$P$4:$P$2342,'Grid Data'!$N$4:$N$2342,$D77,'Grid Data'!$O$4:$O$2342,Q$4,'Grid Data'!$M$4:$M$2342,$D$2)</f>
        <v>890</v>
      </c>
      <c r="R77" s="2">
        <f>SUMIFS('Grid Data'!$P$4:$P$2342,'Grid Data'!$N$4:$N$2342,$D77,'Grid Data'!$O$4:$O$2342,R$4,'Grid Data'!$M$4:$M$2342,$D$2)</f>
        <v>813</v>
      </c>
      <c r="S77" s="2">
        <f>SUMIFS('Grid Data'!$P$4:$P$2342,'Grid Data'!$N$4:$N$2342,$D77,'Grid Data'!$O$4:$O$2342,S$4,'Grid Data'!$M$4:$M$2342,$D$2)</f>
        <v>2684</v>
      </c>
      <c r="T77" s="2">
        <f>SUMIFS('Grid Data'!$P$4:$P$2342,'Grid Data'!$N$4:$N$2342,$D77,'Grid Data'!$O$4:$O$2342,T$4,'Grid Data'!$M$4:$M$2342,$D$2)</f>
        <v>30186</v>
      </c>
      <c r="U77" s="2">
        <f>SUMIFS('Grid Data'!$P$4:$P$2342,'Grid Data'!$N$4:$N$2342,$D77,'Grid Data'!$O$4:$O$2342,U$4,'Grid Data'!$M$4:$M$2342,$D$2)</f>
        <v>14762</v>
      </c>
      <c r="V77" s="2">
        <f>SUMIFS('Grid Data'!$P$4:$P$2342,'Grid Data'!$N$4:$N$2342,$D77,'Grid Data'!$O$4:$O$2342,V$4,'Grid Data'!$M$4:$M$2342,$D$2)</f>
        <v>8288</v>
      </c>
      <c r="W77" s="2">
        <f>SUMIFS('Grid Data'!$P$4:$P$2342,'Grid Data'!$N$4:$N$2342,$D77,'Grid Data'!$O$4:$O$2342,W$4,'Grid Data'!$M$4:$M$2342,$D$2)</f>
        <v>14827</v>
      </c>
      <c r="X77" s="2">
        <f>SUMIFS('Grid Data'!$P$4:$P$2342,'Grid Data'!$N$4:$N$2342,$D77,'Grid Data'!$O$4:$O$2342,X$4,'Grid Data'!$M$4:$M$2342,$D$2)</f>
        <v>55716</v>
      </c>
      <c r="Y77" s="2">
        <f>SUMIFS('Grid Data'!$P$4:$P$2342,'Grid Data'!$N$4:$N$2342,$D77,'Grid Data'!$O$4:$O$2342,Y$4,'Grid Data'!$M$4:$M$2342,$D$2)</f>
        <v>18357</v>
      </c>
      <c r="Z77" s="2">
        <f>SUMIFS('Grid Data'!$P$4:$P$2342,'Grid Data'!$N$4:$N$2342,$D77,'Grid Data'!$O$4:$O$2342,Z$4,'Grid Data'!$M$4:$M$2342,$D$2)</f>
        <v>58125</v>
      </c>
      <c r="AA77" s="2">
        <f>SUMIFS('Grid Data'!$P$4:$P$2342,'Grid Data'!$N$4:$N$2342,$D77,'Grid Data'!$O$4:$O$2342,AA$4,'Grid Data'!$M$4:$M$2342,$D$2)</f>
        <v>29779</v>
      </c>
      <c r="AB77" s="2">
        <f>SUMIFS('Grid Data'!$P$4:$P$2342,'Grid Data'!$N$4:$N$2342,$D77,'Grid Data'!$O$4:$O$2342,AB$4,'Grid Data'!$M$4:$M$2342,$D$2)</f>
        <v>83132</v>
      </c>
      <c r="AC77" s="2">
        <f>SUMIFS('Grid Data'!$P$4:$P$2342,'Grid Data'!$N$4:$N$2342,$D77,'Grid Data'!$O$4:$O$2342,AC$4,'Grid Data'!$M$4:$M$2342,$D$2)</f>
        <v>43861</v>
      </c>
      <c r="AD77" s="2">
        <f>SUMIFS('Grid Data'!$P$4:$P$2342,'Grid Data'!$N$4:$N$2342,$D77,'Grid Data'!$O$4:$O$2342,AD$4,'Grid Data'!$M$4:$M$2342,$D$2)</f>
        <v>41075</v>
      </c>
      <c r="AE77" s="2">
        <f>SUMIFS('Grid Data'!$P$4:$P$2342,'Grid Data'!$N$4:$N$2342,$D77,'Grid Data'!$O$4:$O$2342,AE$4,'Grid Data'!$M$4:$M$2342,$D$2)</f>
        <v>475</v>
      </c>
      <c r="AF77" s="2">
        <f>SUMIFS('Grid Data'!$P$4:$P$2342,'Grid Data'!$N$4:$N$2342,$D77,'Grid Data'!$O$4:$O$2342,AF$4,'Grid Data'!$M$4:$M$2342,$D$2)</f>
        <v>2</v>
      </c>
      <c r="AG77" s="2">
        <f>SUMIFS('Grid Data'!$P$4:$P$2342,'Grid Data'!$N$4:$N$2342,$D77,'Grid Data'!$O$4:$O$2342,AG$4,'Grid Data'!$M$4:$M$2342,$D$2)</f>
        <v>37</v>
      </c>
      <c r="AH77" s="2">
        <f>SUMIFS('Grid Data'!$P$4:$P$2342,'Grid Data'!$N$4:$N$2342,$D77,'Grid Data'!$O$4:$O$2342,AH$4,'Grid Data'!$M$4:$M$2342,$D$2)</f>
        <v>0</v>
      </c>
    </row>
    <row r="78" spans="3:34" x14ac:dyDescent="0.35">
      <c r="D78">
        <v>4500</v>
      </c>
      <c r="E78" s="2">
        <f>SUMIFS('Grid Data'!$P$4:$P$2342,'Grid Data'!$N$4:$N$2342,$D78,'Grid Data'!$O$4:$O$2342,E$4,'Grid Data'!$M$4:$M$2342,$D$2)</f>
        <v>3081</v>
      </c>
      <c r="F78" s="2">
        <f>SUMIFS('Grid Data'!$P$4:$P$2342,'Grid Data'!$N$4:$N$2342,$D78,'Grid Data'!$O$4:$O$2342,F$4,'Grid Data'!$M$4:$M$2342,$D$2)</f>
        <v>467</v>
      </c>
      <c r="G78" s="2">
        <f>SUMIFS('Grid Data'!$P$4:$P$2342,'Grid Data'!$N$4:$N$2342,$D78,'Grid Data'!$O$4:$O$2342,G$4,'Grid Data'!$M$4:$M$2342,$D$2)</f>
        <v>582</v>
      </c>
      <c r="H78" s="2">
        <f>SUMIFS('Grid Data'!$P$4:$P$2342,'Grid Data'!$N$4:$N$2342,$D78,'Grid Data'!$O$4:$O$2342,H$4,'Grid Data'!$M$4:$M$2342,$D$2)</f>
        <v>558</v>
      </c>
      <c r="I78" s="2">
        <f>SUMIFS('Grid Data'!$P$4:$P$2342,'Grid Data'!$N$4:$N$2342,$D78,'Grid Data'!$O$4:$O$2342,I$4,'Grid Data'!$M$4:$M$2342,$D$2)</f>
        <v>742</v>
      </c>
      <c r="J78" s="2">
        <f>SUMIFS('Grid Data'!$P$4:$P$2342,'Grid Data'!$N$4:$N$2342,$D78,'Grid Data'!$O$4:$O$2342,J$4,'Grid Data'!$M$4:$M$2342,$D$2)</f>
        <v>1068</v>
      </c>
      <c r="K78" s="2">
        <f>SUMIFS('Grid Data'!$P$4:$P$2342,'Grid Data'!$N$4:$N$2342,$D78,'Grid Data'!$O$4:$O$2342,K$4,'Grid Data'!$M$4:$M$2342,$D$2)</f>
        <v>1876</v>
      </c>
      <c r="L78" s="2">
        <f>SUMIFS('Grid Data'!$P$4:$P$2342,'Grid Data'!$N$4:$N$2342,$D78,'Grid Data'!$O$4:$O$2342,L$4,'Grid Data'!$M$4:$M$2342,$D$2)</f>
        <v>1868</v>
      </c>
      <c r="M78" s="2">
        <f>SUMIFS('Grid Data'!$P$4:$P$2342,'Grid Data'!$N$4:$N$2342,$D78,'Grid Data'!$O$4:$O$2342,M$4,'Grid Data'!$M$4:$M$2342,$D$2)</f>
        <v>2214</v>
      </c>
      <c r="N78" s="2">
        <f>SUMIFS('Grid Data'!$P$4:$P$2342,'Grid Data'!$N$4:$N$2342,$D78,'Grid Data'!$O$4:$O$2342,N$4,'Grid Data'!$M$4:$M$2342,$D$2)</f>
        <v>1790</v>
      </c>
      <c r="O78" s="2">
        <f>SUMIFS('Grid Data'!$P$4:$P$2342,'Grid Data'!$N$4:$N$2342,$D78,'Grid Data'!$O$4:$O$2342,O$4,'Grid Data'!$M$4:$M$2342,$D$2)</f>
        <v>1267</v>
      </c>
      <c r="P78" s="2">
        <f>SUMIFS('Grid Data'!$P$4:$P$2342,'Grid Data'!$N$4:$N$2342,$D78,'Grid Data'!$O$4:$O$2342,P$4,'Grid Data'!$M$4:$M$2342,$D$2)</f>
        <v>1310</v>
      </c>
      <c r="Q78" s="2">
        <f>SUMIFS('Grid Data'!$P$4:$P$2342,'Grid Data'!$N$4:$N$2342,$D78,'Grid Data'!$O$4:$O$2342,Q$4,'Grid Data'!$M$4:$M$2342,$D$2)</f>
        <v>1313</v>
      </c>
      <c r="R78" s="2">
        <f>SUMIFS('Grid Data'!$P$4:$P$2342,'Grid Data'!$N$4:$N$2342,$D78,'Grid Data'!$O$4:$O$2342,R$4,'Grid Data'!$M$4:$M$2342,$D$2)</f>
        <v>1031</v>
      </c>
      <c r="S78" s="2">
        <f>SUMIFS('Grid Data'!$P$4:$P$2342,'Grid Data'!$N$4:$N$2342,$D78,'Grid Data'!$O$4:$O$2342,S$4,'Grid Data'!$M$4:$M$2342,$D$2)</f>
        <v>5444</v>
      </c>
      <c r="T78" s="2">
        <f>SUMIFS('Grid Data'!$P$4:$P$2342,'Grid Data'!$N$4:$N$2342,$D78,'Grid Data'!$O$4:$O$2342,T$4,'Grid Data'!$M$4:$M$2342,$D$2)</f>
        <v>30724</v>
      </c>
      <c r="U78" s="2">
        <f>SUMIFS('Grid Data'!$P$4:$P$2342,'Grid Data'!$N$4:$N$2342,$D78,'Grid Data'!$O$4:$O$2342,U$4,'Grid Data'!$M$4:$M$2342,$D$2)</f>
        <v>6524</v>
      </c>
      <c r="V78" s="2">
        <f>SUMIFS('Grid Data'!$P$4:$P$2342,'Grid Data'!$N$4:$N$2342,$D78,'Grid Data'!$O$4:$O$2342,V$4,'Grid Data'!$M$4:$M$2342,$D$2)</f>
        <v>1845</v>
      </c>
      <c r="W78" s="2">
        <f>SUMIFS('Grid Data'!$P$4:$P$2342,'Grid Data'!$N$4:$N$2342,$D78,'Grid Data'!$O$4:$O$2342,W$4,'Grid Data'!$M$4:$M$2342,$D$2)</f>
        <v>5789</v>
      </c>
      <c r="X78" s="2">
        <f>SUMIFS('Grid Data'!$P$4:$P$2342,'Grid Data'!$N$4:$N$2342,$D78,'Grid Data'!$O$4:$O$2342,X$4,'Grid Data'!$M$4:$M$2342,$D$2)</f>
        <v>30118</v>
      </c>
      <c r="Y78" s="2">
        <f>SUMIFS('Grid Data'!$P$4:$P$2342,'Grid Data'!$N$4:$N$2342,$D78,'Grid Data'!$O$4:$O$2342,Y$4,'Grid Data'!$M$4:$M$2342,$D$2)</f>
        <v>29788</v>
      </c>
      <c r="Z78" s="2">
        <f>SUMIFS('Grid Data'!$P$4:$P$2342,'Grid Data'!$N$4:$N$2342,$D78,'Grid Data'!$O$4:$O$2342,Z$4,'Grid Data'!$M$4:$M$2342,$D$2)</f>
        <v>44482</v>
      </c>
      <c r="AA78" s="2">
        <f>SUMIFS('Grid Data'!$P$4:$P$2342,'Grid Data'!$N$4:$N$2342,$D78,'Grid Data'!$O$4:$O$2342,AA$4,'Grid Data'!$M$4:$M$2342,$D$2)</f>
        <v>18279</v>
      </c>
      <c r="AB78" s="2">
        <f>SUMIFS('Grid Data'!$P$4:$P$2342,'Grid Data'!$N$4:$N$2342,$D78,'Grid Data'!$O$4:$O$2342,AB$4,'Grid Data'!$M$4:$M$2342,$D$2)</f>
        <v>57546</v>
      </c>
      <c r="AC78" s="2">
        <f>SUMIFS('Grid Data'!$P$4:$P$2342,'Grid Data'!$N$4:$N$2342,$D78,'Grid Data'!$O$4:$O$2342,AC$4,'Grid Data'!$M$4:$M$2342,$D$2)</f>
        <v>29270</v>
      </c>
      <c r="AD78" s="2">
        <f>SUMIFS('Grid Data'!$P$4:$P$2342,'Grid Data'!$N$4:$N$2342,$D78,'Grid Data'!$O$4:$O$2342,AD$4,'Grid Data'!$M$4:$M$2342,$D$2)</f>
        <v>58045</v>
      </c>
      <c r="AE78" s="2">
        <f>SUMIFS('Grid Data'!$P$4:$P$2342,'Grid Data'!$N$4:$N$2342,$D78,'Grid Data'!$O$4:$O$2342,AE$4,'Grid Data'!$M$4:$M$2342,$D$2)</f>
        <v>6543</v>
      </c>
      <c r="AF78" s="2">
        <f>SUMIFS('Grid Data'!$P$4:$P$2342,'Grid Data'!$N$4:$N$2342,$D78,'Grid Data'!$O$4:$O$2342,AF$4,'Grid Data'!$M$4:$M$2342,$D$2)</f>
        <v>42</v>
      </c>
      <c r="AG78" s="2">
        <f>SUMIFS('Grid Data'!$P$4:$P$2342,'Grid Data'!$N$4:$N$2342,$D78,'Grid Data'!$O$4:$O$2342,AG$4,'Grid Data'!$M$4:$M$2342,$D$2)</f>
        <v>188</v>
      </c>
      <c r="AH78" s="2">
        <f>SUMIFS('Grid Data'!$P$4:$P$2342,'Grid Data'!$N$4:$N$2342,$D78,'Grid Data'!$O$4:$O$2342,AH$4,'Grid Data'!$M$4:$M$2342,$D$2)</f>
        <v>0</v>
      </c>
    </row>
    <row r="79" spans="3:34" x14ac:dyDescent="0.35">
      <c r="D79">
        <v>4750</v>
      </c>
      <c r="E79" s="2">
        <f>SUMIFS('Grid Data'!$P$4:$P$2342,'Grid Data'!$N$4:$N$2342,$D79,'Grid Data'!$O$4:$O$2342,E$4,'Grid Data'!$M$4:$M$2342,$D$2)</f>
        <v>6078</v>
      </c>
      <c r="F79" s="2">
        <f>SUMIFS('Grid Data'!$P$4:$P$2342,'Grid Data'!$N$4:$N$2342,$D79,'Grid Data'!$O$4:$O$2342,F$4,'Grid Data'!$M$4:$M$2342,$D$2)</f>
        <v>723</v>
      </c>
      <c r="G79" s="2">
        <f>SUMIFS('Grid Data'!$P$4:$P$2342,'Grid Data'!$N$4:$N$2342,$D79,'Grid Data'!$O$4:$O$2342,G$4,'Grid Data'!$M$4:$M$2342,$D$2)</f>
        <v>861</v>
      </c>
      <c r="H79" s="2">
        <f>SUMIFS('Grid Data'!$P$4:$P$2342,'Grid Data'!$N$4:$N$2342,$D79,'Grid Data'!$O$4:$O$2342,H$4,'Grid Data'!$M$4:$M$2342,$D$2)</f>
        <v>796</v>
      </c>
      <c r="I79" s="2">
        <f>SUMIFS('Grid Data'!$P$4:$P$2342,'Grid Data'!$N$4:$N$2342,$D79,'Grid Data'!$O$4:$O$2342,I$4,'Grid Data'!$M$4:$M$2342,$D$2)</f>
        <v>788</v>
      </c>
      <c r="J79" s="2">
        <f>SUMIFS('Grid Data'!$P$4:$P$2342,'Grid Data'!$N$4:$N$2342,$D79,'Grid Data'!$O$4:$O$2342,J$4,'Grid Data'!$M$4:$M$2342,$D$2)</f>
        <v>1047</v>
      </c>
      <c r="K79" s="2">
        <f>SUMIFS('Grid Data'!$P$4:$P$2342,'Grid Data'!$N$4:$N$2342,$D79,'Grid Data'!$O$4:$O$2342,K$4,'Grid Data'!$M$4:$M$2342,$D$2)</f>
        <v>1617</v>
      </c>
      <c r="L79" s="2">
        <f>SUMIFS('Grid Data'!$P$4:$P$2342,'Grid Data'!$N$4:$N$2342,$D79,'Grid Data'!$O$4:$O$2342,L$4,'Grid Data'!$M$4:$M$2342,$D$2)</f>
        <v>1366</v>
      </c>
      <c r="M79" s="2">
        <f>SUMIFS('Grid Data'!$P$4:$P$2342,'Grid Data'!$N$4:$N$2342,$D79,'Grid Data'!$O$4:$O$2342,M$4,'Grid Data'!$M$4:$M$2342,$D$2)</f>
        <v>1524</v>
      </c>
      <c r="N79" s="2">
        <f>SUMIFS('Grid Data'!$P$4:$P$2342,'Grid Data'!$N$4:$N$2342,$D79,'Grid Data'!$O$4:$O$2342,N$4,'Grid Data'!$M$4:$M$2342,$D$2)</f>
        <v>2356</v>
      </c>
      <c r="O79" s="2">
        <f>SUMIFS('Grid Data'!$P$4:$P$2342,'Grid Data'!$N$4:$N$2342,$D79,'Grid Data'!$O$4:$O$2342,O$4,'Grid Data'!$M$4:$M$2342,$D$2)</f>
        <v>1201</v>
      </c>
      <c r="P79" s="2">
        <f>SUMIFS('Grid Data'!$P$4:$P$2342,'Grid Data'!$N$4:$N$2342,$D79,'Grid Data'!$O$4:$O$2342,P$4,'Grid Data'!$M$4:$M$2342,$D$2)</f>
        <v>2106</v>
      </c>
      <c r="Q79" s="2">
        <f>SUMIFS('Grid Data'!$P$4:$P$2342,'Grid Data'!$N$4:$N$2342,$D79,'Grid Data'!$O$4:$O$2342,Q$4,'Grid Data'!$M$4:$M$2342,$D$2)</f>
        <v>2114</v>
      </c>
      <c r="R79" s="2">
        <f>SUMIFS('Grid Data'!$P$4:$P$2342,'Grid Data'!$N$4:$N$2342,$D79,'Grid Data'!$O$4:$O$2342,R$4,'Grid Data'!$M$4:$M$2342,$D$2)</f>
        <v>3343</v>
      </c>
      <c r="S79" s="2">
        <f>SUMIFS('Grid Data'!$P$4:$P$2342,'Grid Data'!$N$4:$N$2342,$D79,'Grid Data'!$O$4:$O$2342,S$4,'Grid Data'!$M$4:$M$2342,$D$2)</f>
        <v>14318</v>
      </c>
      <c r="T79" s="2">
        <f>SUMIFS('Grid Data'!$P$4:$P$2342,'Grid Data'!$N$4:$N$2342,$D79,'Grid Data'!$O$4:$O$2342,T$4,'Grid Data'!$M$4:$M$2342,$D$2)</f>
        <v>47010</v>
      </c>
      <c r="U79" s="2">
        <f>SUMIFS('Grid Data'!$P$4:$P$2342,'Grid Data'!$N$4:$N$2342,$D79,'Grid Data'!$O$4:$O$2342,U$4,'Grid Data'!$M$4:$M$2342,$D$2)</f>
        <v>4658</v>
      </c>
      <c r="V79" s="2">
        <f>SUMIFS('Grid Data'!$P$4:$P$2342,'Grid Data'!$N$4:$N$2342,$D79,'Grid Data'!$O$4:$O$2342,V$4,'Grid Data'!$M$4:$M$2342,$D$2)</f>
        <v>1605</v>
      </c>
      <c r="W79" s="2">
        <f>SUMIFS('Grid Data'!$P$4:$P$2342,'Grid Data'!$N$4:$N$2342,$D79,'Grid Data'!$O$4:$O$2342,W$4,'Grid Data'!$M$4:$M$2342,$D$2)</f>
        <v>5993</v>
      </c>
      <c r="X79" s="2">
        <f>SUMIFS('Grid Data'!$P$4:$P$2342,'Grid Data'!$N$4:$N$2342,$D79,'Grid Data'!$O$4:$O$2342,X$4,'Grid Data'!$M$4:$M$2342,$D$2)</f>
        <v>36663</v>
      </c>
      <c r="Y79" s="2">
        <f>SUMIFS('Grid Data'!$P$4:$P$2342,'Grid Data'!$N$4:$N$2342,$D79,'Grid Data'!$O$4:$O$2342,Y$4,'Grid Data'!$M$4:$M$2342,$D$2)</f>
        <v>42006</v>
      </c>
      <c r="Z79" s="2">
        <f>SUMIFS('Grid Data'!$P$4:$P$2342,'Grid Data'!$N$4:$N$2342,$D79,'Grid Data'!$O$4:$O$2342,Z$4,'Grid Data'!$M$4:$M$2342,$D$2)</f>
        <v>21558</v>
      </c>
      <c r="AA79" s="2">
        <f>SUMIFS('Grid Data'!$P$4:$P$2342,'Grid Data'!$N$4:$N$2342,$D79,'Grid Data'!$O$4:$O$2342,AA$4,'Grid Data'!$M$4:$M$2342,$D$2)</f>
        <v>7743</v>
      </c>
      <c r="AB79" s="2">
        <f>SUMIFS('Grid Data'!$P$4:$P$2342,'Grid Data'!$N$4:$N$2342,$D79,'Grid Data'!$O$4:$O$2342,AB$4,'Grid Data'!$M$4:$M$2342,$D$2)</f>
        <v>26145</v>
      </c>
      <c r="AC79" s="2">
        <f>SUMIFS('Grid Data'!$P$4:$P$2342,'Grid Data'!$N$4:$N$2342,$D79,'Grid Data'!$O$4:$O$2342,AC$4,'Grid Data'!$M$4:$M$2342,$D$2)</f>
        <v>15580</v>
      </c>
      <c r="AD79" s="2">
        <f>SUMIFS('Grid Data'!$P$4:$P$2342,'Grid Data'!$N$4:$N$2342,$D79,'Grid Data'!$O$4:$O$2342,AD$4,'Grid Data'!$M$4:$M$2342,$D$2)</f>
        <v>48273</v>
      </c>
      <c r="AE79" s="2">
        <f>SUMIFS('Grid Data'!$P$4:$P$2342,'Grid Data'!$N$4:$N$2342,$D79,'Grid Data'!$O$4:$O$2342,AE$4,'Grid Data'!$M$4:$M$2342,$D$2)</f>
        <v>6297</v>
      </c>
      <c r="AF79" s="2">
        <f>SUMIFS('Grid Data'!$P$4:$P$2342,'Grid Data'!$N$4:$N$2342,$D79,'Grid Data'!$O$4:$O$2342,AF$4,'Grid Data'!$M$4:$M$2342,$D$2)</f>
        <v>34</v>
      </c>
      <c r="AG79" s="2">
        <f>SUMIFS('Grid Data'!$P$4:$P$2342,'Grid Data'!$N$4:$N$2342,$D79,'Grid Data'!$O$4:$O$2342,AG$4,'Grid Data'!$M$4:$M$2342,$D$2)</f>
        <v>286</v>
      </c>
      <c r="AH79" s="2">
        <f>SUMIFS('Grid Data'!$P$4:$P$2342,'Grid Data'!$N$4:$N$2342,$D79,'Grid Data'!$O$4:$O$2342,AH$4,'Grid Data'!$M$4:$M$2342,$D$2)</f>
        <v>4</v>
      </c>
    </row>
    <row r="80" spans="3:34" x14ac:dyDescent="0.35">
      <c r="D80">
        <v>5000</v>
      </c>
      <c r="E80" s="2">
        <f>SUMIFS('Grid Data'!$P$4:$P$2342,'Grid Data'!$N$4:$N$2342,$D80,'Grid Data'!$O$4:$O$2342,E$4,'Grid Data'!$M$4:$M$2342,$D$2)</f>
        <v>17226</v>
      </c>
      <c r="F80" s="2">
        <f>SUMIFS('Grid Data'!$P$4:$P$2342,'Grid Data'!$N$4:$N$2342,$D80,'Grid Data'!$O$4:$O$2342,F$4,'Grid Data'!$M$4:$M$2342,$D$2)</f>
        <v>2428</v>
      </c>
      <c r="G80" s="2">
        <f>SUMIFS('Grid Data'!$P$4:$P$2342,'Grid Data'!$N$4:$N$2342,$D80,'Grid Data'!$O$4:$O$2342,G$4,'Grid Data'!$M$4:$M$2342,$D$2)</f>
        <v>2091</v>
      </c>
      <c r="H80" s="2">
        <f>SUMIFS('Grid Data'!$P$4:$P$2342,'Grid Data'!$N$4:$N$2342,$D80,'Grid Data'!$O$4:$O$2342,H$4,'Grid Data'!$M$4:$M$2342,$D$2)</f>
        <v>2248</v>
      </c>
      <c r="I80" s="2">
        <f>SUMIFS('Grid Data'!$P$4:$P$2342,'Grid Data'!$N$4:$N$2342,$D80,'Grid Data'!$O$4:$O$2342,I$4,'Grid Data'!$M$4:$M$2342,$D$2)</f>
        <v>2739</v>
      </c>
      <c r="J80" s="2">
        <f>SUMIFS('Grid Data'!$P$4:$P$2342,'Grid Data'!$N$4:$N$2342,$D80,'Grid Data'!$O$4:$O$2342,J$4,'Grid Data'!$M$4:$M$2342,$D$2)</f>
        <v>2780</v>
      </c>
      <c r="K80" s="2">
        <f>SUMIFS('Grid Data'!$P$4:$P$2342,'Grid Data'!$N$4:$N$2342,$D80,'Grid Data'!$O$4:$O$2342,K$4,'Grid Data'!$M$4:$M$2342,$D$2)</f>
        <v>5292</v>
      </c>
      <c r="L80" s="2">
        <f>SUMIFS('Grid Data'!$P$4:$P$2342,'Grid Data'!$N$4:$N$2342,$D80,'Grid Data'!$O$4:$O$2342,L$4,'Grid Data'!$M$4:$M$2342,$D$2)</f>
        <v>3484</v>
      </c>
      <c r="M80" s="2">
        <f>SUMIFS('Grid Data'!$P$4:$P$2342,'Grid Data'!$N$4:$N$2342,$D80,'Grid Data'!$O$4:$O$2342,M$4,'Grid Data'!$M$4:$M$2342,$D$2)</f>
        <v>5179</v>
      </c>
      <c r="N80" s="2">
        <f>SUMIFS('Grid Data'!$P$4:$P$2342,'Grid Data'!$N$4:$N$2342,$D80,'Grid Data'!$O$4:$O$2342,N$4,'Grid Data'!$M$4:$M$2342,$D$2)</f>
        <v>6974</v>
      </c>
      <c r="O80" s="2">
        <f>SUMIFS('Grid Data'!$P$4:$P$2342,'Grid Data'!$N$4:$N$2342,$D80,'Grid Data'!$O$4:$O$2342,O$4,'Grid Data'!$M$4:$M$2342,$D$2)</f>
        <v>4550</v>
      </c>
      <c r="P80" s="2">
        <f>SUMIFS('Grid Data'!$P$4:$P$2342,'Grid Data'!$N$4:$N$2342,$D80,'Grid Data'!$O$4:$O$2342,P$4,'Grid Data'!$M$4:$M$2342,$D$2)</f>
        <v>8813</v>
      </c>
      <c r="Q80" s="2">
        <f>SUMIFS('Grid Data'!$P$4:$P$2342,'Grid Data'!$N$4:$N$2342,$D80,'Grid Data'!$O$4:$O$2342,Q$4,'Grid Data'!$M$4:$M$2342,$D$2)</f>
        <v>7742</v>
      </c>
      <c r="R80" s="2">
        <f>SUMIFS('Grid Data'!$P$4:$P$2342,'Grid Data'!$N$4:$N$2342,$D80,'Grid Data'!$O$4:$O$2342,R$4,'Grid Data'!$M$4:$M$2342,$D$2)</f>
        <v>10153</v>
      </c>
      <c r="S80" s="2">
        <f>SUMIFS('Grid Data'!$P$4:$P$2342,'Grid Data'!$N$4:$N$2342,$D80,'Grid Data'!$O$4:$O$2342,S$4,'Grid Data'!$M$4:$M$2342,$D$2)</f>
        <v>10476</v>
      </c>
      <c r="T80" s="2">
        <f>SUMIFS('Grid Data'!$P$4:$P$2342,'Grid Data'!$N$4:$N$2342,$D80,'Grid Data'!$O$4:$O$2342,T$4,'Grid Data'!$M$4:$M$2342,$D$2)</f>
        <v>35125</v>
      </c>
      <c r="U80" s="2">
        <f>SUMIFS('Grid Data'!$P$4:$P$2342,'Grid Data'!$N$4:$N$2342,$D80,'Grid Data'!$O$4:$O$2342,U$4,'Grid Data'!$M$4:$M$2342,$D$2)</f>
        <v>542</v>
      </c>
      <c r="V80" s="2">
        <f>SUMIFS('Grid Data'!$P$4:$P$2342,'Grid Data'!$N$4:$N$2342,$D80,'Grid Data'!$O$4:$O$2342,V$4,'Grid Data'!$M$4:$M$2342,$D$2)</f>
        <v>240</v>
      </c>
      <c r="W80" s="2">
        <f>SUMIFS('Grid Data'!$P$4:$P$2342,'Grid Data'!$N$4:$N$2342,$D80,'Grid Data'!$O$4:$O$2342,W$4,'Grid Data'!$M$4:$M$2342,$D$2)</f>
        <v>1727</v>
      </c>
      <c r="X80" s="2">
        <f>SUMIFS('Grid Data'!$P$4:$P$2342,'Grid Data'!$N$4:$N$2342,$D80,'Grid Data'!$O$4:$O$2342,X$4,'Grid Data'!$M$4:$M$2342,$D$2)</f>
        <v>12862</v>
      </c>
      <c r="Y80" s="2">
        <f>SUMIFS('Grid Data'!$P$4:$P$2342,'Grid Data'!$N$4:$N$2342,$D80,'Grid Data'!$O$4:$O$2342,Y$4,'Grid Data'!$M$4:$M$2342,$D$2)</f>
        <v>39354</v>
      </c>
      <c r="Z80" s="2">
        <f>SUMIFS('Grid Data'!$P$4:$P$2342,'Grid Data'!$N$4:$N$2342,$D80,'Grid Data'!$O$4:$O$2342,Z$4,'Grid Data'!$M$4:$M$2342,$D$2)</f>
        <v>11620</v>
      </c>
      <c r="AA80" s="2">
        <f>SUMIFS('Grid Data'!$P$4:$P$2342,'Grid Data'!$N$4:$N$2342,$D80,'Grid Data'!$O$4:$O$2342,AA$4,'Grid Data'!$M$4:$M$2342,$D$2)</f>
        <v>2937</v>
      </c>
      <c r="AB80" s="2">
        <f>SUMIFS('Grid Data'!$P$4:$P$2342,'Grid Data'!$N$4:$N$2342,$D80,'Grid Data'!$O$4:$O$2342,AB$4,'Grid Data'!$M$4:$M$2342,$D$2)</f>
        <v>8352</v>
      </c>
      <c r="AC80" s="2">
        <f>SUMIFS('Grid Data'!$P$4:$P$2342,'Grid Data'!$N$4:$N$2342,$D80,'Grid Data'!$O$4:$O$2342,AC$4,'Grid Data'!$M$4:$M$2342,$D$2)</f>
        <v>5422</v>
      </c>
      <c r="AD80" s="2">
        <f>SUMIFS('Grid Data'!$P$4:$P$2342,'Grid Data'!$N$4:$N$2342,$D80,'Grid Data'!$O$4:$O$2342,AD$4,'Grid Data'!$M$4:$M$2342,$D$2)</f>
        <v>51232</v>
      </c>
      <c r="AE80" s="2">
        <f>SUMIFS('Grid Data'!$P$4:$P$2342,'Grid Data'!$N$4:$N$2342,$D80,'Grid Data'!$O$4:$O$2342,AE$4,'Grid Data'!$M$4:$M$2342,$D$2)</f>
        <v>53898</v>
      </c>
      <c r="AF80" s="2">
        <f>SUMIFS('Grid Data'!$P$4:$P$2342,'Grid Data'!$N$4:$N$2342,$D80,'Grid Data'!$O$4:$O$2342,AF$4,'Grid Data'!$M$4:$M$2342,$D$2)</f>
        <v>249</v>
      </c>
      <c r="AG80" s="2">
        <f>SUMIFS('Grid Data'!$P$4:$P$2342,'Grid Data'!$N$4:$N$2342,$D80,'Grid Data'!$O$4:$O$2342,AG$4,'Grid Data'!$M$4:$M$2342,$D$2)</f>
        <v>2281</v>
      </c>
      <c r="AH80" s="2">
        <f>SUMIFS('Grid Data'!$P$4:$P$2342,'Grid Data'!$N$4:$N$2342,$D80,'Grid Data'!$O$4:$O$2342,AH$4,'Grid Data'!$M$4:$M$2342,$D$2)</f>
        <v>63</v>
      </c>
    </row>
    <row r="81" spans="4:34" x14ac:dyDescent="0.35">
      <c r="D81">
        <v>5250</v>
      </c>
      <c r="E81" s="2">
        <f>SUMIFS('Grid Data'!$P$4:$P$2342,'Grid Data'!$N$4:$N$2342,$D81,'Grid Data'!$O$4:$O$2342,E$4,'Grid Data'!$M$4:$M$2342,$D$2)</f>
        <v>19079</v>
      </c>
      <c r="F81" s="2">
        <f>SUMIFS('Grid Data'!$P$4:$P$2342,'Grid Data'!$N$4:$N$2342,$D81,'Grid Data'!$O$4:$O$2342,F$4,'Grid Data'!$M$4:$M$2342,$D$2)</f>
        <v>1440</v>
      </c>
      <c r="G81" s="2">
        <f>SUMIFS('Grid Data'!$P$4:$P$2342,'Grid Data'!$N$4:$N$2342,$D81,'Grid Data'!$O$4:$O$2342,G$4,'Grid Data'!$M$4:$M$2342,$D$2)</f>
        <v>681</v>
      </c>
      <c r="H81" s="2">
        <f>SUMIFS('Grid Data'!$P$4:$P$2342,'Grid Data'!$N$4:$N$2342,$D81,'Grid Data'!$O$4:$O$2342,H$4,'Grid Data'!$M$4:$M$2342,$D$2)</f>
        <v>618</v>
      </c>
      <c r="I81" s="2">
        <f>SUMIFS('Grid Data'!$P$4:$P$2342,'Grid Data'!$N$4:$N$2342,$D81,'Grid Data'!$O$4:$O$2342,I$4,'Grid Data'!$M$4:$M$2342,$D$2)</f>
        <v>642</v>
      </c>
      <c r="J81" s="2">
        <f>SUMIFS('Grid Data'!$P$4:$P$2342,'Grid Data'!$N$4:$N$2342,$D81,'Grid Data'!$O$4:$O$2342,J$4,'Grid Data'!$M$4:$M$2342,$D$2)</f>
        <v>982</v>
      </c>
      <c r="K81" s="2">
        <f>SUMIFS('Grid Data'!$P$4:$P$2342,'Grid Data'!$N$4:$N$2342,$D81,'Grid Data'!$O$4:$O$2342,K$4,'Grid Data'!$M$4:$M$2342,$D$2)</f>
        <v>2540</v>
      </c>
      <c r="L81" s="2">
        <f>SUMIFS('Grid Data'!$P$4:$P$2342,'Grid Data'!$N$4:$N$2342,$D81,'Grid Data'!$O$4:$O$2342,L$4,'Grid Data'!$M$4:$M$2342,$D$2)</f>
        <v>1570</v>
      </c>
      <c r="M81" s="2">
        <f>SUMIFS('Grid Data'!$P$4:$P$2342,'Grid Data'!$N$4:$N$2342,$D81,'Grid Data'!$O$4:$O$2342,M$4,'Grid Data'!$M$4:$M$2342,$D$2)</f>
        <v>4443</v>
      </c>
      <c r="N81" s="2">
        <f>SUMIFS('Grid Data'!$P$4:$P$2342,'Grid Data'!$N$4:$N$2342,$D81,'Grid Data'!$O$4:$O$2342,N$4,'Grid Data'!$M$4:$M$2342,$D$2)</f>
        <v>11119</v>
      </c>
      <c r="O81" s="2">
        <f>SUMIFS('Grid Data'!$P$4:$P$2342,'Grid Data'!$N$4:$N$2342,$D81,'Grid Data'!$O$4:$O$2342,O$4,'Grid Data'!$M$4:$M$2342,$D$2)</f>
        <v>2338</v>
      </c>
      <c r="P81" s="2">
        <f>SUMIFS('Grid Data'!$P$4:$P$2342,'Grid Data'!$N$4:$N$2342,$D81,'Grid Data'!$O$4:$O$2342,P$4,'Grid Data'!$M$4:$M$2342,$D$2)</f>
        <v>3700</v>
      </c>
      <c r="Q81" s="2">
        <f>SUMIFS('Grid Data'!$P$4:$P$2342,'Grid Data'!$N$4:$N$2342,$D81,'Grid Data'!$O$4:$O$2342,Q$4,'Grid Data'!$M$4:$M$2342,$D$2)</f>
        <v>3938</v>
      </c>
      <c r="R81" s="2">
        <f>SUMIFS('Grid Data'!$P$4:$P$2342,'Grid Data'!$N$4:$N$2342,$D81,'Grid Data'!$O$4:$O$2342,R$4,'Grid Data'!$M$4:$M$2342,$D$2)</f>
        <v>13521</v>
      </c>
      <c r="S81" s="2">
        <f>SUMIFS('Grid Data'!$P$4:$P$2342,'Grid Data'!$N$4:$N$2342,$D81,'Grid Data'!$O$4:$O$2342,S$4,'Grid Data'!$M$4:$M$2342,$D$2)</f>
        <v>21705</v>
      </c>
      <c r="T81" s="2">
        <f>SUMIFS('Grid Data'!$P$4:$P$2342,'Grid Data'!$N$4:$N$2342,$D81,'Grid Data'!$O$4:$O$2342,T$4,'Grid Data'!$M$4:$M$2342,$D$2)</f>
        <v>59161</v>
      </c>
      <c r="U81" s="2">
        <f>SUMIFS('Grid Data'!$P$4:$P$2342,'Grid Data'!$N$4:$N$2342,$D81,'Grid Data'!$O$4:$O$2342,U$4,'Grid Data'!$M$4:$M$2342,$D$2)</f>
        <v>1005</v>
      </c>
      <c r="V81" s="2">
        <f>SUMIFS('Grid Data'!$P$4:$P$2342,'Grid Data'!$N$4:$N$2342,$D81,'Grid Data'!$O$4:$O$2342,V$4,'Grid Data'!$M$4:$M$2342,$D$2)</f>
        <v>387</v>
      </c>
      <c r="W81" s="2">
        <f>SUMIFS('Grid Data'!$P$4:$P$2342,'Grid Data'!$N$4:$N$2342,$D81,'Grid Data'!$O$4:$O$2342,W$4,'Grid Data'!$M$4:$M$2342,$D$2)</f>
        <v>1339</v>
      </c>
      <c r="X81" s="2">
        <f>SUMIFS('Grid Data'!$P$4:$P$2342,'Grid Data'!$N$4:$N$2342,$D81,'Grid Data'!$O$4:$O$2342,X$4,'Grid Data'!$M$4:$M$2342,$D$2)</f>
        <v>13641</v>
      </c>
      <c r="Y81" s="2">
        <f>SUMIFS('Grid Data'!$P$4:$P$2342,'Grid Data'!$N$4:$N$2342,$D81,'Grid Data'!$O$4:$O$2342,Y$4,'Grid Data'!$M$4:$M$2342,$D$2)</f>
        <v>26059</v>
      </c>
      <c r="Z81" s="2">
        <f>SUMIFS('Grid Data'!$P$4:$P$2342,'Grid Data'!$N$4:$N$2342,$D81,'Grid Data'!$O$4:$O$2342,Z$4,'Grid Data'!$M$4:$M$2342,$D$2)</f>
        <v>5262</v>
      </c>
      <c r="AA81" s="2">
        <f>SUMIFS('Grid Data'!$P$4:$P$2342,'Grid Data'!$N$4:$N$2342,$D81,'Grid Data'!$O$4:$O$2342,AA$4,'Grid Data'!$M$4:$M$2342,$D$2)</f>
        <v>671</v>
      </c>
      <c r="AB81" s="2">
        <f>SUMIFS('Grid Data'!$P$4:$P$2342,'Grid Data'!$N$4:$N$2342,$D81,'Grid Data'!$O$4:$O$2342,AB$4,'Grid Data'!$M$4:$M$2342,$D$2)</f>
        <v>1887</v>
      </c>
      <c r="AC81" s="2">
        <f>SUMIFS('Grid Data'!$P$4:$P$2342,'Grid Data'!$N$4:$N$2342,$D81,'Grid Data'!$O$4:$O$2342,AC$4,'Grid Data'!$M$4:$M$2342,$D$2)</f>
        <v>1711</v>
      </c>
      <c r="AD81" s="2">
        <f>SUMIFS('Grid Data'!$P$4:$P$2342,'Grid Data'!$N$4:$N$2342,$D81,'Grid Data'!$O$4:$O$2342,AD$4,'Grid Data'!$M$4:$M$2342,$D$2)</f>
        <v>27060</v>
      </c>
      <c r="AE81" s="2">
        <f>SUMIFS('Grid Data'!$P$4:$P$2342,'Grid Data'!$N$4:$N$2342,$D81,'Grid Data'!$O$4:$O$2342,AE$4,'Grid Data'!$M$4:$M$2342,$D$2)</f>
        <v>23744</v>
      </c>
      <c r="AF81" s="2">
        <f>SUMIFS('Grid Data'!$P$4:$P$2342,'Grid Data'!$N$4:$N$2342,$D81,'Grid Data'!$O$4:$O$2342,AF$4,'Grid Data'!$M$4:$M$2342,$D$2)</f>
        <v>261</v>
      </c>
      <c r="AG81" s="2">
        <f>SUMIFS('Grid Data'!$P$4:$P$2342,'Grid Data'!$N$4:$N$2342,$D81,'Grid Data'!$O$4:$O$2342,AG$4,'Grid Data'!$M$4:$M$2342,$D$2)</f>
        <v>2003</v>
      </c>
      <c r="AH81" s="2">
        <f>SUMIFS('Grid Data'!$P$4:$P$2342,'Grid Data'!$N$4:$N$2342,$D81,'Grid Data'!$O$4:$O$2342,AH$4,'Grid Data'!$M$4:$M$2342,$D$2)</f>
        <v>6</v>
      </c>
    </row>
    <row r="82" spans="4:34" x14ac:dyDescent="0.35">
      <c r="D82">
        <v>5500</v>
      </c>
      <c r="E82" s="2">
        <f>SUMIFS('Grid Data'!$P$4:$P$2342,'Grid Data'!$N$4:$N$2342,$D82,'Grid Data'!$O$4:$O$2342,E$4,'Grid Data'!$M$4:$M$2342,$D$2)</f>
        <v>36449</v>
      </c>
      <c r="F82" s="2">
        <f>SUMIFS('Grid Data'!$P$4:$P$2342,'Grid Data'!$N$4:$N$2342,$D82,'Grid Data'!$O$4:$O$2342,F$4,'Grid Data'!$M$4:$M$2342,$D$2)</f>
        <v>2933</v>
      </c>
      <c r="G82" s="2">
        <f>SUMIFS('Grid Data'!$P$4:$P$2342,'Grid Data'!$N$4:$N$2342,$D82,'Grid Data'!$O$4:$O$2342,G$4,'Grid Data'!$M$4:$M$2342,$D$2)</f>
        <v>1589</v>
      </c>
      <c r="H82" s="2">
        <f>SUMIFS('Grid Data'!$P$4:$P$2342,'Grid Data'!$N$4:$N$2342,$D82,'Grid Data'!$O$4:$O$2342,H$4,'Grid Data'!$M$4:$M$2342,$D$2)</f>
        <v>1353</v>
      </c>
      <c r="I82" s="2">
        <f>SUMIFS('Grid Data'!$P$4:$P$2342,'Grid Data'!$N$4:$N$2342,$D82,'Grid Data'!$O$4:$O$2342,I$4,'Grid Data'!$M$4:$M$2342,$D$2)</f>
        <v>1287</v>
      </c>
      <c r="J82" s="2">
        <f>SUMIFS('Grid Data'!$P$4:$P$2342,'Grid Data'!$N$4:$N$2342,$D82,'Grid Data'!$O$4:$O$2342,J$4,'Grid Data'!$M$4:$M$2342,$D$2)</f>
        <v>2045</v>
      </c>
      <c r="K82" s="2">
        <f>SUMIFS('Grid Data'!$P$4:$P$2342,'Grid Data'!$N$4:$N$2342,$D82,'Grid Data'!$O$4:$O$2342,K$4,'Grid Data'!$M$4:$M$2342,$D$2)</f>
        <v>5499</v>
      </c>
      <c r="L82" s="2">
        <f>SUMIFS('Grid Data'!$P$4:$P$2342,'Grid Data'!$N$4:$N$2342,$D82,'Grid Data'!$O$4:$O$2342,L$4,'Grid Data'!$M$4:$M$2342,$D$2)</f>
        <v>2628</v>
      </c>
      <c r="M82" s="2">
        <f>SUMIFS('Grid Data'!$P$4:$P$2342,'Grid Data'!$N$4:$N$2342,$D82,'Grid Data'!$O$4:$O$2342,M$4,'Grid Data'!$M$4:$M$2342,$D$2)</f>
        <v>4794</v>
      </c>
      <c r="N82" s="2">
        <f>SUMIFS('Grid Data'!$P$4:$P$2342,'Grid Data'!$N$4:$N$2342,$D82,'Grid Data'!$O$4:$O$2342,N$4,'Grid Data'!$M$4:$M$2342,$D$2)</f>
        <v>8572</v>
      </c>
      <c r="O82" s="2">
        <f>SUMIFS('Grid Data'!$P$4:$P$2342,'Grid Data'!$N$4:$N$2342,$D82,'Grid Data'!$O$4:$O$2342,O$4,'Grid Data'!$M$4:$M$2342,$D$2)</f>
        <v>4496</v>
      </c>
      <c r="P82" s="2">
        <f>SUMIFS('Grid Data'!$P$4:$P$2342,'Grid Data'!$N$4:$N$2342,$D82,'Grid Data'!$O$4:$O$2342,P$4,'Grid Data'!$M$4:$M$2342,$D$2)</f>
        <v>7840</v>
      </c>
      <c r="Q82" s="2">
        <f>SUMIFS('Grid Data'!$P$4:$P$2342,'Grid Data'!$N$4:$N$2342,$D82,'Grid Data'!$O$4:$O$2342,Q$4,'Grid Data'!$M$4:$M$2342,$D$2)</f>
        <v>8959</v>
      </c>
      <c r="R82" s="2">
        <f>SUMIFS('Grid Data'!$P$4:$P$2342,'Grid Data'!$N$4:$N$2342,$D82,'Grid Data'!$O$4:$O$2342,R$4,'Grid Data'!$M$4:$M$2342,$D$2)</f>
        <v>17564</v>
      </c>
      <c r="S82" s="2">
        <f>SUMIFS('Grid Data'!$P$4:$P$2342,'Grid Data'!$N$4:$N$2342,$D82,'Grid Data'!$O$4:$O$2342,S$4,'Grid Data'!$M$4:$M$2342,$D$2)</f>
        <v>18475</v>
      </c>
      <c r="T82" s="2">
        <f>SUMIFS('Grid Data'!$P$4:$P$2342,'Grid Data'!$N$4:$N$2342,$D82,'Grid Data'!$O$4:$O$2342,T$4,'Grid Data'!$M$4:$M$2342,$D$2)</f>
        <v>21905</v>
      </c>
      <c r="U82" s="2">
        <f>SUMIFS('Grid Data'!$P$4:$P$2342,'Grid Data'!$N$4:$N$2342,$D82,'Grid Data'!$O$4:$O$2342,U$4,'Grid Data'!$M$4:$M$2342,$D$2)</f>
        <v>103</v>
      </c>
      <c r="V82" s="2">
        <f>SUMIFS('Grid Data'!$P$4:$P$2342,'Grid Data'!$N$4:$N$2342,$D82,'Grid Data'!$O$4:$O$2342,V$4,'Grid Data'!$M$4:$M$2342,$D$2)</f>
        <v>11</v>
      </c>
      <c r="W82" s="2">
        <f>SUMIFS('Grid Data'!$P$4:$P$2342,'Grid Data'!$N$4:$N$2342,$D82,'Grid Data'!$O$4:$O$2342,W$4,'Grid Data'!$M$4:$M$2342,$D$2)</f>
        <v>187</v>
      </c>
      <c r="X82" s="2">
        <f>SUMIFS('Grid Data'!$P$4:$P$2342,'Grid Data'!$N$4:$N$2342,$D82,'Grid Data'!$O$4:$O$2342,X$4,'Grid Data'!$M$4:$M$2342,$D$2)</f>
        <v>3722</v>
      </c>
      <c r="Y82" s="2">
        <f>SUMIFS('Grid Data'!$P$4:$P$2342,'Grid Data'!$N$4:$N$2342,$D82,'Grid Data'!$O$4:$O$2342,Y$4,'Grid Data'!$M$4:$M$2342,$D$2)</f>
        <v>15605</v>
      </c>
      <c r="Z82" s="2">
        <f>SUMIFS('Grid Data'!$P$4:$P$2342,'Grid Data'!$N$4:$N$2342,$D82,'Grid Data'!$O$4:$O$2342,Z$4,'Grid Data'!$M$4:$M$2342,$D$2)</f>
        <v>1985</v>
      </c>
      <c r="AA82" s="2">
        <f>SUMIFS('Grid Data'!$P$4:$P$2342,'Grid Data'!$N$4:$N$2342,$D82,'Grid Data'!$O$4:$O$2342,AA$4,'Grid Data'!$M$4:$M$2342,$D$2)</f>
        <v>140</v>
      </c>
      <c r="AB82" s="2">
        <f>SUMIFS('Grid Data'!$P$4:$P$2342,'Grid Data'!$N$4:$N$2342,$D82,'Grid Data'!$O$4:$O$2342,AB$4,'Grid Data'!$M$4:$M$2342,$D$2)</f>
        <v>605</v>
      </c>
      <c r="AC82" s="2">
        <f>SUMIFS('Grid Data'!$P$4:$P$2342,'Grid Data'!$N$4:$N$2342,$D82,'Grid Data'!$O$4:$O$2342,AC$4,'Grid Data'!$M$4:$M$2342,$D$2)</f>
        <v>499</v>
      </c>
      <c r="AD82" s="2">
        <f>SUMIFS('Grid Data'!$P$4:$P$2342,'Grid Data'!$N$4:$N$2342,$D82,'Grid Data'!$O$4:$O$2342,AD$4,'Grid Data'!$M$4:$M$2342,$D$2)</f>
        <v>14025</v>
      </c>
      <c r="AE82" s="2">
        <f>SUMIFS('Grid Data'!$P$4:$P$2342,'Grid Data'!$N$4:$N$2342,$D82,'Grid Data'!$O$4:$O$2342,AE$4,'Grid Data'!$M$4:$M$2342,$D$2)</f>
        <v>51675</v>
      </c>
      <c r="AF82" s="2">
        <f>SUMIFS('Grid Data'!$P$4:$P$2342,'Grid Data'!$N$4:$N$2342,$D82,'Grid Data'!$O$4:$O$2342,AF$4,'Grid Data'!$M$4:$M$2342,$D$2)</f>
        <v>1676</v>
      </c>
      <c r="AG82" s="2">
        <f>SUMIFS('Grid Data'!$P$4:$P$2342,'Grid Data'!$N$4:$N$2342,$D82,'Grid Data'!$O$4:$O$2342,AG$4,'Grid Data'!$M$4:$M$2342,$D$2)</f>
        <v>16058</v>
      </c>
      <c r="AH82" s="2">
        <f>SUMIFS('Grid Data'!$P$4:$P$2342,'Grid Data'!$N$4:$N$2342,$D82,'Grid Data'!$O$4:$O$2342,AH$4,'Grid Data'!$M$4:$M$2342,$D$2)</f>
        <v>52</v>
      </c>
    </row>
    <row r="83" spans="4:34" x14ac:dyDescent="0.35">
      <c r="D83">
        <v>5750</v>
      </c>
      <c r="E83" s="2">
        <f>SUMIFS('Grid Data'!$P$4:$P$2342,'Grid Data'!$N$4:$N$2342,$D83,'Grid Data'!$O$4:$O$2342,E$4,'Grid Data'!$M$4:$M$2342,$D$2)</f>
        <v>100231</v>
      </c>
      <c r="F83" s="2">
        <f>SUMIFS('Grid Data'!$P$4:$P$2342,'Grid Data'!$N$4:$N$2342,$D83,'Grid Data'!$O$4:$O$2342,F$4,'Grid Data'!$M$4:$M$2342,$D$2)</f>
        <v>7642</v>
      </c>
      <c r="G83" s="2">
        <f>SUMIFS('Grid Data'!$P$4:$P$2342,'Grid Data'!$N$4:$N$2342,$D83,'Grid Data'!$O$4:$O$2342,G$4,'Grid Data'!$M$4:$M$2342,$D$2)</f>
        <v>3680</v>
      </c>
      <c r="H83" s="2">
        <f>SUMIFS('Grid Data'!$P$4:$P$2342,'Grid Data'!$N$4:$N$2342,$D83,'Grid Data'!$O$4:$O$2342,H$4,'Grid Data'!$M$4:$M$2342,$D$2)</f>
        <v>2923</v>
      </c>
      <c r="I83" s="2">
        <f>SUMIFS('Grid Data'!$P$4:$P$2342,'Grid Data'!$N$4:$N$2342,$D83,'Grid Data'!$O$4:$O$2342,I$4,'Grid Data'!$M$4:$M$2342,$D$2)</f>
        <v>2823</v>
      </c>
      <c r="J83" s="2">
        <f>SUMIFS('Grid Data'!$P$4:$P$2342,'Grid Data'!$N$4:$N$2342,$D83,'Grid Data'!$O$4:$O$2342,J$4,'Grid Data'!$M$4:$M$2342,$D$2)</f>
        <v>4478</v>
      </c>
      <c r="K83" s="2">
        <f>SUMIFS('Grid Data'!$P$4:$P$2342,'Grid Data'!$N$4:$N$2342,$D83,'Grid Data'!$O$4:$O$2342,K$4,'Grid Data'!$M$4:$M$2342,$D$2)</f>
        <v>10918</v>
      </c>
      <c r="L83" s="2">
        <f>SUMIFS('Grid Data'!$P$4:$P$2342,'Grid Data'!$N$4:$N$2342,$D83,'Grid Data'!$O$4:$O$2342,L$4,'Grid Data'!$M$4:$M$2342,$D$2)</f>
        <v>6645</v>
      </c>
      <c r="M83" s="2">
        <f>SUMIFS('Grid Data'!$P$4:$P$2342,'Grid Data'!$N$4:$N$2342,$D83,'Grid Data'!$O$4:$O$2342,M$4,'Grid Data'!$M$4:$M$2342,$D$2)</f>
        <v>17451</v>
      </c>
      <c r="N83" s="2">
        <f>SUMIFS('Grid Data'!$P$4:$P$2342,'Grid Data'!$N$4:$N$2342,$D83,'Grid Data'!$O$4:$O$2342,N$4,'Grid Data'!$M$4:$M$2342,$D$2)</f>
        <v>31913</v>
      </c>
      <c r="O83" s="2">
        <f>SUMIFS('Grid Data'!$P$4:$P$2342,'Grid Data'!$N$4:$N$2342,$D83,'Grid Data'!$O$4:$O$2342,O$4,'Grid Data'!$M$4:$M$2342,$D$2)</f>
        <v>9560</v>
      </c>
      <c r="P83" s="2">
        <f>SUMIFS('Grid Data'!$P$4:$P$2342,'Grid Data'!$N$4:$N$2342,$D83,'Grid Data'!$O$4:$O$2342,P$4,'Grid Data'!$M$4:$M$2342,$D$2)</f>
        <v>12039</v>
      </c>
      <c r="Q83" s="2">
        <f>SUMIFS('Grid Data'!$P$4:$P$2342,'Grid Data'!$N$4:$N$2342,$D83,'Grid Data'!$O$4:$O$2342,Q$4,'Grid Data'!$M$4:$M$2342,$D$2)</f>
        <v>14758</v>
      </c>
      <c r="R83" s="2">
        <f>SUMIFS('Grid Data'!$P$4:$P$2342,'Grid Data'!$N$4:$N$2342,$D83,'Grid Data'!$O$4:$O$2342,R$4,'Grid Data'!$M$4:$M$2342,$D$2)</f>
        <v>42026</v>
      </c>
      <c r="S83" s="2">
        <f>SUMIFS('Grid Data'!$P$4:$P$2342,'Grid Data'!$N$4:$N$2342,$D83,'Grid Data'!$O$4:$O$2342,S$4,'Grid Data'!$M$4:$M$2342,$D$2)</f>
        <v>38380</v>
      </c>
      <c r="T83" s="2">
        <f>SUMIFS('Grid Data'!$P$4:$P$2342,'Grid Data'!$N$4:$N$2342,$D83,'Grid Data'!$O$4:$O$2342,T$4,'Grid Data'!$M$4:$M$2342,$D$2)</f>
        <v>45900</v>
      </c>
      <c r="U83" s="2">
        <f>SUMIFS('Grid Data'!$P$4:$P$2342,'Grid Data'!$N$4:$N$2342,$D83,'Grid Data'!$O$4:$O$2342,U$4,'Grid Data'!$M$4:$M$2342,$D$2)</f>
        <v>79</v>
      </c>
      <c r="V83" s="2">
        <f>SUMIFS('Grid Data'!$P$4:$P$2342,'Grid Data'!$N$4:$N$2342,$D83,'Grid Data'!$O$4:$O$2342,V$4,'Grid Data'!$M$4:$M$2342,$D$2)</f>
        <v>20</v>
      </c>
      <c r="W83" s="2">
        <f>SUMIFS('Grid Data'!$P$4:$P$2342,'Grid Data'!$N$4:$N$2342,$D83,'Grid Data'!$O$4:$O$2342,W$4,'Grid Data'!$M$4:$M$2342,$D$2)</f>
        <v>149</v>
      </c>
      <c r="X83" s="2">
        <f>SUMIFS('Grid Data'!$P$4:$P$2342,'Grid Data'!$N$4:$N$2342,$D83,'Grid Data'!$O$4:$O$2342,X$4,'Grid Data'!$M$4:$M$2342,$D$2)</f>
        <v>5363</v>
      </c>
      <c r="Y83" s="2">
        <f>SUMIFS('Grid Data'!$P$4:$P$2342,'Grid Data'!$N$4:$N$2342,$D83,'Grid Data'!$O$4:$O$2342,Y$4,'Grid Data'!$M$4:$M$2342,$D$2)</f>
        <v>12783</v>
      </c>
      <c r="Z83" s="2">
        <f>SUMIFS('Grid Data'!$P$4:$P$2342,'Grid Data'!$N$4:$N$2342,$D83,'Grid Data'!$O$4:$O$2342,Z$4,'Grid Data'!$M$4:$M$2342,$D$2)</f>
        <v>301</v>
      </c>
      <c r="AA83" s="2">
        <f>SUMIFS('Grid Data'!$P$4:$P$2342,'Grid Data'!$N$4:$N$2342,$D83,'Grid Data'!$O$4:$O$2342,AA$4,'Grid Data'!$M$4:$M$2342,$D$2)</f>
        <v>32</v>
      </c>
      <c r="AB83" s="2">
        <f>SUMIFS('Grid Data'!$P$4:$P$2342,'Grid Data'!$N$4:$N$2342,$D83,'Grid Data'!$O$4:$O$2342,AB$4,'Grid Data'!$M$4:$M$2342,$D$2)</f>
        <v>563</v>
      </c>
      <c r="AC83" s="2">
        <f>SUMIFS('Grid Data'!$P$4:$P$2342,'Grid Data'!$N$4:$N$2342,$D83,'Grid Data'!$O$4:$O$2342,AC$4,'Grid Data'!$M$4:$M$2342,$D$2)</f>
        <v>109</v>
      </c>
      <c r="AD83" s="2">
        <f>SUMIFS('Grid Data'!$P$4:$P$2342,'Grid Data'!$N$4:$N$2342,$D83,'Grid Data'!$O$4:$O$2342,AD$4,'Grid Data'!$M$4:$M$2342,$D$2)</f>
        <v>1446</v>
      </c>
      <c r="AE83" s="2">
        <f>SUMIFS('Grid Data'!$P$4:$P$2342,'Grid Data'!$N$4:$N$2342,$D83,'Grid Data'!$O$4:$O$2342,AE$4,'Grid Data'!$M$4:$M$2342,$D$2)</f>
        <v>8328</v>
      </c>
      <c r="AF83" s="2">
        <f>SUMIFS('Grid Data'!$P$4:$P$2342,'Grid Data'!$N$4:$N$2342,$D83,'Grid Data'!$O$4:$O$2342,AF$4,'Grid Data'!$M$4:$M$2342,$D$2)</f>
        <v>1320</v>
      </c>
      <c r="AG83" s="2">
        <f>SUMIFS('Grid Data'!$P$4:$P$2342,'Grid Data'!$N$4:$N$2342,$D83,'Grid Data'!$O$4:$O$2342,AG$4,'Grid Data'!$M$4:$M$2342,$D$2)</f>
        <v>9082</v>
      </c>
      <c r="AH83" s="2">
        <f>SUMIFS('Grid Data'!$P$4:$P$2342,'Grid Data'!$N$4:$N$2342,$D83,'Grid Data'!$O$4:$O$2342,AH$4,'Grid Data'!$M$4:$M$2342,$D$2)</f>
        <v>146</v>
      </c>
    </row>
    <row r="84" spans="4:34" x14ac:dyDescent="0.35">
      <c r="D84">
        <v>6000</v>
      </c>
      <c r="E84" s="2">
        <f>SUMIFS('Grid Data'!$P$4:$P$2342,'Grid Data'!$N$4:$N$2342,$D84,'Grid Data'!$O$4:$O$2342,E$4,'Grid Data'!$M$4:$M$2342,$D$2)</f>
        <v>77505</v>
      </c>
      <c r="F84" s="2">
        <f>SUMIFS('Grid Data'!$P$4:$P$2342,'Grid Data'!$N$4:$N$2342,$D84,'Grid Data'!$O$4:$O$2342,F$4,'Grid Data'!$M$4:$M$2342,$D$2)</f>
        <v>11147</v>
      </c>
      <c r="G84" s="2">
        <f>SUMIFS('Grid Data'!$P$4:$P$2342,'Grid Data'!$N$4:$N$2342,$D84,'Grid Data'!$O$4:$O$2342,G$4,'Grid Data'!$M$4:$M$2342,$D$2)</f>
        <v>8035</v>
      </c>
      <c r="H84" s="2">
        <f>SUMIFS('Grid Data'!$P$4:$P$2342,'Grid Data'!$N$4:$N$2342,$D84,'Grid Data'!$O$4:$O$2342,H$4,'Grid Data'!$M$4:$M$2342,$D$2)</f>
        <v>6678</v>
      </c>
      <c r="I84" s="2">
        <f>SUMIFS('Grid Data'!$P$4:$P$2342,'Grid Data'!$N$4:$N$2342,$D84,'Grid Data'!$O$4:$O$2342,I$4,'Grid Data'!$M$4:$M$2342,$D$2)</f>
        <v>5597</v>
      </c>
      <c r="J84" s="2">
        <f>SUMIFS('Grid Data'!$P$4:$P$2342,'Grid Data'!$N$4:$N$2342,$D84,'Grid Data'!$O$4:$O$2342,J$4,'Grid Data'!$M$4:$M$2342,$D$2)</f>
        <v>7110</v>
      </c>
      <c r="K84" s="2">
        <f>SUMIFS('Grid Data'!$P$4:$P$2342,'Grid Data'!$N$4:$N$2342,$D84,'Grid Data'!$O$4:$O$2342,K$4,'Grid Data'!$M$4:$M$2342,$D$2)</f>
        <v>15357</v>
      </c>
      <c r="L84" s="2">
        <f>SUMIFS('Grid Data'!$P$4:$P$2342,'Grid Data'!$N$4:$N$2342,$D84,'Grid Data'!$O$4:$O$2342,L$4,'Grid Data'!$M$4:$M$2342,$D$2)</f>
        <v>8192</v>
      </c>
      <c r="M84" s="2">
        <f>SUMIFS('Grid Data'!$P$4:$P$2342,'Grid Data'!$N$4:$N$2342,$D84,'Grid Data'!$O$4:$O$2342,M$4,'Grid Data'!$M$4:$M$2342,$D$2)</f>
        <v>10703</v>
      </c>
      <c r="N84" s="2">
        <f>SUMIFS('Grid Data'!$P$4:$P$2342,'Grid Data'!$N$4:$N$2342,$D84,'Grid Data'!$O$4:$O$2342,N$4,'Grid Data'!$M$4:$M$2342,$D$2)</f>
        <v>9037</v>
      </c>
      <c r="O84" s="2">
        <f>SUMIFS('Grid Data'!$P$4:$P$2342,'Grid Data'!$N$4:$N$2342,$D84,'Grid Data'!$O$4:$O$2342,O$4,'Grid Data'!$M$4:$M$2342,$D$2)</f>
        <v>9219</v>
      </c>
      <c r="P84" s="2">
        <f>SUMIFS('Grid Data'!$P$4:$P$2342,'Grid Data'!$N$4:$N$2342,$D84,'Grid Data'!$O$4:$O$2342,P$4,'Grid Data'!$M$4:$M$2342,$D$2)</f>
        <v>17804</v>
      </c>
      <c r="Q84" s="2">
        <f>SUMIFS('Grid Data'!$P$4:$P$2342,'Grid Data'!$N$4:$N$2342,$D84,'Grid Data'!$O$4:$O$2342,Q$4,'Grid Data'!$M$4:$M$2342,$D$2)</f>
        <v>18980</v>
      </c>
      <c r="R84" s="2">
        <f>SUMIFS('Grid Data'!$P$4:$P$2342,'Grid Data'!$N$4:$N$2342,$D84,'Grid Data'!$O$4:$O$2342,R$4,'Grid Data'!$M$4:$M$2342,$D$2)</f>
        <v>28191</v>
      </c>
      <c r="S84" s="2">
        <f>SUMIFS('Grid Data'!$P$4:$P$2342,'Grid Data'!$N$4:$N$2342,$D84,'Grid Data'!$O$4:$O$2342,S$4,'Grid Data'!$M$4:$M$2342,$D$2)</f>
        <v>21066</v>
      </c>
      <c r="T84" s="2">
        <f>SUMIFS('Grid Data'!$P$4:$P$2342,'Grid Data'!$N$4:$N$2342,$D84,'Grid Data'!$O$4:$O$2342,T$4,'Grid Data'!$M$4:$M$2342,$D$2)</f>
        <v>6715</v>
      </c>
      <c r="U84" s="2">
        <f>SUMIFS('Grid Data'!$P$4:$P$2342,'Grid Data'!$N$4:$N$2342,$D84,'Grid Data'!$O$4:$O$2342,U$4,'Grid Data'!$M$4:$M$2342,$D$2)</f>
        <v>0</v>
      </c>
      <c r="V84" s="2">
        <f>SUMIFS('Grid Data'!$P$4:$P$2342,'Grid Data'!$N$4:$N$2342,$D84,'Grid Data'!$O$4:$O$2342,V$4,'Grid Data'!$M$4:$M$2342,$D$2)</f>
        <v>1</v>
      </c>
      <c r="W84" s="2">
        <f>SUMIFS('Grid Data'!$P$4:$P$2342,'Grid Data'!$N$4:$N$2342,$D84,'Grid Data'!$O$4:$O$2342,W$4,'Grid Data'!$M$4:$M$2342,$D$2)</f>
        <v>31</v>
      </c>
      <c r="X84" s="2">
        <f>SUMIFS('Grid Data'!$P$4:$P$2342,'Grid Data'!$N$4:$N$2342,$D84,'Grid Data'!$O$4:$O$2342,X$4,'Grid Data'!$M$4:$M$2342,$D$2)</f>
        <v>827</v>
      </c>
      <c r="Y84" s="2">
        <f>SUMIFS('Grid Data'!$P$4:$P$2342,'Grid Data'!$N$4:$N$2342,$D84,'Grid Data'!$O$4:$O$2342,Y$4,'Grid Data'!$M$4:$M$2342,$D$2)</f>
        <v>2215</v>
      </c>
      <c r="Z84" s="2">
        <f>SUMIFS('Grid Data'!$P$4:$P$2342,'Grid Data'!$N$4:$N$2342,$D84,'Grid Data'!$O$4:$O$2342,Z$4,'Grid Data'!$M$4:$M$2342,$D$2)</f>
        <v>71</v>
      </c>
      <c r="AA84" s="2">
        <f>SUMIFS('Grid Data'!$P$4:$P$2342,'Grid Data'!$N$4:$N$2342,$D84,'Grid Data'!$O$4:$O$2342,AA$4,'Grid Data'!$M$4:$M$2342,$D$2)</f>
        <v>14</v>
      </c>
      <c r="AB84" s="2">
        <f>SUMIFS('Grid Data'!$P$4:$P$2342,'Grid Data'!$N$4:$N$2342,$D84,'Grid Data'!$O$4:$O$2342,AB$4,'Grid Data'!$M$4:$M$2342,$D$2)</f>
        <v>24</v>
      </c>
      <c r="AC84" s="2">
        <f>SUMIFS('Grid Data'!$P$4:$P$2342,'Grid Data'!$N$4:$N$2342,$D84,'Grid Data'!$O$4:$O$2342,AC$4,'Grid Data'!$M$4:$M$2342,$D$2)</f>
        <v>20</v>
      </c>
      <c r="AD84" s="2">
        <f>SUMIFS('Grid Data'!$P$4:$P$2342,'Grid Data'!$N$4:$N$2342,$D84,'Grid Data'!$O$4:$O$2342,AD$4,'Grid Data'!$M$4:$M$2342,$D$2)</f>
        <v>653</v>
      </c>
      <c r="AE84" s="2">
        <f>SUMIFS('Grid Data'!$P$4:$P$2342,'Grid Data'!$N$4:$N$2342,$D84,'Grid Data'!$O$4:$O$2342,AE$4,'Grid Data'!$M$4:$M$2342,$D$2)</f>
        <v>17010</v>
      </c>
      <c r="AF84" s="2">
        <f>SUMIFS('Grid Data'!$P$4:$P$2342,'Grid Data'!$N$4:$N$2342,$D84,'Grid Data'!$O$4:$O$2342,AF$4,'Grid Data'!$M$4:$M$2342,$D$2)</f>
        <v>5655</v>
      </c>
      <c r="AG84" s="2">
        <f>SUMIFS('Grid Data'!$P$4:$P$2342,'Grid Data'!$N$4:$N$2342,$D84,'Grid Data'!$O$4:$O$2342,AG$4,'Grid Data'!$M$4:$M$2342,$D$2)</f>
        <v>33031</v>
      </c>
      <c r="AH84" s="2">
        <f>SUMIFS('Grid Data'!$P$4:$P$2342,'Grid Data'!$N$4:$N$2342,$D84,'Grid Data'!$O$4:$O$2342,AH$4,'Grid Data'!$M$4:$M$2342,$D$2)</f>
        <v>456</v>
      </c>
    </row>
    <row r="85" spans="4:34" x14ac:dyDescent="0.35">
      <c r="D85">
        <v>6250</v>
      </c>
      <c r="E85" s="2">
        <f>SUMIFS('Grid Data'!$P$4:$P$2342,'Grid Data'!$N$4:$N$2342,$D85,'Grid Data'!$O$4:$O$2342,E$4,'Grid Data'!$M$4:$M$2342,$D$2)</f>
        <v>84117</v>
      </c>
      <c r="F85" s="2">
        <f>SUMIFS('Grid Data'!$P$4:$P$2342,'Grid Data'!$N$4:$N$2342,$D85,'Grid Data'!$O$4:$O$2342,F$4,'Grid Data'!$M$4:$M$2342,$D$2)</f>
        <v>15056</v>
      </c>
      <c r="G85" s="2">
        <f>SUMIFS('Grid Data'!$P$4:$P$2342,'Grid Data'!$N$4:$N$2342,$D85,'Grid Data'!$O$4:$O$2342,G$4,'Grid Data'!$M$4:$M$2342,$D$2)</f>
        <v>13305</v>
      </c>
      <c r="H85" s="2">
        <f>SUMIFS('Grid Data'!$P$4:$P$2342,'Grid Data'!$N$4:$N$2342,$D85,'Grid Data'!$O$4:$O$2342,H$4,'Grid Data'!$M$4:$M$2342,$D$2)</f>
        <v>12686</v>
      </c>
      <c r="I85" s="2">
        <f>SUMIFS('Grid Data'!$P$4:$P$2342,'Grid Data'!$N$4:$N$2342,$D85,'Grid Data'!$O$4:$O$2342,I$4,'Grid Data'!$M$4:$M$2342,$D$2)</f>
        <v>12049</v>
      </c>
      <c r="J85" s="2">
        <f>SUMIFS('Grid Data'!$P$4:$P$2342,'Grid Data'!$N$4:$N$2342,$D85,'Grid Data'!$O$4:$O$2342,J$4,'Grid Data'!$M$4:$M$2342,$D$2)</f>
        <v>13785</v>
      </c>
      <c r="K85" s="2">
        <f>SUMIFS('Grid Data'!$P$4:$P$2342,'Grid Data'!$N$4:$N$2342,$D85,'Grid Data'!$O$4:$O$2342,K$4,'Grid Data'!$M$4:$M$2342,$D$2)</f>
        <v>28144</v>
      </c>
      <c r="L85" s="2">
        <f>SUMIFS('Grid Data'!$P$4:$P$2342,'Grid Data'!$N$4:$N$2342,$D85,'Grid Data'!$O$4:$O$2342,L$4,'Grid Data'!$M$4:$M$2342,$D$2)</f>
        <v>18631</v>
      </c>
      <c r="M85" s="2">
        <f>SUMIFS('Grid Data'!$P$4:$P$2342,'Grid Data'!$N$4:$N$2342,$D85,'Grid Data'!$O$4:$O$2342,M$4,'Grid Data'!$M$4:$M$2342,$D$2)</f>
        <v>26953</v>
      </c>
      <c r="N85" s="2">
        <f>SUMIFS('Grid Data'!$P$4:$P$2342,'Grid Data'!$N$4:$N$2342,$D85,'Grid Data'!$O$4:$O$2342,N$4,'Grid Data'!$M$4:$M$2342,$D$2)</f>
        <v>24458</v>
      </c>
      <c r="O85" s="2">
        <f>SUMIFS('Grid Data'!$P$4:$P$2342,'Grid Data'!$N$4:$N$2342,$D85,'Grid Data'!$O$4:$O$2342,O$4,'Grid Data'!$M$4:$M$2342,$D$2)</f>
        <v>23188</v>
      </c>
      <c r="P85" s="2">
        <f>SUMIFS('Grid Data'!$P$4:$P$2342,'Grid Data'!$N$4:$N$2342,$D85,'Grid Data'!$O$4:$O$2342,P$4,'Grid Data'!$M$4:$M$2342,$D$2)</f>
        <v>34135</v>
      </c>
      <c r="Q85" s="2">
        <f>SUMIFS('Grid Data'!$P$4:$P$2342,'Grid Data'!$N$4:$N$2342,$D85,'Grid Data'!$O$4:$O$2342,Q$4,'Grid Data'!$M$4:$M$2342,$D$2)</f>
        <v>29344</v>
      </c>
      <c r="R85" s="2">
        <f>SUMIFS('Grid Data'!$P$4:$P$2342,'Grid Data'!$N$4:$N$2342,$D85,'Grid Data'!$O$4:$O$2342,R$4,'Grid Data'!$M$4:$M$2342,$D$2)</f>
        <v>58781</v>
      </c>
      <c r="S85" s="2">
        <f>SUMIFS('Grid Data'!$P$4:$P$2342,'Grid Data'!$N$4:$N$2342,$D85,'Grid Data'!$O$4:$O$2342,S$4,'Grid Data'!$M$4:$M$2342,$D$2)</f>
        <v>37637</v>
      </c>
      <c r="T85" s="2">
        <f>SUMIFS('Grid Data'!$P$4:$P$2342,'Grid Data'!$N$4:$N$2342,$D85,'Grid Data'!$O$4:$O$2342,T$4,'Grid Data'!$M$4:$M$2342,$D$2)</f>
        <v>9903</v>
      </c>
      <c r="U85" s="2">
        <f>SUMIFS('Grid Data'!$P$4:$P$2342,'Grid Data'!$N$4:$N$2342,$D85,'Grid Data'!$O$4:$O$2342,U$4,'Grid Data'!$M$4:$M$2342,$D$2)</f>
        <v>49</v>
      </c>
      <c r="V85" s="2">
        <f>SUMIFS('Grid Data'!$P$4:$P$2342,'Grid Data'!$N$4:$N$2342,$D85,'Grid Data'!$O$4:$O$2342,V$4,'Grid Data'!$M$4:$M$2342,$D$2)</f>
        <v>6</v>
      </c>
      <c r="W85" s="2">
        <f>SUMIFS('Grid Data'!$P$4:$P$2342,'Grid Data'!$N$4:$N$2342,$D85,'Grid Data'!$O$4:$O$2342,W$4,'Grid Data'!$M$4:$M$2342,$D$2)</f>
        <v>44</v>
      </c>
      <c r="X85" s="2">
        <f>SUMIFS('Grid Data'!$P$4:$P$2342,'Grid Data'!$N$4:$N$2342,$D85,'Grid Data'!$O$4:$O$2342,X$4,'Grid Data'!$M$4:$M$2342,$D$2)</f>
        <v>373</v>
      </c>
      <c r="Y85" s="2">
        <f>SUMIFS('Grid Data'!$P$4:$P$2342,'Grid Data'!$N$4:$N$2342,$D85,'Grid Data'!$O$4:$O$2342,Y$4,'Grid Data'!$M$4:$M$2342,$D$2)</f>
        <v>1307</v>
      </c>
      <c r="Z85" s="2">
        <f>SUMIFS('Grid Data'!$P$4:$P$2342,'Grid Data'!$N$4:$N$2342,$D85,'Grid Data'!$O$4:$O$2342,Z$4,'Grid Data'!$M$4:$M$2342,$D$2)</f>
        <v>91</v>
      </c>
      <c r="AA85" s="2">
        <f>SUMIFS('Grid Data'!$P$4:$P$2342,'Grid Data'!$N$4:$N$2342,$D85,'Grid Data'!$O$4:$O$2342,AA$4,'Grid Data'!$M$4:$M$2342,$D$2)</f>
        <v>7</v>
      </c>
      <c r="AB85" s="2">
        <f>SUMIFS('Grid Data'!$P$4:$P$2342,'Grid Data'!$N$4:$N$2342,$D85,'Grid Data'!$O$4:$O$2342,AB$4,'Grid Data'!$M$4:$M$2342,$D$2)</f>
        <v>7</v>
      </c>
      <c r="AC85" s="2">
        <f>SUMIFS('Grid Data'!$P$4:$P$2342,'Grid Data'!$N$4:$N$2342,$D85,'Grid Data'!$O$4:$O$2342,AC$4,'Grid Data'!$M$4:$M$2342,$D$2)</f>
        <v>1</v>
      </c>
      <c r="AD85" s="2">
        <f>SUMIFS('Grid Data'!$P$4:$P$2342,'Grid Data'!$N$4:$N$2342,$D85,'Grid Data'!$O$4:$O$2342,AD$4,'Grid Data'!$M$4:$M$2342,$D$2)</f>
        <v>117</v>
      </c>
      <c r="AE85" s="2">
        <f>SUMIFS('Grid Data'!$P$4:$P$2342,'Grid Data'!$N$4:$N$2342,$D85,'Grid Data'!$O$4:$O$2342,AE$4,'Grid Data'!$M$4:$M$2342,$D$2)</f>
        <v>4031</v>
      </c>
      <c r="AF85" s="2">
        <f>SUMIFS('Grid Data'!$P$4:$P$2342,'Grid Data'!$N$4:$N$2342,$D85,'Grid Data'!$O$4:$O$2342,AF$4,'Grid Data'!$M$4:$M$2342,$D$2)</f>
        <v>3774</v>
      </c>
      <c r="AG85" s="2">
        <f>SUMIFS('Grid Data'!$P$4:$P$2342,'Grid Data'!$N$4:$N$2342,$D85,'Grid Data'!$O$4:$O$2342,AG$4,'Grid Data'!$M$4:$M$2342,$D$2)</f>
        <v>10384</v>
      </c>
      <c r="AH85" s="2">
        <f>SUMIFS('Grid Data'!$P$4:$P$2342,'Grid Data'!$N$4:$N$2342,$D85,'Grid Data'!$O$4:$O$2342,AH$4,'Grid Data'!$M$4:$M$2342,$D$2)</f>
        <v>165</v>
      </c>
    </row>
    <row r="86" spans="4:34" x14ac:dyDescent="0.35">
      <c r="D86">
        <v>6500</v>
      </c>
      <c r="E86" s="2">
        <f>SUMIFS('Grid Data'!$P$4:$P$2342,'Grid Data'!$N$4:$N$2342,$D86,'Grid Data'!$O$4:$O$2342,E$4,'Grid Data'!$M$4:$M$2342,$D$2)</f>
        <v>33314</v>
      </c>
      <c r="F86" s="2">
        <f>SUMIFS('Grid Data'!$P$4:$P$2342,'Grid Data'!$N$4:$N$2342,$D86,'Grid Data'!$O$4:$O$2342,F$4,'Grid Data'!$M$4:$M$2342,$D$2)</f>
        <v>9984</v>
      </c>
      <c r="G86" s="2">
        <f>SUMIFS('Grid Data'!$P$4:$P$2342,'Grid Data'!$N$4:$N$2342,$D86,'Grid Data'!$O$4:$O$2342,G$4,'Grid Data'!$M$4:$M$2342,$D$2)</f>
        <v>11224</v>
      </c>
      <c r="H86" s="2">
        <f>SUMIFS('Grid Data'!$P$4:$P$2342,'Grid Data'!$N$4:$N$2342,$D86,'Grid Data'!$O$4:$O$2342,H$4,'Grid Data'!$M$4:$M$2342,$D$2)</f>
        <v>11430</v>
      </c>
      <c r="I86" s="2">
        <f>SUMIFS('Grid Data'!$P$4:$P$2342,'Grid Data'!$N$4:$N$2342,$D86,'Grid Data'!$O$4:$O$2342,I$4,'Grid Data'!$M$4:$M$2342,$D$2)</f>
        <v>12061</v>
      </c>
      <c r="J86" s="2">
        <f>SUMIFS('Grid Data'!$P$4:$P$2342,'Grid Data'!$N$4:$N$2342,$D86,'Grid Data'!$O$4:$O$2342,J$4,'Grid Data'!$M$4:$M$2342,$D$2)</f>
        <v>11256</v>
      </c>
      <c r="K86" s="2">
        <f>SUMIFS('Grid Data'!$P$4:$P$2342,'Grid Data'!$N$4:$N$2342,$D86,'Grid Data'!$O$4:$O$2342,K$4,'Grid Data'!$M$4:$M$2342,$D$2)</f>
        <v>17880</v>
      </c>
      <c r="L86" s="2">
        <f>SUMIFS('Grid Data'!$P$4:$P$2342,'Grid Data'!$N$4:$N$2342,$D86,'Grid Data'!$O$4:$O$2342,L$4,'Grid Data'!$M$4:$M$2342,$D$2)</f>
        <v>11185</v>
      </c>
      <c r="M86" s="2">
        <f>SUMIFS('Grid Data'!$P$4:$P$2342,'Grid Data'!$N$4:$N$2342,$D86,'Grid Data'!$O$4:$O$2342,M$4,'Grid Data'!$M$4:$M$2342,$D$2)</f>
        <v>8859</v>
      </c>
      <c r="N86" s="2">
        <f>SUMIFS('Grid Data'!$P$4:$P$2342,'Grid Data'!$N$4:$N$2342,$D86,'Grid Data'!$O$4:$O$2342,N$4,'Grid Data'!$M$4:$M$2342,$D$2)</f>
        <v>7158</v>
      </c>
      <c r="O86" s="2">
        <f>SUMIFS('Grid Data'!$P$4:$P$2342,'Grid Data'!$N$4:$N$2342,$D86,'Grid Data'!$O$4:$O$2342,O$4,'Grid Data'!$M$4:$M$2342,$D$2)</f>
        <v>9102</v>
      </c>
      <c r="P86" s="2">
        <f>SUMIFS('Grid Data'!$P$4:$P$2342,'Grid Data'!$N$4:$N$2342,$D86,'Grid Data'!$O$4:$O$2342,P$4,'Grid Data'!$M$4:$M$2342,$D$2)</f>
        <v>19265</v>
      </c>
      <c r="Q86" s="2">
        <f>SUMIFS('Grid Data'!$P$4:$P$2342,'Grid Data'!$N$4:$N$2342,$D86,'Grid Data'!$O$4:$O$2342,Q$4,'Grid Data'!$M$4:$M$2342,$D$2)</f>
        <v>17722</v>
      </c>
      <c r="R86" s="2">
        <f>SUMIFS('Grid Data'!$P$4:$P$2342,'Grid Data'!$N$4:$N$2342,$D86,'Grid Data'!$O$4:$O$2342,R$4,'Grid Data'!$M$4:$M$2342,$D$2)</f>
        <v>23512</v>
      </c>
      <c r="S86" s="2">
        <f>SUMIFS('Grid Data'!$P$4:$P$2342,'Grid Data'!$N$4:$N$2342,$D86,'Grid Data'!$O$4:$O$2342,S$4,'Grid Data'!$M$4:$M$2342,$D$2)</f>
        <v>12605</v>
      </c>
      <c r="T86" s="2">
        <f>SUMIFS('Grid Data'!$P$4:$P$2342,'Grid Data'!$N$4:$N$2342,$D86,'Grid Data'!$O$4:$O$2342,T$4,'Grid Data'!$M$4:$M$2342,$D$2)</f>
        <v>1722</v>
      </c>
      <c r="U86" s="2">
        <f>SUMIFS('Grid Data'!$P$4:$P$2342,'Grid Data'!$N$4:$N$2342,$D86,'Grid Data'!$O$4:$O$2342,U$4,'Grid Data'!$M$4:$M$2342,$D$2)</f>
        <v>0</v>
      </c>
      <c r="V86" s="2">
        <f>SUMIFS('Grid Data'!$P$4:$P$2342,'Grid Data'!$N$4:$N$2342,$D86,'Grid Data'!$O$4:$O$2342,V$4,'Grid Data'!$M$4:$M$2342,$D$2)</f>
        <v>0</v>
      </c>
      <c r="W86" s="2">
        <f>SUMIFS('Grid Data'!$P$4:$P$2342,'Grid Data'!$N$4:$N$2342,$D86,'Grid Data'!$O$4:$O$2342,W$4,'Grid Data'!$M$4:$M$2342,$D$2)</f>
        <v>1</v>
      </c>
      <c r="X86" s="2">
        <f>SUMIFS('Grid Data'!$P$4:$P$2342,'Grid Data'!$N$4:$N$2342,$D86,'Grid Data'!$O$4:$O$2342,X$4,'Grid Data'!$M$4:$M$2342,$D$2)</f>
        <v>34</v>
      </c>
      <c r="Y86" s="2">
        <f>SUMIFS('Grid Data'!$P$4:$P$2342,'Grid Data'!$N$4:$N$2342,$D86,'Grid Data'!$O$4:$O$2342,Y$4,'Grid Data'!$M$4:$M$2342,$D$2)</f>
        <v>92</v>
      </c>
      <c r="Z86" s="2">
        <f>SUMIFS('Grid Data'!$P$4:$P$2342,'Grid Data'!$N$4:$N$2342,$D86,'Grid Data'!$O$4:$O$2342,Z$4,'Grid Data'!$M$4:$M$2342,$D$2)</f>
        <v>1</v>
      </c>
      <c r="AA86" s="2">
        <f>SUMIFS('Grid Data'!$P$4:$P$2342,'Grid Data'!$N$4:$N$2342,$D86,'Grid Data'!$O$4:$O$2342,AA$4,'Grid Data'!$M$4:$M$2342,$D$2)</f>
        <v>1</v>
      </c>
      <c r="AB86" s="2">
        <f>SUMIFS('Grid Data'!$P$4:$P$2342,'Grid Data'!$N$4:$N$2342,$D86,'Grid Data'!$O$4:$O$2342,AB$4,'Grid Data'!$M$4:$M$2342,$D$2)</f>
        <v>3</v>
      </c>
      <c r="AC86" s="2">
        <f>SUMIFS('Grid Data'!$P$4:$P$2342,'Grid Data'!$N$4:$N$2342,$D86,'Grid Data'!$O$4:$O$2342,AC$4,'Grid Data'!$M$4:$M$2342,$D$2)</f>
        <v>107</v>
      </c>
      <c r="AD86" s="2">
        <f>SUMIFS('Grid Data'!$P$4:$P$2342,'Grid Data'!$N$4:$N$2342,$D86,'Grid Data'!$O$4:$O$2342,AD$4,'Grid Data'!$M$4:$M$2342,$D$2)</f>
        <v>117</v>
      </c>
      <c r="AE86" s="2">
        <f>SUMIFS('Grid Data'!$P$4:$P$2342,'Grid Data'!$N$4:$N$2342,$D86,'Grid Data'!$O$4:$O$2342,AE$4,'Grid Data'!$M$4:$M$2342,$D$2)</f>
        <v>10430</v>
      </c>
      <c r="AF86" s="2">
        <f>SUMIFS('Grid Data'!$P$4:$P$2342,'Grid Data'!$N$4:$N$2342,$D86,'Grid Data'!$O$4:$O$2342,AF$4,'Grid Data'!$M$4:$M$2342,$D$2)</f>
        <v>9579</v>
      </c>
      <c r="AG86" s="2">
        <f>SUMIFS('Grid Data'!$P$4:$P$2342,'Grid Data'!$N$4:$N$2342,$D86,'Grid Data'!$O$4:$O$2342,AG$4,'Grid Data'!$M$4:$M$2342,$D$2)</f>
        <v>22283</v>
      </c>
      <c r="AH86" s="2">
        <f>SUMIFS('Grid Data'!$P$4:$P$2342,'Grid Data'!$N$4:$N$2342,$D86,'Grid Data'!$O$4:$O$2342,AH$4,'Grid Data'!$M$4:$M$2342,$D$2)</f>
        <v>1912</v>
      </c>
    </row>
    <row r="87" spans="4:34" x14ac:dyDescent="0.35">
      <c r="D87">
        <v>6750</v>
      </c>
      <c r="E87" s="2">
        <f>SUMIFS('Grid Data'!$P$4:$P$2342,'Grid Data'!$N$4:$N$2342,$D87,'Grid Data'!$O$4:$O$2342,E$4,'Grid Data'!$M$4:$M$2342,$D$2)</f>
        <v>37314</v>
      </c>
      <c r="F87" s="2">
        <f>SUMIFS('Grid Data'!$P$4:$P$2342,'Grid Data'!$N$4:$N$2342,$D87,'Grid Data'!$O$4:$O$2342,F$4,'Grid Data'!$M$4:$M$2342,$D$2)</f>
        <v>10054</v>
      </c>
      <c r="G87" s="2">
        <f>SUMIFS('Grid Data'!$P$4:$P$2342,'Grid Data'!$N$4:$N$2342,$D87,'Grid Data'!$O$4:$O$2342,G$4,'Grid Data'!$M$4:$M$2342,$D$2)</f>
        <v>13036</v>
      </c>
      <c r="H87" s="2">
        <f>SUMIFS('Grid Data'!$P$4:$P$2342,'Grid Data'!$N$4:$N$2342,$D87,'Grid Data'!$O$4:$O$2342,H$4,'Grid Data'!$M$4:$M$2342,$D$2)</f>
        <v>14595</v>
      </c>
      <c r="I87" s="2">
        <f>SUMIFS('Grid Data'!$P$4:$P$2342,'Grid Data'!$N$4:$N$2342,$D87,'Grid Data'!$O$4:$O$2342,I$4,'Grid Data'!$M$4:$M$2342,$D$2)</f>
        <v>14955</v>
      </c>
      <c r="J87" s="2">
        <f>SUMIFS('Grid Data'!$P$4:$P$2342,'Grid Data'!$N$4:$N$2342,$D87,'Grid Data'!$O$4:$O$2342,J$4,'Grid Data'!$M$4:$M$2342,$D$2)</f>
        <v>13548</v>
      </c>
      <c r="K87" s="2">
        <f>SUMIFS('Grid Data'!$P$4:$P$2342,'Grid Data'!$N$4:$N$2342,$D87,'Grid Data'!$O$4:$O$2342,K$4,'Grid Data'!$M$4:$M$2342,$D$2)</f>
        <v>24607</v>
      </c>
      <c r="L87" s="2">
        <f>SUMIFS('Grid Data'!$P$4:$P$2342,'Grid Data'!$N$4:$N$2342,$D87,'Grid Data'!$O$4:$O$2342,L$4,'Grid Data'!$M$4:$M$2342,$D$2)</f>
        <v>19860</v>
      </c>
      <c r="M87" s="2">
        <f>SUMIFS('Grid Data'!$P$4:$P$2342,'Grid Data'!$N$4:$N$2342,$D87,'Grid Data'!$O$4:$O$2342,M$4,'Grid Data'!$M$4:$M$2342,$D$2)</f>
        <v>18487</v>
      </c>
      <c r="N87" s="2">
        <f>SUMIFS('Grid Data'!$P$4:$P$2342,'Grid Data'!$N$4:$N$2342,$D87,'Grid Data'!$O$4:$O$2342,N$4,'Grid Data'!$M$4:$M$2342,$D$2)</f>
        <v>13443</v>
      </c>
      <c r="O87" s="2">
        <f>SUMIFS('Grid Data'!$P$4:$P$2342,'Grid Data'!$N$4:$N$2342,$D87,'Grid Data'!$O$4:$O$2342,O$4,'Grid Data'!$M$4:$M$2342,$D$2)</f>
        <v>24748</v>
      </c>
      <c r="P87" s="2">
        <f>SUMIFS('Grid Data'!$P$4:$P$2342,'Grid Data'!$N$4:$N$2342,$D87,'Grid Data'!$O$4:$O$2342,P$4,'Grid Data'!$M$4:$M$2342,$D$2)</f>
        <v>47063</v>
      </c>
      <c r="Q87" s="2">
        <f>SUMIFS('Grid Data'!$P$4:$P$2342,'Grid Data'!$N$4:$N$2342,$D87,'Grid Data'!$O$4:$O$2342,Q$4,'Grid Data'!$M$4:$M$2342,$D$2)</f>
        <v>40684</v>
      </c>
      <c r="R87" s="2">
        <f>SUMIFS('Grid Data'!$P$4:$P$2342,'Grid Data'!$N$4:$N$2342,$D87,'Grid Data'!$O$4:$O$2342,R$4,'Grid Data'!$M$4:$M$2342,$D$2)</f>
        <v>54163</v>
      </c>
      <c r="S87" s="2">
        <f>SUMIFS('Grid Data'!$P$4:$P$2342,'Grid Data'!$N$4:$N$2342,$D87,'Grid Data'!$O$4:$O$2342,S$4,'Grid Data'!$M$4:$M$2342,$D$2)</f>
        <v>27025</v>
      </c>
      <c r="T87" s="2">
        <f>SUMIFS('Grid Data'!$P$4:$P$2342,'Grid Data'!$N$4:$N$2342,$D87,'Grid Data'!$O$4:$O$2342,T$4,'Grid Data'!$M$4:$M$2342,$D$2)</f>
        <v>1568</v>
      </c>
      <c r="U87" s="2">
        <f>SUMIFS('Grid Data'!$P$4:$P$2342,'Grid Data'!$N$4:$N$2342,$D87,'Grid Data'!$O$4:$O$2342,U$4,'Grid Data'!$M$4:$M$2342,$D$2)</f>
        <v>1</v>
      </c>
      <c r="V87" s="2">
        <f>SUMIFS('Grid Data'!$P$4:$P$2342,'Grid Data'!$N$4:$N$2342,$D87,'Grid Data'!$O$4:$O$2342,V$4,'Grid Data'!$M$4:$M$2342,$D$2)</f>
        <v>0</v>
      </c>
      <c r="W87" s="2">
        <f>SUMIFS('Grid Data'!$P$4:$P$2342,'Grid Data'!$N$4:$N$2342,$D87,'Grid Data'!$O$4:$O$2342,W$4,'Grid Data'!$M$4:$M$2342,$D$2)</f>
        <v>0</v>
      </c>
      <c r="X87" s="2">
        <f>SUMIFS('Grid Data'!$P$4:$P$2342,'Grid Data'!$N$4:$N$2342,$D87,'Grid Data'!$O$4:$O$2342,X$4,'Grid Data'!$M$4:$M$2342,$D$2)</f>
        <v>4</v>
      </c>
      <c r="Y87" s="2">
        <f>SUMIFS('Grid Data'!$P$4:$P$2342,'Grid Data'!$N$4:$N$2342,$D87,'Grid Data'!$O$4:$O$2342,Y$4,'Grid Data'!$M$4:$M$2342,$D$2)</f>
        <v>29</v>
      </c>
      <c r="Z87" s="2">
        <f>SUMIFS('Grid Data'!$P$4:$P$2342,'Grid Data'!$N$4:$N$2342,$D87,'Grid Data'!$O$4:$O$2342,Z$4,'Grid Data'!$M$4:$M$2342,$D$2)</f>
        <v>1</v>
      </c>
      <c r="AA87" s="2">
        <f>SUMIFS('Grid Data'!$P$4:$P$2342,'Grid Data'!$N$4:$N$2342,$D87,'Grid Data'!$O$4:$O$2342,AA$4,'Grid Data'!$M$4:$M$2342,$D$2)</f>
        <v>0</v>
      </c>
      <c r="AB87" s="2">
        <f>SUMIFS('Grid Data'!$P$4:$P$2342,'Grid Data'!$N$4:$N$2342,$D87,'Grid Data'!$O$4:$O$2342,AB$4,'Grid Data'!$M$4:$M$2342,$D$2)</f>
        <v>10</v>
      </c>
      <c r="AC87" s="2">
        <f>SUMIFS('Grid Data'!$P$4:$P$2342,'Grid Data'!$N$4:$N$2342,$D87,'Grid Data'!$O$4:$O$2342,AC$4,'Grid Data'!$M$4:$M$2342,$D$2)</f>
        <v>4</v>
      </c>
      <c r="AD87" s="2">
        <f>SUMIFS('Grid Data'!$P$4:$P$2342,'Grid Data'!$N$4:$N$2342,$D87,'Grid Data'!$O$4:$O$2342,AD$4,'Grid Data'!$M$4:$M$2342,$D$2)</f>
        <v>20</v>
      </c>
      <c r="AE87" s="2">
        <f>SUMIFS('Grid Data'!$P$4:$P$2342,'Grid Data'!$N$4:$N$2342,$D87,'Grid Data'!$O$4:$O$2342,AE$4,'Grid Data'!$M$4:$M$2342,$D$2)</f>
        <v>3291</v>
      </c>
      <c r="AF87" s="2">
        <f>SUMIFS('Grid Data'!$P$4:$P$2342,'Grid Data'!$N$4:$N$2342,$D87,'Grid Data'!$O$4:$O$2342,AF$4,'Grid Data'!$M$4:$M$2342,$D$2)</f>
        <v>4631</v>
      </c>
      <c r="AG87" s="2">
        <f>SUMIFS('Grid Data'!$P$4:$P$2342,'Grid Data'!$N$4:$N$2342,$D87,'Grid Data'!$O$4:$O$2342,AG$4,'Grid Data'!$M$4:$M$2342,$D$2)</f>
        <v>4642</v>
      </c>
      <c r="AH87" s="2">
        <f>SUMIFS('Grid Data'!$P$4:$P$2342,'Grid Data'!$N$4:$N$2342,$D87,'Grid Data'!$O$4:$O$2342,AH$4,'Grid Data'!$M$4:$M$2342,$D$2)</f>
        <v>938</v>
      </c>
    </row>
    <row r="88" spans="4:34" x14ac:dyDescent="0.35">
      <c r="D88">
        <v>7000</v>
      </c>
      <c r="E88" s="2">
        <f>SUMIFS('Grid Data'!$P$4:$P$2342,'Grid Data'!$N$4:$N$2342,$D88,'Grid Data'!$O$4:$O$2342,E$4,'Grid Data'!$M$4:$M$2342,$D$2)</f>
        <v>13241</v>
      </c>
      <c r="F88" s="2">
        <f>SUMIFS('Grid Data'!$P$4:$P$2342,'Grid Data'!$N$4:$N$2342,$D88,'Grid Data'!$O$4:$O$2342,F$4,'Grid Data'!$M$4:$M$2342,$D$2)</f>
        <v>3279</v>
      </c>
      <c r="G88" s="2">
        <f>SUMIFS('Grid Data'!$P$4:$P$2342,'Grid Data'!$N$4:$N$2342,$D88,'Grid Data'!$O$4:$O$2342,G$4,'Grid Data'!$M$4:$M$2342,$D$2)</f>
        <v>4963</v>
      </c>
      <c r="H88" s="2">
        <f>SUMIFS('Grid Data'!$P$4:$P$2342,'Grid Data'!$N$4:$N$2342,$D88,'Grid Data'!$O$4:$O$2342,H$4,'Grid Data'!$M$4:$M$2342,$D$2)</f>
        <v>6004</v>
      </c>
      <c r="I88" s="2">
        <f>SUMIFS('Grid Data'!$P$4:$P$2342,'Grid Data'!$N$4:$N$2342,$D88,'Grid Data'!$O$4:$O$2342,I$4,'Grid Data'!$M$4:$M$2342,$D$2)</f>
        <v>6784</v>
      </c>
      <c r="J88" s="2">
        <f>SUMIFS('Grid Data'!$P$4:$P$2342,'Grid Data'!$N$4:$N$2342,$D88,'Grid Data'!$O$4:$O$2342,J$4,'Grid Data'!$M$4:$M$2342,$D$2)</f>
        <v>6302</v>
      </c>
      <c r="K88" s="2">
        <f>SUMIFS('Grid Data'!$P$4:$P$2342,'Grid Data'!$N$4:$N$2342,$D88,'Grid Data'!$O$4:$O$2342,K$4,'Grid Data'!$M$4:$M$2342,$D$2)</f>
        <v>6897</v>
      </c>
      <c r="L88" s="2">
        <f>SUMIFS('Grid Data'!$P$4:$P$2342,'Grid Data'!$N$4:$N$2342,$D88,'Grid Data'!$O$4:$O$2342,L$4,'Grid Data'!$M$4:$M$2342,$D$2)</f>
        <v>6156</v>
      </c>
      <c r="M88" s="2">
        <f>SUMIFS('Grid Data'!$P$4:$P$2342,'Grid Data'!$N$4:$N$2342,$D88,'Grid Data'!$O$4:$O$2342,M$4,'Grid Data'!$M$4:$M$2342,$D$2)</f>
        <v>4710</v>
      </c>
      <c r="N88" s="2">
        <f>SUMIFS('Grid Data'!$P$4:$P$2342,'Grid Data'!$N$4:$N$2342,$D88,'Grid Data'!$O$4:$O$2342,N$4,'Grid Data'!$M$4:$M$2342,$D$2)</f>
        <v>3347</v>
      </c>
      <c r="O88" s="2">
        <f>SUMIFS('Grid Data'!$P$4:$P$2342,'Grid Data'!$N$4:$N$2342,$D88,'Grid Data'!$O$4:$O$2342,O$4,'Grid Data'!$M$4:$M$2342,$D$2)</f>
        <v>7681</v>
      </c>
      <c r="P88" s="2">
        <f>SUMIFS('Grid Data'!$P$4:$P$2342,'Grid Data'!$N$4:$N$2342,$D88,'Grid Data'!$O$4:$O$2342,P$4,'Grid Data'!$M$4:$M$2342,$D$2)</f>
        <v>15852</v>
      </c>
      <c r="Q88" s="2">
        <f>SUMIFS('Grid Data'!$P$4:$P$2342,'Grid Data'!$N$4:$N$2342,$D88,'Grid Data'!$O$4:$O$2342,Q$4,'Grid Data'!$M$4:$M$2342,$D$2)</f>
        <v>17254</v>
      </c>
      <c r="R88" s="2">
        <f>SUMIFS('Grid Data'!$P$4:$P$2342,'Grid Data'!$N$4:$N$2342,$D88,'Grid Data'!$O$4:$O$2342,R$4,'Grid Data'!$M$4:$M$2342,$D$2)</f>
        <v>16418</v>
      </c>
      <c r="S88" s="2">
        <f>SUMIFS('Grid Data'!$P$4:$P$2342,'Grid Data'!$N$4:$N$2342,$D88,'Grid Data'!$O$4:$O$2342,S$4,'Grid Data'!$M$4:$M$2342,$D$2)</f>
        <v>6897</v>
      </c>
      <c r="T88" s="2">
        <f>SUMIFS('Grid Data'!$P$4:$P$2342,'Grid Data'!$N$4:$N$2342,$D88,'Grid Data'!$O$4:$O$2342,T$4,'Grid Data'!$M$4:$M$2342,$D$2)</f>
        <v>333</v>
      </c>
      <c r="U88" s="2">
        <f>SUMIFS('Grid Data'!$P$4:$P$2342,'Grid Data'!$N$4:$N$2342,$D88,'Grid Data'!$O$4:$O$2342,U$4,'Grid Data'!$M$4:$M$2342,$D$2)</f>
        <v>0</v>
      </c>
      <c r="V88" s="2">
        <f>SUMIFS('Grid Data'!$P$4:$P$2342,'Grid Data'!$N$4:$N$2342,$D88,'Grid Data'!$O$4:$O$2342,V$4,'Grid Data'!$M$4:$M$2342,$D$2)</f>
        <v>0</v>
      </c>
      <c r="W88" s="2">
        <f>SUMIFS('Grid Data'!$P$4:$P$2342,'Grid Data'!$N$4:$N$2342,$D88,'Grid Data'!$O$4:$O$2342,W$4,'Grid Data'!$M$4:$M$2342,$D$2)</f>
        <v>0</v>
      </c>
      <c r="X88" s="2">
        <f>SUMIFS('Grid Data'!$P$4:$P$2342,'Grid Data'!$N$4:$N$2342,$D88,'Grid Data'!$O$4:$O$2342,X$4,'Grid Data'!$M$4:$M$2342,$D$2)</f>
        <v>4</v>
      </c>
      <c r="Y88" s="2">
        <f>SUMIFS('Grid Data'!$P$4:$P$2342,'Grid Data'!$N$4:$N$2342,$D88,'Grid Data'!$O$4:$O$2342,Y$4,'Grid Data'!$M$4:$M$2342,$D$2)</f>
        <v>14</v>
      </c>
      <c r="Z88" s="2">
        <f>SUMIFS('Grid Data'!$P$4:$P$2342,'Grid Data'!$N$4:$N$2342,$D88,'Grid Data'!$O$4:$O$2342,Z$4,'Grid Data'!$M$4:$M$2342,$D$2)</f>
        <v>0</v>
      </c>
      <c r="AA88" s="2">
        <f>SUMIFS('Grid Data'!$P$4:$P$2342,'Grid Data'!$N$4:$N$2342,$D88,'Grid Data'!$O$4:$O$2342,AA$4,'Grid Data'!$M$4:$M$2342,$D$2)</f>
        <v>0</v>
      </c>
      <c r="AB88" s="2">
        <f>SUMIFS('Grid Data'!$P$4:$P$2342,'Grid Data'!$N$4:$N$2342,$D88,'Grid Data'!$O$4:$O$2342,AB$4,'Grid Data'!$M$4:$M$2342,$D$2)</f>
        <v>1</v>
      </c>
      <c r="AC88" s="2">
        <f>SUMIFS('Grid Data'!$P$4:$P$2342,'Grid Data'!$N$4:$N$2342,$D88,'Grid Data'!$O$4:$O$2342,AC$4,'Grid Data'!$M$4:$M$2342,$D$2)</f>
        <v>0</v>
      </c>
      <c r="AD88" s="2">
        <f>SUMIFS('Grid Data'!$P$4:$P$2342,'Grid Data'!$N$4:$N$2342,$D88,'Grid Data'!$O$4:$O$2342,AD$4,'Grid Data'!$M$4:$M$2342,$D$2)</f>
        <v>1</v>
      </c>
      <c r="AE88" s="2">
        <f>SUMIFS('Grid Data'!$P$4:$P$2342,'Grid Data'!$N$4:$N$2342,$D88,'Grid Data'!$O$4:$O$2342,AE$4,'Grid Data'!$M$4:$M$2342,$D$2)</f>
        <v>3909</v>
      </c>
      <c r="AF88" s="2">
        <f>SUMIFS('Grid Data'!$P$4:$P$2342,'Grid Data'!$N$4:$N$2342,$D88,'Grid Data'!$O$4:$O$2342,AF$4,'Grid Data'!$M$4:$M$2342,$D$2)</f>
        <v>5144</v>
      </c>
      <c r="AG88" s="2">
        <f>SUMIFS('Grid Data'!$P$4:$P$2342,'Grid Data'!$N$4:$N$2342,$D88,'Grid Data'!$O$4:$O$2342,AG$4,'Grid Data'!$M$4:$M$2342,$D$2)</f>
        <v>9740</v>
      </c>
      <c r="AH88" s="2">
        <f>SUMIFS('Grid Data'!$P$4:$P$2342,'Grid Data'!$N$4:$N$2342,$D88,'Grid Data'!$O$4:$O$2342,AH$4,'Grid Data'!$M$4:$M$2342,$D$2)</f>
        <v>4451</v>
      </c>
    </row>
    <row r="89" spans="4:34" x14ac:dyDescent="0.35">
      <c r="D89">
        <v>7250</v>
      </c>
      <c r="E89" s="2">
        <f>SUMIFS('Grid Data'!$P$4:$P$2342,'Grid Data'!$N$4:$N$2342,$D89,'Grid Data'!$O$4:$O$2342,E$4,'Grid Data'!$M$4:$M$2342,$D$2)</f>
        <v>9369</v>
      </c>
      <c r="F89" s="2">
        <f>SUMIFS('Grid Data'!$P$4:$P$2342,'Grid Data'!$N$4:$N$2342,$D89,'Grid Data'!$O$4:$O$2342,F$4,'Grid Data'!$M$4:$M$2342,$D$2)</f>
        <v>2850</v>
      </c>
      <c r="G89" s="2">
        <f>SUMIFS('Grid Data'!$P$4:$P$2342,'Grid Data'!$N$4:$N$2342,$D89,'Grid Data'!$O$4:$O$2342,G$4,'Grid Data'!$M$4:$M$2342,$D$2)</f>
        <v>3780</v>
      </c>
      <c r="H89" s="2">
        <f>SUMIFS('Grid Data'!$P$4:$P$2342,'Grid Data'!$N$4:$N$2342,$D89,'Grid Data'!$O$4:$O$2342,H$4,'Grid Data'!$M$4:$M$2342,$D$2)</f>
        <v>4515</v>
      </c>
      <c r="I89" s="2">
        <f>SUMIFS('Grid Data'!$P$4:$P$2342,'Grid Data'!$N$4:$N$2342,$D89,'Grid Data'!$O$4:$O$2342,I$4,'Grid Data'!$M$4:$M$2342,$D$2)</f>
        <v>4607</v>
      </c>
      <c r="J89" s="2">
        <f>SUMIFS('Grid Data'!$P$4:$P$2342,'Grid Data'!$N$4:$N$2342,$D89,'Grid Data'!$O$4:$O$2342,J$4,'Grid Data'!$M$4:$M$2342,$D$2)</f>
        <v>4134</v>
      </c>
      <c r="K89" s="2">
        <f>SUMIFS('Grid Data'!$P$4:$P$2342,'Grid Data'!$N$4:$N$2342,$D89,'Grid Data'!$O$4:$O$2342,K$4,'Grid Data'!$M$4:$M$2342,$D$2)</f>
        <v>5988</v>
      </c>
      <c r="L89" s="2">
        <f>SUMIFS('Grid Data'!$P$4:$P$2342,'Grid Data'!$N$4:$N$2342,$D89,'Grid Data'!$O$4:$O$2342,L$4,'Grid Data'!$M$4:$M$2342,$D$2)</f>
        <v>5519</v>
      </c>
      <c r="M89" s="2">
        <f>SUMIFS('Grid Data'!$P$4:$P$2342,'Grid Data'!$N$4:$N$2342,$D89,'Grid Data'!$O$4:$O$2342,M$4,'Grid Data'!$M$4:$M$2342,$D$2)</f>
        <v>4877</v>
      </c>
      <c r="N89" s="2">
        <f>SUMIFS('Grid Data'!$P$4:$P$2342,'Grid Data'!$N$4:$N$2342,$D89,'Grid Data'!$O$4:$O$2342,N$4,'Grid Data'!$M$4:$M$2342,$D$2)</f>
        <v>3615</v>
      </c>
      <c r="O89" s="2">
        <f>SUMIFS('Grid Data'!$P$4:$P$2342,'Grid Data'!$N$4:$N$2342,$D89,'Grid Data'!$O$4:$O$2342,O$4,'Grid Data'!$M$4:$M$2342,$D$2)</f>
        <v>10454</v>
      </c>
      <c r="P89" s="2">
        <f>SUMIFS('Grid Data'!$P$4:$P$2342,'Grid Data'!$N$4:$N$2342,$D89,'Grid Data'!$O$4:$O$2342,P$4,'Grid Data'!$M$4:$M$2342,$D$2)</f>
        <v>23595</v>
      </c>
      <c r="Q89" s="2">
        <f>SUMIFS('Grid Data'!$P$4:$P$2342,'Grid Data'!$N$4:$N$2342,$D89,'Grid Data'!$O$4:$O$2342,Q$4,'Grid Data'!$M$4:$M$2342,$D$2)</f>
        <v>32329</v>
      </c>
      <c r="R89" s="2">
        <f>SUMIFS('Grid Data'!$P$4:$P$2342,'Grid Data'!$N$4:$N$2342,$D89,'Grid Data'!$O$4:$O$2342,R$4,'Grid Data'!$M$4:$M$2342,$D$2)</f>
        <v>24645</v>
      </c>
      <c r="S89" s="2">
        <f>SUMIFS('Grid Data'!$P$4:$P$2342,'Grid Data'!$N$4:$N$2342,$D89,'Grid Data'!$O$4:$O$2342,S$4,'Grid Data'!$M$4:$M$2342,$D$2)</f>
        <v>9681</v>
      </c>
      <c r="T89" s="2">
        <f>SUMIFS('Grid Data'!$P$4:$P$2342,'Grid Data'!$N$4:$N$2342,$D89,'Grid Data'!$O$4:$O$2342,T$4,'Grid Data'!$M$4:$M$2342,$D$2)</f>
        <v>128</v>
      </c>
      <c r="U89" s="2">
        <f>SUMIFS('Grid Data'!$P$4:$P$2342,'Grid Data'!$N$4:$N$2342,$D89,'Grid Data'!$O$4:$O$2342,U$4,'Grid Data'!$M$4:$M$2342,$D$2)</f>
        <v>0</v>
      </c>
      <c r="V89" s="2">
        <f>SUMIFS('Grid Data'!$P$4:$P$2342,'Grid Data'!$N$4:$N$2342,$D89,'Grid Data'!$O$4:$O$2342,V$4,'Grid Data'!$M$4:$M$2342,$D$2)</f>
        <v>0</v>
      </c>
      <c r="W89" s="2">
        <f>SUMIFS('Grid Data'!$P$4:$P$2342,'Grid Data'!$N$4:$N$2342,$D89,'Grid Data'!$O$4:$O$2342,W$4,'Grid Data'!$M$4:$M$2342,$D$2)</f>
        <v>0</v>
      </c>
      <c r="X89" s="2">
        <f>SUMIFS('Grid Data'!$P$4:$P$2342,'Grid Data'!$N$4:$N$2342,$D89,'Grid Data'!$O$4:$O$2342,X$4,'Grid Data'!$M$4:$M$2342,$D$2)</f>
        <v>2</v>
      </c>
      <c r="Y89" s="2">
        <f>SUMIFS('Grid Data'!$P$4:$P$2342,'Grid Data'!$N$4:$N$2342,$D89,'Grid Data'!$O$4:$O$2342,Y$4,'Grid Data'!$M$4:$M$2342,$D$2)</f>
        <v>17</v>
      </c>
      <c r="Z89" s="2">
        <f>SUMIFS('Grid Data'!$P$4:$P$2342,'Grid Data'!$N$4:$N$2342,$D89,'Grid Data'!$O$4:$O$2342,Z$4,'Grid Data'!$M$4:$M$2342,$D$2)</f>
        <v>0</v>
      </c>
      <c r="AA89" s="2">
        <f>SUMIFS('Grid Data'!$P$4:$P$2342,'Grid Data'!$N$4:$N$2342,$D89,'Grid Data'!$O$4:$O$2342,AA$4,'Grid Data'!$M$4:$M$2342,$D$2)</f>
        <v>0</v>
      </c>
      <c r="AB89" s="2">
        <f>SUMIFS('Grid Data'!$P$4:$P$2342,'Grid Data'!$N$4:$N$2342,$D89,'Grid Data'!$O$4:$O$2342,AB$4,'Grid Data'!$M$4:$M$2342,$D$2)</f>
        <v>0</v>
      </c>
      <c r="AC89" s="2">
        <f>SUMIFS('Grid Data'!$P$4:$P$2342,'Grid Data'!$N$4:$N$2342,$D89,'Grid Data'!$O$4:$O$2342,AC$4,'Grid Data'!$M$4:$M$2342,$D$2)</f>
        <v>0</v>
      </c>
      <c r="AD89" s="2">
        <f>SUMIFS('Grid Data'!$P$4:$P$2342,'Grid Data'!$N$4:$N$2342,$D89,'Grid Data'!$O$4:$O$2342,AD$4,'Grid Data'!$M$4:$M$2342,$D$2)</f>
        <v>15</v>
      </c>
      <c r="AE89" s="2">
        <f>SUMIFS('Grid Data'!$P$4:$P$2342,'Grid Data'!$N$4:$N$2342,$D89,'Grid Data'!$O$4:$O$2342,AE$4,'Grid Data'!$M$4:$M$2342,$D$2)</f>
        <v>694</v>
      </c>
      <c r="AF89" s="2">
        <f>SUMIFS('Grid Data'!$P$4:$P$2342,'Grid Data'!$N$4:$N$2342,$D89,'Grid Data'!$O$4:$O$2342,AF$4,'Grid Data'!$M$4:$M$2342,$D$2)</f>
        <v>1053</v>
      </c>
      <c r="AG89" s="2">
        <f>SUMIFS('Grid Data'!$P$4:$P$2342,'Grid Data'!$N$4:$N$2342,$D89,'Grid Data'!$O$4:$O$2342,AG$4,'Grid Data'!$M$4:$M$2342,$D$2)</f>
        <v>1999</v>
      </c>
      <c r="AH89" s="2">
        <f>SUMIFS('Grid Data'!$P$4:$P$2342,'Grid Data'!$N$4:$N$2342,$D89,'Grid Data'!$O$4:$O$2342,AH$4,'Grid Data'!$M$4:$M$2342,$D$2)</f>
        <v>1134</v>
      </c>
    </row>
    <row r="90" spans="4:34" x14ac:dyDescent="0.35">
      <c r="D90">
        <v>7500</v>
      </c>
      <c r="E90" s="2">
        <f>SUMIFS('Grid Data'!$P$4:$P$2342,'Grid Data'!$N$4:$N$2342,$D90,'Grid Data'!$O$4:$O$2342,E$4,'Grid Data'!$M$4:$M$2342,$D$2)</f>
        <v>710</v>
      </c>
      <c r="F90" s="2">
        <f>SUMIFS('Grid Data'!$P$4:$P$2342,'Grid Data'!$N$4:$N$2342,$D90,'Grid Data'!$O$4:$O$2342,F$4,'Grid Data'!$M$4:$M$2342,$D$2)</f>
        <v>443</v>
      </c>
      <c r="G90" s="2">
        <f>SUMIFS('Grid Data'!$P$4:$P$2342,'Grid Data'!$N$4:$N$2342,$D90,'Grid Data'!$O$4:$O$2342,G$4,'Grid Data'!$M$4:$M$2342,$D$2)</f>
        <v>658</v>
      </c>
      <c r="H90" s="2">
        <f>SUMIFS('Grid Data'!$P$4:$P$2342,'Grid Data'!$N$4:$N$2342,$D90,'Grid Data'!$O$4:$O$2342,H$4,'Grid Data'!$M$4:$M$2342,$D$2)</f>
        <v>851</v>
      </c>
      <c r="I90" s="2">
        <f>SUMIFS('Grid Data'!$P$4:$P$2342,'Grid Data'!$N$4:$N$2342,$D90,'Grid Data'!$O$4:$O$2342,I$4,'Grid Data'!$M$4:$M$2342,$D$2)</f>
        <v>1040</v>
      </c>
      <c r="J90" s="2">
        <f>SUMIFS('Grid Data'!$P$4:$P$2342,'Grid Data'!$N$4:$N$2342,$D90,'Grid Data'!$O$4:$O$2342,J$4,'Grid Data'!$M$4:$M$2342,$D$2)</f>
        <v>836</v>
      </c>
      <c r="K90" s="2">
        <f>SUMIFS('Grid Data'!$P$4:$P$2342,'Grid Data'!$N$4:$N$2342,$D90,'Grid Data'!$O$4:$O$2342,K$4,'Grid Data'!$M$4:$M$2342,$D$2)</f>
        <v>1757</v>
      </c>
      <c r="L90" s="2">
        <f>SUMIFS('Grid Data'!$P$4:$P$2342,'Grid Data'!$N$4:$N$2342,$D90,'Grid Data'!$O$4:$O$2342,L$4,'Grid Data'!$M$4:$M$2342,$D$2)</f>
        <v>1507</v>
      </c>
      <c r="M90" s="2">
        <f>SUMIFS('Grid Data'!$P$4:$P$2342,'Grid Data'!$N$4:$N$2342,$D90,'Grid Data'!$O$4:$O$2342,M$4,'Grid Data'!$M$4:$M$2342,$D$2)</f>
        <v>1055</v>
      </c>
      <c r="N90" s="2">
        <f>SUMIFS('Grid Data'!$P$4:$P$2342,'Grid Data'!$N$4:$N$2342,$D90,'Grid Data'!$O$4:$O$2342,N$4,'Grid Data'!$M$4:$M$2342,$D$2)</f>
        <v>923</v>
      </c>
      <c r="O90" s="2">
        <f>SUMIFS('Grid Data'!$P$4:$P$2342,'Grid Data'!$N$4:$N$2342,$D90,'Grid Data'!$O$4:$O$2342,O$4,'Grid Data'!$M$4:$M$2342,$D$2)</f>
        <v>1906</v>
      </c>
      <c r="P90" s="2">
        <f>SUMIFS('Grid Data'!$P$4:$P$2342,'Grid Data'!$N$4:$N$2342,$D90,'Grid Data'!$O$4:$O$2342,P$4,'Grid Data'!$M$4:$M$2342,$D$2)</f>
        <v>4382</v>
      </c>
      <c r="Q90" s="2">
        <f>SUMIFS('Grid Data'!$P$4:$P$2342,'Grid Data'!$N$4:$N$2342,$D90,'Grid Data'!$O$4:$O$2342,Q$4,'Grid Data'!$M$4:$M$2342,$D$2)</f>
        <v>10061</v>
      </c>
      <c r="R90" s="2">
        <f>SUMIFS('Grid Data'!$P$4:$P$2342,'Grid Data'!$N$4:$N$2342,$D90,'Grid Data'!$O$4:$O$2342,R$4,'Grid Data'!$M$4:$M$2342,$D$2)</f>
        <v>4910</v>
      </c>
      <c r="S90" s="2">
        <f>SUMIFS('Grid Data'!$P$4:$P$2342,'Grid Data'!$N$4:$N$2342,$D90,'Grid Data'!$O$4:$O$2342,S$4,'Grid Data'!$M$4:$M$2342,$D$2)</f>
        <v>1534</v>
      </c>
      <c r="T90" s="2">
        <f>SUMIFS('Grid Data'!$P$4:$P$2342,'Grid Data'!$N$4:$N$2342,$D90,'Grid Data'!$O$4:$O$2342,T$4,'Grid Data'!$M$4:$M$2342,$D$2)</f>
        <v>0</v>
      </c>
      <c r="U90" s="2">
        <f>SUMIFS('Grid Data'!$P$4:$P$2342,'Grid Data'!$N$4:$N$2342,$D90,'Grid Data'!$O$4:$O$2342,U$4,'Grid Data'!$M$4:$M$2342,$D$2)</f>
        <v>0</v>
      </c>
      <c r="V90" s="2">
        <f>SUMIFS('Grid Data'!$P$4:$P$2342,'Grid Data'!$N$4:$N$2342,$D90,'Grid Data'!$O$4:$O$2342,V$4,'Grid Data'!$M$4:$M$2342,$D$2)</f>
        <v>0</v>
      </c>
      <c r="W90" s="2">
        <f>SUMIFS('Grid Data'!$P$4:$P$2342,'Grid Data'!$N$4:$N$2342,$D90,'Grid Data'!$O$4:$O$2342,W$4,'Grid Data'!$M$4:$M$2342,$D$2)</f>
        <v>0</v>
      </c>
      <c r="X90" s="2">
        <f>SUMIFS('Grid Data'!$P$4:$P$2342,'Grid Data'!$N$4:$N$2342,$D90,'Grid Data'!$O$4:$O$2342,X$4,'Grid Data'!$M$4:$M$2342,$D$2)</f>
        <v>0</v>
      </c>
      <c r="Y90" s="2">
        <f>SUMIFS('Grid Data'!$P$4:$P$2342,'Grid Data'!$N$4:$N$2342,$D90,'Grid Data'!$O$4:$O$2342,Y$4,'Grid Data'!$M$4:$M$2342,$D$2)</f>
        <v>0</v>
      </c>
      <c r="Z90" s="2">
        <f>SUMIFS('Grid Data'!$P$4:$P$2342,'Grid Data'!$N$4:$N$2342,$D90,'Grid Data'!$O$4:$O$2342,Z$4,'Grid Data'!$M$4:$M$2342,$D$2)</f>
        <v>0</v>
      </c>
      <c r="AA90" s="2">
        <f>SUMIFS('Grid Data'!$P$4:$P$2342,'Grid Data'!$N$4:$N$2342,$D90,'Grid Data'!$O$4:$O$2342,AA$4,'Grid Data'!$M$4:$M$2342,$D$2)</f>
        <v>0</v>
      </c>
      <c r="AB90" s="2">
        <f>SUMIFS('Grid Data'!$P$4:$P$2342,'Grid Data'!$N$4:$N$2342,$D90,'Grid Data'!$O$4:$O$2342,AB$4,'Grid Data'!$M$4:$M$2342,$D$2)</f>
        <v>0</v>
      </c>
      <c r="AC90" s="2">
        <f>SUMIFS('Grid Data'!$P$4:$P$2342,'Grid Data'!$N$4:$N$2342,$D90,'Grid Data'!$O$4:$O$2342,AC$4,'Grid Data'!$M$4:$M$2342,$D$2)</f>
        <v>0</v>
      </c>
      <c r="AD90" s="2">
        <f>SUMIFS('Grid Data'!$P$4:$P$2342,'Grid Data'!$N$4:$N$2342,$D90,'Grid Data'!$O$4:$O$2342,AD$4,'Grid Data'!$M$4:$M$2342,$D$2)</f>
        <v>0</v>
      </c>
      <c r="AE90" s="2">
        <f>SUMIFS('Grid Data'!$P$4:$P$2342,'Grid Data'!$N$4:$N$2342,$D90,'Grid Data'!$O$4:$O$2342,AE$4,'Grid Data'!$M$4:$M$2342,$D$2)</f>
        <v>629</v>
      </c>
      <c r="AF90" s="2">
        <f>SUMIFS('Grid Data'!$P$4:$P$2342,'Grid Data'!$N$4:$N$2342,$D90,'Grid Data'!$O$4:$O$2342,AF$4,'Grid Data'!$M$4:$M$2342,$D$2)</f>
        <v>958</v>
      </c>
      <c r="AG90" s="2">
        <f>SUMIFS('Grid Data'!$P$4:$P$2342,'Grid Data'!$N$4:$N$2342,$D90,'Grid Data'!$O$4:$O$2342,AG$4,'Grid Data'!$M$4:$M$2342,$D$2)</f>
        <v>4539</v>
      </c>
      <c r="AH90" s="2">
        <f>SUMIFS('Grid Data'!$P$4:$P$2342,'Grid Data'!$N$4:$N$2342,$D90,'Grid Data'!$O$4:$O$2342,AH$4,'Grid Data'!$M$4:$M$2342,$D$2)</f>
        <v>3854</v>
      </c>
    </row>
    <row r="91" spans="4:34" x14ac:dyDescent="0.35">
      <c r="D91">
        <v>7750</v>
      </c>
      <c r="E91" s="2">
        <f>SUMIFS('Grid Data'!$P$4:$P$2342,'Grid Data'!$N$4:$N$2342,$D91,'Grid Data'!$O$4:$O$2342,E$4,'Grid Data'!$M$4:$M$2342,$D$2)</f>
        <v>1788</v>
      </c>
      <c r="F91" s="2">
        <f>SUMIFS('Grid Data'!$P$4:$P$2342,'Grid Data'!$N$4:$N$2342,$D91,'Grid Data'!$O$4:$O$2342,F$4,'Grid Data'!$M$4:$M$2342,$D$2)</f>
        <v>740</v>
      </c>
      <c r="G91" s="2">
        <f>SUMIFS('Grid Data'!$P$4:$P$2342,'Grid Data'!$N$4:$N$2342,$D91,'Grid Data'!$O$4:$O$2342,G$4,'Grid Data'!$M$4:$M$2342,$D$2)</f>
        <v>897</v>
      </c>
      <c r="H91" s="2">
        <f>SUMIFS('Grid Data'!$P$4:$P$2342,'Grid Data'!$N$4:$N$2342,$D91,'Grid Data'!$O$4:$O$2342,H$4,'Grid Data'!$M$4:$M$2342,$D$2)</f>
        <v>1077</v>
      </c>
      <c r="I91" s="2">
        <f>SUMIFS('Grid Data'!$P$4:$P$2342,'Grid Data'!$N$4:$N$2342,$D91,'Grid Data'!$O$4:$O$2342,I$4,'Grid Data'!$M$4:$M$2342,$D$2)</f>
        <v>1250</v>
      </c>
      <c r="J91" s="2">
        <f>SUMIFS('Grid Data'!$P$4:$P$2342,'Grid Data'!$N$4:$N$2342,$D91,'Grid Data'!$O$4:$O$2342,J$4,'Grid Data'!$M$4:$M$2342,$D$2)</f>
        <v>970</v>
      </c>
      <c r="K91" s="2">
        <f>SUMIFS('Grid Data'!$P$4:$P$2342,'Grid Data'!$N$4:$N$2342,$D91,'Grid Data'!$O$4:$O$2342,K$4,'Grid Data'!$M$4:$M$2342,$D$2)</f>
        <v>1431</v>
      </c>
      <c r="L91" s="2">
        <f>SUMIFS('Grid Data'!$P$4:$P$2342,'Grid Data'!$N$4:$N$2342,$D91,'Grid Data'!$O$4:$O$2342,L$4,'Grid Data'!$M$4:$M$2342,$D$2)</f>
        <v>1522</v>
      </c>
      <c r="M91" s="2">
        <f>SUMIFS('Grid Data'!$P$4:$P$2342,'Grid Data'!$N$4:$N$2342,$D91,'Grid Data'!$O$4:$O$2342,M$4,'Grid Data'!$M$4:$M$2342,$D$2)</f>
        <v>1490</v>
      </c>
      <c r="N91" s="2">
        <f>SUMIFS('Grid Data'!$P$4:$P$2342,'Grid Data'!$N$4:$N$2342,$D91,'Grid Data'!$O$4:$O$2342,N$4,'Grid Data'!$M$4:$M$2342,$D$2)</f>
        <v>1264</v>
      </c>
      <c r="O91" s="2">
        <f>SUMIFS('Grid Data'!$P$4:$P$2342,'Grid Data'!$N$4:$N$2342,$D91,'Grid Data'!$O$4:$O$2342,O$4,'Grid Data'!$M$4:$M$2342,$D$2)</f>
        <v>2846</v>
      </c>
      <c r="P91" s="2">
        <f>SUMIFS('Grid Data'!$P$4:$P$2342,'Grid Data'!$N$4:$N$2342,$D91,'Grid Data'!$O$4:$O$2342,P$4,'Grid Data'!$M$4:$M$2342,$D$2)</f>
        <v>6586</v>
      </c>
      <c r="Q91" s="2">
        <f>SUMIFS('Grid Data'!$P$4:$P$2342,'Grid Data'!$N$4:$N$2342,$D91,'Grid Data'!$O$4:$O$2342,Q$4,'Grid Data'!$M$4:$M$2342,$D$2)</f>
        <v>16576</v>
      </c>
      <c r="R91" s="2">
        <f>SUMIFS('Grid Data'!$P$4:$P$2342,'Grid Data'!$N$4:$N$2342,$D91,'Grid Data'!$O$4:$O$2342,R$4,'Grid Data'!$M$4:$M$2342,$D$2)</f>
        <v>4558</v>
      </c>
      <c r="S91" s="2">
        <f>SUMIFS('Grid Data'!$P$4:$P$2342,'Grid Data'!$N$4:$N$2342,$D91,'Grid Data'!$O$4:$O$2342,S$4,'Grid Data'!$M$4:$M$2342,$D$2)</f>
        <v>1536</v>
      </c>
      <c r="T91" s="2">
        <f>SUMIFS('Grid Data'!$P$4:$P$2342,'Grid Data'!$N$4:$N$2342,$D91,'Grid Data'!$O$4:$O$2342,T$4,'Grid Data'!$M$4:$M$2342,$D$2)</f>
        <v>0</v>
      </c>
      <c r="U91" s="2">
        <f>SUMIFS('Grid Data'!$P$4:$P$2342,'Grid Data'!$N$4:$N$2342,$D91,'Grid Data'!$O$4:$O$2342,U$4,'Grid Data'!$M$4:$M$2342,$D$2)</f>
        <v>0</v>
      </c>
      <c r="V91" s="2">
        <f>SUMIFS('Grid Data'!$P$4:$P$2342,'Grid Data'!$N$4:$N$2342,$D91,'Grid Data'!$O$4:$O$2342,V$4,'Grid Data'!$M$4:$M$2342,$D$2)</f>
        <v>0</v>
      </c>
      <c r="W91" s="2">
        <f>SUMIFS('Grid Data'!$P$4:$P$2342,'Grid Data'!$N$4:$N$2342,$D91,'Grid Data'!$O$4:$O$2342,W$4,'Grid Data'!$M$4:$M$2342,$D$2)</f>
        <v>0</v>
      </c>
      <c r="X91" s="2">
        <f>SUMIFS('Grid Data'!$P$4:$P$2342,'Grid Data'!$N$4:$N$2342,$D91,'Grid Data'!$O$4:$O$2342,X$4,'Grid Data'!$M$4:$M$2342,$D$2)</f>
        <v>0</v>
      </c>
      <c r="Y91" s="2">
        <f>SUMIFS('Grid Data'!$P$4:$P$2342,'Grid Data'!$N$4:$N$2342,$D91,'Grid Data'!$O$4:$O$2342,Y$4,'Grid Data'!$M$4:$M$2342,$D$2)</f>
        <v>0</v>
      </c>
      <c r="Z91" s="2">
        <f>SUMIFS('Grid Data'!$P$4:$P$2342,'Grid Data'!$N$4:$N$2342,$D91,'Grid Data'!$O$4:$O$2342,Z$4,'Grid Data'!$M$4:$M$2342,$D$2)</f>
        <v>0</v>
      </c>
      <c r="AA91" s="2">
        <f>SUMIFS('Grid Data'!$P$4:$P$2342,'Grid Data'!$N$4:$N$2342,$D91,'Grid Data'!$O$4:$O$2342,AA$4,'Grid Data'!$M$4:$M$2342,$D$2)</f>
        <v>0</v>
      </c>
      <c r="AB91" s="2">
        <f>SUMIFS('Grid Data'!$P$4:$P$2342,'Grid Data'!$N$4:$N$2342,$D91,'Grid Data'!$O$4:$O$2342,AB$4,'Grid Data'!$M$4:$M$2342,$D$2)</f>
        <v>0</v>
      </c>
      <c r="AC91" s="2">
        <f>SUMIFS('Grid Data'!$P$4:$P$2342,'Grid Data'!$N$4:$N$2342,$D91,'Grid Data'!$O$4:$O$2342,AC$4,'Grid Data'!$M$4:$M$2342,$D$2)</f>
        <v>0</v>
      </c>
      <c r="AD91" s="2">
        <f>SUMIFS('Grid Data'!$P$4:$P$2342,'Grid Data'!$N$4:$N$2342,$D91,'Grid Data'!$O$4:$O$2342,AD$4,'Grid Data'!$M$4:$M$2342,$D$2)</f>
        <v>0</v>
      </c>
      <c r="AE91" s="2">
        <f>SUMIFS('Grid Data'!$P$4:$P$2342,'Grid Data'!$N$4:$N$2342,$D91,'Grid Data'!$O$4:$O$2342,AE$4,'Grid Data'!$M$4:$M$2342,$D$2)</f>
        <v>26</v>
      </c>
      <c r="AF91" s="2">
        <f>SUMIFS('Grid Data'!$P$4:$P$2342,'Grid Data'!$N$4:$N$2342,$D91,'Grid Data'!$O$4:$O$2342,AF$4,'Grid Data'!$M$4:$M$2342,$D$2)</f>
        <v>63</v>
      </c>
      <c r="AG91" s="2">
        <f>SUMIFS('Grid Data'!$P$4:$P$2342,'Grid Data'!$N$4:$N$2342,$D91,'Grid Data'!$O$4:$O$2342,AG$4,'Grid Data'!$M$4:$M$2342,$D$2)</f>
        <v>940</v>
      </c>
      <c r="AH91" s="2">
        <f>SUMIFS('Grid Data'!$P$4:$P$2342,'Grid Data'!$N$4:$N$2342,$D91,'Grid Data'!$O$4:$O$2342,AH$4,'Grid Data'!$M$4:$M$2342,$D$2)</f>
        <v>589</v>
      </c>
    </row>
    <row r="92" spans="4:34" x14ac:dyDescent="0.35">
      <c r="D92">
        <v>8000</v>
      </c>
      <c r="E92" s="2">
        <f>SUMIFS('Grid Data'!$P$4:$P$2342,'Grid Data'!$N$4:$N$2342,$D92,'Grid Data'!$O$4:$O$2342,E$4,'Grid Data'!$M$4:$M$2342,$D$2)</f>
        <v>188</v>
      </c>
      <c r="F92" s="2">
        <f>SUMIFS('Grid Data'!$P$4:$P$2342,'Grid Data'!$N$4:$N$2342,$D92,'Grid Data'!$O$4:$O$2342,F$4,'Grid Data'!$M$4:$M$2342,$D$2)</f>
        <v>86</v>
      </c>
      <c r="G92" s="2">
        <f>SUMIFS('Grid Data'!$P$4:$P$2342,'Grid Data'!$N$4:$N$2342,$D92,'Grid Data'!$O$4:$O$2342,G$4,'Grid Data'!$M$4:$M$2342,$D$2)</f>
        <v>116</v>
      </c>
      <c r="H92" s="2">
        <f>SUMIFS('Grid Data'!$P$4:$P$2342,'Grid Data'!$N$4:$N$2342,$D92,'Grid Data'!$O$4:$O$2342,H$4,'Grid Data'!$M$4:$M$2342,$D$2)</f>
        <v>157</v>
      </c>
      <c r="I92" s="2">
        <f>SUMIFS('Grid Data'!$P$4:$P$2342,'Grid Data'!$N$4:$N$2342,$D92,'Grid Data'!$O$4:$O$2342,I$4,'Grid Data'!$M$4:$M$2342,$D$2)</f>
        <v>178</v>
      </c>
      <c r="J92" s="2">
        <f>SUMIFS('Grid Data'!$P$4:$P$2342,'Grid Data'!$N$4:$N$2342,$D92,'Grid Data'!$O$4:$O$2342,J$4,'Grid Data'!$M$4:$M$2342,$D$2)</f>
        <v>154</v>
      </c>
      <c r="K92" s="2">
        <f>SUMIFS('Grid Data'!$P$4:$P$2342,'Grid Data'!$N$4:$N$2342,$D92,'Grid Data'!$O$4:$O$2342,K$4,'Grid Data'!$M$4:$M$2342,$D$2)</f>
        <v>164</v>
      </c>
      <c r="L92" s="2">
        <f>SUMIFS('Grid Data'!$P$4:$P$2342,'Grid Data'!$N$4:$N$2342,$D92,'Grid Data'!$O$4:$O$2342,L$4,'Grid Data'!$M$4:$M$2342,$D$2)</f>
        <v>144</v>
      </c>
      <c r="M92" s="2">
        <f>SUMIFS('Grid Data'!$P$4:$P$2342,'Grid Data'!$N$4:$N$2342,$D92,'Grid Data'!$O$4:$O$2342,M$4,'Grid Data'!$M$4:$M$2342,$D$2)</f>
        <v>197</v>
      </c>
      <c r="N92" s="2">
        <f>SUMIFS('Grid Data'!$P$4:$P$2342,'Grid Data'!$N$4:$N$2342,$D92,'Grid Data'!$O$4:$O$2342,N$4,'Grid Data'!$M$4:$M$2342,$D$2)</f>
        <v>115</v>
      </c>
      <c r="O92" s="2">
        <f>SUMIFS('Grid Data'!$P$4:$P$2342,'Grid Data'!$N$4:$N$2342,$D92,'Grid Data'!$O$4:$O$2342,O$4,'Grid Data'!$M$4:$M$2342,$D$2)</f>
        <v>237</v>
      </c>
      <c r="P92" s="2">
        <f>SUMIFS('Grid Data'!$P$4:$P$2342,'Grid Data'!$N$4:$N$2342,$D92,'Grid Data'!$O$4:$O$2342,P$4,'Grid Data'!$M$4:$M$2342,$D$2)</f>
        <v>714</v>
      </c>
      <c r="Q92" s="2">
        <f>SUMIFS('Grid Data'!$P$4:$P$2342,'Grid Data'!$N$4:$N$2342,$D92,'Grid Data'!$O$4:$O$2342,Q$4,'Grid Data'!$M$4:$M$2342,$D$2)</f>
        <v>2599</v>
      </c>
      <c r="R92" s="2">
        <f>SUMIFS('Grid Data'!$P$4:$P$2342,'Grid Data'!$N$4:$N$2342,$D92,'Grid Data'!$O$4:$O$2342,R$4,'Grid Data'!$M$4:$M$2342,$D$2)</f>
        <v>276</v>
      </c>
      <c r="S92" s="2">
        <f>SUMIFS('Grid Data'!$P$4:$P$2342,'Grid Data'!$N$4:$N$2342,$D92,'Grid Data'!$O$4:$O$2342,S$4,'Grid Data'!$M$4:$M$2342,$D$2)</f>
        <v>125</v>
      </c>
      <c r="T92" s="2">
        <f>SUMIFS('Grid Data'!$P$4:$P$2342,'Grid Data'!$N$4:$N$2342,$D92,'Grid Data'!$O$4:$O$2342,T$4,'Grid Data'!$M$4:$M$2342,$D$2)</f>
        <v>0</v>
      </c>
      <c r="U92" s="2">
        <f>SUMIFS('Grid Data'!$P$4:$P$2342,'Grid Data'!$N$4:$N$2342,$D92,'Grid Data'!$O$4:$O$2342,U$4,'Grid Data'!$M$4:$M$2342,$D$2)</f>
        <v>0</v>
      </c>
      <c r="V92" s="2">
        <f>SUMIFS('Grid Data'!$P$4:$P$2342,'Grid Data'!$N$4:$N$2342,$D92,'Grid Data'!$O$4:$O$2342,V$4,'Grid Data'!$M$4:$M$2342,$D$2)</f>
        <v>0</v>
      </c>
      <c r="W92" s="2">
        <f>SUMIFS('Grid Data'!$P$4:$P$2342,'Grid Data'!$N$4:$N$2342,$D92,'Grid Data'!$O$4:$O$2342,W$4,'Grid Data'!$M$4:$M$2342,$D$2)</f>
        <v>0</v>
      </c>
      <c r="X92" s="2">
        <f>SUMIFS('Grid Data'!$P$4:$P$2342,'Grid Data'!$N$4:$N$2342,$D92,'Grid Data'!$O$4:$O$2342,X$4,'Grid Data'!$M$4:$M$2342,$D$2)</f>
        <v>0</v>
      </c>
      <c r="Y92" s="2">
        <f>SUMIFS('Grid Data'!$P$4:$P$2342,'Grid Data'!$N$4:$N$2342,$D92,'Grid Data'!$O$4:$O$2342,Y$4,'Grid Data'!$M$4:$M$2342,$D$2)</f>
        <v>0</v>
      </c>
      <c r="Z92" s="2">
        <f>SUMIFS('Grid Data'!$P$4:$P$2342,'Grid Data'!$N$4:$N$2342,$D92,'Grid Data'!$O$4:$O$2342,Z$4,'Grid Data'!$M$4:$M$2342,$D$2)</f>
        <v>0</v>
      </c>
      <c r="AA92" s="2">
        <f>SUMIFS('Grid Data'!$P$4:$P$2342,'Grid Data'!$N$4:$N$2342,$D92,'Grid Data'!$O$4:$O$2342,AA$4,'Grid Data'!$M$4:$M$2342,$D$2)</f>
        <v>0</v>
      </c>
      <c r="AB92" s="2">
        <f>SUMIFS('Grid Data'!$P$4:$P$2342,'Grid Data'!$N$4:$N$2342,$D92,'Grid Data'!$O$4:$O$2342,AB$4,'Grid Data'!$M$4:$M$2342,$D$2)</f>
        <v>0</v>
      </c>
      <c r="AC92" s="2">
        <f>SUMIFS('Grid Data'!$P$4:$P$2342,'Grid Data'!$N$4:$N$2342,$D92,'Grid Data'!$O$4:$O$2342,AC$4,'Grid Data'!$M$4:$M$2342,$D$2)</f>
        <v>0</v>
      </c>
      <c r="AD92" s="2">
        <f>SUMIFS('Grid Data'!$P$4:$P$2342,'Grid Data'!$N$4:$N$2342,$D92,'Grid Data'!$O$4:$O$2342,AD$4,'Grid Data'!$M$4:$M$2342,$D$2)</f>
        <v>0</v>
      </c>
      <c r="AE92" s="2">
        <f>SUMIFS('Grid Data'!$P$4:$P$2342,'Grid Data'!$N$4:$N$2342,$D92,'Grid Data'!$O$4:$O$2342,AE$4,'Grid Data'!$M$4:$M$2342,$D$2)</f>
        <v>16</v>
      </c>
      <c r="AF92" s="2">
        <f>SUMIFS('Grid Data'!$P$4:$P$2342,'Grid Data'!$N$4:$N$2342,$D92,'Grid Data'!$O$4:$O$2342,AF$4,'Grid Data'!$M$4:$M$2342,$D$2)</f>
        <v>33</v>
      </c>
      <c r="AG92" s="2">
        <f>SUMIFS('Grid Data'!$P$4:$P$2342,'Grid Data'!$N$4:$N$2342,$D92,'Grid Data'!$O$4:$O$2342,AG$4,'Grid Data'!$M$4:$M$2342,$D$2)</f>
        <v>1765</v>
      </c>
      <c r="AH92" s="2">
        <f>SUMIFS('Grid Data'!$P$4:$P$2342,'Grid Data'!$N$4:$N$2342,$D92,'Grid Data'!$O$4:$O$2342,AH$4,'Grid Data'!$M$4:$M$2342,$D$2)</f>
        <v>1533</v>
      </c>
    </row>
    <row r="93" spans="4:34" x14ac:dyDescent="0.35">
      <c r="D93">
        <v>8250</v>
      </c>
      <c r="E93" s="2">
        <f>SUMIFS('Grid Data'!$P$4:$P$2342,'Grid Data'!$N$4:$N$2342,$D93,'Grid Data'!$O$4:$O$2342,E$4,'Grid Data'!$M$4:$M$2342,$D$2)</f>
        <v>278</v>
      </c>
      <c r="F93" s="2">
        <f>SUMIFS('Grid Data'!$P$4:$P$2342,'Grid Data'!$N$4:$N$2342,$D93,'Grid Data'!$O$4:$O$2342,F$4,'Grid Data'!$M$4:$M$2342,$D$2)</f>
        <v>79</v>
      </c>
      <c r="G93" s="2">
        <f>SUMIFS('Grid Data'!$P$4:$P$2342,'Grid Data'!$N$4:$N$2342,$D93,'Grid Data'!$O$4:$O$2342,G$4,'Grid Data'!$M$4:$M$2342,$D$2)</f>
        <v>133</v>
      </c>
      <c r="H93" s="2">
        <f>SUMIFS('Grid Data'!$P$4:$P$2342,'Grid Data'!$N$4:$N$2342,$D93,'Grid Data'!$O$4:$O$2342,H$4,'Grid Data'!$M$4:$M$2342,$D$2)</f>
        <v>140</v>
      </c>
      <c r="I93" s="2">
        <f>SUMIFS('Grid Data'!$P$4:$P$2342,'Grid Data'!$N$4:$N$2342,$D93,'Grid Data'!$O$4:$O$2342,I$4,'Grid Data'!$M$4:$M$2342,$D$2)</f>
        <v>120</v>
      </c>
      <c r="J93" s="2">
        <f>SUMIFS('Grid Data'!$P$4:$P$2342,'Grid Data'!$N$4:$N$2342,$D93,'Grid Data'!$O$4:$O$2342,J$4,'Grid Data'!$M$4:$M$2342,$D$2)</f>
        <v>97</v>
      </c>
      <c r="K93" s="2">
        <f>SUMIFS('Grid Data'!$P$4:$P$2342,'Grid Data'!$N$4:$N$2342,$D93,'Grid Data'!$O$4:$O$2342,K$4,'Grid Data'!$M$4:$M$2342,$D$2)</f>
        <v>159</v>
      </c>
      <c r="L93" s="2">
        <f>SUMIFS('Grid Data'!$P$4:$P$2342,'Grid Data'!$N$4:$N$2342,$D93,'Grid Data'!$O$4:$O$2342,L$4,'Grid Data'!$M$4:$M$2342,$D$2)</f>
        <v>225</v>
      </c>
      <c r="M93" s="2">
        <f>SUMIFS('Grid Data'!$P$4:$P$2342,'Grid Data'!$N$4:$N$2342,$D93,'Grid Data'!$O$4:$O$2342,M$4,'Grid Data'!$M$4:$M$2342,$D$2)</f>
        <v>257</v>
      </c>
      <c r="N93" s="2">
        <f>SUMIFS('Grid Data'!$P$4:$P$2342,'Grid Data'!$N$4:$N$2342,$D93,'Grid Data'!$O$4:$O$2342,N$4,'Grid Data'!$M$4:$M$2342,$D$2)</f>
        <v>207</v>
      </c>
      <c r="O93" s="2">
        <f>SUMIFS('Grid Data'!$P$4:$P$2342,'Grid Data'!$N$4:$N$2342,$D93,'Grid Data'!$O$4:$O$2342,O$4,'Grid Data'!$M$4:$M$2342,$D$2)</f>
        <v>297</v>
      </c>
      <c r="P93" s="2">
        <f>SUMIFS('Grid Data'!$P$4:$P$2342,'Grid Data'!$N$4:$N$2342,$D93,'Grid Data'!$O$4:$O$2342,P$4,'Grid Data'!$M$4:$M$2342,$D$2)</f>
        <v>776</v>
      </c>
      <c r="Q93" s="2">
        <f>SUMIFS('Grid Data'!$P$4:$P$2342,'Grid Data'!$N$4:$N$2342,$D93,'Grid Data'!$O$4:$O$2342,Q$4,'Grid Data'!$M$4:$M$2342,$D$2)</f>
        <v>3009</v>
      </c>
      <c r="R93" s="2">
        <f>SUMIFS('Grid Data'!$P$4:$P$2342,'Grid Data'!$N$4:$N$2342,$D93,'Grid Data'!$O$4:$O$2342,R$4,'Grid Data'!$M$4:$M$2342,$D$2)</f>
        <v>328</v>
      </c>
      <c r="S93" s="2">
        <f>SUMIFS('Grid Data'!$P$4:$P$2342,'Grid Data'!$N$4:$N$2342,$D93,'Grid Data'!$O$4:$O$2342,S$4,'Grid Data'!$M$4:$M$2342,$D$2)</f>
        <v>30</v>
      </c>
      <c r="T93" s="2">
        <f>SUMIFS('Grid Data'!$P$4:$P$2342,'Grid Data'!$N$4:$N$2342,$D93,'Grid Data'!$O$4:$O$2342,T$4,'Grid Data'!$M$4:$M$2342,$D$2)</f>
        <v>0</v>
      </c>
      <c r="U93" s="2">
        <f>SUMIFS('Grid Data'!$P$4:$P$2342,'Grid Data'!$N$4:$N$2342,$D93,'Grid Data'!$O$4:$O$2342,U$4,'Grid Data'!$M$4:$M$2342,$D$2)</f>
        <v>0</v>
      </c>
      <c r="V93" s="2">
        <f>SUMIFS('Grid Data'!$P$4:$P$2342,'Grid Data'!$N$4:$N$2342,$D93,'Grid Data'!$O$4:$O$2342,V$4,'Grid Data'!$M$4:$M$2342,$D$2)</f>
        <v>0</v>
      </c>
      <c r="W93" s="2">
        <f>SUMIFS('Grid Data'!$P$4:$P$2342,'Grid Data'!$N$4:$N$2342,$D93,'Grid Data'!$O$4:$O$2342,W$4,'Grid Data'!$M$4:$M$2342,$D$2)</f>
        <v>0</v>
      </c>
      <c r="X93" s="2">
        <f>SUMIFS('Grid Data'!$P$4:$P$2342,'Grid Data'!$N$4:$N$2342,$D93,'Grid Data'!$O$4:$O$2342,X$4,'Grid Data'!$M$4:$M$2342,$D$2)</f>
        <v>0</v>
      </c>
      <c r="Y93" s="2">
        <f>SUMIFS('Grid Data'!$P$4:$P$2342,'Grid Data'!$N$4:$N$2342,$D93,'Grid Data'!$O$4:$O$2342,Y$4,'Grid Data'!$M$4:$M$2342,$D$2)</f>
        <v>0</v>
      </c>
      <c r="Z93" s="2">
        <f>SUMIFS('Grid Data'!$P$4:$P$2342,'Grid Data'!$N$4:$N$2342,$D93,'Grid Data'!$O$4:$O$2342,Z$4,'Grid Data'!$M$4:$M$2342,$D$2)</f>
        <v>0</v>
      </c>
      <c r="AA93" s="2">
        <f>SUMIFS('Grid Data'!$P$4:$P$2342,'Grid Data'!$N$4:$N$2342,$D93,'Grid Data'!$O$4:$O$2342,AA$4,'Grid Data'!$M$4:$M$2342,$D$2)</f>
        <v>0</v>
      </c>
      <c r="AB93" s="2">
        <f>SUMIFS('Grid Data'!$P$4:$P$2342,'Grid Data'!$N$4:$N$2342,$D93,'Grid Data'!$O$4:$O$2342,AB$4,'Grid Data'!$M$4:$M$2342,$D$2)</f>
        <v>0</v>
      </c>
      <c r="AC93" s="2">
        <f>SUMIFS('Grid Data'!$P$4:$P$2342,'Grid Data'!$N$4:$N$2342,$D93,'Grid Data'!$O$4:$O$2342,AC$4,'Grid Data'!$M$4:$M$2342,$D$2)</f>
        <v>0</v>
      </c>
      <c r="AD93" s="2">
        <f>SUMIFS('Grid Data'!$P$4:$P$2342,'Grid Data'!$N$4:$N$2342,$D93,'Grid Data'!$O$4:$O$2342,AD$4,'Grid Data'!$M$4:$M$2342,$D$2)</f>
        <v>0</v>
      </c>
      <c r="AE93" s="2">
        <f>SUMIFS('Grid Data'!$P$4:$P$2342,'Grid Data'!$N$4:$N$2342,$D93,'Grid Data'!$O$4:$O$2342,AE$4,'Grid Data'!$M$4:$M$2342,$D$2)</f>
        <v>3</v>
      </c>
      <c r="AF93" s="2">
        <f>SUMIFS('Grid Data'!$P$4:$P$2342,'Grid Data'!$N$4:$N$2342,$D93,'Grid Data'!$O$4:$O$2342,AF$4,'Grid Data'!$M$4:$M$2342,$D$2)</f>
        <v>8</v>
      </c>
      <c r="AG93" s="2">
        <f>SUMIFS('Grid Data'!$P$4:$P$2342,'Grid Data'!$N$4:$N$2342,$D93,'Grid Data'!$O$4:$O$2342,AG$4,'Grid Data'!$M$4:$M$2342,$D$2)</f>
        <v>444</v>
      </c>
      <c r="AH93" s="2">
        <f>SUMIFS('Grid Data'!$P$4:$P$2342,'Grid Data'!$N$4:$N$2342,$D93,'Grid Data'!$O$4:$O$2342,AH$4,'Grid Data'!$M$4:$M$2342,$D$2)</f>
        <v>185</v>
      </c>
    </row>
    <row r="94" spans="4:34" x14ac:dyDescent="0.35">
      <c r="D94">
        <v>8500</v>
      </c>
      <c r="E94" s="2">
        <f>SUMIFS('Grid Data'!$P$4:$P$2342,'Grid Data'!$N$4:$N$2342,$D94,'Grid Data'!$O$4:$O$2342,E$4,'Grid Data'!$M$4:$M$2342,$D$2)</f>
        <v>6</v>
      </c>
      <c r="F94" s="2">
        <f>SUMIFS('Grid Data'!$P$4:$P$2342,'Grid Data'!$N$4:$N$2342,$D94,'Grid Data'!$O$4:$O$2342,F$4,'Grid Data'!$M$4:$M$2342,$D$2)</f>
        <v>1</v>
      </c>
      <c r="G94" s="2">
        <f>SUMIFS('Grid Data'!$P$4:$P$2342,'Grid Data'!$N$4:$N$2342,$D94,'Grid Data'!$O$4:$O$2342,G$4,'Grid Data'!$M$4:$M$2342,$D$2)</f>
        <v>2</v>
      </c>
      <c r="H94" s="2">
        <f>SUMIFS('Grid Data'!$P$4:$P$2342,'Grid Data'!$N$4:$N$2342,$D94,'Grid Data'!$O$4:$O$2342,H$4,'Grid Data'!$M$4:$M$2342,$D$2)</f>
        <v>4</v>
      </c>
      <c r="I94" s="2">
        <f>SUMIFS('Grid Data'!$P$4:$P$2342,'Grid Data'!$N$4:$N$2342,$D94,'Grid Data'!$O$4:$O$2342,I$4,'Grid Data'!$M$4:$M$2342,$D$2)</f>
        <v>2</v>
      </c>
      <c r="J94" s="2">
        <f>SUMIFS('Grid Data'!$P$4:$P$2342,'Grid Data'!$N$4:$N$2342,$D94,'Grid Data'!$O$4:$O$2342,J$4,'Grid Data'!$M$4:$M$2342,$D$2)</f>
        <v>0</v>
      </c>
      <c r="K94" s="2">
        <f>SUMIFS('Grid Data'!$P$4:$P$2342,'Grid Data'!$N$4:$N$2342,$D94,'Grid Data'!$O$4:$O$2342,K$4,'Grid Data'!$M$4:$M$2342,$D$2)</f>
        <v>0</v>
      </c>
      <c r="L94" s="2">
        <f>SUMIFS('Grid Data'!$P$4:$P$2342,'Grid Data'!$N$4:$N$2342,$D94,'Grid Data'!$O$4:$O$2342,L$4,'Grid Data'!$M$4:$M$2342,$D$2)</f>
        <v>2</v>
      </c>
      <c r="M94" s="2">
        <f>SUMIFS('Grid Data'!$P$4:$P$2342,'Grid Data'!$N$4:$N$2342,$D94,'Grid Data'!$O$4:$O$2342,M$4,'Grid Data'!$M$4:$M$2342,$D$2)</f>
        <v>0</v>
      </c>
      <c r="N94" s="2">
        <f>SUMIFS('Grid Data'!$P$4:$P$2342,'Grid Data'!$N$4:$N$2342,$D94,'Grid Data'!$O$4:$O$2342,N$4,'Grid Data'!$M$4:$M$2342,$D$2)</f>
        <v>2</v>
      </c>
      <c r="O94" s="2">
        <f>SUMIFS('Grid Data'!$P$4:$P$2342,'Grid Data'!$N$4:$N$2342,$D94,'Grid Data'!$O$4:$O$2342,O$4,'Grid Data'!$M$4:$M$2342,$D$2)</f>
        <v>9</v>
      </c>
      <c r="P94" s="2">
        <f>SUMIFS('Grid Data'!$P$4:$P$2342,'Grid Data'!$N$4:$N$2342,$D94,'Grid Data'!$O$4:$O$2342,P$4,'Grid Data'!$M$4:$M$2342,$D$2)</f>
        <v>28</v>
      </c>
      <c r="Q94" s="2">
        <f>SUMIFS('Grid Data'!$P$4:$P$2342,'Grid Data'!$N$4:$N$2342,$D94,'Grid Data'!$O$4:$O$2342,Q$4,'Grid Data'!$M$4:$M$2342,$D$2)</f>
        <v>415</v>
      </c>
      <c r="R94" s="2">
        <f>SUMIFS('Grid Data'!$P$4:$P$2342,'Grid Data'!$N$4:$N$2342,$D94,'Grid Data'!$O$4:$O$2342,R$4,'Grid Data'!$M$4:$M$2342,$D$2)</f>
        <v>10</v>
      </c>
      <c r="S94" s="2">
        <f>SUMIFS('Grid Data'!$P$4:$P$2342,'Grid Data'!$N$4:$N$2342,$D94,'Grid Data'!$O$4:$O$2342,S$4,'Grid Data'!$M$4:$M$2342,$D$2)</f>
        <v>0</v>
      </c>
      <c r="T94" s="2">
        <f>SUMIFS('Grid Data'!$P$4:$P$2342,'Grid Data'!$N$4:$N$2342,$D94,'Grid Data'!$O$4:$O$2342,T$4,'Grid Data'!$M$4:$M$2342,$D$2)</f>
        <v>0</v>
      </c>
      <c r="U94" s="2">
        <f>SUMIFS('Grid Data'!$P$4:$P$2342,'Grid Data'!$N$4:$N$2342,$D94,'Grid Data'!$O$4:$O$2342,U$4,'Grid Data'!$M$4:$M$2342,$D$2)</f>
        <v>0</v>
      </c>
      <c r="V94" s="2">
        <f>SUMIFS('Grid Data'!$P$4:$P$2342,'Grid Data'!$N$4:$N$2342,$D94,'Grid Data'!$O$4:$O$2342,V$4,'Grid Data'!$M$4:$M$2342,$D$2)</f>
        <v>0</v>
      </c>
      <c r="W94" s="2">
        <f>SUMIFS('Grid Data'!$P$4:$P$2342,'Grid Data'!$N$4:$N$2342,$D94,'Grid Data'!$O$4:$O$2342,W$4,'Grid Data'!$M$4:$M$2342,$D$2)</f>
        <v>0</v>
      </c>
      <c r="X94" s="2">
        <f>SUMIFS('Grid Data'!$P$4:$P$2342,'Grid Data'!$N$4:$N$2342,$D94,'Grid Data'!$O$4:$O$2342,X$4,'Grid Data'!$M$4:$M$2342,$D$2)</f>
        <v>0</v>
      </c>
      <c r="Y94" s="2">
        <f>SUMIFS('Grid Data'!$P$4:$P$2342,'Grid Data'!$N$4:$N$2342,$D94,'Grid Data'!$O$4:$O$2342,Y$4,'Grid Data'!$M$4:$M$2342,$D$2)</f>
        <v>0</v>
      </c>
      <c r="Z94" s="2">
        <f>SUMIFS('Grid Data'!$P$4:$P$2342,'Grid Data'!$N$4:$N$2342,$D94,'Grid Data'!$O$4:$O$2342,Z$4,'Grid Data'!$M$4:$M$2342,$D$2)</f>
        <v>0</v>
      </c>
      <c r="AA94" s="2">
        <f>SUMIFS('Grid Data'!$P$4:$P$2342,'Grid Data'!$N$4:$N$2342,$D94,'Grid Data'!$O$4:$O$2342,AA$4,'Grid Data'!$M$4:$M$2342,$D$2)</f>
        <v>0</v>
      </c>
      <c r="AB94" s="2">
        <f>SUMIFS('Grid Data'!$P$4:$P$2342,'Grid Data'!$N$4:$N$2342,$D94,'Grid Data'!$O$4:$O$2342,AB$4,'Grid Data'!$M$4:$M$2342,$D$2)</f>
        <v>0</v>
      </c>
      <c r="AC94" s="2">
        <f>SUMIFS('Grid Data'!$P$4:$P$2342,'Grid Data'!$N$4:$N$2342,$D94,'Grid Data'!$O$4:$O$2342,AC$4,'Grid Data'!$M$4:$M$2342,$D$2)</f>
        <v>0</v>
      </c>
      <c r="AD94" s="2">
        <f>SUMIFS('Grid Data'!$P$4:$P$2342,'Grid Data'!$N$4:$N$2342,$D94,'Grid Data'!$O$4:$O$2342,AD$4,'Grid Data'!$M$4:$M$2342,$D$2)</f>
        <v>0</v>
      </c>
      <c r="AE94" s="2">
        <f>SUMIFS('Grid Data'!$P$4:$P$2342,'Grid Data'!$N$4:$N$2342,$D94,'Grid Data'!$O$4:$O$2342,AE$4,'Grid Data'!$M$4:$M$2342,$D$2)</f>
        <v>1</v>
      </c>
      <c r="AF94" s="2">
        <f>SUMIFS('Grid Data'!$P$4:$P$2342,'Grid Data'!$N$4:$N$2342,$D94,'Grid Data'!$O$4:$O$2342,AF$4,'Grid Data'!$M$4:$M$2342,$D$2)</f>
        <v>4</v>
      </c>
      <c r="AG94" s="2">
        <f>SUMIFS('Grid Data'!$P$4:$P$2342,'Grid Data'!$N$4:$N$2342,$D94,'Grid Data'!$O$4:$O$2342,AG$4,'Grid Data'!$M$4:$M$2342,$D$2)</f>
        <v>1254</v>
      </c>
      <c r="AH94" s="2">
        <f>SUMIFS('Grid Data'!$P$4:$P$2342,'Grid Data'!$N$4:$N$2342,$D94,'Grid Data'!$O$4:$O$2342,AH$4,'Grid Data'!$M$4:$M$2342,$D$2)</f>
        <v>699</v>
      </c>
    </row>
    <row r="95" spans="4:34" x14ac:dyDescent="0.35">
      <c r="D95">
        <v>9000</v>
      </c>
      <c r="E95" s="2">
        <f>SUMIFS('Grid Data'!$P$4:$P$2342,'Grid Data'!$N$4:$N$2342,$D95,'Grid Data'!$O$4:$O$2342,E$4,'Grid Data'!$M$4:$M$2342,$D$2)</f>
        <v>17</v>
      </c>
      <c r="F95" s="2">
        <f>SUMIFS('Grid Data'!$P$4:$P$2342,'Grid Data'!$N$4:$N$2342,$D95,'Grid Data'!$O$4:$O$2342,F$4,'Grid Data'!$M$4:$M$2342,$D$2)</f>
        <v>2</v>
      </c>
      <c r="G95" s="2">
        <f>SUMIFS('Grid Data'!$P$4:$P$2342,'Grid Data'!$N$4:$N$2342,$D95,'Grid Data'!$O$4:$O$2342,G$4,'Grid Data'!$M$4:$M$2342,$D$2)</f>
        <v>3</v>
      </c>
      <c r="H95" s="2">
        <f>SUMIFS('Grid Data'!$P$4:$P$2342,'Grid Data'!$N$4:$N$2342,$D95,'Grid Data'!$O$4:$O$2342,H$4,'Grid Data'!$M$4:$M$2342,$D$2)</f>
        <v>1</v>
      </c>
      <c r="I95" s="2">
        <f>SUMIFS('Grid Data'!$P$4:$P$2342,'Grid Data'!$N$4:$N$2342,$D95,'Grid Data'!$O$4:$O$2342,I$4,'Grid Data'!$M$4:$M$2342,$D$2)</f>
        <v>2</v>
      </c>
      <c r="J95" s="2">
        <f>SUMIFS('Grid Data'!$P$4:$P$2342,'Grid Data'!$N$4:$N$2342,$D95,'Grid Data'!$O$4:$O$2342,J$4,'Grid Data'!$M$4:$M$2342,$D$2)</f>
        <v>0</v>
      </c>
      <c r="K95" s="2">
        <f>SUMIFS('Grid Data'!$P$4:$P$2342,'Grid Data'!$N$4:$N$2342,$D95,'Grid Data'!$O$4:$O$2342,K$4,'Grid Data'!$M$4:$M$2342,$D$2)</f>
        <v>0</v>
      </c>
      <c r="L95" s="2">
        <f>SUMIFS('Grid Data'!$P$4:$P$2342,'Grid Data'!$N$4:$N$2342,$D95,'Grid Data'!$O$4:$O$2342,L$4,'Grid Data'!$M$4:$M$2342,$D$2)</f>
        <v>1</v>
      </c>
      <c r="M95" s="2">
        <f>SUMIFS('Grid Data'!$P$4:$P$2342,'Grid Data'!$N$4:$N$2342,$D95,'Grid Data'!$O$4:$O$2342,M$4,'Grid Data'!$M$4:$M$2342,$D$2)</f>
        <v>1</v>
      </c>
      <c r="N95" s="2">
        <f>SUMIFS('Grid Data'!$P$4:$P$2342,'Grid Data'!$N$4:$N$2342,$D95,'Grid Data'!$O$4:$O$2342,N$4,'Grid Data'!$M$4:$M$2342,$D$2)</f>
        <v>6</v>
      </c>
      <c r="O95" s="2">
        <f>SUMIFS('Grid Data'!$P$4:$P$2342,'Grid Data'!$N$4:$N$2342,$D95,'Grid Data'!$O$4:$O$2342,O$4,'Grid Data'!$M$4:$M$2342,$D$2)</f>
        <v>33</v>
      </c>
      <c r="P95" s="2">
        <f>SUMIFS('Grid Data'!$P$4:$P$2342,'Grid Data'!$N$4:$N$2342,$D95,'Grid Data'!$O$4:$O$2342,P$4,'Grid Data'!$M$4:$M$2342,$D$2)</f>
        <v>74</v>
      </c>
      <c r="Q95" s="2">
        <f>SUMIFS('Grid Data'!$P$4:$P$2342,'Grid Data'!$N$4:$N$2342,$D95,'Grid Data'!$O$4:$O$2342,Q$4,'Grid Data'!$M$4:$M$2342,$D$2)</f>
        <v>279</v>
      </c>
      <c r="R95" s="2">
        <f>SUMIFS('Grid Data'!$P$4:$P$2342,'Grid Data'!$N$4:$N$2342,$D95,'Grid Data'!$O$4:$O$2342,R$4,'Grid Data'!$M$4:$M$2342,$D$2)</f>
        <v>7</v>
      </c>
      <c r="S95" s="2">
        <f>SUMIFS('Grid Data'!$P$4:$P$2342,'Grid Data'!$N$4:$N$2342,$D95,'Grid Data'!$O$4:$O$2342,S$4,'Grid Data'!$M$4:$M$2342,$D$2)</f>
        <v>1</v>
      </c>
      <c r="T95" s="2">
        <f>SUMIFS('Grid Data'!$P$4:$P$2342,'Grid Data'!$N$4:$N$2342,$D95,'Grid Data'!$O$4:$O$2342,T$4,'Grid Data'!$M$4:$M$2342,$D$2)</f>
        <v>0</v>
      </c>
      <c r="U95" s="2">
        <f>SUMIFS('Grid Data'!$P$4:$P$2342,'Grid Data'!$N$4:$N$2342,$D95,'Grid Data'!$O$4:$O$2342,U$4,'Grid Data'!$M$4:$M$2342,$D$2)</f>
        <v>0</v>
      </c>
      <c r="V95" s="2">
        <f>SUMIFS('Grid Data'!$P$4:$P$2342,'Grid Data'!$N$4:$N$2342,$D95,'Grid Data'!$O$4:$O$2342,V$4,'Grid Data'!$M$4:$M$2342,$D$2)</f>
        <v>0</v>
      </c>
      <c r="W95" s="2">
        <f>SUMIFS('Grid Data'!$P$4:$P$2342,'Grid Data'!$N$4:$N$2342,$D95,'Grid Data'!$O$4:$O$2342,W$4,'Grid Data'!$M$4:$M$2342,$D$2)</f>
        <v>0</v>
      </c>
      <c r="X95" s="2">
        <f>SUMIFS('Grid Data'!$P$4:$P$2342,'Grid Data'!$N$4:$N$2342,$D95,'Grid Data'!$O$4:$O$2342,X$4,'Grid Data'!$M$4:$M$2342,$D$2)</f>
        <v>0</v>
      </c>
      <c r="Y95" s="2">
        <f>SUMIFS('Grid Data'!$P$4:$P$2342,'Grid Data'!$N$4:$N$2342,$D95,'Grid Data'!$O$4:$O$2342,Y$4,'Grid Data'!$M$4:$M$2342,$D$2)</f>
        <v>0</v>
      </c>
      <c r="Z95" s="2">
        <f>SUMIFS('Grid Data'!$P$4:$P$2342,'Grid Data'!$N$4:$N$2342,$D95,'Grid Data'!$O$4:$O$2342,Z$4,'Grid Data'!$M$4:$M$2342,$D$2)</f>
        <v>0</v>
      </c>
      <c r="AA95" s="2">
        <f>SUMIFS('Grid Data'!$P$4:$P$2342,'Grid Data'!$N$4:$N$2342,$D95,'Grid Data'!$O$4:$O$2342,AA$4,'Grid Data'!$M$4:$M$2342,$D$2)</f>
        <v>0</v>
      </c>
      <c r="AB95" s="2">
        <f>SUMIFS('Grid Data'!$P$4:$P$2342,'Grid Data'!$N$4:$N$2342,$D95,'Grid Data'!$O$4:$O$2342,AB$4,'Grid Data'!$M$4:$M$2342,$D$2)</f>
        <v>0</v>
      </c>
      <c r="AC95" s="2">
        <f>SUMIFS('Grid Data'!$P$4:$P$2342,'Grid Data'!$N$4:$N$2342,$D95,'Grid Data'!$O$4:$O$2342,AC$4,'Grid Data'!$M$4:$M$2342,$D$2)</f>
        <v>0</v>
      </c>
      <c r="AD95" s="2">
        <f>SUMIFS('Grid Data'!$P$4:$P$2342,'Grid Data'!$N$4:$N$2342,$D95,'Grid Data'!$O$4:$O$2342,AD$4,'Grid Data'!$M$4:$M$2342,$D$2)</f>
        <v>0</v>
      </c>
      <c r="AE95" s="2">
        <f>SUMIFS('Grid Data'!$P$4:$P$2342,'Grid Data'!$N$4:$N$2342,$D95,'Grid Data'!$O$4:$O$2342,AE$4,'Grid Data'!$M$4:$M$2342,$D$2)</f>
        <v>0</v>
      </c>
      <c r="AF95" s="2">
        <f>SUMIFS('Grid Data'!$P$4:$P$2342,'Grid Data'!$N$4:$N$2342,$D95,'Grid Data'!$O$4:$O$2342,AF$4,'Grid Data'!$M$4:$M$2342,$D$2)</f>
        <v>3</v>
      </c>
      <c r="AG95" s="2">
        <f>SUMIFS('Grid Data'!$P$4:$P$2342,'Grid Data'!$N$4:$N$2342,$D95,'Grid Data'!$O$4:$O$2342,AG$4,'Grid Data'!$M$4:$M$2342,$D$2)</f>
        <v>617</v>
      </c>
      <c r="AH95" s="2">
        <f>SUMIFS('Grid Data'!$P$4:$P$2342,'Grid Data'!$N$4:$N$2342,$D95,'Grid Data'!$O$4:$O$2342,AH$4,'Grid Data'!$M$4:$M$2342,$D$2)</f>
        <v>183</v>
      </c>
    </row>
    <row r="96" spans="4:34" x14ac:dyDescent="0.35">
      <c r="D96">
        <v>20000</v>
      </c>
      <c r="E96" s="2">
        <f>SUMIFS('Grid Data'!$P$4:$P$2342,'Grid Data'!$N$4:$N$2342,$D96,'Grid Data'!$O$4:$O$2342,E$4,'Grid Data'!$M$4:$M$2342,$D$2)</f>
        <v>0</v>
      </c>
      <c r="F96" s="2">
        <f>SUMIFS('Grid Data'!$P$4:$P$2342,'Grid Data'!$N$4:$N$2342,$D96,'Grid Data'!$O$4:$O$2342,F$4,'Grid Data'!$M$4:$M$2342,$D$2)</f>
        <v>0</v>
      </c>
      <c r="G96" s="2">
        <f>SUMIFS('Grid Data'!$P$4:$P$2342,'Grid Data'!$N$4:$N$2342,$D96,'Grid Data'!$O$4:$O$2342,G$4,'Grid Data'!$M$4:$M$2342,$D$2)</f>
        <v>0</v>
      </c>
      <c r="H96" s="2">
        <f>SUMIFS('Grid Data'!$P$4:$P$2342,'Grid Data'!$N$4:$N$2342,$D96,'Grid Data'!$O$4:$O$2342,H$4,'Grid Data'!$M$4:$M$2342,$D$2)</f>
        <v>0</v>
      </c>
      <c r="I96" s="2">
        <f>SUMIFS('Grid Data'!$P$4:$P$2342,'Grid Data'!$N$4:$N$2342,$D96,'Grid Data'!$O$4:$O$2342,I$4,'Grid Data'!$M$4:$M$2342,$D$2)</f>
        <v>0</v>
      </c>
      <c r="J96" s="2">
        <f>SUMIFS('Grid Data'!$P$4:$P$2342,'Grid Data'!$N$4:$N$2342,$D96,'Grid Data'!$O$4:$O$2342,J$4,'Grid Data'!$M$4:$M$2342,$D$2)</f>
        <v>0</v>
      </c>
      <c r="K96" s="2">
        <f>SUMIFS('Grid Data'!$P$4:$P$2342,'Grid Data'!$N$4:$N$2342,$D96,'Grid Data'!$O$4:$O$2342,K$4,'Grid Data'!$M$4:$M$2342,$D$2)</f>
        <v>0</v>
      </c>
      <c r="L96" s="2">
        <f>SUMIFS('Grid Data'!$P$4:$P$2342,'Grid Data'!$N$4:$N$2342,$D96,'Grid Data'!$O$4:$O$2342,L$4,'Grid Data'!$M$4:$M$2342,$D$2)</f>
        <v>0</v>
      </c>
      <c r="M96" s="2">
        <f>SUMIFS('Grid Data'!$P$4:$P$2342,'Grid Data'!$N$4:$N$2342,$D96,'Grid Data'!$O$4:$O$2342,M$4,'Grid Data'!$M$4:$M$2342,$D$2)</f>
        <v>0</v>
      </c>
      <c r="N96" s="2">
        <f>SUMIFS('Grid Data'!$P$4:$P$2342,'Grid Data'!$N$4:$N$2342,$D96,'Grid Data'!$O$4:$O$2342,N$4,'Grid Data'!$M$4:$M$2342,$D$2)</f>
        <v>0</v>
      </c>
      <c r="O96" s="2">
        <f>SUMIFS('Grid Data'!$P$4:$P$2342,'Grid Data'!$N$4:$N$2342,$D96,'Grid Data'!$O$4:$O$2342,O$4,'Grid Data'!$M$4:$M$2342,$D$2)</f>
        <v>0</v>
      </c>
      <c r="P96" s="2">
        <f>SUMIFS('Grid Data'!$P$4:$P$2342,'Grid Data'!$N$4:$N$2342,$D96,'Grid Data'!$O$4:$O$2342,P$4,'Grid Data'!$M$4:$M$2342,$D$2)</f>
        <v>0</v>
      </c>
      <c r="Q96" s="2">
        <f>SUMIFS('Grid Data'!$P$4:$P$2342,'Grid Data'!$N$4:$N$2342,$D96,'Grid Data'!$O$4:$O$2342,Q$4,'Grid Data'!$M$4:$M$2342,$D$2)</f>
        <v>1</v>
      </c>
      <c r="R96" s="2">
        <f>SUMIFS('Grid Data'!$P$4:$P$2342,'Grid Data'!$N$4:$N$2342,$D96,'Grid Data'!$O$4:$O$2342,R$4,'Grid Data'!$M$4:$M$2342,$D$2)</f>
        <v>0</v>
      </c>
      <c r="S96" s="2">
        <f>SUMIFS('Grid Data'!$P$4:$P$2342,'Grid Data'!$N$4:$N$2342,$D96,'Grid Data'!$O$4:$O$2342,S$4,'Grid Data'!$M$4:$M$2342,$D$2)</f>
        <v>0</v>
      </c>
      <c r="T96" s="2">
        <f>SUMIFS('Grid Data'!$P$4:$P$2342,'Grid Data'!$N$4:$N$2342,$D96,'Grid Data'!$O$4:$O$2342,T$4,'Grid Data'!$M$4:$M$2342,$D$2)</f>
        <v>0</v>
      </c>
      <c r="U96" s="2">
        <f>SUMIFS('Grid Data'!$P$4:$P$2342,'Grid Data'!$N$4:$N$2342,$D96,'Grid Data'!$O$4:$O$2342,U$4,'Grid Data'!$M$4:$M$2342,$D$2)</f>
        <v>0</v>
      </c>
      <c r="V96" s="2">
        <f>SUMIFS('Grid Data'!$P$4:$P$2342,'Grid Data'!$N$4:$N$2342,$D96,'Grid Data'!$O$4:$O$2342,V$4,'Grid Data'!$M$4:$M$2342,$D$2)</f>
        <v>0</v>
      </c>
      <c r="W96" s="2">
        <f>SUMIFS('Grid Data'!$P$4:$P$2342,'Grid Data'!$N$4:$N$2342,$D96,'Grid Data'!$O$4:$O$2342,W$4,'Grid Data'!$M$4:$M$2342,$D$2)</f>
        <v>0</v>
      </c>
      <c r="X96" s="2">
        <f>SUMIFS('Grid Data'!$P$4:$P$2342,'Grid Data'!$N$4:$N$2342,$D96,'Grid Data'!$O$4:$O$2342,X$4,'Grid Data'!$M$4:$M$2342,$D$2)</f>
        <v>0</v>
      </c>
      <c r="Y96" s="2">
        <f>SUMIFS('Grid Data'!$P$4:$P$2342,'Grid Data'!$N$4:$N$2342,$D96,'Grid Data'!$O$4:$O$2342,Y$4,'Grid Data'!$M$4:$M$2342,$D$2)</f>
        <v>0</v>
      </c>
      <c r="Z96" s="2">
        <f>SUMIFS('Grid Data'!$P$4:$P$2342,'Grid Data'!$N$4:$N$2342,$D96,'Grid Data'!$O$4:$O$2342,Z$4,'Grid Data'!$M$4:$M$2342,$D$2)</f>
        <v>0</v>
      </c>
      <c r="AA96" s="2">
        <f>SUMIFS('Grid Data'!$P$4:$P$2342,'Grid Data'!$N$4:$N$2342,$D96,'Grid Data'!$O$4:$O$2342,AA$4,'Grid Data'!$M$4:$M$2342,$D$2)</f>
        <v>0</v>
      </c>
      <c r="AB96" s="2">
        <f>SUMIFS('Grid Data'!$P$4:$P$2342,'Grid Data'!$N$4:$N$2342,$D96,'Grid Data'!$O$4:$O$2342,AB$4,'Grid Data'!$M$4:$M$2342,$D$2)</f>
        <v>0</v>
      </c>
      <c r="AC96" s="2">
        <f>SUMIFS('Grid Data'!$P$4:$P$2342,'Grid Data'!$N$4:$N$2342,$D96,'Grid Data'!$O$4:$O$2342,AC$4,'Grid Data'!$M$4:$M$2342,$D$2)</f>
        <v>0</v>
      </c>
      <c r="AD96" s="2">
        <f>SUMIFS('Grid Data'!$P$4:$P$2342,'Grid Data'!$N$4:$N$2342,$D96,'Grid Data'!$O$4:$O$2342,AD$4,'Grid Data'!$M$4:$M$2342,$D$2)</f>
        <v>0</v>
      </c>
      <c r="AE96" s="2">
        <f>SUMIFS('Grid Data'!$P$4:$P$2342,'Grid Data'!$N$4:$N$2342,$D96,'Grid Data'!$O$4:$O$2342,AE$4,'Grid Data'!$M$4:$M$2342,$D$2)</f>
        <v>0</v>
      </c>
      <c r="AF96" s="2">
        <f>SUMIFS('Grid Data'!$P$4:$P$2342,'Grid Data'!$N$4:$N$2342,$D96,'Grid Data'!$O$4:$O$2342,AF$4,'Grid Data'!$M$4:$M$2342,$D$2)</f>
        <v>0</v>
      </c>
      <c r="AG96" s="2">
        <f>SUMIFS('Grid Data'!$P$4:$P$2342,'Grid Data'!$N$4:$N$2342,$D96,'Grid Data'!$O$4:$O$2342,AG$4,'Grid Data'!$M$4:$M$2342,$D$2)</f>
        <v>92</v>
      </c>
      <c r="AH96" s="2">
        <f>SUMIFS('Grid Data'!$P$4:$P$2342,'Grid Data'!$N$4:$N$2342,$D96,'Grid Data'!$O$4:$O$2342,AH$4,'Grid Data'!$M$4:$M$2342,$D$2)</f>
        <v>22</v>
      </c>
    </row>
    <row r="98" spans="4:19" x14ac:dyDescent="0.35">
      <c r="D98" t="s">
        <v>9</v>
      </c>
      <c r="E98" s="13" t="s">
        <v>16</v>
      </c>
      <c r="F98" s="13"/>
      <c r="G98" s="13"/>
      <c r="H98" s="13"/>
      <c r="I98" s="13"/>
      <c r="J98" s="13"/>
      <c r="K98" s="13"/>
      <c r="M98" s="13" t="s">
        <v>17</v>
      </c>
      <c r="N98" s="13"/>
      <c r="O98" s="13"/>
      <c r="P98" s="13"/>
      <c r="Q98" s="13"/>
      <c r="R98" s="13"/>
      <c r="S98" s="13"/>
    </row>
    <row r="99" spans="4:19" x14ac:dyDescent="0.35">
      <c r="D99" t="s">
        <v>15</v>
      </c>
      <c r="E99">
        <f>E4</f>
        <v>5</v>
      </c>
      <c r="F99">
        <f t="shared" ref="F99:K99" si="0">F4</f>
        <v>6</v>
      </c>
      <c r="G99">
        <f t="shared" si="0"/>
        <v>7</v>
      </c>
      <c r="H99">
        <f t="shared" si="0"/>
        <v>8</v>
      </c>
      <c r="I99">
        <f t="shared" si="0"/>
        <v>9</v>
      </c>
      <c r="J99">
        <f t="shared" si="0"/>
        <v>10</v>
      </c>
      <c r="K99">
        <f t="shared" si="0"/>
        <v>12</v>
      </c>
      <c r="M99">
        <f>E99</f>
        <v>5</v>
      </c>
      <c r="N99">
        <f t="shared" ref="N99:S99" si="1">F99</f>
        <v>6</v>
      </c>
      <c r="O99">
        <f t="shared" si="1"/>
        <v>7</v>
      </c>
      <c r="P99">
        <f t="shared" si="1"/>
        <v>8</v>
      </c>
      <c r="Q99">
        <f t="shared" si="1"/>
        <v>9</v>
      </c>
      <c r="R99">
        <f t="shared" si="1"/>
        <v>10</v>
      </c>
      <c r="S99">
        <f t="shared" si="1"/>
        <v>12</v>
      </c>
    </row>
    <row r="100" spans="4:19" x14ac:dyDescent="0.35">
      <c r="D100">
        <f>D18/1000</f>
        <v>5.25</v>
      </c>
      <c r="E100" s="12">
        <f>E18</f>
        <v>1.1527000000000001</v>
      </c>
      <c r="F100" s="12">
        <f t="shared" ref="F100:K100" si="2">F18</f>
        <v>3.1426999999999996</v>
      </c>
      <c r="G100" s="12">
        <f t="shared" si="2"/>
        <v>4.5129000000000001</v>
      </c>
      <c r="H100" s="12">
        <f t="shared" si="2"/>
        <v>0.91879999999999995</v>
      </c>
      <c r="I100" s="12">
        <f t="shared" si="2"/>
        <v>1.4262000000000001</v>
      </c>
      <c r="J100" s="12">
        <f t="shared" si="2"/>
        <v>4.0739000000000001</v>
      </c>
      <c r="K100" s="12">
        <f t="shared" si="2"/>
        <v>2.3945000000000003</v>
      </c>
      <c r="L100" s="12"/>
      <c r="M100" s="12">
        <f>E50</f>
        <v>-8.560000000000012E-2</v>
      </c>
      <c r="N100" s="12">
        <f t="shared" ref="N100:S100" si="3">F50</f>
        <v>-0.72559999999999958</v>
      </c>
      <c r="O100" s="12">
        <f t="shared" si="3"/>
        <v>-4.5129000000000001</v>
      </c>
      <c r="P100" s="12">
        <f t="shared" si="3"/>
        <v>0.4748</v>
      </c>
      <c r="Q100" s="12">
        <f t="shared" si="3"/>
        <v>-0.68060000000000009</v>
      </c>
      <c r="R100" s="12">
        <f t="shared" si="3"/>
        <v>1.4314</v>
      </c>
      <c r="S100" s="12">
        <f t="shared" si="3"/>
        <v>1.1637</v>
      </c>
    </row>
    <row r="101" spans="4:19" x14ac:dyDescent="0.35">
      <c r="D101">
        <f t="shared" ref="D101:D107" si="4">D19/1000</f>
        <v>5.5</v>
      </c>
      <c r="E101" s="12">
        <f t="shared" ref="E101:K101" si="5">E19</f>
        <v>0.99950000000000006</v>
      </c>
      <c r="F101" s="12">
        <f t="shared" si="5"/>
        <v>1.8647</v>
      </c>
      <c r="G101" s="12">
        <f t="shared" si="5"/>
        <v>3.7588999999999997</v>
      </c>
      <c r="H101" s="12">
        <f t="shared" si="5"/>
        <v>3.4411999999999998</v>
      </c>
      <c r="I101" s="12">
        <f t="shared" si="5"/>
        <v>2.4699999999999998</v>
      </c>
      <c r="J101" s="12">
        <f t="shared" si="5"/>
        <v>4.5617999999999999</v>
      </c>
      <c r="K101" s="12">
        <f t="shared" si="5"/>
        <v>3.7793000000000001</v>
      </c>
      <c r="L101" s="12"/>
      <c r="M101" s="12">
        <f t="shared" ref="M101:S101" si="6">E51</f>
        <v>0.48770000000000002</v>
      </c>
      <c r="N101" s="12">
        <f t="shared" si="6"/>
        <v>-4.6000000000000263E-2</v>
      </c>
      <c r="O101" s="12">
        <f t="shared" si="6"/>
        <v>0.36520000000000064</v>
      </c>
      <c r="P101" s="12">
        <f t="shared" si="6"/>
        <v>9.3700000000000117E-2</v>
      </c>
      <c r="Q101" s="12">
        <f t="shared" si="6"/>
        <v>2.7979000000000003</v>
      </c>
      <c r="R101" s="12">
        <f t="shared" si="6"/>
        <v>0.11569999999999947</v>
      </c>
      <c r="S101" s="12">
        <f t="shared" si="6"/>
        <v>1.5489999999999995</v>
      </c>
    </row>
    <row r="102" spans="4:19" x14ac:dyDescent="0.35">
      <c r="D102">
        <f t="shared" si="4"/>
        <v>5.75</v>
      </c>
      <c r="E102" s="12">
        <f t="shared" ref="E102:K102" si="7">E20</f>
        <v>1.1844999999999999</v>
      </c>
      <c r="F102" s="12">
        <f t="shared" si="7"/>
        <v>4.0002999999999993</v>
      </c>
      <c r="G102" s="12">
        <f t="shared" si="7"/>
        <v>3.2988000000000004</v>
      </c>
      <c r="H102" s="12">
        <f t="shared" si="7"/>
        <v>4.5723000000000003</v>
      </c>
      <c r="I102" s="12">
        <f t="shared" si="7"/>
        <v>8.2805999999999997</v>
      </c>
      <c r="J102" s="12">
        <f t="shared" si="7"/>
        <v>4.2250000000000005</v>
      </c>
      <c r="K102" s="12">
        <f t="shared" si="7"/>
        <v>4.7542</v>
      </c>
      <c r="L102" s="12"/>
      <c r="M102" s="12">
        <f t="shared" ref="M102:S102" si="8">E52</f>
        <v>0.28750000000000009</v>
      </c>
      <c r="N102" s="12">
        <f t="shared" si="8"/>
        <v>2.8844000000000012</v>
      </c>
      <c r="O102" s="12">
        <f t="shared" si="8"/>
        <v>3.0079999999999996</v>
      </c>
      <c r="P102" s="12">
        <f t="shared" si="8"/>
        <v>0.17749999999999932</v>
      </c>
      <c r="Q102" s="12">
        <f t="shared" si="8"/>
        <v>-3.6400000000000432E-2</v>
      </c>
      <c r="R102" s="12">
        <f t="shared" si="8"/>
        <v>1.1958999999999991</v>
      </c>
      <c r="S102" s="12">
        <f t="shared" si="8"/>
        <v>2.4854000000000003</v>
      </c>
    </row>
    <row r="103" spans="4:19" x14ac:dyDescent="0.35">
      <c r="D103">
        <f t="shared" si="4"/>
        <v>6</v>
      </c>
      <c r="E103" s="12">
        <f t="shared" ref="E103:K103" si="9">E21</f>
        <v>1.6403000000000001</v>
      </c>
      <c r="F103" s="12">
        <f t="shared" si="9"/>
        <v>5.8997000000000002</v>
      </c>
      <c r="G103" s="12">
        <f t="shared" si="9"/>
        <v>11.3725</v>
      </c>
      <c r="H103" s="12">
        <f t="shared" si="9"/>
        <v>7.7066999999999997</v>
      </c>
      <c r="I103" s="12">
        <f t="shared" si="9"/>
        <v>7.2523</v>
      </c>
      <c r="J103" s="12">
        <f t="shared" si="9"/>
        <v>8.6921999999999997</v>
      </c>
      <c r="K103" s="12">
        <f t="shared" si="9"/>
        <v>8.2477</v>
      </c>
      <c r="L103" s="12"/>
      <c r="M103" s="12">
        <f t="shared" ref="M103:S103" si="10">E53</f>
        <v>-3.6399999999999988E-2</v>
      </c>
      <c r="N103" s="12">
        <f t="shared" si="10"/>
        <v>0.86459999999999937</v>
      </c>
      <c r="O103" s="12">
        <f t="shared" si="10"/>
        <v>0.68369999999999997</v>
      </c>
      <c r="P103" s="12">
        <f t="shared" si="10"/>
        <v>3.5524000000000004</v>
      </c>
      <c r="Q103" s="12">
        <f t="shared" si="10"/>
        <v>2.6257999999999999</v>
      </c>
      <c r="R103" s="12">
        <f t="shared" si="10"/>
        <v>3.5015000000000001</v>
      </c>
      <c r="S103" s="12">
        <f t="shared" si="10"/>
        <v>2.698500000000001</v>
      </c>
    </row>
    <row r="104" spans="4:19" x14ac:dyDescent="0.35">
      <c r="D104">
        <f t="shared" si="4"/>
        <v>6.25</v>
      </c>
      <c r="E104" s="12">
        <f t="shared" ref="E104:K104" si="11">E22</f>
        <v>1.8402000000000003</v>
      </c>
      <c r="F104" s="12">
        <f t="shared" si="11"/>
        <v>10.892899999999999</v>
      </c>
      <c r="G104" s="12">
        <f t="shared" si="11"/>
        <v>16.915500000000002</v>
      </c>
      <c r="H104" s="12">
        <f t="shared" si="11"/>
        <v>13.211500000000001</v>
      </c>
      <c r="I104" s="12">
        <f t="shared" si="11"/>
        <v>12.799900000000001</v>
      </c>
      <c r="J104" s="12">
        <f t="shared" si="11"/>
        <v>13.0967</v>
      </c>
      <c r="K104" s="12">
        <f t="shared" si="11"/>
        <v>13.9619</v>
      </c>
      <c r="L104" s="12"/>
      <c r="M104" s="12">
        <f t="shared" ref="M104:S104" si="12">E54</f>
        <v>7.0899999999999741E-2</v>
      </c>
      <c r="N104" s="12">
        <f t="shared" si="12"/>
        <v>1.4258000000000006</v>
      </c>
      <c r="O104" s="12">
        <f t="shared" si="12"/>
        <v>8.936399999999999</v>
      </c>
      <c r="P104" s="12">
        <f t="shared" si="12"/>
        <v>5.8004999999999995</v>
      </c>
      <c r="Q104" s="12">
        <f t="shared" si="12"/>
        <v>6.8009999999999984</v>
      </c>
      <c r="R104" s="12">
        <f t="shared" si="12"/>
        <v>5.3797000000000015</v>
      </c>
      <c r="S104" s="12">
        <f t="shared" si="12"/>
        <v>5.5016999999999996</v>
      </c>
    </row>
    <row r="105" spans="4:19" x14ac:dyDescent="0.35">
      <c r="D105">
        <f t="shared" si="4"/>
        <v>6.5</v>
      </c>
      <c r="E105" s="12">
        <f t="shared" ref="E105:K105" si="13">E23</f>
        <v>2.5923000000000003</v>
      </c>
      <c r="F105" s="12">
        <f t="shared" si="13"/>
        <v>17.5425</v>
      </c>
      <c r="G105" s="12">
        <f t="shared" si="13"/>
        <v>25.3569</v>
      </c>
      <c r="H105" s="12">
        <f t="shared" si="13"/>
        <v>22.595299999999998</v>
      </c>
      <c r="I105" s="12">
        <f t="shared" si="13"/>
        <v>18.121100000000002</v>
      </c>
      <c r="J105" s="12">
        <f t="shared" si="13"/>
        <v>16.692299999999999</v>
      </c>
      <c r="K105" s="12">
        <f t="shared" si="13"/>
        <v>16.516100000000002</v>
      </c>
      <c r="L105" s="12"/>
      <c r="M105" s="12">
        <f t="shared" ref="M105:S105" si="14">E55</f>
        <v>0.74619999999999953</v>
      </c>
      <c r="N105" s="12">
        <f t="shared" si="14"/>
        <v>0.72179999999999822</v>
      </c>
      <c r="O105" s="12">
        <f t="shared" si="14"/>
        <v>5.4664999999999999</v>
      </c>
      <c r="P105" s="12">
        <f t="shared" si="14"/>
        <v>4.1087999999999987</v>
      </c>
      <c r="Q105" s="12">
        <f t="shared" si="14"/>
        <v>0.35429999999999851</v>
      </c>
      <c r="R105" s="12">
        <f t="shared" si="14"/>
        <v>6.4059999999999988</v>
      </c>
      <c r="S105" s="12">
        <f t="shared" si="14"/>
        <v>10.500900000000001</v>
      </c>
    </row>
    <row r="106" spans="4:19" x14ac:dyDescent="0.35">
      <c r="D106">
        <f t="shared" si="4"/>
        <v>6.75</v>
      </c>
      <c r="E106" s="12">
        <f t="shared" ref="E106:K106" si="15">E24</f>
        <v>3.3723999999999998</v>
      </c>
      <c r="F106" s="12">
        <f t="shared" si="15"/>
        <v>28.336299999999998</v>
      </c>
      <c r="G106" s="12">
        <f t="shared" si="15"/>
        <v>36.857700000000001</v>
      </c>
      <c r="H106" s="12">
        <f t="shared" si="15"/>
        <v>31.074000000000002</v>
      </c>
      <c r="I106" s="12">
        <f t="shared" si="15"/>
        <v>25.554300000000001</v>
      </c>
      <c r="J106" s="12">
        <f t="shared" si="15"/>
        <v>23.156299999999998</v>
      </c>
      <c r="K106" s="12">
        <f t="shared" si="15"/>
        <v>24.697500000000002</v>
      </c>
      <c r="L106" s="12"/>
      <c r="M106" s="12">
        <f t="shared" ref="M106:S106" si="16">E56</f>
        <v>6.7000000000003723E-3</v>
      </c>
      <c r="N106" s="12">
        <f t="shared" si="16"/>
        <v>1.5850000000000044</v>
      </c>
      <c r="O106" s="12">
        <f t="shared" si="16"/>
        <v>3.4291999999999945</v>
      </c>
      <c r="P106" s="12">
        <f t="shared" si="16"/>
        <v>2.4858999999999973</v>
      </c>
      <c r="Q106" s="12">
        <f t="shared" si="16"/>
        <v>0.29719999999999658</v>
      </c>
      <c r="R106" s="12">
        <f t="shared" si="16"/>
        <v>-2.6299999999999102E-2</v>
      </c>
      <c r="S106" s="12">
        <f t="shared" si="16"/>
        <v>4.4632999999999967</v>
      </c>
    </row>
    <row r="107" spans="4:19" x14ac:dyDescent="0.35">
      <c r="D107">
        <f t="shared" si="4"/>
        <v>7</v>
      </c>
      <c r="E107" s="12">
        <f t="shared" ref="E107:K107" si="17">E25</f>
        <v>4.0232999999999999</v>
      </c>
      <c r="F107" s="12">
        <f t="shared" si="17"/>
        <v>38.259900000000002</v>
      </c>
      <c r="G107" s="12">
        <f t="shared" si="17"/>
        <v>42.462600000000002</v>
      </c>
      <c r="H107" s="12">
        <f t="shared" si="17"/>
        <v>32.7819</v>
      </c>
      <c r="I107" s="12">
        <f t="shared" si="17"/>
        <v>29.6935</v>
      </c>
      <c r="J107" s="12">
        <f t="shared" si="17"/>
        <v>22.462199999999999</v>
      </c>
      <c r="K107" s="12">
        <f t="shared" si="17"/>
        <v>24.6126</v>
      </c>
      <c r="L107" s="12"/>
      <c r="M107" s="12">
        <f t="shared" ref="M107:S107" si="18">E57</f>
        <v>0.16650000000000009</v>
      </c>
      <c r="N107" s="12">
        <f t="shared" si="18"/>
        <v>-1.4491000000000014</v>
      </c>
      <c r="O107" s="12">
        <f t="shared" si="18"/>
        <v>-1.3609000000000009</v>
      </c>
      <c r="P107" s="12">
        <f t="shared" si="18"/>
        <v>-1.9626000000000019</v>
      </c>
      <c r="Q107" s="12">
        <f t="shared" si="18"/>
        <v>-5.8445</v>
      </c>
      <c r="R107" s="12">
        <f t="shared" si="18"/>
        <v>5.0053999999999981</v>
      </c>
      <c r="S107" s="12">
        <f t="shared" si="18"/>
        <v>2.7999000000000009</v>
      </c>
    </row>
  </sheetData>
  <mergeCells count="2">
    <mergeCell ref="E98:K98"/>
    <mergeCell ref="M98:S98"/>
  </mergeCells>
  <dataValidations count="1">
    <dataValidation type="list" allowBlank="1" showInputMessage="1" showErrorMessage="1" sqref="G2" xr:uid="{AEEE54BE-71E9-4741-BA28-94AA8CEA338B}">
      <formula1>"CPR,CDR"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CF4A-11B9-4289-B92E-32202A34328D}">
  <dimension ref="M2:AI2342"/>
  <sheetViews>
    <sheetView workbookViewId="0">
      <selection activeCell="A2" sqref="A2:K2233"/>
    </sheetView>
  </sheetViews>
  <sheetFormatPr defaultRowHeight="14.5" x14ac:dyDescent="0.35"/>
  <cols>
    <col min="40" max="40" width="12" bestFit="1" customWidth="1"/>
  </cols>
  <sheetData>
    <row r="2" spans="13:35" x14ac:dyDescent="0.35">
      <c r="V2" t="s">
        <v>19</v>
      </c>
      <c r="AH2" t="s">
        <v>14</v>
      </c>
    </row>
    <row r="3" spans="13:35" x14ac:dyDescent="0.35">
      <c r="M3" t="s">
        <v>11</v>
      </c>
      <c r="V3" t="s">
        <v>4</v>
      </c>
      <c r="W3" t="s">
        <v>5</v>
      </c>
      <c r="Y3" t="s">
        <v>11</v>
      </c>
      <c r="AH3" t="s">
        <v>4</v>
      </c>
      <c r="AI3" t="s">
        <v>5</v>
      </c>
    </row>
    <row r="4" spans="13:35" x14ac:dyDescent="0.35">
      <c r="M4" t="s">
        <v>0</v>
      </c>
      <c r="N4">
        <v>7000</v>
      </c>
      <c r="O4">
        <v>360</v>
      </c>
      <c r="P4">
        <v>4451</v>
      </c>
      <c r="Q4">
        <v>0</v>
      </c>
      <c r="R4">
        <v>4928409254</v>
      </c>
      <c r="S4">
        <v>153386130.33000001</v>
      </c>
      <c r="T4">
        <v>4740929319.7799997</v>
      </c>
      <c r="U4">
        <v>4772157210.54</v>
      </c>
      <c r="V4">
        <v>7.9926999999999998E-2</v>
      </c>
      <c r="W4">
        <v>6.9560000000000004E-3</v>
      </c>
      <c r="Y4" t="s">
        <v>0</v>
      </c>
      <c r="Z4">
        <v>7000</v>
      </c>
      <c r="AA4">
        <v>360</v>
      </c>
      <c r="AB4">
        <v>4478</v>
      </c>
      <c r="AC4">
        <v>0</v>
      </c>
      <c r="AD4">
        <v>5057662972</v>
      </c>
      <c r="AE4">
        <v>153914251.88</v>
      </c>
      <c r="AF4">
        <v>4852667305.1000004</v>
      </c>
      <c r="AG4">
        <v>4899717787.6099997</v>
      </c>
      <c r="AH4">
        <v>0.114687</v>
      </c>
      <c r="AI4">
        <v>9.5219999999999992E-3</v>
      </c>
    </row>
    <row r="5" spans="13:35" x14ac:dyDescent="0.35">
      <c r="M5" t="s">
        <v>0</v>
      </c>
      <c r="N5">
        <v>7500</v>
      </c>
      <c r="O5">
        <v>360</v>
      </c>
      <c r="P5">
        <v>3854</v>
      </c>
      <c r="Q5">
        <v>0</v>
      </c>
      <c r="R5">
        <v>3778205483</v>
      </c>
      <c r="S5">
        <v>128650326.48999999</v>
      </c>
      <c r="T5">
        <v>3617770393.8499999</v>
      </c>
      <c r="U5">
        <v>3648957504.1100001</v>
      </c>
      <c r="V5">
        <v>9.6408999999999995E-2</v>
      </c>
      <c r="W5">
        <v>1.897E-3</v>
      </c>
      <c r="Y5" t="s">
        <v>0</v>
      </c>
      <c r="Z5">
        <v>7500</v>
      </c>
      <c r="AA5">
        <v>360</v>
      </c>
      <c r="AB5">
        <v>3768</v>
      </c>
      <c r="AC5">
        <v>0</v>
      </c>
      <c r="AD5">
        <v>3721724404</v>
      </c>
      <c r="AE5">
        <v>126168275.59999999</v>
      </c>
      <c r="AF5">
        <v>3563118970.5799999</v>
      </c>
      <c r="AG5">
        <v>3595066708.3099999</v>
      </c>
      <c r="AH5">
        <v>9.9717E-2</v>
      </c>
      <c r="AI5">
        <v>1.5770000000000001E-3</v>
      </c>
    </row>
    <row r="6" spans="13:35" x14ac:dyDescent="0.35">
      <c r="M6" t="s">
        <v>0</v>
      </c>
      <c r="N6">
        <v>8000</v>
      </c>
      <c r="O6">
        <v>360</v>
      </c>
      <c r="P6">
        <v>1533</v>
      </c>
      <c r="Q6">
        <v>0</v>
      </c>
      <c r="R6">
        <v>1180470211</v>
      </c>
      <c r="S6">
        <v>49328190.619999997</v>
      </c>
      <c r="T6">
        <v>1120838360.27</v>
      </c>
      <c r="U6">
        <v>1131142020.3800001</v>
      </c>
      <c r="V6">
        <v>9.9856E-2</v>
      </c>
      <c r="W6">
        <v>0</v>
      </c>
      <c r="Y6" t="s">
        <v>0</v>
      </c>
      <c r="Z6">
        <v>8000</v>
      </c>
      <c r="AA6">
        <v>360</v>
      </c>
      <c r="AB6">
        <v>1454</v>
      </c>
      <c r="AC6">
        <v>0</v>
      </c>
      <c r="AD6">
        <v>1070314032</v>
      </c>
      <c r="AE6">
        <v>47034806</v>
      </c>
      <c r="AF6">
        <v>1011904761.98</v>
      </c>
      <c r="AG6">
        <v>1023085618.14</v>
      </c>
      <c r="AH6">
        <v>0.12033099999999999</v>
      </c>
      <c r="AI6">
        <v>2.1689999999999999E-3</v>
      </c>
    </row>
    <row r="7" spans="13:35" x14ac:dyDescent="0.35">
      <c r="M7" t="s">
        <v>1</v>
      </c>
      <c r="N7">
        <v>8500</v>
      </c>
      <c r="O7">
        <v>360</v>
      </c>
      <c r="P7">
        <v>148</v>
      </c>
      <c r="Q7">
        <v>0</v>
      </c>
      <c r="R7">
        <v>64380457</v>
      </c>
      <c r="S7">
        <v>5505446.25</v>
      </c>
      <c r="T7">
        <v>58392718.259999998</v>
      </c>
      <c r="U7">
        <v>58875010.75</v>
      </c>
      <c r="V7">
        <v>8.6282999999999999E-2</v>
      </c>
      <c r="W7">
        <v>0</v>
      </c>
      <c r="Y7" t="s">
        <v>1</v>
      </c>
      <c r="Z7">
        <v>8500</v>
      </c>
      <c r="AA7">
        <v>360</v>
      </c>
      <c r="AB7">
        <v>158</v>
      </c>
      <c r="AC7">
        <v>0</v>
      </c>
      <c r="AD7">
        <v>73101374</v>
      </c>
      <c r="AE7">
        <v>5947132.4500000002</v>
      </c>
      <c r="AF7">
        <v>66017168.840000004</v>
      </c>
      <c r="AG7">
        <v>67097379.5</v>
      </c>
      <c r="AH7">
        <v>0.171488</v>
      </c>
      <c r="AI7">
        <v>9.2940000000000002E-3</v>
      </c>
    </row>
    <row r="8" spans="13:35" x14ac:dyDescent="0.35">
      <c r="M8" t="s">
        <v>0</v>
      </c>
      <c r="N8">
        <v>8500</v>
      </c>
      <c r="O8">
        <v>360</v>
      </c>
      <c r="P8">
        <v>699</v>
      </c>
      <c r="Q8">
        <v>0</v>
      </c>
      <c r="R8">
        <v>325514109</v>
      </c>
      <c r="S8">
        <v>22313483.16</v>
      </c>
      <c r="T8">
        <v>298888899.22000003</v>
      </c>
      <c r="U8">
        <v>303200625.83999997</v>
      </c>
      <c r="V8">
        <v>0.147867</v>
      </c>
      <c r="W8">
        <v>0</v>
      </c>
      <c r="Y8" t="s">
        <v>0</v>
      </c>
      <c r="Z8">
        <v>8500</v>
      </c>
      <c r="AA8">
        <v>360</v>
      </c>
      <c r="AB8">
        <v>751</v>
      </c>
      <c r="AC8">
        <v>0</v>
      </c>
      <c r="AD8">
        <v>343314197</v>
      </c>
      <c r="AE8">
        <v>24018905.559999999</v>
      </c>
      <c r="AF8">
        <v>312008507.57999998</v>
      </c>
      <c r="AG8">
        <v>319295291.44</v>
      </c>
      <c r="AH8">
        <v>0.22697200000000001</v>
      </c>
      <c r="AI8">
        <v>0</v>
      </c>
    </row>
    <row r="9" spans="13:35" x14ac:dyDescent="0.35">
      <c r="M9" t="s">
        <v>0</v>
      </c>
      <c r="N9">
        <v>6500</v>
      </c>
      <c r="O9">
        <v>360</v>
      </c>
      <c r="P9">
        <v>1912</v>
      </c>
      <c r="Q9">
        <v>0</v>
      </c>
      <c r="R9">
        <v>2298452921</v>
      </c>
      <c r="S9">
        <v>66547949.880000003</v>
      </c>
      <c r="T9">
        <v>2212778982.5300002</v>
      </c>
      <c r="U9">
        <v>2229513329.3499999</v>
      </c>
      <c r="V9">
        <v>9.5408999999999994E-2</v>
      </c>
      <c r="W9">
        <v>1.2415000000000001E-2</v>
      </c>
      <c r="Y9" t="s">
        <v>0</v>
      </c>
      <c r="Z9">
        <v>6500</v>
      </c>
      <c r="AA9">
        <v>360</v>
      </c>
      <c r="AB9">
        <v>1875</v>
      </c>
      <c r="AC9">
        <v>0</v>
      </c>
      <c r="AD9">
        <v>2316037246</v>
      </c>
      <c r="AE9">
        <v>65408355.619999997</v>
      </c>
      <c r="AF9">
        <v>2231039983.8600001</v>
      </c>
      <c r="AG9">
        <v>2250628890.3800001</v>
      </c>
      <c r="AH9">
        <v>9.6904000000000004E-2</v>
      </c>
      <c r="AI9">
        <v>0</v>
      </c>
    </row>
    <row r="10" spans="13:35" x14ac:dyDescent="0.35">
      <c r="M10" t="s">
        <v>1</v>
      </c>
      <c r="N10">
        <v>4000</v>
      </c>
      <c r="O10">
        <v>192</v>
      </c>
      <c r="P10">
        <v>8383</v>
      </c>
      <c r="Q10">
        <v>0</v>
      </c>
      <c r="R10">
        <v>95273082360</v>
      </c>
      <c r="S10">
        <v>370072985.93000001</v>
      </c>
      <c r="T10">
        <v>94325851463.910004</v>
      </c>
      <c r="U10">
        <v>94882199419.770004</v>
      </c>
      <c r="V10">
        <v>7.0320999999999995E-2</v>
      </c>
      <c r="W10">
        <v>2.6180000000000001E-3</v>
      </c>
      <c r="Y10" t="s">
        <v>1</v>
      </c>
      <c r="Z10">
        <v>4000</v>
      </c>
      <c r="AA10">
        <v>192</v>
      </c>
      <c r="AB10">
        <v>6860</v>
      </c>
      <c r="AC10">
        <v>0</v>
      </c>
      <c r="AD10">
        <v>78587123281</v>
      </c>
      <c r="AE10">
        <v>304853601.51999998</v>
      </c>
      <c r="AF10">
        <v>77865576683.059998</v>
      </c>
      <c r="AG10">
        <v>78248821194.619995</v>
      </c>
      <c r="AH10">
        <v>6.1804999999999999E-2</v>
      </c>
      <c r="AI10">
        <v>5.0959999999999998E-3</v>
      </c>
    </row>
    <row r="11" spans="13:35" x14ac:dyDescent="0.35">
      <c r="M11" t="s">
        <v>0</v>
      </c>
      <c r="N11">
        <v>4000</v>
      </c>
      <c r="O11">
        <v>192</v>
      </c>
      <c r="P11">
        <v>26527</v>
      </c>
      <c r="Q11">
        <v>0</v>
      </c>
      <c r="R11">
        <v>255424644093</v>
      </c>
      <c r="S11">
        <v>990023897.82000005</v>
      </c>
      <c r="T11">
        <v>253304222778.60001</v>
      </c>
      <c r="U11">
        <v>254304506673.32001</v>
      </c>
      <c r="V11">
        <v>5.1832999999999997E-2</v>
      </c>
      <c r="W11">
        <v>6.0959999999999999E-3</v>
      </c>
      <c r="Y11" t="s">
        <v>0</v>
      </c>
      <c r="Z11">
        <v>4000</v>
      </c>
      <c r="AA11">
        <v>192</v>
      </c>
      <c r="AB11">
        <v>21986</v>
      </c>
      <c r="AC11">
        <v>0</v>
      </c>
      <c r="AD11">
        <v>212701560528</v>
      </c>
      <c r="AE11">
        <v>823130555.02999997</v>
      </c>
      <c r="AF11">
        <v>210980741384.06</v>
      </c>
      <c r="AG11">
        <v>211763651167.60001</v>
      </c>
      <c r="AH11">
        <v>4.9486000000000002E-2</v>
      </c>
      <c r="AI11">
        <v>6.4559999999999999E-3</v>
      </c>
    </row>
    <row r="12" spans="13:35" x14ac:dyDescent="0.35">
      <c r="M12" t="s">
        <v>0</v>
      </c>
      <c r="N12">
        <v>4500</v>
      </c>
      <c r="O12">
        <v>192</v>
      </c>
      <c r="P12">
        <v>58045</v>
      </c>
      <c r="Q12">
        <v>0</v>
      </c>
      <c r="R12">
        <v>524631394119</v>
      </c>
      <c r="S12">
        <v>2071245753.7</v>
      </c>
      <c r="T12">
        <v>520143286585.59998</v>
      </c>
      <c r="U12">
        <v>522242345227.63</v>
      </c>
      <c r="V12">
        <v>5.3901999999999999E-2</v>
      </c>
      <c r="W12">
        <v>7.2449999999999997E-3</v>
      </c>
      <c r="Y12" t="s">
        <v>0</v>
      </c>
      <c r="Z12">
        <v>4500</v>
      </c>
      <c r="AA12">
        <v>192</v>
      </c>
      <c r="AB12">
        <v>57290</v>
      </c>
      <c r="AC12">
        <v>0</v>
      </c>
      <c r="AD12">
        <v>522121718619</v>
      </c>
      <c r="AE12">
        <v>2049252029.79</v>
      </c>
      <c r="AF12">
        <v>517492593199.34003</v>
      </c>
      <c r="AG12">
        <v>519811047706.96997</v>
      </c>
      <c r="AH12">
        <v>5.7708000000000002E-2</v>
      </c>
      <c r="AI12">
        <v>5.9919999999999999E-3</v>
      </c>
    </row>
    <row r="13" spans="13:35" x14ac:dyDescent="0.35">
      <c r="M13" t="s">
        <v>0</v>
      </c>
      <c r="N13">
        <v>6250</v>
      </c>
      <c r="O13">
        <v>320</v>
      </c>
      <c r="P13">
        <v>10384</v>
      </c>
      <c r="Q13">
        <v>0</v>
      </c>
      <c r="R13">
        <v>39943210221</v>
      </c>
      <c r="S13">
        <v>319264680.17000002</v>
      </c>
      <c r="T13">
        <v>39383786324.660004</v>
      </c>
      <c r="U13">
        <v>39583267992.940002</v>
      </c>
      <c r="V13">
        <v>6.9810999999999998E-2</v>
      </c>
      <c r="W13">
        <v>1.2152E-2</v>
      </c>
      <c r="Y13" t="s">
        <v>0</v>
      </c>
      <c r="Z13">
        <v>6250</v>
      </c>
      <c r="AA13">
        <v>320</v>
      </c>
      <c r="AB13">
        <v>10289</v>
      </c>
      <c r="AC13">
        <v>0</v>
      </c>
      <c r="AD13">
        <v>39593434952</v>
      </c>
      <c r="AE13">
        <v>314517351.25999999</v>
      </c>
      <c r="AF13">
        <v>39024940333.93</v>
      </c>
      <c r="AG13">
        <v>39250947569.93</v>
      </c>
      <c r="AH13">
        <v>7.4316999999999994E-2</v>
      </c>
      <c r="AI13">
        <v>8.4440000000000001E-3</v>
      </c>
    </row>
    <row r="14" spans="13:35" x14ac:dyDescent="0.35">
      <c r="M14" t="s">
        <v>0</v>
      </c>
      <c r="N14">
        <v>7500</v>
      </c>
      <c r="O14">
        <v>320</v>
      </c>
      <c r="P14">
        <v>4539</v>
      </c>
      <c r="Q14">
        <v>0</v>
      </c>
      <c r="R14">
        <v>11192201859</v>
      </c>
      <c r="S14">
        <v>138463436.28999999</v>
      </c>
      <c r="T14">
        <v>10989441151.040001</v>
      </c>
      <c r="U14">
        <v>11050560912.540001</v>
      </c>
      <c r="V14">
        <v>6.6800999999999999E-2</v>
      </c>
      <c r="W14">
        <v>3.4020000000000001E-3</v>
      </c>
      <c r="Y14" t="s">
        <v>0</v>
      </c>
      <c r="Z14">
        <v>7500</v>
      </c>
      <c r="AA14">
        <v>320</v>
      </c>
      <c r="AB14">
        <v>4784</v>
      </c>
      <c r="AC14">
        <v>0</v>
      </c>
      <c r="AD14">
        <v>11744464258</v>
      </c>
      <c r="AE14">
        <v>145418919.69</v>
      </c>
      <c r="AF14">
        <v>11497587032.059999</v>
      </c>
      <c r="AG14">
        <v>11585635517.030001</v>
      </c>
      <c r="AH14">
        <v>9.8878999999999995E-2</v>
      </c>
      <c r="AI14">
        <v>1.3616E-2</v>
      </c>
    </row>
    <row r="15" spans="13:35" x14ac:dyDescent="0.35">
      <c r="M15" t="s">
        <v>0</v>
      </c>
      <c r="N15">
        <v>8000</v>
      </c>
      <c r="O15">
        <v>320</v>
      </c>
      <c r="P15">
        <v>1765</v>
      </c>
      <c r="Q15">
        <v>0</v>
      </c>
      <c r="R15">
        <v>3571859450</v>
      </c>
      <c r="S15">
        <v>54317894.960000001</v>
      </c>
      <c r="T15">
        <v>3505515415.0900002</v>
      </c>
      <c r="U15">
        <v>3514283150.2399998</v>
      </c>
      <c r="V15">
        <v>3.9662999999999997E-2</v>
      </c>
      <c r="W15">
        <v>1.0892000000000001E-2</v>
      </c>
      <c r="Y15" t="s">
        <v>0</v>
      </c>
      <c r="Z15">
        <v>8000</v>
      </c>
      <c r="AA15">
        <v>320</v>
      </c>
      <c r="AB15">
        <v>1919</v>
      </c>
      <c r="AC15">
        <v>0</v>
      </c>
      <c r="AD15">
        <v>3861141676</v>
      </c>
      <c r="AE15">
        <v>58743536.840000004</v>
      </c>
      <c r="AF15">
        <v>3770870570.9899998</v>
      </c>
      <c r="AG15">
        <v>3799803032.3499999</v>
      </c>
      <c r="AH15">
        <v>9.3701000000000007E-2</v>
      </c>
      <c r="AI15">
        <v>8.0359999999999997E-3</v>
      </c>
    </row>
    <row r="16" spans="13:35" x14ac:dyDescent="0.35">
      <c r="M16" t="s">
        <v>0</v>
      </c>
      <c r="N16">
        <v>8500</v>
      </c>
      <c r="O16">
        <v>320</v>
      </c>
      <c r="P16">
        <v>1254</v>
      </c>
      <c r="Q16">
        <v>0</v>
      </c>
      <c r="R16">
        <v>2200903867</v>
      </c>
      <c r="S16">
        <v>37058701.289999999</v>
      </c>
      <c r="T16">
        <v>2151504833.27</v>
      </c>
      <c r="U16">
        <v>2160270392.46</v>
      </c>
      <c r="V16">
        <v>6.5246999999999999E-2</v>
      </c>
      <c r="W16">
        <v>1.9317999999999998E-2</v>
      </c>
      <c r="Y16" t="s">
        <v>0</v>
      </c>
      <c r="Z16">
        <v>8500</v>
      </c>
      <c r="AA16">
        <v>320</v>
      </c>
      <c r="AB16">
        <v>1287</v>
      </c>
      <c r="AC16">
        <v>0</v>
      </c>
      <c r="AD16">
        <v>2289356316</v>
      </c>
      <c r="AE16">
        <v>37845601.770000003</v>
      </c>
      <c r="AF16">
        <v>2232534104.8699999</v>
      </c>
      <c r="AG16">
        <v>2247660668.0500002</v>
      </c>
      <c r="AH16">
        <v>9.5057000000000003E-2</v>
      </c>
      <c r="AI16">
        <v>1.9994999999999999E-2</v>
      </c>
    </row>
    <row r="17" spans="13:35" x14ac:dyDescent="0.35">
      <c r="M17" t="s">
        <v>1</v>
      </c>
      <c r="N17">
        <v>7000</v>
      </c>
      <c r="O17">
        <v>360</v>
      </c>
      <c r="P17">
        <v>1220</v>
      </c>
      <c r="Q17">
        <v>0</v>
      </c>
      <c r="R17">
        <v>1629434821</v>
      </c>
      <c r="S17">
        <v>50259334.289999999</v>
      </c>
      <c r="T17">
        <v>1566460004.3099999</v>
      </c>
      <c r="U17">
        <v>1579175486.71</v>
      </c>
      <c r="V17">
        <v>8.9727000000000001E-2</v>
      </c>
      <c r="W17">
        <v>0</v>
      </c>
      <c r="Y17" t="s">
        <v>1</v>
      </c>
      <c r="Z17">
        <v>7000</v>
      </c>
      <c r="AA17">
        <v>360</v>
      </c>
      <c r="AB17">
        <v>1208</v>
      </c>
      <c r="AC17">
        <v>0</v>
      </c>
      <c r="AD17">
        <v>1651903608</v>
      </c>
      <c r="AE17">
        <v>49973890.119999997</v>
      </c>
      <c r="AF17">
        <v>1584761353.99</v>
      </c>
      <c r="AG17">
        <v>1600525998.55</v>
      </c>
      <c r="AH17">
        <v>0.117829</v>
      </c>
      <c r="AI17">
        <v>1.0149999999999999E-2</v>
      </c>
    </row>
    <row r="18" spans="13:35" x14ac:dyDescent="0.35">
      <c r="M18" t="s">
        <v>1</v>
      </c>
      <c r="N18">
        <v>7500</v>
      </c>
      <c r="O18">
        <v>360</v>
      </c>
      <c r="P18">
        <v>617</v>
      </c>
      <c r="Q18">
        <v>0</v>
      </c>
      <c r="R18">
        <v>672974015</v>
      </c>
      <c r="S18">
        <v>24072631.399999999</v>
      </c>
      <c r="T18">
        <v>639184307.76999998</v>
      </c>
      <c r="U18">
        <v>648901383.60000002</v>
      </c>
      <c r="V18">
        <v>0.16014900000000001</v>
      </c>
      <c r="W18">
        <v>0</v>
      </c>
      <c r="Y18" t="s">
        <v>1</v>
      </c>
      <c r="Z18">
        <v>7500</v>
      </c>
      <c r="AA18">
        <v>360</v>
      </c>
      <c r="AB18">
        <v>605</v>
      </c>
      <c r="AC18">
        <v>0</v>
      </c>
      <c r="AD18">
        <v>663941540</v>
      </c>
      <c r="AE18">
        <v>23809156.420000002</v>
      </c>
      <c r="AF18">
        <v>629644880.52999997</v>
      </c>
      <c r="AG18">
        <v>640132383.58000004</v>
      </c>
      <c r="AH18">
        <v>0.17391899999999999</v>
      </c>
      <c r="AI18">
        <v>0</v>
      </c>
    </row>
    <row r="19" spans="13:35" x14ac:dyDescent="0.35">
      <c r="M19" t="s">
        <v>2</v>
      </c>
      <c r="N19">
        <v>8000</v>
      </c>
      <c r="O19">
        <v>360</v>
      </c>
      <c r="P19">
        <v>79</v>
      </c>
      <c r="Q19">
        <v>0</v>
      </c>
      <c r="R19">
        <v>50049115</v>
      </c>
      <c r="S19">
        <v>2314693.4900000002</v>
      </c>
      <c r="T19">
        <v>47456899.039999999</v>
      </c>
      <c r="U19">
        <v>47734421.509999998</v>
      </c>
      <c r="V19">
        <v>6.4547999999999994E-2</v>
      </c>
      <c r="W19">
        <v>0</v>
      </c>
      <c r="Y19" t="s">
        <v>2</v>
      </c>
      <c r="Z19">
        <v>8000</v>
      </c>
      <c r="AA19">
        <v>360</v>
      </c>
      <c r="AB19">
        <v>75</v>
      </c>
      <c r="AC19">
        <v>0</v>
      </c>
      <c r="AD19">
        <v>47384493</v>
      </c>
      <c r="AE19">
        <v>2223470.48</v>
      </c>
      <c r="AF19">
        <v>45134694.909999996</v>
      </c>
      <c r="AG19">
        <v>45161022.520000003</v>
      </c>
      <c r="AH19">
        <v>6.6470000000000001E-3</v>
      </c>
      <c r="AI19">
        <v>0</v>
      </c>
    </row>
    <row r="20" spans="13:35" x14ac:dyDescent="0.35">
      <c r="M20" t="s">
        <v>0</v>
      </c>
      <c r="N20">
        <v>6500</v>
      </c>
      <c r="O20">
        <v>320</v>
      </c>
      <c r="P20">
        <v>22283</v>
      </c>
      <c r="Q20">
        <v>0</v>
      </c>
      <c r="R20">
        <v>78218091140</v>
      </c>
      <c r="S20">
        <v>691891391.75999999</v>
      </c>
      <c r="T20">
        <v>77084215791.589996</v>
      </c>
      <c r="U20">
        <v>77486990751.820007</v>
      </c>
      <c r="V20">
        <v>6.5740000000000007E-2</v>
      </c>
      <c r="W20">
        <v>5.999E-3</v>
      </c>
      <c r="Y20" t="s">
        <v>0</v>
      </c>
      <c r="Z20">
        <v>6500</v>
      </c>
      <c r="AA20">
        <v>320</v>
      </c>
      <c r="AB20">
        <v>22183</v>
      </c>
      <c r="AC20">
        <v>0</v>
      </c>
      <c r="AD20">
        <v>77998539162</v>
      </c>
      <c r="AE20">
        <v>686259418.95000005</v>
      </c>
      <c r="AF20">
        <v>76835194796.970001</v>
      </c>
      <c r="AG20">
        <v>77221957356.919998</v>
      </c>
      <c r="AH20">
        <v>7.0979E-2</v>
      </c>
      <c r="AI20">
        <v>1.3808000000000001E-2</v>
      </c>
    </row>
    <row r="21" spans="13:35" x14ac:dyDescent="0.35">
      <c r="M21" t="s">
        <v>1</v>
      </c>
      <c r="N21">
        <v>6000</v>
      </c>
      <c r="O21">
        <v>320</v>
      </c>
      <c r="P21">
        <v>6019</v>
      </c>
      <c r="Q21">
        <v>0</v>
      </c>
      <c r="R21">
        <v>25398227863</v>
      </c>
      <c r="S21">
        <v>216719018.05000001</v>
      </c>
      <c r="T21">
        <v>25032935278.34</v>
      </c>
      <c r="U21">
        <v>25161259263.23</v>
      </c>
      <c r="V21">
        <v>6.7982000000000001E-2</v>
      </c>
      <c r="W21">
        <v>9.5259999999999997E-3</v>
      </c>
      <c r="Y21" t="s">
        <v>1</v>
      </c>
      <c r="Z21">
        <v>6000</v>
      </c>
      <c r="AA21">
        <v>320</v>
      </c>
      <c r="AB21">
        <v>6024</v>
      </c>
      <c r="AC21">
        <v>0</v>
      </c>
      <c r="AD21">
        <v>25492178378</v>
      </c>
      <c r="AE21">
        <v>215685080.78999999</v>
      </c>
      <c r="AF21">
        <v>25106880088.139999</v>
      </c>
      <c r="AG21">
        <v>25267494094.91</v>
      </c>
      <c r="AH21">
        <v>7.6984999999999998E-2</v>
      </c>
      <c r="AI21">
        <v>4.228E-3</v>
      </c>
    </row>
    <row r="22" spans="13:35" x14ac:dyDescent="0.35">
      <c r="M22" t="s">
        <v>0</v>
      </c>
      <c r="N22">
        <v>6000</v>
      </c>
      <c r="O22">
        <v>320</v>
      </c>
      <c r="P22">
        <v>33031</v>
      </c>
      <c r="Q22">
        <v>0</v>
      </c>
      <c r="R22">
        <v>128638457994</v>
      </c>
      <c r="S22">
        <v>1068550244.9299999</v>
      </c>
      <c r="T22">
        <v>126837166119.64</v>
      </c>
      <c r="U22">
        <v>127470745570.92999</v>
      </c>
      <c r="V22">
        <v>6.6252000000000005E-2</v>
      </c>
      <c r="W22">
        <v>9.2110000000000004E-3</v>
      </c>
      <c r="Y22" t="s">
        <v>0</v>
      </c>
      <c r="Z22">
        <v>6000</v>
      </c>
      <c r="AA22">
        <v>320</v>
      </c>
      <c r="AB22">
        <v>32985</v>
      </c>
      <c r="AC22">
        <v>0</v>
      </c>
      <c r="AD22">
        <v>128974512844</v>
      </c>
      <c r="AE22">
        <v>1062126996.78</v>
      </c>
      <c r="AF22">
        <v>127143555714.96001</v>
      </c>
      <c r="AG22">
        <v>127844819123.85001</v>
      </c>
      <c r="AH22">
        <v>6.9234000000000004E-2</v>
      </c>
      <c r="AI22">
        <v>6.2680000000000001E-3</v>
      </c>
    </row>
    <row r="23" spans="13:35" x14ac:dyDescent="0.35">
      <c r="M23" t="s">
        <v>0</v>
      </c>
      <c r="N23">
        <v>7000</v>
      </c>
      <c r="O23">
        <v>320</v>
      </c>
      <c r="P23">
        <v>9740</v>
      </c>
      <c r="Q23">
        <v>0</v>
      </c>
      <c r="R23">
        <v>27734802412</v>
      </c>
      <c r="S23">
        <v>307466641.77999997</v>
      </c>
      <c r="T23">
        <v>27274833075.299999</v>
      </c>
      <c r="U23">
        <v>27414227201.630001</v>
      </c>
      <c r="V23">
        <v>6.4023999999999998E-2</v>
      </c>
      <c r="W23">
        <v>5.6569999999999997E-3</v>
      </c>
      <c r="Y23" t="s">
        <v>0</v>
      </c>
      <c r="Z23">
        <v>7000</v>
      </c>
      <c r="AA23">
        <v>320</v>
      </c>
      <c r="AB23">
        <v>9851</v>
      </c>
      <c r="AC23">
        <v>0</v>
      </c>
      <c r="AD23">
        <v>28214752691</v>
      </c>
      <c r="AE23">
        <v>309918463.25999999</v>
      </c>
      <c r="AF23">
        <v>27754558865.16</v>
      </c>
      <c r="AG23">
        <v>27874005560.41</v>
      </c>
      <c r="AH23">
        <v>6.2073999999999997E-2</v>
      </c>
      <c r="AI23">
        <v>1.3032999999999999E-2</v>
      </c>
    </row>
    <row r="24" spans="13:35" x14ac:dyDescent="0.35">
      <c r="M24" t="s">
        <v>0</v>
      </c>
      <c r="N24">
        <v>5500</v>
      </c>
      <c r="O24">
        <v>320</v>
      </c>
      <c r="P24">
        <v>16058</v>
      </c>
      <c r="Q24">
        <v>0</v>
      </c>
      <c r="R24">
        <v>65925622954</v>
      </c>
      <c r="S24">
        <v>556820923.61000001</v>
      </c>
      <c r="T24">
        <v>64986743381.959999</v>
      </c>
      <c r="U24">
        <v>65343103260.150002</v>
      </c>
      <c r="V24">
        <v>6.7368999999999998E-2</v>
      </c>
      <c r="W24">
        <v>4.6680000000000003E-3</v>
      </c>
      <c r="Y24" t="s">
        <v>0</v>
      </c>
      <c r="Z24">
        <v>5500</v>
      </c>
      <c r="AA24">
        <v>320</v>
      </c>
      <c r="AB24">
        <v>16040</v>
      </c>
      <c r="AC24">
        <v>0</v>
      </c>
      <c r="AD24">
        <v>66225404349</v>
      </c>
      <c r="AE24">
        <v>553961901.62</v>
      </c>
      <c r="AF24">
        <v>65294081627.089996</v>
      </c>
      <c r="AG24">
        <v>65645487621.739998</v>
      </c>
      <c r="AH24">
        <v>6.6275000000000001E-2</v>
      </c>
      <c r="AI24">
        <v>4.6930000000000001E-3</v>
      </c>
    </row>
    <row r="25" spans="13:35" x14ac:dyDescent="0.35">
      <c r="M25" t="s">
        <v>1</v>
      </c>
      <c r="N25">
        <v>5000</v>
      </c>
      <c r="O25">
        <v>320</v>
      </c>
      <c r="P25">
        <v>1514</v>
      </c>
      <c r="Q25">
        <v>0</v>
      </c>
      <c r="R25">
        <v>5890580214</v>
      </c>
      <c r="S25">
        <v>53479653.670000002</v>
      </c>
      <c r="T25">
        <v>5799824817.7399998</v>
      </c>
      <c r="U25">
        <v>5837100560.3299999</v>
      </c>
      <c r="V25">
        <v>7.3347999999999997E-2</v>
      </c>
      <c r="W25">
        <v>0</v>
      </c>
      <c r="Y25" t="s">
        <v>1</v>
      </c>
      <c r="Z25">
        <v>5000</v>
      </c>
      <c r="AA25">
        <v>320</v>
      </c>
      <c r="AB25">
        <v>1537</v>
      </c>
      <c r="AC25">
        <v>0</v>
      </c>
      <c r="AD25">
        <v>6016802425</v>
      </c>
      <c r="AE25">
        <v>53930647.399999999</v>
      </c>
      <c r="AF25">
        <v>5914802520.5299997</v>
      </c>
      <c r="AG25">
        <v>5960343887.0100002</v>
      </c>
      <c r="AH25">
        <v>9.1768000000000002E-2</v>
      </c>
      <c r="AI25">
        <v>5.0299999999999997E-3</v>
      </c>
    </row>
    <row r="26" spans="13:35" x14ac:dyDescent="0.35">
      <c r="M26" t="s">
        <v>0</v>
      </c>
      <c r="N26">
        <v>5000</v>
      </c>
      <c r="O26">
        <v>320</v>
      </c>
      <c r="P26">
        <v>2281</v>
      </c>
      <c r="Q26">
        <v>0</v>
      </c>
      <c r="R26">
        <v>9590656652</v>
      </c>
      <c r="S26">
        <v>80582519.760000005</v>
      </c>
      <c r="T26">
        <v>9447664825.6700001</v>
      </c>
      <c r="U26">
        <v>9510074132.2399998</v>
      </c>
      <c r="V26">
        <v>7.5353000000000003E-2</v>
      </c>
      <c r="W26">
        <v>0</v>
      </c>
      <c r="Y26" t="s">
        <v>0</v>
      </c>
      <c r="Z26">
        <v>5000</v>
      </c>
      <c r="AA26">
        <v>320</v>
      </c>
      <c r="AB26">
        <v>2272</v>
      </c>
      <c r="AC26">
        <v>0</v>
      </c>
      <c r="AD26">
        <v>9627744902</v>
      </c>
      <c r="AE26">
        <v>80151335.489999995</v>
      </c>
      <c r="AF26">
        <v>9496514929.3199997</v>
      </c>
      <c r="AG26">
        <v>9529328907.25</v>
      </c>
      <c r="AH26">
        <v>6.1838999999999998E-2</v>
      </c>
      <c r="AI26">
        <v>2.2529E-2</v>
      </c>
    </row>
    <row r="27" spans="13:35" x14ac:dyDescent="0.35">
      <c r="M27" t="s">
        <v>1</v>
      </c>
      <c r="N27">
        <v>6500</v>
      </c>
      <c r="O27">
        <v>320</v>
      </c>
      <c r="P27">
        <v>2596</v>
      </c>
      <c r="Q27">
        <v>0</v>
      </c>
      <c r="R27">
        <v>9329788202</v>
      </c>
      <c r="S27">
        <v>89129746.140000001</v>
      </c>
      <c r="T27">
        <v>9183468518.5</v>
      </c>
      <c r="U27">
        <v>9235725436.2900009</v>
      </c>
      <c r="V27">
        <v>7.1127999999999997E-2</v>
      </c>
      <c r="W27">
        <v>6.326E-3</v>
      </c>
      <c r="Y27" t="s">
        <v>1</v>
      </c>
      <c r="Z27">
        <v>6500</v>
      </c>
      <c r="AA27">
        <v>320</v>
      </c>
      <c r="AB27">
        <v>2599</v>
      </c>
      <c r="AC27">
        <v>0</v>
      </c>
      <c r="AD27">
        <v>9385165939</v>
      </c>
      <c r="AE27">
        <v>89069584.980000004</v>
      </c>
      <c r="AF27">
        <v>9230196391.5699997</v>
      </c>
      <c r="AG27">
        <v>9292023606.6800003</v>
      </c>
      <c r="AH27">
        <v>8.1081E-2</v>
      </c>
      <c r="AI27">
        <v>5.195E-3</v>
      </c>
    </row>
    <row r="28" spans="13:35" x14ac:dyDescent="0.35">
      <c r="M28" t="s">
        <v>0</v>
      </c>
      <c r="N28">
        <v>3500</v>
      </c>
      <c r="O28">
        <v>168</v>
      </c>
      <c r="P28">
        <v>80667</v>
      </c>
      <c r="Q28">
        <v>0</v>
      </c>
      <c r="R28">
        <v>848557282563</v>
      </c>
      <c r="S28">
        <v>3107077924.23</v>
      </c>
      <c r="T28">
        <v>841966042170.59998</v>
      </c>
      <c r="U28">
        <v>845147202350.23999</v>
      </c>
      <c r="V28">
        <v>4.8174000000000002E-2</v>
      </c>
      <c r="W28">
        <v>4.2770000000000004E-3</v>
      </c>
      <c r="Y28" t="s">
        <v>0</v>
      </c>
      <c r="Z28">
        <v>3500</v>
      </c>
      <c r="AA28">
        <v>168</v>
      </c>
      <c r="AB28">
        <v>81238</v>
      </c>
      <c r="AC28">
        <v>0</v>
      </c>
      <c r="AD28">
        <v>857740252174</v>
      </c>
      <c r="AE28">
        <v>3121009230.5500002</v>
      </c>
      <c r="AF28">
        <v>850984222806.40002</v>
      </c>
      <c r="AG28">
        <v>854321279104.09998</v>
      </c>
      <c r="AH28">
        <v>4.9686000000000001E-2</v>
      </c>
      <c r="AI28">
        <v>4.1609999999999998E-3</v>
      </c>
    </row>
    <row r="29" spans="13:35" x14ac:dyDescent="0.35">
      <c r="M29" t="s">
        <v>2</v>
      </c>
      <c r="N29">
        <v>3500</v>
      </c>
      <c r="O29">
        <v>168</v>
      </c>
      <c r="P29">
        <v>14941</v>
      </c>
      <c r="Q29">
        <v>0</v>
      </c>
      <c r="R29">
        <v>126042272118</v>
      </c>
      <c r="S29">
        <v>462452432.16000003</v>
      </c>
      <c r="T29">
        <v>125019572751.23</v>
      </c>
      <c r="U29">
        <v>125549462819.28</v>
      </c>
      <c r="V29">
        <v>5.2054000000000003E-2</v>
      </c>
      <c r="W29">
        <v>2.8860000000000001E-3</v>
      </c>
      <c r="Y29" t="s">
        <v>2</v>
      </c>
      <c r="Z29">
        <v>3500</v>
      </c>
      <c r="AA29">
        <v>168</v>
      </c>
      <c r="AB29">
        <v>15055</v>
      </c>
      <c r="AC29">
        <v>0</v>
      </c>
      <c r="AD29">
        <v>127613592967</v>
      </c>
      <c r="AE29">
        <v>465292949.06</v>
      </c>
      <c r="AF29">
        <v>126390924261.50999</v>
      </c>
      <c r="AG29">
        <v>127088097851.46001</v>
      </c>
      <c r="AH29">
        <v>6.8940000000000001E-2</v>
      </c>
      <c r="AI29">
        <v>5.646E-3</v>
      </c>
    </row>
    <row r="30" spans="13:35" x14ac:dyDescent="0.35">
      <c r="M30" t="s">
        <v>0</v>
      </c>
      <c r="N30">
        <v>6750</v>
      </c>
      <c r="O30">
        <v>360</v>
      </c>
      <c r="P30">
        <v>938</v>
      </c>
      <c r="Q30">
        <v>0</v>
      </c>
      <c r="R30">
        <v>801079358</v>
      </c>
      <c r="S30">
        <v>28600459.719999999</v>
      </c>
      <c r="T30">
        <v>769847163.35000002</v>
      </c>
      <c r="U30">
        <v>772478898.27999997</v>
      </c>
      <c r="V30">
        <v>3.8718000000000002E-2</v>
      </c>
      <c r="W30">
        <v>0</v>
      </c>
      <c r="Y30" t="s">
        <v>0</v>
      </c>
      <c r="Z30">
        <v>6750</v>
      </c>
      <c r="AA30">
        <v>360</v>
      </c>
      <c r="AB30">
        <v>949</v>
      </c>
      <c r="AC30">
        <v>0</v>
      </c>
      <c r="AD30">
        <v>813717282</v>
      </c>
      <c r="AE30">
        <v>28654952.079999998</v>
      </c>
      <c r="AF30">
        <v>774169611.26999998</v>
      </c>
      <c r="AG30">
        <v>785062329.91999996</v>
      </c>
      <c r="AH30">
        <v>0.14932200000000001</v>
      </c>
      <c r="AI30">
        <v>0</v>
      </c>
    </row>
    <row r="31" spans="13:35" x14ac:dyDescent="0.35">
      <c r="M31" t="s">
        <v>0</v>
      </c>
      <c r="N31">
        <v>7250</v>
      </c>
      <c r="O31">
        <v>360</v>
      </c>
      <c r="P31">
        <v>1134</v>
      </c>
      <c r="Q31">
        <v>0</v>
      </c>
      <c r="R31">
        <v>1036389092</v>
      </c>
      <c r="S31">
        <v>36025752.039999999</v>
      </c>
      <c r="T31">
        <v>991797700.42999995</v>
      </c>
      <c r="U31">
        <v>1000363339.96</v>
      </c>
      <c r="V31">
        <v>9.4792000000000001E-2</v>
      </c>
      <c r="W31">
        <v>0</v>
      </c>
      <c r="Y31" t="s">
        <v>0</v>
      </c>
      <c r="Z31">
        <v>7250</v>
      </c>
      <c r="AA31">
        <v>360</v>
      </c>
      <c r="AB31">
        <v>1154</v>
      </c>
      <c r="AC31">
        <v>0</v>
      </c>
      <c r="AD31">
        <v>1050157439</v>
      </c>
      <c r="AE31">
        <v>36694458.149999999</v>
      </c>
      <c r="AF31">
        <v>1008583826.03</v>
      </c>
      <c r="AG31">
        <v>1013420146.61</v>
      </c>
      <c r="AH31">
        <v>5.4350999999999997E-2</v>
      </c>
      <c r="AI31">
        <v>4.8899999999999996E-4</v>
      </c>
    </row>
    <row r="32" spans="13:35" x14ac:dyDescent="0.35">
      <c r="M32" t="s">
        <v>2</v>
      </c>
      <c r="N32">
        <v>7500</v>
      </c>
      <c r="O32">
        <v>360</v>
      </c>
      <c r="P32">
        <v>261</v>
      </c>
      <c r="Q32">
        <v>0</v>
      </c>
      <c r="R32">
        <v>240560263</v>
      </c>
      <c r="S32">
        <v>8140311.9299999997</v>
      </c>
      <c r="T32">
        <v>232283088.24000001</v>
      </c>
      <c r="U32">
        <v>232419951.06999999</v>
      </c>
      <c r="V32">
        <v>6.8060000000000004E-3</v>
      </c>
      <c r="W32">
        <v>0</v>
      </c>
      <c r="Y32" t="s">
        <v>2</v>
      </c>
      <c r="Z32">
        <v>7500</v>
      </c>
      <c r="AA32">
        <v>360</v>
      </c>
      <c r="AB32">
        <v>254</v>
      </c>
      <c r="AC32">
        <v>0</v>
      </c>
      <c r="AD32">
        <v>234032529</v>
      </c>
      <c r="AE32">
        <v>7885346.1600000001</v>
      </c>
      <c r="AF32">
        <v>223718525.65000001</v>
      </c>
      <c r="AG32">
        <v>226147182.84</v>
      </c>
      <c r="AH32">
        <v>0.117662</v>
      </c>
      <c r="AI32">
        <v>0</v>
      </c>
    </row>
    <row r="33" spans="13:35" x14ac:dyDescent="0.35">
      <c r="M33" t="s">
        <v>0</v>
      </c>
      <c r="N33">
        <v>7750</v>
      </c>
      <c r="O33">
        <v>360</v>
      </c>
      <c r="P33">
        <v>589</v>
      </c>
      <c r="Q33">
        <v>0</v>
      </c>
      <c r="R33">
        <v>486990546</v>
      </c>
      <c r="S33">
        <v>18040158.670000002</v>
      </c>
      <c r="T33">
        <v>464578578.61000001</v>
      </c>
      <c r="U33">
        <v>468683081.20999998</v>
      </c>
      <c r="V33">
        <v>0.102563</v>
      </c>
      <c r="W33">
        <v>6.5669999999999999E-3</v>
      </c>
      <c r="Y33" t="s">
        <v>0</v>
      </c>
      <c r="Z33">
        <v>7750</v>
      </c>
      <c r="AA33">
        <v>360</v>
      </c>
      <c r="AB33">
        <v>566</v>
      </c>
      <c r="AC33">
        <v>0</v>
      </c>
      <c r="AD33">
        <v>459548486</v>
      </c>
      <c r="AE33">
        <v>17300028.27</v>
      </c>
      <c r="AF33">
        <v>439246037</v>
      </c>
      <c r="AG33">
        <v>442248457.73000002</v>
      </c>
      <c r="AH33">
        <v>7.5644000000000003E-2</v>
      </c>
      <c r="AI33">
        <v>0</v>
      </c>
    </row>
    <row r="34" spans="13:35" x14ac:dyDescent="0.35">
      <c r="M34" t="s">
        <v>1</v>
      </c>
      <c r="N34">
        <v>6500</v>
      </c>
      <c r="O34">
        <v>360</v>
      </c>
      <c r="P34">
        <v>861</v>
      </c>
      <c r="Q34">
        <v>0</v>
      </c>
      <c r="R34">
        <v>1182605343</v>
      </c>
      <c r="S34">
        <v>33488000.809999999</v>
      </c>
      <c r="T34">
        <v>1143814876.8099999</v>
      </c>
      <c r="U34">
        <v>1149117342.1900001</v>
      </c>
      <c r="V34">
        <v>5.2497000000000002E-2</v>
      </c>
      <c r="W34">
        <v>0</v>
      </c>
      <c r="Y34" t="s">
        <v>1</v>
      </c>
      <c r="Z34">
        <v>6500</v>
      </c>
      <c r="AA34">
        <v>360</v>
      </c>
      <c r="AB34">
        <v>876</v>
      </c>
      <c r="AC34">
        <v>0</v>
      </c>
      <c r="AD34">
        <v>1238153390</v>
      </c>
      <c r="AE34">
        <v>34164961.119999997</v>
      </c>
      <c r="AF34">
        <v>1187612548.0699999</v>
      </c>
      <c r="AG34">
        <v>1203988428.8800001</v>
      </c>
      <c r="AH34">
        <v>0.14766199999999999</v>
      </c>
      <c r="AI34">
        <v>0</v>
      </c>
    </row>
    <row r="35" spans="13:35" x14ac:dyDescent="0.35">
      <c r="M35" t="s">
        <v>0</v>
      </c>
      <c r="N35">
        <v>5000</v>
      </c>
      <c r="O35">
        <v>240</v>
      </c>
      <c r="P35">
        <v>249</v>
      </c>
      <c r="Q35">
        <v>0</v>
      </c>
      <c r="R35">
        <v>1557679430</v>
      </c>
      <c r="S35">
        <v>8841939.0700000003</v>
      </c>
      <c r="T35">
        <v>1548837490.9300001</v>
      </c>
      <c r="U35">
        <v>1548837490.9300001</v>
      </c>
      <c r="V35">
        <v>0</v>
      </c>
      <c r="W35">
        <v>0</v>
      </c>
      <c r="Y35" t="s">
        <v>0</v>
      </c>
      <c r="Z35">
        <v>5000</v>
      </c>
      <c r="AA35">
        <v>240</v>
      </c>
      <c r="AB35">
        <v>219</v>
      </c>
      <c r="AC35">
        <v>0</v>
      </c>
      <c r="AD35">
        <v>1276279144</v>
      </c>
      <c r="AE35">
        <v>7488996.4400000004</v>
      </c>
      <c r="AF35">
        <v>1265057881.1300001</v>
      </c>
      <c r="AG35">
        <v>1268790147.5599999</v>
      </c>
      <c r="AH35">
        <v>3.4533000000000001E-2</v>
      </c>
      <c r="AI35">
        <v>0</v>
      </c>
    </row>
    <row r="36" spans="13:35" x14ac:dyDescent="0.35">
      <c r="M36" t="s">
        <v>0</v>
      </c>
      <c r="N36">
        <v>6000</v>
      </c>
      <c r="O36">
        <v>240</v>
      </c>
      <c r="P36">
        <v>5655</v>
      </c>
      <c r="Q36">
        <v>0</v>
      </c>
      <c r="R36">
        <v>34302804796</v>
      </c>
      <c r="S36">
        <v>180409213.55000001</v>
      </c>
      <c r="T36">
        <v>33925151428.450001</v>
      </c>
      <c r="U36">
        <v>34099782919.900002</v>
      </c>
      <c r="V36">
        <v>6.6860000000000003E-2</v>
      </c>
      <c r="W36">
        <v>7.8820000000000001E-3</v>
      </c>
      <c r="Y36" t="s">
        <v>0</v>
      </c>
      <c r="Z36">
        <v>6000</v>
      </c>
      <c r="AA36">
        <v>240</v>
      </c>
      <c r="AB36">
        <v>5052</v>
      </c>
      <c r="AC36">
        <v>0</v>
      </c>
      <c r="AD36">
        <v>29781916798</v>
      </c>
      <c r="AE36">
        <v>159763139.75</v>
      </c>
      <c r="AF36">
        <v>29489593336.560001</v>
      </c>
      <c r="AG36">
        <v>29586689101.59</v>
      </c>
      <c r="AH36">
        <v>5.2123999999999997E-2</v>
      </c>
      <c r="AI36">
        <v>1.4196E-2</v>
      </c>
    </row>
    <row r="37" spans="13:35" x14ac:dyDescent="0.35">
      <c r="M37" t="s">
        <v>1</v>
      </c>
      <c r="N37">
        <v>6500</v>
      </c>
      <c r="O37">
        <v>240</v>
      </c>
      <c r="P37">
        <v>919</v>
      </c>
      <c r="Q37">
        <v>0</v>
      </c>
      <c r="R37">
        <v>6110124613</v>
      </c>
      <c r="S37">
        <v>32590634.850000001</v>
      </c>
      <c r="T37">
        <v>6050014211.2700005</v>
      </c>
      <c r="U37">
        <v>6072768442.3199997</v>
      </c>
      <c r="V37">
        <v>5.2728999999999998E-2</v>
      </c>
      <c r="W37">
        <v>9.3189999999999992E-3</v>
      </c>
      <c r="Y37" t="s">
        <v>1</v>
      </c>
      <c r="Z37">
        <v>6500</v>
      </c>
      <c r="AA37">
        <v>240</v>
      </c>
      <c r="AB37">
        <v>944</v>
      </c>
      <c r="AC37">
        <v>0</v>
      </c>
      <c r="AD37">
        <v>6331025373</v>
      </c>
      <c r="AE37">
        <v>33536316.73</v>
      </c>
      <c r="AF37">
        <v>6241545832.7200003</v>
      </c>
      <c r="AG37">
        <v>6296761964.3599997</v>
      </c>
      <c r="AH37">
        <v>0.101032</v>
      </c>
      <c r="AI37">
        <v>1.377E-3</v>
      </c>
    </row>
    <row r="38" spans="13:35" x14ac:dyDescent="0.35">
      <c r="M38" t="s">
        <v>2</v>
      </c>
      <c r="N38">
        <v>6500</v>
      </c>
      <c r="O38">
        <v>240</v>
      </c>
      <c r="P38">
        <v>1027</v>
      </c>
      <c r="Q38">
        <v>0</v>
      </c>
      <c r="R38">
        <v>5188773524</v>
      </c>
      <c r="S38">
        <v>27002943.73</v>
      </c>
      <c r="T38">
        <v>5144153832.6000004</v>
      </c>
      <c r="U38">
        <v>5161770580.2700005</v>
      </c>
      <c r="V38">
        <v>3.9989999999999998E-2</v>
      </c>
      <c r="W38">
        <v>0</v>
      </c>
      <c r="Y38" t="s">
        <v>2</v>
      </c>
      <c r="Z38">
        <v>6500</v>
      </c>
      <c r="AA38">
        <v>240</v>
      </c>
      <c r="AB38">
        <v>1027</v>
      </c>
      <c r="AC38">
        <v>0</v>
      </c>
      <c r="AD38">
        <v>5259347849</v>
      </c>
      <c r="AE38">
        <v>27276046.260000002</v>
      </c>
      <c r="AF38">
        <v>5184121632.79</v>
      </c>
      <c r="AG38">
        <v>5232071802.7399998</v>
      </c>
      <c r="AH38">
        <v>0.10408299999999999</v>
      </c>
      <c r="AI38">
        <v>0</v>
      </c>
    </row>
    <row r="39" spans="13:35" x14ac:dyDescent="0.35">
      <c r="M39" t="s">
        <v>0</v>
      </c>
      <c r="N39">
        <v>4500</v>
      </c>
      <c r="O39">
        <v>144</v>
      </c>
      <c r="P39">
        <v>57546</v>
      </c>
      <c r="Q39">
        <v>0</v>
      </c>
      <c r="R39">
        <v>563723595088</v>
      </c>
      <c r="S39">
        <v>1581834718.4400001</v>
      </c>
      <c r="T39">
        <v>559286889364.31006</v>
      </c>
      <c r="U39">
        <v>561733189553.65002</v>
      </c>
      <c r="V39">
        <v>5.9107E-2</v>
      </c>
      <c r="W39">
        <v>8.6630000000000006E-3</v>
      </c>
      <c r="Y39" t="s">
        <v>0</v>
      </c>
      <c r="Z39">
        <v>4500</v>
      </c>
      <c r="AA39">
        <v>144</v>
      </c>
      <c r="AB39">
        <v>58719</v>
      </c>
      <c r="AC39">
        <v>0</v>
      </c>
      <c r="AD39">
        <v>572718715145</v>
      </c>
      <c r="AE39">
        <v>1606067163.5999999</v>
      </c>
      <c r="AF39">
        <v>567718419810.45996</v>
      </c>
      <c r="AG39">
        <v>570716543948.58997</v>
      </c>
      <c r="AH39">
        <v>6.8845000000000003E-2</v>
      </c>
      <c r="AI39">
        <v>8.2679999999999993E-3</v>
      </c>
    </row>
    <row r="40" spans="13:35" x14ac:dyDescent="0.35">
      <c r="M40" t="s">
        <v>1</v>
      </c>
      <c r="N40">
        <v>8000</v>
      </c>
      <c r="O40">
        <v>360</v>
      </c>
      <c r="P40">
        <v>262</v>
      </c>
      <c r="Q40">
        <v>0</v>
      </c>
      <c r="R40">
        <v>166880393</v>
      </c>
      <c r="S40">
        <v>10370941.15</v>
      </c>
      <c r="T40">
        <v>156015217.83000001</v>
      </c>
      <c r="U40">
        <v>156509451.84999999</v>
      </c>
      <c r="V40">
        <v>3.4965999999999997E-2</v>
      </c>
      <c r="W40">
        <v>0</v>
      </c>
      <c r="Y40" t="s">
        <v>1</v>
      </c>
      <c r="Z40">
        <v>8000</v>
      </c>
      <c r="AA40">
        <v>360</v>
      </c>
      <c r="AB40">
        <v>267</v>
      </c>
      <c r="AC40">
        <v>0</v>
      </c>
      <c r="AD40">
        <v>174655964</v>
      </c>
      <c r="AE40">
        <v>10751252.359999999</v>
      </c>
      <c r="AF40">
        <v>160765751.59999999</v>
      </c>
      <c r="AG40">
        <v>163904711.63999999</v>
      </c>
      <c r="AH40">
        <v>0.195576</v>
      </c>
      <c r="AI40">
        <v>0</v>
      </c>
    </row>
    <row r="41" spans="13:35" x14ac:dyDescent="0.35">
      <c r="M41" t="s">
        <v>1</v>
      </c>
      <c r="N41">
        <v>9000</v>
      </c>
      <c r="O41">
        <v>360</v>
      </c>
      <c r="P41">
        <v>24</v>
      </c>
      <c r="Q41">
        <v>0</v>
      </c>
      <c r="R41">
        <v>6644180</v>
      </c>
      <c r="S41">
        <v>805096.24</v>
      </c>
      <c r="T41">
        <v>5791762.6900000004</v>
      </c>
      <c r="U41">
        <v>5839083.7599999998</v>
      </c>
      <c r="V41">
        <v>8.2197000000000006E-2</v>
      </c>
      <c r="W41">
        <v>0</v>
      </c>
      <c r="Y41" t="s">
        <v>1</v>
      </c>
      <c r="Z41">
        <v>9000</v>
      </c>
      <c r="AA41">
        <v>360</v>
      </c>
      <c r="AB41">
        <v>27</v>
      </c>
      <c r="AC41">
        <v>0</v>
      </c>
      <c r="AD41">
        <v>8008493</v>
      </c>
      <c r="AE41">
        <v>902551.22</v>
      </c>
      <c r="AF41">
        <v>6893230.5800000001</v>
      </c>
      <c r="AG41">
        <v>7105941.7800000003</v>
      </c>
      <c r="AH41">
        <v>0.27605299999999999</v>
      </c>
      <c r="AI41">
        <v>0</v>
      </c>
    </row>
    <row r="42" spans="13:35" x14ac:dyDescent="0.35">
      <c r="M42" t="s">
        <v>2</v>
      </c>
      <c r="N42">
        <v>4500</v>
      </c>
      <c r="O42">
        <v>192</v>
      </c>
      <c r="P42">
        <v>8579</v>
      </c>
      <c r="Q42">
        <v>0</v>
      </c>
      <c r="R42">
        <v>63939912482</v>
      </c>
      <c r="S42">
        <v>248915777.63</v>
      </c>
      <c r="T42">
        <v>63405040198.150002</v>
      </c>
      <c r="U42">
        <v>63666102031.830002</v>
      </c>
      <c r="V42">
        <v>5.2366999999999997E-2</v>
      </c>
      <c r="W42">
        <v>4.6620000000000003E-3</v>
      </c>
      <c r="Y42" t="s">
        <v>2</v>
      </c>
      <c r="Z42">
        <v>4500</v>
      </c>
      <c r="AA42">
        <v>192</v>
      </c>
      <c r="AB42">
        <v>8638</v>
      </c>
      <c r="AC42">
        <v>0</v>
      </c>
      <c r="AD42">
        <v>64656609018</v>
      </c>
      <c r="AE42">
        <v>249944987.61000001</v>
      </c>
      <c r="AF42">
        <v>64111301935.230003</v>
      </c>
      <c r="AG42">
        <v>64370321552.800003</v>
      </c>
      <c r="AH42">
        <v>5.3461000000000002E-2</v>
      </c>
      <c r="AI42">
        <v>6.7239999999999999E-3</v>
      </c>
    </row>
    <row r="43" spans="13:35" x14ac:dyDescent="0.35">
      <c r="M43" t="s">
        <v>0</v>
      </c>
      <c r="N43">
        <v>5000</v>
      </c>
      <c r="O43">
        <v>192</v>
      </c>
      <c r="P43">
        <v>51232</v>
      </c>
      <c r="Q43">
        <v>0</v>
      </c>
      <c r="R43">
        <v>423598616253</v>
      </c>
      <c r="S43">
        <v>1661767732.3199999</v>
      </c>
      <c r="T43">
        <v>419822914878.60999</v>
      </c>
      <c r="U43">
        <v>421659557390.03003</v>
      </c>
      <c r="V43">
        <v>5.8268E-2</v>
      </c>
      <c r="W43">
        <v>7.8270000000000006E-3</v>
      </c>
      <c r="Y43" t="s">
        <v>0</v>
      </c>
      <c r="Z43">
        <v>5000</v>
      </c>
      <c r="AA43">
        <v>192</v>
      </c>
      <c r="AB43">
        <v>53916</v>
      </c>
      <c r="AC43">
        <v>0</v>
      </c>
      <c r="AD43">
        <v>449511333803</v>
      </c>
      <c r="AE43">
        <v>1754753095.8699999</v>
      </c>
      <c r="AF43">
        <v>445281601787.91998</v>
      </c>
      <c r="AG43">
        <v>447413729421.77002</v>
      </c>
      <c r="AH43">
        <v>6.4106999999999997E-2</v>
      </c>
      <c r="AI43">
        <v>9.1140000000000006E-3</v>
      </c>
    </row>
    <row r="44" spans="13:35" x14ac:dyDescent="0.35">
      <c r="M44" t="s">
        <v>2</v>
      </c>
      <c r="N44">
        <v>5000</v>
      </c>
      <c r="O44">
        <v>192</v>
      </c>
      <c r="P44">
        <v>6291</v>
      </c>
      <c r="Q44">
        <v>0</v>
      </c>
      <c r="R44">
        <v>45550484491</v>
      </c>
      <c r="S44">
        <v>175391711.19</v>
      </c>
      <c r="T44">
        <v>45129337113.43</v>
      </c>
      <c r="U44">
        <v>45370989078.309998</v>
      </c>
      <c r="V44">
        <v>6.2855999999999995E-2</v>
      </c>
      <c r="W44">
        <v>1.0809999999999999E-3</v>
      </c>
      <c r="Y44" t="s">
        <v>2</v>
      </c>
      <c r="Z44">
        <v>5000</v>
      </c>
      <c r="AA44">
        <v>192</v>
      </c>
      <c r="AB44">
        <v>6618</v>
      </c>
      <c r="AC44">
        <v>0</v>
      </c>
      <c r="AD44">
        <v>48244871566</v>
      </c>
      <c r="AE44">
        <v>184983703.66999999</v>
      </c>
      <c r="AF44">
        <v>47809359866.239998</v>
      </c>
      <c r="AG44">
        <v>48029026279.379997</v>
      </c>
      <c r="AH44">
        <v>6.0565000000000001E-2</v>
      </c>
      <c r="AI44">
        <v>7.6490000000000004E-3</v>
      </c>
    </row>
    <row r="45" spans="13:35" x14ac:dyDescent="0.35">
      <c r="M45" t="s">
        <v>1</v>
      </c>
      <c r="N45">
        <v>5000</v>
      </c>
      <c r="O45">
        <v>192</v>
      </c>
      <c r="P45">
        <v>3845</v>
      </c>
      <c r="Q45">
        <v>0</v>
      </c>
      <c r="R45">
        <v>34580832645</v>
      </c>
      <c r="S45">
        <v>135503375.06999999</v>
      </c>
      <c r="T45">
        <v>34211674473.880001</v>
      </c>
      <c r="U45">
        <v>34432253310.239998</v>
      </c>
      <c r="V45">
        <v>7.8134999999999996E-2</v>
      </c>
      <c r="W45">
        <v>4.5279999999999999E-3</v>
      </c>
      <c r="Y45" t="s">
        <v>1</v>
      </c>
      <c r="Z45">
        <v>5000</v>
      </c>
      <c r="AA45">
        <v>192</v>
      </c>
      <c r="AB45">
        <v>4086</v>
      </c>
      <c r="AC45">
        <v>0</v>
      </c>
      <c r="AD45">
        <v>37035703482</v>
      </c>
      <c r="AE45">
        <v>144547544</v>
      </c>
      <c r="AF45">
        <v>36675882399.669998</v>
      </c>
      <c r="AG45">
        <v>36851643976.720001</v>
      </c>
      <c r="AH45">
        <v>6.7563999999999999E-2</v>
      </c>
      <c r="AI45">
        <v>1.2727E-2</v>
      </c>
    </row>
    <row r="46" spans="13:35" x14ac:dyDescent="0.35">
      <c r="M46" t="s">
        <v>0</v>
      </c>
      <c r="N46">
        <v>5500</v>
      </c>
      <c r="O46">
        <v>192</v>
      </c>
      <c r="P46">
        <v>14025</v>
      </c>
      <c r="Q46">
        <v>0</v>
      </c>
      <c r="R46">
        <v>95676885244</v>
      </c>
      <c r="S46">
        <v>370298669.80000001</v>
      </c>
      <c r="T46">
        <v>94830242604.520004</v>
      </c>
      <c r="U46">
        <v>95261975149.970001</v>
      </c>
      <c r="V46">
        <v>5.8134999999999999E-2</v>
      </c>
      <c r="W46">
        <v>5.581E-3</v>
      </c>
      <c r="Y46" t="s">
        <v>0</v>
      </c>
      <c r="Z46">
        <v>5500</v>
      </c>
      <c r="AA46">
        <v>192</v>
      </c>
      <c r="AB46">
        <v>16032</v>
      </c>
      <c r="AC46">
        <v>0</v>
      </c>
      <c r="AD46">
        <v>110609297985</v>
      </c>
      <c r="AE46">
        <v>426596124.44</v>
      </c>
      <c r="AF46">
        <v>109736230099.72</v>
      </c>
      <c r="AG46">
        <v>110136316028.14999</v>
      </c>
      <c r="AH46">
        <v>4.7377000000000002E-2</v>
      </c>
      <c r="AI46">
        <v>5.0210000000000003E-3</v>
      </c>
    </row>
    <row r="47" spans="13:35" x14ac:dyDescent="0.35">
      <c r="M47" t="s">
        <v>2</v>
      </c>
      <c r="N47">
        <v>5500</v>
      </c>
      <c r="O47">
        <v>192</v>
      </c>
      <c r="P47">
        <v>3136</v>
      </c>
      <c r="Q47">
        <v>0</v>
      </c>
      <c r="R47">
        <v>19758855069</v>
      </c>
      <c r="S47">
        <v>76846675.040000007</v>
      </c>
      <c r="T47">
        <v>19570052029.220001</v>
      </c>
      <c r="U47">
        <v>19669961904.049999</v>
      </c>
      <c r="V47">
        <v>6.5914E-2</v>
      </c>
      <c r="W47">
        <v>7.2919999999999999E-3</v>
      </c>
      <c r="Y47" t="s">
        <v>2</v>
      </c>
      <c r="Z47">
        <v>5500</v>
      </c>
      <c r="AA47">
        <v>192</v>
      </c>
      <c r="AB47">
        <v>3606</v>
      </c>
      <c r="AC47">
        <v>0</v>
      </c>
      <c r="AD47">
        <v>22819277258</v>
      </c>
      <c r="AE47">
        <v>88356856.819999993</v>
      </c>
      <c r="AF47">
        <v>22624098648.049999</v>
      </c>
      <c r="AG47">
        <v>22710940228.950001</v>
      </c>
      <c r="AH47">
        <v>5.4751000000000001E-2</v>
      </c>
      <c r="AI47">
        <v>1.0456999999999999E-2</v>
      </c>
    </row>
    <row r="48" spans="13:35" x14ac:dyDescent="0.35">
      <c r="M48" t="s">
        <v>1</v>
      </c>
      <c r="N48">
        <v>4500</v>
      </c>
      <c r="O48">
        <v>192</v>
      </c>
      <c r="P48">
        <v>8014</v>
      </c>
      <c r="Q48">
        <v>0</v>
      </c>
      <c r="R48">
        <v>79875201910</v>
      </c>
      <c r="S48">
        <v>314589609.94999999</v>
      </c>
      <c r="T48">
        <v>79010365157.630005</v>
      </c>
      <c r="U48">
        <v>79481226976.880005</v>
      </c>
      <c r="V48">
        <v>7.9604999999999995E-2</v>
      </c>
      <c r="W48">
        <v>1.1861E-2</v>
      </c>
      <c r="Y48" t="s">
        <v>1</v>
      </c>
      <c r="Z48">
        <v>4500</v>
      </c>
      <c r="AA48">
        <v>192</v>
      </c>
      <c r="AB48">
        <v>8017</v>
      </c>
      <c r="AC48">
        <v>0</v>
      </c>
      <c r="AD48">
        <v>80294287729</v>
      </c>
      <c r="AE48">
        <v>314197890.68000001</v>
      </c>
      <c r="AF48">
        <v>79483454687.830002</v>
      </c>
      <c r="AG48">
        <v>79929961871.169998</v>
      </c>
      <c r="AH48">
        <v>7.1748999999999993E-2</v>
      </c>
      <c r="AI48">
        <v>7.4660000000000004E-3</v>
      </c>
    </row>
    <row r="49" spans="13:35" x14ac:dyDescent="0.35">
      <c r="M49" t="s">
        <v>1</v>
      </c>
      <c r="N49">
        <v>5500</v>
      </c>
      <c r="O49">
        <v>192</v>
      </c>
      <c r="P49">
        <v>479</v>
      </c>
      <c r="Q49">
        <v>0</v>
      </c>
      <c r="R49">
        <v>3487760750</v>
      </c>
      <c r="S49">
        <v>13387987.189999999</v>
      </c>
      <c r="T49">
        <v>3459037305.0100002</v>
      </c>
      <c r="U49">
        <v>3474372762.8099999</v>
      </c>
      <c r="V49">
        <v>5.1506000000000003E-2</v>
      </c>
      <c r="W49">
        <v>0</v>
      </c>
      <c r="Y49" t="s">
        <v>1</v>
      </c>
      <c r="Z49">
        <v>5500</v>
      </c>
      <c r="AA49">
        <v>192</v>
      </c>
      <c r="AB49">
        <v>562</v>
      </c>
      <c r="AC49">
        <v>0</v>
      </c>
      <c r="AD49">
        <v>4090895147</v>
      </c>
      <c r="AE49">
        <v>15737275.99</v>
      </c>
      <c r="AF49">
        <v>4054100155.5799999</v>
      </c>
      <c r="AG49">
        <v>4075157871.0100002</v>
      </c>
      <c r="AH49">
        <v>6.0049999999999999E-2</v>
      </c>
      <c r="AI49">
        <v>0</v>
      </c>
    </row>
    <row r="50" spans="13:35" x14ac:dyDescent="0.35">
      <c r="M50" t="s">
        <v>1</v>
      </c>
      <c r="N50">
        <v>5000</v>
      </c>
      <c r="O50">
        <v>216</v>
      </c>
      <c r="P50">
        <v>4859</v>
      </c>
      <c r="Q50">
        <v>0</v>
      </c>
      <c r="R50">
        <v>45464364452</v>
      </c>
      <c r="S50">
        <v>201819207.27000001</v>
      </c>
      <c r="T50">
        <v>45098875768.040001</v>
      </c>
      <c r="U50">
        <v>45220309557.970001</v>
      </c>
      <c r="V50">
        <v>4.2354000000000003E-2</v>
      </c>
      <c r="W50">
        <v>1.1091E-2</v>
      </c>
      <c r="Y50" t="s">
        <v>1</v>
      </c>
      <c r="Z50">
        <v>5000</v>
      </c>
      <c r="AA50">
        <v>216</v>
      </c>
      <c r="AB50">
        <v>4689</v>
      </c>
      <c r="AC50">
        <v>0</v>
      </c>
      <c r="AD50">
        <v>44041513923</v>
      </c>
      <c r="AE50">
        <v>194443572.93000001</v>
      </c>
      <c r="AF50">
        <v>43590669813.720001</v>
      </c>
      <c r="AG50">
        <v>43828971041.57</v>
      </c>
      <c r="AH50">
        <v>6.7667000000000005E-2</v>
      </c>
      <c r="AI50">
        <v>4.9199999999999999E-3</v>
      </c>
    </row>
    <row r="51" spans="13:35" x14ac:dyDescent="0.35">
      <c r="M51" t="s">
        <v>0</v>
      </c>
      <c r="N51">
        <v>9000</v>
      </c>
      <c r="O51">
        <v>360</v>
      </c>
      <c r="P51">
        <v>183</v>
      </c>
      <c r="Q51">
        <v>0</v>
      </c>
      <c r="R51">
        <v>76195801</v>
      </c>
      <c r="S51">
        <v>6044257.3700000001</v>
      </c>
      <c r="T51">
        <v>68786790.700000003</v>
      </c>
      <c r="U51">
        <v>69040363.760000005</v>
      </c>
      <c r="V51">
        <v>0.19497500000000001</v>
      </c>
      <c r="W51">
        <v>0.16162299999999999</v>
      </c>
      <c r="Y51" t="s">
        <v>0</v>
      </c>
      <c r="Z51">
        <v>9000</v>
      </c>
      <c r="AA51">
        <v>360</v>
      </c>
      <c r="AB51">
        <v>194</v>
      </c>
      <c r="AC51">
        <v>0</v>
      </c>
      <c r="AD51">
        <v>82644720</v>
      </c>
      <c r="AE51">
        <v>6422180.75</v>
      </c>
      <c r="AF51">
        <v>75496634.840000004</v>
      </c>
      <c r="AG51">
        <v>76222539.25</v>
      </c>
      <c r="AH51">
        <v>0.100456</v>
      </c>
      <c r="AI51">
        <v>0</v>
      </c>
    </row>
    <row r="52" spans="13:35" x14ac:dyDescent="0.35">
      <c r="M52" t="s">
        <v>1</v>
      </c>
      <c r="N52">
        <v>6000</v>
      </c>
      <c r="O52">
        <v>360</v>
      </c>
      <c r="P52">
        <v>54</v>
      </c>
      <c r="Q52">
        <v>0</v>
      </c>
      <c r="R52">
        <v>70049307</v>
      </c>
      <c r="S52">
        <v>2042439.88</v>
      </c>
      <c r="T52">
        <v>66700979.600000001</v>
      </c>
      <c r="U52">
        <v>68006867.120000005</v>
      </c>
      <c r="V52">
        <v>0.20213900000000001</v>
      </c>
      <c r="W52">
        <v>0</v>
      </c>
      <c r="Y52" t="s">
        <v>1</v>
      </c>
      <c r="Z52">
        <v>6000</v>
      </c>
      <c r="AA52">
        <v>360</v>
      </c>
      <c r="AB52">
        <v>50</v>
      </c>
      <c r="AC52">
        <v>0</v>
      </c>
      <c r="AD52">
        <v>65670113</v>
      </c>
      <c r="AE52">
        <v>1890331.47</v>
      </c>
      <c r="AF52">
        <v>63779781.530000001</v>
      </c>
      <c r="AG52">
        <v>63779781.530000001</v>
      </c>
      <c r="AH52">
        <v>0</v>
      </c>
      <c r="AI52">
        <v>0</v>
      </c>
    </row>
    <row r="53" spans="13:35" x14ac:dyDescent="0.35">
      <c r="M53" t="s">
        <v>0</v>
      </c>
      <c r="N53">
        <v>6000</v>
      </c>
      <c r="O53">
        <v>360</v>
      </c>
      <c r="P53">
        <v>456</v>
      </c>
      <c r="Q53">
        <v>0</v>
      </c>
      <c r="R53">
        <v>461845896</v>
      </c>
      <c r="S53">
        <v>13265128.83</v>
      </c>
      <c r="T53">
        <v>444798152.98000002</v>
      </c>
      <c r="U53">
        <v>448580767.17000002</v>
      </c>
      <c r="V53">
        <v>9.3974000000000002E-2</v>
      </c>
      <c r="W53">
        <v>0</v>
      </c>
      <c r="Y53" t="s">
        <v>0</v>
      </c>
      <c r="Z53">
        <v>6000</v>
      </c>
      <c r="AA53">
        <v>360</v>
      </c>
      <c r="AB53">
        <v>428</v>
      </c>
      <c r="AC53">
        <v>0</v>
      </c>
      <c r="AD53">
        <v>439005034</v>
      </c>
      <c r="AE53">
        <v>12443702.93</v>
      </c>
      <c r="AF53">
        <v>418093122.30000001</v>
      </c>
      <c r="AG53">
        <v>426561331.06999999</v>
      </c>
      <c r="AH53">
        <v>0.208429</v>
      </c>
      <c r="AI53">
        <v>0</v>
      </c>
    </row>
    <row r="54" spans="13:35" x14ac:dyDescent="0.35">
      <c r="M54" t="s">
        <v>0</v>
      </c>
      <c r="N54">
        <v>4750</v>
      </c>
      <c r="O54">
        <v>192</v>
      </c>
      <c r="P54">
        <v>48273</v>
      </c>
      <c r="Q54">
        <v>0</v>
      </c>
      <c r="R54">
        <v>416072874421</v>
      </c>
      <c r="S54">
        <v>1616889321.8699999</v>
      </c>
      <c r="T54">
        <v>412560398037.01001</v>
      </c>
      <c r="U54">
        <v>414300212619.77002</v>
      </c>
      <c r="V54">
        <v>5.3321E-2</v>
      </c>
      <c r="W54">
        <v>4.483E-3</v>
      </c>
      <c r="Y54" t="s">
        <v>0</v>
      </c>
      <c r="Z54">
        <v>4750</v>
      </c>
      <c r="AA54">
        <v>192</v>
      </c>
      <c r="AB54">
        <v>48739</v>
      </c>
      <c r="AC54">
        <v>0</v>
      </c>
      <c r="AD54">
        <v>422329914313</v>
      </c>
      <c r="AE54">
        <v>1630016861.97</v>
      </c>
      <c r="AF54">
        <v>418461537641.19</v>
      </c>
      <c r="AG54">
        <v>420327381933.28003</v>
      </c>
      <c r="AH54">
        <v>6.1779000000000001E-2</v>
      </c>
      <c r="AI54">
        <v>1.0533000000000001E-2</v>
      </c>
    </row>
    <row r="55" spans="13:35" x14ac:dyDescent="0.35">
      <c r="M55" t="s">
        <v>0</v>
      </c>
      <c r="N55">
        <v>3750</v>
      </c>
      <c r="O55">
        <v>192</v>
      </c>
      <c r="P55">
        <v>13467</v>
      </c>
      <c r="Q55">
        <v>0</v>
      </c>
      <c r="R55">
        <v>139056377656</v>
      </c>
      <c r="S55">
        <v>541629044.63</v>
      </c>
      <c r="T55">
        <v>138008745585.23001</v>
      </c>
      <c r="U55">
        <v>138480495654.57001</v>
      </c>
      <c r="V55">
        <v>4.2803000000000001E-2</v>
      </c>
      <c r="W55">
        <v>2.9520000000000002E-3</v>
      </c>
      <c r="Y55" t="s">
        <v>0</v>
      </c>
      <c r="Z55">
        <v>3750</v>
      </c>
      <c r="AA55">
        <v>192</v>
      </c>
      <c r="AB55">
        <v>9783</v>
      </c>
      <c r="AC55">
        <v>0</v>
      </c>
      <c r="AD55">
        <v>100371975204</v>
      </c>
      <c r="AE55">
        <v>390505705.75999999</v>
      </c>
      <c r="AF55">
        <v>99526967963.570007</v>
      </c>
      <c r="AG55">
        <v>99960635441.740005</v>
      </c>
      <c r="AH55">
        <v>5.3004999999999997E-2</v>
      </c>
      <c r="AI55">
        <v>2.4880000000000002E-3</v>
      </c>
    </row>
    <row r="56" spans="13:35" x14ac:dyDescent="0.35">
      <c r="M56" t="s">
        <v>1</v>
      </c>
      <c r="N56">
        <v>4750</v>
      </c>
      <c r="O56">
        <v>192</v>
      </c>
      <c r="P56">
        <v>5920</v>
      </c>
      <c r="Q56">
        <v>0</v>
      </c>
      <c r="R56">
        <v>56198387693</v>
      </c>
      <c r="S56">
        <v>217769521.06</v>
      </c>
      <c r="T56">
        <v>55713829070.919998</v>
      </c>
      <c r="U56">
        <v>55947701862.379997</v>
      </c>
      <c r="V56">
        <v>5.5502999999999997E-2</v>
      </c>
      <c r="W56">
        <v>7.0060000000000001E-3</v>
      </c>
      <c r="Y56" t="s">
        <v>1</v>
      </c>
      <c r="Z56">
        <v>4750</v>
      </c>
      <c r="AA56">
        <v>192</v>
      </c>
      <c r="AB56">
        <v>6007</v>
      </c>
      <c r="AC56">
        <v>0</v>
      </c>
      <c r="AD56">
        <v>57396619276</v>
      </c>
      <c r="AE56">
        <v>220962588.88</v>
      </c>
      <c r="AF56">
        <v>56906646796.089996</v>
      </c>
      <c r="AG56">
        <v>57175656687.120003</v>
      </c>
      <c r="AH56">
        <v>5.4815000000000003E-2</v>
      </c>
      <c r="AI56">
        <v>0</v>
      </c>
    </row>
    <row r="57" spans="13:35" x14ac:dyDescent="0.35">
      <c r="M57" t="s">
        <v>0</v>
      </c>
      <c r="N57">
        <v>20000</v>
      </c>
      <c r="O57">
        <v>360</v>
      </c>
      <c r="P57">
        <v>22</v>
      </c>
      <c r="Q57">
        <v>0</v>
      </c>
      <c r="R57">
        <v>9822163</v>
      </c>
      <c r="S57">
        <v>882599.64</v>
      </c>
      <c r="T57">
        <v>8939563.3599999994</v>
      </c>
      <c r="U57">
        <v>8939563.3599999994</v>
      </c>
      <c r="V57">
        <v>0</v>
      </c>
      <c r="W57">
        <v>0</v>
      </c>
      <c r="Y57" t="s">
        <v>0</v>
      </c>
      <c r="Z57">
        <v>20000</v>
      </c>
      <c r="AA57">
        <v>360</v>
      </c>
      <c r="AB57">
        <v>23</v>
      </c>
      <c r="AC57">
        <v>0</v>
      </c>
      <c r="AD57">
        <v>11035716</v>
      </c>
      <c r="AE57">
        <v>896274.77</v>
      </c>
      <c r="AF57">
        <v>10114006.26</v>
      </c>
      <c r="AG57">
        <v>10139441.23</v>
      </c>
      <c r="AH57">
        <v>2.7310000000000001E-2</v>
      </c>
      <c r="AI57">
        <v>0</v>
      </c>
    </row>
    <row r="58" spans="13:35" x14ac:dyDescent="0.35">
      <c r="M58" t="s">
        <v>2</v>
      </c>
      <c r="N58">
        <v>4250</v>
      </c>
      <c r="O58">
        <v>192</v>
      </c>
      <c r="P58">
        <v>5578</v>
      </c>
      <c r="Q58">
        <v>0</v>
      </c>
      <c r="R58">
        <v>42748211412</v>
      </c>
      <c r="S58">
        <v>163037660.52000001</v>
      </c>
      <c r="T58">
        <v>42297530262.849998</v>
      </c>
      <c r="U58">
        <v>42564201169.75</v>
      </c>
      <c r="V58">
        <v>7.7823000000000003E-2</v>
      </c>
      <c r="W58">
        <v>5.8710000000000004E-3</v>
      </c>
      <c r="Y58" t="s">
        <v>2</v>
      </c>
      <c r="Z58">
        <v>4250</v>
      </c>
      <c r="AA58">
        <v>192</v>
      </c>
      <c r="AB58">
        <v>5156</v>
      </c>
      <c r="AC58">
        <v>0</v>
      </c>
      <c r="AD58">
        <v>40089297357</v>
      </c>
      <c r="AE58">
        <v>152206648.69999999</v>
      </c>
      <c r="AF58">
        <v>39694180494.599998</v>
      </c>
      <c r="AG58">
        <v>39921997892.129997</v>
      </c>
      <c r="AH58">
        <v>7.0335999999999996E-2</v>
      </c>
      <c r="AI58">
        <v>4.5079999999999999E-3</v>
      </c>
    </row>
    <row r="59" spans="13:35" x14ac:dyDescent="0.35">
      <c r="M59" t="s">
        <v>2</v>
      </c>
      <c r="N59">
        <v>4500</v>
      </c>
      <c r="O59">
        <v>144</v>
      </c>
      <c r="P59">
        <v>10157</v>
      </c>
      <c r="Q59">
        <v>0</v>
      </c>
      <c r="R59">
        <v>80735307876</v>
      </c>
      <c r="S59">
        <v>229879377.53999999</v>
      </c>
      <c r="T59">
        <v>79962088176.25</v>
      </c>
      <c r="U59">
        <v>80451995256.350006</v>
      </c>
      <c r="V59">
        <v>7.7836000000000002E-2</v>
      </c>
      <c r="W59">
        <v>7.9129999999999999E-3</v>
      </c>
      <c r="Y59" t="s">
        <v>2</v>
      </c>
      <c r="Z59">
        <v>4500</v>
      </c>
      <c r="AA59">
        <v>144</v>
      </c>
      <c r="AB59">
        <v>10445</v>
      </c>
      <c r="AC59">
        <v>0</v>
      </c>
      <c r="AD59">
        <v>83528721063</v>
      </c>
      <c r="AE59">
        <v>237500337.46000001</v>
      </c>
      <c r="AF59">
        <v>82829269452.880005</v>
      </c>
      <c r="AG59">
        <v>83252773849.899994</v>
      </c>
      <c r="AH59">
        <v>6.4382999999999996E-2</v>
      </c>
      <c r="AI59">
        <v>5.509E-3</v>
      </c>
    </row>
    <row r="60" spans="13:35" x14ac:dyDescent="0.35">
      <c r="M60" t="s">
        <v>1</v>
      </c>
      <c r="N60">
        <v>5500</v>
      </c>
      <c r="O60">
        <v>240</v>
      </c>
      <c r="P60">
        <v>280</v>
      </c>
      <c r="Q60">
        <v>0</v>
      </c>
      <c r="R60">
        <v>2208442816</v>
      </c>
      <c r="S60">
        <v>11770249.539999999</v>
      </c>
      <c r="T60">
        <v>2196672566.46</v>
      </c>
      <c r="U60">
        <v>2196672566.46</v>
      </c>
      <c r="V60">
        <v>0</v>
      </c>
      <c r="W60">
        <v>0</v>
      </c>
      <c r="Y60" t="s">
        <v>1</v>
      </c>
      <c r="Z60">
        <v>5500</v>
      </c>
      <c r="AA60">
        <v>240</v>
      </c>
      <c r="AB60">
        <v>213</v>
      </c>
      <c r="AC60">
        <v>0</v>
      </c>
      <c r="AD60">
        <v>1600090635</v>
      </c>
      <c r="AE60">
        <v>8885193.4600000009</v>
      </c>
      <c r="AF60">
        <v>1591205441.54</v>
      </c>
      <c r="AG60">
        <v>1591205441.54</v>
      </c>
      <c r="AH60">
        <v>0</v>
      </c>
      <c r="AI60">
        <v>0</v>
      </c>
    </row>
    <row r="61" spans="13:35" x14ac:dyDescent="0.35">
      <c r="M61" t="s">
        <v>0</v>
      </c>
      <c r="N61">
        <v>5500</v>
      </c>
      <c r="O61">
        <v>240</v>
      </c>
      <c r="P61">
        <v>1676</v>
      </c>
      <c r="Q61">
        <v>0</v>
      </c>
      <c r="R61">
        <v>10905909560</v>
      </c>
      <c r="S61">
        <v>58089028.359999999</v>
      </c>
      <c r="T61">
        <v>10821916000.85</v>
      </c>
      <c r="U61">
        <v>10847820531.639999</v>
      </c>
      <c r="V61">
        <v>2.8133999999999999E-2</v>
      </c>
      <c r="W61">
        <v>0</v>
      </c>
      <c r="Y61" t="s">
        <v>0</v>
      </c>
      <c r="Z61">
        <v>5500</v>
      </c>
      <c r="AA61">
        <v>240</v>
      </c>
      <c r="AB61">
        <v>1297</v>
      </c>
      <c r="AC61">
        <v>0</v>
      </c>
      <c r="AD61">
        <v>7804732517</v>
      </c>
      <c r="AE61">
        <v>43450298.829999998</v>
      </c>
      <c r="AF61">
        <v>7721473269.3400002</v>
      </c>
      <c r="AG61">
        <v>7756257419.54</v>
      </c>
      <c r="AH61">
        <v>5.9519000000000002E-2</v>
      </c>
      <c r="AI61">
        <v>7.698E-3</v>
      </c>
    </row>
    <row r="62" spans="13:35" x14ac:dyDescent="0.35">
      <c r="M62" t="s">
        <v>0</v>
      </c>
      <c r="N62">
        <v>6500</v>
      </c>
      <c r="O62">
        <v>240</v>
      </c>
      <c r="P62">
        <v>9579</v>
      </c>
      <c r="Q62">
        <v>0</v>
      </c>
      <c r="R62">
        <v>54772331619</v>
      </c>
      <c r="S62">
        <v>285556195.66000003</v>
      </c>
      <c r="T62">
        <v>54178937389.150002</v>
      </c>
      <c r="U62">
        <v>54438262908.57</v>
      </c>
      <c r="V62">
        <v>6.5397999999999998E-2</v>
      </c>
      <c r="W62">
        <v>1.0577E-2</v>
      </c>
      <c r="Y62" t="s">
        <v>0</v>
      </c>
      <c r="Z62">
        <v>6500</v>
      </c>
      <c r="AA62">
        <v>240</v>
      </c>
      <c r="AB62">
        <v>9538</v>
      </c>
      <c r="AC62">
        <v>0</v>
      </c>
      <c r="AD62">
        <v>54325811198</v>
      </c>
      <c r="AE62">
        <v>283207125.66000003</v>
      </c>
      <c r="AF62">
        <v>53697390682.669998</v>
      </c>
      <c r="AG62">
        <v>53978681576.660004</v>
      </c>
      <c r="AH62">
        <v>7.3645000000000002E-2</v>
      </c>
      <c r="AI62">
        <v>1.4029E-2</v>
      </c>
    </row>
    <row r="63" spans="13:35" x14ac:dyDescent="0.35">
      <c r="M63" t="s">
        <v>0</v>
      </c>
      <c r="N63">
        <v>7000</v>
      </c>
      <c r="O63">
        <v>240</v>
      </c>
      <c r="P63">
        <v>5144</v>
      </c>
      <c r="Q63">
        <v>0</v>
      </c>
      <c r="R63">
        <v>26166012505</v>
      </c>
      <c r="S63">
        <v>132595920.06999999</v>
      </c>
      <c r="T63">
        <v>25887479683.700001</v>
      </c>
      <c r="U63">
        <v>25994546434.66</v>
      </c>
      <c r="V63">
        <v>6.4912999999999998E-2</v>
      </c>
      <c r="W63">
        <v>1.7680999999999999E-2</v>
      </c>
      <c r="Y63" t="s">
        <v>0</v>
      </c>
      <c r="Z63">
        <v>7000</v>
      </c>
      <c r="AA63">
        <v>240</v>
      </c>
      <c r="AB63">
        <v>5123</v>
      </c>
      <c r="AC63">
        <v>0</v>
      </c>
      <c r="AD63">
        <v>26170443923</v>
      </c>
      <c r="AE63">
        <v>131646262.43000001</v>
      </c>
      <c r="AF63">
        <v>25840391256.77</v>
      </c>
      <c r="AG63">
        <v>25975339995.389999</v>
      </c>
      <c r="AH63">
        <v>8.7276999999999993E-2</v>
      </c>
      <c r="AI63">
        <v>2.8712000000000001E-2</v>
      </c>
    </row>
    <row r="64" spans="13:35" x14ac:dyDescent="0.35">
      <c r="M64" t="s">
        <v>0</v>
      </c>
      <c r="N64">
        <v>5250</v>
      </c>
      <c r="O64">
        <v>192</v>
      </c>
      <c r="P64">
        <v>27060</v>
      </c>
      <c r="Q64">
        <v>0</v>
      </c>
      <c r="R64">
        <v>204227445150</v>
      </c>
      <c r="S64">
        <v>795560142.41999996</v>
      </c>
      <c r="T64">
        <v>202364714039.35999</v>
      </c>
      <c r="U64">
        <v>203214273866.45001</v>
      </c>
      <c r="V64">
        <v>6.0934000000000002E-2</v>
      </c>
      <c r="W64">
        <v>1.2711999999999999E-2</v>
      </c>
      <c r="Y64" t="s">
        <v>0</v>
      </c>
      <c r="Z64">
        <v>5250</v>
      </c>
      <c r="AA64">
        <v>192</v>
      </c>
      <c r="AB64">
        <v>29894</v>
      </c>
      <c r="AC64">
        <v>0</v>
      </c>
      <c r="AD64">
        <v>227496802285</v>
      </c>
      <c r="AE64">
        <v>882885938.53999996</v>
      </c>
      <c r="AF64">
        <v>225274338278.82001</v>
      </c>
      <c r="AG64">
        <v>226463962894.66</v>
      </c>
      <c r="AH64">
        <v>6.8416000000000005E-2</v>
      </c>
      <c r="AI64">
        <v>7.8810000000000009E-3</v>
      </c>
    </row>
    <row r="65" spans="13:35" x14ac:dyDescent="0.35">
      <c r="M65" t="s">
        <v>1</v>
      </c>
      <c r="N65">
        <v>6000</v>
      </c>
      <c r="O65">
        <v>240</v>
      </c>
      <c r="P65">
        <v>707</v>
      </c>
      <c r="Q65">
        <v>0</v>
      </c>
      <c r="R65">
        <v>5317415255</v>
      </c>
      <c r="S65">
        <v>28646516.68</v>
      </c>
      <c r="T65">
        <v>5247246186.25</v>
      </c>
      <c r="U65">
        <v>5288768738.3199997</v>
      </c>
      <c r="V65">
        <v>8.9784000000000003E-2</v>
      </c>
      <c r="W65">
        <v>0</v>
      </c>
      <c r="Y65" t="s">
        <v>1</v>
      </c>
      <c r="Z65">
        <v>6000</v>
      </c>
      <c r="AA65">
        <v>240</v>
      </c>
      <c r="AB65">
        <v>719</v>
      </c>
      <c r="AC65">
        <v>0</v>
      </c>
      <c r="AD65">
        <v>5311001049</v>
      </c>
      <c r="AE65">
        <v>28931949.84</v>
      </c>
      <c r="AF65">
        <v>5246984355.2799997</v>
      </c>
      <c r="AG65">
        <v>5276727451.7299995</v>
      </c>
      <c r="AH65">
        <v>7.6454999999999995E-2</v>
      </c>
      <c r="AI65">
        <v>1.2003E-2</v>
      </c>
    </row>
    <row r="66" spans="13:35" x14ac:dyDescent="0.35">
      <c r="M66" t="s">
        <v>1</v>
      </c>
      <c r="N66">
        <v>7000</v>
      </c>
      <c r="O66">
        <v>240</v>
      </c>
      <c r="P66">
        <v>272</v>
      </c>
      <c r="Q66">
        <v>0</v>
      </c>
      <c r="R66">
        <v>1568749986</v>
      </c>
      <c r="S66">
        <v>8045641.7199999997</v>
      </c>
      <c r="T66">
        <v>1536065680.5</v>
      </c>
      <c r="U66">
        <v>1555952665.54</v>
      </c>
      <c r="V66">
        <v>0.173013</v>
      </c>
      <c r="W66">
        <v>3.5748000000000002E-2</v>
      </c>
      <c r="Y66" t="s">
        <v>1</v>
      </c>
      <c r="Z66">
        <v>7000</v>
      </c>
      <c r="AA66">
        <v>240</v>
      </c>
      <c r="AB66">
        <v>274</v>
      </c>
      <c r="AC66">
        <v>0</v>
      </c>
      <c r="AD66">
        <v>1587918224</v>
      </c>
      <c r="AE66">
        <v>8059911.9699999997</v>
      </c>
      <c r="AF66">
        <v>1565931506.01</v>
      </c>
      <c r="AG66">
        <v>1579858312.03</v>
      </c>
      <c r="AH66">
        <v>0.100314</v>
      </c>
      <c r="AI66">
        <v>0</v>
      </c>
    </row>
    <row r="67" spans="13:35" x14ac:dyDescent="0.35">
      <c r="M67" t="s">
        <v>1</v>
      </c>
      <c r="N67">
        <v>7000</v>
      </c>
      <c r="O67">
        <v>320</v>
      </c>
      <c r="P67">
        <v>943</v>
      </c>
      <c r="Q67">
        <v>0</v>
      </c>
      <c r="R67">
        <v>2912615209</v>
      </c>
      <c r="S67">
        <v>34494695.359999999</v>
      </c>
      <c r="T67">
        <v>2866910548.5700002</v>
      </c>
      <c r="U67">
        <v>2875500308.4699998</v>
      </c>
      <c r="V67">
        <v>4.5220000000000003E-2</v>
      </c>
      <c r="W67">
        <v>1.0742E-2</v>
      </c>
      <c r="Y67" t="s">
        <v>1</v>
      </c>
      <c r="Z67">
        <v>7000</v>
      </c>
      <c r="AA67">
        <v>320</v>
      </c>
      <c r="AB67">
        <v>994</v>
      </c>
      <c r="AC67">
        <v>0</v>
      </c>
      <c r="AD67">
        <v>3049826178</v>
      </c>
      <c r="AE67">
        <v>36169528.130000003</v>
      </c>
      <c r="AF67">
        <v>2981729029.6999998</v>
      </c>
      <c r="AG67">
        <v>3010249559.7199998</v>
      </c>
      <c r="AH67">
        <v>0.11863700000000001</v>
      </c>
      <c r="AI67">
        <v>1.3324000000000001E-2</v>
      </c>
    </row>
    <row r="68" spans="13:35" x14ac:dyDescent="0.35">
      <c r="M68" t="s">
        <v>1</v>
      </c>
      <c r="N68">
        <v>5500</v>
      </c>
      <c r="O68">
        <v>320</v>
      </c>
      <c r="P68">
        <v>4861</v>
      </c>
      <c r="Q68">
        <v>0</v>
      </c>
      <c r="R68">
        <v>20810602326</v>
      </c>
      <c r="S68">
        <v>178411497.31999999</v>
      </c>
      <c r="T68">
        <v>20479255499.450001</v>
      </c>
      <c r="U68">
        <v>20626282537.310001</v>
      </c>
      <c r="V68">
        <v>8.4708000000000006E-2</v>
      </c>
      <c r="W68">
        <v>3.4020000000000001E-3</v>
      </c>
      <c r="Y68" t="s">
        <v>1</v>
      </c>
      <c r="Z68">
        <v>5500</v>
      </c>
      <c r="AA68">
        <v>320</v>
      </c>
      <c r="AB68">
        <v>4872</v>
      </c>
      <c r="AC68">
        <v>0</v>
      </c>
      <c r="AD68">
        <v>21014173612</v>
      </c>
      <c r="AE68">
        <v>178196505.31999999</v>
      </c>
      <c r="AF68">
        <v>20738727318.41</v>
      </c>
      <c r="AG68">
        <v>20835977106.68</v>
      </c>
      <c r="AH68">
        <v>5.4142000000000003E-2</v>
      </c>
      <c r="AI68">
        <v>0</v>
      </c>
    </row>
    <row r="69" spans="13:35" x14ac:dyDescent="0.35">
      <c r="M69" t="s">
        <v>1</v>
      </c>
      <c r="N69">
        <v>5000</v>
      </c>
      <c r="O69">
        <v>240</v>
      </c>
      <c r="P69">
        <v>45</v>
      </c>
      <c r="Q69">
        <v>0</v>
      </c>
      <c r="R69">
        <v>372742862</v>
      </c>
      <c r="S69">
        <v>2095206.12</v>
      </c>
      <c r="T69">
        <v>367276774.44</v>
      </c>
      <c r="U69">
        <v>370647655.88</v>
      </c>
      <c r="V69">
        <v>0.103283</v>
      </c>
      <c r="W69">
        <v>0</v>
      </c>
      <c r="Y69" t="s">
        <v>1</v>
      </c>
      <c r="Z69">
        <v>5000</v>
      </c>
      <c r="AA69">
        <v>240</v>
      </c>
      <c r="AB69">
        <v>33</v>
      </c>
      <c r="AC69">
        <v>0</v>
      </c>
      <c r="AD69">
        <v>252689944</v>
      </c>
      <c r="AE69">
        <v>1464466.9</v>
      </c>
      <c r="AF69">
        <v>251225477.09999999</v>
      </c>
      <c r="AG69">
        <v>251225477.09999999</v>
      </c>
      <c r="AH69">
        <v>0</v>
      </c>
      <c r="AI69">
        <v>0</v>
      </c>
    </row>
    <row r="70" spans="13:35" x14ac:dyDescent="0.35">
      <c r="M70" t="s">
        <v>0</v>
      </c>
      <c r="N70">
        <v>5500</v>
      </c>
      <c r="O70">
        <v>216</v>
      </c>
      <c r="P70">
        <v>51675</v>
      </c>
      <c r="Q70">
        <v>0</v>
      </c>
      <c r="R70">
        <v>391745142050</v>
      </c>
      <c r="S70">
        <v>1676234312.9100001</v>
      </c>
      <c r="T70">
        <v>388124108837.16998</v>
      </c>
      <c r="U70">
        <v>389835485645.01001</v>
      </c>
      <c r="V70">
        <v>5.7972999999999997E-2</v>
      </c>
      <c r="W70">
        <v>7.1269999999999997E-3</v>
      </c>
      <c r="Y70" t="s">
        <v>0</v>
      </c>
      <c r="Z70">
        <v>5500</v>
      </c>
      <c r="AA70">
        <v>216</v>
      </c>
      <c r="AB70">
        <v>50576</v>
      </c>
      <c r="AC70">
        <v>0</v>
      </c>
      <c r="AD70">
        <v>385914925456</v>
      </c>
      <c r="AE70">
        <v>1643282279.4100001</v>
      </c>
      <c r="AF70">
        <v>382384857093.40997</v>
      </c>
      <c r="AG70">
        <v>384013766347.94</v>
      </c>
      <c r="AH70">
        <v>5.7117000000000001E-2</v>
      </c>
      <c r="AI70">
        <v>7.9889999999999996E-3</v>
      </c>
    </row>
    <row r="71" spans="13:35" x14ac:dyDescent="0.35">
      <c r="M71" t="s">
        <v>0</v>
      </c>
      <c r="N71">
        <v>6000</v>
      </c>
      <c r="O71">
        <v>216</v>
      </c>
      <c r="P71">
        <v>17010</v>
      </c>
      <c r="Q71">
        <v>0</v>
      </c>
      <c r="R71">
        <v>115178060063</v>
      </c>
      <c r="S71">
        <v>508214392.91000003</v>
      </c>
      <c r="T71">
        <v>114095106658.96001</v>
      </c>
      <c r="U71">
        <v>114546968759.36</v>
      </c>
      <c r="V71">
        <v>5.8264000000000003E-2</v>
      </c>
      <c r="W71">
        <v>1.2727E-2</v>
      </c>
      <c r="Y71" t="s">
        <v>0</v>
      </c>
      <c r="Z71">
        <v>6000</v>
      </c>
      <c r="AA71">
        <v>216</v>
      </c>
      <c r="AB71">
        <v>18016</v>
      </c>
      <c r="AC71">
        <v>0</v>
      </c>
      <c r="AD71">
        <v>122746719232</v>
      </c>
      <c r="AE71">
        <v>539611628.88</v>
      </c>
      <c r="AF71">
        <v>121519811311.07001</v>
      </c>
      <c r="AG71">
        <v>122128807588.69</v>
      </c>
      <c r="AH71">
        <v>6.5160999999999997E-2</v>
      </c>
      <c r="AI71">
        <v>7.6280000000000002E-3</v>
      </c>
    </row>
    <row r="72" spans="13:35" x14ac:dyDescent="0.35">
      <c r="M72" t="s">
        <v>1</v>
      </c>
      <c r="N72">
        <v>20000</v>
      </c>
      <c r="O72">
        <v>360</v>
      </c>
      <c r="P72">
        <v>4</v>
      </c>
      <c r="Q72">
        <v>0</v>
      </c>
      <c r="R72">
        <v>3549378</v>
      </c>
      <c r="S72">
        <v>283189.64</v>
      </c>
      <c r="T72">
        <v>1604708.23</v>
      </c>
      <c r="U72">
        <v>3266188.36</v>
      </c>
      <c r="V72">
        <v>0.99948700000000001</v>
      </c>
      <c r="W72">
        <v>0</v>
      </c>
      <c r="Y72" t="s">
        <v>1</v>
      </c>
      <c r="Z72">
        <v>20000</v>
      </c>
      <c r="AA72">
        <v>360</v>
      </c>
      <c r="AB72">
        <v>4</v>
      </c>
      <c r="AC72">
        <v>0</v>
      </c>
      <c r="AD72">
        <v>3725438</v>
      </c>
      <c r="AE72">
        <v>272322.71999999997</v>
      </c>
      <c r="AF72">
        <v>3453115.28</v>
      </c>
      <c r="AG72">
        <v>3453115.28</v>
      </c>
      <c r="AH72">
        <v>0</v>
      </c>
      <c r="AI72">
        <v>0</v>
      </c>
    </row>
    <row r="73" spans="13:35" x14ac:dyDescent="0.35">
      <c r="M73" t="s">
        <v>0</v>
      </c>
      <c r="N73">
        <v>9000</v>
      </c>
      <c r="O73">
        <v>320</v>
      </c>
      <c r="P73">
        <v>617</v>
      </c>
      <c r="Q73">
        <v>0</v>
      </c>
      <c r="R73">
        <v>1016593013</v>
      </c>
      <c r="S73">
        <v>16908434.780000001</v>
      </c>
      <c r="T73">
        <v>996741201.66999996</v>
      </c>
      <c r="U73">
        <v>999684578.22000003</v>
      </c>
      <c r="V73">
        <v>3.4195999999999997E-2</v>
      </c>
      <c r="W73">
        <v>0</v>
      </c>
      <c r="Y73" t="s">
        <v>0</v>
      </c>
      <c r="Z73">
        <v>9000</v>
      </c>
      <c r="AA73">
        <v>320</v>
      </c>
      <c r="AB73">
        <v>632</v>
      </c>
      <c r="AC73">
        <v>0</v>
      </c>
      <c r="AD73">
        <v>1057976720</v>
      </c>
      <c r="AE73">
        <v>17208076.82</v>
      </c>
      <c r="AF73">
        <v>1027621569.51</v>
      </c>
      <c r="AG73">
        <v>1036360799.4400001</v>
      </c>
      <c r="AH73">
        <v>0.13933799999999999</v>
      </c>
      <c r="AI73">
        <v>4.8866E-2</v>
      </c>
    </row>
    <row r="74" spans="13:35" x14ac:dyDescent="0.35">
      <c r="M74" t="s">
        <v>2</v>
      </c>
      <c r="N74">
        <v>8500</v>
      </c>
      <c r="O74">
        <v>320</v>
      </c>
      <c r="P74">
        <v>70</v>
      </c>
      <c r="Q74">
        <v>0</v>
      </c>
      <c r="R74">
        <v>123361103</v>
      </c>
      <c r="S74">
        <v>2115306.12</v>
      </c>
      <c r="T74">
        <v>121245796.88</v>
      </c>
      <c r="U74">
        <v>121245796.88</v>
      </c>
      <c r="V74">
        <v>0</v>
      </c>
      <c r="W74">
        <v>0</v>
      </c>
      <c r="Y74" t="s">
        <v>2</v>
      </c>
      <c r="Z74">
        <v>8500</v>
      </c>
      <c r="AA74">
        <v>320</v>
      </c>
      <c r="AB74">
        <v>70</v>
      </c>
      <c r="AC74">
        <v>0</v>
      </c>
      <c r="AD74">
        <v>126299423</v>
      </c>
      <c r="AE74">
        <v>2115713.65</v>
      </c>
      <c r="AF74">
        <v>124183709.34999999</v>
      </c>
      <c r="AG74">
        <v>124183709.34999999</v>
      </c>
      <c r="AH74">
        <v>0</v>
      </c>
      <c r="AI74">
        <v>0</v>
      </c>
    </row>
    <row r="75" spans="13:35" x14ac:dyDescent="0.35">
      <c r="M75" t="s">
        <v>2</v>
      </c>
      <c r="N75">
        <v>9000</v>
      </c>
      <c r="O75">
        <v>320</v>
      </c>
      <c r="P75">
        <v>38</v>
      </c>
      <c r="Q75">
        <v>0</v>
      </c>
      <c r="R75">
        <v>58084766</v>
      </c>
      <c r="S75">
        <v>954733.85</v>
      </c>
      <c r="T75">
        <v>57130032.149999999</v>
      </c>
      <c r="U75">
        <v>57130032.149999999</v>
      </c>
      <c r="V75">
        <v>0</v>
      </c>
      <c r="W75">
        <v>0</v>
      </c>
      <c r="Y75" t="s">
        <v>2</v>
      </c>
      <c r="Z75">
        <v>9000</v>
      </c>
      <c r="AA75">
        <v>320</v>
      </c>
      <c r="AB75">
        <v>39</v>
      </c>
      <c r="AC75">
        <v>0</v>
      </c>
      <c r="AD75">
        <v>59606916</v>
      </c>
      <c r="AE75">
        <v>957910.21</v>
      </c>
      <c r="AF75">
        <v>58549826.850000001</v>
      </c>
      <c r="AG75">
        <v>58649005.789999999</v>
      </c>
      <c r="AH75">
        <v>1.9785000000000001E-2</v>
      </c>
      <c r="AI75">
        <v>0</v>
      </c>
    </row>
    <row r="76" spans="13:35" x14ac:dyDescent="0.35">
      <c r="M76" t="s">
        <v>0</v>
      </c>
      <c r="N76">
        <v>20000</v>
      </c>
      <c r="O76">
        <v>320</v>
      </c>
      <c r="P76">
        <v>92</v>
      </c>
      <c r="Q76">
        <v>0</v>
      </c>
      <c r="R76">
        <v>152058176</v>
      </c>
      <c r="S76">
        <v>2427387.11</v>
      </c>
      <c r="T76">
        <v>146260611.71000001</v>
      </c>
      <c r="U76">
        <v>149630788.88999999</v>
      </c>
      <c r="V76">
        <v>0.23582400000000001</v>
      </c>
      <c r="W76">
        <v>0</v>
      </c>
      <c r="Y76" t="s">
        <v>0</v>
      </c>
      <c r="Z76">
        <v>20000</v>
      </c>
      <c r="AA76">
        <v>320</v>
      </c>
      <c r="AB76">
        <v>92</v>
      </c>
      <c r="AC76">
        <v>0</v>
      </c>
      <c r="AD76">
        <v>155547744</v>
      </c>
      <c r="AE76">
        <v>2425752.44</v>
      </c>
      <c r="AF76">
        <v>153121991.56</v>
      </c>
      <c r="AG76">
        <v>153121991.56</v>
      </c>
      <c r="AH76">
        <v>0</v>
      </c>
      <c r="AI76">
        <v>0</v>
      </c>
    </row>
    <row r="77" spans="13:35" x14ac:dyDescent="0.35">
      <c r="M77" t="s">
        <v>0</v>
      </c>
      <c r="N77">
        <v>6500</v>
      </c>
      <c r="O77">
        <v>216</v>
      </c>
      <c r="P77">
        <v>10430</v>
      </c>
      <c r="Q77">
        <v>0</v>
      </c>
      <c r="R77">
        <v>67325115090</v>
      </c>
      <c r="S77">
        <v>294125948.75</v>
      </c>
      <c r="T77">
        <v>66604240674.470001</v>
      </c>
      <c r="U77">
        <v>66992916972.82</v>
      </c>
      <c r="V77">
        <v>7.3467000000000005E-2</v>
      </c>
      <c r="W77">
        <v>6.7650000000000002E-3</v>
      </c>
      <c r="Y77" t="s">
        <v>0</v>
      </c>
      <c r="Z77">
        <v>5000</v>
      </c>
      <c r="AA77">
        <v>216</v>
      </c>
      <c r="AB77">
        <v>51857</v>
      </c>
      <c r="AC77">
        <v>0</v>
      </c>
      <c r="AD77">
        <v>458972822130</v>
      </c>
      <c r="AE77">
        <v>2012624641.77</v>
      </c>
      <c r="AF77">
        <v>454650049405.21997</v>
      </c>
      <c r="AG77">
        <v>456683445471.5</v>
      </c>
      <c r="AH77">
        <v>5.8755000000000002E-2</v>
      </c>
      <c r="AI77">
        <v>7.2119999999999997E-3</v>
      </c>
    </row>
    <row r="78" spans="13:35" x14ac:dyDescent="0.35">
      <c r="M78" t="s">
        <v>0</v>
      </c>
      <c r="N78">
        <v>7000</v>
      </c>
      <c r="O78">
        <v>216</v>
      </c>
      <c r="P78">
        <v>3909</v>
      </c>
      <c r="Q78">
        <v>0</v>
      </c>
      <c r="R78">
        <v>21689167986</v>
      </c>
      <c r="S78">
        <v>92012969.219999999</v>
      </c>
      <c r="T78">
        <v>21445007517.279999</v>
      </c>
      <c r="U78">
        <v>21516751802.450001</v>
      </c>
      <c r="V78">
        <v>8.1005999999999995E-2</v>
      </c>
      <c r="W78">
        <v>4.3589000000000003E-2</v>
      </c>
      <c r="Y78" t="s">
        <v>1</v>
      </c>
      <c r="Z78">
        <v>5500</v>
      </c>
      <c r="AA78">
        <v>216</v>
      </c>
      <c r="AB78">
        <v>2513</v>
      </c>
      <c r="AC78">
        <v>0</v>
      </c>
      <c r="AD78">
        <v>20895458713</v>
      </c>
      <c r="AE78">
        <v>90372485.209999993</v>
      </c>
      <c r="AF78">
        <v>20680572630.02</v>
      </c>
      <c r="AG78">
        <v>20782950234.540001</v>
      </c>
      <c r="AH78">
        <v>6.9209000000000007E-2</v>
      </c>
      <c r="AI78">
        <v>1.2638999999999999E-2</v>
      </c>
    </row>
    <row r="79" spans="13:35" x14ac:dyDescent="0.35">
      <c r="M79" t="s">
        <v>0</v>
      </c>
      <c r="N79">
        <v>5000</v>
      </c>
      <c r="O79">
        <v>216</v>
      </c>
      <c r="P79">
        <v>53898</v>
      </c>
      <c r="Q79">
        <v>0</v>
      </c>
      <c r="R79">
        <v>475080381047</v>
      </c>
      <c r="S79">
        <v>2095285316.3499999</v>
      </c>
      <c r="T79">
        <v>470335971990.03998</v>
      </c>
      <c r="U79">
        <v>472730518376.96002</v>
      </c>
      <c r="V79">
        <v>6.4898999999999998E-2</v>
      </c>
      <c r="W79">
        <v>6.411E-3</v>
      </c>
      <c r="Y79" t="s">
        <v>1</v>
      </c>
      <c r="Z79">
        <v>6000</v>
      </c>
      <c r="AA79">
        <v>216</v>
      </c>
      <c r="AB79">
        <v>875</v>
      </c>
      <c r="AC79">
        <v>0</v>
      </c>
      <c r="AD79">
        <v>6824367149</v>
      </c>
      <c r="AE79">
        <v>30481865.52</v>
      </c>
      <c r="AF79">
        <v>6751580675.5699997</v>
      </c>
      <c r="AG79">
        <v>6793885283.4799995</v>
      </c>
      <c r="AH79">
        <v>7.1903999999999996E-2</v>
      </c>
      <c r="AI79">
        <v>0</v>
      </c>
    </row>
    <row r="80" spans="13:35" x14ac:dyDescent="0.35">
      <c r="M80" t="s">
        <v>1</v>
      </c>
      <c r="N80">
        <v>5500</v>
      </c>
      <c r="O80">
        <v>216</v>
      </c>
      <c r="P80">
        <v>2480</v>
      </c>
      <c r="Q80">
        <v>0</v>
      </c>
      <c r="R80">
        <v>20447731075</v>
      </c>
      <c r="S80">
        <v>88584770.349999994</v>
      </c>
      <c r="T80">
        <v>20205893834.669998</v>
      </c>
      <c r="U80">
        <v>20343572899.93</v>
      </c>
      <c r="V80">
        <v>8.6321999999999996E-2</v>
      </c>
      <c r="W80">
        <v>9.1009999999999997E-3</v>
      </c>
      <c r="Y80" t="s">
        <v>0</v>
      </c>
      <c r="Z80">
        <v>6500</v>
      </c>
      <c r="AA80">
        <v>216</v>
      </c>
      <c r="AB80">
        <v>10979</v>
      </c>
      <c r="AC80">
        <v>0</v>
      </c>
      <c r="AD80">
        <v>70942955571</v>
      </c>
      <c r="AE80">
        <v>307810510.67000002</v>
      </c>
      <c r="AF80">
        <v>70207667477.160004</v>
      </c>
      <c r="AG80">
        <v>70511037036.490005</v>
      </c>
      <c r="AH80">
        <v>6.9958999999999993E-2</v>
      </c>
      <c r="AI80">
        <v>2.0792000000000001E-2</v>
      </c>
    </row>
    <row r="81" spans="13:35" x14ac:dyDescent="0.35">
      <c r="M81" t="s">
        <v>1</v>
      </c>
      <c r="N81">
        <v>6000</v>
      </c>
      <c r="O81">
        <v>216</v>
      </c>
      <c r="P81">
        <v>817</v>
      </c>
      <c r="Q81">
        <v>0</v>
      </c>
      <c r="R81">
        <v>6295413339</v>
      </c>
      <c r="S81">
        <v>28212870.149999999</v>
      </c>
      <c r="T81">
        <v>6212031044.7799997</v>
      </c>
      <c r="U81">
        <v>6253429001.8599997</v>
      </c>
      <c r="V81">
        <v>0.10023799999999999</v>
      </c>
      <c r="W81">
        <v>2.5937000000000002E-2</v>
      </c>
      <c r="Y81" t="s">
        <v>0</v>
      </c>
      <c r="Z81">
        <v>7000</v>
      </c>
      <c r="AA81">
        <v>216</v>
      </c>
      <c r="AB81">
        <v>4037</v>
      </c>
      <c r="AC81">
        <v>0</v>
      </c>
      <c r="AD81">
        <v>22453798319</v>
      </c>
      <c r="AE81">
        <v>94473293.480000004</v>
      </c>
      <c r="AF81">
        <v>22256015714.599998</v>
      </c>
      <c r="AG81">
        <v>22341464286.360001</v>
      </c>
      <c r="AH81">
        <v>5.3836000000000002E-2</v>
      </c>
      <c r="AI81">
        <v>9.5040000000000003E-3</v>
      </c>
    </row>
    <row r="82" spans="13:35" x14ac:dyDescent="0.35">
      <c r="M82" t="s">
        <v>0</v>
      </c>
      <c r="N82">
        <v>4250</v>
      </c>
      <c r="O82">
        <v>192</v>
      </c>
      <c r="P82">
        <v>41075</v>
      </c>
      <c r="Q82">
        <v>0</v>
      </c>
      <c r="R82">
        <v>383495577630</v>
      </c>
      <c r="S82">
        <v>1500602187.97</v>
      </c>
      <c r="T82">
        <v>380285516825.72998</v>
      </c>
      <c r="U82">
        <v>381871651079.82001</v>
      </c>
      <c r="V82">
        <v>5.2199000000000002E-2</v>
      </c>
      <c r="W82">
        <v>3.852E-3</v>
      </c>
      <c r="Y82" t="s">
        <v>0</v>
      </c>
      <c r="Z82">
        <v>4250</v>
      </c>
      <c r="AA82">
        <v>192</v>
      </c>
      <c r="AB82">
        <v>38789</v>
      </c>
      <c r="AC82">
        <v>0</v>
      </c>
      <c r="AD82">
        <v>365551642174</v>
      </c>
      <c r="AE82">
        <v>1425084356.8800001</v>
      </c>
      <c r="AF82">
        <v>362320259388.33002</v>
      </c>
      <c r="AG82">
        <v>363963137421.87</v>
      </c>
      <c r="AH82">
        <v>5.7709999999999997E-2</v>
      </c>
      <c r="AI82">
        <v>5.3509999999999999E-3</v>
      </c>
    </row>
    <row r="83" spans="13:35" x14ac:dyDescent="0.35">
      <c r="M83" t="s">
        <v>1</v>
      </c>
      <c r="N83">
        <v>6500</v>
      </c>
      <c r="O83">
        <v>216</v>
      </c>
      <c r="P83">
        <v>382</v>
      </c>
      <c r="Q83">
        <v>0</v>
      </c>
      <c r="R83">
        <v>2714180912</v>
      </c>
      <c r="S83">
        <v>11834079.59</v>
      </c>
      <c r="T83">
        <v>2690004266.6700001</v>
      </c>
      <c r="U83">
        <v>2702346832.4099998</v>
      </c>
      <c r="V83">
        <v>5.3225000000000001E-2</v>
      </c>
      <c r="W83">
        <v>0</v>
      </c>
      <c r="Y83" t="s">
        <v>1</v>
      </c>
      <c r="Z83">
        <v>6500</v>
      </c>
      <c r="AA83">
        <v>216</v>
      </c>
      <c r="AB83">
        <v>393</v>
      </c>
      <c r="AC83">
        <v>0</v>
      </c>
      <c r="AD83">
        <v>2763113967</v>
      </c>
      <c r="AE83">
        <v>11955640.66</v>
      </c>
      <c r="AF83">
        <v>2716716225.75</v>
      </c>
      <c r="AG83">
        <v>2751158326.3400002</v>
      </c>
      <c r="AH83">
        <v>0.139739</v>
      </c>
      <c r="AI83">
        <v>0</v>
      </c>
    </row>
    <row r="84" spans="13:35" x14ac:dyDescent="0.35">
      <c r="M84" t="s">
        <v>2</v>
      </c>
      <c r="N84">
        <v>5500</v>
      </c>
      <c r="O84">
        <v>216</v>
      </c>
      <c r="P84">
        <v>7966</v>
      </c>
      <c r="Q84">
        <v>0</v>
      </c>
      <c r="R84">
        <v>50605969200</v>
      </c>
      <c r="S84">
        <v>214490978.66</v>
      </c>
      <c r="T84">
        <v>50121150261.379997</v>
      </c>
      <c r="U84">
        <v>50348360573.139999</v>
      </c>
      <c r="V84">
        <v>6.2252000000000002E-2</v>
      </c>
      <c r="W84">
        <v>1.0177E-2</v>
      </c>
      <c r="Y84" t="s">
        <v>2</v>
      </c>
      <c r="Z84">
        <v>5500</v>
      </c>
      <c r="AA84">
        <v>216</v>
      </c>
      <c r="AB84">
        <v>7649</v>
      </c>
      <c r="AC84">
        <v>0</v>
      </c>
      <c r="AD84">
        <v>48812996940</v>
      </c>
      <c r="AE84">
        <v>206123081.97999999</v>
      </c>
      <c r="AF84">
        <v>48364073017.879997</v>
      </c>
      <c r="AG84">
        <v>48581726231.889999</v>
      </c>
      <c r="AH84">
        <v>5.8083000000000003E-2</v>
      </c>
      <c r="AI84">
        <v>6.1650000000000003E-3</v>
      </c>
    </row>
    <row r="85" spans="13:35" x14ac:dyDescent="0.35">
      <c r="M85" t="s">
        <v>2</v>
      </c>
      <c r="N85">
        <v>5000</v>
      </c>
      <c r="O85">
        <v>216</v>
      </c>
      <c r="P85">
        <v>5233</v>
      </c>
      <c r="Q85">
        <v>0</v>
      </c>
      <c r="R85">
        <v>38080199573</v>
      </c>
      <c r="S85">
        <v>167047034.97999999</v>
      </c>
      <c r="T85">
        <v>37707532815.620003</v>
      </c>
      <c r="U85">
        <v>37907298626.010002</v>
      </c>
      <c r="V85">
        <v>6.2906000000000004E-2</v>
      </c>
      <c r="W85">
        <v>1.843E-3</v>
      </c>
      <c r="Y85" t="s">
        <v>2</v>
      </c>
      <c r="Z85">
        <v>5000</v>
      </c>
      <c r="AA85">
        <v>216</v>
      </c>
      <c r="AB85">
        <v>4976</v>
      </c>
      <c r="AC85">
        <v>0</v>
      </c>
      <c r="AD85">
        <v>36320850738</v>
      </c>
      <c r="AE85">
        <v>158492890.31999999</v>
      </c>
      <c r="AF85">
        <v>35963874512.900002</v>
      </c>
      <c r="AG85">
        <v>36155629403.25</v>
      </c>
      <c r="AH85">
        <v>6.3641000000000003E-2</v>
      </c>
      <c r="AI85">
        <v>2.2209999999999999E-3</v>
      </c>
    </row>
    <row r="86" spans="13:35" x14ac:dyDescent="0.35">
      <c r="M86" t="s">
        <v>1</v>
      </c>
      <c r="N86">
        <v>7000</v>
      </c>
      <c r="O86">
        <v>216</v>
      </c>
      <c r="P86">
        <v>93</v>
      </c>
      <c r="Q86">
        <v>0</v>
      </c>
      <c r="R86">
        <v>570960813</v>
      </c>
      <c r="S86">
        <v>2432228.63</v>
      </c>
      <c r="T86">
        <v>568480605.95000005</v>
      </c>
      <c r="U86">
        <v>568528584.37</v>
      </c>
      <c r="V86">
        <v>1.008E-3</v>
      </c>
      <c r="W86">
        <v>0</v>
      </c>
      <c r="Y86" t="s">
        <v>1</v>
      </c>
      <c r="Z86">
        <v>7000</v>
      </c>
      <c r="AA86">
        <v>216</v>
      </c>
      <c r="AB86">
        <v>94</v>
      </c>
      <c r="AC86">
        <v>0</v>
      </c>
      <c r="AD86">
        <v>582081998</v>
      </c>
      <c r="AE86">
        <v>2457087.67</v>
      </c>
      <c r="AF86">
        <v>579624910.33000004</v>
      </c>
      <c r="AG86">
        <v>579624910.33000004</v>
      </c>
      <c r="AH86">
        <v>0</v>
      </c>
      <c r="AI86">
        <v>0</v>
      </c>
    </row>
    <row r="87" spans="13:35" x14ac:dyDescent="0.35">
      <c r="M87" t="s">
        <v>1</v>
      </c>
      <c r="N87">
        <v>8500</v>
      </c>
      <c r="O87">
        <v>320</v>
      </c>
      <c r="P87">
        <v>110</v>
      </c>
      <c r="Q87">
        <v>0</v>
      </c>
      <c r="R87">
        <v>197243651</v>
      </c>
      <c r="S87">
        <v>3335589.65</v>
      </c>
      <c r="T87">
        <v>193792699.69999999</v>
      </c>
      <c r="U87">
        <v>193908061.34999999</v>
      </c>
      <c r="V87">
        <v>6.9959999999999996E-3</v>
      </c>
      <c r="W87">
        <v>0</v>
      </c>
      <c r="Y87" t="s">
        <v>1</v>
      </c>
      <c r="Z87">
        <v>8500</v>
      </c>
      <c r="AA87">
        <v>320</v>
      </c>
      <c r="AB87">
        <v>112</v>
      </c>
      <c r="AC87">
        <v>0</v>
      </c>
      <c r="AD87">
        <v>205275844</v>
      </c>
      <c r="AE87">
        <v>3401860.02</v>
      </c>
      <c r="AF87">
        <v>199501564.69999999</v>
      </c>
      <c r="AG87">
        <v>201873983.97999999</v>
      </c>
      <c r="AH87">
        <v>0.13020200000000001</v>
      </c>
      <c r="AI87">
        <v>0</v>
      </c>
    </row>
    <row r="88" spans="13:35" x14ac:dyDescent="0.35">
      <c r="M88" t="s">
        <v>1</v>
      </c>
      <c r="N88">
        <v>6750</v>
      </c>
      <c r="O88">
        <v>360</v>
      </c>
      <c r="P88">
        <v>103</v>
      </c>
      <c r="Q88">
        <v>0</v>
      </c>
      <c r="R88">
        <v>139657525</v>
      </c>
      <c r="S88">
        <v>4261106.66</v>
      </c>
      <c r="T88">
        <v>134772191.06</v>
      </c>
      <c r="U88">
        <v>135396418.34</v>
      </c>
      <c r="V88">
        <v>5.2337000000000002E-2</v>
      </c>
      <c r="W88">
        <v>0</v>
      </c>
      <c r="Y88" t="s">
        <v>1</v>
      </c>
      <c r="Z88">
        <v>6750</v>
      </c>
      <c r="AA88">
        <v>360</v>
      </c>
      <c r="AB88">
        <v>105</v>
      </c>
      <c r="AC88">
        <v>0</v>
      </c>
      <c r="AD88">
        <v>144632077</v>
      </c>
      <c r="AE88">
        <v>4301949.1399999997</v>
      </c>
      <c r="AF88">
        <v>138412030.18000001</v>
      </c>
      <c r="AG88">
        <v>140330127.86000001</v>
      </c>
      <c r="AH88">
        <v>0.148033</v>
      </c>
      <c r="AI88">
        <v>0</v>
      </c>
    </row>
    <row r="89" spans="13:35" x14ac:dyDescent="0.35">
      <c r="M89" t="s">
        <v>0</v>
      </c>
      <c r="N89">
        <v>6750</v>
      </c>
      <c r="O89">
        <v>320</v>
      </c>
      <c r="P89">
        <v>4642</v>
      </c>
      <c r="Q89">
        <v>0</v>
      </c>
      <c r="R89">
        <v>15000153253</v>
      </c>
      <c r="S89">
        <v>135505786.59</v>
      </c>
      <c r="T89">
        <v>14769642487.290001</v>
      </c>
      <c r="U89">
        <v>14857891940.889999</v>
      </c>
      <c r="V89">
        <v>7.3411000000000004E-2</v>
      </c>
      <c r="W89">
        <v>5.391E-3</v>
      </c>
      <c r="Y89" t="s">
        <v>0</v>
      </c>
      <c r="Z89">
        <v>8250</v>
      </c>
      <c r="AA89">
        <v>360</v>
      </c>
      <c r="AB89">
        <v>181</v>
      </c>
      <c r="AC89">
        <v>0</v>
      </c>
      <c r="AD89">
        <v>103698433</v>
      </c>
      <c r="AE89">
        <v>5363383.8099999996</v>
      </c>
      <c r="AF89">
        <v>97449043.090000004</v>
      </c>
      <c r="AG89">
        <v>97842353.099999994</v>
      </c>
      <c r="AH89">
        <v>9.7845000000000001E-2</v>
      </c>
      <c r="AI89">
        <v>5.5548E-2</v>
      </c>
    </row>
    <row r="90" spans="13:35" x14ac:dyDescent="0.35">
      <c r="M90" t="s">
        <v>2</v>
      </c>
      <c r="N90">
        <v>8000</v>
      </c>
      <c r="O90">
        <v>320</v>
      </c>
      <c r="P90">
        <v>77</v>
      </c>
      <c r="Q90">
        <v>0</v>
      </c>
      <c r="R90">
        <v>130783517</v>
      </c>
      <c r="S90">
        <v>2127708.83</v>
      </c>
      <c r="T90">
        <v>125179539.56999999</v>
      </c>
      <c r="U90">
        <v>128655808.17</v>
      </c>
      <c r="V90">
        <v>0.276229</v>
      </c>
      <c r="W90">
        <v>0</v>
      </c>
      <c r="Y90" t="s">
        <v>0</v>
      </c>
      <c r="Z90">
        <v>6750</v>
      </c>
      <c r="AA90">
        <v>320</v>
      </c>
      <c r="AB90">
        <v>4633</v>
      </c>
      <c r="AC90">
        <v>0</v>
      </c>
      <c r="AD90">
        <v>15002167228</v>
      </c>
      <c r="AE90">
        <v>135069328.72</v>
      </c>
      <c r="AF90">
        <v>14776796802.65</v>
      </c>
      <c r="AG90">
        <v>14859573820.82</v>
      </c>
      <c r="AH90">
        <v>6.9887000000000005E-2</v>
      </c>
      <c r="AI90">
        <v>6.0020000000000004E-3</v>
      </c>
    </row>
    <row r="91" spans="13:35" x14ac:dyDescent="0.35">
      <c r="M91" t="s">
        <v>2</v>
      </c>
      <c r="N91">
        <v>9000</v>
      </c>
      <c r="O91">
        <v>360</v>
      </c>
      <c r="P91">
        <v>13</v>
      </c>
      <c r="Q91">
        <v>0</v>
      </c>
      <c r="R91">
        <v>5197724</v>
      </c>
      <c r="S91">
        <v>473382.89</v>
      </c>
      <c r="T91">
        <v>4724341.1100000003</v>
      </c>
      <c r="U91">
        <v>4724341.1100000003</v>
      </c>
      <c r="V91">
        <v>0</v>
      </c>
      <c r="W91">
        <v>0</v>
      </c>
      <c r="Y91" t="s">
        <v>2</v>
      </c>
      <c r="Z91">
        <v>8000</v>
      </c>
      <c r="AA91">
        <v>320</v>
      </c>
      <c r="AB91">
        <v>83</v>
      </c>
      <c r="AC91">
        <v>0</v>
      </c>
      <c r="AD91">
        <v>140697969</v>
      </c>
      <c r="AE91">
        <v>2268321.11</v>
      </c>
      <c r="AF91">
        <v>137021370.22999999</v>
      </c>
      <c r="AG91">
        <v>138429647.88999999</v>
      </c>
      <c r="AH91">
        <v>0.113714</v>
      </c>
      <c r="AI91">
        <v>0</v>
      </c>
    </row>
    <row r="92" spans="13:35" x14ac:dyDescent="0.35">
      <c r="M92" t="s">
        <v>1</v>
      </c>
      <c r="N92">
        <v>7250</v>
      </c>
      <c r="O92">
        <v>360</v>
      </c>
      <c r="P92">
        <v>185</v>
      </c>
      <c r="Q92">
        <v>0</v>
      </c>
      <c r="R92">
        <v>228100420</v>
      </c>
      <c r="S92">
        <v>7431850.79</v>
      </c>
      <c r="T92">
        <v>217915444.00999999</v>
      </c>
      <c r="U92">
        <v>220668569.21000001</v>
      </c>
      <c r="V92">
        <v>0.135599</v>
      </c>
      <c r="W92">
        <v>0</v>
      </c>
      <c r="Y92" t="s">
        <v>2</v>
      </c>
      <c r="Z92">
        <v>9000</v>
      </c>
      <c r="AA92">
        <v>360</v>
      </c>
      <c r="AB92">
        <v>15</v>
      </c>
      <c r="AC92">
        <v>0</v>
      </c>
      <c r="AD92">
        <v>5756472</v>
      </c>
      <c r="AE92">
        <v>495116.47</v>
      </c>
      <c r="AF92">
        <v>5223607.9000000004</v>
      </c>
      <c r="AG92">
        <v>5261355.53</v>
      </c>
      <c r="AH92">
        <v>7.5911999999999993E-2</v>
      </c>
      <c r="AI92">
        <v>0</v>
      </c>
    </row>
    <row r="93" spans="13:35" x14ac:dyDescent="0.35">
      <c r="M93" t="s">
        <v>2</v>
      </c>
      <c r="N93">
        <v>7250</v>
      </c>
      <c r="O93">
        <v>360</v>
      </c>
      <c r="P93">
        <v>53</v>
      </c>
      <c r="Q93">
        <v>0</v>
      </c>
      <c r="R93">
        <v>43734134</v>
      </c>
      <c r="S93">
        <v>1351812.81</v>
      </c>
      <c r="T93">
        <v>41033956.039999999</v>
      </c>
      <c r="U93">
        <v>42382321.189999998</v>
      </c>
      <c r="V93">
        <v>0.31325700000000001</v>
      </c>
      <c r="W93">
        <v>0</v>
      </c>
      <c r="Y93" t="s">
        <v>1</v>
      </c>
      <c r="Z93">
        <v>7250</v>
      </c>
      <c r="AA93">
        <v>360</v>
      </c>
      <c r="AB93">
        <v>181</v>
      </c>
      <c r="AC93">
        <v>0</v>
      </c>
      <c r="AD93">
        <v>226564921</v>
      </c>
      <c r="AE93">
        <v>7272431.6799999997</v>
      </c>
      <c r="AF93">
        <v>213502656.53999999</v>
      </c>
      <c r="AG93">
        <v>219292489.31999999</v>
      </c>
      <c r="AH93">
        <v>0.26702599999999999</v>
      </c>
      <c r="AI93">
        <v>0</v>
      </c>
    </row>
    <row r="94" spans="13:35" x14ac:dyDescent="0.35">
      <c r="M94" t="s">
        <v>2</v>
      </c>
      <c r="N94">
        <v>6000</v>
      </c>
      <c r="O94">
        <v>360</v>
      </c>
      <c r="P94">
        <v>38</v>
      </c>
      <c r="Q94">
        <v>0</v>
      </c>
      <c r="R94">
        <v>38716358</v>
      </c>
      <c r="S94">
        <v>1082493.96</v>
      </c>
      <c r="T94">
        <v>36546349.670000002</v>
      </c>
      <c r="U94">
        <v>37633864.039999999</v>
      </c>
      <c r="V94">
        <v>0.289578</v>
      </c>
      <c r="W94">
        <v>0</v>
      </c>
      <c r="Y94" t="s">
        <v>2</v>
      </c>
      <c r="Z94">
        <v>7250</v>
      </c>
      <c r="AA94">
        <v>360</v>
      </c>
      <c r="AB94">
        <v>55</v>
      </c>
      <c r="AC94">
        <v>0</v>
      </c>
      <c r="AD94">
        <v>44251473</v>
      </c>
      <c r="AE94">
        <v>1506640.7</v>
      </c>
      <c r="AF94">
        <v>42677074.210000001</v>
      </c>
      <c r="AG94">
        <v>42744832.299999997</v>
      </c>
      <c r="AH94">
        <v>1.8221000000000001E-2</v>
      </c>
      <c r="AI94">
        <v>0</v>
      </c>
    </row>
    <row r="95" spans="13:35" x14ac:dyDescent="0.35">
      <c r="M95" t="s">
        <v>0</v>
      </c>
      <c r="N95">
        <v>6250</v>
      </c>
      <c r="O95">
        <v>360</v>
      </c>
      <c r="P95">
        <v>165</v>
      </c>
      <c r="Q95">
        <v>0</v>
      </c>
      <c r="R95">
        <v>168170784</v>
      </c>
      <c r="S95">
        <v>5282469.59</v>
      </c>
      <c r="T95">
        <v>160105206.02000001</v>
      </c>
      <c r="U95">
        <v>161687348.19999999</v>
      </c>
      <c r="V95">
        <v>0.181477</v>
      </c>
      <c r="W95">
        <v>8.2408999999999996E-2</v>
      </c>
      <c r="Y95" t="s">
        <v>0</v>
      </c>
      <c r="Z95">
        <v>6250</v>
      </c>
      <c r="AA95">
        <v>360</v>
      </c>
      <c r="AB95">
        <v>157</v>
      </c>
      <c r="AC95">
        <v>0</v>
      </c>
      <c r="AD95">
        <v>162816926</v>
      </c>
      <c r="AE95">
        <v>5084046.3899999997</v>
      </c>
      <c r="AF95">
        <v>156754826.72</v>
      </c>
      <c r="AG95">
        <v>157732879.61000001</v>
      </c>
      <c r="AH95">
        <v>6.9750000000000006E-2</v>
      </c>
      <c r="AI95">
        <v>0</v>
      </c>
    </row>
    <row r="96" spans="13:35" x14ac:dyDescent="0.35">
      <c r="M96" t="s">
        <v>0</v>
      </c>
      <c r="N96">
        <v>5750</v>
      </c>
      <c r="O96">
        <v>360</v>
      </c>
      <c r="P96">
        <v>146</v>
      </c>
      <c r="Q96">
        <v>0</v>
      </c>
      <c r="R96">
        <v>154932362</v>
      </c>
      <c r="S96">
        <v>4559782.07</v>
      </c>
      <c r="T96">
        <v>149114593.33000001</v>
      </c>
      <c r="U96">
        <v>150372579.93000001</v>
      </c>
      <c r="V96">
        <v>9.3199000000000004E-2</v>
      </c>
      <c r="W96">
        <v>0</v>
      </c>
      <c r="Y96" t="s">
        <v>2</v>
      </c>
      <c r="Z96">
        <v>6000</v>
      </c>
      <c r="AA96">
        <v>360</v>
      </c>
      <c r="AB96">
        <v>33</v>
      </c>
      <c r="AC96">
        <v>0</v>
      </c>
      <c r="AD96">
        <v>33313384</v>
      </c>
      <c r="AE96">
        <v>932771.81</v>
      </c>
      <c r="AF96">
        <v>32380612.190000001</v>
      </c>
      <c r="AG96">
        <v>32380612.190000001</v>
      </c>
      <c r="AH96">
        <v>0</v>
      </c>
      <c r="AI96">
        <v>0</v>
      </c>
    </row>
    <row r="97" spans="13:35" x14ac:dyDescent="0.35">
      <c r="M97" t="s">
        <v>2</v>
      </c>
      <c r="N97">
        <v>6500</v>
      </c>
      <c r="O97">
        <v>216</v>
      </c>
      <c r="P97">
        <v>1264</v>
      </c>
      <c r="Q97">
        <v>0</v>
      </c>
      <c r="R97">
        <v>6910301271</v>
      </c>
      <c r="S97">
        <v>30393622.690000001</v>
      </c>
      <c r="T97">
        <v>6812359046.1199999</v>
      </c>
      <c r="U97">
        <v>6875549837.8400002</v>
      </c>
      <c r="V97">
        <v>0.111195</v>
      </c>
      <c r="W97">
        <v>7.541E-3</v>
      </c>
      <c r="Y97" t="s">
        <v>0</v>
      </c>
      <c r="Z97">
        <v>7250</v>
      </c>
      <c r="AA97">
        <v>320</v>
      </c>
      <c r="AB97">
        <v>2049</v>
      </c>
      <c r="AC97">
        <v>0</v>
      </c>
      <c r="AD97">
        <v>5408728845</v>
      </c>
      <c r="AE97">
        <v>63897973.920000002</v>
      </c>
      <c r="AF97">
        <v>5319209469.7200003</v>
      </c>
      <c r="AG97">
        <v>5339585852.8000002</v>
      </c>
      <c r="AH97">
        <v>5.5386999999999999E-2</v>
      </c>
      <c r="AI97">
        <v>1.1575E-2</v>
      </c>
    </row>
    <row r="98" spans="13:35" x14ac:dyDescent="0.35">
      <c r="M98" t="s">
        <v>2</v>
      </c>
      <c r="N98">
        <v>6000</v>
      </c>
      <c r="O98">
        <v>216</v>
      </c>
      <c r="P98">
        <v>1682</v>
      </c>
      <c r="Q98">
        <v>0</v>
      </c>
      <c r="R98">
        <v>9742420950</v>
      </c>
      <c r="S98">
        <v>42765495.060000002</v>
      </c>
      <c r="T98">
        <v>9623639152.2700005</v>
      </c>
      <c r="U98">
        <v>9680691064.1700001</v>
      </c>
      <c r="V98">
        <v>8.9716000000000004E-2</v>
      </c>
      <c r="W98">
        <v>2.3109999999999999E-2</v>
      </c>
      <c r="Y98" t="s">
        <v>0</v>
      </c>
      <c r="Z98">
        <v>5750</v>
      </c>
      <c r="AA98">
        <v>320</v>
      </c>
      <c r="AB98">
        <v>9071</v>
      </c>
      <c r="AC98">
        <v>0</v>
      </c>
      <c r="AD98">
        <v>37825203129</v>
      </c>
      <c r="AE98">
        <v>301322832.22000003</v>
      </c>
      <c r="AF98">
        <v>37278870349.720001</v>
      </c>
      <c r="AG98">
        <v>37502501439.089996</v>
      </c>
      <c r="AH98">
        <v>7.5019000000000002E-2</v>
      </c>
      <c r="AI98">
        <v>6.7609999999999996E-3</v>
      </c>
    </row>
    <row r="99" spans="13:35" x14ac:dyDescent="0.35">
      <c r="M99" t="s">
        <v>2</v>
      </c>
      <c r="N99">
        <v>8500</v>
      </c>
      <c r="O99">
        <v>360</v>
      </c>
      <c r="P99">
        <v>38</v>
      </c>
      <c r="Q99">
        <v>0</v>
      </c>
      <c r="R99">
        <v>15802037</v>
      </c>
      <c r="S99">
        <v>1036827.93</v>
      </c>
      <c r="T99">
        <v>13687373.02</v>
      </c>
      <c r="U99">
        <v>14765209.07</v>
      </c>
      <c r="V99">
        <v>0.57162500000000005</v>
      </c>
      <c r="W99">
        <v>0</v>
      </c>
      <c r="Y99" t="s">
        <v>2</v>
      </c>
      <c r="Z99">
        <v>6500</v>
      </c>
      <c r="AA99">
        <v>216</v>
      </c>
      <c r="AB99">
        <v>1303</v>
      </c>
      <c r="AC99">
        <v>0</v>
      </c>
      <c r="AD99">
        <v>7112359191</v>
      </c>
      <c r="AE99">
        <v>31027343.719999999</v>
      </c>
      <c r="AF99">
        <v>7055962160.25</v>
      </c>
      <c r="AG99">
        <v>7081331847.2799997</v>
      </c>
      <c r="AH99">
        <v>4.1973999999999997E-2</v>
      </c>
      <c r="AI99">
        <v>0</v>
      </c>
    </row>
    <row r="100" spans="13:35" x14ac:dyDescent="0.35">
      <c r="M100" t="s">
        <v>2</v>
      </c>
      <c r="N100">
        <v>7500</v>
      </c>
      <c r="O100">
        <v>320</v>
      </c>
      <c r="P100">
        <v>293</v>
      </c>
      <c r="Q100">
        <v>0</v>
      </c>
      <c r="R100">
        <v>610549477</v>
      </c>
      <c r="S100">
        <v>7901301.2800000003</v>
      </c>
      <c r="T100">
        <v>602648175.72000003</v>
      </c>
      <c r="U100">
        <v>602648175.72000003</v>
      </c>
      <c r="V100">
        <v>0</v>
      </c>
      <c r="W100">
        <v>0</v>
      </c>
      <c r="Y100" t="s">
        <v>2</v>
      </c>
      <c r="Z100">
        <v>6000</v>
      </c>
      <c r="AA100">
        <v>216</v>
      </c>
      <c r="AB100">
        <v>1786</v>
      </c>
      <c r="AC100">
        <v>0</v>
      </c>
      <c r="AD100">
        <v>10425571569</v>
      </c>
      <c r="AE100">
        <v>45595291.729999997</v>
      </c>
      <c r="AF100">
        <v>10360879826.85</v>
      </c>
      <c r="AG100">
        <v>10379976277.27</v>
      </c>
      <c r="AH100">
        <v>2.1760000000000002E-2</v>
      </c>
      <c r="AI100">
        <v>0</v>
      </c>
    </row>
    <row r="101" spans="13:35" x14ac:dyDescent="0.35">
      <c r="M101" t="s">
        <v>2</v>
      </c>
      <c r="N101">
        <v>6500</v>
      </c>
      <c r="O101">
        <v>320</v>
      </c>
      <c r="P101">
        <v>1276</v>
      </c>
      <c r="Q101">
        <v>0</v>
      </c>
      <c r="R101">
        <v>3989673792</v>
      </c>
      <c r="S101">
        <v>33826031.549999997</v>
      </c>
      <c r="T101">
        <v>3941554455.8200002</v>
      </c>
      <c r="U101">
        <v>3955847760.4499998</v>
      </c>
      <c r="V101">
        <v>4.2153999999999997E-2</v>
      </c>
      <c r="W101">
        <v>0</v>
      </c>
      <c r="Y101" t="s">
        <v>2</v>
      </c>
      <c r="Z101">
        <v>8500</v>
      </c>
      <c r="AA101">
        <v>360</v>
      </c>
      <c r="AB101">
        <v>39</v>
      </c>
      <c r="AC101">
        <v>0</v>
      </c>
      <c r="AD101">
        <v>17375246</v>
      </c>
      <c r="AE101">
        <v>1088933.57</v>
      </c>
      <c r="AF101">
        <v>16251116.810000001</v>
      </c>
      <c r="AG101">
        <v>16286312.43</v>
      </c>
      <c r="AH101">
        <v>2.4038E-2</v>
      </c>
      <c r="AI101">
        <v>0</v>
      </c>
    </row>
    <row r="102" spans="13:35" x14ac:dyDescent="0.35">
      <c r="M102" t="s">
        <v>2</v>
      </c>
      <c r="N102">
        <v>6000</v>
      </c>
      <c r="O102">
        <v>320</v>
      </c>
      <c r="P102">
        <v>1630</v>
      </c>
      <c r="Q102">
        <v>0</v>
      </c>
      <c r="R102">
        <v>5990210584</v>
      </c>
      <c r="S102">
        <v>47693060.759999998</v>
      </c>
      <c r="T102">
        <v>5904003268.96</v>
      </c>
      <c r="U102">
        <v>5932009076.8299999</v>
      </c>
      <c r="V102">
        <v>7.4483999999999995E-2</v>
      </c>
      <c r="W102">
        <v>2.0848999999999999E-2</v>
      </c>
      <c r="Y102" t="s">
        <v>2</v>
      </c>
      <c r="Z102">
        <v>7500</v>
      </c>
      <c r="AA102">
        <v>320</v>
      </c>
      <c r="AB102">
        <v>308</v>
      </c>
      <c r="AC102">
        <v>0</v>
      </c>
      <c r="AD102">
        <v>641540744</v>
      </c>
      <c r="AE102">
        <v>8354634.1299999999</v>
      </c>
      <c r="AF102">
        <v>628806619.51999998</v>
      </c>
      <c r="AG102">
        <v>633186109.87</v>
      </c>
      <c r="AH102">
        <v>7.8910999999999995E-2</v>
      </c>
      <c r="AI102">
        <v>0</v>
      </c>
    </row>
    <row r="103" spans="13:35" x14ac:dyDescent="0.35">
      <c r="M103" t="s">
        <v>2</v>
      </c>
      <c r="N103">
        <v>7000</v>
      </c>
      <c r="O103">
        <v>360</v>
      </c>
      <c r="P103">
        <v>213</v>
      </c>
      <c r="Q103">
        <v>0</v>
      </c>
      <c r="R103">
        <v>227938035</v>
      </c>
      <c r="S103">
        <v>7144910.2199999997</v>
      </c>
      <c r="T103">
        <v>216029559.83000001</v>
      </c>
      <c r="U103">
        <v>218630442.13999999</v>
      </c>
      <c r="V103">
        <v>0.22387299999999999</v>
      </c>
      <c r="W103">
        <v>0.108099</v>
      </c>
      <c r="Y103" t="s">
        <v>2</v>
      </c>
      <c r="Z103">
        <v>6500</v>
      </c>
      <c r="AA103">
        <v>320</v>
      </c>
      <c r="AB103">
        <v>1262</v>
      </c>
      <c r="AC103">
        <v>0</v>
      </c>
      <c r="AD103">
        <v>3918063963</v>
      </c>
      <c r="AE103">
        <v>33201271.949999999</v>
      </c>
      <c r="AF103">
        <v>3865704004.9299998</v>
      </c>
      <c r="AG103">
        <v>3884862691.0500002</v>
      </c>
      <c r="AH103">
        <v>5.7125000000000002E-2</v>
      </c>
      <c r="AI103">
        <v>0</v>
      </c>
    </row>
    <row r="104" spans="13:35" x14ac:dyDescent="0.35">
      <c r="M104" t="s">
        <v>2</v>
      </c>
      <c r="N104">
        <v>8250</v>
      </c>
      <c r="O104">
        <v>360</v>
      </c>
      <c r="P104">
        <v>18</v>
      </c>
      <c r="Q104">
        <v>0</v>
      </c>
      <c r="R104">
        <v>11707794</v>
      </c>
      <c r="S104">
        <v>550389.56000000006</v>
      </c>
      <c r="T104">
        <v>11157404.439999999</v>
      </c>
      <c r="U104">
        <v>11157404.439999999</v>
      </c>
      <c r="V104">
        <v>0</v>
      </c>
      <c r="W104">
        <v>0</v>
      </c>
      <c r="Y104" t="s">
        <v>2</v>
      </c>
      <c r="Z104">
        <v>6000</v>
      </c>
      <c r="AA104">
        <v>320</v>
      </c>
      <c r="AB104">
        <v>1624</v>
      </c>
      <c r="AC104">
        <v>0</v>
      </c>
      <c r="AD104">
        <v>5992199175</v>
      </c>
      <c r="AE104">
        <v>47390574.670000002</v>
      </c>
      <c r="AF104">
        <v>5917798486.0100002</v>
      </c>
      <c r="AG104">
        <v>5944808600.3299999</v>
      </c>
      <c r="AH104">
        <v>5.2769999999999997E-2</v>
      </c>
      <c r="AI104">
        <v>0</v>
      </c>
    </row>
    <row r="105" spans="13:35" x14ac:dyDescent="0.35">
      <c r="M105" t="s">
        <v>0</v>
      </c>
      <c r="N105">
        <v>8250</v>
      </c>
      <c r="O105">
        <v>360</v>
      </c>
      <c r="P105">
        <v>185</v>
      </c>
      <c r="Q105">
        <v>0</v>
      </c>
      <c r="R105">
        <v>114197627</v>
      </c>
      <c r="S105">
        <v>5495363.7199999997</v>
      </c>
      <c r="T105">
        <v>106307383.45</v>
      </c>
      <c r="U105">
        <v>108702263.28</v>
      </c>
      <c r="V105">
        <v>0.22456599999999999</v>
      </c>
      <c r="W105">
        <v>0</v>
      </c>
      <c r="Y105" t="s">
        <v>2</v>
      </c>
      <c r="Z105">
        <v>7000</v>
      </c>
      <c r="AA105">
        <v>360</v>
      </c>
      <c r="AB105">
        <v>212</v>
      </c>
      <c r="AC105">
        <v>0</v>
      </c>
      <c r="AD105">
        <v>230994530</v>
      </c>
      <c r="AE105">
        <v>7057811.5700000003</v>
      </c>
      <c r="AF105">
        <v>219736330.84999999</v>
      </c>
      <c r="AG105">
        <v>223936718.43000001</v>
      </c>
      <c r="AH105">
        <v>0.197654</v>
      </c>
      <c r="AI105">
        <v>0</v>
      </c>
    </row>
    <row r="106" spans="13:35" x14ac:dyDescent="0.35">
      <c r="M106" t="s">
        <v>0</v>
      </c>
      <c r="N106">
        <v>4500</v>
      </c>
      <c r="O106">
        <v>320</v>
      </c>
      <c r="P106">
        <v>188</v>
      </c>
      <c r="Q106">
        <v>0</v>
      </c>
      <c r="R106">
        <v>831722431</v>
      </c>
      <c r="S106">
        <v>7014420.79</v>
      </c>
      <c r="T106">
        <v>811920735.49000001</v>
      </c>
      <c r="U106">
        <v>824708010.21000004</v>
      </c>
      <c r="V106">
        <v>0.16966500000000001</v>
      </c>
      <c r="W106">
        <v>0</v>
      </c>
      <c r="Y106" t="s">
        <v>2</v>
      </c>
      <c r="Z106">
        <v>8250</v>
      </c>
      <c r="AA106">
        <v>360</v>
      </c>
      <c r="AB106">
        <v>17</v>
      </c>
      <c r="AC106">
        <v>0</v>
      </c>
      <c r="AD106">
        <v>10374968</v>
      </c>
      <c r="AE106">
        <v>513964.23</v>
      </c>
      <c r="AF106">
        <v>9861003.7699999996</v>
      </c>
      <c r="AG106">
        <v>9861003.7699999996</v>
      </c>
      <c r="AH106">
        <v>0</v>
      </c>
      <c r="AI106">
        <v>0</v>
      </c>
    </row>
    <row r="107" spans="13:35" x14ac:dyDescent="0.35">
      <c r="M107" t="s">
        <v>2</v>
      </c>
      <c r="N107">
        <v>4000</v>
      </c>
      <c r="O107">
        <v>192</v>
      </c>
      <c r="P107">
        <v>4731</v>
      </c>
      <c r="Q107">
        <v>0</v>
      </c>
      <c r="R107">
        <v>38371922562</v>
      </c>
      <c r="S107">
        <v>148469847.13999999</v>
      </c>
      <c r="T107">
        <v>38045531871.199997</v>
      </c>
      <c r="U107">
        <v>38210838943.660004</v>
      </c>
      <c r="V107">
        <v>5.4244000000000001E-2</v>
      </c>
      <c r="W107">
        <v>3.9379999999999997E-3</v>
      </c>
      <c r="Y107" t="s">
        <v>0</v>
      </c>
      <c r="Z107">
        <v>4500</v>
      </c>
      <c r="AA107">
        <v>320</v>
      </c>
      <c r="AB107">
        <v>187</v>
      </c>
      <c r="AC107">
        <v>0</v>
      </c>
      <c r="AD107">
        <v>828487639</v>
      </c>
      <c r="AE107">
        <v>6931535.96</v>
      </c>
      <c r="AF107">
        <v>818606727.05999994</v>
      </c>
      <c r="AG107">
        <v>821556103.03999996</v>
      </c>
      <c r="AH107">
        <v>4.1893E-2</v>
      </c>
      <c r="AI107">
        <v>0</v>
      </c>
    </row>
    <row r="108" spans="13:35" x14ac:dyDescent="0.35">
      <c r="M108" t="s">
        <v>1</v>
      </c>
      <c r="N108">
        <v>7750</v>
      </c>
      <c r="O108">
        <v>360</v>
      </c>
      <c r="P108">
        <v>73</v>
      </c>
      <c r="Q108">
        <v>0</v>
      </c>
      <c r="R108">
        <v>69095624</v>
      </c>
      <c r="S108">
        <v>2977351.17</v>
      </c>
      <c r="T108">
        <v>63701734.07</v>
      </c>
      <c r="U108">
        <v>66118272.829999998</v>
      </c>
      <c r="V108">
        <v>0.347667</v>
      </c>
      <c r="W108">
        <v>0</v>
      </c>
      <c r="Y108" t="s">
        <v>2</v>
      </c>
      <c r="Z108">
        <v>4000</v>
      </c>
      <c r="AA108">
        <v>192</v>
      </c>
      <c r="AB108">
        <v>4005</v>
      </c>
      <c r="AC108">
        <v>0</v>
      </c>
      <c r="AD108">
        <v>32709706820</v>
      </c>
      <c r="AE108">
        <v>126158000.77</v>
      </c>
      <c r="AF108">
        <v>32440826400.330002</v>
      </c>
      <c r="AG108">
        <v>32573209378.139999</v>
      </c>
      <c r="AH108">
        <v>5.1121E-2</v>
      </c>
      <c r="AI108">
        <v>3.787E-3</v>
      </c>
    </row>
    <row r="109" spans="13:35" x14ac:dyDescent="0.35">
      <c r="M109" t="s">
        <v>2</v>
      </c>
      <c r="N109">
        <v>7750</v>
      </c>
      <c r="O109">
        <v>360</v>
      </c>
      <c r="P109">
        <v>52</v>
      </c>
      <c r="Q109">
        <v>0</v>
      </c>
      <c r="R109">
        <v>44144873</v>
      </c>
      <c r="S109">
        <v>1479963.22</v>
      </c>
      <c r="T109">
        <v>42325464.090000004</v>
      </c>
      <c r="U109">
        <v>42664909.780000001</v>
      </c>
      <c r="V109">
        <v>8.8468000000000005E-2</v>
      </c>
      <c r="W109">
        <v>0</v>
      </c>
      <c r="Y109" t="s">
        <v>1</v>
      </c>
      <c r="Z109">
        <v>7750</v>
      </c>
      <c r="AA109">
        <v>360</v>
      </c>
      <c r="AB109">
        <v>73</v>
      </c>
      <c r="AC109">
        <v>0</v>
      </c>
      <c r="AD109">
        <v>66090149</v>
      </c>
      <c r="AE109">
        <v>2881163.88</v>
      </c>
      <c r="AF109">
        <v>62041280.439999998</v>
      </c>
      <c r="AG109">
        <v>63208985.119999997</v>
      </c>
      <c r="AH109">
        <v>0.19258400000000001</v>
      </c>
      <c r="AI109">
        <v>0</v>
      </c>
    </row>
    <row r="110" spans="13:35" x14ac:dyDescent="0.35">
      <c r="M110" t="s">
        <v>1</v>
      </c>
      <c r="N110">
        <v>7500</v>
      </c>
      <c r="O110">
        <v>320</v>
      </c>
      <c r="P110">
        <v>357</v>
      </c>
      <c r="Q110">
        <v>0</v>
      </c>
      <c r="R110">
        <v>886340030</v>
      </c>
      <c r="S110">
        <v>12011178.85</v>
      </c>
      <c r="T110">
        <v>868387577.61000001</v>
      </c>
      <c r="U110">
        <v>871512610.88999999</v>
      </c>
      <c r="V110">
        <v>7.7537999999999996E-2</v>
      </c>
      <c r="W110">
        <v>3.7469000000000002E-2</v>
      </c>
      <c r="Y110" t="s">
        <v>2</v>
      </c>
      <c r="Z110">
        <v>7750</v>
      </c>
      <c r="AA110">
        <v>360</v>
      </c>
      <c r="AB110">
        <v>51</v>
      </c>
      <c r="AC110">
        <v>0</v>
      </c>
      <c r="AD110">
        <v>42587297</v>
      </c>
      <c r="AE110">
        <v>1417851.1</v>
      </c>
      <c r="AF110">
        <v>40359423.409999996</v>
      </c>
      <c r="AG110">
        <v>41169445.899999999</v>
      </c>
      <c r="AH110">
        <v>0.205817</v>
      </c>
      <c r="AI110">
        <v>0</v>
      </c>
    </row>
    <row r="111" spans="13:35" x14ac:dyDescent="0.35">
      <c r="M111" t="s">
        <v>1</v>
      </c>
      <c r="N111">
        <v>8000</v>
      </c>
      <c r="O111">
        <v>320</v>
      </c>
      <c r="P111">
        <v>183</v>
      </c>
      <c r="Q111">
        <v>0</v>
      </c>
      <c r="R111">
        <v>363318815</v>
      </c>
      <c r="S111">
        <v>6161118.9400000004</v>
      </c>
      <c r="T111">
        <v>352832365.07999998</v>
      </c>
      <c r="U111">
        <v>356062547.63</v>
      </c>
      <c r="V111">
        <v>0.13386799999999999</v>
      </c>
      <c r="W111">
        <v>3.5577999999999999E-2</v>
      </c>
      <c r="Y111" t="s">
        <v>1</v>
      </c>
      <c r="Z111">
        <v>7500</v>
      </c>
      <c r="AA111">
        <v>320</v>
      </c>
      <c r="AB111">
        <v>390</v>
      </c>
      <c r="AC111">
        <v>0</v>
      </c>
      <c r="AD111">
        <v>954931213</v>
      </c>
      <c r="AE111">
        <v>13140094.380000001</v>
      </c>
      <c r="AF111">
        <v>941263279.08000004</v>
      </c>
      <c r="AG111">
        <v>941791118.62</v>
      </c>
      <c r="AH111">
        <v>6.613E-3</v>
      </c>
      <c r="AI111">
        <v>0</v>
      </c>
    </row>
    <row r="112" spans="13:35" x14ac:dyDescent="0.35">
      <c r="M112" t="s">
        <v>2</v>
      </c>
      <c r="N112">
        <v>6250</v>
      </c>
      <c r="O112">
        <v>360</v>
      </c>
      <c r="P112">
        <v>20</v>
      </c>
      <c r="Q112">
        <v>0</v>
      </c>
      <c r="R112">
        <v>15428207</v>
      </c>
      <c r="S112">
        <v>460282.69</v>
      </c>
      <c r="T112">
        <v>14893424.84</v>
      </c>
      <c r="U112">
        <v>14967924.310000001</v>
      </c>
      <c r="V112">
        <v>5.6431000000000002E-2</v>
      </c>
      <c r="W112">
        <v>0</v>
      </c>
      <c r="Y112" t="s">
        <v>1</v>
      </c>
      <c r="Z112">
        <v>8000</v>
      </c>
      <c r="AA112">
        <v>320</v>
      </c>
      <c r="AB112">
        <v>192</v>
      </c>
      <c r="AC112">
        <v>0</v>
      </c>
      <c r="AD112">
        <v>381360231</v>
      </c>
      <c r="AE112">
        <v>6372655.9199999999</v>
      </c>
      <c r="AF112">
        <v>374777719.36000001</v>
      </c>
      <c r="AG112">
        <v>374987575.07999998</v>
      </c>
      <c r="AH112">
        <v>6.5830000000000003E-3</v>
      </c>
      <c r="AI112">
        <v>0</v>
      </c>
    </row>
    <row r="113" spans="13:35" x14ac:dyDescent="0.35">
      <c r="M113" t="s">
        <v>1</v>
      </c>
      <c r="N113">
        <v>5500</v>
      </c>
      <c r="O113">
        <v>360</v>
      </c>
      <c r="P113">
        <v>1</v>
      </c>
      <c r="Q113">
        <v>0</v>
      </c>
      <c r="R113">
        <v>233353</v>
      </c>
      <c r="S113">
        <v>11167.75</v>
      </c>
      <c r="T113">
        <v>222185.25</v>
      </c>
      <c r="U113">
        <v>222185.25</v>
      </c>
      <c r="V113">
        <v>0</v>
      </c>
      <c r="W113">
        <v>0</v>
      </c>
      <c r="Y113" t="s">
        <v>2</v>
      </c>
      <c r="Z113">
        <v>6250</v>
      </c>
      <c r="AA113">
        <v>360</v>
      </c>
      <c r="AB113">
        <v>18</v>
      </c>
      <c r="AC113">
        <v>0</v>
      </c>
      <c r="AD113">
        <v>13888957</v>
      </c>
      <c r="AE113">
        <v>411515.65</v>
      </c>
      <c r="AF113">
        <v>13477441.35</v>
      </c>
      <c r="AG113">
        <v>13477441.35</v>
      </c>
      <c r="AH113">
        <v>0</v>
      </c>
      <c r="AI113">
        <v>0</v>
      </c>
    </row>
    <row r="114" spans="13:35" x14ac:dyDescent="0.35">
      <c r="M114" t="s">
        <v>0</v>
      </c>
      <c r="N114">
        <v>4000</v>
      </c>
      <c r="O114">
        <v>168</v>
      </c>
      <c r="P114">
        <v>88027</v>
      </c>
      <c r="Q114">
        <v>0</v>
      </c>
      <c r="R114">
        <v>814931585339</v>
      </c>
      <c r="S114">
        <v>2876032770.1999998</v>
      </c>
      <c r="T114">
        <v>808393515916.26001</v>
      </c>
      <c r="U114">
        <v>811698388637.05005</v>
      </c>
      <c r="V114">
        <v>5.2610999999999998E-2</v>
      </c>
      <c r="W114">
        <v>5.2469999999999999E-3</v>
      </c>
      <c r="Y114" t="s">
        <v>1</v>
      </c>
      <c r="Z114">
        <v>5500</v>
      </c>
      <c r="AA114">
        <v>360</v>
      </c>
      <c r="AB114">
        <v>1</v>
      </c>
      <c r="AC114">
        <v>0</v>
      </c>
      <c r="AD114">
        <v>333941</v>
      </c>
      <c r="AE114">
        <v>15185.33</v>
      </c>
      <c r="AF114">
        <v>318755.67</v>
      </c>
      <c r="AG114">
        <v>318755.67</v>
      </c>
      <c r="AH114">
        <v>0</v>
      </c>
      <c r="AI114">
        <v>0</v>
      </c>
    </row>
    <row r="115" spans="13:35" x14ac:dyDescent="0.35">
      <c r="M115" t="s">
        <v>2</v>
      </c>
      <c r="N115">
        <v>6750</v>
      </c>
      <c r="O115">
        <v>360</v>
      </c>
      <c r="P115">
        <v>24</v>
      </c>
      <c r="Q115">
        <v>0</v>
      </c>
      <c r="R115">
        <v>16634027</v>
      </c>
      <c r="S115">
        <v>649605.93999999994</v>
      </c>
      <c r="T115">
        <v>15984421.060000001</v>
      </c>
      <c r="U115">
        <v>15984421.060000001</v>
      </c>
      <c r="V115">
        <v>0</v>
      </c>
      <c r="W115">
        <v>0</v>
      </c>
      <c r="Y115" t="s">
        <v>0</v>
      </c>
      <c r="Z115">
        <v>4500</v>
      </c>
      <c r="AA115">
        <v>168</v>
      </c>
      <c r="AB115">
        <v>28025</v>
      </c>
      <c r="AC115">
        <v>0</v>
      </c>
      <c r="AD115">
        <v>237336461867</v>
      </c>
      <c r="AE115">
        <v>767485418.51999998</v>
      </c>
      <c r="AF115">
        <v>235384593977.22</v>
      </c>
      <c r="AG115">
        <v>236421168435.45001</v>
      </c>
      <c r="AH115">
        <v>5.8266999999999999E-2</v>
      </c>
      <c r="AI115">
        <v>7.4479999999999998E-3</v>
      </c>
    </row>
    <row r="116" spans="13:35" x14ac:dyDescent="0.35">
      <c r="M116" t="s">
        <v>0</v>
      </c>
      <c r="N116">
        <v>5500</v>
      </c>
      <c r="O116">
        <v>360</v>
      </c>
      <c r="P116">
        <v>52</v>
      </c>
      <c r="Q116">
        <v>0</v>
      </c>
      <c r="R116">
        <v>52914869</v>
      </c>
      <c r="S116">
        <v>1637737.32</v>
      </c>
      <c r="T116">
        <v>49551718.630000003</v>
      </c>
      <c r="U116">
        <v>51277131.68</v>
      </c>
      <c r="V116">
        <v>0.32821</v>
      </c>
      <c r="W116">
        <v>0</v>
      </c>
      <c r="Y116" t="s">
        <v>0</v>
      </c>
      <c r="Z116">
        <v>4000</v>
      </c>
      <c r="AA116">
        <v>168</v>
      </c>
      <c r="AB116">
        <v>92350</v>
      </c>
      <c r="AC116">
        <v>0</v>
      </c>
      <c r="AD116">
        <v>859871236507</v>
      </c>
      <c r="AE116">
        <v>3027747553.2600002</v>
      </c>
      <c r="AF116">
        <v>852671907562.67004</v>
      </c>
      <c r="AG116">
        <v>856378661738.63</v>
      </c>
      <c r="AH116">
        <v>5.6688000000000002E-2</v>
      </c>
      <c r="AI116">
        <v>6.4679999999999998E-3</v>
      </c>
    </row>
    <row r="117" spans="13:35" x14ac:dyDescent="0.35">
      <c r="M117" t="s">
        <v>0</v>
      </c>
      <c r="N117">
        <v>5250</v>
      </c>
      <c r="O117">
        <v>320</v>
      </c>
      <c r="P117">
        <v>2003</v>
      </c>
      <c r="Q117">
        <v>0</v>
      </c>
      <c r="R117">
        <v>7977785090</v>
      </c>
      <c r="S117">
        <v>67509236.079999998</v>
      </c>
      <c r="T117">
        <v>7875256870.9200001</v>
      </c>
      <c r="U117">
        <v>7905670898.96</v>
      </c>
      <c r="V117">
        <v>5.1421000000000001E-2</v>
      </c>
      <c r="W117">
        <v>6.9049999999999997E-3</v>
      </c>
      <c r="Y117" t="s">
        <v>2</v>
      </c>
      <c r="Z117">
        <v>6750</v>
      </c>
      <c r="AA117">
        <v>360</v>
      </c>
      <c r="AB117">
        <v>23</v>
      </c>
      <c r="AC117">
        <v>0</v>
      </c>
      <c r="AD117">
        <v>16492760</v>
      </c>
      <c r="AE117">
        <v>630687.64</v>
      </c>
      <c r="AF117">
        <v>15862072.359999999</v>
      </c>
      <c r="AG117">
        <v>15862072.359999999</v>
      </c>
      <c r="AH117">
        <v>0</v>
      </c>
      <c r="AI117">
        <v>0</v>
      </c>
    </row>
    <row r="118" spans="13:35" x14ac:dyDescent="0.35">
      <c r="M118" t="s">
        <v>2</v>
      </c>
      <c r="N118">
        <v>5250</v>
      </c>
      <c r="O118">
        <v>320</v>
      </c>
      <c r="P118">
        <v>160</v>
      </c>
      <c r="Q118">
        <v>0</v>
      </c>
      <c r="R118">
        <v>465197750</v>
      </c>
      <c r="S118">
        <v>3846026.99</v>
      </c>
      <c r="T118">
        <v>461351723.00999999</v>
      </c>
      <c r="U118">
        <v>461351723.00999999</v>
      </c>
      <c r="V118">
        <v>0</v>
      </c>
      <c r="W118">
        <v>0</v>
      </c>
      <c r="Y118" t="s">
        <v>0</v>
      </c>
      <c r="Z118">
        <v>5500</v>
      </c>
      <c r="AA118">
        <v>360</v>
      </c>
      <c r="AB118">
        <v>49</v>
      </c>
      <c r="AC118">
        <v>0</v>
      </c>
      <c r="AD118">
        <v>49250192</v>
      </c>
      <c r="AE118">
        <v>1512998.57</v>
      </c>
      <c r="AF118">
        <v>47510201.079999998</v>
      </c>
      <c r="AG118">
        <v>47737193.43</v>
      </c>
      <c r="AH118">
        <v>5.3927000000000003E-2</v>
      </c>
      <c r="AI118">
        <v>0</v>
      </c>
    </row>
    <row r="119" spans="13:35" x14ac:dyDescent="0.35">
      <c r="M119" t="s">
        <v>2</v>
      </c>
      <c r="N119">
        <v>6500</v>
      </c>
      <c r="O119">
        <v>360</v>
      </c>
      <c r="P119">
        <v>70</v>
      </c>
      <c r="Q119">
        <v>0</v>
      </c>
      <c r="R119">
        <v>78605250</v>
      </c>
      <c r="S119">
        <v>2310529.63</v>
      </c>
      <c r="T119">
        <v>76229685.959999993</v>
      </c>
      <c r="U119">
        <v>76294720.370000005</v>
      </c>
      <c r="V119">
        <v>9.8829999999999994E-3</v>
      </c>
      <c r="W119">
        <v>0</v>
      </c>
      <c r="Y119" t="s">
        <v>0</v>
      </c>
      <c r="Z119">
        <v>5250</v>
      </c>
      <c r="AA119">
        <v>320</v>
      </c>
      <c r="AB119">
        <v>1996</v>
      </c>
      <c r="AC119">
        <v>0</v>
      </c>
      <c r="AD119">
        <v>7983404136</v>
      </c>
      <c r="AE119">
        <v>66946216.829999998</v>
      </c>
      <c r="AF119">
        <v>7866969420.7600002</v>
      </c>
      <c r="AG119">
        <v>7914548661.1999998</v>
      </c>
      <c r="AH119">
        <v>7.1902999999999995E-2</v>
      </c>
      <c r="AI119">
        <v>2.8660000000000001E-3</v>
      </c>
    </row>
    <row r="120" spans="13:35" x14ac:dyDescent="0.35">
      <c r="M120" t="s">
        <v>2</v>
      </c>
      <c r="N120">
        <v>6250</v>
      </c>
      <c r="O120">
        <v>320</v>
      </c>
      <c r="P120">
        <v>1362</v>
      </c>
      <c r="Q120">
        <v>0</v>
      </c>
      <c r="R120">
        <v>4381899887</v>
      </c>
      <c r="S120">
        <v>33395280.73</v>
      </c>
      <c r="T120">
        <v>4315304086.9499998</v>
      </c>
      <c r="U120">
        <v>4339200208.4499998</v>
      </c>
      <c r="V120">
        <v>8.7225999999999998E-2</v>
      </c>
      <c r="W120">
        <v>2.5184999999999999E-2</v>
      </c>
      <c r="Y120" t="s">
        <v>2</v>
      </c>
      <c r="Z120">
        <v>5250</v>
      </c>
      <c r="AA120">
        <v>320</v>
      </c>
      <c r="AB120">
        <v>158</v>
      </c>
      <c r="AC120">
        <v>0</v>
      </c>
      <c r="AD120">
        <v>465714905</v>
      </c>
      <c r="AE120">
        <v>3813892.65</v>
      </c>
      <c r="AF120">
        <v>458914291.26999998</v>
      </c>
      <c r="AG120">
        <v>461901012.35000002</v>
      </c>
      <c r="AH120">
        <v>7.4301000000000006E-2</v>
      </c>
      <c r="AI120">
        <v>0</v>
      </c>
    </row>
    <row r="121" spans="13:35" x14ac:dyDescent="0.35">
      <c r="M121" t="s">
        <v>0</v>
      </c>
      <c r="N121">
        <v>7250</v>
      </c>
      <c r="O121">
        <v>320</v>
      </c>
      <c r="P121">
        <v>1999</v>
      </c>
      <c r="Q121">
        <v>0</v>
      </c>
      <c r="R121">
        <v>5254934301</v>
      </c>
      <c r="S121">
        <v>62695330.359999999</v>
      </c>
      <c r="T121">
        <v>5177778894.9200001</v>
      </c>
      <c r="U121">
        <v>5189785483.9399996</v>
      </c>
      <c r="V121">
        <v>3.2524999999999998E-2</v>
      </c>
      <c r="W121">
        <v>5.5880000000000001E-3</v>
      </c>
      <c r="Y121" t="s">
        <v>2</v>
      </c>
      <c r="Z121">
        <v>6500</v>
      </c>
      <c r="AA121">
        <v>360</v>
      </c>
      <c r="AB121">
        <v>66</v>
      </c>
      <c r="AC121">
        <v>0</v>
      </c>
      <c r="AD121">
        <v>76130012</v>
      </c>
      <c r="AE121">
        <v>2206603.2400000002</v>
      </c>
      <c r="AF121">
        <v>72536295.290000007</v>
      </c>
      <c r="AG121">
        <v>73923408.760000005</v>
      </c>
      <c r="AH121">
        <v>0.19801099999999999</v>
      </c>
      <c r="AI121">
        <v>0</v>
      </c>
    </row>
    <row r="122" spans="13:35" x14ac:dyDescent="0.35">
      <c r="M122" t="s">
        <v>1</v>
      </c>
      <c r="N122">
        <v>6250</v>
      </c>
      <c r="O122">
        <v>320</v>
      </c>
      <c r="P122">
        <v>1234</v>
      </c>
      <c r="Q122">
        <v>0</v>
      </c>
      <c r="R122">
        <v>5378220423</v>
      </c>
      <c r="S122">
        <v>43415972.109999999</v>
      </c>
      <c r="T122">
        <v>5313226166.5100002</v>
      </c>
      <c r="U122">
        <v>5334804450.8900003</v>
      </c>
      <c r="V122">
        <v>4.7098000000000001E-2</v>
      </c>
      <c r="W122">
        <v>0</v>
      </c>
      <c r="Y122" t="s">
        <v>2</v>
      </c>
      <c r="Z122">
        <v>6250</v>
      </c>
      <c r="AA122">
        <v>320</v>
      </c>
      <c r="AB122">
        <v>1366</v>
      </c>
      <c r="AC122">
        <v>0</v>
      </c>
      <c r="AD122">
        <v>4420580010</v>
      </c>
      <c r="AE122">
        <v>33363823.550000001</v>
      </c>
      <c r="AF122">
        <v>4348461291.1099997</v>
      </c>
      <c r="AG122">
        <v>4387216186.4499998</v>
      </c>
      <c r="AH122">
        <v>0.100276</v>
      </c>
      <c r="AI122">
        <v>0</v>
      </c>
    </row>
    <row r="123" spans="13:35" x14ac:dyDescent="0.35">
      <c r="M123" t="s">
        <v>0</v>
      </c>
      <c r="N123">
        <v>4000</v>
      </c>
      <c r="O123">
        <v>360</v>
      </c>
      <c r="P123">
        <v>42</v>
      </c>
      <c r="Q123">
        <v>0</v>
      </c>
      <c r="R123">
        <v>24567926</v>
      </c>
      <c r="S123">
        <v>1035450.07</v>
      </c>
      <c r="T123">
        <v>23532475.93</v>
      </c>
      <c r="U123">
        <v>23532475.93</v>
      </c>
      <c r="V123">
        <v>0</v>
      </c>
      <c r="W123">
        <v>0</v>
      </c>
      <c r="Y123" t="s">
        <v>1</v>
      </c>
      <c r="Z123">
        <v>6250</v>
      </c>
      <c r="AA123">
        <v>320</v>
      </c>
      <c r="AB123">
        <v>1226</v>
      </c>
      <c r="AC123">
        <v>0</v>
      </c>
      <c r="AD123">
        <v>5338574321</v>
      </c>
      <c r="AE123">
        <v>42882622.939999998</v>
      </c>
      <c r="AF123">
        <v>5262313401.0500002</v>
      </c>
      <c r="AG123">
        <v>5291323626.21</v>
      </c>
      <c r="AH123">
        <v>7.2499999999999995E-2</v>
      </c>
      <c r="AI123">
        <v>9.7739999999999997E-3</v>
      </c>
    </row>
    <row r="124" spans="13:35" x14ac:dyDescent="0.35">
      <c r="M124" t="s">
        <v>0</v>
      </c>
      <c r="N124">
        <v>5000</v>
      </c>
      <c r="O124">
        <v>360</v>
      </c>
      <c r="P124">
        <v>63</v>
      </c>
      <c r="Q124">
        <v>0</v>
      </c>
      <c r="R124">
        <v>46042624</v>
      </c>
      <c r="S124">
        <v>1674887.36</v>
      </c>
      <c r="T124">
        <v>44367736.640000001</v>
      </c>
      <c r="U124">
        <v>44367736.640000001</v>
      </c>
      <c r="V124">
        <v>0</v>
      </c>
      <c r="W124">
        <v>0</v>
      </c>
      <c r="Y124" t="s">
        <v>0</v>
      </c>
      <c r="Z124">
        <v>4000</v>
      </c>
      <c r="AA124">
        <v>360</v>
      </c>
      <c r="AB124">
        <v>41</v>
      </c>
      <c r="AC124">
        <v>0</v>
      </c>
      <c r="AD124">
        <v>23695835</v>
      </c>
      <c r="AE124">
        <v>986574.59</v>
      </c>
      <c r="AF124">
        <v>22709260.41</v>
      </c>
      <c r="AG124">
        <v>22709260.41</v>
      </c>
      <c r="AH124">
        <v>0</v>
      </c>
      <c r="AI124">
        <v>0</v>
      </c>
    </row>
    <row r="125" spans="13:35" x14ac:dyDescent="0.35">
      <c r="M125" t="s">
        <v>0</v>
      </c>
      <c r="N125">
        <v>5250</v>
      </c>
      <c r="O125">
        <v>360</v>
      </c>
      <c r="P125">
        <v>6</v>
      </c>
      <c r="Q125">
        <v>0</v>
      </c>
      <c r="R125">
        <v>3761449</v>
      </c>
      <c r="S125">
        <v>148991.46</v>
      </c>
      <c r="T125">
        <v>3612457.54</v>
      </c>
      <c r="U125">
        <v>3612457.54</v>
      </c>
      <c r="V125">
        <v>0</v>
      </c>
      <c r="W125">
        <v>0</v>
      </c>
      <c r="Y125" t="s">
        <v>0</v>
      </c>
      <c r="Z125">
        <v>5000</v>
      </c>
      <c r="AA125">
        <v>360</v>
      </c>
      <c r="AB125">
        <v>62</v>
      </c>
      <c r="AC125">
        <v>0</v>
      </c>
      <c r="AD125">
        <v>46299674</v>
      </c>
      <c r="AE125">
        <v>1641846.19</v>
      </c>
      <c r="AF125">
        <v>44496725.950000003</v>
      </c>
      <c r="AG125">
        <v>44657827.810000002</v>
      </c>
      <c r="AH125">
        <v>4.0965000000000001E-2</v>
      </c>
      <c r="AI125">
        <v>0</v>
      </c>
    </row>
    <row r="126" spans="13:35" x14ac:dyDescent="0.35">
      <c r="M126" t="s">
        <v>0</v>
      </c>
      <c r="N126">
        <v>4500</v>
      </c>
      <c r="O126">
        <v>240</v>
      </c>
      <c r="P126">
        <v>42</v>
      </c>
      <c r="Q126">
        <v>0</v>
      </c>
      <c r="R126">
        <v>313416461</v>
      </c>
      <c r="S126">
        <v>1873049.86</v>
      </c>
      <c r="T126">
        <v>311543411.13999999</v>
      </c>
      <c r="U126">
        <v>311543411.13999999</v>
      </c>
      <c r="V126">
        <v>0</v>
      </c>
      <c r="W126">
        <v>0</v>
      </c>
      <c r="Y126" t="s">
        <v>0</v>
      </c>
      <c r="Z126">
        <v>5750</v>
      </c>
      <c r="AA126">
        <v>360</v>
      </c>
      <c r="AB126">
        <v>131</v>
      </c>
      <c r="AC126">
        <v>0</v>
      </c>
      <c r="AD126">
        <v>138168566</v>
      </c>
      <c r="AE126">
        <v>4071041.88</v>
      </c>
      <c r="AF126">
        <v>131880687.81</v>
      </c>
      <c r="AG126">
        <v>134097524.12</v>
      </c>
      <c r="AH126">
        <v>0.17641999999999999</v>
      </c>
      <c r="AI126">
        <v>0</v>
      </c>
    </row>
    <row r="127" spans="13:35" x14ac:dyDescent="0.35">
      <c r="M127" t="s">
        <v>1</v>
      </c>
      <c r="N127">
        <v>5000</v>
      </c>
      <c r="O127">
        <v>360</v>
      </c>
      <c r="P127">
        <v>7</v>
      </c>
      <c r="Q127">
        <v>0</v>
      </c>
      <c r="R127">
        <v>9027182</v>
      </c>
      <c r="S127">
        <v>274221.77</v>
      </c>
      <c r="T127">
        <v>8752960.2300000004</v>
      </c>
      <c r="U127">
        <v>8752960.2300000004</v>
      </c>
      <c r="V127">
        <v>0</v>
      </c>
      <c r="W127">
        <v>0</v>
      </c>
      <c r="Y127" t="s">
        <v>0</v>
      </c>
      <c r="Z127">
        <v>5250</v>
      </c>
      <c r="AA127">
        <v>360</v>
      </c>
      <c r="AB127">
        <v>6</v>
      </c>
      <c r="AC127">
        <v>0</v>
      </c>
      <c r="AD127">
        <v>4004394</v>
      </c>
      <c r="AE127">
        <v>151657.97</v>
      </c>
      <c r="AF127">
        <v>3852736.03</v>
      </c>
      <c r="AG127">
        <v>3852736.03</v>
      </c>
      <c r="AH127">
        <v>0</v>
      </c>
      <c r="AI127">
        <v>0</v>
      </c>
    </row>
    <row r="128" spans="13:35" x14ac:dyDescent="0.35">
      <c r="M128" t="s">
        <v>1</v>
      </c>
      <c r="N128">
        <v>9000</v>
      </c>
      <c r="O128">
        <v>320</v>
      </c>
      <c r="P128">
        <v>38</v>
      </c>
      <c r="Q128">
        <v>0</v>
      </c>
      <c r="R128">
        <v>60415647</v>
      </c>
      <c r="S128">
        <v>1019854.15</v>
      </c>
      <c r="T128">
        <v>56458239.649999999</v>
      </c>
      <c r="U128">
        <v>59395792.850000001</v>
      </c>
      <c r="V128">
        <v>0.45016200000000001</v>
      </c>
      <c r="W128">
        <v>0</v>
      </c>
      <c r="Y128" t="s">
        <v>0</v>
      </c>
      <c r="Z128">
        <v>4500</v>
      </c>
      <c r="AA128">
        <v>240</v>
      </c>
      <c r="AB128">
        <v>41</v>
      </c>
      <c r="AC128">
        <v>0</v>
      </c>
      <c r="AD128">
        <v>314240638</v>
      </c>
      <c r="AE128">
        <v>1884156.14</v>
      </c>
      <c r="AF128">
        <v>303620573.38999999</v>
      </c>
      <c r="AG128">
        <v>312356481.86000001</v>
      </c>
      <c r="AH128">
        <v>0.28703699999999999</v>
      </c>
      <c r="AI128">
        <v>0</v>
      </c>
    </row>
    <row r="129" spans="13:35" x14ac:dyDescent="0.35">
      <c r="M129" t="s">
        <v>2</v>
      </c>
      <c r="N129">
        <v>7000</v>
      </c>
      <c r="O129">
        <v>320</v>
      </c>
      <c r="P129">
        <v>423</v>
      </c>
      <c r="Q129">
        <v>0</v>
      </c>
      <c r="R129">
        <v>1053638611</v>
      </c>
      <c r="S129">
        <v>12337619.59</v>
      </c>
      <c r="T129">
        <v>1036346727.51</v>
      </c>
      <c r="U129">
        <v>1041300991.41</v>
      </c>
      <c r="V129">
        <v>5.4988000000000002E-2</v>
      </c>
      <c r="W129">
        <v>0</v>
      </c>
      <c r="Y129" t="s">
        <v>1</v>
      </c>
      <c r="Z129">
        <v>5000</v>
      </c>
      <c r="AA129">
        <v>360</v>
      </c>
      <c r="AB129">
        <v>7</v>
      </c>
      <c r="AC129">
        <v>0</v>
      </c>
      <c r="AD129">
        <v>9428463</v>
      </c>
      <c r="AE129">
        <v>289654</v>
      </c>
      <c r="AF129">
        <v>9138809</v>
      </c>
      <c r="AG129">
        <v>9138809</v>
      </c>
      <c r="AH129">
        <v>0</v>
      </c>
      <c r="AI129">
        <v>0</v>
      </c>
    </row>
    <row r="130" spans="13:35" x14ac:dyDescent="0.35">
      <c r="M130" t="s">
        <v>2</v>
      </c>
      <c r="N130">
        <v>4000</v>
      </c>
      <c r="O130">
        <v>360</v>
      </c>
      <c r="P130">
        <v>4</v>
      </c>
      <c r="Q130">
        <v>0</v>
      </c>
      <c r="R130">
        <v>949556</v>
      </c>
      <c r="S130">
        <v>93431.42</v>
      </c>
      <c r="T130">
        <v>856124.58</v>
      </c>
      <c r="U130">
        <v>856124.58</v>
      </c>
      <c r="V130">
        <v>0</v>
      </c>
      <c r="W130">
        <v>0</v>
      </c>
      <c r="Y130" t="s">
        <v>1</v>
      </c>
      <c r="Z130">
        <v>9000</v>
      </c>
      <c r="AA130">
        <v>320</v>
      </c>
      <c r="AB130">
        <v>39</v>
      </c>
      <c r="AC130">
        <v>0</v>
      </c>
      <c r="AD130">
        <v>61883022</v>
      </c>
      <c r="AE130">
        <v>1020550.82</v>
      </c>
      <c r="AF130">
        <v>60846950.68</v>
      </c>
      <c r="AG130">
        <v>60862471.18</v>
      </c>
      <c r="AH130">
        <v>3.0049999999999999E-3</v>
      </c>
      <c r="AI130">
        <v>0</v>
      </c>
    </row>
    <row r="131" spans="13:35" x14ac:dyDescent="0.35">
      <c r="M131" t="s">
        <v>1</v>
      </c>
      <c r="N131">
        <v>5750</v>
      </c>
      <c r="O131">
        <v>360</v>
      </c>
      <c r="P131">
        <v>11</v>
      </c>
      <c r="Q131">
        <v>0</v>
      </c>
      <c r="R131">
        <v>17553273</v>
      </c>
      <c r="S131">
        <v>470638.91</v>
      </c>
      <c r="T131">
        <v>17082634.09</v>
      </c>
      <c r="U131">
        <v>17082634.09</v>
      </c>
      <c r="V131">
        <v>0</v>
      </c>
      <c r="W131">
        <v>0</v>
      </c>
      <c r="Y131" t="s">
        <v>2</v>
      </c>
      <c r="Z131">
        <v>7000</v>
      </c>
      <c r="AA131">
        <v>320</v>
      </c>
      <c r="AB131">
        <v>434</v>
      </c>
      <c r="AC131">
        <v>0</v>
      </c>
      <c r="AD131">
        <v>1078724679</v>
      </c>
      <c r="AE131">
        <v>12557970.279999999</v>
      </c>
      <c r="AF131">
        <v>1061215069.5</v>
      </c>
      <c r="AG131">
        <v>1066166708.72</v>
      </c>
      <c r="AH131">
        <v>5.3713999999999998E-2</v>
      </c>
      <c r="AI131">
        <v>0</v>
      </c>
    </row>
    <row r="132" spans="13:35" x14ac:dyDescent="0.35">
      <c r="M132" t="s">
        <v>1</v>
      </c>
      <c r="N132">
        <v>6250</v>
      </c>
      <c r="O132">
        <v>360</v>
      </c>
      <c r="P132">
        <v>14</v>
      </c>
      <c r="Q132">
        <v>0</v>
      </c>
      <c r="R132">
        <v>21407526</v>
      </c>
      <c r="S132">
        <v>646106.56000000006</v>
      </c>
      <c r="T132">
        <v>18118980.68</v>
      </c>
      <c r="U132">
        <v>20761419.440000001</v>
      </c>
      <c r="V132">
        <v>0.79421699999999995</v>
      </c>
      <c r="W132">
        <v>0</v>
      </c>
      <c r="Y132" t="s">
        <v>2</v>
      </c>
      <c r="Z132">
        <v>4000</v>
      </c>
      <c r="AA132">
        <v>360</v>
      </c>
      <c r="AB132">
        <v>4</v>
      </c>
      <c r="AC132">
        <v>0</v>
      </c>
      <c r="AD132">
        <v>1048585</v>
      </c>
      <c r="AE132">
        <v>93703.22</v>
      </c>
      <c r="AF132">
        <v>954881.78</v>
      </c>
      <c r="AG132">
        <v>954881.78</v>
      </c>
      <c r="AH132">
        <v>0</v>
      </c>
      <c r="AI132">
        <v>0</v>
      </c>
    </row>
    <row r="133" spans="13:35" x14ac:dyDescent="0.35">
      <c r="M133" t="s">
        <v>2</v>
      </c>
      <c r="N133">
        <v>5500</v>
      </c>
      <c r="O133">
        <v>240</v>
      </c>
      <c r="P133">
        <v>451</v>
      </c>
      <c r="Q133">
        <v>0</v>
      </c>
      <c r="R133">
        <v>2664772800</v>
      </c>
      <c r="S133">
        <v>14480466.210000001</v>
      </c>
      <c r="T133">
        <v>2637347233.46</v>
      </c>
      <c r="U133">
        <v>2650292333.79</v>
      </c>
      <c r="V133">
        <v>5.6762E-2</v>
      </c>
      <c r="W133">
        <v>0</v>
      </c>
      <c r="Y133" t="s">
        <v>1</v>
      </c>
      <c r="Z133">
        <v>5750</v>
      </c>
      <c r="AA133">
        <v>360</v>
      </c>
      <c r="AB133">
        <v>10</v>
      </c>
      <c r="AC133">
        <v>0</v>
      </c>
      <c r="AD133">
        <v>16000259</v>
      </c>
      <c r="AE133">
        <v>422773.34</v>
      </c>
      <c r="AF133">
        <v>15577485.66</v>
      </c>
      <c r="AG133">
        <v>15577485.66</v>
      </c>
      <c r="AH133">
        <v>0</v>
      </c>
      <c r="AI133">
        <v>0</v>
      </c>
    </row>
    <row r="134" spans="13:35" x14ac:dyDescent="0.35">
      <c r="M134" t="s">
        <v>2</v>
      </c>
      <c r="N134">
        <v>6000</v>
      </c>
      <c r="O134">
        <v>240</v>
      </c>
      <c r="P134">
        <v>643</v>
      </c>
      <c r="Q134">
        <v>0</v>
      </c>
      <c r="R134">
        <v>3681927911</v>
      </c>
      <c r="S134">
        <v>19297247.120000001</v>
      </c>
      <c r="T134">
        <v>3644023727.8699999</v>
      </c>
      <c r="U134">
        <v>3662630663.8800001</v>
      </c>
      <c r="V134">
        <v>5.8985999999999997E-2</v>
      </c>
      <c r="W134">
        <v>0</v>
      </c>
      <c r="Y134" t="s">
        <v>1</v>
      </c>
      <c r="Z134">
        <v>6250</v>
      </c>
      <c r="AA134">
        <v>360</v>
      </c>
      <c r="AB134">
        <v>12</v>
      </c>
      <c r="AC134">
        <v>0</v>
      </c>
      <c r="AD134">
        <v>17154568</v>
      </c>
      <c r="AE134">
        <v>533132.68999999994</v>
      </c>
      <c r="AF134">
        <v>16621435.310000001</v>
      </c>
      <c r="AG134">
        <v>16621435.310000001</v>
      </c>
      <c r="AH134">
        <v>0</v>
      </c>
      <c r="AI134">
        <v>0</v>
      </c>
    </row>
    <row r="135" spans="13:35" x14ac:dyDescent="0.35">
      <c r="M135" t="s">
        <v>2</v>
      </c>
      <c r="N135">
        <v>5500</v>
      </c>
      <c r="O135">
        <v>320</v>
      </c>
      <c r="P135">
        <v>719</v>
      </c>
      <c r="Q135">
        <v>0</v>
      </c>
      <c r="R135">
        <v>2700920541</v>
      </c>
      <c r="S135">
        <v>21559689.43</v>
      </c>
      <c r="T135">
        <v>2666249470.3800001</v>
      </c>
      <c r="U135">
        <v>2679360851.5700002</v>
      </c>
      <c r="V135">
        <v>5.6723000000000003E-2</v>
      </c>
      <c r="W135">
        <v>0</v>
      </c>
      <c r="Y135" t="s">
        <v>0</v>
      </c>
      <c r="Z135">
        <v>7750</v>
      </c>
      <c r="AA135">
        <v>320</v>
      </c>
      <c r="AB135">
        <v>992</v>
      </c>
      <c r="AC135">
        <v>0</v>
      </c>
      <c r="AD135">
        <v>2179137249</v>
      </c>
      <c r="AE135">
        <v>29701028.550000001</v>
      </c>
      <c r="AF135">
        <v>2133393073.96</v>
      </c>
      <c r="AG135">
        <v>2144716653.75</v>
      </c>
      <c r="AH135">
        <v>8.4855E-2</v>
      </c>
      <c r="AI135">
        <v>2.5682E-2</v>
      </c>
    </row>
    <row r="136" spans="13:35" x14ac:dyDescent="0.35">
      <c r="M136" t="s">
        <v>0</v>
      </c>
      <c r="N136">
        <v>7500</v>
      </c>
      <c r="O136">
        <v>216</v>
      </c>
      <c r="P136">
        <v>629</v>
      </c>
      <c r="Q136">
        <v>0</v>
      </c>
      <c r="R136">
        <v>2935738547</v>
      </c>
      <c r="S136">
        <v>11916992.84</v>
      </c>
      <c r="T136">
        <v>2891374075.2600002</v>
      </c>
      <c r="U136">
        <v>2919340877.52</v>
      </c>
      <c r="V136">
        <v>0.124858</v>
      </c>
      <c r="W136">
        <v>1.8162000000000001E-2</v>
      </c>
      <c r="Y136" t="s">
        <v>2</v>
      </c>
      <c r="Z136">
        <v>5500</v>
      </c>
      <c r="AA136">
        <v>240</v>
      </c>
      <c r="AB136">
        <v>388</v>
      </c>
      <c r="AC136">
        <v>0</v>
      </c>
      <c r="AD136">
        <v>2245900618</v>
      </c>
      <c r="AE136">
        <v>12415272.85</v>
      </c>
      <c r="AF136">
        <v>2223088245.52</v>
      </c>
      <c r="AG136">
        <v>2233485345.1500001</v>
      </c>
      <c r="AH136">
        <v>5.416E-2</v>
      </c>
      <c r="AI136">
        <v>0</v>
      </c>
    </row>
    <row r="137" spans="13:35" x14ac:dyDescent="0.35">
      <c r="M137" t="s">
        <v>3</v>
      </c>
      <c r="N137">
        <v>4500</v>
      </c>
      <c r="O137">
        <v>216</v>
      </c>
      <c r="P137">
        <v>3</v>
      </c>
      <c r="Q137">
        <v>0</v>
      </c>
      <c r="R137">
        <v>23762354</v>
      </c>
      <c r="S137">
        <v>108977.71</v>
      </c>
      <c r="T137">
        <v>23653376.289999999</v>
      </c>
      <c r="U137">
        <v>23653376.289999999</v>
      </c>
      <c r="V137">
        <v>0</v>
      </c>
      <c r="W137">
        <v>0</v>
      </c>
      <c r="Y137" t="s">
        <v>2</v>
      </c>
      <c r="Z137">
        <v>6000</v>
      </c>
      <c r="AA137">
        <v>240</v>
      </c>
      <c r="AB137">
        <v>564</v>
      </c>
      <c r="AC137">
        <v>0</v>
      </c>
      <c r="AD137">
        <v>3202683957</v>
      </c>
      <c r="AE137">
        <v>16960390.890000001</v>
      </c>
      <c r="AF137">
        <v>3168498607.3099999</v>
      </c>
      <c r="AG137">
        <v>3181123585.1300001</v>
      </c>
      <c r="AH137">
        <v>6.2663999999999997E-2</v>
      </c>
      <c r="AI137">
        <v>1.7100000000000001E-2</v>
      </c>
    </row>
    <row r="138" spans="13:35" x14ac:dyDescent="0.35">
      <c r="M138" t="s">
        <v>0</v>
      </c>
      <c r="N138">
        <v>4500</v>
      </c>
      <c r="O138">
        <v>216</v>
      </c>
      <c r="P138">
        <v>6543</v>
      </c>
      <c r="Q138">
        <v>0</v>
      </c>
      <c r="R138">
        <v>61314207544</v>
      </c>
      <c r="S138">
        <v>282284083.56999999</v>
      </c>
      <c r="T138">
        <v>60771381947.059998</v>
      </c>
      <c r="U138">
        <v>61022769709.080002</v>
      </c>
      <c r="V138">
        <v>4.9815999999999999E-2</v>
      </c>
      <c r="W138">
        <v>1.7899999999999999E-3</v>
      </c>
      <c r="Y138" t="s">
        <v>2</v>
      </c>
      <c r="Z138">
        <v>5500</v>
      </c>
      <c r="AA138">
        <v>320</v>
      </c>
      <c r="AB138">
        <v>701</v>
      </c>
      <c r="AC138">
        <v>0</v>
      </c>
      <c r="AD138">
        <v>2637536545</v>
      </c>
      <c r="AE138">
        <v>20952637.43</v>
      </c>
      <c r="AF138">
        <v>2612266479.54</v>
      </c>
      <c r="AG138">
        <v>2616583907.5700002</v>
      </c>
      <c r="AH138">
        <v>1.9467000000000002E-2</v>
      </c>
      <c r="AI138">
        <v>0</v>
      </c>
    </row>
    <row r="139" spans="13:35" x14ac:dyDescent="0.35">
      <c r="M139" t="s">
        <v>1</v>
      </c>
      <c r="N139">
        <v>4500</v>
      </c>
      <c r="O139">
        <v>216</v>
      </c>
      <c r="P139">
        <v>1587</v>
      </c>
      <c r="Q139">
        <v>0</v>
      </c>
      <c r="R139">
        <v>14749050799</v>
      </c>
      <c r="S139">
        <v>68287321.480000004</v>
      </c>
      <c r="T139">
        <v>14649982961.309999</v>
      </c>
      <c r="U139">
        <v>14670565136.42</v>
      </c>
      <c r="V139">
        <v>2.4757999999999999E-2</v>
      </c>
      <c r="W139">
        <v>8.2660000000000008E-3</v>
      </c>
      <c r="Y139" t="s">
        <v>0</v>
      </c>
      <c r="Z139">
        <v>7500</v>
      </c>
      <c r="AA139">
        <v>216</v>
      </c>
      <c r="AB139">
        <v>652</v>
      </c>
      <c r="AC139">
        <v>0</v>
      </c>
      <c r="AD139">
        <v>3062168054</v>
      </c>
      <c r="AE139">
        <v>12326732.4</v>
      </c>
      <c r="AF139">
        <v>3024290717.75</v>
      </c>
      <c r="AG139">
        <v>3040218596.9200001</v>
      </c>
      <c r="AH139">
        <v>9.5658000000000007E-2</v>
      </c>
      <c r="AI139">
        <v>3.7064E-2</v>
      </c>
    </row>
    <row r="140" spans="13:35" x14ac:dyDescent="0.35">
      <c r="M140" t="s">
        <v>2</v>
      </c>
      <c r="N140">
        <v>4500</v>
      </c>
      <c r="O140">
        <v>216</v>
      </c>
      <c r="P140">
        <v>661</v>
      </c>
      <c r="Q140">
        <v>0</v>
      </c>
      <c r="R140">
        <v>4984406332</v>
      </c>
      <c r="S140">
        <v>22802818.219999999</v>
      </c>
      <c r="T140">
        <v>4947727908.1099997</v>
      </c>
      <c r="U140">
        <v>4961603513.7799997</v>
      </c>
      <c r="V140">
        <v>3.2898999999999998E-2</v>
      </c>
      <c r="W140">
        <v>0</v>
      </c>
      <c r="Y140" t="s">
        <v>3</v>
      </c>
      <c r="Z140">
        <v>4500</v>
      </c>
      <c r="AA140">
        <v>216</v>
      </c>
      <c r="AB140">
        <v>3</v>
      </c>
      <c r="AC140">
        <v>0</v>
      </c>
      <c r="AD140">
        <v>23913354</v>
      </c>
      <c r="AE140">
        <v>108744.08</v>
      </c>
      <c r="AF140">
        <v>23804609.920000002</v>
      </c>
      <c r="AG140">
        <v>23804609.920000002</v>
      </c>
      <c r="AH140">
        <v>0</v>
      </c>
      <c r="AI140">
        <v>0</v>
      </c>
    </row>
    <row r="141" spans="13:35" x14ac:dyDescent="0.35">
      <c r="M141" t="s">
        <v>3</v>
      </c>
      <c r="N141">
        <v>5000</v>
      </c>
      <c r="O141">
        <v>216</v>
      </c>
      <c r="P141">
        <v>125</v>
      </c>
      <c r="Q141">
        <v>0</v>
      </c>
      <c r="R141">
        <v>1271353979</v>
      </c>
      <c r="S141">
        <v>5588159.7999999998</v>
      </c>
      <c r="T141">
        <v>1245636574.28</v>
      </c>
      <c r="U141">
        <v>1250463819.8199999</v>
      </c>
      <c r="V141">
        <v>0.174293</v>
      </c>
      <c r="W141">
        <v>0.135244</v>
      </c>
      <c r="Y141" t="s">
        <v>0</v>
      </c>
      <c r="Z141">
        <v>4500</v>
      </c>
      <c r="AA141">
        <v>216</v>
      </c>
      <c r="AB141">
        <v>6459</v>
      </c>
      <c r="AC141">
        <v>0</v>
      </c>
      <c r="AD141">
        <v>60789433643</v>
      </c>
      <c r="AE141">
        <v>277929211.05000001</v>
      </c>
      <c r="AF141">
        <v>60143655823.599998</v>
      </c>
      <c r="AG141">
        <v>60477690598.529999</v>
      </c>
      <c r="AH141">
        <v>7.0246000000000003E-2</v>
      </c>
      <c r="AI141">
        <v>6.6550000000000003E-3</v>
      </c>
    </row>
    <row r="142" spans="13:35" x14ac:dyDescent="0.35">
      <c r="M142" t="s">
        <v>3</v>
      </c>
      <c r="N142">
        <v>5500</v>
      </c>
      <c r="O142">
        <v>216</v>
      </c>
      <c r="P142">
        <v>164</v>
      </c>
      <c r="Q142">
        <v>0</v>
      </c>
      <c r="R142">
        <v>1403434909</v>
      </c>
      <c r="S142">
        <v>5960610.1900000004</v>
      </c>
      <c r="T142">
        <v>1396180995.98</v>
      </c>
      <c r="U142">
        <v>1397474298.8099999</v>
      </c>
      <c r="V142">
        <v>1.1002E-2</v>
      </c>
      <c r="W142">
        <v>0</v>
      </c>
      <c r="Y142" t="s">
        <v>1</v>
      </c>
      <c r="Z142">
        <v>4500</v>
      </c>
      <c r="AA142">
        <v>216</v>
      </c>
      <c r="AB142">
        <v>1568</v>
      </c>
      <c r="AC142">
        <v>0</v>
      </c>
      <c r="AD142">
        <v>14693587997</v>
      </c>
      <c r="AE142">
        <v>67564673.459999993</v>
      </c>
      <c r="AF142">
        <v>14524095924.469999</v>
      </c>
      <c r="AG142">
        <v>14622389190</v>
      </c>
      <c r="AH142">
        <v>8.0139000000000002E-2</v>
      </c>
      <c r="AI142">
        <v>2.9640000000000001E-3</v>
      </c>
    </row>
    <row r="143" spans="13:35" x14ac:dyDescent="0.35">
      <c r="M143" t="s">
        <v>0</v>
      </c>
      <c r="N143">
        <v>4000</v>
      </c>
      <c r="O143">
        <v>216</v>
      </c>
      <c r="P143">
        <v>125</v>
      </c>
      <c r="Q143">
        <v>0</v>
      </c>
      <c r="R143">
        <v>1080783101</v>
      </c>
      <c r="S143">
        <v>5148412.9400000004</v>
      </c>
      <c r="T143">
        <v>1075634688.0599999</v>
      </c>
      <c r="U143">
        <v>1075634688.0599999</v>
      </c>
      <c r="V143">
        <v>0</v>
      </c>
      <c r="W143">
        <v>0</v>
      </c>
      <c r="Y143" t="s">
        <v>2</v>
      </c>
      <c r="Z143">
        <v>4500</v>
      </c>
      <c r="AA143">
        <v>216</v>
      </c>
      <c r="AB143">
        <v>630</v>
      </c>
      <c r="AC143">
        <v>0</v>
      </c>
      <c r="AD143">
        <v>4783698363</v>
      </c>
      <c r="AE143">
        <v>21769152.710000001</v>
      </c>
      <c r="AF143">
        <v>4738316221.4700003</v>
      </c>
      <c r="AG143">
        <v>4761929210.29</v>
      </c>
      <c r="AH143">
        <v>5.7652000000000002E-2</v>
      </c>
      <c r="AI143">
        <v>0</v>
      </c>
    </row>
    <row r="144" spans="13:35" x14ac:dyDescent="0.35">
      <c r="M144" t="s">
        <v>0</v>
      </c>
      <c r="N144">
        <v>7500</v>
      </c>
      <c r="O144">
        <v>240</v>
      </c>
      <c r="P144">
        <v>958</v>
      </c>
      <c r="Q144">
        <v>0</v>
      </c>
      <c r="R144">
        <v>4277435693</v>
      </c>
      <c r="S144">
        <v>20721263.59</v>
      </c>
      <c r="T144">
        <v>4224785767.8899999</v>
      </c>
      <c r="U144">
        <v>4251584443.9699998</v>
      </c>
      <c r="V144">
        <v>8.5986000000000007E-2</v>
      </c>
      <c r="W144">
        <v>1.4297000000000001E-2</v>
      </c>
      <c r="Y144" t="s">
        <v>3</v>
      </c>
      <c r="Z144">
        <v>5000</v>
      </c>
      <c r="AA144">
        <v>216</v>
      </c>
      <c r="AB144">
        <v>122</v>
      </c>
      <c r="AC144">
        <v>0</v>
      </c>
      <c r="AD144">
        <v>1250185716</v>
      </c>
      <c r="AE144">
        <v>5457773.4900000002</v>
      </c>
      <c r="AF144">
        <v>1237446510.5599999</v>
      </c>
      <c r="AG144">
        <v>1244727942.51</v>
      </c>
      <c r="AH144">
        <v>6.7695000000000005E-2</v>
      </c>
      <c r="AI144">
        <v>0</v>
      </c>
    </row>
    <row r="145" spans="13:35" x14ac:dyDescent="0.35">
      <c r="M145" t="s">
        <v>0</v>
      </c>
      <c r="N145">
        <v>5750</v>
      </c>
      <c r="O145">
        <v>320</v>
      </c>
      <c r="P145">
        <v>9082</v>
      </c>
      <c r="Q145">
        <v>0</v>
      </c>
      <c r="R145">
        <v>37690126167</v>
      </c>
      <c r="S145">
        <v>302843869.08999997</v>
      </c>
      <c r="T145">
        <v>37172667987.900002</v>
      </c>
      <c r="U145">
        <v>37367303615.489998</v>
      </c>
      <c r="V145">
        <v>6.6229999999999997E-2</v>
      </c>
      <c r="W145">
        <v>6.3420000000000004E-3</v>
      </c>
      <c r="Y145" t="s">
        <v>3</v>
      </c>
      <c r="Z145">
        <v>5500</v>
      </c>
      <c r="AA145">
        <v>216</v>
      </c>
      <c r="AB145">
        <v>163</v>
      </c>
      <c r="AC145">
        <v>0</v>
      </c>
      <c r="AD145">
        <v>1410395221</v>
      </c>
      <c r="AE145">
        <v>5961888.6799999997</v>
      </c>
      <c r="AF145">
        <v>1404433332.3199999</v>
      </c>
      <c r="AG145">
        <v>1404433332.3199999</v>
      </c>
      <c r="AH145">
        <v>0</v>
      </c>
      <c r="AI145">
        <v>0</v>
      </c>
    </row>
    <row r="146" spans="13:35" x14ac:dyDescent="0.35">
      <c r="M146" t="s">
        <v>2</v>
      </c>
      <c r="N146">
        <v>6750</v>
      </c>
      <c r="O146">
        <v>320</v>
      </c>
      <c r="P146">
        <v>399</v>
      </c>
      <c r="Q146">
        <v>0</v>
      </c>
      <c r="R146">
        <v>1154345552</v>
      </c>
      <c r="S146">
        <v>9059089.0099999998</v>
      </c>
      <c r="T146">
        <v>1131978246.53</v>
      </c>
      <c r="U146">
        <v>1141946786.1400001</v>
      </c>
      <c r="V146">
        <v>0.12990199999999999</v>
      </c>
      <c r="W146">
        <v>3.4169999999999999E-2</v>
      </c>
      <c r="Y146" t="s">
        <v>0</v>
      </c>
      <c r="Z146">
        <v>4000</v>
      </c>
      <c r="AA146">
        <v>216</v>
      </c>
      <c r="AB146">
        <v>124</v>
      </c>
      <c r="AC146">
        <v>0</v>
      </c>
      <c r="AD146">
        <v>1088313536</v>
      </c>
      <c r="AE146">
        <v>5143492.5999999996</v>
      </c>
      <c r="AF146">
        <v>1069201233.05</v>
      </c>
      <c r="AG146">
        <v>1083170043.4000001</v>
      </c>
      <c r="AH146">
        <v>0.14360200000000001</v>
      </c>
      <c r="AI146">
        <v>0</v>
      </c>
    </row>
    <row r="147" spans="13:35" x14ac:dyDescent="0.35">
      <c r="M147" t="s">
        <v>0</v>
      </c>
      <c r="N147">
        <v>4750</v>
      </c>
      <c r="O147">
        <v>360</v>
      </c>
      <c r="P147">
        <v>4</v>
      </c>
      <c r="Q147">
        <v>0</v>
      </c>
      <c r="R147">
        <v>2842823</v>
      </c>
      <c r="S147">
        <v>75290.13</v>
      </c>
      <c r="T147">
        <v>2767532.87</v>
      </c>
      <c r="U147">
        <v>2767532.87</v>
      </c>
      <c r="V147">
        <v>0</v>
      </c>
      <c r="W147">
        <v>0</v>
      </c>
      <c r="Y147" t="s">
        <v>0</v>
      </c>
      <c r="Z147">
        <v>7500</v>
      </c>
      <c r="AA147">
        <v>240</v>
      </c>
      <c r="AB147">
        <v>947</v>
      </c>
      <c r="AC147">
        <v>0</v>
      </c>
      <c r="AD147">
        <v>4258319842</v>
      </c>
      <c r="AE147">
        <v>20445701.510000002</v>
      </c>
      <c r="AF147">
        <v>4211619894.5599999</v>
      </c>
      <c r="AG147">
        <v>4223464999.9899998</v>
      </c>
      <c r="AH147">
        <v>7.1526999999999993E-2</v>
      </c>
      <c r="AI147">
        <v>3.9857999999999998E-2</v>
      </c>
    </row>
    <row r="148" spans="13:35" x14ac:dyDescent="0.35">
      <c r="M148" t="s">
        <v>2</v>
      </c>
      <c r="N148">
        <v>3000</v>
      </c>
      <c r="O148">
        <v>320</v>
      </c>
      <c r="P148">
        <v>59</v>
      </c>
      <c r="Q148">
        <v>0</v>
      </c>
      <c r="R148">
        <v>120494501</v>
      </c>
      <c r="S148">
        <v>1175907.06</v>
      </c>
      <c r="T148">
        <v>118649129.22</v>
      </c>
      <c r="U148">
        <v>119318593.94</v>
      </c>
      <c r="V148">
        <v>6.4671999999999993E-2</v>
      </c>
      <c r="W148">
        <v>0</v>
      </c>
      <c r="Y148" t="s">
        <v>2</v>
      </c>
      <c r="Z148">
        <v>6750</v>
      </c>
      <c r="AA148">
        <v>320</v>
      </c>
      <c r="AB148">
        <v>384</v>
      </c>
      <c r="AC148">
        <v>0</v>
      </c>
      <c r="AD148">
        <v>1114407842</v>
      </c>
      <c r="AE148">
        <v>8732879.5099999998</v>
      </c>
      <c r="AF148">
        <v>1103923537.2</v>
      </c>
      <c r="AG148">
        <v>1105674962.49</v>
      </c>
      <c r="AH148">
        <v>1.8696999999999998E-2</v>
      </c>
      <c r="AI148">
        <v>0</v>
      </c>
    </row>
    <row r="149" spans="13:35" x14ac:dyDescent="0.35">
      <c r="M149" t="s">
        <v>2</v>
      </c>
      <c r="N149">
        <v>3000</v>
      </c>
      <c r="O149">
        <v>360</v>
      </c>
      <c r="P149">
        <v>2</v>
      </c>
      <c r="Q149">
        <v>0</v>
      </c>
      <c r="R149">
        <v>1802545</v>
      </c>
      <c r="S149">
        <v>45811.93</v>
      </c>
      <c r="T149">
        <v>1756733.07</v>
      </c>
      <c r="U149">
        <v>1756733.07</v>
      </c>
      <c r="V149">
        <v>0</v>
      </c>
      <c r="W149">
        <v>0</v>
      </c>
      <c r="Y149" t="s">
        <v>0</v>
      </c>
      <c r="Z149">
        <v>4750</v>
      </c>
      <c r="AA149">
        <v>360</v>
      </c>
      <c r="AB149">
        <v>4</v>
      </c>
      <c r="AC149">
        <v>0</v>
      </c>
      <c r="AD149">
        <v>2958104</v>
      </c>
      <c r="AE149">
        <v>76026.19</v>
      </c>
      <c r="AF149">
        <v>2882077.81</v>
      </c>
      <c r="AG149">
        <v>2882077.81</v>
      </c>
      <c r="AH149">
        <v>0</v>
      </c>
      <c r="AI149">
        <v>0</v>
      </c>
    </row>
    <row r="150" spans="13:35" x14ac:dyDescent="0.35">
      <c r="M150" t="s">
        <v>0</v>
      </c>
      <c r="N150">
        <v>3000</v>
      </c>
      <c r="O150">
        <v>320</v>
      </c>
      <c r="P150">
        <v>36</v>
      </c>
      <c r="Q150">
        <v>0</v>
      </c>
      <c r="R150">
        <v>96688295</v>
      </c>
      <c r="S150">
        <v>917683.33</v>
      </c>
      <c r="T150">
        <v>95770611.670000002</v>
      </c>
      <c r="U150">
        <v>95770611.670000002</v>
      </c>
      <c r="V150">
        <v>0</v>
      </c>
      <c r="W150">
        <v>0</v>
      </c>
      <c r="Y150" t="s">
        <v>2</v>
      </c>
      <c r="Z150">
        <v>3000</v>
      </c>
      <c r="AA150">
        <v>320</v>
      </c>
      <c r="AB150">
        <v>61</v>
      </c>
      <c r="AC150">
        <v>0</v>
      </c>
      <c r="AD150">
        <v>124115932</v>
      </c>
      <c r="AE150">
        <v>1205296.23</v>
      </c>
      <c r="AF150">
        <v>121330970.89</v>
      </c>
      <c r="AG150">
        <v>122910635.77</v>
      </c>
      <c r="AH150">
        <v>0.14247799999999999</v>
      </c>
      <c r="AI150">
        <v>0</v>
      </c>
    </row>
    <row r="151" spans="13:35" x14ac:dyDescent="0.35">
      <c r="M151" t="s">
        <v>0</v>
      </c>
      <c r="N151">
        <v>7750</v>
      </c>
      <c r="O151">
        <v>320</v>
      </c>
      <c r="P151">
        <v>940</v>
      </c>
      <c r="Q151">
        <v>0</v>
      </c>
      <c r="R151">
        <v>2068360002</v>
      </c>
      <c r="S151">
        <v>28266438.030000001</v>
      </c>
      <c r="T151">
        <v>2032027424.1500001</v>
      </c>
      <c r="U151">
        <v>2036747846.1199999</v>
      </c>
      <c r="V151">
        <v>4.5805999999999999E-2</v>
      </c>
      <c r="W151">
        <v>1.9238999999999999E-2</v>
      </c>
      <c r="Y151" t="s">
        <v>2</v>
      </c>
      <c r="Z151">
        <v>3000</v>
      </c>
      <c r="AA151">
        <v>360</v>
      </c>
      <c r="AB151">
        <v>1</v>
      </c>
      <c r="AC151">
        <v>0</v>
      </c>
      <c r="AD151">
        <v>1292789</v>
      </c>
      <c r="AE151">
        <v>32477.91</v>
      </c>
      <c r="AF151">
        <v>1260311.0900000001</v>
      </c>
      <c r="AG151">
        <v>1260311.0900000001</v>
      </c>
      <c r="AH151">
        <v>0</v>
      </c>
      <c r="AI151">
        <v>0</v>
      </c>
    </row>
    <row r="152" spans="13:35" x14ac:dyDescent="0.35">
      <c r="M152" t="s">
        <v>0</v>
      </c>
      <c r="N152">
        <v>3000</v>
      </c>
      <c r="O152">
        <v>360</v>
      </c>
      <c r="P152">
        <v>4</v>
      </c>
      <c r="Q152">
        <v>0</v>
      </c>
      <c r="R152">
        <v>4048785</v>
      </c>
      <c r="S152">
        <v>102218.03</v>
      </c>
      <c r="T152">
        <v>3946566.97</v>
      </c>
      <c r="U152">
        <v>3946566.97</v>
      </c>
      <c r="V152">
        <v>0</v>
      </c>
      <c r="W152">
        <v>0</v>
      </c>
      <c r="Y152" t="s">
        <v>0</v>
      </c>
      <c r="Z152">
        <v>3000</v>
      </c>
      <c r="AA152">
        <v>320</v>
      </c>
      <c r="AB152">
        <v>36</v>
      </c>
      <c r="AC152">
        <v>0</v>
      </c>
      <c r="AD152">
        <v>97918724</v>
      </c>
      <c r="AE152">
        <v>918865.02</v>
      </c>
      <c r="AF152">
        <v>96999858.980000004</v>
      </c>
      <c r="AG152">
        <v>96999858.980000004</v>
      </c>
      <c r="AH152">
        <v>0</v>
      </c>
      <c r="AI152">
        <v>0</v>
      </c>
    </row>
    <row r="153" spans="13:35" x14ac:dyDescent="0.35">
      <c r="M153" t="s">
        <v>2</v>
      </c>
      <c r="N153">
        <v>7250</v>
      </c>
      <c r="O153">
        <v>320</v>
      </c>
      <c r="P153">
        <v>107</v>
      </c>
      <c r="Q153">
        <v>0</v>
      </c>
      <c r="R153">
        <v>215391317</v>
      </c>
      <c r="S153">
        <v>2709447.62</v>
      </c>
      <c r="T153">
        <v>212651314.84</v>
      </c>
      <c r="U153">
        <v>212681869.38</v>
      </c>
      <c r="V153">
        <v>1.701E-3</v>
      </c>
      <c r="W153">
        <v>0</v>
      </c>
      <c r="Y153" t="s">
        <v>0</v>
      </c>
      <c r="Z153">
        <v>3000</v>
      </c>
      <c r="AA153">
        <v>360</v>
      </c>
      <c r="AB153">
        <v>4</v>
      </c>
      <c r="AC153">
        <v>0</v>
      </c>
      <c r="AD153">
        <v>4168920</v>
      </c>
      <c r="AE153">
        <v>102412.17</v>
      </c>
      <c r="AF153">
        <v>4066507.83</v>
      </c>
      <c r="AG153">
        <v>4066507.83</v>
      </c>
      <c r="AH153">
        <v>0</v>
      </c>
      <c r="AI153">
        <v>0</v>
      </c>
    </row>
    <row r="154" spans="13:35" x14ac:dyDescent="0.35">
      <c r="M154" t="s">
        <v>1</v>
      </c>
      <c r="N154">
        <v>7250</v>
      </c>
      <c r="O154">
        <v>320</v>
      </c>
      <c r="P154">
        <v>194</v>
      </c>
      <c r="Q154">
        <v>0</v>
      </c>
      <c r="R154">
        <v>553920650</v>
      </c>
      <c r="S154">
        <v>6886191.5599999996</v>
      </c>
      <c r="T154">
        <v>546154157.29999995</v>
      </c>
      <c r="U154">
        <v>547034458.44000006</v>
      </c>
      <c r="V154">
        <v>1.8905000000000002E-2</v>
      </c>
      <c r="W154">
        <v>0</v>
      </c>
      <c r="Y154" t="s">
        <v>2</v>
      </c>
      <c r="Z154">
        <v>7250</v>
      </c>
      <c r="AA154">
        <v>320</v>
      </c>
      <c r="AB154">
        <v>109</v>
      </c>
      <c r="AC154">
        <v>0</v>
      </c>
      <c r="AD154">
        <v>222757590</v>
      </c>
      <c r="AE154">
        <v>2782103.64</v>
      </c>
      <c r="AF154">
        <v>218562204.94999999</v>
      </c>
      <c r="AG154">
        <v>219975486.36000001</v>
      </c>
      <c r="AH154">
        <v>7.3533000000000001E-2</v>
      </c>
      <c r="AI154">
        <v>0</v>
      </c>
    </row>
    <row r="155" spans="13:35" x14ac:dyDescent="0.35">
      <c r="M155" t="s">
        <v>1</v>
      </c>
      <c r="N155">
        <v>5750</v>
      </c>
      <c r="O155">
        <v>320</v>
      </c>
      <c r="P155">
        <v>1884</v>
      </c>
      <c r="Q155">
        <v>0</v>
      </c>
      <c r="R155">
        <v>9108742518</v>
      </c>
      <c r="S155">
        <v>71864611.489999995</v>
      </c>
      <c r="T155">
        <v>8990361138.7299995</v>
      </c>
      <c r="U155">
        <v>9036877906.5100002</v>
      </c>
      <c r="V155">
        <v>5.9589999999999997E-2</v>
      </c>
      <c r="W155">
        <v>0</v>
      </c>
      <c r="Y155" t="s">
        <v>1</v>
      </c>
      <c r="Z155">
        <v>7250</v>
      </c>
      <c r="AA155">
        <v>320</v>
      </c>
      <c r="AB155">
        <v>209</v>
      </c>
      <c r="AC155">
        <v>0</v>
      </c>
      <c r="AD155">
        <v>591637943</v>
      </c>
      <c r="AE155">
        <v>7402862.7000000002</v>
      </c>
      <c r="AF155">
        <v>573371929.60000002</v>
      </c>
      <c r="AG155">
        <v>584235080.29999995</v>
      </c>
      <c r="AH155">
        <v>0.19939000000000001</v>
      </c>
      <c r="AI155">
        <v>0</v>
      </c>
    </row>
    <row r="156" spans="13:35" x14ac:dyDescent="0.35">
      <c r="M156" t="s">
        <v>3</v>
      </c>
      <c r="N156">
        <v>6000</v>
      </c>
      <c r="O156">
        <v>320</v>
      </c>
      <c r="P156">
        <v>45</v>
      </c>
      <c r="Q156">
        <v>0</v>
      </c>
      <c r="R156">
        <v>228081887</v>
      </c>
      <c r="S156">
        <v>1624442.87</v>
      </c>
      <c r="T156">
        <v>226457444.13</v>
      </c>
      <c r="U156">
        <v>226457444.13</v>
      </c>
      <c r="V156">
        <v>0</v>
      </c>
      <c r="W156">
        <v>0</v>
      </c>
      <c r="Y156" t="s">
        <v>1</v>
      </c>
      <c r="Z156">
        <v>5750</v>
      </c>
      <c r="AA156">
        <v>320</v>
      </c>
      <c r="AB156">
        <v>1891</v>
      </c>
      <c r="AC156">
        <v>0</v>
      </c>
      <c r="AD156">
        <v>9183507920</v>
      </c>
      <c r="AE156">
        <v>71744511.219999999</v>
      </c>
      <c r="AF156">
        <v>9032621646.2600002</v>
      </c>
      <c r="AG156">
        <v>9107068170.6800003</v>
      </c>
      <c r="AH156">
        <v>9.8650000000000002E-2</v>
      </c>
      <c r="AI156">
        <v>6.1180000000000002E-3</v>
      </c>
    </row>
    <row r="157" spans="13:35" x14ac:dyDescent="0.35">
      <c r="M157" t="s">
        <v>3</v>
      </c>
      <c r="N157">
        <v>5000</v>
      </c>
      <c r="O157">
        <v>320</v>
      </c>
      <c r="P157">
        <v>4</v>
      </c>
      <c r="Q157">
        <v>0</v>
      </c>
      <c r="R157">
        <v>6822205</v>
      </c>
      <c r="S157">
        <v>56602.17</v>
      </c>
      <c r="T157">
        <v>6765602.8300000001</v>
      </c>
      <c r="U157">
        <v>6765602.8300000001</v>
      </c>
      <c r="V157">
        <v>0</v>
      </c>
      <c r="W157">
        <v>0</v>
      </c>
      <c r="Y157" t="s">
        <v>3</v>
      </c>
      <c r="Z157">
        <v>6000</v>
      </c>
      <c r="AA157">
        <v>320</v>
      </c>
      <c r="AB157">
        <v>42</v>
      </c>
      <c r="AC157">
        <v>0</v>
      </c>
      <c r="AD157">
        <v>201668226</v>
      </c>
      <c r="AE157">
        <v>1445503.89</v>
      </c>
      <c r="AF157">
        <v>200222722.11000001</v>
      </c>
      <c r="AG157">
        <v>200222722.11000001</v>
      </c>
      <c r="AH157">
        <v>0</v>
      </c>
      <c r="AI157">
        <v>0</v>
      </c>
    </row>
    <row r="158" spans="13:35" x14ac:dyDescent="0.35">
      <c r="M158" t="s">
        <v>0</v>
      </c>
      <c r="N158">
        <v>8250</v>
      </c>
      <c r="O158">
        <v>320</v>
      </c>
      <c r="P158">
        <v>444</v>
      </c>
      <c r="Q158">
        <v>0</v>
      </c>
      <c r="R158">
        <v>800580628</v>
      </c>
      <c r="S158">
        <v>13304219.210000001</v>
      </c>
      <c r="T158">
        <v>776935542.42999995</v>
      </c>
      <c r="U158">
        <v>787276408.78999996</v>
      </c>
      <c r="V158">
        <v>0.14445</v>
      </c>
      <c r="W158">
        <v>0</v>
      </c>
      <c r="Y158" t="s">
        <v>3</v>
      </c>
      <c r="Z158">
        <v>5000</v>
      </c>
      <c r="AA158">
        <v>320</v>
      </c>
      <c r="AB158">
        <v>4</v>
      </c>
      <c r="AC158">
        <v>0</v>
      </c>
      <c r="AD158">
        <v>6946082</v>
      </c>
      <c r="AE158">
        <v>56884.76</v>
      </c>
      <c r="AF158">
        <v>6889197.2400000002</v>
      </c>
      <c r="AG158">
        <v>6889197.2400000002</v>
      </c>
      <c r="AH158">
        <v>0</v>
      </c>
      <c r="AI158">
        <v>0</v>
      </c>
    </row>
    <row r="159" spans="13:35" x14ac:dyDescent="0.35">
      <c r="M159" t="s">
        <v>2</v>
      </c>
      <c r="N159">
        <v>5750</v>
      </c>
      <c r="O159">
        <v>360</v>
      </c>
      <c r="P159">
        <v>4</v>
      </c>
      <c r="Q159">
        <v>0</v>
      </c>
      <c r="R159">
        <v>4713887</v>
      </c>
      <c r="S159">
        <v>116110</v>
      </c>
      <c r="T159">
        <v>4597777</v>
      </c>
      <c r="U159">
        <v>4597777</v>
      </c>
      <c r="V159">
        <v>0</v>
      </c>
      <c r="W159">
        <v>0</v>
      </c>
      <c r="Y159" t="s">
        <v>0</v>
      </c>
      <c r="Z159">
        <v>8250</v>
      </c>
      <c r="AA159">
        <v>320</v>
      </c>
      <c r="AB159">
        <v>462</v>
      </c>
      <c r="AC159">
        <v>0</v>
      </c>
      <c r="AD159">
        <v>848193686</v>
      </c>
      <c r="AE159">
        <v>13871838.74</v>
      </c>
      <c r="AF159">
        <v>824949076.17999995</v>
      </c>
      <c r="AG159">
        <v>831596970.89999998</v>
      </c>
      <c r="AH159">
        <v>0.124834</v>
      </c>
      <c r="AI159">
        <v>3.7877000000000001E-2</v>
      </c>
    </row>
    <row r="160" spans="13:35" x14ac:dyDescent="0.35">
      <c r="M160" t="s">
        <v>2</v>
      </c>
      <c r="N160">
        <v>5750</v>
      </c>
      <c r="O160">
        <v>320</v>
      </c>
      <c r="P160">
        <v>553</v>
      </c>
      <c r="Q160">
        <v>0</v>
      </c>
      <c r="R160">
        <v>1991139516</v>
      </c>
      <c r="S160">
        <v>15805986.83</v>
      </c>
      <c r="T160">
        <v>1964237910.9100001</v>
      </c>
      <c r="U160">
        <v>1975333529.1700001</v>
      </c>
      <c r="V160">
        <v>6.4857999999999999E-2</v>
      </c>
      <c r="W160">
        <v>0</v>
      </c>
      <c r="Y160" t="s">
        <v>2</v>
      </c>
      <c r="Z160">
        <v>5750</v>
      </c>
      <c r="AA160">
        <v>360</v>
      </c>
      <c r="AB160">
        <v>4</v>
      </c>
      <c r="AC160">
        <v>0</v>
      </c>
      <c r="AD160">
        <v>4881972</v>
      </c>
      <c r="AE160">
        <v>116833.83</v>
      </c>
      <c r="AF160">
        <v>4765138.17</v>
      </c>
      <c r="AG160">
        <v>4765138.17</v>
      </c>
      <c r="AH160">
        <v>0</v>
      </c>
      <c r="AI160">
        <v>0</v>
      </c>
    </row>
    <row r="161" spans="13:35" x14ac:dyDescent="0.35">
      <c r="M161" t="s">
        <v>0</v>
      </c>
      <c r="N161">
        <v>3500</v>
      </c>
      <c r="O161">
        <v>192</v>
      </c>
      <c r="P161">
        <v>732</v>
      </c>
      <c r="Q161">
        <v>0</v>
      </c>
      <c r="R161">
        <v>6087956280</v>
      </c>
      <c r="S161">
        <v>24385409.170000002</v>
      </c>
      <c r="T161">
        <v>6042689147.6800003</v>
      </c>
      <c r="U161">
        <v>6063570870.8299999</v>
      </c>
      <c r="V161">
        <v>4.0391999999999997E-2</v>
      </c>
      <c r="W161">
        <v>0</v>
      </c>
      <c r="Y161" t="s">
        <v>2</v>
      </c>
      <c r="Z161">
        <v>5750</v>
      </c>
      <c r="AA161">
        <v>320</v>
      </c>
      <c r="AB161">
        <v>556</v>
      </c>
      <c r="AC161">
        <v>0</v>
      </c>
      <c r="AD161">
        <v>2008880899</v>
      </c>
      <c r="AE161">
        <v>15772321.710000001</v>
      </c>
      <c r="AF161">
        <v>1984764611.6900001</v>
      </c>
      <c r="AG161">
        <v>1993108577.29</v>
      </c>
      <c r="AH161">
        <v>4.8718999999999998E-2</v>
      </c>
      <c r="AI161">
        <v>0</v>
      </c>
    </row>
    <row r="162" spans="13:35" x14ac:dyDescent="0.35">
      <c r="M162" t="s">
        <v>2</v>
      </c>
      <c r="N162">
        <v>3500</v>
      </c>
      <c r="O162">
        <v>192</v>
      </c>
      <c r="P162">
        <v>119</v>
      </c>
      <c r="Q162">
        <v>0</v>
      </c>
      <c r="R162">
        <v>1026841396</v>
      </c>
      <c r="S162">
        <v>4110443.1</v>
      </c>
      <c r="T162">
        <v>1015775390.89</v>
      </c>
      <c r="U162">
        <v>1022730952.9</v>
      </c>
      <c r="V162">
        <v>7.8324000000000005E-2</v>
      </c>
      <c r="W162">
        <v>0</v>
      </c>
      <c r="Y162" t="s">
        <v>0</v>
      </c>
      <c r="Z162">
        <v>3500</v>
      </c>
      <c r="AA162">
        <v>192</v>
      </c>
      <c r="AB162">
        <v>521</v>
      </c>
      <c r="AC162">
        <v>0</v>
      </c>
      <c r="AD162">
        <v>4127909660</v>
      </c>
      <c r="AE162">
        <v>16580544.630000001</v>
      </c>
      <c r="AF162">
        <v>4103008030.3600001</v>
      </c>
      <c r="AG162">
        <v>4111329115.3699999</v>
      </c>
      <c r="AH162">
        <v>2.3923E-2</v>
      </c>
      <c r="AI162">
        <v>0</v>
      </c>
    </row>
    <row r="163" spans="13:35" x14ac:dyDescent="0.35">
      <c r="M163" t="s">
        <v>0</v>
      </c>
      <c r="N163">
        <v>3500</v>
      </c>
      <c r="O163">
        <v>320</v>
      </c>
      <c r="P163">
        <v>6</v>
      </c>
      <c r="Q163">
        <v>0</v>
      </c>
      <c r="R163">
        <v>6740979</v>
      </c>
      <c r="S163">
        <v>131604.22</v>
      </c>
      <c r="T163">
        <v>6342217.5300000003</v>
      </c>
      <c r="U163">
        <v>6609374.7800000003</v>
      </c>
      <c r="V163">
        <v>0.38446399999999997</v>
      </c>
      <c r="W163">
        <v>0</v>
      </c>
      <c r="Y163" t="s">
        <v>2</v>
      </c>
      <c r="Z163">
        <v>3500</v>
      </c>
      <c r="AA163">
        <v>192</v>
      </c>
      <c r="AB163">
        <v>80</v>
      </c>
      <c r="AC163">
        <v>0</v>
      </c>
      <c r="AD163">
        <v>706000439</v>
      </c>
      <c r="AE163">
        <v>2831736.74</v>
      </c>
      <c r="AF163">
        <v>703168702.25999999</v>
      </c>
      <c r="AG163">
        <v>703168702.25999999</v>
      </c>
      <c r="AH163">
        <v>0</v>
      </c>
      <c r="AI163">
        <v>0</v>
      </c>
    </row>
    <row r="164" spans="13:35" x14ac:dyDescent="0.35">
      <c r="M164" t="s">
        <v>0</v>
      </c>
      <c r="N164">
        <v>4750</v>
      </c>
      <c r="O164">
        <v>320</v>
      </c>
      <c r="P164">
        <v>286</v>
      </c>
      <c r="Q164">
        <v>0</v>
      </c>
      <c r="R164">
        <v>1307154137</v>
      </c>
      <c r="S164">
        <v>11078957.77</v>
      </c>
      <c r="T164">
        <v>1296075179.23</v>
      </c>
      <c r="U164">
        <v>1296075179.23</v>
      </c>
      <c r="V164">
        <v>0</v>
      </c>
      <c r="W164">
        <v>0</v>
      </c>
      <c r="Y164" t="s">
        <v>0</v>
      </c>
      <c r="Z164">
        <v>3500</v>
      </c>
      <c r="AA164">
        <v>320</v>
      </c>
      <c r="AB164">
        <v>6</v>
      </c>
      <c r="AC164">
        <v>0</v>
      </c>
      <c r="AD164">
        <v>7195620</v>
      </c>
      <c r="AE164">
        <v>137738.04</v>
      </c>
      <c r="AF164">
        <v>7057881.96</v>
      </c>
      <c r="AG164">
        <v>7057881.96</v>
      </c>
      <c r="AH164">
        <v>0</v>
      </c>
      <c r="AI164">
        <v>0</v>
      </c>
    </row>
    <row r="165" spans="13:35" x14ac:dyDescent="0.35">
      <c r="M165" t="s">
        <v>1</v>
      </c>
      <c r="N165">
        <v>6750</v>
      </c>
      <c r="O165">
        <v>320</v>
      </c>
      <c r="P165">
        <v>437</v>
      </c>
      <c r="Q165">
        <v>0</v>
      </c>
      <c r="R165">
        <v>1502343739</v>
      </c>
      <c r="S165">
        <v>15211703.08</v>
      </c>
      <c r="T165">
        <v>1465911828.0699999</v>
      </c>
      <c r="U165">
        <v>1487132035.9200001</v>
      </c>
      <c r="V165">
        <v>0.15692999999999999</v>
      </c>
      <c r="W165">
        <v>0</v>
      </c>
      <c r="Y165" t="s">
        <v>0</v>
      </c>
      <c r="Z165">
        <v>4750</v>
      </c>
      <c r="AA165">
        <v>320</v>
      </c>
      <c r="AB165">
        <v>289</v>
      </c>
      <c r="AC165">
        <v>0</v>
      </c>
      <c r="AD165">
        <v>1322216155</v>
      </c>
      <c r="AE165">
        <v>11094596.630000001</v>
      </c>
      <c r="AF165">
        <v>1302342215.1600001</v>
      </c>
      <c r="AG165">
        <v>1311121558.3699999</v>
      </c>
      <c r="AH165">
        <v>7.6831999999999998E-2</v>
      </c>
      <c r="AI165">
        <v>0</v>
      </c>
    </row>
    <row r="166" spans="13:35" x14ac:dyDescent="0.35">
      <c r="M166" t="s">
        <v>2</v>
      </c>
      <c r="N166">
        <v>7750</v>
      </c>
      <c r="O166">
        <v>320</v>
      </c>
      <c r="P166">
        <v>72</v>
      </c>
      <c r="Q166">
        <v>0</v>
      </c>
      <c r="R166">
        <v>134099319</v>
      </c>
      <c r="S166">
        <v>1750870.43</v>
      </c>
      <c r="T166">
        <v>132348448.56999999</v>
      </c>
      <c r="U166">
        <v>132348448.56999999</v>
      </c>
      <c r="V166">
        <v>0</v>
      </c>
      <c r="W166">
        <v>0</v>
      </c>
      <c r="Y166" t="s">
        <v>1</v>
      </c>
      <c r="Z166">
        <v>6750</v>
      </c>
      <c r="AA166">
        <v>320</v>
      </c>
      <c r="AB166">
        <v>438</v>
      </c>
      <c r="AC166">
        <v>0</v>
      </c>
      <c r="AD166">
        <v>1511466301</v>
      </c>
      <c r="AE166">
        <v>15211879.880000001</v>
      </c>
      <c r="AF166">
        <v>1490668356.49</v>
      </c>
      <c r="AG166">
        <v>1496254421.1199999</v>
      </c>
      <c r="AH166">
        <v>4.3458999999999998E-2</v>
      </c>
      <c r="AI166">
        <v>0</v>
      </c>
    </row>
    <row r="167" spans="13:35" x14ac:dyDescent="0.35">
      <c r="M167" t="s">
        <v>2</v>
      </c>
      <c r="N167">
        <v>20000</v>
      </c>
      <c r="O167">
        <v>320</v>
      </c>
      <c r="P167">
        <v>7</v>
      </c>
      <c r="Q167">
        <v>0</v>
      </c>
      <c r="R167">
        <v>9796259</v>
      </c>
      <c r="S167">
        <v>162070.84</v>
      </c>
      <c r="T167">
        <v>9634188.1600000001</v>
      </c>
      <c r="U167">
        <v>9634188.1600000001</v>
      </c>
      <c r="V167">
        <v>0</v>
      </c>
      <c r="W167">
        <v>0</v>
      </c>
      <c r="Y167" t="s">
        <v>2</v>
      </c>
      <c r="Z167">
        <v>7750</v>
      </c>
      <c r="AA167">
        <v>320</v>
      </c>
      <c r="AB167">
        <v>75</v>
      </c>
      <c r="AC167">
        <v>0</v>
      </c>
      <c r="AD167">
        <v>140867406</v>
      </c>
      <c r="AE167">
        <v>1844373.84</v>
      </c>
      <c r="AF167">
        <v>139023032.16</v>
      </c>
      <c r="AG167">
        <v>139023032.16</v>
      </c>
      <c r="AH167">
        <v>0</v>
      </c>
      <c r="AI167">
        <v>0</v>
      </c>
    </row>
    <row r="168" spans="13:35" x14ac:dyDescent="0.35">
      <c r="M168" t="s">
        <v>1</v>
      </c>
      <c r="N168">
        <v>8250</v>
      </c>
      <c r="O168">
        <v>320</v>
      </c>
      <c r="P168">
        <v>45</v>
      </c>
      <c r="Q168">
        <v>0</v>
      </c>
      <c r="R168">
        <v>94079956</v>
      </c>
      <c r="S168">
        <v>1610780.22</v>
      </c>
      <c r="T168">
        <v>91149918.420000002</v>
      </c>
      <c r="U168">
        <v>92469175.780000001</v>
      </c>
      <c r="V168">
        <v>0.15588299999999999</v>
      </c>
      <c r="W168">
        <v>0</v>
      </c>
      <c r="Y168" t="s">
        <v>2</v>
      </c>
      <c r="Z168">
        <v>20000</v>
      </c>
      <c r="AA168">
        <v>320</v>
      </c>
      <c r="AB168">
        <v>7</v>
      </c>
      <c r="AC168">
        <v>0</v>
      </c>
      <c r="AD168">
        <v>10062474</v>
      </c>
      <c r="AE168">
        <v>162484.12</v>
      </c>
      <c r="AF168">
        <v>9899989.8800000008</v>
      </c>
      <c r="AG168">
        <v>9899989.8800000008</v>
      </c>
      <c r="AH168">
        <v>0</v>
      </c>
      <c r="AI168">
        <v>0</v>
      </c>
    </row>
    <row r="169" spans="13:35" x14ac:dyDescent="0.35">
      <c r="M169" t="s">
        <v>2</v>
      </c>
      <c r="N169">
        <v>8250</v>
      </c>
      <c r="O169">
        <v>320</v>
      </c>
      <c r="P169">
        <v>21</v>
      </c>
      <c r="Q169">
        <v>0</v>
      </c>
      <c r="R169">
        <v>32959009</v>
      </c>
      <c r="S169">
        <v>579198.11</v>
      </c>
      <c r="T169">
        <v>32379810.890000001</v>
      </c>
      <c r="U169">
        <v>32379810.890000001</v>
      </c>
      <c r="V169">
        <v>0</v>
      </c>
      <c r="W169">
        <v>0</v>
      </c>
      <c r="Y169" t="s">
        <v>1</v>
      </c>
      <c r="Z169">
        <v>8250</v>
      </c>
      <c r="AA169">
        <v>320</v>
      </c>
      <c r="AB169">
        <v>47</v>
      </c>
      <c r="AC169">
        <v>0</v>
      </c>
      <c r="AD169">
        <v>99283938</v>
      </c>
      <c r="AE169">
        <v>1676827.67</v>
      </c>
      <c r="AF169">
        <v>97607110.329999998</v>
      </c>
      <c r="AG169">
        <v>97607110.329999998</v>
      </c>
      <c r="AH169">
        <v>0</v>
      </c>
      <c r="AI169">
        <v>0</v>
      </c>
    </row>
    <row r="170" spans="13:35" x14ac:dyDescent="0.35">
      <c r="M170" t="s">
        <v>1</v>
      </c>
      <c r="N170">
        <v>7750</v>
      </c>
      <c r="O170">
        <v>320</v>
      </c>
      <c r="P170">
        <v>60</v>
      </c>
      <c r="Q170">
        <v>0</v>
      </c>
      <c r="R170">
        <v>137417970</v>
      </c>
      <c r="S170">
        <v>2049241.51</v>
      </c>
      <c r="T170">
        <v>135161273.34999999</v>
      </c>
      <c r="U170">
        <v>135368728.49000001</v>
      </c>
      <c r="V170">
        <v>1.7965999999999999E-2</v>
      </c>
      <c r="W170">
        <v>0</v>
      </c>
      <c r="Y170" t="s">
        <v>2</v>
      </c>
      <c r="Z170">
        <v>8250</v>
      </c>
      <c r="AA170">
        <v>320</v>
      </c>
      <c r="AB170">
        <v>22</v>
      </c>
      <c r="AC170">
        <v>0</v>
      </c>
      <c r="AD170">
        <v>35845568</v>
      </c>
      <c r="AE170">
        <v>625027.14</v>
      </c>
      <c r="AF170">
        <v>35220540.859999999</v>
      </c>
      <c r="AG170">
        <v>35220540.859999999</v>
      </c>
      <c r="AH170">
        <v>0</v>
      </c>
      <c r="AI170">
        <v>0</v>
      </c>
    </row>
    <row r="171" spans="13:35" x14ac:dyDescent="0.35">
      <c r="M171" t="s">
        <v>1</v>
      </c>
      <c r="N171">
        <v>4000</v>
      </c>
      <c r="O171">
        <v>168</v>
      </c>
      <c r="P171">
        <v>16378</v>
      </c>
      <c r="Q171">
        <v>0</v>
      </c>
      <c r="R171">
        <v>191871898230</v>
      </c>
      <c r="S171">
        <v>676839685.72000003</v>
      </c>
      <c r="T171">
        <v>190170809476.53</v>
      </c>
      <c r="U171">
        <v>191136671653.59</v>
      </c>
      <c r="V171">
        <v>6.2211000000000002E-2</v>
      </c>
      <c r="W171">
        <v>3.6459999999999999E-3</v>
      </c>
      <c r="Y171" t="s">
        <v>1</v>
      </c>
      <c r="Z171">
        <v>7750</v>
      </c>
      <c r="AA171">
        <v>320</v>
      </c>
      <c r="AB171">
        <v>65</v>
      </c>
      <c r="AC171">
        <v>0</v>
      </c>
      <c r="AD171">
        <v>148440326</v>
      </c>
      <c r="AE171">
        <v>2231574.0699999998</v>
      </c>
      <c r="AF171">
        <v>146208751.93000001</v>
      </c>
      <c r="AG171">
        <v>146208751.93000001</v>
      </c>
      <c r="AH171">
        <v>0</v>
      </c>
      <c r="AI171">
        <v>0</v>
      </c>
    </row>
    <row r="172" spans="13:35" x14ac:dyDescent="0.35">
      <c r="M172" t="s">
        <v>1</v>
      </c>
      <c r="N172">
        <v>3500</v>
      </c>
      <c r="O172">
        <v>168</v>
      </c>
      <c r="P172">
        <v>26713</v>
      </c>
      <c r="Q172">
        <v>0</v>
      </c>
      <c r="R172">
        <v>350279814885</v>
      </c>
      <c r="S172">
        <v>1285000448.9300001</v>
      </c>
      <c r="T172">
        <v>347430033960.42999</v>
      </c>
      <c r="U172">
        <v>348946672240.07001</v>
      </c>
      <c r="V172">
        <v>5.2309000000000001E-2</v>
      </c>
      <c r="W172">
        <v>1.6479999999999999E-3</v>
      </c>
      <c r="Y172" t="s">
        <v>1</v>
      </c>
      <c r="Z172">
        <v>4000</v>
      </c>
      <c r="AA172">
        <v>168</v>
      </c>
      <c r="AB172">
        <v>17756</v>
      </c>
      <c r="AC172">
        <v>0</v>
      </c>
      <c r="AD172">
        <v>207504929985</v>
      </c>
      <c r="AE172">
        <v>732922313.48000002</v>
      </c>
      <c r="AF172">
        <v>205403610922.57999</v>
      </c>
      <c r="AG172">
        <v>206720099192.10001</v>
      </c>
      <c r="AH172">
        <v>7.6326000000000005E-2</v>
      </c>
      <c r="AI172">
        <v>2.9979999999999998E-3</v>
      </c>
    </row>
    <row r="173" spans="13:35" x14ac:dyDescent="0.35">
      <c r="M173" t="s">
        <v>0</v>
      </c>
      <c r="N173">
        <v>4500</v>
      </c>
      <c r="O173">
        <v>168</v>
      </c>
      <c r="P173">
        <v>29270</v>
      </c>
      <c r="Q173">
        <v>0</v>
      </c>
      <c r="R173">
        <v>248870086593</v>
      </c>
      <c r="S173">
        <v>802478479.38999999</v>
      </c>
      <c r="T173">
        <v>246879520568.98001</v>
      </c>
      <c r="U173">
        <v>247950032001.73001</v>
      </c>
      <c r="V173">
        <v>5.5807000000000002E-2</v>
      </c>
      <c r="W173">
        <v>5.6550000000000003E-3</v>
      </c>
      <c r="Y173" t="s">
        <v>1</v>
      </c>
      <c r="Z173">
        <v>3500</v>
      </c>
      <c r="AA173">
        <v>168</v>
      </c>
      <c r="AB173">
        <v>26933</v>
      </c>
      <c r="AC173">
        <v>0</v>
      </c>
      <c r="AD173">
        <v>354536261252</v>
      </c>
      <c r="AE173">
        <v>1292418647.9200001</v>
      </c>
      <c r="AF173">
        <v>351344651865.48999</v>
      </c>
      <c r="AG173">
        <v>353159059733.92999</v>
      </c>
      <c r="AH173">
        <v>6.2420999999999997E-2</v>
      </c>
      <c r="AI173">
        <v>2.8660000000000001E-3</v>
      </c>
    </row>
    <row r="174" spans="13:35" x14ac:dyDescent="0.35">
      <c r="M174" t="s">
        <v>3</v>
      </c>
      <c r="N174">
        <v>7000</v>
      </c>
      <c r="O174">
        <v>320</v>
      </c>
      <c r="P174">
        <v>4</v>
      </c>
      <c r="Q174">
        <v>0</v>
      </c>
      <c r="R174">
        <v>12571762</v>
      </c>
      <c r="S174">
        <v>114187.32</v>
      </c>
      <c r="T174">
        <v>12457574.68</v>
      </c>
      <c r="U174">
        <v>12457574.68</v>
      </c>
      <c r="V174">
        <v>0</v>
      </c>
      <c r="W174">
        <v>0</v>
      </c>
      <c r="Y174" t="s">
        <v>3</v>
      </c>
      <c r="Z174">
        <v>7000</v>
      </c>
      <c r="AA174">
        <v>320</v>
      </c>
      <c r="AB174">
        <v>4</v>
      </c>
      <c r="AC174">
        <v>0</v>
      </c>
      <c r="AD174">
        <v>12727279</v>
      </c>
      <c r="AE174">
        <v>114008.85</v>
      </c>
      <c r="AF174">
        <v>12613270.15</v>
      </c>
      <c r="AG174">
        <v>12613270.15</v>
      </c>
      <c r="AH174">
        <v>0</v>
      </c>
      <c r="AI174">
        <v>0</v>
      </c>
    </row>
    <row r="175" spans="13:35" x14ac:dyDescent="0.35">
      <c r="M175" t="s">
        <v>0</v>
      </c>
      <c r="N175">
        <v>4000</v>
      </c>
      <c r="O175">
        <v>320</v>
      </c>
      <c r="P175">
        <v>39</v>
      </c>
      <c r="Q175">
        <v>0</v>
      </c>
      <c r="R175">
        <v>118967953</v>
      </c>
      <c r="S175">
        <v>1163402.43</v>
      </c>
      <c r="T175">
        <v>117804550.56999999</v>
      </c>
      <c r="U175">
        <v>117804550.56999999</v>
      </c>
      <c r="V175">
        <v>0</v>
      </c>
      <c r="W175">
        <v>0</v>
      </c>
      <c r="Y175" t="s">
        <v>0</v>
      </c>
      <c r="Z175">
        <v>4000</v>
      </c>
      <c r="AA175">
        <v>320</v>
      </c>
      <c r="AB175">
        <v>40</v>
      </c>
      <c r="AC175">
        <v>0</v>
      </c>
      <c r="AD175">
        <v>120758329</v>
      </c>
      <c r="AE175">
        <v>1198343.71</v>
      </c>
      <c r="AF175">
        <v>119426311.12</v>
      </c>
      <c r="AG175">
        <v>119559985.29000001</v>
      </c>
      <c r="AH175">
        <v>1.3202999999999999E-2</v>
      </c>
      <c r="AI175">
        <v>0</v>
      </c>
    </row>
    <row r="176" spans="13:35" x14ac:dyDescent="0.35">
      <c r="M176" t="s">
        <v>1</v>
      </c>
      <c r="N176">
        <v>4500</v>
      </c>
      <c r="O176">
        <v>320</v>
      </c>
      <c r="P176">
        <v>100</v>
      </c>
      <c r="Q176">
        <v>0</v>
      </c>
      <c r="R176">
        <v>460833729</v>
      </c>
      <c r="S176">
        <v>4004945.44</v>
      </c>
      <c r="T176">
        <v>453827530.24000001</v>
      </c>
      <c r="U176">
        <v>456828783.56</v>
      </c>
      <c r="V176">
        <v>7.5412000000000007E-2</v>
      </c>
      <c r="W176">
        <v>0</v>
      </c>
      <c r="Y176" t="s">
        <v>1</v>
      </c>
      <c r="Z176">
        <v>4500</v>
      </c>
      <c r="AA176">
        <v>320</v>
      </c>
      <c r="AB176">
        <v>99</v>
      </c>
      <c r="AC176">
        <v>0</v>
      </c>
      <c r="AD176">
        <v>462756377</v>
      </c>
      <c r="AE176">
        <v>3979084.96</v>
      </c>
      <c r="AF176">
        <v>458777292.04000002</v>
      </c>
      <c r="AG176">
        <v>458777292.04000002</v>
      </c>
      <c r="AH176">
        <v>0</v>
      </c>
      <c r="AI176">
        <v>0</v>
      </c>
    </row>
    <row r="177" spans="13:35" x14ac:dyDescent="0.35">
      <c r="M177" t="s">
        <v>0</v>
      </c>
      <c r="N177">
        <v>5750</v>
      </c>
      <c r="O177">
        <v>192</v>
      </c>
      <c r="P177">
        <v>1446</v>
      </c>
      <c r="Q177">
        <v>0</v>
      </c>
      <c r="R177">
        <v>8556880299</v>
      </c>
      <c r="S177">
        <v>32170583.940000001</v>
      </c>
      <c r="T177">
        <v>8469437021.6000004</v>
      </c>
      <c r="U177">
        <v>8518661870.1300001</v>
      </c>
      <c r="V177">
        <v>7.4817999999999996E-2</v>
      </c>
      <c r="W177">
        <v>8.4480000000000006E-3</v>
      </c>
      <c r="Y177" t="s">
        <v>2</v>
      </c>
      <c r="Z177">
        <v>5000</v>
      </c>
      <c r="AA177">
        <v>320</v>
      </c>
      <c r="AB177">
        <v>71</v>
      </c>
      <c r="AC177">
        <v>0</v>
      </c>
      <c r="AD177">
        <v>269730014</v>
      </c>
      <c r="AE177">
        <v>2176423.4300000002</v>
      </c>
      <c r="AF177">
        <v>265903550.28</v>
      </c>
      <c r="AG177">
        <v>267553590.56999999</v>
      </c>
      <c r="AH177">
        <v>7.0987999999999996E-2</v>
      </c>
      <c r="AI177">
        <v>0</v>
      </c>
    </row>
    <row r="178" spans="13:35" x14ac:dyDescent="0.35">
      <c r="M178" t="s">
        <v>0</v>
      </c>
      <c r="N178">
        <v>3000</v>
      </c>
      <c r="O178">
        <v>192</v>
      </c>
      <c r="P178">
        <v>162</v>
      </c>
      <c r="Q178">
        <v>0</v>
      </c>
      <c r="R178">
        <v>1118809500</v>
      </c>
      <c r="S178">
        <v>4775619.8600000003</v>
      </c>
      <c r="T178">
        <v>1104992922.49</v>
      </c>
      <c r="U178">
        <v>1114033880.1400001</v>
      </c>
      <c r="V178">
        <v>9.2774999999999996E-2</v>
      </c>
      <c r="W178">
        <v>0</v>
      </c>
      <c r="Y178" t="s">
        <v>0</v>
      </c>
      <c r="Z178">
        <v>5750</v>
      </c>
      <c r="AA178">
        <v>192</v>
      </c>
      <c r="AB178">
        <v>1688</v>
      </c>
      <c r="AC178">
        <v>0</v>
      </c>
      <c r="AD178">
        <v>10101299117</v>
      </c>
      <c r="AE178">
        <v>37935634.57</v>
      </c>
      <c r="AF178">
        <v>9993260160.8099995</v>
      </c>
      <c r="AG178">
        <v>10053055288.719999</v>
      </c>
      <c r="AH178">
        <v>8.0173999999999995E-2</v>
      </c>
      <c r="AI178">
        <v>1.2177E-2</v>
      </c>
    </row>
    <row r="179" spans="13:35" x14ac:dyDescent="0.35">
      <c r="M179" t="s">
        <v>2</v>
      </c>
      <c r="N179">
        <v>3000</v>
      </c>
      <c r="O179">
        <v>192</v>
      </c>
      <c r="P179">
        <v>20</v>
      </c>
      <c r="Q179">
        <v>0</v>
      </c>
      <c r="R179">
        <v>134729911</v>
      </c>
      <c r="S179">
        <v>630171.44999999995</v>
      </c>
      <c r="T179">
        <v>134099739.55</v>
      </c>
      <c r="U179">
        <v>134099739.55</v>
      </c>
      <c r="V179">
        <v>0</v>
      </c>
      <c r="W179">
        <v>0</v>
      </c>
      <c r="Y179" t="s">
        <v>0</v>
      </c>
      <c r="Z179">
        <v>3000</v>
      </c>
      <c r="AA179">
        <v>192</v>
      </c>
      <c r="AB179">
        <v>151</v>
      </c>
      <c r="AC179">
        <v>0</v>
      </c>
      <c r="AD179">
        <v>1063816090</v>
      </c>
      <c r="AE179">
        <v>4520858.67</v>
      </c>
      <c r="AF179">
        <v>1059295231.33</v>
      </c>
      <c r="AG179">
        <v>1059295231.33</v>
      </c>
      <c r="AH179">
        <v>0</v>
      </c>
      <c r="AI179">
        <v>0</v>
      </c>
    </row>
    <row r="180" spans="13:35" x14ac:dyDescent="0.35">
      <c r="M180" t="s">
        <v>0</v>
      </c>
      <c r="N180">
        <v>3250</v>
      </c>
      <c r="O180">
        <v>192</v>
      </c>
      <c r="P180">
        <v>161</v>
      </c>
      <c r="Q180">
        <v>0</v>
      </c>
      <c r="R180">
        <v>1207824991</v>
      </c>
      <c r="S180">
        <v>4962900.01</v>
      </c>
      <c r="T180">
        <v>1183812617.5899999</v>
      </c>
      <c r="U180">
        <v>1202862090.99</v>
      </c>
      <c r="V180">
        <v>0.173677</v>
      </c>
      <c r="W180">
        <v>0</v>
      </c>
      <c r="Y180" t="s">
        <v>2</v>
      </c>
      <c r="Z180">
        <v>3000</v>
      </c>
      <c r="AA180">
        <v>192</v>
      </c>
      <c r="AB180">
        <v>20</v>
      </c>
      <c r="AC180">
        <v>0</v>
      </c>
      <c r="AD180">
        <v>137076288</v>
      </c>
      <c r="AE180">
        <v>636133.01</v>
      </c>
      <c r="AF180">
        <v>136440154.99000001</v>
      </c>
      <c r="AG180">
        <v>136440154.99000001</v>
      </c>
      <c r="AH180">
        <v>0</v>
      </c>
      <c r="AI180">
        <v>0</v>
      </c>
    </row>
    <row r="181" spans="13:35" x14ac:dyDescent="0.35">
      <c r="M181" t="s">
        <v>2</v>
      </c>
      <c r="N181">
        <v>4750</v>
      </c>
      <c r="O181">
        <v>320</v>
      </c>
      <c r="P181">
        <v>9</v>
      </c>
      <c r="Q181">
        <v>0</v>
      </c>
      <c r="R181">
        <v>21369640</v>
      </c>
      <c r="S181">
        <v>215106.57</v>
      </c>
      <c r="T181">
        <v>21154533.43</v>
      </c>
      <c r="U181">
        <v>21154533.43</v>
      </c>
      <c r="V181">
        <v>0</v>
      </c>
      <c r="W181">
        <v>0</v>
      </c>
      <c r="Y181" t="s">
        <v>0</v>
      </c>
      <c r="Z181">
        <v>3250</v>
      </c>
      <c r="AA181">
        <v>192</v>
      </c>
      <c r="AB181">
        <v>153</v>
      </c>
      <c r="AC181">
        <v>0</v>
      </c>
      <c r="AD181">
        <v>1136520064</v>
      </c>
      <c r="AE181">
        <v>4649990.92</v>
      </c>
      <c r="AF181">
        <v>1121562399.5699999</v>
      </c>
      <c r="AG181">
        <v>1131870073.0799999</v>
      </c>
      <c r="AH181">
        <v>0.10356600000000001</v>
      </c>
      <c r="AI181">
        <v>0</v>
      </c>
    </row>
    <row r="182" spans="13:35" x14ac:dyDescent="0.35">
      <c r="M182" t="s">
        <v>2</v>
      </c>
      <c r="N182">
        <v>7000</v>
      </c>
      <c r="O182">
        <v>240</v>
      </c>
      <c r="P182">
        <v>753</v>
      </c>
      <c r="Q182">
        <v>0</v>
      </c>
      <c r="R182">
        <v>3222704378</v>
      </c>
      <c r="S182">
        <v>16259752.710000001</v>
      </c>
      <c r="T182">
        <v>3175686690.0500002</v>
      </c>
      <c r="U182">
        <v>3201654827.7600002</v>
      </c>
      <c r="V182">
        <v>0.108705</v>
      </c>
      <c r="W182">
        <v>1.7690000000000001E-2</v>
      </c>
      <c r="Y182" t="s">
        <v>2</v>
      </c>
      <c r="Z182">
        <v>4750</v>
      </c>
      <c r="AA182">
        <v>320</v>
      </c>
      <c r="AB182">
        <v>9</v>
      </c>
      <c r="AC182">
        <v>0</v>
      </c>
      <c r="AD182">
        <v>21755562</v>
      </c>
      <c r="AE182">
        <v>215735.52</v>
      </c>
      <c r="AF182">
        <v>21539826.48</v>
      </c>
      <c r="AG182">
        <v>21539826.48</v>
      </c>
      <c r="AH182">
        <v>0</v>
      </c>
      <c r="AI182">
        <v>0</v>
      </c>
    </row>
    <row r="183" spans="13:35" x14ac:dyDescent="0.35">
      <c r="M183" t="s">
        <v>0</v>
      </c>
      <c r="N183">
        <v>8000</v>
      </c>
      <c r="O183">
        <v>240</v>
      </c>
      <c r="P183">
        <v>33</v>
      </c>
      <c r="Q183">
        <v>0</v>
      </c>
      <c r="R183">
        <v>176711940</v>
      </c>
      <c r="S183">
        <v>842113.82</v>
      </c>
      <c r="T183">
        <v>175869826.18000001</v>
      </c>
      <c r="U183">
        <v>175869826.18000001</v>
      </c>
      <c r="V183">
        <v>0</v>
      </c>
      <c r="W183">
        <v>0</v>
      </c>
      <c r="Y183" t="s">
        <v>2</v>
      </c>
      <c r="Z183">
        <v>7000</v>
      </c>
      <c r="AA183">
        <v>240</v>
      </c>
      <c r="AB183">
        <v>755</v>
      </c>
      <c r="AC183">
        <v>0</v>
      </c>
      <c r="AD183">
        <v>3250929421</v>
      </c>
      <c r="AE183">
        <v>16256389.189999999</v>
      </c>
      <c r="AF183">
        <v>3209083671.9099998</v>
      </c>
      <c r="AG183">
        <v>3231326788.6100001</v>
      </c>
      <c r="AH183">
        <v>9.0472999999999998E-2</v>
      </c>
      <c r="AI183">
        <v>1.2282E-2</v>
      </c>
    </row>
    <row r="184" spans="13:35" x14ac:dyDescent="0.35">
      <c r="M184" t="s">
        <v>1</v>
      </c>
      <c r="N184">
        <v>7500</v>
      </c>
      <c r="O184">
        <v>240</v>
      </c>
      <c r="P184">
        <v>35</v>
      </c>
      <c r="Q184">
        <v>0</v>
      </c>
      <c r="R184">
        <v>167237615</v>
      </c>
      <c r="S184">
        <v>833137.47</v>
      </c>
      <c r="T184">
        <v>166404477.53</v>
      </c>
      <c r="U184">
        <v>166404477.53</v>
      </c>
      <c r="V184">
        <v>0</v>
      </c>
      <c r="W184">
        <v>0</v>
      </c>
      <c r="Y184" t="s">
        <v>0</v>
      </c>
      <c r="Z184">
        <v>8000</v>
      </c>
      <c r="AA184">
        <v>240</v>
      </c>
      <c r="AB184">
        <v>32</v>
      </c>
      <c r="AC184">
        <v>0</v>
      </c>
      <c r="AD184">
        <v>165376741</v>
      </c>
      <c r="AE184">
        <v>786202.69</v>
      </c>
      <c r="AF184">
        <v>164590538.31</v>
      </c>
      <c r="AG184">
        <v>164590538.31</v>
      </c>
      <c r="AH184">
        <v>0</v>
      </c>
      <c r="AI184">
        <v>0</v>
      </c>
    </row>
    <row r="185" spans="13:35" x14ac:dyDescent="0.35">
      <c r="M185" t="s">
        <v>2</v>
      </c>
      <c r="N185">
        <v>7500</v>
      </c>
      <c r="O185">
        <v>240</v>
      </c>
      <c r="P185">
        <v>64</v>
      </c>
      <c r="Q185">
        <v>0</v>
      </c>
      <c r="R185">
        <v>232572006</v>
      </c>
      <c r="S185">
        <v>1124606</v>
      </c>
      <c r="T185">
        <v>231447400</v>
      </c>
      <c r="U185">
        <v>231447400</v>
      </c>
      <c r="V185">
        <v>0</v>
      </c>
      <c r="W185">
        <v>0</v>
      </c>
      <c r="Y185" t="s">
        <v>1</v>
      </c>
      <c r="Z185">
        <v>7500</v>
      </c>
      <c r="AA185">
        <v>240</v>
      </c>
      <c r="AB185">
        <v>35</v>
      </c>
      <c r="AC185">
        <v>0</v>
      </c>
      <c r="AD185">
        <v>168444424</v>
      </c>
      <c r="AE185">
        <v>829930.53</v>
      </c>
      <c r="AF185">
        <v>167614493.47</v>
      </c>
      <c r="AG185">
        <v>167614493.47</v>
      </c>
      <c r="AH185">
        <v>0</v>
      </c>
      <c r="AI185">
        <v>0</v>
      </c>
    </row>
    <row r="186" spans="13:35" x14ac:dyDescent="0.35">
      <c r="M186" t="s">
        <v>2</v>
      </c>
      <c r="N186">
        <v>5000</v>
      </c>
      <c r="O186">
        <v>320</v>
      </c>
      <c r="P186">
        <v>70</v>
      </c>
      <c r="Q186">
        <v>0</v>
      </c>
      <c r="R186">
        <v>265132868</v>
      </c>
      <c r="S186">
        <v>2163811.34</v>
      </c>
      <c r="T186">
        <v>262969056.66</v>
      </c>
      <c r="U186">
        <v>262969056.66</v>
      </c>
      <c r="V186">
        <v>0</v>
      </c>
      <c r="W186">
        <v>0</v>
      </c>
      <c r="Y186" t="s">
        <v>2</v>
      </c>
      <c r="Z186">
        <v>7500</v>
      </c>
      <c r="AA186">
        <v>240</v>
      </c>
      <c r="AB186">
        <v>65</v>
      </c>
      <c r="AC186">
        <v>0</v>
      </c>
      <c r="AD186">
        <v>237536623</v>
      </c>
      <c r="AE186">
        <v>1139031.26</v>
      </c>
      <c r="AF186">
        <v>236397591.74000001</v>
      </c>
      <c r="AG186">
        <v>236397591.74000001</v>
      </c>
      <c r="AH186">
        <v>0</v>
      </c>
      <c r="AI186">
        <v>0</v>
      </c>
    </row>
    <row r="187" spans="13:35" x14ac:dyDescent="0.35">
      <c r="M187" t="s">
        <v>2</v>
      </c>
      <c r="N187">
        <v>4500</v>
      </c>
      <c r="O187">
        <v>320</v>
      </c>
      <c r="P187">
        <v>5</v>
      </c>
      <c r="Q187">
        <v>0</v>
      </c>
      <c r="R187">
        <v>19626910</v>
      </c>
      <c r="S187">
        <v>161398.57999999999</v>
      </c>
      <c r="T187">
        <v>19465511.420000002</v>
      </c>
      <c r="U187">
        <v>19465511.420000002</v>
      </c>
      <c r="V187">
        <v>0</v>
      </c>
      <c r="W187">
        <v>0</v>
      </c>
      <c r="Y187" t="s">
        <v>2</v>
      </c>
      <c r="Z187">
        <v>4500</v>
      </c>
      <c r="AA187">
        <v>320</v>
      </c>
      <c r="AB187">
        <v>5</v>
      </c>
      <c r="AC187">
        <v>0</v>
      </c>
      <c r="AD187">
        <v>19791404</v>
      </c>
      <c r="AE187">
        <v>160823.09</v>
      </c>
      <c r="AF187">
        <v>19630580.91</v>
      </c>
      <c r="AG187">
        <v>19630580.91</v>
      </c>
      <c r="AH187">
        <v>0</v>
      </c>
      <c r="AI187">
        <v>0</v>
      </c>
    </row>
    <row r="188" spans="13:35" x14ac:dyDescent="0.35">
      <c r="M188" t="s">
        <v>1</v>
      </c>
      <c r="N188">
        <v>5250</v>
      </c>
      <c r="O188">
        <v>320</v>
      </c>
      <c r="P188">
        <v>626</v>
      </c>
      <c r="Q188">
        <v>0</v>
      </c>
      <c r="R188">
        <v>2850561117</v>
      </c>
      <c r="S188">
        <v>24570487.719999999</v>
      </c>
      <c r="T188">
        <v>2808870625.3099999</v>
      </c>
      <c r="U188">
        <v>2820296249.6900001</v>
      </c>
      <c r="V188">
        <v>6.9736000000000006E-2</v>
      </c>
      <c r="W188">
        <v>2.3709999999999998E-2</v>
      </c>
      <c r="Y188" t="s">
        <v>1</v>
      </c>
      <c r="Z188">
        <v>5250</v>
      </c>
      <c r="AA188">
        <v>320</v>
      </c>
      <c r="AB188">
        <v>630</v>
      </c>
      <c r="AC188">
        <v>0</v>
      </c>
      <c r="AD188">
        <v>2888601953</v>
      </c>
      <c r="AE188">
        <v>24628480.940000001</v>
      </c>
      <c r="AF188">
        <v>2837713938.73</v>
      </c>
      <c r="AG188">
        <v>2863973472.0599999</v>
      </c>
      <c r="AH188">
        <v>0.103797</v>
      </c>
      <c r="AI188">
        <v>0</v>
      </c>
    </row>
    <row r="189" spans="13:35" x14ac:dyDescent="0.35">
      <c r="M189" t="s">
        <v>0</v>
      </c>
      <c r="N189">
        <v>6250</v>
      </c>
      <c r="O189">
        <v>240</v>
      </c>
      <c r="P189">
        <v>3774</v>
      </c>
      <c r="Q189">
        <v>0</v>
      </c>
      <c r="R189">
        <v>21804028912</v>
      </c>
      <c r="S189">
        <v>115759724.94</v>
      </c>
      <c r="T189">
        <v>21504014742.630001</v>
      </c>
      <c r="U189">
        <v>21667343717.98</v>
      </c>
      <c r="V189">
        <v>9.6823000000000006E-2</v>
      </c>
      <c r="W189">
        <v>1.1455999999999999E-2</v>
      </c>
      <c r="Y189" t="s">
        <v>0</v>
      </c>
      <c r="Z189">
        <v>6250</v>
      </c>
      <c r="AA189">
        <v>240</v>
      </c>
      <c r="AB189">
        <v>3714</v>
      </c>
      <c r="AC189">
        <v>0</v>
      </c>
      <c r="AD189">
        <v>21439565547</v>
      </c>
      <c r="AE189">
        <v>114461851.78</v>
      </c>
      <c r="AF189">
        <v>21221492214.32</v>
      </c>
      <c r="AG189">
        <v>21315675355.93</v>
      </c>
      <c r="AH189">
        <v>5.6475999999999998E-2</v>
      </c>
      <c r="AI189">
        <v>5.2639999999999996E-3</v>
      </c>
    </row>
    <row r="190" spans="13:35" x14ac:dyDescent="0.35">
      <c r="M190" t="s">
        <v>0</v>
      </c>
      <c r="N190">
        <v>3750</v>
      </c>
      <c r="O190">
        <v>320</v>
      </c>
      <c r="P190">
        <v>11</v>
      </c>
      <c r="Q190">
        <v>0</v>
      </c>
      <c r="R190">
        <v>43901072</v>
      </c>
      <c r="S190">
        <v>428822.95</v>
      </c>
      <c r="T190">
        <v>43472249.049999997</v>
      </c>
      <c r="U190">
        <v>43472249.049999997</v>
      </c>
      <c r="V190">
        <v>0</v>
      </c>
      <c r="W190">
        <v>0</v>
      </c>
      <c r="Y190" t="s">
        <v>0</v>
      </c>
      <c r="Z190">
        <v>3750</v>
      </c>
      <c r="AA190">
        <v>320</v>
      </c>
      <c r="AB190">
        <v>11</v>
      </c>
      <c r="AC190">
        <v>0</v>
      </c>
      <c r="AD190">
        <v>44348997</v>
      </c>
      <c r="AE190">
        <v>427345.37</v>
      </c>
      <c r="AF190">
        <v>43921651.630000003</v>
      </c>
      <c r="AG190">
        <v>43921651.630000003</v>
      </c>
      <c r="AH190">
        <v>0</v>
      </c>
      <c r="AI190">
        <v>0</v>
      </c>
    </row>
    <row r="191" spans="13:35" x14ac:dyDescent="0.35">
      <c r="M191" t="s">
        <v>0</v>
      </c>
      <c r="N191">
        <v>4000</v>
      </c>
      <c r="O191">
        <v>144</v>
      </c>
      <c r="P191">
        <v>93421</v>
      </c>
      <c r="Q191">
        <v>0</v>
      </c>
      <c r="R191">
        <v>1093895228623</v>
      </c>
      <c r="S191">
        <v>3185979646.71</v>
      </c>
      <c r="T191">
        <v>1084613194217.99</v>
      </c>
      <c r="U191">
        <v>1089997357683.36</v>
      </c>
      <c r="V191">
        <v>6.4861000000000002E-2</v>
      </c>
      <c r="W191">
        <v>7.7819999999999999E-3</v>
      </c>
      <c r="Y191" t="s">
        <v>0</v>
      </c>
      <c r="Z191">
        <v>4000</v>
      </c>
      <c r="AA191">
        <v>144</v>
      </c>
      <c r="AB191">
        <v>89786</v>
      </c>
      <c r="AC191">
        <v>0</v>
      </c>
      <c r="AD191">
        <v>1049617861123</v>
      </c>
      <c r="AE191">
        <v>3049160687.77</v>
      </c>
      <c r="AF191">
        <v>1041248664525.5</v>
      </c>
      <c r="AG191">
        <v>1046057569547.91</v>
      </c>
      <c r="AH191">
        <v>5.9154999999999999E-2</v>
      </c>
      <c r="AI191">
        <v>5.8279999999999998E-3</v>
      </c>
    </row>
    <row r="192" spans="13:35" x14ac:dyDescent="0.35">
      <c r="M192" t="s">
        <v>1</v>
      </c>
      <c r="N192">
        <v>4000</v>
      </c>
      <c r="O192">
        <v>144</v>
      </c>
      <c r="P192">
        <v>28044</v>
      </c>
      <c r="Q192">
        <v>0</v>
      </c>
      <c r="R192">
        <v>382508589664</v>
      </c>
      <c r="S192">
        <v>1133454966.96</v>
      </c>
      <c r="T192">
        <v>378735876909.76001</v>
      </c>
      <c r="U192">
        <v>381168777883.34003</v>
      </c>
      <c r="V192">
        <v>7.9727000000000006E-2</v>
      </c>
      <c r="W192">
        <v>6.4549999999999998E-3</v>
      </c>
      <c r="Y192" t="s">
        <v>1</v>
      </c>
      <c r="Z192">
        <v>4000</v>
      </c>
      <c r="AA192">
        <v>144</v>
      </c>
      <c r="AB192">
        <v>27425</v>
      </c>
      <c r="AC192">
        <v>0</v>
      </c>
      <c r="AD192">
        <v>375110625674</v>
      </c>
      <c r="AE192">
        <v>1108633051.72</v>
      </c>
      <c r="AF192">
        <v>371719719090.02002</v>
      </c>
      <c r="AG192">
        <v>373794834213.79999</v>
      </c>
      <c r="AH192">
        <v>7.0616999999999999E-2</v>
      </c>
      <c r="AI192">
        <v>6.607E-3</v>
      </c>
    </row>
    <row r="193" spans="13:35" x14ac:dyDescent="0.35">
      <c r="M193" t="s">
        <v>1</v>
      </c>
      <c r="N193">
        <v>4500</v>
      </c>
      <c r="O193">
        <v>144</v>
      </c>
      <c r="P193">
        <v>5786</v>
      </c>
      <c r="Q193">
        <v>0</v>
      </c>
      <c r="R193">
        <v>61006441840</v>
      </c>
      <c r="S193">
        <v>173038479.69</v>
      </c>
      <c r="T193">
        <v>60291236064.169998</v>
      </c>
      <c r="U193">
        <v>60775080960.110001</v>
      </c>
      <c r="V193">
        <v>0.10158300000000001</v>
      </c>
      <c r="W193">
        <v>1.1412E-2</v>
      </c>
      <c r="Y193" t="s">
        <v>1</v>
      </c>
      <c r="Z193">
        <v>4500</v>
      </c>
      <c r="AA193">
        <v>144</v>
      </c>
      <c r="AB193">
        <v>5959</v>
      </c>
      <c r="AC193">
        <v>0</v>
      </c>
      <c r="AD193">
        <v>63096998128</v>
      </c>
      <c r="AE193">
        <v>179019069.30000001</v>
      </c>
      <c r="AF193">
        <v>62498612577.919998</v>
      </c>
      <c r="AG193">
        <v>62917979058.699997</v>
      </c>
      <c r="AH193">
        <v>7.6905000000000001E-2</v>
      </c>
      <c r="AI193">
        <v>0</v>
      </c>
    </row>
    <row r="194" spans="13:35" x14ac:dyDescent="0.35">
      <c r="M194" t="s">
        <v>0</v>
      </c>
      <c r="N194">
        <v>5750</v>
      </c>
      <c r="O194">
        <v>240</v>
      </c>
      <c r="P194">
        <v>1320</v>
      </c>
      <c r="Q194">
        <v>0</v>
      </c>
      <c r="R194">
        <v>8025250362</v>
      </c>
      <c r="S194">
        <v>43233483.810000002</v>
      </c>
      <c r="T194">
        <v>7969081979.2799997</v>
      </c>
      <c r="U194">
        <v>7982016878.1899996</v>
      </c>
      <c r="V194">
        <v>1.9171000000000001E-2</v>
      </c>
      <c r="W194">
        <v>0</v>
      </c>
      <c r="Y194" t="s">
        <v>0</v>
      </c>
      <c r="Z194">
        <v>5750</v>
      </c>
      <c r="AA194">
        <v>240</v>
      </c>
      <c r="AB194">
        <v>1138</v>
      </c>
      <c r="AC194">
        <v>0</v>
      </c>
      <c r="AD194">
        <v>6652347766</v>
      </c>
      <c r="AE194">
        <v>36876739.579999998</v>
      </c>
      <c r="AF194">
        <v>6571696516.54</v>
      </c>
      <c r="AG194">
        <v>6612096628.8299999</v>
      </c>
      <c r="AH194">
        <v>7.6168E-2</v>
      </c>
      <c r="AI194">
        <v>6.0699999999999999E-3</v>
      </c>
    </row>
    <row r="195" spans="13:35" x14ac:dyDescent="0.35">
      <c r="M195" t="s">
        <v>3</v>
      </c>
      <c r="N195">
        <v>6500</v>
      </c>
      <c r="O195">
        <v>320</v>
      </c>
      <c r="P195">
        <v>26</v>
      </c>
      <c r="Q195">
        <v>0</v>
      </c>
      <c r="R195">
        <v>136638210</v>
      </c>
      <c r="S195">
        <v>948328.51</v>
      </c>
      <c r="T195">
        <v>135689881.49000001</v>
      </c>
      <c r="U195">
        <v>135689881.49000001</v>
      </c>
      <c r="V195">
        <v>0</v>
      </c>
      <c r="W195">
        <v>0</v>
      </c>
      <c r="Y195" t="s">
        <v>3</v>
      </c>
      <c r="Z195">
        <v>6500</v>
      </c>
      <c r="AA195">
        <v>320</v>
      </c>
      <c r="AB195">
        <v>25</v>
      </c>
      <c r="AC195">
        <v>0</v>
      </c>
      <c r="AD195">
        <v>134240003</v>
      </c>
      <c r="AE195">
        <v>923640.2</v>
      </c>
      <c r="AF195">
        <v>133316362.8</v>
      </c>
      <c r="AG195">
        <v>133316362.8</v>
      </c>
      <c r="AH195">
        <v>0</v>
      </c>
      <c r="AI195">
        <v>0</v>
      </c>
    </row>
    <row r="196" spans="13:35" x14ac:dyDescent="0.35">
      <c r="M196" t="s">
        <v>0</v>
      </c>
      <c r="N196">
        <v>8000</v>
      </c>
      <c r="O196">
        <v>216</v>
      </c>
      <c r="P196">
        <v>16</v>
      </c>
      <c r="Q196">
        <v>0</v>
      </c>
      <c r="R196">
        <v>86111273</v>
      </c>
      <c r="S196">
        <v>341120.18</v>
      </c>
      <c r="T196">
        <v>85770152.819999993</v>
      </c>
      <c r="U196">
        <v>85770152.819999993</v>
      </c>
      <c r="V196">
        <v>0</v>
      </c>
      <c r="W196">
        <v>0</v>
      </c>
      <c r="Y196" t="s">
        <v>0</v>
      </c>
      <c r="Z196">
        <v>8000</v>
      </c>
      <c r="AA196">
        <v>216</v>
      </c>
      <c r="AB196">
        <v>17</v>
      </c>
      <c r="AC196">
        <v>0</v>
      </c>
      <c r="AD196">
        <v>99210664</v>
      </c>
      <c r="AE196">
        <v>391899.01</v>
      </c>
      <c r="AF196">
        <v>98818764.989999995</v>
      </c>
      <c r="AG196">
        <v>98818764.989999995</v>
      </c>
      <c r="AH196">
        <v>0</v>
      </c>
      <c r="AI196">
        <v>0</v>
      </c>
    </row>
    <row r="197" spans="13:35" x14ac:dyDescent="0.35">
      <c r="M197" t="s">
        <v>2</v>
      </c>
      <c r="N197">
        <v>4000</v>
      </c>
      <c r="O197">
        <v>168</v>
      </c>
      <c r="P197">
        <v>9395</v>
      </c>
      <c r="Q197">
        <v>0</v>
      </c>
      <c r="R197">
        <v>75019730864</v>
      </c>
      <c r="S197">
        <v>264752776.96000001</v>
      </c>
      <c r="T197">
        <v>74363846832.490005</v>
      </c>
      <c r="U197">
        <v>74715070717.059998</v>
      </c>
      <c r="V197">
        <v>6.0801000000000001E-2</v>
      </c>
      <c r="W197">
        <v>6.365E-3</v>
      </c>
      <c r="Y197" t="s">
        <v>2</v>
      </c>
      <c r="Z197">
        <v>4000</v>
      </c>
      <c r="AA197">
        <v>168</v>
      </c>
      <c r="AB197">
        <v>9981</v>
      </c>
      <c r="AC197">
        <v>0</v>
      </c>
      <c r="AD197">
        <v>79879624272</v>
      </c>
      <c r="AE197">
        <v>282152499.38999999</v>
      </c>
      <c r="AF197">
        <v>79165972676.75</v>
      </c>
      <c r="AG197">
        <v>79532265492.880005</v>
      </c>
      <c r="AH197">
        <v>6.2931000000000001E-2</v>
      </c>
      <c r="AI197">
        <v>9.7520000000000003E-3</v>
      </c>
    </row>
    <row r="198" spans="13:35" x14ac:dyDescent="0.35">
      <c r="M198" t="s">
        <v>2</v>
      </c>
      <c r="N198">
        <v>4500</v>
      </c>
      <c r="O198">
        <v>168</v>
      </c>
      <c r="P198">
        <v>4285</v>
      </c>
      <c r="Q198">
        <v>0</v>
      </c>
      <c r="R198">
        <v>35686912983</v>
      </c>
      <c r="S198">
        <v>111997428.77</v>
      </c>
      <c r="T198">
        <v>35412287938.849998</v>
      </c>
      <c r="U198">
        <v>35569755726.260002</v>
      </c>
      <c r="V198">
        <v>5.3335E-2</v>
      </c>
      <c r="W198">
        <v>1.7340000000000001E-3</v>
      </c>
      <c r="Y198" t="s">
        <v>2</v>
      </c>
      <c r="Z198">
        <v>4500</v>
      </c>
      <c r="AA198">
        <v>168</v>
      </c>
      <c r="AB198">
        <v>3875</v>
      </c>
      <c r="AC198">
        <v>0</v>
      </c>
      <c r="AD198">
        <v>32273662467</v>
      </c>
      <c r="AE198">
        <v>100967566.73999999</v>
      </c>
      <c r="AF198">
        <v>32011230917.91</v>
      </c>
      <c r="AG198">
        <v>32156858294.220001</v>
      </c>
      <c r="AH198">
        <v>5.8410999999999998E-2</v>
      </c>
      <c r="AI198">
        <v>5.8729999999999997E-3</v>
      </c>
    </row>
    <row r="199" spans="13:35" x14ac:dyDescent="0.35">
      <c r="M199" t="s">
        <v>1</v>
      </c>
      <c r="N199">
        <v>4500</v>
      </c>
      <c r="O199">
        <v>168</v>
      </c>
      <c r="P199">
        <v>3871</v>
      </c>
      <c r="Q199">
        <v>0</v>
      </c>
      <c r="R199">
        <v>41689375957</v>
      </c>
      <c r="S199">
        <v>132405122.67</v>
      </c>
      <c r="T199">
        <v>41302836911.739998</v>
      </c>
      <c r="U199">
        <v>41545873607.290001</v>
      </c>
      <c r="V199">
        <v>7.0747000000000004E-2</v>
      </c>
      <c r="W199">
        <v>3.1900000000000001E-3</v>
      </c>
      <c r="Y199" t="s">
        <v>1</v>
      </c>
      <c r="Z199">
        <v>4500</v>
      </c>
      <c r="AA199">
        <v>168</v>
      </c>
      <c r="AB199">
        <v>3670</v>
      </c>
      <c r="AC199">
        <v>0</v>
      </c>
      <c r="AD199">
        <v>39432487974</v>
      </c>
      <c r="AE199">
        <v>125156518.51000001</v>
      </c>
      <c r="AF199">
        <v>39097830584.279999</v>
      </c>
      <c r="AG199">
        <v>39298420611.980003</v>
      </c>
      <c r="AH199">
        <v>6.1924E-2</v>
      </c>
      <c r="AI199">
        <v>2.7079999999999999E-3</v>
      </c>
    </row>
    <row r="200" spans="13:35" x14ac:dyDescent="0.35">
      <c r="M200" t="s">
        <v>0</v>
      </c>
      <c r="N200">
        <v>5000</v>
      </c>
      <c r="O200">
        <v>168</v>
      </c>
      <c r="P200">
        <v>5422</v>
      </c>
      <c r="Q200">
        <v>0</v>
      </c>
      <c r="R200">
        <v>42849358521</v>
      </c>
      <c r="S200">
        <v>128881346.8</v>
      </c>
      <c r="T200">
        <v>42448037173.68</v>
      </c>
      <c r="U200">
        <v>42691853656.080002</v>
      </c>
      <c r="V200">
        <v>7.3685E-2</v>
      </c>
      <c r="W200">
        <v>7.9869999999999993E-3</v>
      </c>
      <c r="Y200" t="s">
        <v>0</v>
      </c>
      <c r="Z200">
        <v>5000</v>
      </c>
      <c r="AA200">
        <v>168</v>
      </c>
      <c r="AB200">
        <v>5074</v>
      </c>
      <c r="AC200">
        <v>0</v>
      </c>
      <c r="AD200">
        <v>39996818803</v>
      </c>
      <c r="AE200">
        <v>120000485.72</v>
      </c>
      <c r="AF200">
        <v>39679004442.349998</v>
      </c>
      <c r="AG200">
        <v>39847499272.68</v>
      </c>
      <c r="AH200">
        <v>5.7761E-2</v>
      </c>
      <c r="AI200">
        <v>8.7609999999999997E-3</v>
      </c>
    </row>
    <row r="201" spans="13:35" x14ac:dyDescent="0.35">
      <c r="M201" t="s">
        <v>2</v>
      </c>
      <c r="N201">
        <v>5000</v>
      </c>
      <c r="O201">
        <v>168</v>
      </c>
      <c r="P201">
        <v>716</v>
      </c>
      <c r="Q201">
        <v>0</v>
      </c>
      <c r="R201">
        <v>5136966090</v>
      </c>
      <c r="S201">
        <v>15376917.689999999</v>
      </c>
      <c r="T201">
        <v>5103124514.6499996</v>
      </c>
      <c r="U201">
        <v>5121589172.3100004</v>
      </c>
      <c r="V201">
        <v>4.2291000000000002E-2</v>
      </c>
      <c r="W201">
        <v>0</v>
      </c>
      <c r="Y201" t="s">
        <v>2</v>
      </c>
      <c r="Z201">
        <v>5000</v>
      </c>
      <c r="AA201">
        <v>168</v>
      </c>
      <c r="AB201">
        <v>679</v>
      </c>
      <c r="AC201">
        <v>0</v>
      </c>
      <c r="AD201">
        <v>4881732499</v>
      </c>
      <c r="AE201">
        <v>14527998.83</v>
      </c>
      <c r="AF201">
        <v>4823196908.54</v>
      </c>
      <c r="AG201">
        <v>4867204500.1700001</v>
      </c>
      <c r="AH201">
        <v>0.10297099999999999</v>
      </c>
      <c r="AI201">
        <v>0</v>
      </c>
    </row>
    <row r="202" spans="13:35" x14ac:dyDescent="0.35">
      <c r="M202" t="s">
        <v>1</v>
      </c>
      <c r="N202">
        <v>5000</v>
      </c>
      <c r="O202">
        <v>168</v>
      </c>
      <c r="P202">
        <v>518</v>
      </c>
      <c r="Q202">
        <v>0</v>
      </c>
      <c r="R202">
        <v>4808014326</v>
      </c>
      <c r="S202">
        <v>14679052.73</v>
      </c>
      <c r="T202">
        <v>4755355702.7399998</v>
      </c>
      <c r="U202">
        <v>4793335273.2700005</v>
      </c>
      <c r="V202">
        <v>9.0778999999999999E-2</v>
      </c>
      <c r="W202">
        <v>0</v>
      </c>
      <c r="Y202" t="s">
        <v>1</v>
      </c>
      <c r="Z202">
        <v>5000</v>
      </c>
      <c r="AA202">
        <v>168</v>
      </c>
      <c r="AB202">
        <v>487</v>
      </c>
      <c r="AC202">
        <v>0</v>
      </c>
      <c r="AD202">
        <v>4572620565</v>
      </c>
      <c r="AE202">
        <v>13925795.039999999</v>
      </c>
      <c r="AF202">
        <v>4530922783.0900002</v>
      </c>
      <c r="AG202">
        <v>4558694769.96</v>
      </c>
      <c r="AH202">
        <v>7.0496000000000003E-2</v>
      </c>
      <c r="AI202">
        <v>0</v>
      </c>
    </row>
    <row r="203" spans="13:35" x14ac:dyDescent="0.35">
      <c r="M203" t="s">
        <v>1</v>
      </c>
      <c r="N203">
        <v>5500</v>
      </c>
      <c r="O203">
        <v>168</v>
      </c>
      <c r="P203">
        <v>14</v>
      </c>
      <c r="Q203">
        <v>0</v>
      </c>
      <c r="R203">
        <v>148721160</v>
      </c>
      <c r="S203">
        <v>431820.25</v>
      </c>
      <c r="T203">
        <v>133213943.67</v>
      </c>
      <c r="U203">
        <v>148289339.75</v>
      </c>
      <c r="V203">
        <v>0.72267499999999996</v>
      </c>
      <c r="W203">
        <v>0</v>
      </c>
      <c r="Y203" t="s">
        <v>2</v>
      </c>
      <c r="Z203">
        <v>3500</v>
      </c>
      <c r="AA203">
        <v>144</v>
      </c>
      <c r="AB203">
        <v>4980</v>
      </c>
      <c r="AC203">
        <v>0</v>
      </c>
      <c r="AD203">
        <v>51371877577</v>
      </c>
      <c r="AE203">
        <v>157192659.88999999</v>
      </c>
      <c r="AF203">
        <v>50992312607.709999</v>
      </c>
      <c r="AG203">
        <v>51207485066.440002</v>
      </c>
      <c r="AH203">
        <v>5.0724999999999999E-2</v>
      </c>
      <c r="AI203">
        <v>1.681E-3</v>
      </c>
    </row>
    <row r="204" spans="13:35" x14ac:dyDescent="0.35">
      <c r="M204" t="s">
        <v>0</v>
      </c>
      <c r="N204">
        <v>5500</v>
      </c>
      <c r="O204">
        <v>168</v>
      </c>
      <c r="P204">
        <v>499</v>
      </c>
      <c r="Q204">
        <v>0</v>
      </c>
      <c r="R204">
        <v>3291004176</v>
      </c>
      <c r="S204">
        <v>9509171.0099999998</v>
      </c>
      <c r="T204">
        <v>3274349440.4899998</v>
      </c>
      <c r="U204">
        <v>3274349440.4899998</v>
      </c>
      <c r="V204">
        <v>2.5746000000000002E-2</v>
      </c>
      <c r="W204">
        <v>2.5746000000000002E-2</v>
      </c>
      <c r="Y204" t="s">
        <v>0</v>
      </c>
      <c r="Z204">
        <v>3500</v>
      </c>
      <c r="AA204">
        <v>144</v>
      </c>
      <c r="AB204">
        <v>22523</v>
      </c>
      <c r="AC204">
        <v>0</v>
      </c>
      <c r="AD204">
        <v>283798622474</v>
      </c>
      <c r="AE204">
        <v>865934323.72000003</v>
      </c>
      <c r="AF204">
        <v>281609302876.57001</v>
      </c>
      <c r="AG204">
        <v>282870894337.04999</v>
      </c>
      <c r="AH204">
        <v>5.4544000000000002E-2</v>
      </c>
      <c r="AI204">
        <v>2.6099999999999999E-3</v>
      </c>
    </row>
    <row r="205" spans="13:35" x14ac:dyDescent="0.35">
      <c r="M205" t="s">
        <v>2</v>
      </c>
      <c r="N205">
        <v>4000</v>
      </c>
      <c r="O205">
        <v>144</v>
      </c>
      <c r="P205">
        <v>18149</v>
      </c>
      <c r="Q205">
        <v>0</v>
      </c>
      <c r="R205">
        <v>175410905371</v>
      </c>
      <c r="S205">
        <v>517693020.00999999</v>
      </c>
      <c r="T205">
        <v>174037384485.53</v>
      </c>
      <c r="U205">
        <v>174848427579.73001</v>
      </c>
      <c r="V205">
        <v>5.7001999999999997E-2</v>
      </c>
      <c r="W205">
        <v>3.0590000000000001E-3</v>
      </c>
      <c r="Y205" t="s">
        <v>1</v>
      </c>
      <c r="Z205">
        <v>3500</v>
      </c>
      <c r="AA205">
        <v>144</v>
      </c>
      <c r="AB205">
        <v>16066</v>
      </c>
      <c r="AC205">
        <v>0</v>
      </c>
      <c r="AD205">
        <v>266645938321</v>
      </c>
      <c r="AE205">
        <v>816420116.74000001</v>
      </c>
      <c r="AF205">
        <v>264369767674.29001</v>
      </c>
      <c r="AG205">
        <v>265708945852.48999</v>
      </c>
      <c r="AH205">
        <v>6.3752000000000003E-2</v>
      </c>
      <c r="AI205">
        <v>5.4130000000000003E-3</v>
      </c>
    </row>
    <row r="206" spans="13:35" x14ac:dyDescent="0.35">
      <c r="M206" t="s">
        <v>0</v>
      </c>
      <c r="N206">
        <v>5000</v>
      </c>
      <c r="O206">
        <v>144</v>
      </c>
      <c r="P206">
        <v>8352</v>
      </c>
      <c r="Q206">
        <v>0</v>
      </c>
      <c r="R206">
        <v>70743121415</v>
      </c>
      <c r="S206">
        <v>187290512.84</v>
      </c>
      <c r="T206">
        <v>70174764394.600006</v>
      </c>
      <c r="U206">
        <v>70511052702.449997</v>
      </c>
      <c r="V206">
        <v>6.2757999999999994E-2</v>
      </c>
      <c r="W206">
        <v>7.5690000000000002E-3</v>
      </c>
      <c r="Y206" t="s">
        <v>2</v>
      </c>
      <c r="Z206">
        <v>4000</v>
      </c>
      <c r="AA206">
        <v>144</v>
      </c>
      <c r="AB206">
        <v>17825</v>
      </c>
      <c r="AC206">
        <v>0</v>
      </c>
      <c r="AD206">
        <v>172630828403</v>
      </c>
      <c r="AE206">
        <v>507912033.52999997</v>
      </c>
      <c r="AF206">
        <v>171130478479.76001</v>
      </c>
      <c r="AG206">
        <v>172024501390.66</v>
      </c>
      <c r="AH206">
        <v>6.6847000000000004E-2</v>
      </c>
      <c r="AI206">
        <v>6.8199999999999997E-3</v>
      </c>
    </row>
    <row r="207" spans="13:35" x14ac:dyDescent="0.35">
      <c r="M207" t="s">
        <v>2</v>
      </c>
      <c r="N207">
        <v>5000</v>
      </c>
      <c r="O207">
        <v>144</v>
      </c>
      <c r="P207">
        <v>111</v>
      </c>
      <c r="Q207">
        <v>0</v>
      </c>
      <c r="R207">
        <v>799560614</v>
      </c>
      <c r="S207">
        <v>2219925.15</v>
      </c>
      <c r="T207">
        <v>793586191.79999995</v>
      </c>
      <c r="U207">
        <v>797340688.85000002</v>
      </c>
      <c r="V207">
        <v>5.4916E-2</v>
      </c>
      <c r="W207">
        <v>0</v>
      </c>
      <c r="Y207" t="s">
        <v>0</v>
      </c>
      <c r="Z207">
        <v>5000</v>
      </c>
      <c r="AA207">
        <v>144</v>
      </c>
      <c r="AB207">
        <v>8545</v>
      </c>
      <c r="AC207">
        <v>0</v>
      </c>
      <c r="AD207">
        <v>72253747792</v>
      </c>
      <c r="AE207">
        <v>191480352.47999999</v>
      </c>
      <c r="AF207">
        <v>71631746863.210007</v>
      </c>
      <c r="AG207">
        <v>72028461514.220001</v>
      </c>
      <c r="AH207">
        <v>6.9204000000000002E-2</v>
      </c>
      <c r="AI207">
        <v>5.5999999999999999E-3</v>
      </c>
    </row>
    <row r="208" spans="13:35" x14ac:dyDescent="0.35">
      <c r="M208" t="s">
        <v>2</v>
      </c>
      <c r="N208">
        <v>3500</v>
      </c>
      <c r="O208">
        <v>144</v>
      </c>
      <c r="P208">
        <v>5147</v>
      </c>
      <c r="Q208">
        <v>0</v>
      </c>
      <c r="R208">
        <v>53128077509</v>
      </c>
      <c r="S208">
        <v>163139684.90000001</v>
      </c>
      <c r="T208">
        <v>52698012545.919998</v>
      </c>
      <c r="U208">
        <v>52958472987.730003</v>
      </c>
      <c r="V208">
        <v>5.8652000000000003E-2</v>
      </c>
      <c r="W208">
        <v>1.459E-3</v>
      </c>
      <c r="Y208" t="s">
        <v>1</v>
      </c>
      <c r="Z208">
        <v>5500</v>
      </c>
      <c r="AA208">
        <v>168</v>
      </c>
      <c r="AB208">
        <v>17</v>
      </c>
      <c r="AC208">
        <v>0</v>
      </c>
      <c r="AD208">
        <v>177512647</v>
      </c>
      <c r="AE208">
        <v>522188.34</v>
      </c>
      <c r="AF208">
        <v>176990458.66</v>
      </c>
      <c r="AG208">
        <v>176990458.66</v>
      </c>
      <c r="AH208">
        <v>0</v>
      </c>
      <c r="AI208">
        <v>0</v>
      </c>
    </row>
    <row r="209" spans="13:35" x14ac:dyDescent="0.35">
      <c r="M209" t="s">
        <v>0</v>
      </c>
      <c r="N209">
        <v>3500</v>
      </c>
      <c r="O209">
        <v>144</v>
      </c>
      <c r="P209">
        <v>23656</v>
      </c>
      <c r="Q209">
        <v>0</v>
      </c>
      <c r="R209">
        <v>298563497614</v>
      </c>
      <c r="S209">
        <v>913474104.90999997</v>
      </c>
      <c r="T209">
        <v>296243944257.47998</v>
      </c>
      <c r="U209">
        <v>297548386403.77002</v>
      </c>
      <c r="V209">
        <v>5.5072999999999997E-2</v>
      </c>
      <c r="W209">
        <v>4.0769999999999999E-3</v>
      </c>
      <c r="Y209" t="s">
        <v>0</v>
      </c>
      <c r="Z209">
        <v>5500</v>
      </c>
      <c r="AA209">
        <v>168</v>
      </c>
      <c r="AB209">
        <v>496</v>
      </c>
      <c r="AC209">
        <v>0</v>
      </c>
      <c r="AD209">
        <v>3264078223</v>
      </c>
      <c r="AE209">
        <v>9407928.2799999993</v>
      </c>
      <c r="AF209">
        <v>3224281817.7199998</v>
      </c>
      <c r="AG209">
        <v>3247866461.96</v>
      </c>
      <c r="AH209">
        <v>0.106173</v>
      </c>
      <c r="AI209">
        <v>2.4729000000000001E-2</v>
      </c>
    </row>
    <row r="210" spans="13:35" x14ac:dyDescent="0.35">
      <c r="M210" t="s">
        <v>1</v>
      </c>
      <c r="N210">
        <v>3500</v>
      </c>
      <c r="O210">
        <v>144</v>
      </c>
      <c r="P210">
        <v>16778</v>
      </c>
      <c r="Q210">
        <v>0</v>
      </c>
      <c r="R210">
        <v>278686292922</v>
      </c>
      <c r="S210">
        <v>855936090.46000004</v>
      </c>
      <c r="T210">
        <v>276330220642.52002</v>
      </c>
      <c r="U210">
        <v>277764686316.56</v>
      </c>
      <c r="V210">
        <v>6.2715999999999994E-2</v>
      </c>
      <c r="W210">
        <v>2.8240000000000001E-3</v>
      </c>
      <c r="Y210" t="s">
        <v>1</v>
      </c>
      <c r="Z210">
        <v>5000</v>
      </c>
      <c r="AA210">
        <v>144</v>
      </c>
      <c r="AB210">
        <v>489</v>
      </c>
      <c r="AC210">
        <v>0</v>
      </c>
      <c r="AD210">
        <v>4249760444</v>
      </c>
      <c r="AE210">
        <v>11499016.390000001</v>
      </c>
      <c r="AF210">
        <v>4231486674.4499998</v>
      </c>
      <c r="AG210">
        <v>4238261427.6100001</v>
      </c>
      <c r="AH210">
        <v>1.8963000000000001E-2</v>
      </c>
      <c r="AI210">
        <v>0</v>
      </c>
    </row>
    <row r="211" spans="13:35" x14ac:dyDescent="0.35">
      <c r="M211" t="s">
        <v>1</v>
      </c>
      <c r="N211">
        <v>5000</v>
      </c>
      <c r="O211">
        <v>144</v>
      </c>
      <c r="P211">
        <v>476</v>
      </c>
      <c r="Q211">
        <v>0</v>
      </c>
      <c r="R211">
        <v>4124620647</v>
      </c>
      <c r="S211">
        <v>11114912.85</v>
      </c>
      <c r="T211">
        <v>4095169491.8600001</v>
      </c>
      <c r="U211">
        <v>4113505734.1500001</v>
      </c>
      <c r="V211">
        <v>5.2061000000000003E-2</v>
      </c>
      <c r="W211">
        <v>0</v>
      </c>
      <c r="Y211" t="s">
        <v>2</v>
      </c>
      <c r="Z211">
        <v>5000</v>
      </c>
      <c r="AA211">
        <v>144</v>
      </c>
      <c r="AB211">
        <v>155</v>
      </c>
      <c r="AC211">
        <v>0</v>
      </c>
      <c r="AD211">
        <v>1113476493</v>
      </c>
      <c r="AE211">
        <v>3119253.11</v>
      </c>
      <c r="AF211">
        <v>1110357239.8900001</v>
      </c>
      <c r="AG211">
        <v>1110357239.8900001</v>
      </c>
      <c r="AH211">
        <v>0</v>
      </c>
      <c r="AI211">
        <v>0</v>
      </c>
    </row>
    <row r="212" spans="13:35" x14ac:dyDescent="0.35">
      <c r="M212" t="s">
        <v>0</v>
      </c>
      <c r="N212">
        <v>5500</v>
      </c>
      <c r="O212">
        <v>144</v>
      </c>
      <c r="P212">
        <v>605</v>
      </c>
      <c r="Q212">
        <v>0</v>
      </c>
      <c r="R212">
        <v>3952911493</v>
      </c>
      <c r="S212">
        <v>9699788.4900000002</v>
      </c>
      <c r="T212">
        <v>3916182944.6399999</v>
      </c>
      <c r="U212">
        <v>3943211704.5100002</v>
      </c>
      <c r="V212">
        <v>7.9035999999999995E-2</v>
      </c>
      <c r="W212">
        <v>0</v>
      </c>
      <c r="Y212" t="s">
        <v>0</v>
      </c>
      <c r="Z212">
        <v>5500</v>
      </c>
      <c r="AA212">
        <v>144</v>
      </c>
      <c r="AB212">
        <v>615</v>
      </c>
      <c r="AC212">
        <v>0</v>
      </c>
      <c r="AD212">
        <v>4002634641</v>
      </c>
      <c r="AE212">
        <v>9809154.1799999997</v>
      </c>
      <c r="AF212">
        <v>3976024902.5500002</v>
      </c>
      <c r="AG212">
        <v>3976024902.5500002</v>
      </c>
      <c r="AH212">
        <v>4.9222000000000002E-2</v>
      </c>
      <c r="AI212">
        <v>4.9222000000000002E-2</v>
      </c>
    </row>
    <row r="213" spans="13:35" x14ac:dyDescent="0.35">
      <c r="M213" t="s">
        <v>1</v>
      </c>
      <c r="N213">
        <v>3000</v>
      </c>
      <c r="O213">
        <v>168</v>
      </c>
      <c r="P213">
        <v>2720</v>
      </c>
      <c r="Q213">
        <v>0</v>
      </c>
      <c r="R213">
        <v>38343234279</v>
      </c>
      <c r="S213">
        <v>146271309.69999999</v>
      </c>
      <c r="T213">
        <v>38015795087.470001</v>
      </c>
      <c r="U213">
        <v>38196962969.300003</v>
      </c>
      <c r="V213">
        <v>5.5247999999999998E-2</v>
      </c>
      <c r="W213">
        <v>0</v>
      </c>
      <c r="Y213" t="s">
        <v>1</v>
      </c>
      <c r="Z213">
        <v>3000</v>
      </c>
      <c r="AA213">
        <v>168</v>
      </c>
      <c r="AB213">
        <v>2732</v>
      </c>
      <c r="AC213">
        <v>0</v>
      </c>
      <c r="AD213">
        <v>38666835129</v>
      </c>
      <c r="AE213">
        <v>146587552.46000001</v>
      </c>
      <c r="AF213">
        <v>38382386079.519997</v>
      </c>
      <c r="AG213">
        <v>38520247576.540001</v>
      </c>
      <c r="AH213">
        <v>4.1954999999999999E-2</v>
      </c>
      <c r="AI213">
        <v>0</v>
      </c>
    </row>
    <row r="214" spans="13:35" x14ac:dyDescent="0.35">
      <c r="M214" t="s">
        <v>2</v>
      </c>
      <c r="N214">
        <v>3000</v>
      </c>
      <c r="O214">
        <v>168</v>
      </c>
      <c r="P214">
        <v>822</v>
      </c>
      <c r="Q214">
        <v>0</v>
      </c>
      <c r="R214">
        <v>7177964623</v>
      </c>
      <c r="S214">
        <v>27455903.91</v>
      </c>
      <c r="T214">
        <v>7127529297.6199999</v>
      </c>
      <c r="U214">
        <v>7150508719.0900002</v>
      </c>
      <c r="V214">
        <v>3.7747000000000003E-2</v>
      </c>
      <c r="W214">
        <v>0</v>
      </c>
      <c r="Y214" t="s">
        <v>2</v>
      </c>
      <c r="Z214">
        <v>3000</v>
      </c>
      <c r="AA214">
        <v>168</v>
      </c>
      <c r="AB214">
        <v>827</v>
      </c>
      <c r="AC214">
        <v>0</v>
      </c>
      <c r="AD214">
        <v>7248142118</v>
      </c>
      <c r="AE214">
        <v>27552010.23</v>
      </c>
      <c r="AF214">
        <v>7184030809.25</v>
      </c>
      <c r="AG214">
        <v>7220590107.7700005</v>
      </c>
      <c r="AH214">
        <v>5.8875999999999998E-2</v>
      </c>
      <c r="AI214">
        <v>0</v>
      </c>
    </row>
    <row r="215" spans="13:35" x14ac:dyDescent="0.35">
      <c r="M215" t="s">
        <v>0</v>
      </c>
      <c r="N215">
        <v>3000</v>
      </c>
      <c r="O215">
        <v>168</v>
      </c>
      <c r="P215">
        <v>3209</v>
      </c>
      <c r="Q215">
        <v>0</v>
      </c>
      <c r="R215">
        <v>31809437535</v>
      </c>
      <c r="S215">
        <v>121786770.51000001</v>
      </c>
      <c r="T215">
        <v>31553056550.110001</v>
      </c>
      <c r="U215">
        <v>31687650764.490002</v>
      </c>
      <c r="V215">
        <v>4.9610000000000001E-2</v>
      </c>
      <c r="W215">
        <v>0</v>
      </c>
      <c r="Y215" t="s">
        <v>0</v>
      </c>
      <c r="Z215">
        <v>3000</v>
      </c>
      <c r="AA215">
        <v>168</v>
      </c>
      <c r="AB215">
        <v>3232</v>
      </c>
      <c r="AC215">
        <v>0</v>
      </c>
      <c r="AD215">
        <v>32054038382</v>
      </c>
      <c r="AE215">
        <v>121996804.5</v>
      </c>
      <c r="AF215">
        <v>31801030465.720001</v>
      </c>
      <c r="AG215">
        <v>31932041577.5</v>
      </c>
      <c r="AH215">
        <v>4.7959000000000002E-2</v>
      </c>
      <c r="AI215">
        <v>0</v>
      </c>
    </row>
    <row r="216" spans="13:35" x14ac:dyDescent="0.35">
      <c r="M216" t="s">
        <v>0</v>
      </c>
      <c r="N216">
        <v>3000</v>
      </c>
      <c r="O216">
        <v>144</v>
      </c>
      <c r="P216">
        <v>367</v>
      </c>
      <c r="Q216">
        <v>0</v>
      </c>
      <c r="R216">
        <v>3784408717</v>
      </c>
      <c r="S216">
        <v>12148664.5</v>
      </c>
      <c r="T216">
        <v>3747672424.9000001</v>
      </c>
      <c r="U216">
        <v>3772260052.5</v>
      </c>
      <c r="V216">
        <v>7.5237999999999999E-2</v>
      </c>
      <c r="W216">
        <v>0</v>
      </c>
      <c r="Y216" t="s">
        <v>0</v>
      </c>
      <c r="Z216">
        <v>3000</v>
      </c>
      <c r="AA216">
        <v>144</v>
      </c>
      <c r="AB216">
        <v>352</v>
      </c>
      <c r="AC216">
        <v>0</v>
      </c>
      <c r="AD216">
        <v>3670759180</v>
      </c>
      <c r="AE216">
        <v>11781415.24</v>
      </c>
      <c r="AF216">
        <v>3644069832.2199998</v>
      </c>
      <c r="AG216">
        <v>3658977764.7600002</v>
      </c>
      <c r="AH216">
        <v>4.7661000000000002E-2</v>
      </c>
      <c r="AI216">
        <v>0</v>
      </c>
    </row>
    <row r="217" spans="13:35" x14ac:dyDescent="0.35">
      <c r="M217" t="s">
        <v>1</v>
      </c>
      <c r="N217">
        <v>3000</v>
      </c>
      <c r="O217">
        <v>144</v>
      </c>
      <c r="P217">
        <v>233</v>
      </c>
      <c r="Q217">
        <v>0</v>
      </c>
      <c r="R217">
        <v>3397385591</v>
      </c>
      <c r="S217">
        <v>11068211.960000001</v>
      </c>
      <c r="T217">
        <v>3386317379.04</v>
      </c>
      <c r="U217">
        <v>3386317379.04</v>
      </c>
      <c r="V217">
        <v>0</v>
      </c>
      <c r="W217">
        <v>0</v>
      </c>
      <c r="Y217" t="s">
        <v>1</v>
      </c>
      <c r="Z217">
        <v>3000</v>
      </c>
      <c r="AA217">
        <v>144</v>
      </c>
      <c r="AB217">
        <v>219</v>
      </c>
      <c r="AC217">
        <v>0</v>
      </c>
      <c r="AD217">
        <v>3256511349</v>
      </c>
      <c r="AE217">
        <v>10592161.32</v>
      </c>
      <c r="AF217">
        <v>3245919187.6799998</v>
      </c>
      <c r="AG217">
        <v>3245919187.6799998</v>
      </c>
      <c r="AH217">
        <v>0</v>
      </c>
      <c r="AI217">
        <v>0</v>
      </c>
    </row>
    <row r="218" spans="13:35" x14ac:dyDescent="0.35">
      <c r="M218" t="s">
        <v>3</v>
      </c>
      <c r="N218">
        <v>5500</v>
      </c>
      <c r="O218">
        <v>320</v>
      </c>
      <c r="P218">
        <v>6</v>
      </c>
      <c r="Q218">
        <v>0</v>
      </c>
      <c r="R218">
        <v>32300872</v>
      </c>
      <c r="S218">
        <v>248415.43</v>
      </c>
      <c r="T218">
        <v>32052456.57</v>
      </c>
      <c r="U218">
        <v>32052456.57</v>
      </c>
      <c r="V218">
        <v>0</v>
      </c>
      <c r="W218">
        <v>0</v>
      </c>
      <c r="Y218" t="s">
        <v>3</v>
      </c>
      <c r="Z218">
        <v>5500</v>
      </c>
      <c r="AA218">
        <v>320</v>
      </c>
      <c r="AB218">
        <v>6</v>
      </c>
      <c r="AC218">
        <v>0</v>
      </c>
      <c r="AD218">
        <v>32946746</v>
      </c>
      <c r="AE218">
        <v>250102.74</v>
      </c>
      <c r="AF218">
        <v>32696643.260000002</v>
      </c>
      <c r="AG218">
        <v>32696643.260000002</v>
      </c>
      <c r="AH218">
        <v>0</v>
      </c>
      <c r="AI218">
        <v>0</v>
      </c>
    </row>
    <row r="219" spans="13:35" x14ac:dyDescent="0.35">
      <c r="M219" t="s">
        <v>2</v>
      </c>
      <c r="N219">
        <v>4000</v>
      </c>
      <c r="O219">
        <v>320</v>
      </c>
      <c r="P219">
        <v>3</v>
      </c>
      <c r="Q219">
        <v>0</v>
      </c>
      <c r="R219">
        <v>12085466</v>
      </c>
      <c r="S219">
        <v>96340.85</v>
      </c>
      <c r="T219">
        <v>11989125.15</v>
      </c>
      <c r="U219">
        <v>11989125.15</v>
      </c>
      <c r="V219">
        <v>0</v>
      </c>
      <c r="W219">
        <v>0</v>
      </c>
      <c r="Y219" t="s">
        <v>2</v>
      </c>
      <c r="Z219">
        <v>4000</v>
      </c>
      <c r="AA219">
        <v>320</v>
      </c>
      <c r="AB219">
        <v>3</v>
      </c>
      <c r="AC219">
        <v>0</v>
      </c>
      <c r="AD219">
        <v>12148013</v>
      </c>
      <c r="AE219">
        <v>95790.84</v>
      </c>
      <c r="AF219">
        <v>12052222.16</v>
      </c>
      <c r="AG219">
        <v>12052222.16</v>
      </c>
      <c r="AH219">
        <v>0</v>
      </c>
      <c r="AI219">
        <v>0</v>
      </c>
    </row>
    <row r="220" spans="13:35" x14ac:dyDescent="0.35">
      <c r="M220" t="s">
        <v>3</v>
      </c>
      <c r="N220">
        <v>6000</v>
      </c>
      <c r="O220">
        <v>240</v>
      </c>
      <c r="P220">
        <v>20</v>
      </c>
      <c r="Q220">
        <v>0</v>
      </c>
      <c r="R220">
        <v>210382097</v>
      </c>
      <c r="S220">
        <v>1083277.8899999999</v>
      </c>
      <c r="T220">
        <v>209298819.11000001</v>
      </c>
      <c r="U220">
        <v>209298819.11000001</v>
      </c>
      <c r="V220">
        <v>0</v>
      </c>
      <c r="W220">
        <v>0</v>
      </c>
      <c r="Y220" t="s">
        <v>3</v>
      </c>
      <c r="Z220">
        <v>6000</v>
      </c>
      <c r="AA220">
        <v>216</v>
      </c>
      <c r="AB220">
        <v>67</v>
      </c>
      <c r="AC220">
        <v>0</v>
      </c>
      <c r="AD220">
        <v>461968865</v>
      </c>
      <c r="AE220">
        <v>2028765.06</v>
      </c>
      <c r="AF220">
        <v>459940099.94</v>
      </c>
      <c r="AG220">
        <v>459940099.94</v>
      </c>
      <c r="AH220">
        <v>0</v>
      </c>
      <c r="AI220">
        <v>0</v>
      </c>
    </row>
    <row r="221" spans="13:35" x14ac:dyDescent="0.35">
      <c r="M221" t="s">
        <v>3</v>
      </c>
      <c r="N221">
        <v>6000</v>
      </c>
      <c r="O221">
        <v>216</v>
      </c>
      <c r="P221">
        <v>60</v>
      </c>
      <c r="Q221">
        <v>0</v>
      </c>
      <c r="R221">
        <v>397238715</v>
      </c>
      <c r="S221">
        <v>1737243.93</v>
      </c>
      <c r="T221">
        <v>395501471.06999999</v>
      </c>
      <c r="U221">
        <v>395501471.06999999</v>
      </c>
      <c r="V221">
        <v>0</v>
      </c>
      <c r="W221">
        <v>0</v>
      </c>
      <c r="Y221" t="s">
        <v>2</v>
      </c>
      <c r="Z221">
        <v>3000</v>
      </c>
      <c r="AA221">
        <v>144</v>
      </c>
      <c r="AB221">
        <v>102</v>
      </c>
      <c r="AC221">
        <v>0</v>
      </c>
      <c r="AD221">
        <v>823477000</v>
      </c>
      <c r="AE221">
        <v>2618068.69</v>
      </c>
      <c r="AF221">
        <v>820858931.30999994</v>
      </c>
      <c r="AG221">
        <v>820858931.30999994</v>
      </c>
      <c r="AH221">
        <v>0</v>
      </c>
      <c r="AI221">
        <v>0</v>
      </c>
    </row>
    <row r="222" spans="13:35" x14ac:dyDescent="0.35">
      <c r="M222" t="s">
        <v>2</v>
      </c>
      <c r="N222">
        <v>3000</v>
      </c>
      <c r="O222">
        <v>144</v>
      </c>
      <c r="P222">
        <v>107</v>
      </c>
      <c r="Q222">
        <v>0</v>
      </c>
      <c r="R222">
        <v>875900278</v>
      </c>
      <c r="S222">
        <v>2793556.47</v>
      </c>
      <c r="T222">
        <v>873106721.52999997</v>
      </c>
      <c r="U222">
        <v>873106721.52999997</v>
      </c>
      <c r="V222">
        <v>0</v>
      </c>
      <c r="W222">
        <v>0</v>
      </c>
      <c r="Y222" t="s">
        <v>0</v>
      </c>
      <c r="Z222">
        <v>6750</v>
      </c>
      <c r="AA222">
        <v>240</v>
      </c>
      <c r="AB222">
        <v>4633</v>
      </c>
      <c r="AC222">
        <v>0</v>
      </c>
      <c r="AD222">
        <v>25539520034</v>
      </c>
      <c r="AE222">
        <v>129968158.84</v>
      </c>
      <c r="AF222">
        <v>25219853914.470001</v>
      </c>
      <c r="AG222">
        <v>25372533414.099998</v>
      </c>
      <c r="AH222">
        <v>8.5579000000000002E-2</v>
      </c>
      <c r="AI222">
        <v>1.7256000000000001E-2</v>
      </c>
    </row>
    <row r="223" spans="13:35" x14ac:dyDescent="0.35">
      <c r="M223" t="s">
        <v>0</v>
      </c>
      <c r="N223">
        <v>6750</v>
      </c>
      <c r="O223">
        <v>240</v>
      </c>
      <c r="P223">
        <v>4631</v>
      </c>
      <c r="Q223">
        <v>0</v>
      </c>
      <c r="R223">
        <v>25559785296</v>
      </c>
      <c r="S223">
        <v>130846474.52</v>
      </c>
      <c r="T223">
        <v>25311595457.16</v>
      </c>
      <c r="U223">
        <v>25414607713.93</v>
      </c>
      <c r="V223">
        <v>5.3720999999999998E-2</v>
      </c>
      <c r="W223">
        <v>6.7080000000000004E-3</v>
      </c>
      <c r="Y223" t="s">
        <v>0</v>
      </c>
      <c r="Z223">
        <v>3000</v>
      </c>
      <c r="AA223">
        <v>120</v>
      </c>
      <c r="AB223">
        <v>2534</v>
      </c>
      <c r="AC223">
        <v>0</v>
      </c>
      <c r="AD223">
        <v>34349868702</v>
      </c>
      <c r="AE223">
        <v>101154918.34</v>
      </c>
      <c r="AF223">
        <v>34136828679.93</v>
      </c>
      <c r="AG223">
        <v>34248713783.66</v>
      </c>
      <c r="AH223">
        <v>3.8393999999999998E-2</v>
      </c>
      <c r="AI223">
        <v>0</v>
      </c>
    </row>
    <row r="224" spans="13:35" x14ac:dyDescent="0.35">
      <c r="M224" t="s">
        <v>1</v>
      </c>
      <c r="N224">
        <v>3000</v>
      </c>
      <c r="O224">
        <v>120</v>
      </c>
      <c r="P224">
        <v>3511</v>
      </c>
      <c r="Q224">
        <v>0</v>
      </c>
      <c r="R224">
        <v>64565372733</v>
      </c>
      <c r="S224">
        <v>191752055.06</v>
      </c>
      <c r="T224">
        <v>63989269039.550003</v>
      </c>
      <c r="U224">
        <v>64340361847.529999</v>
      </c>
      <c r="V224">
        <v>6.9141999999999995E-2</v>
      </c>
      <c r="W224">
        <v>6.1640000000000002E-3</v>
      </c>
      <c r="Y224" t="s">
        <v>2</v>
      </c>
      <c r="Z224">
        <v>3000</v>
      </c>
      <c r="AA224">
        <v>120</v>
      </c>
      <c r="AB224">
        <v>652</v>
      </c>
      <c r="AC224">
        <v>0</v>
      </c>
      <c r="AD224">
        <v>6916027226</v>
      </c>
      <c r="AE224">
        <v>20303383.52</v>
      </c>
      <c r="AF224">
        <v>6848338520.1300001</v>
      </c>
      <c r="AG224">
        <v>6888262844.1899996</v>
      </c>
      <c r="AH224">
        <v>7.9189999999999997E-2</v>
      </c>
      <c r="AI224">
        <v>1.2869E-2</v>
      </c>
    </row>
    <row r="225" spans="13:35" x14ac:dyDescent="0.35">
      <c r="M225" t="s">
        <v>0</v>
      </c>
      <c r="N225">
        <v>3000</v>
      </c>
      <c r="O225">
        <v>120</v>
      </c>
      <c r="P225">
        <v>2522</v>
      </c>
      <c r="Q225">
        <v>0</v>
      </c>
      <c r="R225">
        <v>34053299540</v>
      </c>
      <c r="S225">
        <v>100792525.75</v>
      </c>
      <c r="T225">
        <v>33783985177.82</v>
      </c>
      <c r="U225">
        <v>33947808920.82</v>
      </c>
      <c r="V225">
        <v>5.7794999999999999E-2</v>
      </c>
      <c r="W225">
        <v>1.6540000000000001E-3</v>
      </c>
      <c r="Y225" t="s">
        <v>1</v>
      </c>
      <c r="Z225">
        <v>3000</v>
      </c>
      <c r="AA225">
        <v>120</v>
      </c>
      <c r="AB225">
        <v>3527</v>
      </c>
      <c r="AC225">
        <v>0</v>
      </c>
      <c r="AD225">
        <v>64931815951</v>
      </c>
      <c r="AE225">
        <v>191850555.33000001</v>
      </c>
      <c r="AF225">
        <v>64449153083.129997</v>
      </c>
      <c r="AG225">
        <v>64739965395.669998</v>
      </c>
      <c r="AH225">
        <v>5.2440000000000001E-2</v>
      </c>
      <c r="AI225">
        <v>0</v>
      </c>
    </row>
    <row r="226" spans="13:35" x14ac:dyDescent="0.35">
      <c r="M226" t="s">
        <v>2</v>
      </c>
      <c r="N226">
        <v>3000</v>
      </c>
      <c r="O226">
        <v>120</v>
      </c>
      <c r="P226">
        <v>644</v>
      </c>
      <c r="Q226">
        <v>0</v>
      </c>
      <c r="R226">
        <v>6794597293</v>
      </c>
      <c r="S226">
        <v>20048438.77</v>
      </c>
      <c r="T226">
        <v>6774548854.2299995</v>
      </c>
      <c r="U226">
        <v>6774548854.2299995</v>
      </c>
      <c r="V226">
        <v>0</v>
      </c>
      <c r="W226">
        <v>0</v>
      </c>
      <c r="Y226" t="s">
        <v>0</v>
      </c>
      <c r="Z226">
        <v>3500</v>
      </c>
      <c r="AA226">
        <v>120</v>
      </c>
      <c r="AB226">
        <v>62655</v>
      </c>
      <c r="AC226">
        <v>0</v>
      </c>
      <c r="AD226">
        <v>882140189239</v>
      </c>
      <c r="AE226">
        <v>2477720776.8099999</v>
      </c>
      <c r="AF226">
        <v>875365015980.05005</v>
      </c>
      <c r="AG226">
        <v>879473620212.89001</v>
      </c>
      <c r="AH226">
        <v>5.6918000000000003E-2</v>
      </c>
      <c r="AI226">
        <v>2.5660000000000001E-3</v>
      </c>
    </row>
    <row r="227" spans="13:35" x14ac:dyDescent="0.35">
      <c r="M227" t="s">
        <v>2</v>
      </c>
      <c r="N227">
        <v>3500</v>
      </c>
      <c r="O227">
        <v>120</v>
      </c>
      <c r="P227">
        <v>10808</v>
      </c>
      <c r="Q227">
        <v>0</v>
      </c>
      <c r="R227">
        <v>118720768753</v>
      </c>
      <c r="S227">
        <v>334588385.19999999</v>
      </c>
      <c r="T227">
        <v>117741983107.78999</v>
      </c>
      <c r="U227">
        <v>118358731622.46001</v>
      </c>
      <c r="V227">
        <v>6.3204999999999997E-2</v>
      </c>
      <c r="W227">
        <v>2.771E-3</v>
      </c>
      <c r="Y227" t="s">
        <v>2</v>
      </c>
      <c r="Z227">
        <v>3500</v>
      </c>
      <c r="AA227">
        <v>120</v>
      </c>
      <c r="AB227">
        <v>10960</v>
      </c>
      <c r="AC227">
        <v>0</v>
      </c>
      <c r="AD227">
        <v>120641564867</v>
      </c>
      <c r="AE227">
        <v>338396768.18000001</v>
      </c>
      <c r="AF227">
        <v>119589013357.23</v>
      </c>
      <c r="AG227">
        <v>120273172819.75999</v>
      </c>
      <c r="AH227">
        <v>6.8767999999999996E-2</v>
      </c>
      <c r="AI227">
        <v>2.98E-3</v>
      </c>
    </row>
    <row r="228" spans="13:35" x14ac:dyDescent="0.35">
      <c r="M228" t="s">
        <v>0</v>
      </c>
      <c r="N228">
        <v>3500</v>
      </c>
      <c r="O228">
        <v>120</v>
      </c>
      <c r="P228">
        <v>61736</v>
      </c>
      <c r="Q228">
        <v>0</v>
      </c>
      <c r="R228">
        <v>866891502865</v>
      </c>
      <c r="S228">
        <v>2446285299.3400002</v>
      </c>
      <c r="T228">
        <v>859747489995.5</v>
      </c>
      <c r="U228">
        <v>864017906537.81006</v>
      </c>
      <c r="V228">
        <v>6.3125000000000001E-2</v>
      </c>
      <c r="W228">
        <v>5.8989999999999997E-3</v>
      </c>
      <c r="Y228" t="s">
        <v>1</v>
      </c>
      <c r="Z228">
        <v>3500</v>
      </c>
      <c r="AA228">
        <v>120</v>
      </c>
      <c r="AB228">
        <v>34553</v>
      </c>
      <c r="AC228">
        <v>0</v>
      </c>
      <c r="AD228">
        <v>593826174666</v>
      </c>
      <c r="AE228">
        <v>1674006490.6800001</v>
      </c>
      <c r="AF228">
        <v>589010314247.40002</v>
      </c>
      <c r="AG228">
        <v>591943237100.83997</v>
      </c>
      <c r="AH228">
        <v>6.1675000000000001E-2</v>
      </c>
      <c r="AI228">
        <v>4.2139999999999999E-3</v>
      </c>
    </row>
    <row r="229" spans="13:35" x14ac:dyDescent="0.35">
      <c r="M229" t="s">
        <v>1</v>
      </c>
      <c r="N229">
        <v>3500</v>
      </c>
      <c r="O229">
        <v>120</v>
      </c>
      <c r="P229">
        <v>33979</v>
      </c>
      <c r="Q229">
        <v>0</v>
      </c>
      <c r="R229">
        <v>581633321852</v>
      </c>
      <c r="S229">
        <v>1646937940.1400001</v>
      </c>
      <c r="T229">
        <v>576698347871.88</v>
      </c>
      <c r="U229">
        <v>579768995920.27002</v>
      </c>
      <c r="V229">
        <v>6.5767000000000006E-2</v>
      </c>
      <c r="W229">
        <v>4.4759999999999999E-3</v>
      </c>
      <c r="Y229" t="s">
        <v>0</v>
      </c>
      <c r="Z229">
        <v>4000</v>
      </c>
      <c r="AA229">
        <v>120</v>
      </c>
      <c r="AB229">
        <v>70143</v>
      </c>
      <c r="AC229">
        <v>0</v>
      </c>
      <c r="AD229">
        <v>882717505365</v>
      </c>
      <c r="AE229">
        <v>2357568062.0599999</v>
      </c>
      <c r="AF229">
        <v>875497052159.77002</v>
      </c>
      <c r="AG229">
        <v>879977420594.85999</v>
      </c>
      <c r="AH229">
        <v>6.4141000000000004E-2</v>
      </c>
      <c r="AI229">
        <v>5.1879999999999999E-3</v>
      </c>
    </row>
    <row r="230" spans="13:35" x14ac:dyDescent="0.35">
      <c r="M230" t="s">
        <v>0</v>
      </c>
      <c r="N230">
        <v>4000</v>
      </c>
      <c r="O230">
        <v>120</v>
      </c>
      <c r="P230">
        <v>68745</v>
      </c>
      <c r="Q230">
        <v>0</v>
      </c>
      <c r="R230">
        <v>868981015839</v>
      </c>
      <c r="S230">
        <v>2324005158.6100001</v>
      </c>
      <c r="T230">
        <v>862259045294.90002</v>
      </c>
      <c r="U230">
        <v>866099985944.47998</v>
      </c>
      <c r="V230">
        <v>5.9069999999999998E-2</v>
      </c>
      <c r="W230">
        <v>7.6649999999999999E-3</v>
      </c>
      <c r="Y230" t="s">
        <v>2</v>
      </c>
      <c r="Z230">
        <v>4000</v>
      </c>
      <c r="AA230">
        <v>120</v>
      </c>
      <c r="AB230">
        <v>9309</v>
      </c>
      <c r="AC230">
        <v>0</v>
      </c>
      <c r="AD230">
        <v>87852203418</v>
      </c>
      <c r="AE230">
        <v>233875396.5</v>
      </c>
      <c r="AF230">
        <v>87066595442.080002</v>
      </c>
      <c r="AG230">
        <v>87563654211.520004</v>
      </c>
      <c r="AH230">
        <v>7.2813000000000003E-2</v>
      </c>
      <c r="AI230">
        <v>7.443E-3</v>
      </c>
    </row>
    <row r="231" spans="13:35" x14ac:dyDescent="0.35">
      <c r="M231" t="s">
        <v>1</v>
      </c>
      <c r="N231">
        <v>4000</v>
      </c>
      <c r="O231">
        <v>120</v>
      </c>
      <c r="P231">
        <v>11459</v>
      </c>
      <c r="Q231">
        <v>0</v>
      </c>
      <c r="R231">
        <v>164177555869</v>
      </c>
      <c r="S231">
        <v>437305774.47000003</v>
      </c>
      <c r="T231">
        <v>162734132142.76999</v>
      </c>
      <c r="U231">
        <v>163683430202.69</v>
      </c>
      <c r="V231">
        <v>7.1110000000000007E-2</v>
      </c>
      <c r="W231">
        <v>4.1450000000000002E-3</v>
      </c>
      <c r="Y231" t="s">
        <v>0</v>
      </c>
      <c r="Z231">
        <v>4500</v>
      </c>
      <c r="AA231">
        <v>120</v>
      </c>
      <c r="AB231">
        <v>17553</v>
      </c>
      <c r="AC231">
        <v>0</v>
      </c>
      <c r="AD231">
        <v>198819799530</v>
      </c>
      <c r="AE231">
        <v>497842515.60000002</v>
      </c>
      <c r="AF231">
        <v>197242185999.44</v>
      </c>
      <c r="AG231">
        <v>198201923909.14001</v>
      </c>
      <c r="AH231">
        <v>6.3258999999999996E-2</v>
      </c>
      <c r="AI231">
        <v>7.221E-3</v>
      </c>
    </row>
    <row r="232" spans="13:35" x14ac:dyDescent="0.35">
      <c r="M232" t="s">
        <v>2</v>
      </c>
      <c r="N232">
        <v>4000</v>
      </c>
      <c r="O232">
        <v>120</v>
      </c>
      <c r="P232">
        <v>9240</v>
      </c>
      <c r="Q232">
        <v>0</v>
      </c>
      <c r="R232">
        <v>87736964882</v>
      </c>
      <c r="S232">
        <v>233604980.75</v>
      </c>
      <c r="T232">
        <v>87082751152.710007</v>
      </c>
      <c r="U232">
        <v>87471701334.759995</v>
      </c>
      <c r="V232">
        <v>5.6035000000000001E-2</v>
      </c>
      <c r="W232">
        <v>4.3210000000000002E-3</v>
      </c>
      <c r="Y232" t="s">
        <v>2</v>
      </c>
      <c r="Z232">
        <v>4500</v>
      </c>
      <c r="AA232">
        <v>120</v>
      </c>
      <c r="AB232">
        <v>1178</v>
      </c>
      <c r="AC232">
        <v>0</v>
      </c>
      <c r="AD232">
        <v>9856110545</v>
      </c>
      <c r="AE232">
        <v>24761418</v>
      </c>
      <c r="AF232">
        <v>9788543818.3899994</v>
      </c>
      <c r="AG232">
        <v>9831349127</v>
      </c>
      <c r="AH232">
        <v>5.0888999999999997E-2</v>
      </c>
      <c r="AI232">
        <v>0</v>
      </c>
    </row>
    <row r="233" spans="13:35" x14ac:dyDescent="0.35">
      <c r="M233" t="s">
        <v>0</v>
      </c>
      <c r="N233">
        <v>4500</v>
      </c>
      <c r="O233">
        <v>120</v>
      </c>
      <c r="P233">
        <v>18279</v>
      </c>
      <c r="Q233">
        <v>0</v>
      </c>
      <c r="R233">
        <v>210433963115</v>
      </c>
      <c r="S233">
        <v>525407339.44999999</v>
      </c>
      <c r="T233">
        <v>208638843354.45001</v>
      </c>
      <c r="U233">
        <v>209805641184.67001</v>
      </c>
      <c r="V233">
        <v>7.0050000000000001E-2</v>
      </c>
      <c r="W233">
        <v>5.8529999999999997E-3</v>
      </c>
      <c r="Y233" t="s">
        <v>1</v>
      </c>
      <c r="Z233">
        <v>4500</v>
      </c>
      <c r="AA233">
        <v>120</v>
      </c>
      <c r="AB233">
        <v>1441</v>
      </c>
      <c r="AC233">
        <v>0</v>
      </c>
      <c r="AD233">
        <v>16950153157</v>
      </c>
      <c r="AE233">
        <v>42436620.539999999</v>
      </c>
      <c r="AF233">
        <v>16808646270.549999</v>
      </c>
      <c r="AG233">
        <v>16881430884.67</v>
      </c>
      <c r="AH233">
        <v>6.7926E-2</v>
      </c>
      <c r="AI233">
        <v>1.8450999999999999E-2</v>
      </c>
    </row>
    <row r="234" spans="13:35" x14ac:dyDescent="0.35">
      <c r="M234" t="s">
        <v>2</v>
      </c>
      <c r="N234">
        <v>4500</v>
      </c>
      <c r="O234">
        <v>120</v>
      </c>
      <c r="P234">
        <v>1366</v>
      </c>
      <c r="Q234">
        <v>0</v>
      </c>
      <c r="R234">
        <v>11656041477</v>
      </c>
      <c r="S234">
        <v>28953753.539999999</v>
      </c>
      <c r="T234">
        <v>11576650512.77</v>
      </c>
      <c r="U234">
        <v>11627087723.459999</v>
      </c>
      <c r="V234">
        <v>5.0707000000000002E-2</v>
      </c>
      <c r="W234">
        <v>0</v>
      </c>
      <c r="Y234" t="s">
        <v>0</v>
      </c>
      <c r="Z234">
        <v>5000</v>
      </c>
      <c r="AA234">
        <v>120</v>
      </c>
      <c r="AB234">
        <v>2703</v>
      </c>
      <c r="AC234">
        <v>0</v>
      </c>
      <c r="AD234">
        <v>26373527048</v>
      </c>
      <c r="AE234">
        <v>62060005.969999999</v>
      </c>
      <c r="AF234">
        <v>26162209943.84</v>
      </c>
      <c r="AG234">
        <v>26298904291.740002</v>
      </c>
      <c r="AH234">
        <v>6.5837999999999994E-2</v>
      </c>
      <c r="AI234">
        <v>5.7010000000000003E-3</v>
      </c>
    </row>
    <row r="235" spans="13:35" x14ac:dyDescent="0.35">
      <c r="M235" t="s">
        <v>0</v>
      </c>
      <c r="N235">
        <v>5000</v>
      </c>
      <c r="O235">
        <v>120</v>
      </c>
      <c r="P235">
        <v>2937</v>
      </c>
      <c r="Q235">
        <v>0</v>
      </c>
      <c r="R235">
        <v>29416322536</v>
      </c>
      <c r="S235">
        <v>68860020.859999999</v>
      </c>
      <c r="T235">
        <v>29232269063.299999</v>
      </c>
      <c r="U235">
        <v>29329275838.740002</v>
      </c>
      <c r="V235">
        <v>4.5992999999999999E-2</v>
      </c>
      <c r="W235">
        <v>7.3940000000000004E-3</v>
      </c>
      <c r="Y235" t="s">
        <v>1</v>
      </c>
      <c r="Z235">
        <v>5000</v>
      </c>
      <c r="AA235">
        <v>120</v>
      </c>
      <c r="AB235">
        <v>161</v>
      </c>
      <c r="AC235">
        <v>0</v>
      </c>
      <c r="AD235">
        <v>1475967578</v>
      </c>
      <c r="AE235">
        <v>3493806.87</v>
      </c>
      <c r="AF235">
        <v>1461669567.0799999</v>
      </c>
      <c r="AG235">
        <v>1472473771.1300001</v>
      </c>
      <c r="AH235">
        <v>8.4389000000000006E-2</v>
      </c>
      <c r="AI235">
        <v>0</v>
      </c>
    </row>
    <row r="236" spans="13:35" x14ac:dyDescent="0.35">
      <c r="M236" t="s">
        <v>2</v>
      </c>
      <c r="N236">
        <v>5000</v>
      </c>
      <c r="O236">
        <v>120</v>
      </c>
      <c r="P236">
        <v>44</v>
      </c>
      <c r="Q236">
        <v>0</v>
      </c>
      <c r="R236">
        <v>342810400</v>
      </c>
      <c r="S236">
        <v>787985.28</v>
      </c>
      <c r="T236">
        <v>342022414.72000003</v>
      </c>
      <c r="U236">
        <v>342022414.72000003</v>
      </c>
      <c r="V236">
        <v>0</v>
      </c>
      <c r="W236">
        <v>0</v>
      </c>
      <c r="Y236" t="s">
        <v>1</v>
      </c>
      <c r="Z236">
        <v>4000</v>
      </c>
      <c r="AA236">
        <v>120</v>
      </c>
      <c r="AB236">
        <v>11189</v>
      </c>
      <c r="AC236">
        <v>0</v>
      </c>
      <c r="AD236">
        <v>157616458552</v>
      </c>
      <c r="AE236">
        <v>421017075.01999998</v>
      </c>
      <c r="AF236">
        <v>155942722561.44</v>
      </c>
      <c r="AG236">
        <v>156903464958.76001</v>
      </c>
      <c r="AH236">
        <v>9.1314000000000006E-2</v>
      </c>
      <c r="AI236">
        <v>2.2003999999999999E-2</v>
      </c>
    </row>
    <row r="237" spans="13:35" x14ac:dyDescent="0.35">
      <c r="M237" t="s">
        <v>1</v>
      </c>
      <c r="N237">
        <v>4500</v>
      </c>
      <c r="O237">
        <v>120</v>
      </c>
      <c r="P237">
        <v>1563</v>
      </c>
      <c r="Q237">
        <v>0</v>
      </c>
      <c r="R237">
        <v>19076164821</v>
      </c>
      <c r="S237">
        <v>47505221.450000003</v>
      </c>
      <c r="T237">
        <v>18849498878.25</v>
      </c>
      <c r="U237">
        <v>18962429724.119999</v>
      </c>
      <c r="V237">
        <v>0.107059</v>
      </c>
      <c r="W237">
        <v>4.0876000000000003E-2</v>
      </c>
      <c r="Y237" t="s">
        <v>2</v>
      </c>
      <c r="Z237">
        <v>5000</v>
      </c>
      <c r="AA237">
        <v>120</v>
      </c>
      <c r="AB237">
        <v>23</v>
      </c>
      <c r="AC237">
        <v>0</v>
      </c>
      <c r="AD237">
        <v>185109361</v>
      </c>
      <c r="AE237">
        <v>425942.35</v>
      </c>
      <c r="AF237">
        <v>184683418.65000001</v>
      </c>
      <c r="AG237">
        <v>184683418.65000001</v>
      </c>
      <c r="AH237">
        <v>0</v>
      </c>
      <c r="AI237">
        <v>0</v>
      </c>
    </row>
    <row r="238" spans="13:35" x14ac:dyDescent="0.35">
      <c r="M238" t="s">
        <v>1</v>
      </c>
      <c r="N238">
        <v>5000</v>
      </c>
      <c r="O238">
        <v>120</v>
      </c>
      <c r="P238">
        <v>172</v>
      </c>
      <c r="Q238">
        <v>0</v>
      </c>
      <c r="R238">
        <v>1682857955</v>
      </c>
      <c r="S238">
        <v>3941566.33</v>
      </c>
      <c r="T238">
        <v>1678916388.6700001</v>
      </c>
      <c r="U238">
        <v>1678916388.6700001</v>
      </c>
      <c r="V238">
        <v>0</v>
      </c>
      <c r="W238">
        <v>0</v>
      </c>
      <c r="Y238" t="s">
        <v>0</v>
      </c>
      <c r="Z238">
        <v>3500</v>
      </c>
      <c r="AA238">
        <v>108</v>
      </c>
      <c r="AB238">
        <v>9263</v>
      </c>
      <c r="AC238">
        <v>0</v>
      </c>
      <c r="AD238">
        <v>140887259008</v>
      </c>
      <c r="AE238">
        <v>369232829.06</v>
      </c>
      <c r="AF238">
        <v>139784744446.42999</v>
      </c>
      <c r="AG238">
        <v>140458784478.70999</v>
      </c>
      <c r="AH238">
        <v>6.0699999999999997E-2</v>
      </c>
      <c r="AI238">
        <v>5.0340000000000003E-3</v>
      </c>
    </row>
    <row r="239" spans="13:35" x14ac:dyDescent="0.35">
      <c r="M239" t="s">
        <v>0</v>
      </c>
      <c r="N239">
        <v>3500</v>
      </c>
      <c r="O239">
        <v>108</v>
      </c>
      <c r="P239">
        <v>8683</v>
      </c>
      <c r="Q239">
        <v>0</v>
      </c>
      <c r="R239">
        <v>132812435564</v>
      </c>
      <c r="S239">
        <v>348833533.27999997</v>
      </c>
      <c r="T239">
        <v>131911415892.06</v>
      </c>
      <c r="U239">
        <v>132436559731.53999</v>
      </c>
      <c r="V239">
        <v>4.8765999999999997E-2</v>
      </c>
      <c r="W239">
        <v>2.441E-3</v>
      </c>
      <c r="Y239" t="s">
        <v>1</v>
      </c>
      <c r="Z239">
        <v>3500</v>
      </c>
      <c r="AA239">
        <v>108</v>
      </c>
      <c r="AB239">
        <v>9422</v>
      </c>
      <c r="AC239">
        <v>0</v>
      </c>
      <c r="AD239">
        <v>178642818421</v>
      </c>
      <c r="AE239">
        <v>467858847.38</v>
      </c>
      <c r="AF239">
        <v>177255319465.47</v>
      </c>
      <c r="AG239">
        <v>178104076750.94</v>
      </c>
      <c r="AH239">
        <v>6.0055999999999998E-2</v>
      </c>
      <c r="AI239">
        <v>4.751E-3</v>
      </c>
    </row>
    <row r="240" spans="13:35" x14ac:dyDescent="0.35">
      <c r="M240" t="s">
        <v>2</v>
      </c>
      <c r="N240">
        <v>3500</v>
      </c>
      <c r="O240">
        <v>108</v>
      </c>
      <c r="P240">
        <v>2299</v>
      </c>
      <c r="Q240">
        <v>0</v>
      </c>
      <c r="R240">
        <v>27313133342</v>
      </c>
      <c r="S240">
        <v>71689624.689999998</v>
      </c>
      <c r="T240">
        <v>27086788571.080002</v>
      </c>
      <c r="U240">
        <v>27215248005.209999</v>
      </c>
      <c r="V240">
        <v>6.5870999999999999E-2</v>
      </c>
      <c r="W240">
        <v>1.1449000000000001E-2</v>
      </c>
      <c r="Y240" t="s">
        <v>2</v>
      </c>
      <c r="Z240">
        <v>3500</v>
      </c>
      <c r="AA240">
        <v>108</v>
      </c>
      <c r="AB240">
        <v>2353</v>
      </c>
      <c r="AC240">
        <v>0</v>
      </c>
      <c r="AD240">
        <v>28150603769</v>
      </c>
      <c r="AE240">
        <v>73724900.689999998</v>
      </c>
      <c r="AF240">
        <v>27965915883.799999</v>
      </c>
      <c r="AG240">
        <v>28063388510.220001</v>
      </c>
      <c r="AH240">
        <v>4.6288999999999997E-2</v>
      </c>
      <c r="AI240">
        <v>5.7359999999999998E-3</v>
      </c>
    </row>
    <row r="241" spans="13:35" x14ac:dyDescent="0.35">
      <c r="M241" t="s">
        <v>1</v>
      </c>
      <c r="N241">
        <v>3500</v>
      </c>
      <c r="O241">
        <v>108</v>
      </c>
      <c r="P241">
        <v>9211</v>
      </c>
      <c r="Q241">
        <v>0</v>
      </c>
      <c r="R241">
        <v>174864128821</v>
      </c>
      <c r="S241">
        <v>459272727.12</v>
      </c>
      <c r="T241">
        <v>173566584473.25</v>
      </c>
      <c r="U241">
        <v>174385517805.59</v>
      </c>
      <c r="V241">
        <v>5.6032999999999999E-2</v>
      </c>
      <c r="W241">
        <v>1.3259999999999999E-3</v>
      </c>
      <c r="Y241" t="s">
        <v>0</v>
      </c>
      <c r="Z241">
        <v>4000</v>
      </c>
      <c r="AA241">
        <v>108</v>
      </c>
      <c r="AB241">
        <v>67264</v>
      </c>
      <c r="AC241">
        <v>0</v>
      </c>
      <c r="AD241">
        <v>975820246679</v>
      </c>
      <c r="AE241">
        <v>2419961535.9400001</v>
      </c>
      <c r="AF241">
        <v>968029825748.85999</v>
      </c>
      <c r="AG241">
        <v>973066349598.15002</v>
      </c>
      <c r="AH241">
        <v>6.4079999999999998E-2</v>
      </c>
      <c r="AI241">
        <v>4.0990000000000002E-3</v>
      </c>
    </row>
    <row r="242" spans="13:35" x14ac:dyDescent="0.35">
      <c r="M242" t="s">
        <v>0</v>
      </c>
      <c r="N242">
        <v>4000</v>
      </c>
      <c r="O242">
        <v>108</v>
      </c>
      <c r="P242">
        <v>66219</v>
      </c>
      <c r="Q242">
        <v>0</v>
      </c>
      <c r="R242">
        <v>960435729644</v>
      </c>
      <c r="S242">
        <v>2386017483.73</v>
      </c>
      <c r="T242">
        <v>953115978448.58997</v>
      </c>
      <c r="U242">
        <v>957591094187.42004</v>
      </c>
      <c r="V242">
        <v>5.9931999999999999E-2</v>
      </c>
      <c r="W242">
        <v>5.7149999999999996E-3</v>
      </c>
      <c r="Y242" t="s">
        <v>1</v>
      </c>
      <c r="Z242">
        <v>4000</v>
      </c>
      <c r="AA242">
        <v>108</v>
      </c>
      <c r="AB242">
        <v>23945</v>
      </c>
      <c r="AC242">
        <v>0</v>
      </c>
      <c r="AD242">
        <v>402711533564</v>
      </c>
      <c r="AE242">
        <v>1000691110.6900001</v>
      </c>
      <c r="AF242">
        <v>398672049951.33002</v>
      </c>
      <c r="AG242">
        <v>401302056959.46002</v>
      </c>
      <c r="AH242">
        <v>8.6885000000000004E-2</v>
      </c>
      <c r="AI242">
        <v>1.2113000000000001E-2</v>
      </c>
    </row>
    <row r="243" spans="13:35" x14ac:dyDescent="0.35">
      <c r="M243" t="s">
        <v>2</v>
      </c>
      <c r="N243">
        <v>4000</v>
      </c>
      <c r="O243">
        <v>108</v>
      </c>
      <c r="P243">
        <v>13089</v>
      </c>
      <c r="Q243">
        <v>0</v>
      </c>
      <c r="R243">
        <v>147140523365</v>
      </c>
      <c r="S243">
        <v>366411407.72000003</v>
      </c>
      <c r="T243">
        <v>146027346269.97</v>
      </c>
      <c r="U243">
        <v>146729788188.03</v>
      </c>
      <c r="V243">
        <v>5.9230999999999999E-2</v>
      </c>
      <c r="W243">
        <v>3.6089999999999998E-3</v>
      </c>
      <c r="Y243" t="s">
        <v>2</v>
      </c>
      <c r="Z243">
        <v>4000</v>
      </c>
      <c r="AA243">
        <v>108</v>
      </c>
      <c r="AB243">
        <v>13117</v>
      </c>
      <c r="AC243">
        <v>0</v>
      </c>
      <c r="AD243">
        <v>147775125829</v>
      </c>
      <c r="AE243">
        <v>367013370.92000002</v>
      </c>
      <c r="AF243">
        <v>146538360767.48001</v>
      </c>
      <c r="AG243">
        <v>147312075267.29001</v>
      </c>
      <c r="AH243">
        <v>6.8386000000000002E-2</v>
      </c>
      <c r="AI243">
        <v>7.7710000000000001E-3</v>
      </c>
    </row>
    <row r="244" spans="13:35" x14ac:dyDescent="0.35">
      <c r="M244" t="s">
        <v>1</v>
      </c>
      <c r="N244">
        <v>4000</v>
      </c>
      <c r="O244">
        <v>108</v>
      </c>
      <c r="P244">
        <v>23581</v>
      </c>
      <c r="Q244">
        <v>0</v>
      </c>
      <c r="R244">
        <v>398246510640</v>
      </c>
      <c r="S244">
        <v>991179461.44000006</v>
      </c>
      <c r="T244">
        <v>395073967302.88</v>
      </c>
      <c r="U244">
        <v>397106865429.63</v>
      </c>
      <c r="V244">
        <v>6.3784999999999994E-2</v>
      </c>
      <c r="W244">
        <v>4.4640000000000001E-3</v>
      </c>
      <c r="Y244" t="s">
        <v>0</v>
      </c>
      <c r="Z244">
        <v>4500</v>
      </c>
      <c r="AA244">
        <v>108</v>
      </c>
      <c r="AB244">
        <v>44767</v>
      </c>
      <c r="AC244">
        <v>0</v>
      </c>
      <c r="AD244">
        <v>582486870290</v>
      </c>
      <c r="AE244">
        <v>1361631665.02</v>
      </c>
      <c r="AF244">
        <v>577775555022.28003</v>
      </c>
      <c r="AG244">
        <v>580656191213.40002</v>
      </c>
      <c r="AH244">
        <v>6.6866999999999996E-2</v>
      </c>
      <c r="AI244">
        <v>9.6200000000000001E-3</v>
      </c>
    </row>
    <row r="245" spans="13:35" x14ac:dyDescent="0.35">
      <c r="M245" t="s">
        <v>0</v>
      </c>
      <c r="N245">
        <v>4500</v>
      </c>
      <c r="O245">
        <v>108</v>
      </c>
      <c r="P245">
        <v>44482</v>
      </c>
      <c r="Q245">
        <v>0</v>
      </c>
      <c r="R245">
        <v>582823935592</v>
      </c>
      <c r="S245">
        <v>1364497737.46</v>
      </c>
      <c r="T245">
        <v>577945361561.79004</v>
      </c>
      <c r="U245">
        <v>580964535015.93994</v>
      </c>
      <c r="V245">
        <v>7.0000999999999994E-2</v>
      </c>
      <c r="W245">
        <v>1.0142E-2</v>
      </c>
      <c r="Y245" t="s">
        <v>2</v>
      </c>
      <c r="Z245">
        <v>4500</v>
      </c>
      <c r="AA245">
        <v>108</v>
      </c>
      <c r="AB245">
        <v>7952</v>
      </c>
      <c r="AC245">
        <v>0</v>
      </c>
      <c r="AD245">
        <v>75406937965</v>
      </c>
      <c r="AE245">
        <v>175404719.37</v>
      </c>
      <c r="AF245">
        <v>74776441616.410004</v>
      </c>
      <c r="AG245">
        <v>75192328359.529999</v>
      </c>
      <c r="AH245">
        <v>7.0066000000000003E-2</v>
      </c>
      <c r="AI245">
        <v>6.221E-3</v>
      </c>
    </row>
    <row r="246" spans="13:35" x14ac:dyDescent="0.35">
      <c r="M246" t="s">
        <v>2</v>
      </c>
      <c r="N246">
        <v>4500</v>
      </c>
      <c r="O246">
        <v>108</v>
      </c>
      <c r="P246">
        <v>8047</v>
      </c>
      <c r="Q246">
        <v>0</v>
      </c>
      <c r="R246">
        <v>76895421008</v>
      </c>
      <c r="S246">
        <v>179131719</v>
      </c>
      <c r="T246">
        <v>76218158566.289993</v>
      </c>
      <c r="U246">
        <v>76678633038.710007</v>
      </c>
      <c r="V246">
        <v>7.5025999999999995E-2</v>
      </c>
      <c r="W246">
        <v>5.8609999999999999E-3</v>
      </c>
      <c r="Y246" t="s">
        <v>0</v>
      </c>
      <c r="Z246">
        <v>5000</v>
      </c>
      <c r="AA246">
        <v>108</v>
      </c>
      <c r="AB246">
        <v>11296</v>
      </c>
      <c r="AC246">
        <v>0</v>
      </c>
      <c r="AD246">
        <v>134951626011</v>
      </c>
      <c r="AE246">
        <v>295157476.91000003</v>
      </c>
      <c r="AF246">
        <v>133802413283.67</v>
      </c>
      <c r="AG246">
        <v>134535044051.16</v>
      </c>
      <c r="AH246">
        <v>7.3355000000000004E-2</v>
      </c>
      <c r="AI246">
        <v>1.0744E-2</v>
      </c>
    </row>
    <row r="247" spans="13:35" x14ac:dyDescent="0.35">
      <c r="M247" t="s">
        <v>0</v>
      </c>
      <c r="N247">
        <v>5000</v>
      </c>
      <c r="O247">
        <v>108</v>
      </c>
      <c r="P247">
        <v>11620</v>
      </c>
      <c r="Q247">
        <v>0</v>
      </c>
      <c r="R247">
        <v>140457233337</v>
      </c>
      <c r="S247">
        <v>307539545.91000003</v>
      </c>
      <c r="T247">
        <v>139186772390.82999</v>
      </c>
      <c r="U247">
        <v>139974649897.12</v>
      </c>
      <c r="V247">
        <v>7.9235E-2</v>
      </c>
      <c r="W247">
        <v>1.4853E-2</v>
      </c>
      <c r="Y247" t="s">
        <v>1</v>
      </c>
      <c r="Z247">
        <v>5000</v>
      </c>
      <c r="AA247">
        <v>108</v>
      </c>
      <c r="AB247">
        <v>692</v>
      </c>
      <c r="AC247">
        <v>0</v>
      </c>
      <c r="AD247">
        <v>8219782107</v>
      </c>
      <c r="AE247">
        <v>17988552.879999999</v>
      </c>
      <c r="AF247">
        <v>8113764483.6700001</v>
      </c>
      <c r="AG247">
        <v>8189943320.3100004</v>
      </c>
      <c r="AH247">
        <v>0.121207</v>
      </c>
      <c r="AI247">
        <v>1.7163999999999999E-2</v>
      </c>
    </row>
    <row r="248" spans="13:35" x14ac:dyDescent="0.35">
      <c r="M248" t="s">
        <v>1</v>
      </c>
      <c r="N248">
        <v>4500</v>
      </c>
      <c r="O248">
        <v>108</v>
      </c>
      <c r="P248">
        <v>5441</v>
      </c>
      <c r="Q248">
        <v>0</v>
      </c>
      <c r="R248">
        <v>75938560800</v>
      </c>
      <c r="S248">
        <v>177457852.78999999</v>
      </c>
      <c r="T248">
        <v>75092778722.360001</v>
      </c>
      <c r="U248">
        <v>75632336716.559998</v>
      </c>
      <c r="V248">
        <v>0.100645</v>
      </c>
      <c r="W248">
        <v>2.0159E-2</v>
      </c>
      <c r="Y248" t="s">
        <v>1</v>
      </c>
      <c r="Z248">
        <v>4500</v>
      </c>
      <c r="AA248">
        <v>108</v>
      </c>
      <c r="AB248">
        <v>5254</v>
      </c>
      <c r="AC248">
        <v>0</v>
      </c>
      <c r="AD248">
        <v>72075587000</v>
      </c>
      <c r="AE248">
        <v>168562357.72999999</v>
      </c>
      <c r="AF248">
        <v>71068173727.740005</v>
      </c>
      <c r="AG248">
        <v>71739338624.550003</v>
      </c>
      <c r="AH248">
        <v>0.13106000000000001</v>
      </c>
      <c r="AI248">
        <v>2.7564000000000002E-2</v>
      </c>
    </row>
    <row r="249" spans="13:35" x14ac:dyDescent="0.35">
      <c r="M249" t="s">
        <v>0</v>
      </c>
      <c r="N249">
        <v>4250</v>
      </c>
      <c r="O249">
        <v>320</v>
      </c>
      <c r="P249">
        <v>37</v>
      </c>
      <c r="Q249">
        <v>0</v>
      </c>
      <c r="R249">
        <v>159649340</v>
      </c>
      <c r="S249">
        <v>1339194.44</v>
      </c>
      <c r="T249">
        <v>158310145.56</v>
      </c>
      <c r="U249">
        <v>158310145.56</v>
      </c>
      <c r="V249">
        <v>0</v>
      </c>
      <c r="W249">
        <v>0</v>
      </c>
      <c r="Y249" t="s">
        <v>0</v>
      </c>
      <c r="Z249">
        <v>4250</v>
      </c>
      <c r="AA249">
        <v>320</v>
      </c>
      <c r="AB249">
        <v>36</v>
      </c>
      <c r="AC249">
        <v>0</v>
      </c>
      <c r="AD249">
        <v>149565162</v>
      </c>
      <c r="AE249">
        <v>1258970.5900000001</v>
      </c>
      <c r="AF249">
        <v>148263943.19</v>
      </c>
      <c r="AG249">
        <v>148306191.41</v>
      </c>
      <c r="AH249">
        <v>3.3839999999999999E-3</v>
      </c>
      <c r="AI249">
        <v>0</v>
      </c>
    </row>
    <row r="250" spans="13:35" x14ac:dyDescent="0.35">
      <c r="M250" t="s">
        <v>1</v>
      </c>
      <c r="N250">
        <v>6250</v>
      </c>
      <c r="O250">
        <v>240</v>
      </c>
      <c r="P250">
        <v>444</v>
      </c>
      <c r="Q250">
        <v>0</v>
      </c>
      <c r="R250">
        <v>3079526982</v>
      </c>
      <c r="S250">
        <v>16699791.52</v>
      </c>
      <c r="T250">
        <v>3055317845.8200002</v>
      </c>
      <c r="U250">
        <v>3062827190.48</v>
      </c>
      <c r="V250">
        <v>2.8871999999999998E-2</v>
      </c>
      <c r="W250">
        <v>0</v>
      </c>
      <c r="Y250" t="s">
        <v>1</v>
      </c>
      <c r="Z250">
        <v>6250</v>
      </c>
      <c r="AA250">
        <v>240</v>
      </c>
      <c r="AB250">
        <v>460</v>
      </c>
      <c r="AC250">
        <v>0</v>
      </c>
      <c r="AD250">
        <v>3215918966</v>
      </c>
      <c r="AE250">
        <v>17377085.129999999</v>
      </c>
      <c r="AF250">
        <v>3177363006.3299999</v>
      </c>
      <c r="AG250">
        <v>3191408542.1500001</v>
      </c>
      <c r="AH250">
        <v>7.6227000000000003E-2</v>
      </c>
      <c r="AI250">
        <v>2.6294999999999999E-2</v>
      </c>
    </row>
    <row r="251" spans="13:35" x14ac:dyDescent="0.35">
      <c r="M251" t="s">
        <v>3</v>
      </c>
      <c r="N251">
        <v>6500</v>
      </c>
      <c r="O251">
        <v>240</v>
      </c>
      <c r="P251">
        <v>72</v>
      </c>
      <c r="Q251">
        <v>0</v>
      </c>
      <c r="R251">
        <v>464775433</v>
      </c>
      <c r="S251">
        <v>2473349.5699999998</v>
      </c>
      <c r="T251">
        <v>462302083.43000001</v>
      </c>
      <c r="U251">
        <v>462302083.43000001</v>
      </c>
      <c r="V251">
        <v>0</v>
      </c>
      <c r="W251">
        <v>0</v>
      </c>
      <c r="Y251" t="s">
        <v>3</v>
      </c>
      <c r="Z251">
        <v>6500</v>
      </c>
      <c r="AA251">
        <v>240</v>
      </c>
      <c r="AB251">
        <v>73</v>
      </c>
      <c r="AC251">
        <v>0</v>
      </c>
      <c r="AD251">
        <v>471584465</v>
      </c>
      <c r="AE251">
        <v>2485573.6800000002</v>
      </c>
      <c r="AF251">
        <v>469098891.31999999</v>
      </c>
      <c r="AG251">
        <v>469098891.31999999</v>
      </c>
      <c r="AH251">
        <v>0</v>
      </c>
      <c r="AI251">
        <v>0</v>
      </c>
    </row>
    <row r="252" spans="13:35" x14ac:dyDescent="0.35">
      <c r="M252" t="s">
        <v>3</v>
      </c>
      <c r="N252">
        <v>6500</v>
      </c>
      <c r="O252">
        <v>216</v>
      </c>
      <c r="P252">
        <v>28</v>
      </c>
      <c r="Q252">
        <v>0</v>
      </c>
      <c r="R252">
        <v>167091478</v>
      </c>
      <c r="S252">
        <v>734616.87</v>
      </c>
      <c r="T252">
        <v>166356861.13</v>
      </c>
      <c r="U252">
        <v>166356861.13</v>
      </c>
      <c r="V252">
        <v>0</v>
      </c>
      <c r="W252">
        <v>0</v>
      </c>
      <c r="Y252" t="s">
        <v>0</v>
      </c>
      <c r="Z252">
        <v>6250</v>
      </c>
      <c r="AA252">
        <v>216</v>
      </c>
      <c r="AB252">
        <v>4316</v>
      </c>
      <c r="AC252">
        <v>0</v>
      </c>
      <c r="AD252">
        <v>28726423141</v>
      </c>
      <c r="AE252">
        <v>126933170.34999999</v>
      </c>
      <c r="AF252">
        <v>28492300691.349998</v>
      </c>
      <c r="AG252">
        <v>28588412167.84</v>
      </c>
      <c r="AH252">
        <v>4.3868999999999998E-2</v>
      </c>
      <c r="AI252">
        <v>4.6179999999999997E-3</v>
      </c>
    </row>
    <row r="253" spans="13:35" x14ac:dyDescent="0.35">
      <c r="M253" t="s">
        <v>1</v>
      </c>
      <c r="N253">
        <v>3000</v>
      </c>
      <c r="O253">
        <v>320</v>
      </c>
      <c r="P253">
        <v>1</v>
      </c>
      <c r="Q253">
        <v>0</v>
      </c>
      <c r="R253">
        <v>4772937</v>
      </c>
      <c r="S253">
        <v>38568.65</v>
      </c>
      <c r="T253">
        <v>4734368.3499999996</v>
      </c>
      <c r="U253">
        <v>4734368.3499999996</v>
      </c>
      <c r="V253">
        <v>0</v>
      </c>
      <c r="W253">
        <v>0</v>
      </c>
      <c r="Y253" t="s">
        <v>3</v>
      </c>
      <c r="Z253">
        <v>6500</v>
      </c>
      <c r="AA253">
        <v>216</v>
      </c>
      <c r="AB253">
        <v>28</v>
      </c>
      <c r="AC253">
        <v>0</v>
      </c>
      <c r="AD253">
        <v>167920578</v>
      </c>
      <c r="AE253">
        <v>731108.63</v>
      </c>
      <c r="AF253">
        <v>167189469.37</v>
      </c>
      <c r="AG253">
        <v>167189469.37</v>
      </c>
      <c r="AH253">
        <v>0</v>
      </c>
      <c r="AI253">
        <v>0</v>
      </c>
    </row>
    <row r="254" spans="13:35" x14ac:dyDescent="0.35">
      <c r="M254" t="s">
        <v>1</v>
      </c>
      <c r="N254">
        <v>5250</v>
      </c>
      <c r="O254">
        <v>360</v>
      </c>
      <c r="P254">
        <v>1</v>
      </c>
      <c r="Q254">
        <v>0</v>
      </c>
      <c r="R254">
        <v>827146</v>
      </c>
      <c r="S254">
        <v>32761.96</v>
      </c>
      <c r="T254">
        <v>794384.04</v>
      </c>
      <c r="U254">
        <v>794384.04</v>
      </c>
      <c r="V254">
        <v>0</v>
      </c>
      <c r="W254">
        <v>0</v>
      </c>
      <c r="Y254" t="s">
        <v>1</v>
      </c>
      <c r="Z254">
        <v>3000</v>
      </c>
      <c r="AA254">
        <v>320</v>
      </c>
      <c r="AB254">
        <v>1</v>
      </c>
      <c r="AC254">
        <v>0</v>
      </c>
      <c r="AD254">
        <v>4812715</v>
      </c>
      <c r="AE254">
        <v>38483.230000000003</v>
      </c>
      <c r="AF254">
        <v>4774231.7699999996</v>
      </c>
      <c r="AG254">
        <v>4774231.7699999996</v>
      </c>
      <c r="AH254">
        <v>0</v>
      </c>
      <c r="AI254">
        <v>0</v>
      </c>
    </row>
    <row r="255" spans="13:35" x14ac:dyDescent="0.35">
      <c r="M255" t="s">
        <v>2</v>
      </c>
      <c r="N255">
        <v>5500</v>
      </c>
      <c r="O255">
        <v>360</v>
      </c>
      <c r="P255">
        <v>1</v>
      </c>
      <c r="Q255">
        <v>0</v>
      </c>
      <c r="R255">
        <v>343486</v>
      </c>
      <c r="S255">
        <v>25703.15</v>
      </c>
      <c r="T255">
        <v>317782.84999999998</v>
      </c>
      <c r="U255">
        <v>317782.84999999998</v>
      </c>
      <c r="V255">
        <v>0</v>
      </c>
      <c r="W255">
        <v>0</v>
      </c>
      <c r="Y255" t="s">
        <v>1</v>
      </c>
      <c r="Z255">
        <v>5250</v>
      </c>
      <c r="AA255">
        <v>360</v>
      </c>
      <c r="AB255">
        <v>1</v>
      </c>
      <c r="AC255">
        <v>0</v>
      </c>
      <c r="AD255">
        <v>860875</v>
      </c>
      <c r="AE255">
        <v>32661.35</v>
      </c>
      <c r="AF255">
        <v>828213.65</v>
      </c>
      <c r="AG255">
        <v>828213.65</v>
      </c>
      <c r="AH255">
        <v>0</v>
      </c>
      <c r="AI255">
        <v>0</v>
      </c>
    </row>
    <row r="256" spans="13:35" x14ac:dyDescent="0.35">
      <c r="M256" t="s">
        <v>1</v>
      </c>
      <c r="N256">
        <v>4750</v>
      </c>
      <c r="O256">
        <v>320</v>
      </c>
      <c r="P256">
        <v>88</v>
      </c>
      <c r="Q256">
        <v>0</v>
      </c>
      <c r="R256">
        <v>447542089</v>
      </c>
      <c r="S256">
        <v>3894005.13</v>
      </c>
      <c r="T256">
        <v>443648083.87</v>
      </c>
      <c r="U256">
        <v>443648083.87</v>
      </c>
      <c r="V256">
        <v>0</v>
      </c>
      <c r="W256">
        <v>0</v>
      </c>
      <c r="Y256" t="s">
        <v>2</v>
      </c>
      <c r="Z256">
        <v>5500</v>
      </c>
      <c r="AA256">
        <v>360</v>
      </c>
      <c r="AB256">
        <v>1</v>
      </c>
      <c r="AC256">
        <v>0</v>
      </c>
      <c r="AD256">
        <v>374898</v>
      </c>
      <c r="AE256">
        <v>25989.77</v>
      </c>
      <c r="AF256">
        <v>348908.23</v>
      </c>
      <c r="AG256">
        <v>348908.23</v>
      </c>
      <c r="AH256">
        <v>0</v>
      </c>
      <c r="AI256">
        <v>0</v>
      </c>
    </row>
    <row r="257" spans="13:35" x14ac:dyDescent="0.35">
      <c r="M257" t="s">
        <v>0</v>
      </c>
      <c r="N257">
        <v>5250</v>
      </c>
      <c r="O257">
        <v>240</v>
      </c>
      <c r="P257">
        <v>261</v>
      </c>
      <c r="Q257">
        <v>0</v>
      </c>
      <c r="R257">
        <v>1626980790</v>
      </c>
      <c r="S257">
        <v>9105831.2300000004</v>
      </c>
      <c r="T257">
        <v>1609511101.0699999</v>
      </c>
      <c r="U257">
        <v>1617874958.77</v>
      </c>
      <c r="V257">
        <v>5.9974E-2</v>
      </c>
      <c r="W257">
        <v>0</v>
      </c>
      <c r="Y257" t="s">
        <v>1</v>
      </c>
      <c r="Z257">
        <v>4750</v>
      </c>
      <c r="AA257">
        <v>320</v>
      </c>
      <c r="AB257">
        <v>87</v>
      </c>
      <c r="AC257">
        <v>0</v>
      </c>
      <c r="AD257">
        <v>451282743</v>
      </c>
      <c r="AE257">
        <v>3911292.12</v>
      </c>
      <c r="AF257">
        <v>437037339.24000001</v>
      </c>
      <c r="AG257">
        <v>447371450.88</v>
      </c>
      <c r="AH257">
        <v>0.24269399999999999</v>
      </c>
      <c r="AI257">
        <v>0</v>
      </c>
    </row>
    <row r="258" spans="13:35" x14ac:dyDescent="0.35">
      <c r="M258" t="s">
        <v>0</v>
      </c>
      <c r="N258">
        <v>8500</v>
      </c>
      <c r="O258">
        <v>240</v>
      </c>
      <c r="P258">
        <v>4</v>
      </c>
      <c r="Q258">
        <v>0</v>
      </c>
      <c r="R258">
        <v>18393961</v>
      </c>
      <c r="S258">
        <v>92647.98</v>
      </c>
      <c r="T258">
        <v>18301313.02</v>
      </c>
      <c r="U258">
        <v>18301313.02</v>
      </c>
      <c r="V258">
        <v>0</v>
      </c>
      <c r="W258">
        <v>0</v>
      </c>
      <c r="Y258" t="s">
        <v>0</v>
      </c>
      <c r="Z258">
        <v>5250</v>
      </c>
      <c r="AA258">
        <v>240</v>
      </c>
      <c r="AB258">
        <v>246</v>
      </c>
      <c r="AC258">
        <v>0</v>
      </c>
      <c r="AD258">
        <v>1511244157</v>
      </c>
      <c r="AE258">
        <v>8621758.6400000006</v>
      </c>
      <c r="AF258">
        <v>1486988954.1099999</v>
      </c>
      <c r="AG258">
        <v>1502622398.3599999</v>
      </c>
      <c r="AH258">
        <v>0.117312</v>
      </c>
      <c r="AI258">
        <v>0</v>
      </c>
    </row>
    <row r="259" spans="13:35" x14ac:dyDescent="0.35">
      <c r="M259" t="s">
        <v>0</v>
      </c>
      <c r="N259">
        <v>9000</v>
      </c>
      <c r="O259">
        <v>240</v>
      </c>
      <c r="P259">
        <v>3</v>
      </c>
      <c r="Q259">
        <v>0</v>
      </c>
      <c r="R259">
        <v>16451471</v>
      </c>
      <c r="S259">
        <v>75110.37</v>
      </c>
      <c r="T259">
        <v>16376360.630000001</v>
      </c>
      <c r="U259">
        <v>16376360.630000001</v>
      </c>
      <c r="V259">
        <v>0</v>
      </c>
      <c r="W259">
        <v>0</v>
      </c>
      <c r="Y259" t="s">
        <v>0</v>
      </c>
      <c r="Z259">
        <v>8500</v>
      </c>
      <c r="AA259">
        <v>240</v>
      </c>
      <c r="AB259">
        <v>5</v>
      </c>
      <c r="AC259">
        <v>0</v>
      </c>
      <c r="AD259">
        <v>23103424</v>
      </c>
      <c r="AE259">
        <v>116497.21</v>
      </c>
      <c r="AF259">
        <v>22986926.789999999</v>
      </c>
      <c r="AG259">
        <v>22986926.789999999</v>
      </c>
      <c r="AH259">
        <v>0</v>
      </c>
      <c r="AI259">
        <v>0</v>
      </c>
    </row>
    <row r="260" spans="13:35" x14ac:dyDescent="0.35">
      <c r="M260" t="s">
        <v>1</v>
      </c>
      <c r="N260">
        <v>4000</v>
      </c>
      <c r="O260">
        <v>320</v>
      </c>
      <c r="P260">
        <v>47</v>
      </c>
      <c r="Q260">
        <v>0</v>
      </c>
      <c r="R260">
        <v>188660597</v>
      </c>
      <c r="S260">
        <v>1753224.74</v>
      </c>
      <c r="T260">
        <v>186907372.25999999</v>
      </c>
      <c r="U260">
        <v>186907372.25999999</v>
      </c>
      <c r="V260">
        <v>0</v>
      </c>
      <c r="W260">
        <v>0</v>
      </c>
      <c r="Y260" t="s">
        <v>0</v>
      </c>
      <c r="Z260">
        <v>9000</v>
      </c>
      <c r="AA260">
        <v>240</v>
      </c>
      <c r="AB260">
        <v>3</v>
      </c>
      <c r="AC260">
        <v>0</v>
      </c>
      <c r="AD260">
        <v>16542259</v>
      </c>
      <c r="AE260">
        <v>74626.2</v>
      </c>
      <c r="AF260">
        <v>16467632.800000001</v>
      </c>
      <c r="AG260">
        <v>16467632.800000001</v>
      </c>
      <c r="AH260">
        <v>0</v>
      </c>
      <c r="AI260">
        <v>0</v>
      </c>
    </row>
    <row r="261" spans="13:35" x14ac:dyDescent="0.35">
      <c r="M261" t="s">
        <v>3</v>
      </c>
      <c r="N261">
        <v>5500</v>
      </c>
      <c r="O261">
        <v>240</v>
      </c>
      <c r="P261">
        <v>6</v>
      </c>
      <c r="Q261">
        <v>0</v>
      </c>
      <c r="R261">
        <v>39717073</v>
      </c>
      <c r="S261">
        <v>206359.79</v>
      </c>
      <c r="T261">
        <v>39510713.210000001</v>
      </c>
      <c r="U261">
        <v>39510713.210000001</v>
      </c>
      <c r="V261">
        <v>0</v>
      </c>
      <c r="W261">
        <v>0</v>
      </c>
      <c r="Y261" t="s">
        <v>1</v>
      </c>
      <c r="Z261">
        <v>4000</v>
      </c>
      <c r="AA261">
        <v>320</v>
      </c>
      <c r="AB261">
        <v>47</v>
      </c>
      <c r="AC261">
        <v>0</v>
      </c>
      <c r="AD261">
        <v>191460046</v>
      </c>
      <c r="AE261">
        <v>1756987.56</v>
      </c>
      <c r="AF261">
        <v>189703058.44</v>
      </c>
      <c r="AG261">
        <v>189703058.44</v>
      </c>
      <c r="AH261">
        <v>0</v>
      </c>
      <c r="AI261">
        <v>0</v>
      </c>
    </row>
    <row r="262" spans="13:35" x14ac:dyDescent="0.35">
      <c r="M262" t="s">
        <v>2</v>
      </c>
      <c r="N262">
        <v>5750</v>
      </c>
      <c r="O262">
        <v>240</v>
      </c>
      <c r="P262">
        <v>102</v>
      </c>
      <c r="Q262">
        <v>0</v>
      </c>
      <c r="R262">
        <v>513237684</v>
      </c>
      <c r="S262">
        <v>2743769.31</v>
      </c>
      <c r="T262">
        <v>504365797.82999998</v>
      </c>
      <c r="U262">
        <v>510493914.69</v>
      </c>
      <c r="V262">
        <v>0.134237</v>
      </c>
      <c r="W262">
        <v>0</v>
      </c>
      <c r="Y262" t="s">
        <v>3</v>
      </c>
      <c r="Z262">
        <v>6000</v>
      </c>
      <c r="AA262">
        <v>240</v>
      </c>
      <c r="AB262">
        <v>16</v>
      </c>
      <c r="AC262">
        <v>0</v>
      </c>
      <c r="AD262">
        <v>177916533</v>
      </c>
      <c r="AE262">
        <v>955785.58</v>
      </c>
      <c r="AF262">
        <v>176960747.41999999</v>
      </c>
      <c r="AG262">
        <v>176960747.41999999</v>
      </c>
      <c r="AH262">
        <v>0</v>
      </c>
      <c r="AI262">
        <v>0</v>
      </c>
    </row>
    <row r="263" spans="13:35" x14ac:dyDescent="0.35">
      <c r="M263" t="s">
        <v>2</v>
      </c>
      <c r="N263">
        <v>5250</v>
      </c>
      <c r="O263">
        <v>240</v>
      </c>
      <c r="P263">
        <v>34</v>
      </c>
      <c r="Q263">
        <v>0</v>
      </c>
      <c r="R263">
        <v>167244967</v>
      </c>
      <c r="S263">
        <v>960014.7</v>
      </c>
      <c r="T263">
        <v>166284952.30000001</v>
      </c>
      <c r="U263">
        <v>166284952.30000001</v>
      </c>
      <c r="V263">
        <v>0</v>
      </c>
      <c r="W263">
        <v>0</v>
      </c>
      <c r="Y263" t="s">
        <v>3</v>
      </c>
      <c r="Z263">
        <v>5500</v>
      </c>
      <c r="AA263">
        <v>240</v>
      </c>
      <c r="AB263">
        <v>3</v>
      </c>
      <c r="AC263">
        <v>0</v>
      </c>
      <c r="AD263">
        <v>14650082</v>
      </c>
      <c r="AE263">
        <v>81182.53</v>
      </c>
      <c r="AF263">
        <v>14568899.470000001</v>
      </c>
      <c r="AG263">
        <v>14568899.470000001</v>
      </c>
      <c r="AH263">
        <v>0</v>
      </c>
      <c r="AI263">
        <v>0</v>
      </c>
    </row>
    <row r="264" spans="13:35" x14ac:dyDescent="0.35">
      <c r="M264" t="s">
        <v>0</v>
      </c>
      <c r="N264">
        <v>4750</v>
      </c>
      <c r="O264">
        <v>240</v>
      </c>
      <c r="P264">
        <v>34</v>
      </c>
      <c r="Q264">
        <v>0</v>
      </c>
      <c r="R264">
        <v>173870318</v>
      </c>
      <c r="S264">
        <v>1047454.02</v>
      </c>
      <c r="T264">
        <v>172822863.97999999</v>
      </c>
      <c r="U264">
        <v>172822863.97999999</v>
      </c>
      <c r="V264">
        <v>0</v>
      </c>
      <c r="W264">
        <v>0</v>
      </c>
      <c r="Y264" t="s">
        <v>2</v>
      </c>
      <c r="Z264">
        <v>5750</v>
      </c>
      <c r="AA264">
        <v>240</v>
      </c>
      <c r="AB264">
        <v>80</v>
      </c>
      <c r="AC264">
        <v>0</v>
      </c>
      <c r="AD264">
        <v>392577042</v>
      </c>
      <c r="AE264">
        <v>2150610.61</v>
      </c>
      <c r="AF264">
        <v>390426431.38999999</v>
      </c>
      <c r="AG264">
        <v>390426431.38999999</v>
      </c>
      <c r="AH264">
        <v>0</v>
      </c>
      <c r="AI264">
        <v>0</v>
      </c>
    </row>
    <row r="265" spans="13:35" x14ac:dyDescent="0.35">
      <c r="M265" t="s">
        <v>2</v>
      </c>
      <c r="N265">
        <v>6250</v>
      </c>
      <c r="O265">
        <v>240</v>
      </c>
      <c r="P265">
        <v>350</v>
      </c>
      <c r="Q265">
        <v>0</v>
      </c>
      <c r="R265">
        <v>1757574247</v>
      </c>
      <c r="S265">
        <v>9244143.0600000005</v>
      </c>
      <c r="T265">
        <v>1740956115.25</v>
      </c>
      <c r="U265">
        <v>1746075731.9000001</v>
      </c>
      <c r="V265">
        <v>4.9201000000000002E-2</v>
      </c>
      <c r="W265">
        <v>1.5284000000000001E-2</v>
      </c>
      <c r="Y265" t="s">
        <v>1</v>
      </c>
      <c r="Z265">
        <v>5250</v>
      </c>
      <c r="AA265">
        <v>240</v>
      </c>
      <c r="AB265">
        <v>19</v>
      </c>
      <c r="AC265">
        <v>0</v>
      </c>
      <c r="AD265">
        <v>159512997</v>
      </c>
      <c r="AE265">
        <v>911057.74</v>
      </c>
      <c r="AF265">
        <v>158601939.25999999</v>
      </c>
      <c r="AG265">
        <v>158601939.25999999</v>
      </c>
      <c r="AH265">
        <v>0</v>
      </c>
      <c r="AI265">
        <v>0</v>
      </c>
    </row>
    <row r="266" spans="13:35" x14ac:dyDescent="0.35">
      <c r="M266" t="s">
        <v>3</v>
      </c>
      <c r="N266">
        <v>5750</v>
      </c>
      <c r="O266">
        <v>320</v>
      </c>
      <c r="P266">
        <v>16</v>
      </c>
      <c r="Q266">
        <v>0</v>
      </c>
      <c r="R266">
        <v>67891035</v>
      </c>
      <c r="S266">
        <v>479606.36</v>
      </c>
      <c r="T266">
        <v>67411428.640000001</v>
      </c>
      <c r="U266">
        <v>67411428.640000001</v>
      </c>
      <c r="V266">
        <v>0</v>
      </c>
      <c r="W266">
        <v>0</v>
      </c>
      <c r="Y266" t="s">
        <v>2</v>
      </c>
      <c r="Z266">
        <v>5250</v>
      </c>
      <c r="AA266">
        <v>240</v>
      </c>
      <c r="AB266">
        <v>30</v>
      </c>
      <c r="AC266">
        <v>0</v>
      </c>
      <c r="AD266">
        <v>137392646</v>
      </c>
      <c r="AE266">
        <v>811945.51</v>
      </c>
      <c r="AF266">
        <v>136580700.49000001</v>
      </c>
      <c r="AG266">
        <v>136580700.49000001</v>
      </c>
      <c r="AH266">
        <v>0</v>
      </c>
      <c r="AI266">
        <v>0</v>
      </c>
    </row>
    <row r="267" spans="13:35" x14ac:dyDescent="0.35">
      <c r="M267" t="s">
        <v>1</v>
      </c>
      <c r="N267">
        <v>6750</v>
      </c>
      <c r="O267">
        <v>216</v>
      </c>
      <c r="P267">
        <v>117</v>
      </c>
      <c r="Q267">
        <v>0</v>
      </c>
      <c r="R267">
        <v>811761727</v>
      </c>
      <c r="S267">
        <v>3498693.43</v>
      </c>
      <c r="T267">
        <v>808263033.57000005</v>
      </c>
      <c r="U267">
        <v>808263033.57000005</v>
      </c>
      <c r="V267">
        <v>0</v>
      </c>
      <c r="W267">
        <v>0</v>
      </c>
      <c r="Y267" t="s">
        <v>0</v>
      </c>
      <c r="Z267">
        <v>4750</v>
      </c>
      <c r="AA267">
        <v>240</v>
      </c>
      <c r="AB267">
        <v>33</v>
      </c>
      <c r="AC267">
        <v>0</v>
      </c>
      <c r="AD267">
        <v>150753149</v>
      </c>
      <c r="AE267">
        <v>930335.45</v>
      </c>
      <c r="AF267">
        <v>149822813.55000001</v>
      </c>
      <c r="AG267">
        <v>149822813.55000001</v>
      </c>
      <c r="AH267">
        <v>0</v>
      </c>
      <c r="AI267">
        <v>0</v>
      </c>
    </row>
    <row r="268" spans="13:35" x14ac:dyDescent="0.35">
      <c r="M268" t="s">
        <v>0</v>
      </c>
      <c r="N268">
        <v>6750</v>
      </c>
      <c r="O268">
        <v>216</v>
      </c>
      <c r="P268">
        <v>3291</v>
      </c>
      <c r="Q268">
        <v>0</v>
      </c>
      <c r="R268">
        <v>20147060040</v>
      </c>
      <c r="S268">
        <v>86641374.269999996</v>
      </c>
      <c r="T268">
        <v>19891380422.68</v>
      </c>
      <c r="U268">
        <v>20037372504.689999</v>
      </c>
      <c r="V268">
        <v>9.6163999999999999E-2</v>
      </c>
      <c r="W268">
        <v>1.3641E-2</v>
      </c>
      <c r="Y268" t="s">
        <v>0</v>
      </c>
      <c r="Z268">
        <v>4000</v>
      </c>
      <c r="AA268">
        <v>240</v>
      </c>
      <c r="AB268">
        <v>16</v>
      </c>
      <c r="AC268">
        <v>0</v>
      </c>
      <c r="AD268">
        <v>65028644</v>
      </c>
      <c r="AE268">
        <v>427712.3</v>
      </c>
      <c r="AF268">
        <v>64600931.700000003</v>
      </c>
      <c r="AG268">
        <v>64600931.700000003</v>
      </c>
      <c r="AH268">
        <v>0</v>
      </c>
      <c r="AI268">
        <v>0</v>
      </c>
    </row>
    <row r="269" spans="13:35" x14ac:dyDescent="0.35">
      <c r="M269" t="s">
        <v>2</v>
      </c>
      <c r="N269">
        <v>6750</v>
      </c>
      <c r="O269">
        <v>216</v>
      </c>
      <c r="P269">
        <v>663</v>
      </c>
      <c r="Q269">
        <v>0</v>
      </c>
      <c r="R269">
        <v>3383635180</v>
      </c>
      <c r="S269">
        <v>14559513.26</v>
      </c>
      <c r="T269">
        <v>3360787988.96</v>
      </c>
      <c r="U269">
        <v>3369075666.7399998</v>
      </c>
      <c r="V269">
        <v>2.8999E-2</v>
      </c>
      <c r="W269">
        <v>0</v>
      </c>
      <c r="Y269" t="s">
        <v>2</v>
      </c>
      <c r="Z269">
        <v>6250</v>
      </c>
      <c r="AA269">
        <v>240</v>
      </c>
      <c r="AB269">
        <v>327</v>
      </c>
      <c r="AC269">
        <v>0</v>
      </c>
      <c r="AD269">
        <v>1663726496</v>
      </c>
      <c r="AE269">
        <v>8791253.2300000004</v>
      </c>
      <c r="AF269">
        <v>1640154115.54</v>
      </c>
      <c r="AG269">
        <v>1654935242.77</v>
      </c>
      <c r="AH269">
        <v>0.10155400000000001</v>
      </c>
      <c r="AI269">
        <v>0</v>
      </c>
    </row>
    <row r="270" spans="13:35" x14ac:dyDescent="0.35">
      <c r="M270" t="s">
        <v>1</v>
      </c>
      <c r="N270">
        <v>4250</v>
      </c>
      <c r="O270">
        <v>192</v>
      </c>
      <c r="P270">
        <v>8724</v>
      </c>
      <c r="Q270">
        <v>0</v>
      </c>
      <c r="R270">
        <v>91532994920</v>
      </c>
      <c r="S270">
        <v>355803125.54000002</v>
      </c>
      <c r="T270">
        <v>90623946018.860001</v>
      </c>
      <c r="U270">
        <v>91091907639.490005</v>
      </c>
      <c r="V270">
        <v>7.0166999999999993E-2</v>
      </c>
      <c r="W270">
        <v>1.1124E-2</v>
      </c>
      <c r="Y270" t="s">
        <v>3</v>
      </c>
      <c r="Z270">
        <v>5750</v>
      </c>
      <c r="AA270">
        <v>240</v>
      </c>
      <c r="AB270">
        <v>2</v>
      </c>
      <c r="AC270">
        <v>0</v>
      </c>
      <c r="AD270">
        <v>10119796</v>
      </c>
      <c r="AE270">
        <v>62752.12</v>
      </c>
      <c r="AF270">
        <v>10057043.880000001</v>
      </c>
      <c r="AG270">
        <v>10057043.880000001</v>
      </c>
      <c r="AH270">
        <v>0</v>
      </c>
      <c r="AI270">
        <v>0</v>
      </c>
    </row>
    <row r="271" spans="13:35" x14ac:dyDescent="0.35">
      <c r="M271" t="s">
        <v>2</v>
      </c>
      <c r="N271">
        <v>4750</v>
      </c>
      <c r="O271">
        <v>192</v>
      </c>
      <c r="P271">
        <v>6031</v>
      </c>
      <c r="Q271">
        <v>0</v>
      </c>
      <c r="R271">
        <v>44541257626</v>
      </c>
      <c r="S271">
        <v>170931693.87</v>
      </c>
      <c r="T271">
        <v>44126093237.459999</v>
      </c>
      <c r="U271">
        <v>44353238856.110001</v>
      </c>
      <c r="V271">
        <v>6.3851000000000005E-2</v>
      </c>
      <c r="W271">
        <v>4.594E-3</v>
      </c>
      <c r="Y271" t="s">
        <v>1</v>
      </c>
      <c r="Z271">
        <v>6750</v>
      </c>
      <c r="AA271">
        <v>216</v>
      </c>
      <c r="AB271">
        <v>119</v>
      </c>
      <c r="AC271">
        <v>0</v>
      </c>
      <c r="AD271">
        <v>823075555</v>
      </c>
      <c r="AE271">
        <v>3513507.45</v>
      </c>
      <c r="AF271">
        <v>815842201.10000002</v>
      </c>
      <c r="AG271">
        <v>819562047.54999995</v>
      </c>
      <c r="AH271">
        <v>5.2905000000000001E-2</v>
      </c>
      <c r="AI271">
        <v>0</v>
      </c>
    </row>
    <row r="272" spans="13:35" x14ac:dyDescent="0.35">
      <c r="M272" t="s">
        <v>0</v>
      </c>
      <c r="N272">
        <v>2750</v>
      </c>
      <c r="O272">
        <v>240</v>
      </c>
      <c r="P272">
        <v>7</v>
      </c>
      <c r="Q272">
        <v>0</v>
      </c>
      <c r="R272">
        <v>17882003</v>
      </c>
      <c r="S272">
        <v>122849.53</v>
      </c>
      <c r="T272">
        <v>17759153.469999999</v>
      </c>
      <c r="U272">
        <v>17759153.469999999</v>
      </c>
      <c r="V272">
        <v>0</v>
      </c>
      <c r="W272">
        <v>0</v>
      </c>
      <c r="Y272" t="s">
        <v>0</v>
      </c>
      <c r="Z272">
        <v>6750</v>
      </c>
      <c r="AA272">
        <v>216</v>
      </c>
      <c r="AB272">
        <v>3436</v>
      </c>
      <c r="AC272">
        <v>0</v>
      </c>
      <c r="AD272">
        <v>21150164461</v>
      </c>
      <c r="AE272">
        <v>90265023.75</v>
      </c>
      <c r="AF272">
        <v>20878007889.459999</v>
      </c>
      <c r="AG272">
        <v>21014438137.689999</v>
      </c>
      <c r="AH272">
        <v>9.8456000000000002E-2</v>
      </c>
      <c r="AI272">
        <v>2.5491E-2</v>
      </c>
    </row>
    <row r="273" spans="13:35" x14ac:dyDescent="0.35">
      <c r="M273" t="s">
        <v>2</v>
      </c>
      <c r="N273">
        <v>2750</v>
      </c>
      <c r="O273">
        <v>240</v>
      </c>
      <c r="P273">
        <v>8</v>
      </c>
      <c r="Q273">
        <v>0</v>
      </c>
      <c r="R273">
        <v>19039794</v>
      </c>
      <c r="S273">
        <v>133227.32999999999</v>
      </c>
      <c r="T273">
        <v>18906566.670000002</v>
      </c>
      <c r="U273">
        <v>18906566.670000002</v>
      </c>
      <c r="V273">
        <v>0</v>
      </c>
      <c r="W273">
        <v>0</v>
      </c>
      <c r="Y273" t="s">
        <v>2</v>
      </c>
      <c r="Z273">
        <v>6750</v>
      </c>
      <c r="AA273">
        <v>216</v>
      </c>
      <c r="AB273">
        <v>678</v>
      </c>
      <c r="AC273">
        <v>0</v>
      </c>
      <c r="AD273">
        <v>3477807328</v>
      </c>
      <c r="AE273">
        <v>14830231.07</v>
      </c>
      <c r="AF273">
        <v>3444367863.4000001</v>
      </c>
      <c r="AG273">
        <v>3462977096.9299998</v>
      </c>
      <c r="AH273">
        <v>6.2354E-2</v>
      </c>
      <c r="AI273">
        <v>0</v>
      </c>
    </row>
    <row r="274" spans="13:35" x14ac:dyDescent="0.35">
      <c r="M274" t="s">
        <v>0</v>
      </c>
      <c r="N274">
        <v>3750</v>
      </c>
      <c r="O274">
        <v>240</v>
      </c>
      <c r="P274">
        <v>3</v>
      </c>
      <c r="Q274">
        <v>0</v>
      </c>
      <c r="R274">
        <v>9839075</v>
      </c>
      <c r="S274">
        <v>66000.509999999995</v>
      </c>
      <c r="T274">
        <v>9773074.4900000002</v>
      </c>
      <c r="U274">
        <v>9773074.4900000002</v>
      </c>
      <c r="V274">
        <v>0</v>
      </c>
      <c r="W274">
        <v>0</v>
      </c>
      <c r="Y274" t="s">
        <v>1</v>
      </c>
      <c r="Z274">
        <v>4250</v>
      </c>
      <c r="AA274">
        <v>192</v>
      </c>
      <c r="AB274">
        <v>8293</v>
      </c>
      <c r="AC274">
        <v>0</v>
      </c>
      <c r="AD274">
        <v>87922766406</v>
      </c>
      <c r="AE274">
        <v>340128693.25999999</v>
      </c>
      <c r="AF274">
        <v>87048376411.820007</v>
      </c>
      <c r="AG274">
        <v>87492223553.050003</v>
      </c>
      <c r="AH274">
        <v>7.0529999999999995E-2</v>
      </c>
      <c r="AI274">
        <v>1.227E-2</v>
      </c>
    </row>
    <row r="275" spans="13:35" x14ac:dyDescent="0.35">
      <c r="M275" t="s">
        <v>3</v>
      </c>
      <c r="N275">
        <v>6250</v>
      </c>
      <c r="O275">
        <v>240</v>
      </c>
      <c r="P275">
        <v>27</v>
      </c>
      <c r="Q275">
        <v>0</v>
      </c>
      <c r="R275">
        <v>147727030</v>
      </c>
      <c r="S275">
        <v>774520.74</v>
      </c>
      <c r="T275">
        <v>146952509.25999999</v>
      </c>
      <c r="U275">
        <v>146952509.25999999</v>
      </c>
      <c r="V275">
        <v>0</v>
      </c>
      <c r="W275">
        <v>0</v>
      </c>
      <c r="Y275" t="s">
        <v>2</v>
      </c>
      <c r="Z275">
        <v>4750</v>
      </c>
      <c r="AA275">
        <v>192</v>
      </c>
      <c r="AB275">
        <v>6085</v>
      </c>
      <c r="AC275">
        <v>0</v>
      </c>
      <c r="AD275">
        <v>45145481659</v>
      </c>
      <c r="AE275">
        <v>171967974.97</v>
      </c>
      <c r="AF275">
        <v>44710554254.900002</v>
      </c>
      <c r="AG275">
        <v>44939084860.160004</v>
      </c>
      <c r="AH275">
        <v>6.7699999999999996E-2</v>
      </c>
      <c r="AI275">
        <v>9.1129999999999996E-3</v>
      </c>
    </row>
    <row r="276" spans="13:35" x14ac:dyDescent="0.35">
      <c r="M276" t="s">
        <v>1</v>
      </c>
      <c r="N276">
        <v>5750</v>
      </c>
      <c r="O276">
        <v>240</v>
      </c>
      <c r="P276">
        <v>165</v>
      </c>
      <c r="Q276">
        <v>0</v>
      </c>
      <c r="R276">
        <v>1285327104</v>
      </c>
      <c r="S276">
        <v>7081693.3799999999</v>
      </c>
      <c r="T276">
        <v>1278245410.6199999</v>
      </c>
      <c r="U276">
        <v>1278245410.6199999</v>
      </c>
      <c r="V276">
        <v>0</v>
      </c>
      <c r="W276">
        <v>0</v>
      </c>
      <c r="Y276" t="s">
        <v>0</v>
      </c>
      <c r="Z276">
        <v>2750</v>
      </c>
      <c r="AA276">
        <v>240</v>
      </c>
      <c r="AB276">
        <v>7</v>
      </c>
      <c r="AC276">
        <v>0</v>
      </c>
      <c r="AD276">
        <v>18051930</v>
      </c>
      <c r="AE276">
        <v>122903.16</v>
      </c>
      <c r="AF276">
        <v>17929026.84</v>
      </c>
      <c r="AG276">
        <v>17929026.84</v>
      </c>
      <c r="AH276">
        <v>0</v>
      </c>
      <c r="AI276">
        <v>0</v>
      </c>
    </row>
    <row r="277" spans="13:35" x14ac:dyDescent="0.35">
      <c r="M277" t="s">
        <v>1</v>
      </c>
      <c r="N277">
        <v>5250</v>
      </c>
      <c r="O277">
        <v>240</v>
      </c>
      <c r="P277">
        <v>20</v>
      </c>
      <c r="Q277">
        <v>0</v>
      </c>
      <c r="R277">
        <v>179071750</v>
      </c>
      <c r="S277">
        <v>985158.29</v>
      </c>
      <c r="T277">
        <v>178086591.71000001</v>
      </c>
      <c r="U277">
        <v>178086591.71000001</v>
      </c>
      <c r="V277">
        <v>0</v>
      </c>
      <c r="W277">
        <v>0</v>
      </c>
      <c r="Y277" t="s">
        <v>2</v>
      </c>
      <c r="Z277">
        <v>2750</v>
      </c>
      <c r="AA277">
        <v>240</v>
      </c>
      <c r="AB277">
        <v>8</v>
      </c>
      <c r="AC277">
        <v>0</v>
      </c>
      <c r="AD277">
        <v>19247774</v>
      </c>
      <c r="AE277">
        <v>133457.32</v>
      </c>
      <c r="AF277">
        <v>19114316.68</v>
      </c>
      <c r="AG277">
        <v>19114316.68</v>
      </c>
      <c r="AH277">
        <v>0</v>
      </c>
      <c r="AI277">
        <v>0</v>
      </c>
    </row>
    <row r="278" spans="13:35" x14ac:dyDescent="0.35">
      <c r="M278" t="s">
        <v>1</v>
      </c>
      <c r="N278">
        <v>4000</v>
      </c>
      <c r="O278">
        <v>240</v>
      </c>
      <c r="P278">
        <v>2</v>
      </c>
      <c r="Q278">
        <v>0</v>
      </c>
      <c r="R278">
        <v>8193105</v>
      </c>
      <c r="S278">
        <v>54564.01</v>
      </c>
      <c r="T278">
        <v>8138540.9900000002</v>
      </c>
      <c r="U278">
        <v>8138540.9900000002</v>
      </c>
      <c r="V278">
        <v>0</v>
      </c>
      <c r="W278">
        <v>0</v>
      </c>
      <c r="Y278" t="s">
        <v>0</v>
      </c>
      <c r="Z278">
        <v>3750</v>
      </c>
      <c r="AA278">
        <v>240</v>
      </c>
      <c r="AB278">
        <v>3</v>
      </c>
      <c r="AC278">
        <v>0</v>
      </c>
      <c r="AD278">
        <v>9938461</v>
      </c>
      <c r="AE278">
        <v>66024.61</v>
      </c>
      <c r="AF278">
        <v>9872436.3900000006</v>
      </c>
      <c r="AG278">
        <v>9872436.3900000006</v>
      </c>
      <c r="AH278">
        <v>0</v>
      </c>
      <c r="AI278">
        <v>0</v>
      </c>
    </row>
    <row r="279" spans="13:35" x14ac:dyDescent="0.35">
      <c r="M279" t="s">
        <v>0</v>
      </c>
      <c r="N279">
        <v>4000</v>
      </c>
      <c r="O279">
        <v>240</v>
      </c>
      <c r="P279">
        <v>15</v>
      </c>
      <c r="Q279">
        <v>0</v>
      </c>
      <c r="R279">
        <v>62609073</v>
      </c>
      <c r="S279">
        <v>415497.58</v>
      </c>
      <c r="T279">
        <v>62193575.420000002</v>
      </c>
      <c r="U279">
        <v>62193575.420000002</v>
      </c>
      <c r="V279">
        <v>0</v>
      </c>
      <c r="W279">
        <v>0</v>
      </c>
      <c r="Y279" t="s">
        <v>3</v>
      </c>
      <c r="Z279">
        <v>6250</v>
      </c>
      <c r="AA279">
        <v>240</v>
      </c>
      <c r="AB279">
        <v>29</v>
      </c>
      <c r="AC279">
        <v>0</v>
      </c>
      <c r="AD279">
        <v>157982892</v>
      </c>
      <c r="AE279">
        <v>827589.5</v>
      </c>
      <c r="AF279">
        <v>157155302.5</v>
      </c>
      <c r="AG279">
        <v>157155302.5</v>
      </c>
      <c r="AH279">
        <v>0</v>
      </c>
      <c r="AI279">
        <v>0</v>
      </c>
    </row>
    <row r="280" spans="13:35" x14ac:dyDescent="0.35">
      <c r="M280" t="s">
        <v>2</v>
      </c>
      <c r="N280">
        <v>3750</v>
      </c>
      <c r="O280">
        <v>240</v>
      </c>
      <c r="P280">
        <v>7</v>
      </c>
      <c r="Q280">
        <v>0</v>
      </c>
      <c r="R280">
        <v>27388926</v>
      </c>
      <c r="S280">
        <v>172563.41</v>
      </c>
      <c r="T280">
        <v>27216362.59</v>
      </c>
      <c r="U280">
        <v>27216362.59</v>
      </c>
      <c r="V280">
        <v>0</v>
      </c>
      <c r="W280">
        <v>0</v>
      </c>
      <c r="Y280" t="s">
        <v>1</v>
      </c>
      <c r="Z280">
        <v>5750</v>
      </c>
      <c r="AA280">
        <v>240</v>
      </c>
      <c r="AB280">
        <v>164</v>
      </c>
      <c r="AC280">
        <v>0</v>
      </c>
      <c r="AD280">
        <v>1240257502</v>
      </c>
      <c r="AE280">
        <v>6945940.4500000002</v>
      </c>
      <c r="AF280">
        <v>1232019828.51</v>
      </c>
      <c r="AG280">
        <v>1233311561.55</v>
      </c>
      <c r="AH280">
        <v>1.2427000000000001E-2</v>
      </c>
      <c r="AI280">
        <v>0</v>
      </c>
    </row>
    <row r="281" spans="13:35" x14ac:dyDescent="0.35">
      <c r="M281" t="s">
        <v>3</v>
      </c>
      <c r="N281">
        <v>5250</v>
      </c>
      <c r="O281">
        <v>240</v>
      </c>
      <c r="P281">
        <v>1</v>
      </c>
      <c r="Q281">
        <v>0</v>
      </c>
      <c r="R281">
        <v>1500330</v>
      </c>
      <c r="S281">
        <v>8485.3700000000008</v>
      </c>
      <c r="T281">
        <v>1491844.63</v>
      </c>
      <c r="U281">
        <v>1491844.63</v>
      </c>
      <c r="V281">
        <v>0</v>
      </c>
      <c r="W281">
        <v>0</v>
      </c>
      <c r="Y281" t="s">
        <v>1</v>
      </c>
      <c r="Z281">
        <v>4000</v>
      </c>
      <c r="AA281">
        <v>240</v>
      </c>
      <c r="AB281">
        <v>2</v>
      </c>
      <c r="AC281">
        <v>0</v>
      </c>
      <c r="AD281">
        <v>8259627</v>
      </c>
      <c r="AE281">
        <v>54463.23</v>
      </c>
      <c r="AF281">
        <v>8205163.7699999996</v>
      </c>
      <c r="AG281">
        <v>8205163.7699999996</v>
      </c>
      <c r="AH281">
        <v>0</v>
      </c>
      <c r="AI281">
        <v>0</v>
      </c>
    </row>
    <row r="282" spans="13:35" x14ac:dyDescent="0.35">
      <c r="M282" t="s">
        <v>3</v>
      </c>
      <c r="N282">
        <v>7000</v>
      </c>
      <c r="O282">
        <v>240</v>
      </c>
      <c r="P282">
        <v>16</v>
      </c>
      <c r="Q282">
        <v>0</v>
      </c>
      <c r="R282">
        <v>140916304</v>
      </c>
      <c r="S282">
        <v>716717.48</v>
      </c>
      <c r="T282">
        <v>140199586.52000001</v>
      </c>
      <c r="U282">
        <v>140199586.52000001</v>
      </c>
      <c r="V282">
        <v>0</v>
      </c>
      <c r="W282">
        <v>0</v>
      </c>
      <c r="Y282" t="s">
        <v>2</v>
      </c>
      <c r="Z282">
        <v>3750</v>
      </c>
      <c r="AA282">
        <v>240</v>
      </c>
      <c r="AB282">
        <v>7</v>
      </c>
      <c r="AC282">
        <v>0</v>
      </c>
      <c r="AD282">
        <v>27699493</v>
      </c>
      <c r="AE282">
        <v>172935.94</v>
      </c>
      <c r="AF282">
        <v>27526557.059999999</v>
      </c>
      <c r="AG282">
        <v>27526557.059999999</v>
      </c>
      <c r="AH282">
        <v>0</v>
      </c>
      <c r="AI282">
        <v>0</v>
      </c>
    </row>
    <row r="283" spans="13:35" x14ac:dyDescent="0.35">
      <c r="M283" t="s">
        <v>2</v>
      </c>
      <c r="N283">
        <v>6750</v>
      </c>
      <c r="O283">
        <v>240</v>
      </c>
      <c r="P283">
        <v>825</v>
      </c>
      <c r="Q283">
        <v>0</v>
      </c>
      <c r="R283">
        <v>3666072629</v>
      </c>
      <c r="S283">
        <v>18752493.870000001</v>
      </c>
      <c r="T283">
        <v>3614042652.9299998</v>
      </c>
      <c r="U283">
        <v>3642781315.8600001</v>
      </c>
      <c r="V283">
        <v>0.10364900000000001</v>
      </c>
      <c r="W283">
        <v>1.4756E-2</v>
      </c>
      <c r="Y283" t="s">
        <v>3</v>
      </c>
      <c r="Z283">
        <v>5250</v>
      </c>
      <c r="AA283">
        <v>240</v>
      </c>
      <c r="AB283">
        <v>1</v>
      </c>
      <c r="AC283">
        <v>0</v>
      </c>
      <c r="AD283">
        <v>1577344</v>
      </c>
      <c r="AE283">
        <v>8833.26</v>
      </c>
      <c r="AF283">
        <v>1568510.74</v>
      </c>
      <c r="AG283">
        <v>1568510.74</v>
      </c>
      <c r="AH283">
        <v>0</v>
      </c>
      <c r="AI283">
        <v>0</v>
      </c>
    </row>
    <row r="284" spans="13:35" x14ac:dyDescent="0.35">
      <c r="M284" t="s">
        <v>0</v>
      </c>
      <c r="N284">
        <v>3000</v>
      </c>
      <c r="O284">
        <v>240</v>
      </c>
      <c r="P284">
        <v>3</v>
      </c>
      <c r="Q284">
        <v>0</v>
      </c>
      <c r="R284">
        <v>8323485</v>
      </c>
      <c r="S284">
        <v>58630.29</v>
      </c>
      <c r="T284">
        <v>8264854.71</v>
      </c>
      <c r="U284">
        <v>8264854.71</v>
      </c>
      <c r="V284">
        <v>0</v>
      </c>
      <c r="W284">
        <v>0</v>
      </c>
      <c r="Y284" t="s">
        <v>3</v>
      </c>
      <c r="Z284">
        <v>7000</v>
      </c>
      <c r="AA284">
        <v>240</v>
      </c>
      <c r="AB284">
        <v>16</v>
      </c>
      <c r="AC284">
        <v>0</v>
      </c>
      <c r="AD284">
        <v>141841132</v>
      </c>
      <c r="AE284">
        <v>713702.47</v>
      </c>
      <c r="AF284">
        <v>141127429.53</v>
      </c>
      <c r="AG284">
        <v>141127429.53</v>
      </c>
      <c r="AH284">
        <v>0</v>
      </c>
      <c r="AI284">
        <v>0</v>
      </c>
    </row>
    <row r="285" spans="13:35" x14ac:dyDescent="0.35">
      <c r="M285" t="s">
        <v>1</v>
      </c>
      <c r="N285">
        <v>6750</v>
      </c>
      <c r="O285">
        <v>240</v>
      </c>
      <c r="P285">
        <v>356</v>
      </c>
      <c r="Q285">
        <v>0</v>
      </c>
      <c r="R285">
        <v>2422645044</v>
      </c>
      <c r="S285">
        <v>12539071.1</v>
      </c>
      <c r="T285">
        <v>2405095945.6799998</v>
      </c>
      <c r="U285">
        <v>2410105972.9000001</v>
      </c>
      <c r="V285">
        <v>2.4535999999999999E-2</v>
      </c>
      <c r="W285">
        <v>0</v>
      </c>
      <c r="Y285" t="s">
        <v>2</v>
      </c>
      <c r="Z285">
        <v>6750</v>
      </c>
      <c r="AA285">
        <v>240</v>
      </c>
      <c r="AB285">
        <v>837</v>
      </c>
      <c r="AC285">
        <v>0</v>
      </c>
      <c r="AD285">
        <v>3710144005</v>
      </c>
      <c r="AE285">
        <v>18865859.120000001</v>
      </c>
      <c r="AF285">
        <v>3676052620.0700002</v>
      </c>
      <c r="AG285">
        <v>3691278145.8800001</v>
      </c>
      <c r="AH285">
        <v>4.8148999999999997E-2</v>
      </c>
      <c r="AI285">
        <v>0</v>
      </c>
    </row>
    <row r="286" spans="13:35" x14ac:dyDescent="0.35">
      <c r="M286" t="s">
        <v>2</v>
      </c>
      <c r="N286">
        <v>4000</v>
      </c>
      <c r="O286">
        <v>240</v>
      </c>
      <c r="P286">
        <v>2</v>
      </c>
      <c r="Q286">
        <v>0</v>
      </c>
      <c r="R286">
        <v>5444154</v>
      </c>
      <c r="S286">
        <v>35682.19</v>
      </c>
      <c r="T286">
        <v>5408471.8099999996</v>
      </c>
      <c r="U286">
        <v>5408471.8099999996</v>
      </c>
      <c r="V286">
        <v>0</v>
      </c>
      <c r="W286">
        <v>0</v>
      </c>
      <c r="Y286" t="s">
        <v>0</v>
      </c>
      <c r="Z286">
        <v>3000</v>
      </c>
      <c r="AA286">
        <v>240</v>
      </c>
      <c r="AB286">
        <v>3</v>
      </c>
      <c r="AC286">
        <v>0</v>
      </c>
      <c r="AD286">
        <v>8569373</v>
      </c>
      <c r="AE286">
        <v>59794.54</v>
      </c>
      <c r="AF286">
        <v>8509578.4600000009</v>
      </c>
      <c r="AG286">
        <v>8509578.4600000009</v>
      </c>
      <c r="AH286">
        <v>0</v>
      </c>
      <c r="AI286">
        <v>0</v>
      </c>
    </row>
    <row r="287" spans="13:35" x14ac:dyDescent="0.35">
      <c r="M287" t="s">
        <v>1</v>
      </c>
      <c r="N287">
        <v>2750</v>
      </c>
      <c r="O287">
        <v>240</v>
      </c>
      <c r="P287">
        <v>1</v>
      </c>
      <c r="Q287">
        <v>0</v>
      </c>
      <c r="R287">
        <v>4738981</v>
      </c>
      <c r="S287">
        <v>33538.94</v>
      </c>
      <c r="T287">
        <v>4705442.0599999996</v>
      </c>
      <c r="U287">
        <v>4705442.0599999996</v>
      </c>
      <c r="V287">
        <v>0</v>
      </c>
      <c r="W287">
        <v>0</v>
      </c>
      <c r="Y287" t="s">
        <v>1</v>
      </c>
      <c r="Z287">
        <v>6750</v>
      </c>
      <c r="AA287">
        <v>240</v>
      </c>
      <c r="AB287">
        <v>363</v>
      </c>
      <c r="AC287">
        <v>0</v>
      </c>
      <c r="AD287">
        <v>2474137233</v>
      </c>
      <c r="AE287">
        <v>12692256.810000001</v>
      </c>
      <c r="AF287">
        <v>2447694027.2199998</v>
      </c>
      <c r="AG287">
        <v>2461444976.1900001</v>
      </c>
      <c r="AH287">
        <v>6.4693000000000001E-2</v>
      </c>
      <c r="AI287">
        <v>0</v>
      </c>
    </row>
    <row r="288" spans="13:35" x14ac:dyDescent="0.35">
      <c r="M288" t="s">
        <v>2</v>
      </c>
      <c r="N288">
        <v>7000</v>
      </c>
      <c r="O288">
        <v>216</v>
      </c>
      <c r="P288">
        <v>350</v>
      </c>
      <c r="Q288">
        <v>0</v>
      </c>
      <c r="R288">
        <v>1601853108</v>
      </c>
      <c r="S288">
        <v>6794647.5300000003</v>
      </c>
      <c r="T288">
        <v>1584970536.3199999</v>
      </c>
      <c r="U288">
        <v>1585881777.98</v>
      </c>
      <c r="V288">
        <v>7.3008000000000003E-2</v>
      </c>
      <c r="W288">
        <v>6.6619999999999999E-2</v>
      </c>
      <c r="Y288" t="s">
        <v>2</v>
      </c>
      <c r="Z288">
        <v>4000</v>
      </c>
      <c r="AA288">
        <v>240</v>
      </c>
      <c r="AB288">
        <v>2</v>
      </c>
      <c r="AC288">
        <v>0</v>
      </c>
      <c r="AD288">
        <v>5512998</v>
      </c>
      <c r="AE288">
        <v>35788.39</v>
      </c>
      <c r="AF288">
        <v>5477209.6100000003</v>
      </c>
      <c r="AG288">
        <v>5477209.6100000003</v>
      </c>
      <c r="AH288">
        <v>0</v>
      </c>
      <c r="AI288">
        <v>0</v>
      </c>
    </row>
    <row r="289" spans="13:35" x14ac:dyDescent="0.35">
      <c r="M289" t="s">
        <v>2</v>
      </c>
      <c r="N289">
        <v>5000</v>
      </c>
      <c r="O289">
        <v>240</v>
      </c>
      <c r="P289">
        <v>13</v>
      </c>
      <c r="Q289">
        <v>0</v>
      </c>
      <c r="R289">
        <v>82682261</v>
      </c>
      <c r="S289">
        <v>449890.06</v>
      </c>
      <c r="T289">
        <v>82232370.939999998</v>
      </c>
      <c r="U289">
        <v>82232370.939999998</v>
      </c>
      <c r="V289">
        <v>0</v>
      </c>
      <c r="W289">
        <v>0</v>
      </c>
      <c r="Y289" t="s">
        <v>1</v>
      </c>
      <c r="Z289">
        <v>2750</v>
      </c>
      <c r="AA289">
        <v>240</v>
      </c>
      <c r="AB289">
        <v>1</v>
      </c>
      <c r="AC289">
        <v>0</v>
      </c>
      <c r="AD289">
        <v>4773750</v>
      </c>
      <c r="AE289">
        <v>33473.629999999997</v>
      </c>
      <c r="AF289">
        <v>4740276.37</v>
      </c>
      <c r="AG289">
        <v>4740276.37</v>
      </c>
      <c r="AH289">
        <v>0</v>
      </c>
      <c r="AI289">
        <v>0</v>
      </c>
    </row>
    <row r="290" spans="13:35" x14ac:dyDescent="0.35">
      <c r="M290" t="s">
        <v>0</v>
      </c>
      <c r="N290">
        <v>6000</v>
      </c>
      <c r="O290">
        <v>192</v>
      </c>
      <c r="P290">
        <v>653</v>
      </c>
      <c r="Q290">
        <v>0</v>
      </c>
      <c r="R290">
        <v>3893330816</v>
      </c>
      <c r="S290">
        <v>14214476.939999999</v>
      </c>
      <c r="T290">
        <v>3828813480.8600001</v>
      </c>
      <c r="U290">
        <v>3860477713.79</v>
      </c>
      <c r="V290">
        <v>0.144487</v>
      </c>
      <c r="W290">
        <v>5.5959000000000002E-2</v>
      </c>
      <c r="Y290" t="s">
        <v>2</v>
      </c>
      <c r="Z290">
        <v>7000</v>
      </c>
      <c r="AA290">
        <v>216</v>
      </c>
      <c r="AB290">
        <v>358</v>
      </c>
      <c r="AC290">
        <v>0</v>
      </c>
      <c r="AD290">
        <v>1650091707</v>
      </c>
      <c r="AE290">
        <v>6935356.3899999997</v>
      </c>
      <c r="AF290">
        <v>1629711987.7</v>
      </c>
      <c r="AG290">
        <v>1635608722.76</v>
      </c>
      <c r="AH290">
        <v>9.3507000000000007E-2</v>
      </c>
      <c r="AI290">
        <v>5.3529E-2</v>
      </c>
    </row>
    <row r="291" spans="13:35" x14ac:dyDescent="0.35">
      <c r="M291" t="s">
        <v>3</v>
      </c>
      <c r="N291">
        <v>5000</v>
      </c>
      <c r="O291">
        <v>192</v>
      </c>
      <c r="P291">
        <v>154</v>
      </c>
      <c r="Q291">
        <v>0</v>
      </c>
      <c r="R291">
        <v>1342981755</v>
      </c>
      <c r="S291">
        <v>5216680.43</v>
      </c>
      <c r="T291">
        <v>1337765074.5699999</v>
      </c>
      <c r="U291">
        <v>1337765074.5699999</v>
      </c>
      <c r="V291">
        <v>0</v>
      </c>
      <c r="W291">
        <v>0</v>
      </c>
      <c r="Y291" t="s">
        <v>0</v>
      </c>
      <c r="Z291">
        <v>6000</v>
      </c>
      <c r="AA291">
        <v>192</v>
      </c>
      <c r="AB291">
        <v>754</v>
      </c>
      <c r="AC291">
        <v>0</v>
      </c>
      <c r="AD291">
        <v>4475277841</v>
      </c>
      <c r="AE291">
        <v>16319931.77</v>
      </c>
      <c r="AF291">
        <v>4429188211.0500002</v>
      </c>
      <c r="AG291">
        <v>4455268854.3999996</v>
      </c>
      <c r="AH291">
        <v>7.6967999999999995E-2</v>
      </c>
      <c r="AI291">
        <v>9.8469999999999999E-3</v>
      </c>
    </row>
    <row r="292" spans="13:35" x14ac:dyDescent="0.35">
      <c r="M292" t="s">
        <v>3</v>
      </c>
      <c r="N292">
        <v>7500</v>
      </c>
      <c r="O292">
        <v>216</v>
      </c>
      <c r="P292">
        <v>4</v>
      </c>
      <c r="Q292">
        <v>0</v>
      </c>
      <c r="R292">
        <v>26958926</v>
      </c>
      <c r="S292">
        <v>109850.22</v>
      </c>
      <c r="T292">
        <v>26849075.780000001</v>
      </c>
      <c r="U292">
        <v>26849075.780000001</v>
      </c>
      <c r="V292">
        <v>0</v>
      </c>
      <c r="W292">
        <v>0</v>
      </c>
      <c r="Y292" t="s">
        <v>3</v>
      </c>
      <c r="Z292">
        <v>5000</v>
      </c>
      <c r="AA292">
        <v>192</v>
      </c>
      <c r="AB292">
        <v>158</v>
      </c>
      <c r="AC292">
        <v>0</v>
      </c>
      <c r="AD292">
        <v>1386011490</v>
      </c>
      <c r="AE292">
        <v>5351436.4000000004</v>
      </c>
      <c r="AF292">
        <v>1380660053.5999999</v>
      </c>
      <c r="AG292">
        <v>1380660053.5999999</v>
      </c>
      <c r="AH292">
        <v>0</v>
      </c>
      <c r="AI292">
        <v>0</v>
      </c>
    </row>
    <row r="293" spans="13:35" x14ac:dyDescent="0.35">
      <c r="M293" t="s">
        <v>0</v>
      </c>
      <c r="N293">
        <v>6500</v>
      </c>
      <c r="O293">
        <v>192</v>
      </c>
      <c r="P293">
        <v>117</v>
      </c>
      <c r="Q293">
        <v>0</v>
      </c>
      <c r="R293">
        <v>790724791</v>
      </c>
      <c r="S293">
        <v>2682565.38</v>
      </c>
      <c r="T293">
        <v>780490413.90999997</v>
      </c>
      <c r="U293">
        <v>788042225.62</v>
      </c>
      <c r="V293">
        <v>0.108774</v>
      </c>
      <c r="W293">
        <v>0</v>
      </c>
      <c r="Y293" t="s">
        <v>3</v>
      </c>
      <c r="Z293">
        <v>7500</v>
      </c>
      <c r="AA293">
        <v>216</v>
      </c>
      <c r="AB293">
        <v>4</v>
      </c>
      <c r="AC293">
        <v>0</v>
      </c>
      <c r="AD293">
        <v>27170714</v>
      </c>
      <c r="AE293">
        <v>109583.57</v>
      </c>
      <c r="AF293">
        <v>27061130.43</v>
      </c>
      <c r="AG293">
        <v>27061130.43</v>
      </c>
      <c r="AH293">
        <v>0</v>
      </c>
      <c r="AI293">
        <v>0</v>
      </c>
    </row>
    <row r="294" spans="13:35" x14ac:dyDescent="0.35">
      <c r="M294" t="s">
        <v>0</v>
      </c>
      <c r="N294">
        <v>7000</v>
      </c>
      <c r="O294">
        <v>192</v>
      </c>
      <c r="P294">
        <v>1</v>
      </c>
      <c r="Q294">
        <v>0</v>
      </c>
      <c r="R294">
        <v>7611429</v>
      </c>
      <c r="S294">
        <v>26549.01</v>
      </c>
      <c r="T294">
        <v>7584879.9900000002</v>
      </c>
      <c r="U294">
        <v>7584879.9900000002</v>
      </c>
      <c r="V294">
        <v>0</v>
      </c>
      <c r="W294">
        <v>0</v>
      </c>
      <c r="Y294" t="s">
        <v>2</v>
      </c>
      <c r="Z294">
        <v>5000</v>
      </c>
      <c r="AA294">
        <v>240</v>
      </c>
      <c r="AB294">
        <v>8</v>
      </c>
      <c r="AC294">
        <v>0</v>
      </c>
      <c r="AD294">
        <v>49541002</v>
      </c>
      <c r="AE294">
        <v>277292.69</v>
      </c>
      <c r="AF294">
        <v>49263709.310000002</v>
      </c>
      <c r="AG294">
        <v>49263709.310000002</v>
      </c>
      <c r="AH294">
        <v>0</v>
      </c>
      <c r="AI294">
        <v>0</v>
      </c>
    </row>
    <row r="295" spans="13:35" x14ac:dyDescent="0.35">
      <c r="M295" t="s">
        <v>1</v>
      </c>
      <c r="N295">
        <v>4500</v>
      </c>
      <c r="O295">
        <v>84</v>
      </c>
      <c r="P295">
        <v>4524</v>
      </c>
      <c r="Q295">
        <v>0</v>
      </c>
      <c r="R295">
        <v>77034338048</v>
      </c>
      <c r="S295">
        <v>158615056.33000001</v>
      </c>
      <c r="T295">
        <v>76095650089.259995</v>
      </c>
      <c r="U295">
        <v>76664334492.789993</v>
      </c>
      <c r="V295">
        <v>0.114971</v>
      </c>
      <c r="W295">
        <v>3.2437000000000001E-2</v>
      </c>
      <c r="Y295" t="s">
        <v>0</v>
      </c>
      <c r="Z295">
        <v>6500</v>
      </c>
      <c r="AA295">
        <v>192</v>
      </c>
      <c r="AB295">
        <v>122</v>
      </c>
      <c r="AC295">
        <v>0</v>
      </c>
      <c r="AD295">
        <v>825395320</v>
      </c>
      <c r="AE295">
        <v>2804483.72</v>
      </c>
      <c r="AF295">
        <v>822590836.27999997</v>
      </c>
      <c r="AG295">
        <v>822590836.27999997</v>
      </c>
      <c r="AH295">
        <v>0</v>
      </c>
      <c r="AI295">
        <v>0</v>
      </c>
    </row>
    <row r="296" spans="13:35" x14ac:dyDescent="0.35">
      <c r="M296" t="s">
        <v>3</v>
      </c>
      <c r="N296">
        <v>4500</v>
      </c>
      <c r="O296">
        <v>192</v>
      </c>
      <c r="P296">
        <v>171</v>
      </c>
      <c r="Q296">
        <v>0</v>
      </c>
      <c r="R296">
        <v>1796754203</v>
      </c>
      <c r="S296">
        <v>7000702.0800000001</v>
      </c>
      <c r="T296">
        <v>1770890572.71</v>
      </c>
      <c r="U296">
        <v>1789753500.9200001</v>
      </c>
      <c r="V296">
        <v>0.118954</v>
      </c>
      <c r="W296">
        <v>0</v>
      </c>
      <c r="Y296" t="s">
        <v>0</v>
      </c>
      <c r="Z296">
        <v>7000</v>
      </c>
      <c r="AA296">
        <v>192</v>
      </c>
      <c r="AB296">
        <v>4</v>
      </c>
      <c r="AC296">
        <v>0</v>
      </c>
      <c r="AD296">
        <v>25249493</v>
      </c>
      <c r="AE296">
        <v>88399.87</v>
      </c>
      <c r="AF296">
        <v>25161093.129999999</v>
      </c>
      <c r="AG296">
        <v>25161093.129999999</v>
      </c>
      <c r="AH296">
        <v>0</v>
      </c>
      <c r="AI296">
        <v>0</v>
      </c>
    </row>
    <row r="297" spans="13:35" x14ac:dyDescent="0.35">
      <c r="M297" t="s">
        <v>3</v>
      </c>
      <c r="N297">
        <v>7000</v>
      </c>
      <c r="O297">
        <v>216</v>
      </c>
      <c r="P297">
        <v>7</v>
      </c>
      <c r="Q297">
        <v>0</v>
      </c>
      <c r="R297">
        <v>32807720</v>
      </c>
      <c r="S297">
        <v>139258.16</v>
      </c>
      <c r="T297">
        <v>32668461.84</v>
      </c>
      <c r="U297">
        <v>32668461.84</v>
      </c>
      <c r="V297">
        <v>0</v>
      </c>
      <c r="W297">
        <v>0</v>
      </c>
      <c r="Y297" t="s">
        <v>1</v>
      </c>
      <c r="Z297">
        <v>4500</v>
      </c>
      <c r="AA297">
        <v>84</v>
      </c>
      <c r="AB297">
        <v>5088</v>
      </c>
      <c r="AC297">
        <v>0</v>
      </c>
      <c r="AD297">
        <v>87761540614</v>
      </c>
      <c r="AE297">
        <v>180373627.34999999</v>
      </c>
      <c r="AF297">
        <v>86867313725.25</v>
      </c>
      <c r="AG297">
        <v>87478094191.910004</v>
      </c>
      <c r="AH297">
        <v>9.3357999999999997E-2</v>
      </c>
      <c r="AI297">
        <v>1.4003E-2</v>
      </c>
    </row>
    <row r="298" spans="13:35" x14ac:dyDescent="0.35">
      <c r="M298" t="s">
        <v>1</v>
      </c>
      <c r="N298">
        <v>7500</v>
      </c>
      <c r="O298">
        <v>216</v>
      </c>
      <c r="P298">
        <v>8</v>
      </c>
      <c r="Q298">
        <v>0</v>
      </c>
      <c r="R298">
        <v>36406625</v>
      </c>
      <c r="S298">
        <v>147357.88</v>
      </c>
      <c r="T298">
        <v>36259267.119999997</v>
      </c>
      <c r="U298">
        <v>36259267.119999997</v>
      </c>
      <c r="V298">
        <v>0</v>
      </c>
      <c r="W298">
        <v>0</v>
      </c>
      <c r="Y298" t="s">
        <v>0</v>
      </c>
      <c r="Z298">
        <v>5250</v>
      </c>
      <c r="AA298">
        <v>216</v>
      </c>
      <c r="AB298">
        <v>21289</v>
      </c>
      <c r="AC298">
        <v>0</v>
      </c>
      <c r="AD298">
        <v>174427254580</v>
      </c>
      <c r="AE298">
        <v>736602468.64999998</v>
      </c>
      <c r="AF298">
        <v>172774077707.25</v>
      </c>
      <c r="AG298">
        <v>173560111625.73999</v>
      </c>
      <c r="AH298">
        <v>6.1266000000000001E-2</v>
      </c>
      <c r="AI298">
        <v>8.9440000000000006E-3</v>
      </c>
    </row>
    <row r="299" spans="13:35" x14ac:dyDescent="0.35">
      <c r="M299" t="s">
        <v>1</v>
      </c>
      <c r="N299">
        <v>4000</v>
      </c>
      <c r="O299">
        <v>84</v>
      </c>
      <c r="P299">
        <v>14259</v>
      </c>
      <c r="Q299">
        <v>0</v>
      </c>
      <c r="R299">
        <v>270844015164</v>
      </c>
      <c r="S299">
        <v>590012756.63999999</v>
      </c>
      <c r="T299">
        <v>268487117820.42001</v>
      </c>
      <c r="U299">
        <v>270107631207.5</v>
      </c>
      <c r="V299">
        <v>7.5535000000000005E-2</v>
      </c>
      <c r="W299">
        <v>6.4660000000000004E-3</v>
      </c>
      <c r="Y299" t="s">
        <v>3</v>
      </c>
      <c r="Z299">
        <v>4500</v>
      </c>
      <c r="AA299">
        <v>192</v>
      </c>
      <c r="AB299">
        <v>166</v>
      </c>
      <c r="AC299">
        <v>0</v>
      </c>
      <c r="AD299">
        <v>1747022749</v>
      </c>
      <c r="AE299">
        <v>6771836.5499999998</v>
      </c>
      <c r="AF299">
        <v>1740250912.45</v>
      </c>
      <c r="AG299">
        <v>1740250912.45</v>
      </c>
      <c r="AH299">
        <v>0</v>
      </c>
      <c r="AI299">
        <v>0</v>
      </c>
    </row>
    <row r="300" spans="13:35" x14ac:dyDescent="0.35">
      <c r="M300" t="s">
        <v>0</v>
      </c>
      <c r="N300">
        <v>5250</v>
      </c>
      <c r="O300">
        <v>216</v>
      </c>
      <c r="P300">
        <v>23744</v>
      </c>
      <c r="Q300">
        <v>0</v>
      </c>
      <c r="R300">
        <v>192979314452</v>
      </c>
      <c r="S300">
        <v>818116465.95000005</v>
      </c>
      <c r="T300">
        <v>191187685289.85999</v>
      </c>
      <c r="U300">
        <v>192106021343.23999</v>
      </c>
      <c r="V300">
        <v>5.8883999999999999E-2</v>
      </c>
      <c r="W300">
        <v>3.4259999999999998E-3</v>
      </c>
      <c r="Y300" t="s">
        <v>3</v>
      </c>
      <c r="Z300">
        <v>7000</v>
      </c>
      <c r="AA300">
        <v>216</v>
      </c>
      <c r="AB300">
        <v>7</v>
      </c>
      <c r="AC300">
        <v>0</v>
      </c>
      <c r="AD300">
        <v>33016761</v>
      </c>
      <c r="AE300">
        <v>138759.59</v>
      </c>
      <c r="AF300">
        <v>32878001.41</v>
      </c>
      <c r="AG300">
        <v>32878001.41</v>
      </c>
      <c r="AH300">
        <v>0</v>
      </c>
      <c r="AI300">
        <v>0</v>
      </c>
    </row>
    <row r="301" spans="13:35" x14ac:dyDescent="0.35">
      <c r="M301" t="s">
        <v>0</v>
      </c>
      <c r="N301">
        <v>6250</v>
      </c>
      <c r="O301">
        <v>216</v>
      </c>
      <c r="P301">
        <v>4031</v>
      </c>
      <c r="Q301">
        <v>0</v>
      </c>
      <c r="R301">
        <v>26847539353</v>
      </c>
      <c r="S301">
        <v>119270781.36</v>
      </c>
      <c r="T301">
        <v>26513238948.02</v>
      </c>
      <c r="U301">
        <v>26675094783.380001</v>
      </c>
      <c r="V301">
        <v>9.1989000000000001E-2</v>
      </c>
      <c r="W301">
        <v>2.351E-2</v>
      </c>
      <c r="Y301" t="s">
        <v>1</v>
      </c>
      <c r="Z301">
        <v>7500</v>
      </c>
      <c r="AA301">
        <v>216</v>
      </c>
      <c r="AB301">
        <v>8</v>
      </c>
      <c r="AC301">
        <v>0</v>
      </c>
      <c r="AD301">
        <v>36626176</v>
      </c>
      <c r="AE301">
        <v>146730.97</v>
      </c>
      <c r="AF301">
        <v>36479445.030000001</v>
      </c>
      <c r="AG301">
        <v>36479445.030000001</v>
      </c>
      <c r="AH301">
        <v>0</v>
      </c>
      <c r="AI301">
        <v>0</v>
      </c>
    </row>
    <row r="302" spans="13:35" x14ac:dyDescent="0.35">
      <c r="M302" t="s">
        <v>2</v>
      </c>
      <c r="N302">
        <v>5250</v>
      </c>
      <c r="O302">
        <v>216</v>
      </c>
      <c r="P302">
        <v>3874</v>
      </c>
      <c r="Q302">
        <v>0</v>
      </c>
      <c r="R302">
        <v>25269860315</v>
      </c>
      <c r="S302">
        <v>108216929.09999999</v>
      </c>
      <c r="T302">
        <v>25100909245.540001</v>
      </c>
      <c r="U302">
        <v>25161643385.900002</v>
      </c>
      <c r="V302">
        <v>2.8462999999999999E-2</v>
      </c>
      <c r="W302">
        <v>0</v>
      </c>
      <c r="Y302" t="s">
        <v>1</v>
      </c>
      <c r="Z302">
        <v>4000</v>
      </c>
      <c r="AA302">
        <v>84</v>
      </c>
      <c r="AB302">
        <v>14096</v>
      </c>
      <c r="AC302">
        <v>0</v>
      </c>
      <c r="AD302">
        <v>269753310767</v>
      </c>
      <c r="AE302">
        <v>585757994.02999997</v>
      </c>
      <c r="AF302">
        <v>266993800933.94</v>
      </c>
      <c r="AG302">
        <v>268931939475.31</v>
      </c>
      <c r="AH302">
        <v>9.2526999999999998E-2</v>
      </c>
      <c r="AI302">
        <v>1.0430999999999999E-2</v>
      </c>
    </row>
    <row r="303" spans="13:35" x14ac:dyDescent="0.35">
      <c r="M303" t="s">
        <v>0</v>
      </c>
      <c r="N303">
        <v>5750</v>
      </c>
      <c r="O303">
        <v>216</v>
      </c>
      <c r="P303">
        <v>8328</v>
      </c>
      <c r="Q303">
        <v>0</v>
      </c>
      <c r="R303">
        <v>57365254106</v>
      </c>
      <c r="S303">
        <v>245932130.74000001</v>
      </c>
      <c r="T303">
        <v>56843167451.470001</v>
      </c>
      <c r="U303">
        <v>57056250651.25</v>
      </c>
      <c r="V303">
        <v>5.6262E-2</v>
      </c>
      <c r="W303">
        <v>1.3114000000000001E-2</v>
      </c>
      <c r="Y303" t="s">
        <v>2</v>
      </c>
      <c r="Z303">
        <v>5250</v>
      </c>
      <c r="AA303">
        <v>216</v>
      </c>
      <c r="AB303">
        <v>3623</v>
      </c>
      <c r="AC303">
        <v>0</v>
      </c>
      <c r="AD303">
        <v>23601922812</v>
      </c>
      <c r="AE303">
        <v>100623869.29000001</v>
      </c>
      <c r="AF303">
        <v>23360259351.880001</v>
      </c>
      <c r="AG303">
        <v>23486049207.59</v>
      </c>
      <c r="AH303">
        <v>6.9399000000000002E-2</v>
      </c>
      <c r="AI303">
        <v>7.7260000000000002E-3</v>
      </c>
    </row>
    <row r="304" spans="13:35" x14ac:dyDescent="0.35">
      <c r="M304" t="s">
        <v>1</v>
      </c>
      <c r="N304">
        <v>5750</v>
      </c>
      <c r="O304">
        <v>216</v>
      </c>
      <c r="P304">
        <v>397</v>
      </c>
      <c r="Q304">
        <v>0</v>
      </c>
      <c r="R304">
        <v>3026673640</v>
      </c>
      <c r="S304">
        <v>13328902.449999999</v>
      </c>
      <c r="T304">
        <v>2982795195.2199998</v>
      </c>
      <c r="U304">
        <v>3013344737.5500002</v>
      </c>
      <c r="V304">
        <v>0.114619</v>
      </c>
      <c r="W304">
        <v>0</v>
      </c>
      <c r="Y304" t="s">
        <v>0</v>
      </c>
      <c r="Z304">
        <v>5750</v>
      </c>
      <c r="AA304">
        <v>216</v>
      </c>
      <c r="AB304">
        <v>8424</v>
      </c>
      <c r="AC304">
        <v>0</v>
      </c>
      <c r="AD304">
        <v>58534288795</v>
      </c>
      <c r="AE304">
        <v>250403894.52000001</v>
      </c>
      <c r="AF304">
        <v>57961334301.410004</v>
      </c>
      <c r="AG304">
        <v>58232107740.239998</v>
      </c>
      <c r="AH304">
        <v>6.4158000000000007E-2</v>
      </c>
      <c r="AI304">
        <v>1.0562999999999999E-2</v>
      </c>
    </row>
    <row r="305" spans="13:35" x14ac:dyDescent="0.35">
      <c r="M305" t="s">
        <v>0</v>
      </c>
      <c r="N305">
        <v>4750</v>
      </c>
      <c r="O305">
        <v>216</v>
      </c>
      <c r="P305">
        <v>6297</v>
      </c>
      <c r="Q305">
        <v>0</v>
      </c>
      <c r="R305">
        <v>57915381803</v>
      </c>
      <c r="S305">
        <v>257888882.96000001</v>
      </c>
      <c r="T305">
        <v>57473299850.059998</v>
      </c>
      <c r="U305">
        <v>57618969692.230003</v>
      </c>
      <c r="V305">
        <v>3.7504000000000003E-2</v>
      </c>
      <c r="W305">
        <v>7.953E-3</v>
      </c>
      <c r="Y305" t="s">
        <v>1</v>
      </c>
      <c r="Z305">
        <v>6250</v>
      </c>
      <c r="AA305">
        <v>216</v>
      </c>
      <c r="AB305">
        <v>184</v>
      </c>
      <c r="AC305">
        <v>0</v>
      </c>
      <c r="AD305">
        <v>1278221018</v>
      </c>
      <c r="AE305">
        <v>5670074.1699999999</v>
      </c>
      <c r="AF305">
        <v>1272507477.3399999</v>
      </c>
      <c r="AG305">
        <v>1272550943.8299999</v>
      </c>
      <c r="AH305">
        <v>4.08E-4</v>
      </c>
      <c r="AI305">
        <v>0</v>
      </c>
    </row>
    <row r="306" spans="13:35" x14ac:dyDescent="0.35">
      <c r="M306" t="s">
        <v>2</v>
      </c>
      <c r="N306">
        <v>5750</v>
      </c>
      <c r="O306">
        <v>216</v>
      </c>
      <c r="P306">
        <v>1694</v>
      </c>
      <c r="Q306">
        <v>0</v>
      </c>
      <c r="R306">
        <v>9610309710</v>
      </c>
      <c r="S306">
        <v>40431929.189999998</v>
      </c>
      <c r="T306">
        <v>9509421628.7600002</v>
      </c>
      <c r="U306">
        <v>9555092296.9099998</v>
      </c>
      <c r="V306">
        <v>7.2930999999999996E-2</v>
      </c>
      <c r="W306">
        <v>1.8307E-2</v>
      </c>
      <c r="Y306" t="s">
        <v>1</v>
      </c>
      <c r="Z306">
        <v>5750</v>
      </c>
      <c r="AA306">
        <v>216</v>
      </c>
      <c r="AB306">
        <v>412</v>
      </c>
      <c r="AC306">
        <v>0</v>
      </c>
      <c r="AD306">
        <v>3208534650</v>
      </c>
      <c r="AE306">
        <v>14104566.609999999</v>
      </c>
      <c r="AF306">
        <v>3154107669.5900002</v>
      </c>
      <c r="AG306">
        <v>3177871635.96</v>
      </c>
      <c r="AH306">
        <v>0.14080799999999999</v>
      </c>
      <c r="AI306">
        <v>6.0200999999999998E-2</v>
      </c>
    </row>
    <row r="307" spans="13:35" x14ac:dyDescent="0.35">
      <c r="M307" t="s">
        <v>1</v>
      </c>
      <c r="N307">
        <v>6250</v>
      </c>
      <c r="O307">
        <v>216</v>
      </c>
      <c r="P307">
        <v>172</v>
      </c>
      <c r="Q307">
        <v>0</v>
      </c>
      <c r="R307">
        <v>1229414496</v>
      </c>
      <c r="S307">
        <v>5495222.1200000001</v>
      </c>
      <c r="T307">
        <v>1200233636.5799999</v>
      </c>
      <c r="U307">
        <v>1223919273.8800001</v>
      </c>
      <c r="V307">
        <v>0.208199</v>
      </c>
      <c r="W307">
        <v>0</v>
      </c>
      <c r="Y307" t="s">
        <v>0</v>
      </c>
      <c r="Z307">
        <v>4750</v>
      </c>
      <c r="AA307">
        <v>216</v>
      </c>
      <c r="AB307">
        <v>5997</v>
      </c>
      <c r="AC307">
        <v>0</v>
      </c>
      <c r="AD307">
        <v>55409394523</v>
      </c>
      <c r="AE307">
        <v>245362914.56999999</v>
      </c>
      <c r="AF307">
        <v>54925912008.720001</v>
      </c>
      <c r="AG307">
        <v>55164031608.43</v>
      </c>
      <c r="AH307">
        <v>5.0368000000000003E-2</v>
      </c>
      <c r="AI307">
        <v>0</v>
      </c>
    </row>
    <row r="308" spans="13:35" x14ac:dyDescent="0.35">
      <c r="M308" t="s">
        <v>1</v>
      </c>
      <c r="N308">
        <v>5250</v>
      </c>
      <c r="O308">
        <v>216</v>
      </c>
      <c r="P308">
        <v>1373</v>
      </c>
      <c r="Q308">
        <v>0</v>
      </c>
      <c r="R308">
        <v>12290526344</v>
      </c>
      <c r="S308">
        <v>52371967.700000003</v>
      </c>
      <c r="T308">
        <v>12188103251.790001</v>
      </c>
      <c r="U308">
        <v>12238154376.299999</v>
      </c>
      <c r="V308">
        <v>4.7787999999999997E-2</v>
      </c>
      <c r="W308">
        <v>0</v>
      </c>
      <c r="Y308" t="s">
        <v>2</v>
      </c>
      <c r="Z308">
        <v>5750</v>
      </c>
      <c r="AA308">
        <v>216</v>
      </c>
      <c r="AB308">
        <v>1717</v>
      </c>
      <c r="AC308">
        <v>0</v>
      </c>
      <c r="AD308">
        <v>9787261987</v>
      </c>
      <c r="AE308">
        <v>40914656.579999998</v>
      </c>
      <c r="AF308">
        <v>9700473571.9400005</v>
      </c>
      <c r="AG308">
        <v>9743650606.7800007</v>
      </c>
      <c r="AH308">
        <v>5.4817999999999999E-2</v>
      </c>
      <c r="AI308">
        <v>3.3010000000000001E-3</v>
      </c>
    </row>
    <row r="309" spans="13:35" x14ac:dyDescent="0.35">
      <c r="M309" t="s">
        <v>1</v>
      </c>
      <c r="N309">
        <v>3000</v>
      </c>
      <c r="O309">
        <v>108</v>
      </c>
      <c r="P309">
        <v>123</v>
      </c>
      <c r="Q309">
        <v>0</v>
      </c>
      <c r="R309">
        <v>2260404996</v>
      </c>
      <c r="S309">
        <v>6309336.71</v>
      </c>
      <c r="T309">
        <v>2226131045.7199998</v>
      </c>
      <c r="U309">
        <v>2235890126.8000002</v>
      </c>
      <c r="V309">
        <v>0.138762</v>
      </c>
      <c r="W309">
        <v>9.2480999999999994E-2</v>
      </c>
      <c r="Y309" t="s">
        <v>1</v>
      </c>
      <c r="Z309">
        <v>5250</v>
      </c>
      <c r="AA309">
        <v>216</v>
      </c>
      <c r="AB309">
        <v>1254</v>
      </c>
      <c r="AC309">
        <v>0</v>
      </c>
      <c r="AD309">
        <v>11272887859</v>
      </c>
      <c r="AE309">
        <v>47875378.810000002</v>
      </c>
      <c r="AF309">
        <v>11172323772.23</v>
      </c>
      <c r="AG309">
        <v>11225012480.190001</v>
      </c>
      <c r="AH309">
        <v>5.4668000000000001E-2</v>
      </c>
      <c r="AI309">
        <v>0</v>
      </c>
    </row>
    <row r="310" spans="13:35" x14ac:dyDescent="0.35">
      <c r="M310" t="s">
        <v>0</v>
      </c>
      <c r="N310">
        <v>3000</v>
      </c>
      <c r="O310">
        <v>108</v>
      </c>
      <c r="P310">
        <v>162</v>
      </c>
      <c r="Q310">
        <v>0</v>
      </c>
      <c r="R310">
        <v>1979227917</v>
      </c>
      <c r="S310">
        <v>5514028.5</v>
      </c>
      <c r="T310">
        <v>1973713888.5</v>
      </c>
      <c r="U310">
        <v>1973713888.5</v>
      </c>
      <c r="V310">
        <v>0</v>
      </c>
      <c r="W310">
        <v>0</v>
      </c>
      <c r="Y310" t="s">
        <v>2</v>
      </c>
      <c r="Z310">
        <v>6250</v>
      </c>
      <c r="AA310">
        <v>216</v>
      </c>
      <c r="AB310">
        <v>546</v>
      </c>
      <c r="AC310">
        <v>0</v>
      </c>
      <c r="AD310">
        <v>3035897258</v>
      </c>
      <c r="AE310">
        <v>13527355.449999999</v>
      </c>
      <c r="AF310">
        <v>3018131906.9899998</v>
      </c>
      <c r="AG310">
        <v>3022369902.5500002</v>
      </c>
      <c r="AH310">
        <v>1.6624E-2</v>
      </c>
      <c r="AI310">
        <v>0</v>
      </c>
    </row>
    <row r="311" spans="13:35" x14ac:dyDescent="0.35">
      <c r="M311" t="s">
        <v>2</v>
      </c>
      <c r="N311">
        <v>3000</v>
      </c>
      <c r="O311">
        <v>108</v>
      </c>
      <c r="P311">
        <v>26</v>
      </c>
      <c r="Q311">
        <v>0</v>
      </c>
      <c r="R311">
        <v>285019215</v>
      </c>
      <c r="S311">
        <v>783510.18</v>
      </c>
      <c r="T311">
        <v>284235704.81999999</v>
      </c>
      <c r="U311">
        <v>284235704.81999999</v>
      </c>
      <c r="V311">
        <v>0</v>
      </c>
      <c r="W311">
        <v>0</v>
      </c>
      <c r="Y311" t="s">
        <v>0</v>
      </c>
      <c r="Z311">
        <v>3000</v>
      </c>
      <c r="AA311">
        <v>108</v>
      </c>
      <c r="AB311">
        <v>171</v>
      </c>
      <c r="AC311">
        <v>0</v>
      </c>
      <c r="AD311">
        <v>2067017802</v>
      </c>
      <c r="AE311">
        <v>5752185.71</v>
      </c>
      <c r="AF311">
        <v>2061265616.29</v>
      </c>
      <c r="AG311">
        <v>2061265616.29</v>
      </c>
      <c r="AH311">
        <v>0</v>
      </c>
      <c r="AI311">
        <v>0</v>
      </c>
    </row>
    <row r="312" spans="13:35" x14ac:dyDescent="0.35">
      <c r="M312" t="s">
        <v>1</v>
      </c>
      <c r="N312">
        <v>5000</v>
      </c>
      <c r="O312">
        <v>108</v>
      </c>
      <c r="P312">
        <v>730</v>
      </c>
      <c r="Q312">
        <v>0</v>
      </c>
      <c r="R312">
        <v>8897709828</v>
      </c>
      <c r="S312">
        <v>19456366.34</v>
      </c>
      <c r="T312">
        <v>8800198013.8899994</v>
      </c>
      <c r="U312">
        <v>8869472323.3600006</v>
      </c>
      <c r="V312">
        <v>0.100337</v>
      </c>
      <c r="W312">
        <v>1.1779E-2</v>
      </c>
      <c r="Y312" t="s">
        <v>1</v>
      </c>
      <c r="Z312">
        <v>3000</v>
      </c>
      <c r="AA312">
        <v>108</v>
      </c>
      <c r="AB312">
        <v>138</v>
      </c>
      <c r="AC312">
        <v>0</v>
      </c>
      <c r="AD312">
        <v>2573560781</v>
      </c>
      <c r="AE312">
        <v>7186780.4900000002</v>
      </c>
      <c r="AF312">
        <v>2566374000.5100002</v>
      </c>
      <c r="AG312">
        <v>2566374000.5100002</v>
      </c>
      <c r="AH312">
        <v>0</v>
      </c>
      <c r="AI312">
        <v>0</v>
      </c>
    </row>
    <row r="313" spans="13:35" x14ac:dyDescent="0.35">
      <c r="M313" t="s">
        <v>2</v>
      </c>
      <c r="N313">
        <v>6250</v>
      </c>
      <c r="O313">
        <v>216</v>
      </c>
      <c r="P313">
        <v>509</v>
      </c>
      <c r="Q313">
        <v>0</v>
      </c>
      <c r="R313">
        <v>2855409166</v>
      </c>
      <c r="S313">
        <v>12808742.279999999</v>
      </c>
      <c r="T313">
        <v>2829418495.46</v>
      </c>
      <c r="U313">
        <v>2842600423.7199998</v>
      </c>
      <c r="V313">
        <v>5.4012999999999999E-2</v>
      </c>
      <c r="W313">
        <v>0</v>
      </c>
      <c r="Y313" t="s">
        <v>2</v>
      </c>
      <c r="Z313">
        <v>3000</v>
      </c>
      <c r="AA313">
        <v>108</v>
      </c>
      <c r="AB313">
        <v>25</v>
      </c>
      <c r="AC313">
        <v>0</v>
      </c>
      <c r="AD313">
        <v>272147442</v>
      </c>
      <c r="AE313">
        <v>745881.7</v>
      </c>
      <c r="AF313">
        <v>271401560.30000001</v>
      </c>
      <c r="AG313">
        <v>271401560.30000001</v>
      </c>
      <c r="AH313">
        <v>0</v>
      </c>
      <c r="AI313">
        <v>0</v>
      </c>
    </row>
    <row r="314" spans="13:35" x14ac:dyDescent="0.35">
      <c r="M314" t="s">
        <v>1</v>
      </c>
      <c r="N314">
        <v>4000</v>
      </c>
      <c r="O314">
        <v>216</v>
      </c>
      <c r="P314">
        <v>19</v>
      </c>
      <c r="Q314">
        <v>0</v>
      </c>
      <c r="R314">
        <v>170542822</v>
      </c>
      <c r="S314">
        <v>832518.01</v>
      </c>
      <c r="T314">
        <v>166069618.24000001</v>
      </c>
      <c r="U314">
        <v>169710303.99000001</v>
      </c>
      <c r="V314">
        <v>0.228135</v>
      </c>
      <c r="W314">
        <v>0</v>
      </c>
      <c r="Y314" t="s">
        <v>1</v>
      </c>
      <c r="Z314">
        <v>4000</v>
      </c>
      <c r="AA314">
        <v>216</v>
      </c>
      <c r="AB314">
        <v>19</v>
      </c>
      <c r="AC314">
        <v>0</v>
      </c>
      <c r="AD314">
        <v>171904655</v>
      </c>
      <c r="AE314">
        <v>832377.11</v>
      </c>
      <c r="AF314">
        <v>171072277.88999999</v>
      </c>
      <c r="AG314">
        <v>171072277.88999999</v>
      </c>
      <c r="AH314">
        <v>0</v>
      </c>
      <c r="AI314">
        <v>0</v>
      </c>
    </row>
    <row r="315" spans="13:35" x14ac:dyDescent="0.35">
      <c r="M315" t="s">
        <v>2</v>
      </c>
      <c r="N315">
        <v>7500</v>
      </c>
      <c r="O315">
        <v>216</v>
      </c>
      <c r="P315">
        <v>2</v>
      </c>
      <c r="Q315">
        <v>0</v>
      </c>
      <c r="R315">
        <v>8460325</v>
      </c>
      <c r="S315">
        <v>33664.97</v>
      </c>
      <c r="T315">
        <v>8426660.0299999993</v>
      </c>
      <c r="U315">
        <v>8426660.0299999993</v>
      </c>
      <c r="V315">
        <v>0</v>
      </c>
      <c r="W315">
        <v>0</v>
      </c>
      <c r="Y315" t="s">
        <v>2</v>
      </c>
      <c r="Z315">
        <v>7500</v>
      </c>
      <c r="AA315">
        <v>216</v>
      </c>
      <c r="AB315">
        <v>2</v>
      </c>
      <c r="AC315">
        <v>0</v>
      </c>
      <c r="AD315">
        <v>8514275</v>
      </c>
      <c r="AE315">
        <v>33536.79</v>
      </c>
      <c r="AF315">
        <v>8480738.2100000009</v>
      </c>
      <c r="AG315">
        <v>8480738.2100000009</v>
      </c>
      <c r="AH315">
        <v>0</v>
      </c>
      <c r="AI315">
        <v>0</v>
      </c>
    </row>
    <row r="316" spans="13:35" x14ac:dyDescent="0.35">
      <c r="M316" t="s">
        <v>0</v>
      </c>
      <c r="N316">
        <v>7250</v>
      </c>
      <c r="O316">
        <v>216</v>
      </c>
      <c r="P316">
        <v>694</v>
      </c>
      <c r="Q316">
        <v>0</v>
      </c>
      <c r="R316">
        <v>3771914306</v>
      </c>
      <c r="S316">
        <v>15654483.800000001</v>
      </c>
      <c r="T316">
        <v>3704289860.1199999</v>
      </c>
      <c r="U316">
        <v>3718413951.4200001</v>
      </c>
      <c r="V316">
        <v>0.153366</v>
      </c>
      <c r="W316">
        <v>0.11397599999999999</v>
      </c>
      <c r="Y316" t="s">
        <v>0</v>
      </c>
      <c r="Z316">
        <v>7250</v>
      </c>
      <c r="AA316">
        <v>216</v>
      </c>
      <c r="AB316">
        <v>721</v>
      </c>
      <c r="AC316">
        <v>0</v>
      </c>
      <c r="AD316">
        <v>3932055259</v>
      </c>
      <c r="AE316">
        <v>16193661.76</v>
      </c>
      <c r="AF316">
        <v>3900782899.77</v>
      </c>
      <c r="AG316">
        <v>3915861597.2399998</v>
      </c>
      <c r="AH316">
        <v>4.5059000000000002E-2</v>
      </c>
      <c r="AI316">
        <v>0</v>
      </c>
    </row>
    <row r="317" spans="13:35" x14ac:dyDescent="0.35">
      <c r="M317" t="s">
        <v>0</v>
      </c>
      <c r="N317">
        <v>6000</v>
      </c>
      <c r="O317">
        <v>168</v>
      </c>
      <c r="P317">
        <v>20</v>
      </c>
      <c r="Q317">
        <v>0</v>
      </c>
      <c r="R317">
        <v>120846959</v>
      </c>
      <c r="S317">
        <v>345571.17</v>
      </c>
      <c r="T317">
        <v>120501387.83</v>
      </c>
      <c r="U317">
        <v>120501387.83</v>
      </c>
      <c r="V317">
        <v>0</v>
      </c>
      <c r="W317">
        <v>0</v>
      </c>
      <c r="Y317" t="s">
        <v>0</v>
      </c>
      <c r="Z317">
        <v>6000</v>
      </c>
      <c r="AA317">
        <v>168</v>
      </c>
      <c r="AB317">
        <v>22</v>
      </c>
      <c r="AC317">
        <v>0</v>
      </c>
      <c r="AD317">
        <v>134959859</v>
      </c>
      <c r="AE317">
        <v>386690.22</v>
      </c>
      <c r="AF317">
        <v>134573168.78</v>
      </c>
      <c r="AG317">
        <v>134573168.78</v>
      </c>
      <c r="AH317">
        <v>0</v>
      </c>
      <c r="AI317">
        <v>0</v>
      </c>
    </row>
    <row r="318" spans="13:35" x14ac:dyDescent="0.35">
      <c r="M318" t="s">
        <v>1</v>
      </c>
      <c r="N318">
        <v>3500</v>
      </c>
      <c r="O318">
        <v>192</v>
      </c>
      <c r="P318">
        <v>151</v>
      </c>
      <c r="Q318">
        <v>0</v>
      </c>
      <c r="R318">
        <v>1766894573</v>
      </c>
      <c r="S318">
        <v>7166400.7300000004</v>
      </c>
      <c r="T318">
        <v>1745426999.03</v>
      </c>
      <c r="U318">
        <v>1759728172.27</v>
      </c>
      <c r="V318">
        <v>9.2918000000000001E-2</v>
      </c>
      <c r="W318">
        <v>0</v>
      </c>
      <c r="Y318" t="s">
        <v>2</v>
      </c>
      <c r="Z318">
        <v>6500</v>
      </c>
      <c r="AA318">
        <v>192</v>
      </c>
      <c r="AB318">
        <v>2</v>
      </c>
      <c r="AC318">
        <v>0</v>
      </c>
      <c r="AD318">
        <v>11403892</v>
      </c>
      <c r="AE318">
        <v>41787.21</v>
      </c>
      <c r="AF318">
        <v>11362104.789999999</v>
      </c>
      <c r="AG318">
        <v>11362104.789999999</v>
      </c>
      <c r="AH318">
        <v>0</v>
      </c>
      <c r="AI318">
        <v>0</v>
      </c>
    </row>
    <row r="319" spans="13:35" x14ac:dyDescent="0.35">
      <c r="M319" t="s">
        <v>2</v>
      </c>
      <c r="N319">
        <v>6000</v>
      </c>
      <c r="O319">
        <v>192</v>
      </c>
      <c r="P319">
        <v>14</v>
      </c>
      <c r="Q319">
        <v>0</v>
      </c>
      <c r="R319">
        <v>73649508</v>
      </c>
      <c r="S319">
        <v>283924.90999999997</v>
      </c>
      <c r="T319">
        <v>73365583.090000004</v>
      </c>
      <c r="U319">
        <v>73365583.090000004</v>
      </c>
      <c r="V319">
        <v>0</v>
      </c>
      <c r="W319">
        <v>0</v>
      </c>
      <c r="Y319" t="s">
        <v>2</v>
      </c>
      <c r="Z319">
        <v>6000</v>
      </c>
      <c r="AA319">
        <v>192</v>
      </c>
      <c r="AB319">
        <v>15</v>
      </c>
      <c r="AC319">
        <v>0</v>
      </c>
      <c r="AD319">
        <v>79637934</v>
      </c>
      <c r="AE319">
        <v>304274.42</v>
      </c>
      <c r="AF319">
        <v>79333659.579999998</v>
      </c>
      <c r="AG319">
        <v>79333659.579999998</v>
      </c>
      <c r="AH319">
        <v>0</v>
      </c>
      <c r="AI319">
        <v>0</v>
      </c>
    </row>
    <row r="320" spans="13:35" x14ac:dyDescent="0.35">
      <c r="M320" t="s">
        <v>3</v>
      </c>
      <c r="N320">
        <v>6750</v>
      </c>
      <c r="O320">
        <v>216</v>
      </c>
      <c r="P320">
        <v>11</v>
      </c>
      <c r="Q320">
        <v>0</v>
      </c>
      <c r="R320">
        <v>61031004</v>
      </c>
      <c r="S320">
        <v>263771.33</v>
      </c>
      <c r="T320">
        <v>60767232.670000002</v>
      </c>
      <c r="U320">
        <v>60767232.670000002</v>
      </c>
      <c r="V320">
        <v>0</v>
      </c>
      <c r="W320">
        <v>0</v>
      </c>
      <c r="Y320" t="s">
        <v>3</v>
      </c>
      <c r="Z320">
        <v>6750</v>
      </c>
      <c r="AA320">
        <v>216</v>
      </c>
      <c r="AB320">
        <v>12</v>
      </c>
      <c r="AC320">
        <v>0</v>
      </c>
      <c r="AD320">
        <v>71883499</v>
      </c>
      <c r="AE320">
        <v>310219.45</v>
      </c>
      <c r="AF320">
        <v>71573279.549999997</v>
      </c>
      <c r="AG320">
        <v>71573279.549999997</v>
      </c>
      <c r="AH320">
        <v>0</v>
      </c>
      <c r="AI320">
        <v>0</v>
      </c>
    </row>
    <row r="321" spans="13:35" x14ac:dyDescent="0.35">
      <c r="M321" t="s">
        <v>2</v>
      </c>
      <c r="N321">
        <v>7250</v>
      </c>
      <c r="O321">
        <v>216</v>
      </c>
      <c r="P321">
        <v>110</v>
      </c>
      <c r="Q321">
        <v>0</v>
      </c>
      <c r="R321">
        <v>446044919</v>
      </c>
      <c r="S321">
        <v>1847626.46</v>
      </c>
      <c r="T321">
        <v>444197292.54000002</v>
      </c>
      <c r="U321">
        <v>444197292.54000002</v>
      </c>
      <c r="V321">
        <v>0</v>
      </c>
      <c r="W321">
        <v>0</v>
      </c>
      <c r="Y321" t="s">
        <v>2</v>
      </c>
      <c r="Z321">
        <v>7250</v>
      </c>
      <c r="AA321">
        <v>216</v>
      </c>
      <c r="AB321">
        <v>110</v>
      </c>
      <c r="AC321">
        <v>0</v>
      </c>
      <c r="AD321">
        <v>448317582</v>
      </c>
      <c r="AE321">
        <v>1838462.37</v>
      </c>
      <c r="AF321">
        <v>446479119.63</v>
      </c>
      <c r="AG321">
        <v>446479119.63</v>
      </c>
      <c r="AH321">
        <v>0</v>
      </c>
      <c r="AI321">
        <v>0</v>
      </c>
    </row>
    <row r="322" spans="13:35" x14ac:dyDescent="0.35">
      <c r="M322" t="s">
        <v>2</v>
      </c>
      <c r="N322">
        <v>4000</v>
      </c>
      <c r="O322">
        <v>216</v>
      </c>
      <c r="P322">
        <v>3</v>
      </c>
      <c r="Q322">
        <v>0</v>
      </c>
      <c r="R322">
        <v>18486781</v>
      </c>
      <c r="S322">
        <v>86928.22</v>
      </c>
      <c r="T322">
        <v>18399852.780000001</v>
      </c>
      <c r="U322">
        <v>18399852.780000001</v>
      </c>
      <c r="V322">
        <v>0</v>
      </c>
      <c r="W322">
        <v>0</v>
      </c>
      <c r="Y322" t="s">
        <v>2</v>
      </c>
      <c r="Z322">
        <v>4000</v>
      </c>
      <c r="AA322">
        <v>216</v>
      </c>
      <c r="AB322">
        <v>3</v>
      </c>
      <c r="AC322">
        <v>0</v>
      </c>
      <c r="AD322">
        <v>18575911</v>
      </c>
      <c r="AE322">
        <v>86651.26</v>
      </c>
      <c r="AF322">
        <v>18489259.739999998</v>
      </c>
      <c r="AG322">
        <v>18489259.739999998</v>
      </c>
      <c r="AH322">
        <v>0</v>
      </c>
      <c r="AI322">
        <v>0</v>
      </c>
    </row>
    <row r="323" spans="13:35" x14ac:dyDescent="0.35">
      <c r="M323" t="s">
        <v>1</v>
      </c>
      <c r="N323">
        <v>7250</v>
      </c>
      <c r="O323">
        <v>216</v>
      </c>
      <c r="P323">
        <v>12</v>
      </c>
      <c r="Q323">
        <v>0</v>
      </c>
      <c r="R323">
        <v>67764155</v>
      </c>
      <c r="S323">
        <v>280462</v>
      </c>
      <c r="T323">
        <v>67483693</v>
      </c>
      <c r="U323">
        <v>67483693</v>
      </c>
      <c r="V323">
        <v>0</v>
      </c>
      <c r="W323">
        <v>0</v>
      </c>
      <c r="Y323" t="s">
        <v>1</v>
      </c>
      <c r="Z323">
        <v>7250</v>
      </c>
      <c r="AA323">
        <v>216</v>
      </c>
      <c r="AB323">
        <v>13</v>
      </c>
      <c r="AC323">
        <v>0</v>
      </c>
      <c r="AD323">
        <v>71091907</v>
      </c>
      <c r="AE323">
        <v>292225.49</v>
      </c>
      <c r="AF323">
        <v>70799681.510000005</v>
      </c>
      <c r="AG323">
        <v>70799681.510000005</v>
      </c>
      <c r="AH323">
        <v>0</v>
      </c>
      <c r="AI323">
        <v>0</v>
      </c>
    </row>
    <row r="324" spans="13:35" x14ac:dyDescent="0.35">
      <c r="M324" t="s">
        <v>2</v>
      </c>
      <c r="N324">
        <v>4750</v>
      </c>
      <c r="O324">
        <v>240</v>
      </c>
      <c r="P324">
        <v>6</v>
      </c>
      <c r="Q324">
        <v>0</v>
      </c>
      <c r="R324">
        <v>32821996</v>
      </c>
      <c r="S324">
        <v>196965.52</v>
      </c>
      <c r="T324">
        <v>32625030.48</v>
      </c>
      <c r="U324">
        <v>32625030.48</v>
      </c>
      <c r="V324">
        <v>0</v>
      </c>
      <c r="W324">
        <v>0</v>
      </c>
      <c r="Y324" t="s">
        <v>2</v>
      </c>
      <c r="Z324">
        <v>4750</v>
      </c>
      <c r="AA324">
        <v>240</v>
      </c>
      <c r="AB324">
        <v>6</v>
      </c>
      <c r="AC324">
        <v>0</v>
      </c>
      <c r="AD324">
        <v>33043471</v>
      </c>
      <c r="AE324">
        <v>196355.5</v>
      </c>
      <c r="AF324">
        <v>32847115.5</v>
      </c>
      <c r="AG324">
        <v>32847115.5</v>
      </c>
      <c r="AH324">
        <v>0</v>
      </c>
      <c r="AI324">
        <v>0</v>
      </c>
    </row>
    <row r="325" spans="13:35" x14ac:dyDescent="0.35">
      <c r="M325" t="s">
        <v>2</v>
      </c>
      <c r="N325">
        <v>5000</v>
      </c>
      <c r="O325">
        <v>360</v>
      </c>
      <c r="P325">
        <v>2</v>
      </c>
      <c r="Q325">
        <v>0</v>
      </c>
      <c r="R325">
        <v>2052642</v>
      </c>
      <c r="S325">
        <v>66193.36</v>
      </c>
      <c r="T325">
        <v>1986448.64</v>
      </c>
      <c r="U325">
        <v>1986448.64</v>
      </c>
      <c r="V325">
        <v>0</v>
      </c>
      <c r="W325">
        <v>0</v>
      </c>
      <c r="Y325" t="s">
        <v>2</v>
      </c>
      <c r="Z325">
        <v>5000</v>
      </c>
      <c r="AA325">
        <v>360</v>
      </c>
      <c r="AB325">
        <v>2</v>
      </c>
      <c r="AC325">
        <v>0</v>
      </c>
      <c r="AD325">
        <v>2134206</v>
      </c>
      <c r="AE325">
        <v>66353.98</v>
      </c>
      <c r="AF325">
        <v>2067852.02</v>
      </c>
      <c r="AG325">
        <v>2067852.02</v>
      </c>
      <c r="AH325">
        <v>0</v>
      </c>
      <c r="AI325">
        <v>0</v>
      </c>
    </row>
    <row r="326" spans="13:35" x14ac:dyDescent="0.35">
      <c r="M326" t="s">
        <v>3</v>
      </c>
      <c r="N326">
        <v>5500</v>
      </c>
      <c r="O326">
        <v>192</v>
      </c>
      <c r="P326">
        <v>60</v>
      </c>
      <c r="Q326">
        <v>0</v>
      </c>
      <c r="R326">
        <v>423643762</v>
      </c>
      <c r="S326">
        <v>1637396.37</v>
      </c>
      <c r="T326">
        <v>422006365.63</v>
      </c>
      <c r="U326">
        <v>422006365.63</v>
      </c>
      <c r="V326">
        <v>0</v>
      </c>
      <c r="W326">
        <v>0</v>
      </c>
      <c r="Y326" t="s">
        <v>3</v>
      </c>
      <c r="Z326">
        <v>5500</v>
      </c>
      <c r="AA326">
        <v>192</v>
      </c>
      <c r="AB326">
        <v>64</v>
      </c>
      <c r="AC326">
        <v>0</v>
      </c>
      <c r="AD326">
        <v>451834621</v>
      </c>
      <c r="AE326">
        <v>1735457.69</v>
      </c>
      <c r="AF326">
        <v>450099163.31</v>
      </c>
      <c r="AG326">
        <v>450099163.31</v>
      </c>
      <c r="AH326">
        <v>0</v>
      </c>
      <c r="AI326">
        <v>0</v>
      </c>
    </row>
    <row r="327" spans="13:35" x14ac:dyDescent="0.35">
      <c r="M327" t="s">
        <v>3</v>
      </c>
      <c r="N327">
        <v>4000</v>
      </c>
      <c r="O327">
        <v>192</v>
      </c>
      <c r="P327">
        <v>109</v>
      </c>
      <c r="Q327">
        <v>0</v>
      </c>
      <c r="R327">
        <v>1056776832</v>
      </c>
      <c r="S327">
        <v>4057374.28</v>
      </c>
      <c r="T327">
        <v>1052719457.72</v>
      </c>
      <c r="U327">
        <v>1052719457.72</v>
      </c>
      <c r="V327">
        <v>0</v>
      </c>
      <c r="W327">
        <v>0</v>
      </c>
      <c r="Y327" t="s">
        <v>3</v>
      </c>
      <c r="Z327">
        <v>4000</v>
      </c>
      <c r="AA327">
        <v>192</v>
      </c>
      <c r="AB327">
        <v>84</v>
      </c>
      <c r="AC327">
        <v>0</v>
      </c>
      <c r="AD327">
        <v>833593476</v>
      </c>
      <c r="AE327">
        <v>3191268.16</v>
      </c>
      <c r="AF327">
        <v>830402207.84000003</v>
      </c>
      <c r="AG327">
        <v>830402207.84000003</v>
      </c>
      <c r="AH327">
        <v>0</v>
      </c>
      <c r="AI327">
        <v>0</v>
      </c>
    </row>
    <row r="328" spans="13:35" x14ac:dyDescent="0.35">
      <c r="M328" t="s">
        <v>3</v>
      </c>
      <c r="N328">
        <v>4000</v>
      </c>
      <c r="O328">
        <v>168</v>
      </c>
      <c r="P328">
        <v>275</v>
      </c>
      <c r="Q328">
        <v>0</v>
      </c>
      <c r="R328">
        <v>2649064367</v>
      </c>
      <c r="S328">
        <v>9411007.4299999997</v>
      </c>
      <c r="T328">
        <v>2619573528.52</v>
      </c>
      <c r="U328">
        <v>2639653359.5700002</v>
      </c>
      <c r="V328">
        <v>8.7262000000000006E-2</v>
      </c>
      <c r="W328">
        <v>0</v>
      </c>
      <c r="Y328" t="s">
        <v>1</v>
      </c>
      <c r="Z328">
        <v>3500</v>
      </c>
      <c r="AA328">
        <v>192</v>
      </c>
      <c r="AB328">
        <v>98</v>
      </c>
      <c r="AC328">
        <v>0</v>
      </c>
      <c r="AD328">
        <v>1116149601</v>
      </c>
      <c r="AE328">
        <v>4583693.45</v>
      </c>
      <c r="AF328">
        <v>1111565907.55</v>
      </c>
      <c r="AG328">
        <v>1111565907.55</v>
      </c>
      <c r="AH328">
        <v>0</v>
      </c>
      <c r="AI328">
        <v>0</v>
      </c>
    </row>
    <row r="329" spans="13:35" x14ac:dyDescent="0.35">
      <c r="M329" t="s">
        <v>3</v>
      </c>
      <c r="N329">
        <v>3500</v>
      </c>
      <c r="O329">
        <v>168</v>
      </c>
      <c r="P329">
        <v>289</v>
      </c>
      <c r="Q329">
        <v>0</v>
      </c>
      <c r="R329">
        <v>3134311939</v>
      </c>
      <c r="S329">
        <v>11520028.84</v>
      </c>
      <c r="T329">
        <v>3122791910.1599998</v>
      </c>
      <c r="U329">
        <v>3122791910.1599998</v>
      </c>
      <c r="V329">
        <v>0</v>
      </c>
      <c r="W329">
        <v>0</v>
      </c>
      <c r="Y329" t="s">
        <v>3</v>
      </c>
      <c r="Z329">
        <v>4000</v>
      </c>
      <c r="AA329">
        <v>168</v>
      </c>
      <c r="AB329">
        <v>298</v>
      </c>
      <c r="AC329">
        <v>0</v>
      </c>
      <c r="AD329">
        <v>2869867218</v>
      </c>
      <c r="AE329">
        <v>10188451.640000001</v>
      </c>
      <c r="AF329">
        <v>2857385769.21</v>
      </c>
      <c r="AG329">
        <v>2859678766.3600001</v>
      </c>
      <c r="AH329">
        <v>9.5460000000000007E-3</v>
      </c>
      <c r="AI329">
        <v>0</v>
      </c>
    </row>
    <row r="330" spans="13:35" x14ac:dyDescent="0.35">
      <c r="M330" t="s">
        <v>1</v>
      </c>
      <c r="N330">
        <v>6500</v>
      </c>
      <c r="O330">
        <v>192</v>
      </c>
      <c r="P330">
        <v>2</v>
      </c>
      <c r="Q330">
        <v>0</v>
      </c>
      <c r="R330">
        <v>18834464</v>
      </c>
      <c r="S330">
        <v>65419.37</v>
      </c>
      <c r="T330">
        <v>18769044.629999999</v>
      </c>
      <c r="U330">
        <v>18769044.629999999</v>
      </c>
      <c r="V330">
        <v>0</v>
      </c>
      <c r="W330">
        <v>0</v>
      </c>
      <c r="Y330" t="s">
        <v>3</v>
      </c>
      <c r="Z330">
        <v>3500</v>
      </c>
      <c r="AA330">
        <v>168</v>
      </c>
      <c r="AB330">
        <v>292</v>
      </c>
      <c r="AC330">
        <v>0</v>
      </c>
      <c r="AD330">
        <v>3164385488</v>
      </c>
      <c r="AE330">
        <v>11555964.35</v>
      </c>
      <c r="AF330">
        <v>3136855890.29</v>
      </c>
      <c r="AG330">
        <v>3152829523.6500001</v>
      </c>
      <c r="AH330">
        <v>5.8921000000000001E-2</v>
      </c>
      <c r="AI330">
        <v>0</v>
      </c>
    </row>
    <row r="331" spans="13:35" x14ac:dyDescent="0.35">
      <c r="M331" t="s">
        <v>1</v>
      </c>
      <c r="N331">
        <v>6000</v>
      </c>
      <c r="O331">
        <v>192</v>
      </c>
      <c r="P331">
        <v>27</v>
      </c>
      <c r="Q331">
        <v>0</v>
      </c>
      <c r="R331">
        <v>175420781</v>
      </c>
      <c r="S331">
        <v>629075.78</v>
      </c>
      <c r="T331">
        <v>174791705.22</v>
      </c>
      <c r="U331">
        <v>174791705.22</v>
      </c>
      <c r="V331">
        <v>0</v>
      </c>
      <c r="W331">
        <v>0</v>
      </c>
      <c r="Y331" t="s">
        <v>1</v>
      </c>
      <c r="Z331">
        <v>6500</v>
      </c>
      <c r="AA331">
        <v>192</v>
      </c>
      <c r="AB331">
        <v>4</v>
      </c>
      <c r="AC331">
        <v>0</v>
      </c>
      <c r="AD331">
        <v>40773593</v>
      </c>
      <c r="AE331">
        <v>145219.84</v>
      </c>
      <c r="AF331">
        <v>40628373.159999996</v>
      </c>
      <c r="AG331">
        <v>40628373.159999996</v>
      </c>
      <c r="AH331">
        <v>0</v>
      </c>
      <c r="AI331">
        <v>0</v>
      </c>
    </row>
    <row r="332" spans="13:35" x14ac:dyDescent="0.35">
      <c r="M332" t="s">
        <v>1</v>
      </c>
      <c r="N332">
        <v>5250</v>
      </c>
      <c r="O332">
        <v>192</v>
      </c>
      <c r="P332">
        <v>1436</v>
      </c>
      <c r="Q332">
        <v>0</v>
      </c>
      <c r="R332">
        <v>11711085602</v>
      </c>
      <c r="S332">
        <v>45651986.539999999</v>
      </c>
      <c r="T332">
        <v>11611802120.41</v>
      </c>
      <c r="U332">
        <v>11654499260.200001</v>
      </c>
      <c r="V332">
        <v>5.3591E-2</v>
      </c>
      <c r="W332">
        <v>1.1147000000000001E-2</v>
      </c>
      <c r="Y332" t="s">
        <v>1</v>
      </c>
      <c r="Z332">
        <v>6000</v>
      </c>
      <c r="AA332">
        <v>192</v>
      </c>
      <c r="AB332">
        <v>30</v>
      </c>
      <c r="AC332">
        <v>0</v>
      </c>
      <c r="AD332">
        <v>193383573</v>
      </c>
      <c r="AE332">
        <v>692647.67</v>
      </c>
      <c r="AF332">
        <v>192690925.33000001</v>
      </c>
      <c r="AG332">
        <v>192690925.33000001</v>
      </c>
      <c r="AH332">
        <v>0</v>
      </c>
      <c r="AI332">
        <v>0</v>
      </c>
    </row>
    <row r="333" spans="13:35" x14ac:dyDescent="0.35">
      <c r="M333" t="s">
        <v>0</v>
      </c>
      <c r="N333">
        <v>4250</v>
      </c>
      <c r="O333">
        <v>216</v>
      </c>
      <c r="P333">
        <v>475</v>
      </c>
      <c r="Q333">
        <v>0</v>
      </c>
      <c r="R333">
        <v>4514399853</v>
      </c>
      <c r="S333">
        <v>20920024.469999999</v>
      </c>
      <c r="T333">
        <v>4493103309.4899998</v>
      </c>
      <c r="U333">
        <v>4493479828.5299997</v>
      </c>
      <c r="V333">
        <v>1E-3</v>
      </c>
      <c r="W333">
        <v>0</v>
      </c>
      <c r="Y333" t="s">
        <v>1</v>
      </c>
      <c r="Z333">
        <v>5250</v>
      </c>
      <c r="AA333">
        <v>192</v>
      </c>
      <c r="AB333">
        <v>1575</v>
      </c>
      <c r="AC333">
        <v>0</v>
      </c>
      <c r="AD333">
        <v>12996284227</v>
      </c>
      <c r="AE333">
        <v>50460727.5</v>
      </c>
      <c r="AF333">
        <v>12910901937.49</v>
      </c>
      <c r="AG333">
        <v>12945823499.5</v>
      </c>
      <c r="AH333">
        <v>3.1772000000000002E-2</v>
      </c>
      <c r="AI333">
        <v>0</v>
      </c>
    </row>
    <row r="334" spans="13:35" x14ac:dyDescent="0.35">
      <c r="M334" t="s">
        <v>0</v>
      </c>
      <c r="N334">
        <v>2500</v>
      </c>
      <c r="O334">
        <v>60</v>
      </c>
      <c r="P334">
        <v>37182</v>
      </c>
      <c r="Q334">
        <v>0</v>
      </c>
      <c r="R334">
        <v>930930101305</v>
      </c>
      <c r="S334">
        <v>2247373908.1199999</v>
      </c>
      <c r="T334">
        <v>924846974145.70996</v>
      </c>
      <c r="U334">
        <v>928468654445.92004</v>
      </c>
      <c r="V334">
        <v>4.8339E-2</v>
      </c>
      <c r="W334">
        <v>2.7560000000000002E-3</v>
      </c>
      <c r="Y334" t="s">
        <v>0</v>
      </c>
      <c r="Z334">
        <v>4250</v>
      </c>
      <c r="AA334">
        <v>216</v>
      </c>
      <c r="AB334">
        <v>451</v>
      </c>
      <c r="AC334">
        <v>0</v>
      </c>
      <c r="AD334">
        <v>4325208551</v>
      </c>
      <c r="AE334">
        <v>19936224.579999998</v>
      </c>
      <c r="AF334">
        <v>4283435146.2600002</v>
      </c>
      <c r="AG334">
        <v>4305272326.4200001</v>
      </c>
      <c r="AH334">
        <v>5.8930999999999997E-2</v>
      </c>
      <c r="AI334">
        <v>0</v>
      </c>
    </row>
    <row r="335" spans="13:35" x14ac:dyDescent="0.35">
      <c r="M335" t="s">
        <v>2</v>
      </c>
      <c r="N335">
        <v>2500</v>
      </c>
      <c r="O335">
        <v>60</v>
      </c>
      <c r="P335">
        <v>3861</v>
      </c>
      <c r="Q335">
        <v>0</v>
      </c>
      <c r="R335">
        <v>67854758863</v>
      </c>
      <c r="S335">
        <v>162617084.08000001</v>
      </c>
      <c r="T335">
        <v>67302001320.419998</v>
      </c>
      <c r="U335">
        <v>67662709100.129997</v>
      </c>
      <c r="V335">
        <v>6.6854999999999998E-2</v>
      </c>
      <c r="W335">
        <v>5.1929999999999997E-3</v>
      </c>
      <c r="Y335" t="s">
        <v>0</v>
      </c>
      <c r="Z335">
        <v>2500</v>
      </c>
      <c r="AA335">
        <v>60</v>
      </c>
      <c r="AB335">
        <v>44026</v>
      </c>
      <c r="AC335">
        <v>0</v>
      </c>
      <c r="AD335">
        <v>1068260247925</v>
      </c>
      <c r="AE335">
        <v>2587395635.02</v>
      </c>
      <c r="AF335">
        <v>1061335978283.1</v>
      </c>
      <c r="AG335">
        <v>1065577758972.9</v>
      </c>
      <c r="AH335">
        <v>4.7643999999999999E-2</v>
      </c>
      <c r="AI335">
        <v>1.0679999999999999E-3</v>
      </c>
    </row>
    <row r="336" spans="13:35" x14ac:dyDescent="0.35">
      <c r="M336" t="s">
        <v>2</v>
      </c>
      <c r="N336">
        <v>5250</v>
      </c>
      <c r="O336">
        <v>192</v>
      </c>
      <c r="P336">
        <v>3500</v>
      </c>
      <c r="Q336">
        <v>0</v>
      </c>
      <c r="R336">
        <v>23734568308</v>
      </c>
      <c r="S336">
        <v>91135457.620000005</v>
      </c>
      <c r="T336">
        <v>23498703429.75</v>
      </c>
      <c r="U336">
        <v>23639558046.959999</v>
      </c>
      <c r="V336">
        <v>7.0768999999999999E-2</v>
      </c>
      <c r="W336">
        <v>1.957E-3</v>
      </c>
      <c r="Y336" t="s">
        <v>2</v>
      </c>
      <c r="Z336">
        <v>2500</v>
      </c>
      <c r="AA336">
        <v>60</v>
      </c>
      <c r="AB336">
        <v>4842</v>
      </c>
      <c r="AC336">
        <v>0</v>
      </c>
      <c r="AD336">
        <v>83494069920</v>
      </c>
      <c r="AE336">
        <v>200424845.56</v>
      </c>
      <c r="AF336">
        <v>82929565290.25</v>
      </c>
      <c r="AG336">
        <v>83277962776.100006</v>
      </c>
      <c r="AH336">
        <v>5.1090000000000003E-2</v>
      </c>
      <c r="AI336">
        <v>2.2520000000000001E-3</v>
      </c>
    </row>
    <row r="337" spans="13:35" x14ac:dyDescent="0.35">
      <c r="M337" t="s">
        <v>2</v>
      </c>
      <c r="N337">
        <v>5750</v>
      </c>
      <c r="O337">
        <v>192</v>
      </c>
      <c r="P337">
        <v>84</v>
      </c>
      <c r="Q337">
        <v>0</v>
      </c>
      <c r="R337">
        <v>465938252</v>
      </c>
      <c r="S337">
        <v>1795527.61</v>
      </c>
      <c r="T337">
        <v>464142724.38999999</v>
      </c>
      <c r="U337">
        <v>464142724.38999999</v>
      </c>
      <c r="V337">
        <v>0</v>
      </c>
      <c r="W337">
        <v>0</v>
      </c>
      <c r="Y337" t="s">
        <v>2</v>
      </c>
      <c r="Z337">
        <v>5250</v>
      </c>
      <c r="AA337">
        <v>192</v>
      </c>
      <c r="AB337">
        <v>3802</v>
      </c>
      <c r="AC337">
        <v>0</v>
      </c>
      <c r="AD337">
        <v>25973982244</v>
      </c>
      <c r="AE337">
        <v>99398326.609999999</v>
      </c>
      <c r="AF337">
        <v>25738156095.040001</v>
      </c>
      <c r="AG337">
        <v>25846294945.709999</v>
      </c>
      <c r="AH337">
        <v>6.1240000000000003E-2</v>
      </c>
      <c r="AI337">
        <v>1.2992E-2</v>
      </c>
    </row>
    <row r="338" spans="13:35" x14ac:dyDescent="0.35">
      <c r="M338" t="s">
        <v>1</v>
      </c>
      <c r="N338">
        <v>4750</v>
      </c>
      <c r="O338">
        <v>216</v>
      </c>
      <c r="P338">
        <v>1036</v>
      </c>
      <c r="Q338">
        <v>0</v>
      </c>
      <c r="R338">
        <v>10466155436</v>
      </c>
      <c r="S338">
        <v>46568071.32</v>
      </c>
      <c r="T338">
        <v>10380165192.280001</v>
      </c>
      <c r="U338">
        <v>10419587364.68</v>
      </c>
      <c r="V338">
        <v>4.4275000000000002E-2</v>
      </c>
      <c r="W338">
        <v>0</v>
      </c>
      <c r="Y338" t="s">
        <v>2</v>
      </c>
      <c r="Z338">
        <v>5750</v>
      </c>
      <c r="AA338">
        <v>192</v>
      </c>
      <c r="AB338">
        <v>98</v>
      </c>
      <c r="AC338">
        <v>0</v>
      </c>
      <c r="AD338">
        <v>527483524</v>
      </c>
      <c r="AE338">
        <v>2020744.23</v>
      </c>
      <c r="AF338">
        <v>525462779.76999998</v>
      </c>
      <c r="AG338">
        <v>525462779.76999998</v>
      </c>
      <c r="AH338">
        <v>0</v>
      </c>
      <c r="AI338">
        <v>0</v>
      </c>
    </row>
    <row r="339" spans="13:35" x14ac:dyDescent="0.35">
      <c r="M339" t="s">
        <v>1</v>
      </c>
      <c r="N339">
        <v>3750</v>
      </c>
      <c r="O339">
        <v>192</v>
      </c>
      <c r="P339">
        <v>5772</v>
      </c>
      <c r="Q339">
        <v>0</v>
      </c>
      <c r="R339">
        <v>71707797284</v>
      </c>
      <c r="S339">
        <v>279014087.56</v>
      </c>
      <c r="T339">
        <v>71040652159.169998</v>
      </c>
      <c r="U339">
        <v>71423640223.399994</v>
      </c>
      <c r="V339">
        <v>6.3052999999999998E-2</v>
      </c>
      <c r="W339">
        <v>8.5999999999999998E-4</v>
      </c>
      <c r="Y339" t="s">
        <v>1</v>
      </c>
      <c r="Z339">
        <v>3750</v>
      </c>
      <c r="AA339">
        <v>192</v>
      </c>
      <c r="AB339">
        <v>4122</v>
      </c>
      <c r="AC339">
        <v>0</v>
      </c>
      <c r="AD339">
        <v>51347108915</v>
      </c>
      <c r="AE339">
        <v>199511734.96000001</v>
      </c>
      <c r="AF339">
        <v>50909507334.620003</v>
      </c>
      <c r="AG339">
        <v>51137490007.919998</v>
      </c>
      <c r="AH339">
        <v>5.4245000000000002E-2</v>
      </c>
      <c r="AI339">
        <v>2.3600000000000001E-3</v>
      </c>
    </row>
    <row r="340" spans="13:35" x14ac:dyDescent="0.35">
      <c r="M340" t="s">
        <v>2</v>
      </c>
      <c r="N340">
        <v>3750</v>
      </c>
      <c r="O340">
        <v>192</v>
      </c>
      <c r="P340">
        <v>1854</v>
      </c>
      <c r="Q340">
        <v>0</v>
      </c>
      <c r="R340">
        <v>15577741517</v>
      </c>
      <c r="S340">
        <v>60693108.369999997</v>
      </c>
      <c r="T340">
        <v>15436891038.52</v>
      </c>
      <c r="U340">
        <v>15508322940.83</v>
      </c>
      <c r="V340">
        <v>6.003E-2</v>
      </c>
      <c r="W340">
        <v>6.7010000000000004E-3</v>
      </c>
      <c r="Y340" t="s">
        <v>2</v>
      </c>
      <c r="Z340">
        <v>3750</v>
      </c>
      <c r="AA340">
        <v>192</v>
      </c>
      <c r="AB340">
        <v>1341</v>
      </c>
      <c r="AC340">
        <v>0</v>
      </c>
      <c r="AD340">
        <v>11300721411</v>
      </c>
      <c r="AE340">
        <v>43982369.439999998</v>
      </c>
      <c r="AF340">
        <v>11200955107.23</v>
      </c>
      <c r="AG340">
        <v>11256739041.559999</v>
      </c>
      <c r="AH340">
        <v>5.7653999999999997E-2</v>
      </c>
      <c r="AI340">
        <v>0</v>
      </c>
    </row>
    <row r="341" spans="13:35" x14ac:dyDescent="0.35">
      <c r="M341" t="s">
        <v>1</v>
      </c>
      <c r="N341">
        <v>3000</v>
      </c>
      <c r="O341">
        <v>192</v>
      </c>
      <c r="P341">
        <v>6</v>
      </c>
      <c r="Q341">
        <v>0</v>
      </c>
      <c r="R341">
        <v>48828911</v>
      </c>
      <c r="S341">
        <v>217333.61</v>
      </c>
      <c r="T341">
        <v>48611577.390000001</v>
      </c>
      <c r="U341">
        <v>48611577.390000001</v>
      </c>
      <c r="V341">
        <v>0</v>
      </c>
      <c r="W341">
        <v>0</v>
      </c>
      <c r="Y341" t="s">
        <v>1</v>
      </c>
      <c r="Z341">
        <v>3000</v>
      </c>
      <c r="AA341">
        <v>192</v>
      </c>
      <c r="AB341">
        <v>6</v>
      </c>
      <c r="AC341">
        <v>0</v>
      </c>
      <c r="AD341">
        <v>49226684</v>
      </c>
      <c r="AE341">
        <v>217592.86</v>
      </c>
      <c r="AF341">
        <v>49009091.140000001</v>
      </c>
      <c r="AG341">
        <v>49009091.140000001</v>
      </c>
      <c r="AH341">
        <v>0</v>
      </c>
      <c r="AI341">
        <v>0</v>
      </c>
    </row>
    <row r="342" spans="13:35" x14ac:dyDescent="0.35">
      <c r="M342" t="s">
        <v>2</v>
      </c>
      <c r="N342">
        <v>3250</v>
      </c>
      <c r="O342">
        <v>192</v>
      </c>
      <c r="P342">
        <v>20</v>
      </c>
      <c r="Q342">
        <v>0</v>
      </c>
      <c r="R342">
        <v>136628062</v>
      </c>
      <c r="S342">
        <v>568449.93999999994</v>
      </c>
      <c r="T342">
        <v>136059612.06</v>
      </c>
      <c r="U342">
        <v>136059612.06</v>
      </c>
      <c r="V342">
        <v>0</v>
      </c>
      <c r="W342">
        <v>0</v>
      </c>
      <c r="Y342" t="s">
        <v>2</v>
      </c>
      <c r="Z342">
        <v>3250</v>
      </c>
      <c r="AA342">
        <v>192</v>
      </c>
      <c r="AB342">
        <v>18</v>
      </c>
      <c r="AC342">
        <v>0</v>
      </c>
      <c r="AD342">
        <v>117792518</v>
      </c>
      <c r="AE342">
        <v>489266.85</v>
      </c>
      <c r="AF342">
        <v>117303251.15000001</v>
      </c>
      <c r="AG342">
        <v>117303251.15000001</v>
      </c>
      <c r="AH342">
        <v>0</v>
      </c>
      <c r="AI342">
        <v>0</v>
      </c>
    </row>
    <row r="343" spans="13:35" x14ac:dyDescent="0.35">
      <c r="M343" t="s">
        <v>3</v>
      </c>
      <c r="N343">
        <v>4750</v>
      </c>
      <c r="O343">
        <v>192</v>
      </c>
      <c r="P343">
        <v>184</v>
      </c>
      <c r="Q343">
        <v>0</v>
      </c>
      <c r="R343">
        <v>1709645289</v>
      </c>
      <c r="S343">
        <v>6598496.4699999997</v>
      </c>
      <c r="T343">
        <v>1703046792.53</v>
      </c>
      <c r="U343">
        <v>1703046792.53</v>
      </c>
      <c r="V343">
        <v>0</v>
      </c>
      <c r="W343">
        <v>0</v>
      </c>
      <c r="Y343" t="s">
        <v>3</v>
      </c>
      <c r="Z343">
        <v>4750</v>
      </c>
      <c r="AA343">
        <v>192</v>
      </c>
      <c r="AB343">
        <v>184</v>
      </c>
      <c r="AC343">
        <v>0</v>
      </c>
      <c r="AD343">
        <v>1719321854</v>
      </c>
      <c r="AE343">
        <v>6584628.8600000003</v>
      </c>
      <c r="AF343">
        <v>1712737225.1400001</v>
      </c>
      <c r="AG343">
        <v>1712737225.1400001</v>
      </c>
      <c r="AH343">
        <v>0</v>
      </c>
      <c r="AI343">
        <v>0</v>
      </c>
    </row>
    <row r="344" spans="13:35" x14ac:dyDescent="0.35">
      <c r="M344" t="s">
        <v>2</v>
      </c>
      <c r="N344">
        <v>3000</v>
      </c>
      <c r="O344">
        <v>60</v>
      </c>
      <c r="P344">
        <v>11250</v>
      </c>
      <c r="Q344">
        <v>0</v>
      </c>
      <c r="R344">
        <v>186323117667</v>
      </c>
      <c r="S344">
        <v>416819776.60000002</v>
      </c>
      <c r="T344">
        <v>184772171151.88</v>
      </c>
      <c r="U344">
        <v>185792218925.22</v>
      </c>
      <c r="V344">
        <v>7.0646E-2</v>
      </c>
      <c r="W344">
        <v>7.3220000000000004E-3</v>
      </c>
      <c r="Y344" t="s">
        <v>2</v>
      </c>
      <c r="Z344">
        <v>3000</v>
      </c>
      <c r="AA344">
        <v>60</v>
      </c>
      <c r="AB344">
        <v>10840</v>
      </c>
      <c r="AC344">
        <v>0</v>
      </c>
      <c r="AD344">
        <v>176535651403</v>
      </c>
      <c r="AE344">
        <v>394728214.79000002</v>
      </c>
      <c r="AF344">
        <v>174916717010.47</v>
      </c>
      <c r="AG344">
        <v>175904504663.56</v>
      </c>
      <c r="AH344">
        <v>8.0114000000000005E-2</v>
      </c>
      <c r="AI344">
        <v>1.5952999999999998E-2</v>
      </c>
    </row>
    <row r="345" spans="13:35" x14ac:dyDescent="0.35">
      <c r="M345" t="s">
        <v>0</v>
      </c>
      <c r="N345">
        <v>3000</v>
      </c>
      <c r="O345">
        <v>60</v>
      </c>
      <c r="P345">
        <v>133545</v>
      </c>
      <c r="Q345">
        <v>0</v>
      </c>
      <c r="R345">
        <v>2887362133474</v>
      </c>
      <c r="S345">
        <v>6471378576.0200005</v>
      </c>
      <c r="T345">
        <v>2867042676927.6802</v>
      </c>
      <c r="U345">
        <v>2879312886758.4102</v>
      </c>
      <c r="V345">
        <v>5.6058999999999998E-2</v>
      </c>
      <c r="W345">
        <v>6.5380000000000004E-3</v>
      </c>
      <c r="Y345" t="s">
        <v>0</v>
      </c>
      <c r="Z345">
        <v>3000</v>
      </c>
      <c r="AA345">
        <v>60</v>
      </c>
      <c r="AB345">
        <v>124589</v>
      </c>
      <c r="AC345">
        <v>0</v>
      </c>
      <c r="AD345">
        <v>2669869887397</v>
      </c>
      <c r="AE345">
        <v>5988084148.6599998</v>
      </c>
      <c r="AF345">
        <v>2651183551180.2598</v>
      </c>
      <c r="AG345">
        <v>2662776036517.1602</v>
      </c>
      <c r="AH345">
        <v>5.5604000000000001E-2</v>
      </c>
      <c r="AI345">
        <v>4.9589999999999999E-3</v>
      </c>
    </row>
    <row r="346" spans="13:35" x14ac:dyDescent="0.35">
      <c r="M346" t="s">
        <v>1</v>
      </c>
      <c r="N346">
        <v>3250</v>
      </c>
      <c r="O346">
        <v>192</v>
      </c>
      <c r="P346">
        <v>30</v>
      </c>
      <c r="Q346">
        <v>0</v>
      </c>
      <c r="R346">
        <v>315337412</v>
      </c>
      <c r="S346">
        <v>1283734.46</v>
      </c>
      <c r="T346">
        <v>314053677.54000002</v>
      </c>
      <c r="U346">
        <v>314053677.54000002</v>
      </c>
      <c r="V346">
        <v>0</v>
      </c>
      <c r="W346">
        <v>0</v>
      </c>
      <c r="Y346" t="s">
        <v>0</v>
      </c>
      <c r="Z346">
        <v>3500</v>
      </c>
      <c r="AA346">
        <v>96</v>
      </c>
      <c r="AB346">
        <v>1267</v>
      </c>
      <c r="AC346">
        <v>0</v>
      </c>
      <c r="AD346">
        <v>17035112904</v>
      </c>
      <c r="AE346">
        <v>42393603.530000001</v>
      </c>
      <c r="AF346">
        <v>16882802620.92</v>
      </c>
      <c r="AG346">
        <v>16982828140.469999</v>
      </c>
      <c r="AH346">
        <v>7.4739E-2</v>
      </c>
      <c r="AI346">
        <v>6.9449999999999998E-3</v>
      </c>
    </row>
    <row r="347" spans="13:35" x14ac:dyDescent="0.35">
      <c r="M347" t="s">
        <v>3</v>
      </c>
      <c r="N347">
        <v>4250</v>
      </c>
      <c r="O347">
        <v>192</v>
      </c>
      <c r="P347">
        <v>216</v>
      </c>
      <c r="Q347">
        <v>0</v>
      </c>
      <c r="R347">
        <v>2376941116</v>
      </c>
      <c r="S347">
        <v>9160857.7400000002</v>
      </c>
      <c r="T347">
        <v>2348668667.98</v>
      </c>
      <c r="U347">
        <v>2367780258.2600002</v>
      </c>
      <c r="V347">
        <v>9.2329999999999995E-2</v>
      </c>
      <c r="W347">
        <v>0</v>
      </c>
      <c r="Y347" t="s">
        <v>2</v>
      </c>
      <c r="Z347">
        <v>3500</v>
      </c>
      <c r="AA347">
        <v>96</v>
      </c>
      <c r="AB347">
        <v>222</v>
      </c>
      <c r="AC347">
        <v>0</v>
      </c>
      <c r="AD347">
        <v>2395650377</v>
      </c>
      <c r="AE347">
        <v>6074795.1500000004</v>
      </c>
      <c r="AF347">
        <v>2360547224.1500001</v>
      </c>
      <c r="AG347">
        <v>2389575581.8499999</v>
      </c>
      <c r="AH347">
        <v>0.13609599999999999</v>
      </c>
      <c r="AI347">
        <v>0</v>
      </c>
    </row>
    <row r="348" spans="13:35" x14ac:dyDescent="0.35">
      <c r="M348" t="s">
        <v>1</v>
      </c>
      <c r="N348">
        <v>3250</v>
      </c>
      <c r="O348">
        <v>144</v>
      </c>
      <c r="P348">
        <v>9816</v>
      </c>
      <c r="Q348">
        <v>0</v>
      </c>
      <c r="R348">
        <v>165694319232</v>
      </c>
      <c r="S348">
        <v>519492000.23000002</v>
      </c>
      <c r="T348">
        <v>164083687904.48999</v>
      </c>
      <c r="U348">
        <v>165032290296.22</v>
      </c>
      <c r="V348">
        <v>7.6222999999999999E-2</v>
      </c>
      <c r="W348">
        <v>1.0274E-2</v>
      </c>
      <c r="Y348" t="s">
        <v>1</v>
      </c>
      <c r="Z348">
        <v>3500</v>
      </c>
      <c r="AA348">
        <v>96</v>
      </c>
      <c r="AB348">
        <v>685</v>
      </c>
      <c r="AC348">
        <v>0</v>
      </c>
      <c r="AD348">
        <v>13195231205</v>
      </c>
      <c r="AE348">
        <v>33183410.809999999</v>
      </c>
      <c r="AF348">
        <v>13071002360.450001</v>
      </c>
      <c r="AG348">
        <v>13162047794.190001</v>
      </c>
      <c r="AH348">
        <v>7.9727999999999993E-2</v>
      </c>
      <c r="AI348">
        <v>0</v>
      </c>
    </row>
    <row r="349" spans="13:35" x14ac:dyDescent="0.35">
      <c r="M349" t="s">
        <v>0</v>
      </c>
      <c r="N349">
        <v>3750</v>
      </c>
      <c r="O349">
        <v>144</v>
      </c>
      <c r="P349">
        <v>81572</v>
      </c>
      <c r="Q349">
        <v>0</v>
      </c>
      <c r="R349">
        <v>997267383107</v>
      </c>
      <c r="S349">
        <v>2958590378.1799998</v>
      </c>
      <c r="T349">
        <v>989301030429.03003</v>
      </c>
      <c r="U349">
        <v>993777030113.17004</v>
      </c>
      <c r="V349">
        <v>5.8620999999999999E-2</v>
      </c>
      <c r="W349">
        <v>6.3800000000000003E-3</v>
      </c>
      <c r="Y349" t="s">
        <v>2</v>
      </c>
      <c r="Z349">
        <v>4000</v>
      </c>
      <c r="AA349">
        <v>96</v>
      </c>
      <c r="AB349">
        <v>1865</v>
      </c>
      <c r="AC349">
        <v>0</v>
      </c>
      <c r="AD349">
        <v>21533240527</v>
      </c>
      <c r="AE349">
        <v>51093362.539999999</v>
      </c>
      <c r="AF349">
        <v>21372571047.369999</v>
      </c>
      <c r="AG349">
        <v>21482147164.459999</v>
      </c>
      <c r="AH349">
        <v>5.9383999999999999E-2</v>
      </c>
      <c r="AI349">
        <v>0</v>
      </c>
    </row>
    <row r="350" spans="13:35" x14ac:dyDescent="0.35">
      <c r="M350" t="s">
        <v>2</v>
      </c>
      <c r="N350">
        <v>3750</v>
      </c>
      <c r="O350">
        <v>144</v>
      </c>
      <c r="P350">
        <v>14700</v>
      </c>
      <c r="Q350">
        <v>0</v>
      </c>
      <c r="R350">
        <v>149361603974</v>
      </c>
      <c r="S350">
        <v>449067451.37</v>
      </c>
      <c r="T350">
        <v>148230421291.39999</v>
      </c>
      <c r="U350">
        <v>148868202838.98999</v>
      </c>
      <c r="V350">
        <v>5.3447000000000001E-2</v>
      </c>
      <c r="W350">
        <v>3.5560000000000001E-3</v>
      </c>
      <c r="Y350" t="s">
        <v>0</v>
      </c>
      <c r="Z350">
        <v>4000</v>
      </c>
      <c r="AA350">
        <v>96</v>
      </c>
      <c r="AB350">
        <v>8833</v>
      </c>
      <c r="AC350">
        <v>0</v>
      </c>
      <c r="AD350">
        <v>130062552990</v>
      </c>
      <c r="AE350">
        <v>306360233.29000002</v>
      </c>
      <c r="AF350">
        <v>128927972787.94</v>
      </c>
      <c r="AG350">
        <v>129731391520.56</v>
      </c>
      <c r="AH350">
        <v>7.3793999999999998E-2</v>
      </c>
      <c r="AI350">
        <v>2.2859999999999998E-3</v>
      </c>
    </row>
    <row r="351" spans="13:35" x14ac:dyDescent="0.35">
      <c r="M351" t="s">
        <v>1</v>
      </c>
      <c r="N351">
        <v>3750</v>
      </c>
      <c r="O351">
        <v>144</v>
      </c>
      <c r="P351">
        <v>41124</v>
      </c>
      <c r="Q351">
        <v>0</v>
      </c>
      <c r="R351">
        <v>627081272226</v>
      </c>
      <c r="S351">
        <v>1879946125.3199999</v>
      </c>
      <c r="T351">
        <v>621539125241.68005</v>
      </c>
      <c r="U351">
        <v>625113087727.21997</v>
      </c>
      <c r="V351">
        <v>6.7873000000000003E-2</v>
      </c>
      <c r="W351">
        <v>1.6869999999999999E-3</v>
      </c>
      <c r="Y351" t="s">
        <v>1</v>
      </c>
      <c r="Z351">
        <v>4000</v>
      </c>
      <c r="AA351">
        <v>96</v>
      </c>
      <c r="AB351">
        <v>4580</v>
      </c>
      <c r="AC351">
        <v>0</v>
      </c>
      <c r="AD351">
        <v>85276373397</v>
      </c>
      <c r="AE351">
        <v>200609782.78</v>
      </c>
      <c r="AF351">
        <v>84603370331.479996</v>
      </c>
      <c r="AG351">
        <v>85042406696.089996</v>
      </c>
      <c r="AH351">
        <v>6.4486000000000002E-2</v>
      </c>
      <c r="AI351">
        <v>4.6839999999999998E-3</v>
      </c>
    </row>
    <row r="352" spans="13:35" x14ac:dyDescent="0.35">
      <c r="M352" t="s">
        <v>0</v>
      </c>
      <c r="N352">
        <v>3250</v>
      </c>
      <c r="O352">
        <v>168</v>
      </c>
      <c r="P352">
        <v>79055</v>
      </c>
      <c r="Q352">
        <v>0</v>
      </c>
      <c r="R352">
        <v>885746064226</v>
      </c>
      <c r="S352">
        <v>3295389162.75</v>
      </c>
      <c r="T352">
        <v>879150926416.25</v>
      </c>
      <c r="U352">
        <v>882341115814.65002</v>
      </c>
      <c r="V352">
        <v>4.3799999999999999E-2</v>
      </c>
      <c r="W352">
        <v>1.4829999999999999E-3</v>
      </c>
      <c r="Y352" t="s">
        <v>1</v>
      </c>
      <c r="Z352">
        <v>3250</v>
      </c>
      <c r="AA352">
        <v>192</v>
      </c>
      <c r="AB352">
        <v>16</v>
      </c>
      <c r="AC352">
        <v>0</v>
      </c>
      <c r="AD352">
        <v>144771335</v>
      </c>
      <c r="AE352">
        <v>590316.81999999995</v>
      </c>
      <c r="AF352">
        <v>144181018.18000001</v>
      </c>
      <c r="AG352">
        <v>144181018.18000001</v>
      </c>
      <c r="AH352">
        <v>0</v>
      </c>
      <c r="AI352">
        <v>0</v>
      </c>
    </row>
    <row r="353" spans="13:35" x14ac:dyDescent="0.35">
      <c r="M353" t="s">
        <v>0</v>
      </c>
      <c r="N353">
        <v>2500</v>
      </c>
      <c r="O353">
        <v>168</v>
      </c>
      <c r="P353">
        <v>243</v>
      </c>
      <c r="Q353">
        <v>0</v>
      </c>
      <c r="R353">
        <v>1813172966</v>
      </c>
      <c r="S353">
        <v>7105268.2000000002</v>
      </c>
      <c r="T353">
        <v>1798202719.9100001</v>
      </c>
      <c r="U353">
        <v>1806067697.8</v>
      </c>
      <c r="V353">
        <v>5.0827999999999998E-2</v>
      </c>
      <c r="W353">
        <v>0</v>
      </c>
      <c r="Y353" t="s">
        <v>3</v>
      </c>
      <c r="Z353">
        <v>4250</v>
      </c>
      <c r="AA353">
        <v>192</v>
      </c>
      <c r="AB353">
        <v>202</v>
      </c>
      <c r="AC353">
        <v>0</v>
      </c>
      <c r="AD353">
        <v>2178257405</v>
      </c>
      <c r="AE353">
        <v>8370046.0700000003</v>
      </c>
      <c r="AF353">
        <v>2163958662.3400002</v>
      </c>
      <c r="AG353">
        <v>2169887358.9299998</v>
      </c>
      <c r="AH353">
        <v>3.2176999999999997E-2</v>
      </c>
      <c r="AI353">
        <v>0</v>
      </c>
    </row>
    <row r="354" spans="13:35" x14ac:dyDescent="0.35">
      <c r="M354" t="s">
        <v>0</v>
      </c>
      <c r="N354">
        <v>2750</v>
      </c>
      <c r="O354">
        <v>192</v>
      </c>
      <c r="P354">
        <v>2</v>
      </c>
      <c r="Q354">
        <v>0</v>
      </c>
      <c r="R354">
        <v>8321334</v>
      </c>
      <c r="S354">
        <v>35159.94</v>
      </c>
      <c r="T354">
        <v>8286174.0599999996</v>
      </c>
      <c r="U354">
        <v>8286174.0599999996</v>
      </c>
      <c r="V354">
        <v>0</v>
      </c>
      <c r="W354">
        <v>0</v>
      </c>
      <c r="Y354" t="s">
        <v>0</v>
      </c>
      <c r="Z354">
        <v>4250</v>
      </c>
      <c r="AA354">
        <v>168</v>
      </c>
      <c r="AB354">
        <v>44386</v>
      </c>
      <c r="AC354">
        <v>0</v>
      </c>
      <c r="AD354">
        <v>393033326509</v>
      </c>
      <c r="AE354">
        <v>1328030616.5</v>
      </c>
      <c r="AF354">
        <v>389366446895.94</v>
      </c>
      <c r="AG354">
        <v>391424503679.03998</v>
      </c>
      <c r="AH354">
        <v>6.9117999999999999E-2</v>
      </c>
      <c r="AI354">
        <v>8.5389999999999997E-3</v>
      </c>
    </row>
    <row r="355" spans="13:35" x14ac:dyDescent="0.35">
      <c r="M355" t="s">
        <v>1</v>
      </c>
      <c r="N355">
        <v>4250</v>
      </c>
      <c r="O355">
        <v>168</v>
      </c>
      <c r="P355">
        <v>8859</v>
      </c>
      <c r="Q355">
        <v>0</v>
      </c>
      <c r="R355">
        <v>98994232273</v>
      </c>
      <c r="S355">
        <v>324430624.55000001</v>
      </c>
      <c r="T355">
        <v>97949620207.410004</v>
      </c>
      <c r="U355">
        <v>98618033339.720001</v>
      </c>
      <c r="V355">
        <v>8.3890000000000006E-2</v>
      </c>
      <c r="W355">
        <v>6.2570000000000004E-3</v>
      </c>
      <c r="Y355" t="s">
        <v>2</v>
      </c>
      <c r="Z355">
        <v>3750</v>
      </c>
      <c r="AA355">
        <v>168</v>
      </c>
      <c r="AB355">
        <v>17293</v>
      </c>
      <c r="AC355">
        <v>0</v>
      </c>
      <c r="AD355">
        <v>143787441254</v>
      </c>
      <c r="AE355">
        <v>517650683.08999997</v>
      </c>
      <c r="AF355">
        <v>142617430370.13</v>
      </c>
      <c r="AG355">
        <v>143241970827.54001</v>
      </c>
      <c r="AH355">
        <v>5.3104999999999999E-2</v>
      </c>
      <c r="AI355">
        <v>2.3189999999999999E-3</v>
      </c>
    </row>
    <row r="356" spans="13:35" x14ac:dyDescent="0.35">
      <c r="M356" t="s">
        <v>0</v>
      </c>
      <c r="N356">
        <v>4250</v>
      </c>
      <c r="O356">
        <v>168</v>
      </c>
      <c r="P356">
        <v>43861</v>
      </c>
      <c r="Q356">
        <v>0</v>
      </c>
      <c r="R356">
        <v>389345642658</v>
      </c>
      <c r="S356">
        <v>1312148053.72</v>
      </c>
      <c r="T356">
        <v>386017238896.73999</v>
      </c>
      <c r="U356">
        <v>387768707086.64001</v>
      </c>
      <c r="V356">
        <v>6.0402999999999998E-2</v>
      </c>
      <c r="W356">
        <v>8.1309999999999993E-3</v>
      </c>
      <c r="Y356" t="s">
        <v>1</v>
      </c>
      <c r="Z356">
        <v>4250</v>
      </c>
      <c r="AA356">
        <v>168</v>
      </c>
      <c r="AB356">
        <v>8557</v>
      </c>
      <c r="AC356">
        <v>0</v>
      </c>
      <c r="AD356">
        <v>94097874156</v>
      </c>
      <c r="AE356">
        <v>309939267.31</v>
      </c>
      <c r="AF356">
        <v>93326890398.5</v>
      </c>
      <c r="AG356">
        <v>93773424037.770004</v>
      </c>
      <c r="AH356">
        <v>5.7237000000000003E-2</v>
      </c>
      <c r="AI356">
        <v>1.8489999999999999E-3</v>
      </c>
    </row>
    <row r="357" spans="13:35" x14ac:dyDescent="0.35">
      <c r="M357" t="s">
        <v>1</v>
      </c>
      <c r="N357">
        <v>3750</v>
      </c>
      <c r="O357">
        <v>168</v>
      </c>
      <c r="P357">
        <v>34285</v>
      </c>
      <c r="Q357">
        <v>0</v>
      </c>
      <c r="R357">
        <v>428733837788</v>
      </c>
      <c r="S357">
        <v>1551218132.4100001</v>
      </c>
      <c r="T357">
        <v>424996847502.89001</v>
      </c>
      <c r="U357">
        <v>427106484801.14001</v>
      </c>
      <c r="V357">
        <v>5.9492000000000003E-2</v>
      </c>
      <c r="W357">
        <v>2.1289999999999998E-3</v>
      </c>
      <c r="Y357" t="s">
        <v>0</v>
      </c>
      <c r="Z357">
        <v>3750</v>
      </c>
      <c r="AA357">
        <v>168</v>
      </c>
      <c r="AB357">
        <v>120419</v>
      </c>
      <c r="AC357">
        <v>0</v>
      </c>
      <c r="AD357">
        <v>1237737304946</v>
      </c>
      <c r="AE357">
        <v>4458614262.6400003</v>
      </c>
      <c r="AF357">
        <v>1227888894526.6899</v>
      </c>
      <c r="AG357">
        <v>1232925897544.26</v>
      </c>
      <c r="AH357">
        <v>5.1020999999999997E-2</v>
      </c>
      <c r="AI357">
        <v>3.4150000000000001E-3</v>
      </c>
    </row>
    <row r="358" spans="13:35" x14ac:dyDescent="0.35">
      <c r="M358" t="s">
        <v>0</v>
      </c>
      <c r="N358">
        <v>3750</v>
      </c>
      <c r="O358">
        <v>168</v>
      </c>
      <c r="P358">
        <v>116361</v>
      </c>
      <c r="Q358">
        <v>0</v>
      </c>
      <c r="R358">
        <v>1189955356928</v>
      </c>
      <c r="S358">
        <v>4305760709.3299999</v>
      </c>
      <c r="T358">
        <v>1180204617688.6201</v>
      </c>
      <c r="U358">
        <v>1185196018999.8501</v>
      </c>
      <c r="V358">
        <v>5.3547999999999998E-2</v>
      </c>
      <c r="W358">
        <v>4.5640000000000003E-3</v>
      </c>
      <c r="Y358" t="s">
        <v>1</v>
      </c>
      <c r="Z358">
        <v>3250</v>
      </c>
      <c r="AA358">
        <v>144</v>
      </c>
      <c r="AB358">
        <v>9272</v>
      </c>
      <c r="AC358">
        <v>0</v>
      </c>
      <c r="AD358">
        <v>156610012317</v>
      </c>
      <c r="AE358">
        <v>489668520.43000001</v>
      </c>
      <c r="AF358">
        <v>155537280520.22</v>
      </c>
      <c r="AG358">
        <v>156042942415.01001</v>
      </c>
      <c r="AH358">
        <v>4.3772999999999999E-2</v>
      </c>
      <c r="AI358">
        <v>5.9150000000000001E-3</v>
      </c>
    </row>
    <row r="359" spans="13:35" x14ac:dyDescent="0.35">
      <c r="M359" t="s">
        <v>0</v>
      </c>
      <c r="N359">
        <v>4750</v>
      </c>
      <c r="O359">
        <v>168</v>
      </c>
      <c r="P359">
        <v>15580</v>
      </c>
      <c r="Q359">
        <v>0</v>
      </c>
      <c r="R359">
        <v>131515499641</v>
      </c>
      <c r="S359">
        <v>402683181.32999998</v>
      </c>
      <c r="T359">
        <v>130339768041.06</v>
      </c>
      <c r="U359">
        <v>131030746554.67999</v>
      </c>
      <c r="V359">
        <v>6.83E-2</v>
      </c>
      <c r="W359">
        <v>7.463E-3</v>
      </c>
      <c r="Y359" t="s">
        <v>0</v>
      </c>
      <c r="Z359">
        <v>3750</v>
      </c>
      <c r="AA359">
        <v>144</v>
      </c>
      <c r="AB359">
        <v>77725</v>
      </c>
      <c r="AC359">
        <v>0</v>
      </c>
      <c r="AD359">
        <v>949835414089</v>
      </c>
      <c r="AE359">
        <v>2809978704.9400001</v>
      </c>
      <c r="AF359">
        <v>942323140955.31995</v>
      </c>
      <c r="AG359">
        <v>946668504753.12</v>
      </c>
      <c r="AH359">
        <v>5.7817E-2</v>
      </c>
      <c r="AI359">
        <v>4.4999999999999997E-3</v>
      </c>
    </row>
    <row r="360" spans="13:35" x14ac:dyDescent="0.35">
      <c r="M360" t="s">
        <v>2</v>
      </c>
      <c r="N360">
        <v>3750</v>
      </c>
      <c r="O360">
        <v>168</v>
      </c>
      <c r="P360">
        <v>16749</v>
      </c>
      <c r="Q360">
        <v>0</v>
      </c>
      <c r="R360">
        <v>138640630646</v>
      </c>
      <c r="S360">
        <v>501357618.51999998</v>
      </c>
      <c r="T360">
        <v>137567052627.73001</v>
      </c>
      <c r="U360">
        <v>138122565723.42999</v>
      </c>
      <c r="V360">
        <v>4.8418999999999997E-2</v>
      </c>
      <c r="W360">
        <v>1.4450000000000001E-3</v>
      </c>
      <c r="Y360" t="s">
        <v>2</v>
      </c>
      <c r="Z360">
        <v>3750</v>
      </c>
      <c r="AA360">
        <v>144</v>
      </c>
      <c r="AB360">
        <v>14187</v>
      </c>
      <c r="AC360">
        <v>0</v>
      </c>
      <c r="AD360">
        <v>144266387277</v>
      </c>
      <c r="AE360">
        <v>432424510.44</v>
      </c>
      <c r="AF360">
        <v>143154520283.82999</v>
      </c>
      <c r="AG360">
        <v>143790452438.73999</v>
      </c>
      <c r="AH360">
        <v>5.5073999999999998E-2</v>
      </c>
      <c r="AI360">
        <v>3.6129999999999999E-3</v>
      </c>
    </row>
    <row r="361" spans="13:35" x14ac:dyDescent="0.35">
      <c r="M361" t="s">
        <v>2</v>
      </c>
      <c r="N361">
        <v>4250</v>
      </c>
      <c r="O361">
        <v>168</v>
      </c>
      <c r="P361">
        <v>7116</v>
      </c>
      <c r="Q361">
        <v>0</v>
      </c>
      <c r="R361">
        <v>59817569789</v>
      </c>
      <c r="S361">
        <v>196560974.25</v>
      </c>
      <c r="T361">
        <v>59326083592.75</v>
      </c>
      <c r="U361">
        <v>59613753954.160004</v>
      </c>
      <c r="V361">
        <v>5.7586999999999999E-2</v>
      </c>
      <c r="W361">
        <v>1.454E-3</v>
      </c>
      <c r="Y361" t="s">
        <v>1</v>
      </c>
      <c r="Z361">
        <v>3750</v>
      </c>
      <c r="AA361">
        <v>144</v>
      </c>
      <c r="AB361">
        <v>39452</v>
      </c>
      <c r="AC361">
        <v>0</v>
      </c>
      <c r="AD361">
        <v>602571093621</v>
      </c>
      <c r="AE361">
        <v>1801875444.4000001</v>
      </c>
      <c r="AF361">
        <v>597379374436.55005</v>
      </c>
      <c r="AG361">
        <v>600577414099.57996</v>
      </c>
      <c r="AH361">
        <v>6.5458000000000002E-2</v>
      </c>
      <c r="AI361">
        <v>3.813E-3</v>
      </c>
    </row>
    <row r="362" spans="13:35" x14ac:dyDescent="0.35">
      <c r="M362" t="s">
        <v>1</v>
      </c>
      <c r="N362">
        <v>3250</v>
      </c>
      <c r="O362">
        <v>168</v>
      </c>
      <c r="P362">
        <v>38356</v>
      </c>
      <c r="Q362">
        <v>0</v>
      </c>
      <c r="R362">
        <v>536921988764</v>
      </c>
      <c r="S362">
        <v>1995275110.3</v>
      </c>
      <c r="T362">
        <v>532450654527.06</v>
      </c>
      <c r="U362">
        <v>534890767212.23999</v>
      </c>
      <c r="V362">
        <v>5.3956999999999998E-2</v>
      </c>
      <c r="W362">
        <v>8.03E-4</v>
      </c>
      <c r="Y362" t="s">
        <v>0</v>
      </c>
      <c r="Z362">
        <v>3250</v>
      </c>
      <c r="AA362">
        <v>168</v>
      </c>
      <c r="AB362">
        <v>79395</v>
      </c>
      <c r="AC362">
        <v>0</v>
      </c>
      <c r="AD362">
        <v>893084627071</v>
      </c>
      <c r="AE362">
        <v>3301662670.46</v>
      </c>
      <c r="AF362">
        <v>886349478657.41003</v>
      </c>
      <c r="AG362">
        <v>889639098366.93005</v>
      </c>
      <c r="AH362">
        <v>4.5171000000000003E-2</v>
      </c>
      <c r="AI362">
        <v>1.931E-3</v>
      </c>
    </row>
    <row r="363" spans="13:35" x14ac:dyDescent="0.35">
      <c r="M363" t="s">
        <v>2</v>
      </c>
      <c r="N363">
        <v>3250</v>
      </c>
      <c r="O363">
        <v>168</v>
      </c>
      <c r="P363">
        <v>12641</v>
      </c>
      <c r="Q363">
        <v>0</v>
      </c>
      <c r="R363">
        <v>114034362954</v>
      </c>
      <c r="S363">
        <v>423082133.68000001</v>
      </c>
      <c r="T363">
        <v>112966021206</v>
      </c>
      <c r="U363">
        <v>113587689605.17999</v>
      </c>
      <c r="V363">
        <v>6.5827999999999998E-2</v>
      </c>
      <c r="W363">
        <v>2.48E-3</v>
      </c>
      <c r="Y363" t="s">
        <v>0</v>
      </c>
      <c r="Z363">
        <v>2500</v>
      </c>
      <c r="AA363">
        <v>168</v>
      </c>
      <c r="AB363">
        <v>243</v>
      </c>
      <c r="AC363">
        <v>0</v>
      </c>
      <c r="AD363">
        <v>1823564816</v>
      </c>
      <c r="AE363">
        <v>7104009.4100000001</v>
      </c>
      <c r="AF363">
        <v>1808372154.5</v>
      </c>
      <c r="AG363">
        <v>1816460806.5899999</v>
      </c>
      <c r="AH363">
        <v>5.1948000000000001E-2</v>
      </c>
      <c r="AI363">
        <v>0</v>
      </c>
    </row>
    <row r="364" spans="13:35" x14ac:dyDescent="0.35">
      <c r="M364" t="s">
        <v>0</v>
      </c>
      <c r="N364">
        <v>2000</v>
      </c>
      <c r="O364">
        <v>168</v>
      </c>
      <c r="P364">
        <v>22</v>
      </c>
      <c r="Q364">
        <v>0</v>
      </c>
      <c r="R364">
        <v>170517391</v>
      </c>
      <c r="S364">
        <v>746121.45</v>
      </c>
      <c r="T364">
        <v>169771269.55000001</v>
      </c>
      <c r="U364">
        <v>169771269.55000001</v>
      </c>
      <c r="V364">
        <v>0</v>
      </c>
      <c r="W364">
        <v>0</v>
      </c>
      <c r="Y364" t="s">
        <v>0</v>
      </c>
      <c r="Z364">
        <v>2750</v>
      </c>
      <c r="AA364">
        <v>192</v>
      </c>
      <c r="AB364">
        <v>2</v>
      </c>
      <c r="AC364">
        <v>0</v>
      </c>
      <c r="AD364">
        <v>8374592</v>
      </c>
      <c r="AE364">
        <v>35156.39</v>
      </c>
      <c r="AF364">
        <v>8339435.6100000003</v>
      </c>
      <c r="AG364">
        <v>8339435.6100000003</v>
      </c>
      <c r="AH364">
        <v>0</v>
      </c>
      <c r="AI364">
        <v>0</v>
      </c>
    </row>
    <row r="365" spans="13:35" x14ac:dyDescent="0.35">
      <c r="M365" t="s">
        <v>3</v>
      </c>
      <c r="N365">
        <v>5000</v>
      </c>
      <c r="O365">
        <v>168</v>
      </c>
      <c r="P365">
        <v>27</v>
      </c>
      <c r="Q365">
        <v>0</v>
      </c>
      <c r="R365">
        <v>252107403</v>
      </c>
      <c r="S365">
        <v>764261.66</v>
      </c>
      <c r="T365">
        <v>244183950.31999999</v>
      </c>
      <c r="U365">
        <v>244183950.31999999</v>
      </c>
      <c r="V365">
        <v>0.29227599999999998</v>
      </c>
      <c r="W365">
        <v>0.29227599999999998</v>
      </c>
      <c r="Y365" t="s">
        <v>1</v>
      </c>
      <c r="Z365">
        <v>3750</v>
      </c>
      <c r="AA365">
        <v>168</v>
      </c>
      <c r="AB365">
        <v>35968</v>
      </c>
      <c r="AC365">
        <v>0</v>
      </c>
      <c r="AD365">
        <v>451472542244</v>
      </c>
      <c r="AE365">
        <v>1628193786.6300001</v>
      </c>
      <c r="AF365">
        <v>447518363385.27002</v>
      </c>
      <c r="AG365">
        <v>449696435951.54999</v>
      </c>
      <c r="AH365">
        <v>6.0102000000000003E-2</v>
      </c>
      <c r="AI365">
        <v>3.9240000000000004E-3</v>
      </c>
    </row>
    <row r="366" spans="13:35" x14ac:dyDescent="0.35">
      <c r="M366" t="s">
        <v>3</v>
      </c>
      <c r="N366">
        <v>4500</v>
      </c>
      <c r="O366">
        <v>168</v>
      </c>
      <c r="P366">
        <v>128</v>
      </c>
      <c r="Q366">
        <v>0</v>
      </c>
      <c r="R366">
        <v>1338384863</v>
      </c>
      <c r="S366">
        <v>4226206.28</v>
      </c>
      <c r="T366">
        <v>1334031257.3099999</v>
      </c>
      <c r="U366">
        <v>1334158656.72</v>
      </c>
      <c r="V366">
        <v>1.142E-3</v>
      </c>
      <c r="W366">
        <v>0</v>
      </c>
      <c r="Y366" t="s">
        <v>0</v>
      </c>
      <c r="Z366">
        <v>4750</v>
      </c>
      <c r="AA366">
        <v>168</v>
      </c>
      <c r="AB366">
        <v>14029</v>
      </c>
      <c r="AC366">
        <v>0</v>
      </c>
      <c r="AD366">
        <v>118443605073</v>
      </c>
      <c r="AE366">
        <v>362173662.98000002</v>
      </c>
      <c r="AF366">
        <v>117392890524.19</v>
      </c>
      <c r="AG366">
        <v>117969870618.89999</v>
      </c>
      <c r="AH366">
        <v>6.7571000000000006E-2</v>
      </c>
      <c r="AI366">
        <v>1.1244000000000001E-2</v>
      </c>
    </row>
    <row r="367" spans="13:35" x14ac:dyDescent="0.35">
      <c r="M367" t="s">
        <v>3</v>
      </c>
      <c r="N367">
        <v>3750</v>
      </c>
      <c r="O367">
        <v>168</v>
      </c>
      <c r="P367">
        <v>625</v>
      </c>
      <c r="Q367">
        <v>0</v>
      </c>
      <c r="R367">
        <v>7173561250</v>
      </c>
      <c r="S367">
        <v>26175225.010000002</v>
      </c>
      <c r="T367">
        <v>7138291323.9399996</v>
      </c>
      <c r="U367">
        <v>7147386024.9899998</v>
      </c>
      <c r="V367">
        <v>1.5108E-2</v>
      </c>
      <c r="W367">
        <v>0</v>
      </c>
      <c r="Y367" t="s">
        <v>2</v>
      </c>
      <c r="Z367">
        <v>4250</v>
      </c>
      <c r="AA367">
        <v>168</v>
      </c>
      <c r="AB367">
        <v>7031</v>
      </c>
      <c r="AC367">
        <v>0</v>
      </c>
      <c r="AD367">
        <v>58220271503</v>
      </c>
      <c r="AE367">
        <v>192119756.05000001</v>
      </c>
      <c r="AF367">
        <v>57681925162.339996</v>
      </c>
      <c r="AG367">
        <v>58003701501.459999</v>
      </c>
      <c r="AH367">
        <v>6.9073999999999997E-2</v>
      </c>
      <c r="AI367">
        <v>5.0280000000000004E-3</v>
      </c>
    </row>
    <row r="368" spans="13:35" x14ac:dyDescent="0.35">
      <c r="M368" t="s">
        <v>2</v>
      </c>
      <c r="N368">
        <v>2000</v>
      </c>
      <c r="O368">
        <v>168</v>
      </c>
      <c r="P368">
        <v>4</v>
      </c>
      <c r="Q368">
        <v>0</v>
      </c>
      <c r="R368">
        <v>44191377</v>
      </c>
      <c r="S368">
        <v>204523.63</v>
      </c>
      <c r="T368">
        <v>43986853.369999997</v>
      </c>
      <c r="U368">
        <v>43986853.369999997</v>
      </c>
      <c r="V368">
        <v>0</v>
      </c>
      <c r="W368">
        <v>0</v>
      </c>
      <c r="Y368" t="s">
        <v>1</v>
      </c>
      <c r="Z368">
        <v>3250</v>
      </c>
      <c r="AA368">
        <v>168</v>
      </c>
      <c r="AB368">
        <v>38617</v>
      </c>
      <c r="AC368">
        <v>0</v>
      </c>
      <c r="AD368">
        <v>542967778393</v>
      </c>
      <c r="AE368">
        <v>2004912194.98</v>
      </c>
      <c r="AF368">
        <v>538022005157.79999</v>
      </c>
      <c r="AG368">
        <v>540868339230.39001</v>
      </c>
      <c r="AH368">
        <v>6.3093999999999997E-2</v>
      </c>
      <c r="AI368">
        <v>2.0869999999999999E-3</v>
      </c>
    </row>
    <row r="369" spans="13:35" x14ac:dyDescent="0.35">
      <c r="M369" t="s">
        <v>0</v>
      </c>
      <c r="N369">
        <v>2750</v>
      </c>
      <c r="O369">
        <v>168</v>
      </c>
      <c r="P369">
        <v>500</v>
      </c>
      <c r="Q369">
        <v>0</v>
      </c>
      <c r="R369">
        <v>5272405908</v>
      </c>
      <c r="S369">
        <v>20588167.899999999</v>
      </c>
      <c r="T369">
        <v>5239090701.0200005</v>
      </c>
      <c r="U369">
        <v>5251817740.1000004</v>
      </c>
      <c r="V369">
        <v>2.8584999999999999E-2</v>
      </c>
      <c r="W369">
        <v>0</v>
      </c>
      <c r="Y369" t="s">
        <v>2</v>
      </c>
      <c r="Z369">
        <v>3250</v>
      </c>
      <c r="AA369">
        <v>168</v>
      </c>
      <c r="AB369">
        <v>12705</v>
      </c>
      <c r="AC369">
        <v>0</v>
      </c>
      <c r="AD369">
        <v>115012466889</v>
      </c>
      <c r="AE369">
        <v>424012655.11000001</v>
      </c>
      <c r="AF369">
        <v>114107939898.55</v>
      </c>
      <c r="AG369">
        <v>114568227497.7</v>
      </c>
      <c r="AH369">
        <v>4.8999000000000001E-2</v>
      </c>
      <c r="AI369">
        <v>2.1080000000000001E-3</v>
      </c>
    </row>
    <row r="370" spans="13:35" x14ac:dyDescent="0.35">
      <c r="M370" t="s">
        <v>1</v>
      </c>
      <c r="N370">
        <v>2750</v>
      </c>
      <c r="O370">
        <v>168</v>
      </c>
      <c r="P370">
        <v>756</v>
      </c>
      <c r="Q370">
        <v>0</v>
      </c>
      <c r="R370">
        <v>10209694618</v>
      </c>
      <c r="S370">
        <v>39667077.200000003</v>
      </c>
      <c r="T370">
        <v>10081843725.440001</v>
      </c>
      <c r="U370">
        <v>10170027540.799999</v>
      </c>
      <c r="V370">
        <v>9.8862000000000005E-2</v>
      </c>
      <c r="W370">
        <v>0</v>
      </c>
      <c r="Y370" t="s">
        <v>0</v>
      </c>
      <c r="Z370">
        <v>2000</v>
      </c>
      <c r="AA370">
        <v>168</v>
      </c>
      <c r="AB370">
        <v>22</v>
      </c>
      <c r="AC370">
        <v>0</v>
      </c>
      <c r="AD370">
        <v>171305247</v>
      </c>
      <c r="AE370">
        <v>745472.42</v>
      </c>
      <c r="AF370">
        <v>170559774.58000001</v>
      </c>
      <c r="AG370">
        <v>170559774.58000001</v>
      </c>
      <c r="AH370">
        <v>0</v>
      </c>
      <c r="AI370">
        <v>0</v>
      </c>
    </row>
    <row r="371" spans="13:35" x14ac:dyDescent="0.35">
      <c r="M371" t="s">
        <v>3</v>
      </c>
      <c r="N371">
        <v>3000</v>
      </c>
      <c r="O371">
        <v>168</v>
      </c>
      <c r="P371">
        <v>7</v>
      </c>
      <c r="Q371">
        <v>0</v>
      </c>
      <c r="R371">
        <v>78749128</v>
      </c>
      <c r="S371">
        <v>301703.59000000003</v>
      </c>
      <c r="T371">
        <v>78447424.409999996</v>
      </c>
      <c r="U371">
        <v>78447424.409999996</v>
      </c>
      <c r="V371">
        <v>0</v>
      </c>
      <c r="W371">
        <v>0</v>
      </c>
      <c r="Y371" t="s">
        <v>3</v>
      </c>
      <c r="Z371">
        <v>5000</v>
      </c>
      <c r="AA371">
        <v>168</v>
      </c>
      <c r="AB371">
        <v>26</v>
      </c>
      <c r="AC371">
        <v>0</v>
      </c>
      <c r="AD371">
        <v>242632312</v>
      </c>
      <c r="AE371">
        <v>731466.05</v>
      </c>
      <c r="AF371">
        <v>241900845.94999999</v>
      </c>
      <c r="AG371">
        <v>241900845.94999999</v>
      </c>
      <c r="AH371">
        <v>0</v>
      </c>
      <c r="AI371">
        <v>0</v>
      </c>
    </row>
    <row r="372" spans="13:35" x14ac:dyDescent="0.35">
      <c r="M372" t="s">
        <v>3</v>
      </c>
      <c r="N372">
        <v>4250</v>
      </c>
      <c r="O372">
        <v>168</v>
      </c>
      <c r="P372">
        <v>286</v>
      </c>
      <c r="Q372">
        <v>0</v>
      </c>
      <c r="R372">
        <v>3177231513</v>
      </c>
      <c r="S372">
        <v>10385135.18</v>
      </c>
      <c r="T372">
        <v>3156279588.96</v>
      </c>
      <c r="U372">
        <v>3166846377.8200002</v>
      </c>
      <c r="V372">
        <v>3.9187E-2</v>
      </c>
      <c r="W372">
        <v>0</v>
      </c>
      <c r="Y372" t="s">
        <v>3</v>
      </c>
      <c r="Z372">
        <v>4500</v>
      </c>
      <c r="AA372">
        <v>168</v>
      </c>
      <c r="AB372">
        <v>126</v>
      </c>
      <c r="AC372">
        <v>0</v>
      </c>
      <c r="AD372">
        <v>1312070223</v>
      </c>
      <c r="AE372">
        <v>4152017.35</v>
      </c>
      <c r="AF372">
        <v>1297013527.75</v>
      </c>
      <c r="AG372">
        <v>1307918205.6500001</v>
      </c>
      <c r="AH372">
        <v>9.5297999999999994E-2</v>
      </c>
      <c r="AI372">
        <v>0</v>
      </c>
    </row>
    <row r="373" spans="13:35" x14ac:dyDescent="0.35">
      <c r="M373" t="s">
        <v>1</v>
      </c>
      <c r="N373">
        <v>2500</v>
      </c>
      <c r="O373">
        <v>168</v>
      </c>
      <c r="P373">
        <v>16</v>
      </c>
      <c r="Q373">
        <v>0</v>
      </c>
      <c r="R373">
        <v>173571289</v>
      </c>
      <c r="S373">
        <v>677171.69</v>
      </c>
      <c r="T373">
        <v>172894117.31</v>
      </c>
      <c r="U373">
        <v>172894117.31</v>
      </c>
      <c r="V373">
        <v>0</v>
      </c>
      <c r="W373">
        <v>0</v>
      </c>
      <c r="Y373" t="s">
        <v>3</v>
      </c>
      <c r="Z373">
        <v>3750</v>
      </c>
      <c r="AA373">
        <v>168</v>
      </c>
      <c r="AB373">
        <v>659</v>
      </c>
      <c r="AC373">
        <v>0</v>
      </c>
      <c r="AD373">
        <v>7649096115</v>
      </c>
      <c r="AE373">
        <v>27804176.530000001</v>
      </c>
      <c r="AF373">
        <v>7607244411.1700001</v>
      </c>
      <c r="AG373">
        <v>7621291938.4700003</v>
      </c>
      <c r="AH373">
        <v>2.1817E-2</v>
      </c>
      <c r="AI373">
        <v>0</v>
      </c>
    </row>
    <row r="374" spans="13:35" x14ac:dyDescent="0.35">
      <c r="M374" t="s">
        <v>2</v>
      </c>
      <c r="N374">
        <v>2750</v>
      </c>
      <c r="O374">
        <v>168</v>
      </c>
      <c r="P374">
        <v>98</v>
      </c>
      <c r="Q374">
        <v>0</v>
      </c>
      <c r="R374">
        <v>817352500</v>
      </c>
      <c r="S374">
        <v>3188987.86</v>
      </c>
      <c r="T374">
        <v>800787838.46000004</v>
      </c>
      <c r="U374">
        <v>814163512.13999999</v>
      </c>
      <c r="V374">
        <v>0.17963000000000001</v>
      </c>
      <c r="W374">
        <v>0</v>
      </c>
      <c r="Y374" t="s">
        <v>2</v>
      </c>
      <c r="Z374">
        <v>2000</v>
      </c>
      <c r="AA374">
        <v>168</v>
      </c>
      <c r="AB374">
        <v>4</v>
      </c>
      <c r="AC374">
        <v>0</v>
      </c>
      <c r="AD374">
        <v>44355638</v>
      </c>
      <c r="AE374">
        <v>204160.54</v>
      </c>
      <c r="AF374">
        <v>44151477.460000001</v>
      </c>
      <c r="AG374">
        <v>44151477.460000001</v>
      </c>
      <c r="AH374">
        <v>0</v>
      </c>
      <c r="AI374">
        <v>0</v>
      </c>
    </row>
    <row r="375" spans="13:35" x14ac:dyDescent="0.35">
      <c r="M375" t="s">
        <v>2</v>
      </c>
      <c r="N375">
        <v>2500</v>
      </c>
      <c r="O375">
        <v>168</v>
      </c>
      <c r="P375">
        <v>93</v>
      </c>
      <c r="Q375">
        <v>0</v>
      </c>
      <c r="R375">
        <v>568101416</v>
      </c>
      <c r="S375">
        <v>2194270.12</v>
      </c>
      <c r="T375">
        <v>565907145.88</v>
      </c>
      <c r="U375">
        <v>565907145.88</v>
      </c>
      <c r="V375">
        <v>0</v>
      </c>
      <c r="W375">
        <v>0</v>
      </c>
      <c r="Y375" t="s">
        <v>0</v>
      </c>
      <c r="Z375">
        <v>2750</v>
      </c>
      <c r="AA375">
        <v>168</v>
      </c>
      <c r="AB375">
        <v>501</v>
      </c>
      <c r="AC375">
        <v>0</v>
      </c>
      <c r="AD375">
        <v>5306875591</v>
      </c>
      <c r="AE375">
        <v>20596037.219999999</v>
      </c>
      <c r="AF375">
        <v>5277611980.4200001</v>
      </c>
      <c r="AG375">
        <v>5286279553.7799997</v>
      </c>
      <c r="AH375">
        <v>1.9424E-2</v>
      </c>
      <c r="AI375">
        <v>0</v>
      </c>
    </row>
    <row r="376" spans="13:35" x14ac:dyDescent="0.35">
      <c r="M376" t="s">
        <v>2</v>
      </c>
      <c r="N376">
        <v>3500</v>
      </c>
      <c r="O376">
        <v>96</v>
      </c>
      <c r="P376">
        <v>145</v>
      </c>
      <c r="Q376">
        <v>0</v>
      </c>
      <c r="R376">
        <v>1601914522</v>
      </c>
      <c r="S376">
        <v>4072943.7</v>
      </c>
      <c r="T376">
        <v>1572350724.3299999</v>
      </c>
      <c r="U376">
        <v>1572350724.3299999</v>
      </c>
      <c r="V376">
        <v>0.175096</v>
      </c>
      <c r="W376">
        <v>0.175096</v>
      </c>
      <c r="Y376" t="s">
        <v>1</v>
      </c>
      <c r="Z376">
        <v>2750</v>
      </c>
      <c r="AA376">
        <v>168</v>
      </c>
      <c r="AB376">
        <v>764</v>
      </c>
      <c r="AC376">
        <v>0</v>
      </c>
      <c r="AD376">
        <v>10319596535</v>
      </c>
      <c r="AE376">
        <v>39854146.890000001</v>
      </c>
      <c r="AF376">
        <v>10253990724.51</v>
      </c>
      <c r="AG376">
        <v>10279742388.110001</v>
      </c>
      <c r="AH376">
        <v>2.9537000000000001E-2</v>
      </c>
      <c r="AI376">
        <v>0</v>
      </c>
    </row>
    <row r="377" spans="13:35" x14ac:dyDescent="0.35">
      <c r="M377" t="s">
        <v>1</v>
      </c>
      <c r="N377">
        <v>3500</v>
      </c>
      <c r="O377">
        <v>96</v>
      </c>
      <c r="P377">
        <v>403</v>
      </c>
      <c r="Q377">
        <v>0</v>
      </c>
      <c r="R377">
        <v>7778081346</v>
      </c>
      <c r="S377">
        <v>19432883.449999999</v>
      </c>
      <c r="T377">
        <v>7687991782.1800003</v>
      </c>
      <c r="U377">
        <v>7758648462.5500002</v>
      </c>
      <c r="V377">
        <v>0.103724</v>
      </c>
      <c r="W377">
        <v>0</v>
      </c>
      <c r="Y377" t="s">
        <v>3</v>
      </c>
      <c r="Z377">
        <v>3000</v>
      </c>
      <c r="AA377">
        <v>168</v>
      </c>
      <c r="AB377">
        <v>7</v>
      </c>
      <c r="AC377">
        <v>0</v>
      </c>
      <c r="AD377">
        <v>79148072</v>
      </c>
      <c r="AE377">
        <v>301327.28000000003</v>
      </c>
      <c r="AF377">
        <v>78846744.719999999</v>
      </c>
      <c r="AG377">
        <v>78846744.719999999</v>
      </c>
      <c r="AH377">
        <v>0</v>
      </c>
      <c r="AI377">
        <v>0</v>
      </c>
    </row>
    <row r="378" spans="13:35" x14ac:dyDescent="0.35">
      <c r="M378" t="s">
        <v>0</v>
      </c>
      <c r="N378">
        <v>3500</v>
      </c>
      <c r="O378">
        <v>96</v>
      </c>
      <c r="P378">
        <v>1129</v>
      </c>
      <c r="Q378">
        <v>0</v>
      </c>
      <c r="R378">
        <v>14874885904</v>
      </c>
      <c r="S378">
        <v>37023734.490000002</v>
      </c>
      <c r="T378">
        <v>14764385694.440001</v>
      </c>
      <c r="U378">
        <v>14795395201.65</v>
      </c>
      <c r="V378">
        <v>5.7690999999999999E-2</v>
      </c>
      <c r="W378">
        <v>3.3725999999999999E-2</v>
      </c>
      <c r="Y378" t="s">
        <v>3</v>
      </c>
      <c r="Z378">
        <v>4000</v>
      </c>
      <c r="AA378">
        <v>144</v>
      </c>
      <c r="AB378">
        <v>651</v>
      </c>
      <c r="AC378">
        <v>0</v>
      </c>
      <c r="AD378">
        <v>7790478950</v>
      </c>
      <c r="AE378">
        <v>22937368.800000001</v>
      </c>
      <c r="AF378">
        <v>7727066671.3999996</v>
      </c>
      <c r="AG378">
        <v>7755515500.9300003</v>
      </c>
      <c r="AH378">
        <v>6.0594000000000002E-2</v>
      </c>
      <c r="AI378">
        <v>1.8367999999999999E-2</v>
      </c>
    </row>
    <row r="379" spans="13:35" x14ac:dyDescent="0.35">
      <c r="M379" t="s">
        <v>1</v>
      </c>
      <c r="N379">
        <v>4000</v>
      </c>
      <c r="O379">
        <v>96</v>
      </c>
      <c r="P379">
        <v>3638</v>
      </c>
      <c r="Q379">
        <v>0</v>
      </c>
      <c r="R379">
        <v>68851713424</v>
      </c>
      <c r="S379">
        <v>160939624.81999999</v>
      </c>
      <c r="T379">
        <v>68085686978.889999</v>
      </c>
      <c r="U379">
        <v>68676700253.940002</v>
      </c>
      <c r="V379">
        <v>0.100508</v>
      </c>
      <c r="W379">
        <v>2.4499999999999999E-3</v>
      </c>
      <c r="Y379" t="s">
        <v>3</v>
      </c>
      <c r="Z379">
        <v>4250</v>
      </c>
      <c r="AA379">
        <v>168</v>
      </c>
      <c r="AB379">
        <v>285</v>
      </c>
      <c r="AC379">
        <v>0</v>
      </c>
      <c r="AD379">
        <v>3250734269</v>
      </c>
      <c r="AE379">
        <v>10681583.75</v>
      </c>
      <c r="AF379">
        <v>3201600632.5599999</v>
      </c>
      <c r="AG379">
        <v>3226298729.5799999</v>
      </c>
      <c r="AH379">
        <v>0.13306499999999999</v>
      </c>
      <c r="AI379">
        <v>4.9606999999999998E-2</v>
      </c>
    </row>
    <row r="380" spans="13:35" x14ac:dyDescent="0.35">
      <c r="M380" t="s">
        <v>2</v>
      </c>
      <c r="N380">
        <v>4000</v>
      </c>
      <c r="O380">
        <v>96</v>
      </c>
      <c r="P380">
        <v>1256</v>
      </c>
      <c r="Q380">
        <v>0</v>
      </c>
      <c r="R380">
        <v>14826021178</v>
      </c>
      <c r="S380">
        <v>34954828.210000001</v>
      </c>
      <c r="T380">
        <v>14702844506.120001</v>
      </c>
      <c r="U380">
        <v>14791066349.790001</v>
      </c>
      <c r="V380">
        <v>6.9113999999999995E-2</v>
      </c>
      <c r="W380">
        <v>0</v>
      </c>
      <c r="Y380" t="s">
        <v>1</v>
      </c>
      <c r="Z380">
        <v>2500</v>
      </c>
      <c r="AA380">
        <v>168</v>
      </c>
      <c r="AB380">
        <v>15</v>
      </c>
      <c r="AC380">
        <v>0</v>
      </c>
      <c r="AD380">
        <v>167938703</v>
      </c>
      <c r="AE380">
        <v>652625.02</v>
      </c>
      <c r="AF380">
        <v>167286077.97999999</v>
      </c>
      <c r="AG380">
        <v>167286077.97999999</v>
      </c>
      <c r="AH380">
        <v>0</v>
      </c>
      <c r="AI380">
        <v>0</v>
      </c>
    </row>
    <row r="381" spans="13:35" x14ac:dyDescent="0.35">
      <c r="M381" t="s">
        <v>0</v>
      </c>
      <c r="N381">
        <v>4000</v>
      </c>
      <c r="O381">
        <v>96</v>
      </c>
      <c r="P381">
        <v>5988</v>
      </c>
      <c r="Q381">
        <v>0</v>
      </c>
      <c r="R381">
        <v>90666985360</v>
      </c>
      <c r="S381">
        <v>211870811.30000001</v>
      </c>
      <c r="T381">
        <v>90046291934.330002</v>
      </c>
      <c r="U381">
        <v>90401005741.809998</v>
      </c>
      <c r="V381">
        <v>5.2787000000000001E-2</v>
      </c>
      <c r="W381">
        <v>7.1380000000000002E-3</v>
      </c>
      <c r="Y381" t="s">
        <v>2</v>
      </c>
      <c r="Z381">
        <v>2750</v>
      </c>
      <c r="AA381">
        <v>168</v>
      </c>
      <c r="AB381">
        <v>99</v>
      </c>
      <c r="AC381">
        <v>0</v>
      </c>
      <c r="AD381">
        <v>840167034</v>
      </c>
      <c r="AE381">
        <v>3256395.45</v>
      </c>
      <c r="AF381">
        <v>817912982.05999994</v>
      </c>
      <c r="AG381">
        <v>836910638.54999995</v>
      </c>
      <c r="AH381">
        <v>0.24001500000000001</v>
      </c>
      <c r="AI381">
        <v>0</v>
      </c>
    </row>
    <row r="382" spans="13:35" x14ac:dyDescent="0.35">
      <c r="M382" t="s">
        <v>2</v>
      </c>
      <c r="N382">
        <v>4500</v>
      </c>
      <c r="O382">
        <v>96</v>
      </c>
      <c r="P382">
        <v>6028</v>
      </c>
      <c r="Q382">
        <v>0</v>
      </c>
      <c r="R382">
        <v>70819906634</v>
      </c>
      <c r="S382">
        <v>154889436.53</v>
      </c>
      <c r="T382">
        <v>70166285167.309998</v>
      </c>
      <c r="U382">
        <v>70607960329.710007</v>
      </c>
      <c r="V382">
        <v>8.1309999999999993E-2</v>
      </c>
      <c r="W382">
        <v>9.6249999999999999E-3</v>
      </c>
      <c r="Y382" t="s">
        <v>2</v>
      </c>
      <c r="Z382">
        <v>2500</v>
      </c>
      <c r="AA382">
        <v>168</v>
      </c>
      <c r="AB382">
        <v>93</v>
      </c>
      <c r="AC382">
        <v>0</v>
      </c>
      <c r="AD382">
        <v>570771937</v>
      </c>
      <c r="AE382">
        <v>2191563.0099999998</v>
      </c>
      <c r="AF382">
        <v>568580373.99000001</v>
      </c>
      <c r="AG382">
        <v>568580373.99000001</v>
      </c>
      <c r="AH382">
        <v>0</v>
      </c>
      <c r="AI382">
        <v>0</v>
      </c>
    </row>
    <row r="383" spans="13:35" x14ac:dyDescent="0.35">
      <c r="M383" t="s">
        <v>0</v>
      </c>
      <c r="N383">
        <v>4500</v>
      </c>
      <c r="O383">
        <v>96</v>
      </c>
      <c r="P383">
        <v>29788</v>
      </c>
      <c r="Q383">
        <v>0</v>
      </c>
      <c r="R383">
        <v>457353133467</v>
      </c>
      <c r="S383">
        <v>998684370.37</v>
      </c>
      <c r="T383">
        <v>453587122919.56</v>
      </c>
      <c r="U383">
        <v>456012005205.96002</v>
      </c>
      <c r="V383">
        <v>7.0240999999999998E-2</v>
      </c>
      <c r="W383">
        <v>8.9479999999999994E-3</v>
      </c>
      <c r="Y383" t="s">
        <v>2</v>
      </c>
      <c r="Z383">
        <v>4500</v>
      </c>
      <c r="AA383">
        <v>96</v>
      </c>
      <c r="AB383">
        <v>6242</v>
      </c>
      <c r="AC383">
        <v>0</v>
      </c>
      <c r="AD383">
        <v>72708655334</v>
      </c>
      <c r="AE383">
        <v>158880232.09999999</v>
      </c>
      <c r="AF383">
        <v>72025146322.800003</v>
      </c>
      <c r="AG383">
        <v>72493262267.860001</v>
      </c>
      <c r="AH383">
        <v>8.3230999999999999E-2</v>
      </c>
      <c r="AI383">
        <v>9.2870000000000001E-3</v>
      </c>
    </row>
    <row r="384" spans="13:35" x14ac:dyDescent="0.35">
      <c r="M384" t="s">
        <v>2</v>
      </c>
      <c r="N384">
        <v>5000</v>
      </c>
      <c r="O384">
        <v>96</v>
      </c>
      <c r="P384">
        <v>6983</v>
      </c>
      <c r="Q384">
        <v>0</v>
      </c>
      <c r="R384">
        <v>74465075837</v>
      </c>
      <c r="S384">
        <v>151760235.36000001</v>
      </c>
      <c r="T384">
        <v>73785556070.520004</v>
      </c>
      <c r="U384">
        <v>74235399169.919998</v>
      </c>
      <c r="V384">
        <v>8.1809999999999994E-2</v>
      </c>
      <c r="W384">
        <v>1.2484E-2</v>
      </c>
      <c r="Y384" t="s">
        <v>0</v>
      </c>
      <c r="Z384">
        <v>4500</v>
      </c>
      <c r="AA384">
        <v>96</v>
      </c>
      <c r="AB384">
        <v>30678</v>
      </c>
      <c r="AC384">
        <v>0</v>
      </c>
      <c r="AD384">
        <v>468113470618</v>
      </c>
      <c r="AE384">
        <v>1021513285.5700001</v>
      </c>
      <c r="AF384">
        <v>464022654597.84998</v>
      </c>
      <c r="AG384">
        <v>466848757357.73999</v>
      </c>
      <c r="AH384">
        <v>7.5905E-2</v>
      </c>
      <c r="AI384">
        <v>6.2170000000000003E-3</v>
      </c>
    </row>
    <row r="385" spans="13:35" x14ac:dyDescent="0.35">
      <c r="M385" t="s">
        <v>0</v>
      </c>
      <c r="N385">
        <v>5000</v>
      </c>
      <c r="O385">
        <v>96</v>
      </c>
      <c r="P385">
        <v>39354</v>
      </c>
      <c r="Q385">
        <v>0</v>
      </c>
      <c r="R385">
        <v>547047220559</v>
      </c>
      <c r="S385">
        <v>1114330713.2</v>
      </c>
      <c r="T385">
        <v>541880638333.78998</v>
      </c>
      <c r="U385">
        <v>545235027061.63</v>
      </c>
      <c r="V385">
        <v>8.5356000000000001E-2</v>
      </c>
      <c r="W385">
        <v>1.5200999999999999E-2</v>
      </c>
      <c r="Y385" t="s">
        <v>1</v>
      </c>
      <c r="Z385">
        <v>4500</v>
      </c>
      <c r="AA385">
        <v>96</v>
      </c>
      <c r="AB385">
        <v>9313</v>
      </c>
      <c r="AC385">
        <v>0</v>
      </c>
      <c r="AD385">
        <v>163027411091</v>
      </c>
      <c r="AE385">
        <v>354714880.22000003</v>
      </c>
      <c r="AF385">
        <v>161497045058.64001</v>
      </c>
      <c r="AG385">
        <v>162547946595.45001</v>
      </c>
      <c r="AH385">
        <v>8.3184999999999995E-2</v>
      </c>
      <c r="AI385">
        <v>9.1439999999999994E-3</v>
      </c>
    </row>
    <row r="386" spans="13:35" x14ac:dyDescent="0.35">
      <c r="M386" t="s">
        <v>1</v>
      </c>
      <c r="N386">
        <v>5000</v>
      </c>
      <c r="O386">
        <v>96</v>
      </c>
      <c r="P386">
        <v>6285</v>
      </c>
      <c r="Q386">
        <v>0</v>
      </c>
      <c r="R386">
        <v>95221908784</v>
      </c>
      <c r="S386">
        <v>193768071.69999999</v>
      </c>
      <c r="T386">
        <v>94190485459.470001</v>
      </c>
      <c r="U386">
        <v>94843040679.880005</v>
      </c>
      <c r="V386">
        <v>0.100602</v>
      </c>
      <c r="W386">
        <v>2.3078999999999999E-2</v>
      </c>
      <c r="Y386" t="s">
        <v>0</v>
      </c>
      <c r="Z386">
        <v>5000</v>
      </c>
      <c r="AA386">
        <v>96</v>
      </c>
      <c r="AB386">
        <v>38516</v>
      </c>
      <c r="AC386">
        <v>0</v>
      </c>
      <c r="AD386">
        <v>537212432476</v>
      </c>
      <c r="AE386">
        <v>1090528538.78</v>
      </c>
      <c r="AF386">
        <v>532387577663.77002</v>
      </c>
      <c r="AG386">
        <v>535363766699.08002</v>
      </c>
      <c r="AH386">
        <v>8.0298999999999995E-2</v>
      </c>
      <c r="AI386">
        <v>1.6803999999999999E-2</v>
      </c>
    </row>
    <row r="387" spans="13:35" x14ac:dyDescent="0.35">
      <c r="M387" t="s">
        <v>0</v>
      </c>
      <c r="N387">
        <v>5500</v>
      </c>
      <c r="O387">
        <v>108</v>
      </c>
      <c r="P387">
        <v>1985</v>
      </c>
      <c r="Q387">
        <v>0</v>
      </c>
      <c r="R387">
        <v>22420531037</v>
      </c>
      <c r="S387">
        <v>45640981.189999998</v>
      </c>
      <c r="T387">
        <v>22233541468.66</v>
      </c>
      <c r="U387">
        <v>22320886668.720001</v>
      </c>
      <c r="V387">
        <v>7.3083999999999996E-2</v>
      </c>
      <c r="W387">
        <v>2.8524000000000001E-2</v>
      </c>
      <c r="Y387" t="s">
        <v>2</v>
      </c>
      <c r="Z387">
        <v>5000</v>
      </c>
      <c r="AA387">
        <v>96</v>
      </c>
      <c r="AB387">
        <v>6532</v>
      </c>
      <c r="AC387">
        <v>0</v>
      </c>
      <c r="AD387">
        <v>69844765699</v>
      </c>
      <c r="AE387">
        <v>141939747.75</v>
      </c>
      <c r="AF387">
        <v>69173642658.070007</v>
      </c>
      <c r="AG387">
        <v>69637020963.949997</v>
      </c>
      <c r="AH387">
        <v>8.7223999999999996E-2</v>
      </c>
      <c r="AI387">
        <v>1.1247999999999999E-2</v>
      </c>
    </row>
    <row r="388" spans="13:35" x14ac:dyDescent="0.35">
      <c r="M388" t="s">
        <v>0</v>
      </c>
      <c r="N388">
        <v>5500</v>
      </c>
      <c r="O388">
        <v>96</v>
      </c>
      <c r="P388">
        <v>15605</v>
      </c>
      <c r="Q388">
        <v>0</v>
      </c>
      <c r="R388">
        <v>204534041053</v>
      </c>
      <c r="S388">
        <v>387929350.43000001</v>
      </c>
      <c r="T388">
        <v>202561378777.17999</v>
      </c>
      <c r="U388">
        <v>203825840752.23001</v>
      </c>
      <c r="V388">
        <v>8.9115E-2</v>
      </c>
      <c r="W388">
        <v>1.8629E-2</v>
      </c>
      <c r="Y388" t="s">
        <v>1</v>
      </c>
      <c r="Z388">
        <v>5000</v>
      </c>
      <c r="AA388">
        <v>96</v>
      </c>
      <c r="AB388">
        <v>6144</v>
      </c>
      <c r="AC388">
        <v>0</v>
      </c>
      <c r="AD388">
        <v>93234934535</v>
      </c>
      <c r="AE388">
        <v>188929737.55000001</v>
      </c>
      <c r="AF388">
        <v>91981402172.539993</v>
      </c>
      <c r="AG388">
        <v>92815873358.320007</v>
      </c>
      <c r="AH388">
        <v>0.12873599999999999</v>
      </c>
      <c r="AI388">
        <v>2.9221E-2</v>
      </c>
    </row>
    <row r="389" spans="13:35" x14ac:dyDescent="0.35">
      <c r="M389" t="s">
        <v>1</v>
      </c>
      <c r="N389">
        <v>2250</v>
      </c>
      <c r="O389">
        <v>168</v>
      </c>
      <c r="P389">
        <v>14</v>
      </c>
      <c r="Q389">
        <v>0</v>
      </c>
      <c r="R389">
        <v>116628871</v>
      </c>
      <c r="S389">
        <v>466434.02</v>
      </c>
      <c r="T389">
        <v>112553336.75</v>
      </c>
      <c r="U389">
        <v>112553336.75</v>
      </c>
      <c r="V389">
        <v>0.31422699999999998</v>
      </c>
      <c r="W389">
        <v>0.31422699999999998</v>
      </c>
      <c r="Y389" t="s">
        <v>0</v>
      </c>
      <c r="Z389">
        <v>5500</v>
      </c>
      <c r="AA389">
        <v>96</v>
      </c>
      <c r="AB389">
        <v>15161</v>
      </c>
      <c r="AC389">
        <v>0</v>
      </c>
      <c r="AD389">
        <v>199076762193</v>
      </c>
      <c r="AE389">
        <v>376034258.33999997</v>
      </c>
      <c r="AF389">
        <v>197552054252.82001</v>
      </c>
      <c r="AG389">
        <v>198409555555.87</v>
      </c>
      <c r="AH389">
        <v>6.7084000000000005E-2</v>
      </c>
      <c r="AI389">
        <v>1.7410999999999999E-2</v>
      </c>
    </row>
    <row r="390" spans="13:35" x14ac:dyDescent="0.35">
      <c r="M390" t="s">
        <v>2</v>
      </c>
      <c r="N390">
        <v>3000</v>
      </c>
      <c r="O390">
        <v>72</v>
      </c>
      <c r="P390">
        <v>19113</v>
      </c>
      <c r="Q390">
        <v>0</v>
      </c>
      <c r="R390">
        <v>295014468472</v>
      </c>
      <c r="S390">
        <v>686909693.84000003</v>
      </c>
      <c r="T390">
        <v>292597178865.85999</v>
      </c>
      <c r="U390">
        <v>294239074216.33002</v>
      </c>
      <c r="V390">
        <v>6.8157999999999996E-2</v>
      </c>
      <c r="W390">
        <v>3.5929999999999998E-3</v>
      </c>
      <c r="Y390" t="s">
        <v>1</v>
      </c>
      <c r="Z390">
        <v>2250</v>
      </c>
      <c r="AA390">
        <v>168</v>
      </c>
      <c r="AB390">
        <v>14</v>
      </c>
      <c r="AC390">
        <v>0</v>
      </c>
      <c r="AD390">
        <v>117081589</v>
      </c>
      <c r="AE390">
        <v>465517.12</v>
      </c>
      <c r="AF390">
        <v>116616071.88</v>
      </c>
      <c r="AG390">
        <v>116616071.88</v>
      </c>
      <c r="AH390">
        <v>0</v>
      </c>
      <c r="AI390">
        <v>0</v>
      </c>
    </row>
    <row r="391" spans="13:35" x14ac:dyDescent="0.35">
      <c r="M391" t="s">
        <v>0</v>
      </c>
      <c r="N391">
        <v>3000</v>
      </c>
      <c r="O391">
        <v>72</v>
      </c>
      <c r="P391">
        <v>158460</v>
      </c>
      <c r="Q391">
        <v>0</v>
      </c>
      <c r="R391">
        <v>3246049450866</v>
      </c>
      <c r="S391">
        <v>7579499853.21</v>
      </c>
      <c r="T391">
        <v>3222173960460.8301</v>
      </c>
      <c r="U391">
        <v>3236736660650.46</v>
      </c>
      <c r="V391">
        <v>5.8606999999999999E-2</v>
      </c>
      <c r="W391">
        <v>6.3889999999999997E-3</v>
      </c>
      <c r="Y391" t="s">
        <v>2</v>
      </c>
      <c r="Z391">
        <v>3000</v>
      </c>
      <c r="AA391">
        <v>72</v>
      </c>
      <c r="AB391">
        <v>18057</v>
      </c>
      <c r="AC391">
        <v>0</v>
      </c>
      <c r="AD391">
        <v>280721408510</v>
      </c>
      <c r="AE391">
        <v>651790389.11000001</v>
      </c>
      <c r="AF391">
        <v>278228263886.91998</v>
      </c>
      <c r="AG391">
        <v>279968955290.34998</v>
      </c>
      <c r="AH391">
        <v>7.5934000000000001E-2</v>
      </c>
      <c r="AI391">
        <v>4.2950000000000002E-3</v>
      </c>
    </row>
    <row r="392" spans="13:35" x14ac:dyDescent="0.35">
      <c r="M392" t="s">
        <v>2</v>
      </c>
      <c r="N392">
        <v>3000</v>
      </c>
      <c r="O392">
        <v>84</v>
      </c>
      <c r="P392">
        <v>964</v>
      </c>
      <c r="Q392">
        <v>0</v>
      </c>
      <c r="R392">
        <v>14611351345</v>
      </c>
      <c r="S392">
        <v>35444275.119999997</v>
      </c>
      <c r="T392">
        <v>14544891237.709999</v>
      </c>
      <c r="U392">
        <v>14575907069.879999</v>
      </c>
      <c r="V392">
        <v>2.5177000000000001E-2</v>
      </c>
      <c r="W392">
        <v>0</v>
      </c>
      <c r="Y392" t="s">
        <v>0</v>
      </c>
      <c r="Z392">
        <v>3000</v>
      </c>
      <c r="AA392">
        <v>72</v>
      </c>
      <c r="AB392">
        <v>143184</v>
      </c>
      <c r="AC392">
        <v>0</v>
      </c>
      <c r="AD392">
        <v>2957005384983</v>
      </c>
      <c r="AE392">
        <v>6890340210.6899996</v>
      </c>
      <c r="AF392">
        <v>2936723714594.6299</v>
      </c>
      <c r="AG392">
        <v>2949234682170.2002</v>
      </c>
      <c r="AH392">
        <v>5.3011000000000003E-2</v>
      </c>
      <c r="AI392">
        <v>3.5669999999999999E-3</v>
      </c>
    </row>
    <row r="393" spans="13:35" x14ac:dyDescent="0.35">
      <c r="M393" t="s">
        <v>1</v>
      </c>
      <c r="N393">
        <v>3000</v>
      </c>
      <c r="O393">
        <v>72</v>
      </c>
      <c r="P393">
        <v>98288</v>
      </c>
      <c r="Q393">
        <v>0</v>
      </c>
      <c r="R393">
        <v>2414375374271</v>
      </c>
      <c r="S393">
        <v>5687787499.7299995</v>
      </c>
      <c r="T393">
        <v>2392593167352.4302</v>
      </c>
      <c r="U393">
        <v>2407577080212.2798</v>
      </c>
      <c r="V393">
        <v>7.7123999999999998E-2</v>
      </c>
      <c r="W393">
        <v>5.5059999999999996E-3</v>
      </c>
      <c r="Y393" t="s">
        <v>1</v>
      </c>
      <c r="Z393">
        <v>3000</v>
      </c>
      <c r="AA393">
        <v>72</v>
      </c>
      <c r="AB393">
        <v>96339</v>
      </c>
      <c r="AC393">
        <v>0</v>
      </c>
      <c r="AD393">
        <v>2383873713642</v>
      </c>
      <c r="AE393">
        <v>5599179733.4399996</v>
      </c>
      <c r="AF393">
        <v>2364592691571.5498</v>
      </c>
      <c r="AG393">
        <v>2377165910590.5698</v>
      </c>
      <c r="AH393">
        <v>6.6739000000000007E-2</v>
      </c>
      <c r="AI393">
        <v>5.5659999999999998E-3</v>
      </c>
    </row>
    <row r="394" spans="13:35" x14ac:dyDescent="0.35">
      <c r="M394" t="s">
        <v>2</v>
      </c>
      <c r="N394">
        <v>2250</v>
      </c>
      <c r="O394">
        <v>168</v>
      </c>
      <c r="P394">
        <v>1</v>
      </c>
      <c r="Q394">
        <v>0</v>
      </c>
      <c r="R394">
        <v>4371462</v>
      </c>
      <c r="S394">
        <v>17405.259999999998</v>
      </c>
      <c r="T394">
        <v>4354056.74</v>
      </c>
      <c r="U394">
        <v>4354056.74</v>
      </c>
      <c r="V394">
        <v>0</v>
      </c>
      <c r="W394">
        <v>0</v>
      </c>
      <c r="Y394" t="s">
        <v>2</v>
      </c>
      <c r="Z394">
        <v>2250</v>
      </c>
      <c r="AA394">
        <v>168</v>
      </c>
      <c r="AB394">
        <v>1</v>
      </c>
      <c r="AC394">
        <v>0</v>
      </c>
      <c r="AD394">
        <v>4390105</v>
      </c>
      <c r="AE394">
        <v>17377.71</v>
      </c>
      <c r="AF394">
        <v>4372727.29</v>
      </c>
      <c r="AG394">
        <v>4372727.29</v>
      </c>
      <c r="AH394">
        <v>0</v>
      </c>
      <c r="AI394">
        <v>0</v>
      </c>
    </row>
    <row r="395" spans="13:35" x14ac:dyDescent="0.35">
      <c r="M395" t="s">
        <v>1</v>
      </c>
      <c r="N395">
        <v>4500</v>
      </c>
      <c r="O395">
        <v>96</v>
      </c>
      <c r="P395">
        <v>9327</v>
      </c>
      <c r="Q395">
        <v>0</v>
      </c>
      <c r="R395">
        <v>164132784610</v>
      </c>
      <c r="S395">
        <v>357576027.5</v>
      </c>
      <c r="T395">
        <v>162724949260.51999</v>
      </c>
      <c r="U395">
        <v>163713203592.51001</v>
      </c>
      <c r="V395">
        <v>7.4140999999999999E-2</v>
      </c>
      <c r="W395">
        <v>4.5240000000000002E-3</v>
      </c>
      <c r="Y395" t="s">
        <v>0</v>
      </c>
      <c r="Z395">
        <v>3500</v>
      </c>
      <c r="AA395">
        <v>84</v>
      </c>
      <c r="AB395">
        <v>44253</v>
      </c>
      <c r="AC395">
        <v>0</v>
      </c>
      <c r="AD395">
        <v>860948729789</v>
      </c>
      <c r="AE395">
        <v>1963298765.6800001</v>
      </c>
      <c r="AF395">
        <v>854615494970.53003</v>
      </c>
      <c r="AG395">
        <v>858645165471.65002</v>
      </c>
      <c r="AH395">
        <v>5.9236999999999998E-2</v>
      </c>
      <c r="AI395">
        <v>4.7320000000000001E-3</v>
      </c>
    </row>
    <row r="396" spans="13:35" x14ac:dyDescent="0.35">
      <c r="M396" t="s">
        <v>2</v>
      </c>
      <c r="N396">
        <v>3500</v>
      </c>
      <c r="O396">
        <v>84</v>
      </c>
      <c r="P396">
        <v>8430</v>
      </c>
      <c r="Q396">
        <v>0</v>
      </c>
      <c r="R396">
        <v>122045543999</v>
      </c>
      <c r="S396">
        <v>278731128.27999997</v>
      </c>
      <c r="T396">
        <v>121050427960.97</v>
      </c>
      <c r="U396">
        <v>121751440885.78999</v>
      </c>
      <c r="V396">
        <v>6.8208000000000005E-2</v>
      </c>
      <c r="W396">
        <v>1.5100000000000001E-3</v>
      </c>
      <c r="Y396" t="s">
        <v>2</v>
      </c>
      <c r="Z396">
        <v>3500</v>
      </c>
      <c r="AA396">
        <v>84</v>
      </c>
      <c r="AB396">
        <v>7240</v>
      </c>
      <c r="AC396">
        <v>0</v>
      </c>
      <c r="AD396">
        <v>105184567203</v>
      </c>
      <c r="AE396">
        <v>239578079.96000001</v>
      </c>
      <c r="AF396">
        <v>104288420595.87</v>
      </c>
      <c r="AG396">
        <v>104908352829.89</v>
      </c>
      <c r="AH396">
        <v>7.2386000000000006E-2</v>
      </c>
      <c r="AI396">
        <v>4.1720000000000004E-3</v>
      </c>
    </row>
    <row r="397" spans="13:35" x14ac:dyDescent="0.35">
      <c r="M397" t="s">
        <v>0</v>
      </c>
      <c r="N397">
        <v>3500</v>
      </c>
      <c r="O397">
        <v>84</v>
      </c>
      <c r="P397">
        <v>50206</v>
      </c>
      <c r="Q397">
        <v>0</v>
      </c>
      <c r="R397">
        <v>976597069489</v>
      </c>
      <c r="S397">
        <v>2233769417.9200001</v>
      </c>
      <c r="T397">
        <v>969183869171.53003</v>
      </c>
      <c r="U397">
        <v>974046512326.66003</v>
      </c>
      <c r="V397">
        <v>6.1818999999999999E-2</v>
      </c>
      <c r="W397">
        <v>3.8860000000000001E-3</v>
      </c>
      <c r="Y397" t="s">
        <v>1</v>
      </c>
      <c r="Z397">
        <v>3500</v>
      </c>
      <c r="AA397">
        <v>84</v>
      </c>
      <c r="AB397">
        <v>34952</v>
      </c>
      <c r="AC397">
        <v>0</v>
      </c>
      <c r="AD397">
        <v>771714853582</v>
      </c>
      <c r="AE397">
        <v>1764652574.8299999</v>
      </c>
      <c r="AF397">
        <v>764564258656.82996</v>
      </c>
      <c r="AG397">
        <v>769602365865.47998</v>
      </c>
      <c r="AH397">
        <v>8.0609E-2</v>
      </c>
      <c r="AI397">
        <v>5.3949999999999996E-3</v>
      </c>
    </row>
    <row r="398" spans="13:35" x14ac:dyDescent="0.35">
      <c r="M398" t="s">
        <v>1</v>
      </c>
      <c r="N398">
        <v>3500</v>
      </c>
      <c r="O398">
        <v>84</v>
      </c>
      <c r="P398">
        <v>39521</v>
      </c>
      <c r="Q398">
        <v>0</v>
      </c>
      <c r="R398">
        <v>869911661034</v>
      </c>
      <c r="S398">
        <v>1995031439.3299999</v>
      </c>
      <c r="T398">
        <v>861366671201.42004</v>
      </c>
      <c r="U398">
        <v>867672194822.47998</v>
      </c>
      <c r="V398">
        <v>8.6704000000000003E-2</v>
      </c>
      <c r="W398">
        <v>3.3670000000000002E-3</v>
      </c>
      <c r="Y398" t="s">
        <v>2</v>
      </c>
      <c r="Z398">
        <v>4000</v>
      </c>
      <c r="AA398">
        <v>84</v>
      </c>
      <c r="AB398">
        <v>8547</v>
      </c>
      <c r="AC398">
        <v>0</v>
      </c>
      <c r="AD398">
        <v>108852824147</v>
      </c>
      <c r="AE398">
        <v>234319601.36000001</v>
      </c>
      <c r="AF398">
        <v>107986104210.37</v>
      </c>
      <c r="AG398">
        <v>108532242372.11</v>
      </c>
      <c r="AH398">
        <v>6.7530999999999994E-2</v>
      </c>
      <c r="AI398">
        <v>9.4680000000000007E-3</v>
      </c>
    </row>
    <row r="399" spans="13:35" x14ac:dyDescent="0.35">
      <c r="M399" t="s">
        <v>0</v>
      </c>
      <c r="N399">
        <v>4000</v>
      </c>
      <c r="O399">
        <v>84</v>
      </c>
      <c r="P399">
        <v>54123</v>
      </c>
      <c r="Q399">
        <v>0</v>
      </c>
      <c r="R399">
        <v>901967484221</v>
      </c>
      <c r="S399">
        <v>1948154731.77</v>
      </c>
      <c r="T399">
        <v>894887941407.68005</v>
      </c>
      <c r="U399">
        <v>899380333445.15002</v>
      </c>
      <c r="V399">
        <v>6.6172999999999996E-2</v>
      </c>
      <c r="W399">
        <v>8.4679999999999998E-3</v>
      </c>
      <c r="Y399" t="s">
        <v>0</v>
      </c>
      <c r="Z399">
        <v>4000</v>
      </c>
      <c r="AA399">
        <v>84</v>
      </c>
      <c r="AB399">
        <v>49935</v>
      </c>
      <c r="AC399">
        <v>0</v>
      </c>
      <c r="AD399">
        <v>840663357332</v>
      </c>
      <c r="AE399">
        <v>1810760368.98</v>
      </c>
      <c r="AF399">
        <v>833787663726.48999</v>
      </c>
      <c r="AG399">
        <v>838182749452.76001</v>
      </c>
      <c r="AH399">
        <v>6.9950999999999999E-2</v>
      </c>
      <c r="AI399">
        <v>9.5200000000000007E-3</v>
      </c>
    </row>
    <row r="400" spans="13:35" x14ac:dyDescent="0.35">
      <c r="M400" t="s">
        <v>2</v>
      </c>
      <c r="N400">
        <v>4000</v>
      </c>
      <c r="O400">
        <v>84</v>
      </c>
      <c r="P400">
        <v>9106</v>
      </c>
      <c r="Q400">
        <v>0</v>
      </c>
      <c r="R400">
        <v>115347633258</v>
      </c>
      <c r="S400">
        <v>249088733.44</v>
      </c>
      <c r="T400">
        <v>114392550325.74001</v>
      </c>
      <c r="U400">
        <v>115002313322.25</v>
      </c>
      <c r="V400">
        <v>7.1024000000000004E-2</v>
      </c>
      <c r="W400">
        <v>9.9649999999999999E-3</v>
      </c>
      <c r="Y400" t="s">
        <v>0</v>
      </c>
      <c r="Z400">
        <v>4500</v>
      </c>
      <c r="AA400">
        <v>84</v>
      </c>
      <c r="AB400">
        <v>30875</v>
      </c>
      <c r="AC400">
        <v>0</v>
      </c>
      <c r="AD400">
        <v>475019142288</v>
      </c>
      <c r="AE400">
        <v>965097152.26999998</v>
      </c>
      <c r="AF400">
        <v>471118968311.84003</v>
      </c>
      <c r="AG400">
        <v>473540384336.12</v>
      </c>
      <c r="AH400">
        <v>7.1678000000000006E-2</v>
      </c>
      <c r="AI400">
        <v>1.2899000000000001E-2</v>
      </c>
    </row>
    <row r="401" spans="13:35" x14ac:dyDescent="0.35">
      <c r="M401" t="s">
        <v>0</v>
      </c>
      <c r="N401">
        <v>4500</v>
      </c>
      <c r="O401">
        <v>84</v>
      </c>
      <c r="P401">
        <v>30118</v>
      </c>
      <c r="Q401">
        <v>0</v>
      </c>
      <c r="R401">
        <v>462756895901</v>
      </c>
      <c r="S401">
        <v>942062596.80999994</v>
      </c>
      <c r="T401">
        <v>458788105665.42999</v>
      </c>
      <c r="U401">
        <v>461075795708.19</v>
      </c>
      <c r="V401">
        <v>7.5725000000000001E-2</v>
      </c>
      <c r="W401">
        <v>1.8997E-2</v>
      </c>
      <c r="Y401" t="s">
        <v>2</v>
      </c>
      <c r="Z401">
        <v>4500</v>
      </c>
      <c r="AA401">
        <v>84</v>
      </c>
      <c r="AB401">
        <v>5131</v>
      </c>
      <c r="AC401">
        <v>0</v>
      </c>
      <c r="AD401">
        <v>58206580937</v>
      </c>
      <c r="AE401">
        <v>118772489.33</v>
      </c>
      <c r="AF401">
        <v>57701407139.830002</v>
      </c>
      <c r="AG401">
        <v>58024267366.739998</v>
      </c>
      <c r="AH401">
        <v>7.6815999999999995E-2</v>
      </c>
      <c r="AI401">
        <v>1.3021E-2</v>
      </c>
    </row>
    <row r="402" spans="13:35" x14ac:dyDescent="0.35">
      <c r="M402" t="s">
        <v>0</v>
      </c>
      <c r="N402">
        <v>2250</v>
      </c>
      <c r="O402">
        <v>168</v>
      </c>
      <c r="P402">
        <v>12</v>
      </c>
      <c r="Q402">
        <v>0</v>
      </c>
      <c r="R402">
        <v>112731842</v>
      </c>
      <c r="S402">
        <v>440304.52</v>
      </c>
      <c r="T402">
        <v>112291537.48</v>
      </c>
      <c r="U402">
        <v>112291537.48</v>
      </c>
      <c r="V402">
        <v>0</v>
      </c>
      <c r="W402">
        <v>0</v>
      </c>
      <c r="Y402" t="s">
        <v>0</v>
      </c>
      <c r="Z402">
        <v>2250</v>
      </c>
      <c r="AA402">
        <v>168</v>
      </c>
      <c r="AB402">
        <v>12</v>
      </c>
      <c r="AC402">
        <v>0</v>
      </c>
      <c r="AD402">
        <v>113306018</v>
      </c>
      <c r="AE402">
        <v>439999.35</v>
      </c>
      <c r="AF402">
        <v>112866018.65000001</v>
      </c>
      <c r="AG402">
        <v>112866018.65000001</v>
      </c>
      <c r="AH402">
        <v>0</v>
      </c>
      <c r="AI402">
        <v>0</v>
      </c>
    </row>
    <row r="403" spans="13:35" x14ac:dyDescent="0.35">
      <c r="M403" t="s">
        <v>2</v>
      </c>
      <c r="N403">
        <v>4750</v>
      </c>
      <c r="O403">
        <v>168</v>
      </c>
      <c r="P403">
        <v>3524</v>
      </c>
      <c r="Q403">
        <v>0</v>
      </c>
      <c r="R403">
        <v>27966456331</v>
      </c>
      <c r="S403">
        <v>85296015.170000002</v>
      </c>
      <c r="T403">
        <v>27765612248.220001</v>
      </c>
      <c r="U403">
        <v>27881160315.830002</v>
      </c>
      <c r="V403">
        <v>4.8468999999999998E-2</v>
      </c>
      <c r="W403">
        <v>0</v>
      </c>
      <c r="Y403" t="s">
        <v>2</v>
      </c>
      <c r="Z403">
        <v>4750</v>
      </c>
      <c r="AA403">
        <v>168</v>
      </c>
      <c r="AB403">
        <v>3201</v>
      </c>
      <c r="AC403">
        <v>0</v>
      </c>
      <c r="AD403">
        <v>25710477381</v>
      </c>
      <c r="AE403">
        <v>78065069.670000002</v>
      </c>
      <c r="AF403">
        <v>25467022663.84</v>
      </c>
      <c r="AG403">
        <v>25632412311.330002</v>
      </c>
      <c r="AH403">
        <v>7.4520000000000003E-2</v>
      </c>
      <c r="AI403">
        <v>0</v>
      </c>
    </row>
    <row r="404" spans="13:35" x14ac:dyDescent="0.35">
      <c r="M404" t="s">
        <v>0</v>
      </c>
      <c r="N404">
        <v>2000</v>
      </c>
      <c r="O404">
        <v>144</v>
      </c>
      <c r="P404">
        <v>9</v>
      </c>
      <c r="Q404">
        <v>0</v>
      </c>
      <c r="R404">
        <v>78650330</v>
      </c>
      <c r="S404">
        <v>290283.93</v>
      </c>
      <c r="T404">
        <v>78360046.069999993</v>
      </c>
      <c r="U404">
        <v>78360046.069999993</v>
      </c>
      <c r="V404">
        <v>0</v>
      </c>
      <c r="W404">
        <v>0</v>
      </c>
      <c r="Y404" t="s">
        <v>0</v>
      </c>
      <c r="Z404">
        <v>3250</v>
      </c>
      <c r="AA404">
        <v>144</v>
      </c>
      <c r="AB404">
        <v>6873</v>
      </c>
      <c r="AC404">
        <v>0</v>
      </c>
      <c r="AD404">
        <v>85735996789</v>
      </c>
      <c r="AE404">
        <v>268524893.36000001</v>
      </c>
      <c r="AF404">
        <v>85076949916.710007</v>
      </c>
      <c r="AG404">
        <v>85402905450.710007</v>
      </c>
      <c r="AH404">
        <v>5.3310000000000003E-2</v>
      </c>
      <c r="AI404">
        <v>8.9999999999999993E-3</v>
      </c>
    </row>
    <row r="405" spans="13:35" x14ac:dyDescent="0.35">
      <c r="M405" t="s">
        <v>0</v>
      </c>
      <c r="N405">
        <v>4250</v>
      </c>
      <c r="O405">
        <v>144</v>
      </c>
      <c r="P405">
        <v>83132</v>
      </c>
      <c r="Q405">
        <v>0</v>
      </c>
      <c r="R405">
        <v>872734404307</v>
      </c>
      <c r="S405">
        <v>2505397078.5900002</v>
      </c>
      <c r="T405">
        <v>865615675040.94995</v>
      </c>
      <c r="U405">
        <v>869486680719.94995</v>
      </c>
      <c r="V405">
        <v>6.1621000000000002E-2</v>
      </c>
      <c r="W405">
        <v>1.0159E-2</v>
      </c>
      <c r="Y405" t="s">
        <v>0</v>
      </c>
      <c r="Z405">
        <v>4750</v>
      </c>
      <c r="AA405">
        <v>144</v>
      </c>
      <c r="AB405">
        <v>27537</v>
      </c>
      <c r="AC405">
        <v>0</v>
      </c>
      <c r="AD405">
        <v>242122361250</v>
      </c>
      <c r="AE405">
        <v>674847901.07000005</v>
      </c>
      <c r="AF405">
        <v>240034920179.34</v>
      </c>
      <c r="AG405">
        <v>241249203215.78</v>
      </c>
      <c r="AH405">
        <v>6.7807000000000006E-2</v>
      </c>
      <c r="AI405">
        <v>9.7839999999999993E-3</v>
      </c>
    </row>
    <row r="406" spans="13:35" x14ac:dyDescent="0.35">
      <c r="M406" t="s">
        <v>0</v>
      </c>
      <c r="N406">
        <v>3250</v>
      </c>
      <c r="O406">
        <v>144</v>
      </c>
      <c r="P406">
        <v>7203</v>
      </c>
      <c r="Q406">
        <v>0</v>
      </c>
      <c r="R406">
        <v>90051271556</v>
      </c>
      <c r="S406">
        <v>282582610.35000002</v>
      </c>
      <c r="T406">
        <v>89405748765.380005</v>
      </c>
      <c r="U406">
        <v>89725966301.339996</v>
      </c>
      <c r="V406">
        <v>4.7307000000000002E-2</v>
      </c>
      <c r="W406">
        <v>5.6779999999999999E-3</v>
      </c>
      <c r="Y406" t="s">
        <v>0</v>
      </c>
      <c r="Z406">
        <v>4250</v>
      </c>
      <c r="AA406">
        <v>144</v>
      </c>
      <c r="AB406">
        <v>82733</v>
      </c>
      <c r="AC406">
        <v>0</v>
      </c>
      <c r="AD406">
        <v>867640208721</v>
      </c>
      <c r="AE406">
        <v>2487049090.27</v>
      </c>
      <c r="AF406">
        <v>860229069506.30005</v>
      </c>
      <c r="AG406">
        <v>864474643683.66003</v>
      </c>
      <c r="AH406">
        <v>6.6017000000000006E-2</v>
      </c>
      <c r="AI406">
        <v>9.3439999999999999E-3</v>
      </c>
    </row>
    <row r="407" spans="13:35" x14ac:dyDescent="0.35">
      <c r="M407" t="s">
        <v>2</v>
      </c>
      <c r="N407">
        <v>4250</v>
      </c>
      <c r="O407">
        <v>144</v>
      </c>
      <c r="P407">
        <v>16616</v>
      </c>
      <c r="Q407">
        <v>0</v>
      </c>
      <c r="R407">
        <v>147877134411</v>
      </c>
      <c r="S407">
        <v>432550790.25</v>
      </c>
      <c r="T407">
        <v>146485768625.28</v>
      </c>
      <c r="U407">
        <v>147384155063.04999</v>
      </c>
      <c r="V407">
        <v>7.5091000000000005E-2</v>
      </c>
      <c r="W407">
        <v>4.8929999999999998E-3</v>
      </c>
      <c r="Y407" t="s">
        <v>0</v>
      </c>
      <c r="Z407">
        <v>2000</v>
      </c>
      <c r="AA407">
        <v>144</v>
      </c>
      <c r="AB407">
        <v>8</v>
      </c>
      <c r="AC407">
        <v>0</v>
      </c>
      <c r="AD407">
        <v>70437042</v>
      </c>
      <c r="AE407">
        <v>260971.76</v>
      </c>
      <c r="AF407">
        <v>70176070.239999995</v>
      </c>
      <c r="AG407">
        <v>70176070.239999995</v>
      </c>
      <c r="AH407">
        <v>0</v>
      </c>
      <c r="AI407">
        <v>0</v>
      </c>
    </row>
    <row r="408" spans="13:35" x14ac:dyDescent="0.35">
      <c r="M408" t="s">
        <v>1</v>
      </c>
      <c r="N408">
        <v>2750</v>
      </c>
      <c r="O408">
        <v>144</v>
      </c>
      <c r="P408">
        <v>430</v>
      </c>
      <c r="Q408">
        <v>0</v>
      </c>
      <c r="R408">
        <v>6259582912</v>
      </c>
      <c r="S408">
        <v>20828597.59</v>
      </c>
      <c r="T408">
        <v>6173348705.5600004</v>
      </c>
      <c r="U408">
        <v>6227206010.96</v>
      </c>
      <c r="V408">
        <v>0.118426</v>
      </c>
      <c r="W408">
        <v>2.1916000000000001E-2</v>
      </c>
      <c r="Y408" t="s">
        <v>2</v>
      </c>
      <c r="Z408">
        <v>4250</v>
      </c>
      <c r="AA408">
        <v>144</v>
      </c>
      <c r="AB408">
        <v>16951</v>
      </c>
      <c r="AC408">
        <v>0</v>
      </c>
      <c r="AD408">
        <v>151397269893</v>
      </c>
      <c r="AE408">
        <v>441788603.17000002</v>
      </c>
      <c r="AF408">
        <v>150069427083.29001</v>
      </c>
      <c r="AG408">
        <v>150896411388.29999</v>
      </c>
      <c r="AH408">
        <v>6.8013000000000004E-2</v>
      </c>
      <c r="AI408">
        <v>4.6719999999999999E-3</v>
      </c>
    </row>
    <row r="409" spans="13:35" x14ac:dyDescent="0.35">
      <c r="M409" t="s">
        <v>3</v>
      </c>
      <c r="N409">
        <v>4500</v>
      </c>
      <c r="O409">
        <v>144</v>
      </c>
      <c r="P409">
        <v>309</v>
      </c>
      <c r="Q409">
        <v>0</v>
      </c>
      <c r="R409">
        <v>2761568822</v>
      </c>
      <c r="S409">
        <v>7836068.5800000001</v>
      </c>
      <c r="T409">
        <v>2743974902.1599998</v>
      </c>
      <c r="U409">
        <v>2753732753.4200001</v>
      </c>
      <c r="V409">
        <v>4.1586999999999999E-2</v>
      </c>
      <c r="W409">
        <v>0</v>
      </c>
      <c r="Y409" t="s">
        <v>1</v>
      </c>
      <c r="Z409">
        <v>2750</v>
      </c>
      <c r="AA409">
        <v>144</v>
      </c>
      <c r="AB409">
        <v>422</v>
      </c>
      <c r="AC409">
        <v>0</v>
      </c>
      <c r="AD409">
        <v>6165150560</v>
      </c>
      <c r="AE409">
        <v>20423849.170000002</v>
      </c>
      <c r="AF409">
        <v>6144726710.8299999</v>
      </c>
      <c r="AG409">
        <v>6144726710.8299999</v>
      </c>
      <c r="AH409">
        <v>0</v>
      </c>
      <c r="AI409">
        <v>0</v>
      </c>
    </row>
    <row r="410" spans="13:35" x14ac:dyDescent="0.35">
      <c r="M410" t="s">
        <v>2</v>
      </c>
      <c r="N410">
        <v>3250</v>
      </c>
      <c r="O410">
        <v>144</v>
      </c>
      <c r="P410">
        <v>1543</v>
      </c>
      <c r="Q410">
        <v>0</v>
      </c>
      <c r="R410">
        <v>16219478783</v>
      </c>
      <c r="S410">
        <v>51060488.189999998</v>
      </c>
      <c r="T410">
        <v>16107650627.530001</v>
      </c>
      <c r="U410">
        <v>16168418294.809999</v>
      </c>
      <c r="V410">
        <v>4.4044E-2</v>
      </c>
      <c r="W410">
        <v>0</v>
      </c>
      <c r="Y410" t="s">
        <v>3</v>
      </c>
      <c r="Z410">
        <v>4500</v>
      </c>
      <c r="AA410">
        <v>144</v>
      </c>
      <c r="AB410">
        <v>297</v>
      </c>
      <c r="AC410">
        <v>0</v>
      </c>
      <c r="AD410">
        <v>2761282733</v>
      </c>
      <c r="AE410">
        <v>7837864.3499999996</v>
      </c>
      <c r="AF410">
        <v>2728475723.0900002</v>
      </c>
      <c r="AG410">
        <v>2753444868.6500001</v>
      </c>
      <c r="AH410">
        <v>0.103274</v>
      </c>
      <c r="AI410">
        <v>0</v>
      </c>
    </row>
    <row r="411" spans="13:35" x14ac:dyDescent="0.35">
      <c r="M411" t="s">
        <v>1</v>
      </c>
      <c r="N411">
        <v>5500</v>
      </c>
      <c r="O411">
        <v>108</v>
      </c>
      <c r="P411">
        <v>102</v>
      </c>
      <c r="Q411">
        <v>0</v>
      </c>
      <c r="R411">
        <v>1102738305</v>
      </c>
      <c r="S411">
        <v>2231753.58</v>
      </c>
      <c r="T411">
        <v>1079790808.28</v>
      </c>
      <c r="U411">
        <v>1086510912.1199999</v>
      </c>
      <c r="V411">
        <v>0.20353599999999999</v>
      </c>
      <c r="W411">
        <v>0.14210600000000001</v>
      </c>
      <c r="Y411" t="s">
        <v>2</v>
      </c>
      <c r="Z411">
        <v>3250</v>
      </c>
      <c r="AA411">
        <v>144</v>
      </c>
      <c r="AB411">
        <v>1498</v>
      </c>
      <c r="AC411">
        <v>0</v>
      </c>
      <c r="AD411">
        <v>15751042411</v>
      </c>
      <c r="AE411">
        <v>49395204</v>
      </c>
      <c r="AF411">
        <v>15632058238.02</v>
      </c>
      <c r="AG411">
        <v>15701647207</v>
      </c>
      <c r="AH411">
        <v>5.1747000000000001E-2</v>
      </c>
      <c r="AI411">
        <v>0</v>
      </c>
    </row>
    <row r="412" spans="13:35" x14ac:dyDescent="0.35">
      <c r="M412" t="s">
        <v>3</v>
      </c>
      <c r="N412">
        <v>4000</v>
      </c>
      <c r="O412">
        <v>144</v>
      </c>
      <c r="P412">
        <v>658</v>
      </c>
      <c r="Q412">
        <v>0</v>
      </c>
      <c r="R412">
        <v>7910684711</v>
      </c>
      <c r="S412">
        <v>23383125.050000001</v>
      </c>
      <c r="T412">
        <v>7816170105.04</v>
      </c>
      <c r="U412">
        <v>7887301585.9499998</v>
      </c>
      <c r="V412">
        <v>0.10272199999999999</v>
      </c>
      <c r="W412">
        <v>0</v>
      </c>
      <c r="Y412" t="s">
        <v>1</v>
      </c>
      <c r="Z412">
        <v>5500</v>
      </c>
      <c r="AA412">
        <v>108</v>
      </c>
      <c r="AB412">
        <v>91</v>
      </c>
      <c r="AC412">
        <v>0</v>
      </c>
      <c r="AD412">
        <v>960685249</v>
      </c>
      <c r="AE412">
        <v>1939635.53</v>
      </c>
      <c r="AF412">
        <v>958745613.47000003</v>
      </c>
      <c r="AG412">
        <v>958745613.47000003</v>
      </c>
      <c r="AH412">
        <v>0</v>
      </c>
      <c r="AI412">
        <v>0</v>
      </c>
    </row>
    <row r="413" spans="13:35" x14ac:dyDescent="0.35">
      <c r="M413" t="s">
        <v>0</v>
      </c>
      <c r="N413">
        <v>2750</v>
      </c>
      <c r="O413">
        <v>144</v>
      </c>
      <c r="P413">
        <v>69</v>
      </c>
      <c r="Q413">
        <v>0</v>
      </c>
      <c r="R413">
        <v>734118115</v>
      </c>
      <c r="S413">
        <v>2426675.7999999998</v>
      </c>
      <c r="T413">
        <v>731691439.20000005</v>
      </c>
      <c r="U413">
        <v>731691439.20000005</v>
      </c>
      <c r="V413">
        <v>0</v>
      </c>
      <c r="W413">
        <v>0</v>
      </c>
      <c r="Y413" t="s">
        <v>0</v>
      </c>
      <c r="Z413">
        <v>5500</v>
      </c>
      <c r="AA413">
        <v>108</v>
      </c>
      <c r="AB413">
        <v>1789</v>
      </c>
      <c r="AC413">
        <v>0</v>
      </c>
      <c r="AD413">
        <v>19890682876</v>
      </c>
      <c r="AE413">
        <v>40418251.399999999</v>
      </c>
      <c r="AF413">
        <v>19744010289.57</v>
      </c>
      <c r="AG413">
        <v>19827095358.119999</v>
      </c>
      <c r="AH413">
        <v>6.2253000000000003E-2</v>
      </c>
      <c r="AI413">
        <v>1.3889E-2</v>
      </c>
    </row>
    <row r="414" spans="13:35" x14ac:dyDescent="0.35">
      <c r="M414" t="s">
        <v>3</v>
      </c>
      <c r="N414">
        <v>3500</v>
      </c>
      <c r="O414">
        <v>144</v>
      </c>
      <c r="P414">
        <v>167</v>
      </c>
      <c r="Q414">
        <v>0</v>
      </c>
      <c r="R414">
        <v>2531901542</v>
      </c>
      <c r="S414">
        <v>7785294.1200000001</v>
      </c>
      <c r="T414">
        <v>2512571926.1999998</v>
      </c>
      <c r="U414">
        <v>2524116247.8800001</v>
      </c>
      <c r="V414">
        <v>5.3363000000000001E-2</v>
      </c>
      <c r="W414">
        <v>0</v>
      </c>
      <c r="Y414" t="s">
        <v>0</v>
      </c>
      <c r="Z414">
        <v>2750</v>
      </c>
      <c r="AA414">
        <v>144</v>
      </c>
      <c r="AB414">
        <v>67</v>
      </c>
      <c r="AC414">
        <v>0</v>
      </c>
      <c r="AD414">
        <v>722938993</v>
      </c>
      <c r="AE414">
        <v>2378601.11</v>
      </c>
      <c r="AF414">
        <v>720560391.88999999</v>
      </c>
      <c r="AG414">
        <v>720560391.88999999</v>
      </c>
      <c r="AH414">
        <v>0</v>
      </c>
      <c r="AI414">
        <v>0</v>
      </c>
    </row>
    <row r="415" spans="13:35" x14ac:dyDescent="0.35">
      <c r="M415" t="s">
        <v>0</v>
      </c>
      <c r="N415">
        <v>4750</v>
      </c>
      <c r="O415">
        <v>144</v>
      </c>
      <c r="P415">
        <v>26145</v>
      </c>
      <c r="Q415">
        <v>0</v>
      </c>
      <c r="R415">
        <v>230276824698</v>
      </c>
      <c r="S415">
        <v>641939904.61000001</v>
      </c>
      <c r="T415">
        <v>228311518434.94</v>
      </c>
      <c r="U415">
        <v>229403942769.32001</v>
      </c>
      <c r="V415">
        <v>6.6823999999999995E-2</v>
      </c>
      <c r="W415">
        <v>1.1969E-2</v>
      </c>
      <c r="Y415" t="s">
        <v>3</v>
      </c>
      <c r="Z415">
        <v>3500</v>
      </c>
      <c r="AA415">
        <v>144</v>
      </c>
      <c r="AB415">
        <v>160</v>
      </c>
      <c r="AC415">
        <v>0</v>
      </c>
      <c r="AD415">
        <v>2401508335</v>
      </c>
      <c r="AE415">
        <v>7363666.1200000001</v>
      </c>
      <c r="AF415">
        <v>2394144668.8800001</v>
      </c>
      <c r="AG415">
        <v>2394144668.8800001</v>
      </c>
      <c r="AH415">
        <v>0</v>
      </c>
      <c r="AI415">
        <v>0</v>
      </c>
    </row>
    <row r="416" spans="13:35" x14ac:dyDescent="0.35">
      <c r="M416" t="s">
        <v>1</v>
      </c>
      <c r="N416">
        <v>5500</v>
      </c>
      <c r="O416">
        <v>144</v>
      </c>
      <c r="P416">
        <v>18</v>
      </c>
      <c r="Q416">
        <v>0</v>
      </c>
      <c r="R416">
        <v>166696535</v>
      </c>
      <c r="S416">
        <v>416464.07</v>
      </c>
      <c r="T416">
        <v>166280070.93000001</v>
      </c>
      <c r="U416">
        <v>166280070.93000001</v>
      </c>
      <c r="V416">
        <v>0</v>
      </c>
      <c r="W416">
        <v>0</v>
      </c>
      <c r="Y416" t="s">
        <v>1</v>
      </c>
      <c r="Z416">
        <v>5500</v>
      </c>
      <c r="AA416">
        <v>144</v>
      </c>
      <c r="AB416">
        <v>17</v>
      </c>
      <c r="AC416">
        <v>0</v>
      </c>
      <c r="AD416">
        <v>146757363</v>
      </c>
      <c r="AE416">
        <v>367188.1</v>
      </c>
      <c r="AF416">
        <v>146390174.90000001</v>
      </c>
      <c r="AG416">
        <v>146390174.90000001</v>
      </c>
      <c r="AH416">
        <v>0</v>
      </c>
      <c r="AI416">
        <v>0</v>
      </c>
    </row>
    <row r="417" spans="13:35" x14ac:dyDescent="0.35">
      <c r="M417" t="s">
        <v>0</v>
      </c>
      <c r="N417">
        <v>6000</v>
      </c>
      <c r="O417">
        <v>144</v>
      </c>
      <c r="P417">
        <v>24</v>
      </c>
      <c r="Q417">
        <v>0</v>
      </c>
      <c r="R417">
        <v>158575826</v>
      </c>
      <c r="S417">
        <v>382950.62</v>
      </c>
      <c r="T417">
        <v>158192875.38</v>
      </c>
      <c r="U417">
        <v>158192875.38</v>
      </c>
      <c r="V417">
        <v>0</v>
      </c>
      <c r="W417">
        <v>0</v>
      </c>
      <c r="Y417" t="s">
        <v>0</v>
      </c>
      <c r="Z417">
        <v>6000</v>
      </c>
      <c r="AA417">
        <v>144</v>
      </c>
      <c r="AB417">
        <v>24</v>
      </c>
      <c r="AC417">
        <v>0</v>
      </c>
      <c r="AD417">
        <v>158998930</v>
      </c>
      <c r="AE417">
        <v>381179</v>
      </c>
      <c r="AF417">
        <v>158617751</v>
      </c>
      <c r="AG417">
        <v>158617751</v>
      </c>
      <c r="AH417">
        <v>0</v>
      </c>
      <c r="AI417">
        <v>0</v>
      </c>
    </row>
    <row r="418" spans="13:35" x14ac:dyDescent="0.35">
      <c r="M418" t="s">
        <v>2</v>
      </c>
      <c r="N418">
        <v>2750</v>
      </c>
      <c r="O418">
        <v>144</v>
      </c>
      <c r="P418">
        <v>2</v>
      </c>
      <c r="Q418">
        <v>0</v>
      </c>
      <c r="R418">
        <v>25709560</v>
      </c>
      <c r="S418">
        <v>83338.12</v>
      </c>
      <c r="T418">
        <v>25626221.879999999</v>
      </c>
      <c r="U418">
        <v>25626221.879999999</v>
      </c>
      <c r="V418">
        <v>0</v>
      </c>
      <c r="W418">
        <v>0</v>
      </c>
      <c r="Y418" t="s">
        <v>2</v>
      </c>
      <c r="Z418">
        <v>2750</v>
      </c>
      <c r="AA418">
        <v>144</v>
      </c>
      <c r="AB418">
        <v>1</v>
      </c>
      <c r="AC418">
        <v>0</v>
      </c>
      <c r="AD418">
        <v>19757655</v>
      </c>
      <c r="AE418">
        <v>64257.88</v>
      </c>
      <c r="AF418">
        <v>19693397.120000001</v>
      </c>
      <c r="AG418">
        <v>19693397.120000001</v>
      </c>
      <c r="AH418">
        <v>0</v>
      </c>
      <c r="AI418">
        <v>0</v>
      </c>
    </row>
    <row r="419" spans="13:35" x14ac:dyDescent="0.35">
      <c r="M419" t="s">
        <v>2</v>
      </c>
      <c r="N419">
        <v>4750</v>
      </c>
      <c r="O419">
        <v>144</v>
      </c>
      <c r="P419">
        <v>2493</v>
      </c>
      <c r="Q419">
        <v>0</v>
      </c>
      <c r="R419">
        <v>18250519743</v>
      </c>
      <c r="S419">
        <v>51267617.770000003</v>
      </c>
      <c r="T419">
        <v>18079878688.990002</v>
      </c>
      <c r="U419">
        <v>18177523664.669998</v>
      </c>
      <c r="V419">
        <v>7.5727000000000003E-2</v>
      </c>
      <c r="W419">
        <v>1.4194E-2</v>
      </c>
      <c r="Y419" t="s">
        <v>2</v>
      </c>
      <c r="Z419">
        <v>4750</v>
      </c>
      <c r="AA419">
        <v>144</v>
      </c>
      <c r="AB419">
        <v>2818</v>
      </c>
      <c r="AC419">
        <v>0</v>
      </c>
      <c r="AD419">
        <v>20692972900</v>
      </c>
      <c r="AE419">
        <v>58234109.140000001</v>
      </c>
      <c r="AF419">
        <v>20489750472.779999</v>
      </c>
      <c r="AG419">
        <v>20630508326.470001</v>
      </c>
      <c r="AH419">
        <v>8.0914E-2</v>
      </c>
      <c r="AI419">
        <v>2.4510000000000001E-3</v>
      </c>
    </row>
    <row r="420" spans="13:35" x14ac:dyDescent="0.35">
      <c r="M420" t="s">
        <v>2</v>
      </c>
      <c r="N420">
        <v>3250</v>
      </c>
      <c r="O420">
        <v>120</v>
      </c>
      <c r="P420">
        <v>6968</v>
      </c>
      <c r="Q420">
        <v>0</v>
      </c>
      <c r="R420">
        <v>81047085668</v>
      </c>
      <c r="S420">
        <v>232817456.05000001</v>
      </c>
      <c r="T420">
        <v>80546665462.179993</v>
      </c>
      <c r="U420">
        <v>80812347692.850006</v>
      </c>
      <c r="V420">
        <v>3.891E-2</v>
      </c>
      <c r="W420">
        <v>2.8400000000000002E-4</v>
      </c>
      <c r="Y420" t="s">
        <v>0</v>
      </c>
      <c r="Z420">
        <v>3750</v>
      </c>
      <c r="AA420">
        <v>120</v>
      </c>
      <c r="AB420">
        <v>81372</v>
      </c>
      <c r="AC420">
        <v>0</v>
      </c>
      <c r="AD420">
        <v>1067226096150</v>
      </c>
      <c r="AE420">
        <v>2914972770.4499998</v>
      </c>
      <c r="AF420">
        <v>1058855654210.92</v>
      </c>
      <c r="AG420">
        <v>1063656988433.26</v>
      </c>
      <c r="AH420">
        <v>5.9645999999999998E-2</v>
      </c>
      <c r="AI420">
        <v>7.3299999999999997E-3</v>
      </c>
    </row>
    <row r="421" spans="13:35" x14ac:dyDescent="0.35">
      <c r="M421" t="s">
        <v>1</v>
      </c>
      <c r="N421">
        <v>4250</v>
      </c>
      <c r="O421">
        <v>120</v>
      </c>
      <c r="P421">
        <v>3772</v>
      </c>
      <c r="Q421">
        <v>0</v>
      </c>
      <c r="R421">
        <v>51344203005</v>
      </c>
      <c r="S421">
        <v>131629883.15000001</v>
      </c>
      <c r="T421">
        <v>50852560202.889999</v>
      </c>
      <c r="U421">
        <v>51170354696.480003</v>
      </c>
      <c r="V421">
        <v>8.0971000000000001E-2</v>
      </c>
      <c r="W421">
        <v>9.8230000000000001E-3</v>
      </c>
      <c r="Y421" t="s">
        <v>0</v>
      </c>
      <c r="Z421">
        <v>4750</v>
      </c>
      <c r="AA421">
        <v>120</v>
      </c>
      <c r="AB421">
        <v>7167</v>
      </c>
      <c r="AC421">
        <v>0</v>
      </c>
      <c r="AD421">
        <v>74846731372</v>
      </c>
      <c r="AE421">
        <v>182179750.40000001</v>
      </c>
      <c r="AF421">
        <v>74286386666.660004</v>
      </c>
      <c r="AG421">
        <v>74643202056.449997</v>
      </c>
      <c r="AH421">
        <v>5.8973999999999999E-2</v>
      </c>
      <c r="AI421">
        <v>3.418E-3</v>
      </c>
    </row>
    <row r="422" spans="13:35" x14ac:dyDescent="0.35">
      <c r="M422" t="s">
        <v>0</v>
      </c>
      <c r="N422">
        <v>3250</v>
      </c>
      <c r="O422">
        <v>120</v>
      </c>
      <c r="P422">
        <v>40079</v>
      </c>
      <c r="Q422">
        <v>0</v>
      </c>
      <c r="R422">
        <v>587351925164</v>
      </c>
      <c r="S422">
        <v>1693192536.1700001</v>
      </c>
      <c r="T422">
        <v>583235011804.57996</v>
      </c>
      <c r="U422">
        <v>585564735440.05005</v>
      </c>
      <c r="V422">
        <v>4.8410000000000002E-2</v>
      </c>
      <c r="W422">
        <v>1.9189999999999999E-3</v>
      </c>
      <c r="Y422" t="s">
        <v>0</v>
      </c>
      <c r="Z422">
        <v>3250</v>
      </c>
      <c r="AA422">
        <v>120</v>
      </c>
      <c r="AB422">
        <v>40509</v>
      </c>
      <c r="AC422">
        <v>0</v>
      </c>
      <c r="AD422">
        <v>594647403341</v>
      </c>
      <c r="AE422">
        <v>1705568872.52</v>
      </c>
      <c r="AF422">
        <v>589936857374.67004</v>
      </c>
      <c r="AG422">
        <v>592765048064.21997</v>
      </c>
      <c r="AH422">
        <v>5.8983000000000001E-2</v>
      </c>
      <c r="AI422">
        <v>3.5620000000000001E-3</v>
      </c>
    </row>
    <row r="423" spans="13:35" x14ac:dyDescent="0.35">
      <c r="M423" t="s">
        <v>0</v>
      </c>
      <c r="N423">
        <v>3750</v>
      </c>
      <c r="O423">
        <v>120</v>
      </c>
      <c r="P423">
        <v>80786</v>
      </c>
      <c r="Q423">
        <v>0</v>
      </c>
      <c r="R423">
        <v>1058251323433</v>
      </c>
      <c r="S423">
        <v>2896722642.9200001</v>
      </c>
      <c r="T423">
        <v>1049641752881.4399</v>
      </c>
      <c r="U423">
        <v>1054692863313.13</v>
      </c>
      <c r="V423">
        <v>6.2891000000000002E-2</v>
      </c>
      <c r="W423">
        <v>7.4780000000000003E-3</v>
      </c>
      <c r="Y423" t="s">
        <v>2</v>
      </c>
      <c r="Z423">
        <v>3250</v>
      </c>
      <c r="AA423">
        <v>120</v>
      </c>
      <c r="AB423">
        <v>7035</v>
      </c>
      <c r="AC423">
        <v>0</v>
      </c>
      <c r="AD423">
        <v>82044846741</v>
      </c>
      <c r="AE423">
        <v>234507590.53</v>
      </c>
      <c r="AF423">
        <v>81328061486.649994</v>
      </c>
      <c r="AG423">
        <v>81788801833.309998</v>
      </c>
      <c r="AH423">
        <v>6.8302000000000002E-2</v>
      </c>
      <c r="AI423">
        <v>3.1459999999999999E-3</v>
      </c>
    </row>
    <row r="424" spans="13:35" x14ac:dyDescent="0.35">
      <c r="M424" t="s">
        <v>0</v>
      </c>
      <c r="N424">
        <v>4250</v>
      </c>
      <c r="O424">
        <v>120</v>
      </c>
      <c r="P424">
        <v>29779</v>
      </c>
      <c r="Q424">
        <v>0</v>
      </c>
      <c r="R424">
        <v>365017337332</v>
      </c>
      <c r="S424">
        <v>939975358.82000005</v>
      </c>
      <c r="T424">
        <v>361921921520.65997</v>
      </c>
      <c r="U424">
        <v>363700916154.51001</v>
      </c>
      <c r="V424">
        <v>6.8603999999999998E-2</v>
      </c>
      <c r="W424">
        <v>1.2305999999999999E-2</v>
      </c>
      <c r="Y424" t="s">
        <v>1</v>
      </c>
      <c r="Z424">
        <v>4250</v>
      </c>
      <c r="AA424">
        <v>120</v>
      </c>
      <c r="AB424">
        <v>3447</v>
      </c>
      <c r="AC424">
        <v>0</v>
      </c>
      <c r="AD424">
        <v>45564264714</v>
      </c>
      <c r="AE424">
        <v>117386678.31999999</v>
      </c>
      <c r="AF424">
        <v>44870793769.290001</v>
      </c>
      <c r="AG424">
        <v>45327832350.040001</v>
      </c>
      <c r="AH424">
        <v>0.14160200000000001</v>
      </c>
      <c r="AI424">
        <v>3.0905999999999999E-2</v>
      </c>
    </row>
    <row r="425" spans="13:35" x14ac:dyDescent="0.35">
      <c r="M425" t="s">
        <v>0</v>
      </c>
      <c r="N425">
        <v>5500</v>
      </c>
      <c r="O425">
        <v>120</v>
      </c>
      <c r="P425">
        <v>140</v>
      </c>
      <c r="Q425">
        <v>0</v>
      </c>
      <c r="R425">
        <v>1361860973</v>
      </c>
      <c r="S425">
        <v>3025917.32</v>
      </c>
      <c r="T425">
        <v>1358835055.6800001</v>
      </c>
      <c r="U425">
        <v>1358835055.6800001</v>
      </c>
      <c r="V425">
        <v>0</v>
      </c>
      <c r="W425">
        <v>0</v>
      </c>
      <c r="Y425" t="s">
        <v>0</v>
      </c>
      <c r="Z425">
        <v>4250</v>
      </c>
      <c r="AA425">
        <v>120</v>
      </c>
      <c r="AB425">
        <v>29179</v>
      </c>
      <c r="AC425">
        <v>0</v>
      </c>
      <c r="AD425">
        <v>350973536590</v>
      </c>
      <c r="AE425">
        <v>906745356.26999998</v>
      </c>
      <c r="AF425">
        <v>347916060257.01001</v>
      </c>
      <c r="AG425">
        <v>349961767773.83002</v>
      </c>
      <c r="AH425">
        <v>7.1106000000000003E-2</v>
      </c>
      <c r="AI425">
        <v>3.5850000000000001E-3</v>
      </c>
    </row>
    <row r="426" spans="13:35" x14ac:dyDescent="0.35">
      <c r="M426" t="s">
        <v>2</v>
      </c>
      <c r="N426">
        <v>3750</v>
      </c>
      <c r="O426">
        <v>120</v>
      </c>
      <c r="P426">
        <v>10134</v>
      </c>
      <c r="Q426">
        <v>0</v>
      </c>
      <c r="R426">
        <v>106239971137</v>
      </c>
      <c r="S426">
        <v>291149631.05000001</v>
      </c>
      <c r="T426">
        <v>105408852279.7</v>
      </c>
      <c r="U426">
        <v>105901398483.88</v>
      </c>
      <c r="V426">
        <v>5.9313999999999999E-2</v>
      </c>
      <c r="W426">
        <v>5.3429999999999997E-3</v>
      </c>
      <c r="Y426" t="s">
        <v>0</v>
      </c>
      <c r="Z426">
        <v>5500</v>
      </c>
      <c r="AA426">
        <v>120</v>
      </c>
      <c r="AB426">
        <v>131</v>
      </c>
      <c r="AC426">
        <v>0</v>
      </c>
      <c r="AD426">
        <v>1253903720</v>
      </c>
      <c r="AE426">
        <v>2797388.51</v>
      </c>
      <c r="AF426">
        <v>1237986516.24</v>
      </c>
      <c r="AG426">
        <v>1251106331.49</v>
      </c>
      <c r="AH426">
        <v>0.118579</v>
      </c>
      <c r="AI426">
        <v>0</v>
      </c>
    </row>
    <row r="427" spans="13:35" x14ac:dyDescent="0.35">
      <c r="M427" t="s">
        <v>1</v>
      </c>
      <c r="N427">
        <v>3250</v>
      </c>
      <c r="O427">
        <v>120</v>
      </c>
      <c r="P427">
        <v>36122</v>
      </c>
      <c r="Q427">
        <v>0</v>
      </c>
      <c r="R427">
        <v>665194754850</v>
      </c>
      <c r="S427">
        <v>1918185294.6600001</v>
      </c>
      <c r="T427">
        <v>659056800752.60999</v>
      </c>
      <c r="U427">
        <v>663115772259.20996</v>
      </c>
      <c r="V427">
        <v>7.3523000000000005E-2</v>
      </c>
      <c r="W427">
        <v>2.8969999999999998E-3</v>
      </c>
      <c r="Y427" t="s">
        <v>2</v>
      </c>
      <c r="Z427">
        <v>3750</v>
      </c>
      <c r="AA427">
        <v>120</v>
      </c>
      <c r="AB427">
        <v>10305</v>
      </c>
      <c r="AC427">
        <v>0</v>
      </c>
      <c r="AD427">
        <v>107884536909</v>
      </c>
      <c r="AE427">
        <v>295242110.73000002</v>
      </c>
      <c r="AF427">
        <v>106957511567.25</v>
      </c>
      <c r="AG427">
        <v>107515481056.35001</v>
      </c>
      <c r="AH427">
        <v>6.8053000000000002E-2</v>
      </c>
      <c r="AI427">
        <v>8.1790000000000005E-3</v>
      </c>
    </row>
    <row r="428" spans="13:35" x14ac:dyDescent="0.35">
      <c r="M428" t="s">
        <v>1</v>
      </c>
      <c r="N428">
        <v>2750</v>
      </c>
      <c r="O428">
        <v>120</v>
      </c>
      <c r="P428">
        <v>2495</v>
      </c>
      <c r="Q428">
        <v>0</v>
      </c>
      <c r="R428">
        <v>43672022488</v>
      </c>
      <c r="S428">
        <v>132577235.69</v>
      </c>
      <c r="T428">
        <v>43327897661.650002</v>
      </c>
      <c r="U428">
        <v>43524494624.269997</v>
      </c>
      <c r="V428">
        <v>5.6604000000000002E-2</v>
      </c>
      <c r="W428">
        <v>4.1000000000000003E-3</v>
      </c>
      <c r="Y428" t="s">
        <v>1</v>
      </c>
      <c r="Z428">
        <v>3250</v>
      </c>
      <c r="AA428">
        <v>120</v>
      </c>
      <c r="AB428">
        <v>36619</v>
      </c>
      <c r="AC428">
        <v>0</v>
      </c>
      <c r="AD428">
        <v>675716895048</v>
      </c>
      <c r="AE428">
        <v>1939333551</v>
      </c>
      <c r="AF428">
        <v>670036418763.19995</v>
      </c>
      <c r="AG428">
        <v>673636277261.20996</v>
      </c>
      <c r="AH428">
        <v>6.4451999999999995E-2</v>
      </c>
      <c r="AI428">
        <v>2.506E-3</v>
      </c>
    </row>
    <row r="429" spans="13:35" x14ac:dyDescent="0.35">
      <c r="M429" t="s">
        <v>0</v>
      </c>
      <c r="N429">
        <v>2500</v>
      </c>
      <c r="O429">
        <v>120</v>
      </c>
      <c r="P429">
        <v>105</v>
      </c>
      <c r="Q429">
        <v>0</v>
      </c>
      <c r="R429">
        <v>945590829</v>
      </c>
      <c r="S429">
        <v>2963508.05</v>
      </c>
      <c r="T429">
        <v>942627320.95000005</v>
      </c>
      <c r="U429">
        <v>942627320.95000005</v>
      </c>
      <c r="V429">
        <v>0</v>
      </c>
      <c r="W429">
        <v>0</v>
      </c>
      <c r="Y429" t="s">
        <v>1</v>
      </c>
      <c r="Z429">
        <v>2750</v>
      </c>
      <c r="AA429">
        <v>120</v>
      </c>
      <c r="AB429">
        <v>2507</v>
      </c>
      <c r="AC429">
        <v>0</v>
      </c>
      <c r="AD429">
        <v>44076175313</v>
      </c>
      <c r="AE429">
        <v>133119209.76000001</v>
      </c>
      <c r="AF429">
        <v>43726422114.68</v>
      </c>
      <c r="AG429">
        <v>43932299873.220001</v>
      </c>
      <c r="AH429">
        <v>5.7410999999999997E-2</v>
      </c>
      <c r="AI429">
        <v>2.9250000000000001E-3</v>
      </c>
    </row>
    <row r="430" spans="13:35" x14ac:dyDescent="0.35">
      <c r="M430" t="s">
        <v>3</v>
      </c>
      <c r="N430">
        <v>5000</v>
      </c>
      <c r="O430">
        <v>120</v>
      </c>
      <c r="P430">
        <v>5</v>
      </c>
      <c r="Q430">
        <v>0</v>
      </c>
      <c r="R430">
        <v>44183772</v>
      </c>
      <c r="S430">
        <v>103527.43</v>
      </c>
      <c r="T430">
        <v>44080244.57</v>
      </c>
      <c r="U430">
        <v>44080244.57</v>
      </c>
      <c r="V430">
        <v>0</v>
      </c>
      <c r="W430">
        <v>0</v>
      </c>
      <c r="Y430" t="s">
        <v>0</v>
      </c>
      <c r="Z430">
        <v>2500</v>
      </c>
      <c r="AA430">
        <v>120</v>
      </c>
      <c r="AB430">
        <v>106</v>
      </c>
      <c r="AC430">
        <v>0</v>
      </c>
      <c r="AD430">
        <v>950135179</v>
      </c>
      <c r="AE430">
        <v>2962382.91</v>
      </c>
      <c r="AF430">
        <v>946069043.86000001</v>
      </c>
      <c r="AG430">
        <v>947172796.09000003</v>
      </c>
      <c r="AH430">
        <v>1.3851E-2</v>
      </c>
      <c r="AI430">
        <v>0</v>
      </c>
    </row>
    <row r="431" spans="13:35" x14ac:dyDescent="0.35">
      <c r="M431" t="s">
        <v>2</v>
      </c>
      <c r="N431">
        <v>2750</v>
      </c>
      <c r="O431">
        <v>120</v>
      </c>
      <c r="P431">
        <v>168</v>
      </c>
      <c r="Q431">
        <v>0</v>
      </c>
      <c r="R431">
        <v>1626916101</v>
      </c>
      <c r="S431">
        <v>4990426.16</v>
      </c>
      <c r="T431">
        <v>1621925674.8399999</v>
      </c>
      <c r="U431">
        <v>1621925674.8399999</v>
      </c>
      <c r="V431">
        <v>0</v>
      </c>
      <c r="W431">
        <v>0</v>
      </c>
      <c r="Y431" t="s">
        <v>3</v>
      </c>
      <c r="Z431">
        <v>5000</v>
      </c>
      <c r="AA431">
        <v>120</v>
      </c>
      <c r="AB431">
        <v>4</v>
      </c>
      <c r="AC431">
        <v>0</v>
      </c>
      <c r="AD431">
        <v>37376755</v>
      </c>
      <c r="AE431">
        <v>87309.84</v>
      </c>
      <c r="AF431">
        <v>37289445.159999996</v>
      </c>
      <c r="AG431">
        <v>37289445.159999996</v>
      </c>
      <c r="AH431">
        <v>0</v>
      </c>
      <c r="AI431">
        <v>0</v>
      </c>
    </row>
    <row r="432" spans="13:35" x14ac:dyDescent="0.35">
      <c r="M432" t="s">
        <v>0</v>
      </c>
      <c r="N432">
        <v>4750</v>
      </c>
      <c r="O432">
        <v>120</v>
      </c>
      <c r="P432">
        <v>7743</v>
      </c>
      <c r="Q432">
        <v>0</v>
      </c>
      <c r="R432">
        <v>83007800047</v>
      </c>
      <c r="S432">
        <v>201330387.75999999</v>
      </c>
      <c r="T432">
        <v>82361224296.789993</v>
      </c>
      <c r="U432">
        <v>82733919124.990005</v>
      </c>
      <c r="V432">
        <v>6.2501000000000001E-2</v>
      </c>
      <c r="W432">
        <v>1.0437999999999999E-2</v>
      </c>
      <c r="Y432" t="s">
        <v>2</v>
      </c>
      <c r="Z432">
        <v>2750</v>
      </c>
      <c r="AA432">
        <v>120</v>
      </c>
      <c r="AB432">
        <v>170</v>
      </c>
      <c r="AC432">
        <v>0</v>
      </c>
      <c r="AD432">
        <v>1644681826</v>
      </c>
      <c r="AE432">
        <v>5018482.1500000004</v>
      </c>
      <c r="AF432">
        <v>1633488140.55</v>
      </c>
      <c r="AG432">
        <v>1639663343.8499999</v>
      </c>
      <c r="AH432">
        <v>4.4137000000000003E-2</v>
      </c>
      <c r="AI432">
        <v>0</v>
      </c>
    </row>
    <row r="433" spans="13:35" x14ac:dyDescent="0.35">
      <c r="M433" t="s">
        <v>2</v>
      </c>
      <c r="N433">
        <v>2500</v>
      </c>
      <c r="O433">
        <v>120</v>
      </c>
      <c r="P433">
        <v>12</v>
      </c>
      <c r="Q433">
        <v>0</v>
      </c>
      <c r="R433">
        <v>110503756</v>
      </c>
      <c r="S433">
        <v>343339.97</v>
      </c>
      <c r="T433">
        <v>110160416.03</v>
      </c>
      <c r="U433">
        <v>110160416.03</v>
      </c>
      <c r="V433">
        <v>0</v>
      </c>
      <c r="W433">
        <v>0</v>
      </c>
      <c r="Y433" t="s">
        <v>2</v>
      </c>
      <c r="Z433">
        <v>2500</v>
      </c>
      <c r="AA433">
        <v>120</v>
      </c>
      <c r="AB433">
        <v>12</v>
      </c>
      <c r="AC433">
        <v>0</v>
      </c>
      <c r="AD433">
        <v>110887406</v>
      </c>
      <c r="AE433">
        <v>342755.04</v>
      </c>
      <c r="AF433">
        <v>110544650.95999999</v>
      </c>
      <c r="AG433">
        <v>110544650.95999999</v>
      </c>
      <c r="AH433">
        <v>0</v>
      </c>
      <c r="AI433">
        <v>0</v>
      </c>
    </row>
    <row r="434" spans="13:35" x14ac:dyDescent="0.35">
      <c r="M434" t="s">
        <v>1</v>
      </c>
      <c r="N434">
        <v>5500</v>
      </c>
      <c r="O434">
        <v>120</v>
      </c>
      <c r="P434">
        <v>10</v>
      </c>
      <c r="Q434">
        <v>0</v>
      </c>
      <c r="R434">
        <v>84377613</v>
      </c>
      <c r="S434">
        <v>188243.32</v>
      </c>
      <c r="T434">
        <v>84189369.680000007</v>
      </c>
      <c r="U434">
        <v>84189369.680000007</v>
      </c>
      <c r="V434">
        <v>0</v>
      </c>
      <c r="W434">
        <v>0</v>
      </c>
      <c r="Y434" t="s">
        <v>1</v>
      </c>
      <c r="Z434">
        <v>5500</v>
      </c>
      <c r="AA434">
        <v>120</v>
      </c>
      <c r="AB434">
        <v>10</v>
      </c>
      <c r="AC434">
        <v>0</v>
      </c>
      <c r="AD434">
        <v>100443404</v>
      </c>
      <c r="AE434">
        <v>225341.39</v>
      </c>
      <c r="AF434">
        <v>100218062.61</v>
      </c>
      <c r="AG434">
        <v>100218062.61</v>
      </c>
      <c r="AH434">
        <v>0</v>
      </c>
      <c r="AI434">
        <v>0</v>
      </c>
    </row>
    <row r="435" spans="13:35" x14ac:dyDescent="0.35">
      <c r="M435" t="s">
        <v>3</v>
      </c>
      <c r="N435">
        <v>4000</v>
      </c>
      <c r="O435">
        <v>120</v>
      </c>
      <c r="P435">
        <v>229</v>
      </c>
      <c r="Q435">
        <v>0</v>
      </c>
      <c r="R435">
        <v>2730982075</v>
      </c>
      <c r="S435">
        <v>7285021.79</v>
      </c>
      <c r="T435">
        <v>2723697053.21</v>
      </c>
      <c r="U435">
        <v>2723697053.21</v>
      </c>
      <c r="V435">
        <v>0</v>
      </c>
      <c r="W435">
        <v>0</v>
      </c>
      <c r="Y435" t="s">
        <v>3</v>
      </c>
      <c r="Z435">
        <v>4000</v>
      </c>
      <c r="AA435">
        <v>120</v>
      </c>
      <c r="AB435">
        <v>223</v>
      </c>
      <c r="AC435">
        <v>0</v>
      </c>
      <c r="AD435">
        <v>2667375440</v>
      </c>
      <c r="AE435">
        <v>7124326.3399999999</v>
      </c>
      <c r="AF435">
        <v>2650634309.2800002</v>
      </c>
      <c r="AG435">
        <v>2650634309.2800002</v>
      </c>
      <c r="AH435">
        <v>4.2416000000000002E-2</v>
      </c>
      <c r="AI435">
        <v>4.2416000000000002E-2</v>
      </c>
    </row>
    <row r="436" spans="13:35" x14ac:dyDescent="0.35">
      <c r="M436" t="s">
        <v>2</v>
      </c>
      <c r="N436">
        <v>3750</v>
      </c>
      <c r="O436">
        <v>108</v>
      </c>
      <c r="P436">
        <v>8745</v>
      </c>
      <c r="Q436">
        <v>0</v>
      </c>
      <c r="R436">
        <v>103042702692</v>
      </c>
      <c r="S436">
        <v>262454283.15000001</v>
      </c>
      <c r="T436">
        <v>102311553215.16</v>
      </c>
      <c r="U436">
        <v>102725446191.32001</v>
      </c>
      <c r="V436">
        <v>5.3238000000000001E-2</v>
      </c>
      <c r="W436">
        <v>6.3629999999999997E-3</v>
      </c>
      <c r="Y436" t="s">
        <v>2</v>
      </c>
      <c r="Z436">
        <v>5000</v>
      </c>
      <c r="AA436">
        <v>108</v>
      </c>
      <c r="AB436">
        <v>195</v>
      </c>
      <c r="AC436">
        <v>0</v>
      </c>
      <c r="AD436">
        <v>1681034463</v>
      </c>
      <c r="AE436">
        <v>3755414.82</v>
      </c>
      <c r="AF436">
        <v>1677279048.1800001</v>
      </c>
      <c r="AG436">
        <v>1677279048.1800001</v>
      </c>
      <c r="AH436">
        <v>0</v>
      </c>
      <c r="AI436">
        <v>0</v>
      </c>
    </row>
    <row r="437" spans="13:35" x14ac:dyDescent="0.35">
      <c r="M437" t="s">
        <v>0</v>
      </c>
      <c r="N437">
        <v>3750</v>
      </c>
      <c r="O437">
        <v>108</v>
      </c>
      <c r="P437">
        <v>42691</v>
      </c>
      <c r="Q437">
        <v>0</v>
      </c>
      <c r="R437">
        <v>656789680517</v>
      </c>
      <c r="S437">
        <v>1675244388.76</v>
      </c>
      <c r="T437">
        <v>651664851630.30005</v>
      </c>
      <c r="U437">
        <v>654704472711.93994</v>
      </c>
      <c r="V437">
        <v>6.1237E-2</v>
      </c>
      <c r="W437">
        <v>7.4650000000000003E-3</v>
      </c>
      <c r="Y437" t="s">
        <v>1</v>
      </c>
      <c r="Z437">
        <v>3250</v>
      </c>
      <c r="AA437">
        <v>108</v>
      </c>
      <c r="AB437">
        <v>5501</v>
      </c>
      <c r="AC437">
        <v>0</v>
      </c>
      <c r="AD437">
        <v>102279523304</v>
      </c>
      <c r="AE437">
        <v>275262799.68000001</v>
      </c>
      <c r="AF437">
        <v>101483939525.78999</v>
      </c>
      <c r="AG437">
        <v>101889305452.03999</v>
      </c>
      <c r="AH437">
        <v>5.9367000000000003E-2</v>
      </c>
      <c r="AI437">
        <v>1.3403999999999999E-2</v>
      </c>
    </row>
    <row r="438" spans="13:35" x14ac:dyDescent="0.35">
      <c r="M438" t="s">
        <v>0</v>
      </c>
      <c r="N438">
        <v>4250</v>
      </c>
      <c r="O438">
        <v>108</v>
      </c>
      <c r="P438">
        <v>58125</v>
      </c>
      <c r="Q438">
        <v>0</v>
      </c>
      <c r="R438">
        <v>778214307710</v>
      </c>
      <c r="S438">
        <v>1874049462.7</v>
      </c>
      <c r="T438">
        <v>771507479420.64001</v>
      </c>
      <c r="U438">
        <v>775540082356.08997</v>
      </c>
      <c r="V438">
        <v>7.2027999999999995E-2</v>
      </c>
      <c r="W438">
        <v>1.2269E-2</v>
      </c>
      <c r="Y438" t="s">
        <v>0</v>
      </c>
      <c r="Z438">
        <v>4250</v>
      </c>
      <c r="AA438">
        <v>108</v>
      </c>
      <c r="AB438">
        <v>58894</v>
      </c>
      <c r="AC438">
        <v>0</v>
      </c>
      <c r="AD438">
        <v>789353476683</v>
      </c>
      <c r="AE438">
        <v>1897876712.01</v>
      </c>
      <c r="AF438">
        <v>783314710871.09998</v>
      </c>
      <c r="AG438">
        <v>786972319931.34998</v>
      </c>
      <c r="AH438">
        <v>6.1165999999999998E-2</v>
      </c>
      <c r="AI438">
        <v>7.3220000000000004E-3</v>
      </c>
    </row>
    <row r="439" spans="13:35" x14ac:dyDescent="0.35">
      <c r="M439" t="s">
        <v>2</v>
      </c>
      <c r="N439">
        <v>4250</v>
      </c>
      <c r="O439">
        <v>108</v>
      </c>
      <c r="P439">
        <v>8522</v>
      </c>
      <c r="Q439">
        <v>0</v>
      </c>
      <c r="R439">
        <v>90191807104</v>
      </c>
      <c r="S439">
        <v>217764967.44</v>
      </c>
      <c r="T439">
        <v>89425920926.470001</v>
      </c>
      <c r="U439">
        <v>89967919043.089996</v>
      </c>
      <c r="V439">
        <v>7.0539000000000004E-2</v>
      </c>
      <c r="W439">
        <v>8.1400000000000005E-4</v>
      </c>
      <c r="Y439" t="s">
        <v>2</v>
      </c>
      <c r="Z439">
        <v>3250</v>
      </c>
      <c r="AA439">
        <v>108</v>
      </c>
      <c r="AB439">
        <v>729</v>
      </c>
      <c r="AC439">
        <v>0</v>
      </c>
      <c r="AD439">
        <v>8325770262</v>
      </c>
      <c r="AE439">
        <v>22394793.140000001</v>
      </c>
      <c r="AF439">
        <v>8253791970.8400002</v>
      </c>
      <c r="AG439">
        <v>8303375468.8599997</v>
      </c>
      <c r="AH439">
        <v>6.9169999999999995E-2</v>
      </c>
      <c r="AI439">
        <v>0</v>
      </c>
    </row>
    <row r="440" spans="13:35" x14ac:dyDescent="0.35">
      <c r="M440" t="s">
        <v>2</v>
      </c>
      <c r="N440">
        <v>5000</v>
      </c>
      <c r="O440">
        <v>108</v>
      </c>
      <c r="P440">
        <v>242</v>
      </c>
      <c r="Q440">
        <v>0</v>
      </c>
      <c r="R440">
        <v>2139985614</v>
      </c>
      <c r="S440">
        <v>4720901.67</v>
      </c>
      <c r="T440">
        <v>2096504480.78</v>
      </c>
      <c r="U440">
        <v>2135264712.3299999</v>
      </c>
      <c r="V440">
        <v>0.19695199999999999</v>
      </c>
      <c r="W440">
        <v>0</v>
      </c>
      <c r="Y440" t="s">
        <v>2</v>
      </c>
      <c r="Z440">
        <v>3750</v>
      </c>
      <c r="AA440">
        <v>108</v>
      </c>
      <c r="AB440">
        <v>9021</v>
      </c>
      <c r="AC440">
        <v>0</v>
      </c>
      <c r="AD440">
        <v>106357261443</v>
      </c>
      <c r="AE440">
        <v>270217785.72000003</v>
      </c>
      <c r="AF440">
        <v>105502811166.98</v>
      </c>
      <c r="AG440">
        <v>106056509757.03999</v>
      </c>
      <c r="AH440">
        <v>6.3962000000000005E-2</v>
      </c>
      <c r="AI440">
        <v>3.4399999999999999E-3</v>
      </c>
    </row>
    <row r="441" spans="13:35" x14ac:dyDescent="0.35">
      <c r="M441" t="s">
        <v>1</v>
      </c>
      <c r="N441">
        <v>3750</v>
      </c>
      <c r="O441">
        <v>120</v>
      </c>
      <c r="P441">
        <v>20955</v>
      </c>
      <c r="Q441">
        <v>0</v>
      </c>
      <c r="R441">
        <v>328995404368</v>
      </c>
      <c r="S441">
        <v>902291109.75999999</v>
      </c>
      <c r="T441">
        <v>326041605488.34003</v>
      </c>
      <c r="U441">
        <v>327861545557.5</v>
      </c>
      <c r="V441">
        <v>7.2314000000000003E-2</v>
      </c>
      <c r="W441">
        <v>8.4139999999999996E-3</v>
      </c>
      <c r="Y441" t="s">
        <v>0</v>
      </c>
      <c r="Z441">
        <v>3750</v>
      </c>
      <c r="AA441">
        <v>108</v>
      </c>
      <c r="AB441">
        <v>45964</v>
      </c>
      <c r="AC441">
        <v>0</v>
      </c>
      <c r="AD441">
        <v>699400171261</v>
      </c>
      <c r="AE441">
        <v>1781581375.0799999</v>
      </c>
      <c r="AF441">
        <v>694098837213.19995</v>
      </c>
      <c r="AG441">
        <v>697265035073.46997</v>
      </c>
      <c r="AH441">
        <v>5.8747000000000001E-2</v>
      </c>
      <c r="AI441">
        <v>6.0489999999999997E-3</v>
      </c>
    </row>
    <row r="442" spans="13:35" x14ac:dyDescent="0.35">
      <c r="M442" t="s">
        <v>3</v>
      </c>
      <c r="N442">
        <v>4000</v>
      </c>
      <c r="O442">
        <v>108</v>
      </c>
      <c r="P442">
        <v>403</v>
      </c>
      <c r="Q442">
        <v>0</v>
      </c>
      <c r="R442">
        <v>5942172390</v>
      </c>
      <c r="S442">
        <v>14759664.890000001</v>
      </c>
      <c r="T442">
        <v>5927412725.1099997</v>
      </c>
      <c r="U442">
        <v>5927412725.1099997</v>
      </c>
      <c r="V442">
        <v>0</v>
      </c>
      <c r="W442">
        <v>0</v>
      </c>
      <c r="Y442" t="s">
        <v>2</v>
      </c>
      <c r="Z442">
        <v>4250</v>
      </c>
      <c r="AA442">
        <v>108</v>
      </c>
      <c r="AB442">
        <v>8751</v>
      </c>
      <c r="AC442">
        <v>0</v>
      </c>
      <c r="AD442">
        <v>92170939976</v>
      </c>
      <c r="AE442">
        <v>222170351.56</v>
      </c>
      <c r="AF442">
        <v>91362146027.059998</v>
      </c>
      <c r="AG442">
        <v>91891879792.639999</v>
      </c>
      <c r="AH442">
        <v>7.3757000000000003E-2</v>
      </c>
      <c r="AI442">
        <v>7.3819999999999997E-3</v>
      </c>
    </row>
    <row r="443" spans="13:35" x14ac:dyDescent="0.35">
      <c r="M443" t="s">
        <v>1</v>
      </c>
      <c r="N443">
        <v>3250</v>
      </c>
      <c r="O443">
        <v>108</v>
      </c>
      <c r="P443">
        <v>5293</v>
      </c>
      <c r="Q443">
        <v>0</v>
      </c>
      <c r="R443">
        <v>97992145012</v>
      </c>
      <c r="S443">
        <v>264361325.31</v>
      </c>
      <c r="T443">
        <v>97180324467.729996</v>
      </c>
      <c r="U443">
        <v>97727783686.690002</v>
      </c>
      <c r="V443">
        <v>6.5018999999999993E-2</v>
      </c>
      <c r="W443">
        <v>0</v>
      </c>
      <c r="Y443" t="s">
        <v>1</v>
      </c>
      <c r="Z443">
        <v>3750</v>
      </c>
      <c r="AA443">
        <v>120</v>
      </c>
      <c r="AB443">
        <v>21637</v>
      </c>
      <c r="AC443">
        <v>0</v>
      </c>
      <c r="AD443">
        <v>337683750457</v>
      </c>
      <c r="AE443">
        <v>926588423.45000005</v>
      </c>
      <c r="AF443">
        <v>334832902169.14001</v>
      </c>
      <c r="AG443">
        <v>336551008875.38</v>
      </c>
      <c r="AH443">
        <v>6.6278000000000004E-2</v>
      </c>
      <c r="AI443">
        <v>7.3010000000000002E-3</v>
      </c>
    </row>
    <row r="444" spans="13:35" x14ac:dyDescent="0.35">
      <c r="M444" t="s">
        <v>1</v>
      </c>
      <c r="N444">
        <v>3750</v>
      </c>
      <c r="O444">
        <v>108</v>
      </c>
      <c r="P444">
        <v>23755</v>
      </c>
      <c r="Q444">
        <v>0</v>
      </c>
      <c r="R444">
        <v>429768411870</v>
      </c>
      <c r="S444">
        <v>1095943089.23</v>
      </c>
      <c r="T444">
        <v>425912259039.35999</v>
      </c>
      <c r="U444">
        <v>428560180217.91998</v>
      </c>
      <c r="V444">
        <v>7.4406E-2</v>
      </c>
      <c r="W444">
        <v>3.1310000000000001E-3</v>
      </c>
      <c r="Y444" t="s">
        <v>1</v>
      </c>
      <c r="Z444">
        <v>3750</v>
      </c>
      <c r="AA444">
        <v>108</v>
      </c>
      <c r="AB444">
        <v>24416</v>
      </c>
      <c r="AC444">
        <v>0</v>
      </c>
      <c r="AD444">
        <v>441621319149</v>
      </c>
      <c r="AE444">
        <v>1123935091.7</v>
      </c>
      <c r="AF444">
        <v>437307348521.17999</v>
      </c>
      <c r="AG444">
        <v>440311387123.53003</v>
      </c>
      <c r="AH444">
        <v>8.3319000000000004E-2</v>
      </c>
      <c r="AI444">
        <v>5.0419999999999996E-3</v>
      </c>
    </row>
    <row r="445" spans="13:35" x14ac:dyDescent="0.35">
      <c r="M445" t="s">
        <v>0</v>
      </c>
      <c r="N445">
        <v>4750</v>
      </c>
      <c r="O445">
        <v>108</v>
      </c>
      <c r="P445">
        <v>21558</v>
      </c>
      <c r="Q445">
        <v>0</v>
      </c>
      <c r="R445">
        <v>274192779974</v>
      </c>
      <c r="S445">
        <v>620452784.22000003</v>
      </c>
      <c r="T445">
        <v>271993118944.67999</v>
      </c>
      <c r="U445">
        <v>273360300581.66</v>
      </c>
      <c r="V445">
        <v>6.6965999999999998E-2</v>
      </c>
      <c r="W445">
        <v>9.2399999999999999E-3</v>
      </c>
      <c r="Y445" t="s">
        <v>3</v>
      </c>
      <c r="Z445">
        <v>4000</v>
      </c>
      <c r="AA445">
        <v>108</v>
      </c>
      <c r="AB445">
        <v>416</v>
      </c>
      <c r="AC445">
        <v>0</v>
      </c>
      <c r="AD445">
        <v>6094123523</v>
      </c>
      <c r="AE445">
        <v>15098876.35</v>
      </c>
      <c r="AF445">
        <v>6027230894.3100004</v>
      </c>
      <c r="AG445">
        <v>6079024646.6499996</v>
      </c>
      <c r="AH445">
        <v>9.7352999999999995E-2</v>
      </c>
      <c r="AI445">
        <v>0</v>
      </c>
    </row>
    <row r="446" spans="13:35" x14ac:dyDescent="0.35">
      <c r="M446" t="s">
        <v>2</v>
      </c>
      <c r="N446">
        <v>3250</v>
      </c>
      <c r="O446">
        <v>108</v>
      </c>
      <c r="P446">
        <v>740</v>
      </c>
      <c r="Q446">
        <v>0</v>
      </c>
      <c r="R446">
        <v>8425538948</v>
      </c>
      <c r="S446">
        <v>22707804.170000002</v>
      </c>
      <c r="T446">
        <v>8360159690.29</v>
      </c>
      <c r="U446">
        <v>8402831143.8299999</v>
      </c>
      <c r="V446">
        <v>5.9110000000000003E-2</v>
      </c>
      <c r="W446">
        <v>0</v>
      </c>
      <c r="Y446" t="s">
        <v>0</v>
      </c>
      <c r="Z446">
        <v>4750</v>
      </c>
      <c r="AA446">
        <v>108</v>
      </c>
      <c r="AB446">
        <v>21126</v>
      </c>
      <c r="AC446">
        <v>0</v>
      </c>
      <c r="AD446">
        <v>266683752433</v>
      </c>
      <c r="AE446">
        <v>602941705.53999996</v>
      </c>
      <c r="AF446">
        <v>264297973922.79999</v>
      </c>
      <c r="AG446">
        <v>265792196453.97</v>
      </c>
      <c r="AH446">
        <v>7.7338000000000004E-2</v>
      </c>
      <c r="AI446">
        <v>1.291E-2</v>
      </c>
    </row>
    <row r="447" spans="13:35" x14ac:dyDescent="0.35">
      <c r="M447" t="s">
        <v>2</v>
      </c>
      <c r="N447">
        <v>4750</v>
      </c>
      <c r="O447">
        <v>108</v>
      </c>
      <c r="P447">
        <v>2694</v>
      </c>
      <c r="Q447">
        <v>0</v>
      </c>
      <c r="R447">
        <v>23507048408</v>
      </c>
      <c r="S447">
        <v>53253386.030000001</v>
      </c>
      <c r="T447">
        <v>23295533254.360001</v>
      </c>
      <c r="U447">
        <v>23422930044.419998</v>
      </c>
      <c r="V447">
        <v>7.7865000000000004E-2</v>
      </c>
      <c r="W447">
        <v>1.5643000000000001E-2</v>
      </c>
      <c r="Y447" t="s">
        <v>2</v>
      </c>
      <c r="Z447">
        <v>4750</v>
      </c>
      <c r="AA447">
        <v>108</v>
      </c>
      <c r="AB447">
        <v>2526</v>
      </c>
      <c r="AC447">
        <v>0</v>
      </c>
      <c r="AD447">
        <v>21706667702</v>
      </c>
      <c r="AE447">
        <v>49264766.270000003</v>
      </c>
      <c r="AF447">
        <v>21518160628.23</v>
      </c>
      <c r="AG447">
        <v>21657402935.73</v>
      </c>
      <c r="AH447">
        <v>7.4317999999999995E-2</v>
      </c>
      <c r="AI447">
        <v>0</v>
      </c>
    </row>
    <row r="448" spans="13:35" x14ac:dyDescent="0.35">
      <c r="M448" t="s">
        <v>1</v>
      </c>
      <c r="N448">
        <v>4750</v>
      </c>
      <c r="O448">
        <v>108</v>
      </c>
      <c r="P448">
        <v>2470</v>
      </c>
      <c r="Q448">
        <v>0</v>
      </c>
      <c r="R448">
        <v>32576316305</v>
      </c>
      <c r="S448">
        <v>73695273.769999996</v>
      </c>
      <c r="T448">
        <v>32215865651.560001</v>
      </c>
      <c r="U448">
        <v>32424213150.580002</v>
      </c>
      <c r="V448">
        <v>0.100664</v>
      </c>
      <c r="W448">
        <v>2.8503000000000001E-2</v>
      </c>
      <c r="Y448" t="s">
        <v>1</v>
      </c>
      <c r="Z448">
        <v>4750</v>
      </c>
      <c r="AA448">
        <v>108</v>
      </c>
      <c r="AB448">
        <v>2392</v>
      </c>
      <c r="AC448">
        <v>0</v>
      </c>
      <c r="AD448">
        <v>31174004265</v>
      </c>
      <c r="AE448">
        <v>70493237.010000005</v>
      </c>
      <c r="AF448">
        <v>30756436398.23</v>
      </c>
      <c r="AG448">
        <v>30976840226.57</v>
      </c>
      <c r="AH448">
        <v>0.125717</v>
      </c>
      <c r="AI448">
        <v>4.7684999999999998E-2</v>
      </c>
    </row>
    <row r="449" spans="13:35" x14ac:dyDescent="0.35">
      <c r="M449" t="s">
        <v>1</v>
      </c>
      <c r="N449">
        <v>4250</v>
      </c>
      <c r="O449">
        <v>108</v>
      </c>
      <c r="P449">
        <v>9232</v>
      </c>
      <c r="Q449">
        <v>0</v>
      </c>
      <c r="R449">
        <v>138514665930</v>
      </c>
      <c r="S449">
        <v>334206102.10000002</v>
      </c>
      <c r="T449">
        <v>137319797263.69</v>
      </c>
      <c r="U449">
        <v>138042471908.29999</v>
      </c>
      <c r="V449">
        <v>7.2066000000000005E-2</v>
      </c>
      <c r="W449">
        <v>1.1889E-2</v>
      </c>
      <c r="Y449" t="s">
        <v>1</v>
      </c>
      <c r="Z449">
        <v>4250</v>
      </c>
      <c r="AA449">
        <v>108</v>
      </c>
      <c r="AB449">
        <v>9347</v>
      </c>
      <c r="AC449">
        <v>0</v>
      </c>
      <c r="AD449">
        <v>139780319808</v>
      </c>
      <c r="AE449">
        <v>337057652.68000001</v>
      </c>
      <c r="AF449">
        <v>138474005278.64001</v>
      </c>
      <c r="AG449">
        <v>139361780931.32999</v>
      </c>
      <c r="AH449">
        <v>8.0109E-2</v>
      </c>
      <c r="AI449">
        <v>6.973E-3</v>
      </c>
    </row>
    <row r="450" spans="13:35" x14ac:dyDescent="0.35">
      <c r="M450" t="s">
        <v>1</v>
      </c>
      <c r="N450">
        <v>5500</v>
      </c>
      <c r="O450">
        <v>96</v>
      </c>
      <c r="P450">
        <v>1377</v>
      </c>
      <c r="Q450">
        <v>0</v>
      </c>
      <c r="R450">
        <v>18272898812</v>
      </c>
      <c r="S450">
        <v>34599145.420000002</v>
      </c>
      <c r="T450">
        <v>17953056528.209999</v>
      </c>
      <c r="U450">
        <v>18153059010.139999</v>
      </c>
      <c r="V450">
        <v>0.17204800000000001</v>
      </c>
      <c r="W450">
        <v>5.4564000000000001E-2</v>
      </c>
      <c r="Y450" t="s">
        <v>1</v>
      </c>
      <c r="Z450">
        <v>5500</v>
      </c>
      <c r="AA450">
        <v>96</v>
      </c>
      <c r="AB450">
        <v>1339</v>
      </c>
      <c r="AC450">
        <v>0</v>
      </c>
      <c r="AD450">
        <v>17725614622</v>
      </c>
      <c r="AE450">
        <v>33409251.530000001</v>
      </c>
      <c r="AF450">
        <v>17554127926.610001</v>
      </c>
      <c r="AG450">
        <v>17684054193.09</v>
      </c>
      <c r="AH450">
        <v>8.9574000000000001E-2</v>
      </c>
      <c r="AI450">
        <v>5.5040000000000002E-3</v>
      </c>
    </row>
    <row r="451" spans="13:35" x14ac:dyDescent="0.35">
      <c r="M451" t="s">
        <v>3</v>
      </c>
      <c r="N451">
        <v>5000</v>
      </c>
      <c r="O451">
        <v>108</v>
      </c>
      <c r="P451">
        <v>15</v>
      </c>
      <c r="Q451">
        <v>0</v>
      </c>
      <c r="R451">
        <v>172253071</v>
      </c>
      <c r="S451">
        <v>373657.25</v>
      </c>
      <c r="T451">
        <v>171879413.75</v>
      </c>
      <c r="U451">
        <v>171879413.75</v>
      </c>
      <c r="V451">
        <v>0</v>
      </c>
      <c r="W451">
        <v>0</v>
      </c>
      <c r="Y451" t="s">
        <v>3</v>
      </c>
      <c r="Z451">
        <v>5000</v>
      </c>
      <c r="AA451">
        <v>108</v>
      </c>
      <c r="AB451">
        <v>12</v>
      </c>
      <c r="AC451">
        <v>0</v>
      </c>
      <c r="AD451">
        <v>126432596</v>
      </c>
      <c r="AE451">
        <v>276199.53000000003</v>
      </c>
      <c r="AF451">
        <v>126156396.47</v>
      </c>
      <c r="AG451">
        <v>126156396.47</v>
      </c>
      <c r="AH451">
        <v>0</v>
      </c>
      <c r="AI451">
        <v>0</v>
      </c>
    </row>
    <row r="452" spans="13:35" x14ac:dyDescent="0.35">
      <c r="M452" t="s">
        <v>2</v>
      </c>
      <c r="N452">
        <v>5500</v>
      </c>
      <c r="O452">
        <v>96</v>
      </c>
      <c r="P452">
        <v>1633</v>
      </c>
      <c r="Q452">
        <v>0</v>
      </c>
      <c r="R452">
        <v>15387505085</v>
      </c>
      <c r="S452">
        <v>28907466.039999999</v>
      </c>
      <c r="T452">
        <v>15184979103.719999</v>
      </c>
      <c r="U452">
        <v>15358597618.959999</v>
      </c>
      <c r="V452">
        <v>0.127303</v>
      </c>
      <c r="W452">
        <v>0</v>
      </c>
      <c r="Y452" t="s">
        <v>2</v>
      </c>
      <c r="Z452">
        <v>5500</v>
      </c>
      <c r="AA452">
        <v>96</v>
      </c>
      <c r="AB452">
        <v>1529</v>
      </c>
      <c r="AC452">
        <v>0</v>
      </c>
      <c r="AD452">
        <v>14463595710</v>
      </c>
      <c r="AE452">
        <v>27043312.260000002</v>
      </c>
      <c r="AF452">
        <v>14354291395.08</v>
      </c>
      <c r="AG452">
        <v>14429089438.450001</v>
      </c>
      <c r="AH452">
        <v>6.6154000000000004E-2</v>
      </c>
      <c r="AI452">
        <v>6.1739999999999998E-3</v>
      </c>
    </row>
    <row r="453" spans="13:35" x14ac:dyDescent="0.35">
      <c r="M453" t="s">
        <v>0</v>
      </c>
      <c r="N453">
        <v>6000</v>
      </c>
      <c r="O453">
        <v>96</v>
      </c>
      <c r="P453">
        <v>2215</v>
      </c>
      <c r="Q453">
        <v>0</v>
      </c>
      <c r="R453">
        <v>29163670744</v>
      </c>
      <c r="S453">
        <v>51447863.799999997</v>
      </c>
      <c r="T453">
        <v>28959823861.040001</v>
      </c>
      <c r="U453">
        <v>29043196977</v>
      </c>
      <c r="V453">
        <v>6.0935999999999997E-2</v>
      </c>
      <c r="W453">
        <v>2.8035000000000001E-2</v>
      </c>
      <c r="Y453" t="s">
        <v>0</v>
      </c>
      <c r="Z453">
        <v>6000</v>
      </c>
      <c r="AA453">
        <v>96</v>
      </c>
      <c r="AB453">
        <v>2103</v>
      </c>
      <c r="AC453">
        <v>0</v>
      </c>
      <c r="AD453">
        <v>27638430562</v>
      </c>
      <c r="AE453">
        <v>48590140.68</v>
      </c>
      <c r="AF453">
        <v>27323100136.060001</v>
      </c>
      <c r="AG453">
        <v>27458635229.209999</v>
      </c>
      <c r="AH453">
        <v>0.109859</v>
      </c>
      <c r="AI453">
        <v>5.5502000000000003E-2</v>
      </c>
    </row>
    <row r="454" spans="13:35" x14ac:dyDescent="0.35">
      <c r="M454" t="s">
        <v>0</v>
      </c>
      <c r="N454">
        <v>6000</v>
      </c>
      <c r="O454">
        <v>108</v>
      </c>
      <c r="P454">
        <v>71</v>
      </c>
      <c r="Q454">
        <v>0</v>
      </c>
      <c r="R454">
        <v>760141434</v>
      </c>
      <c r="S454">
        <v>1430959.05</v>
      </c>
      <c r="T454">
        <v>750739786.33000004</v>
      </c>
      <c r="U454">
        <v>758710474.95000005</v>
      </c>
      <c r="V454">
        <v>0.11882</v>
      </c>
      <c r="W454">
        <v>0</v>
      </c>
      <c r="Y454" t="s">
        <v>1</v>
      </c>
      <c r="Z454">
        <v>3750</v>
      </c>
      <c r="AA454">
        <v>96</v>
      </c>
      <c r="AB454">
        <v>2933</v>
      </c>
      <c r="AC454">
        <v>0</v>
      </c>
      <c r="AD454">
        <v>54379917217</v>
      </c>
      <c r="AE454">
        <v>132146147.23</v>
      </c>
      <c r="AF454">
        <v>53981722425.410004</v>
      </c>
      <c r="AG454">
        <v>54247771069.769997</v>
      </c>
      <c r="AH454">
        <v>5.7154999999999997E-2</v>
      </c>
      <c r="AI454">
        <v>0</v>
      </c>
    </row>
    <row r="455" spans="13:35" x14ac:dyDescent="0.35">
      <c r="M455" t="s">
        <v>0</v>
      </c>
      <c r="N455">
        <v>4750</v>
      </c>
      <c r="O455">
        <v>96</v>
      </c>
      <c r="P455">
        <v>42006</v>
      </c>
      <c r="Q455">
        <v>0</v>
      </c>
      <c r="R455">
        <v>594655799703</v>
      </c>
      <c r="S455">
        <v>1252022041.6199999</v>
      </c>
      <c r="T455">
        <v>589667720261.93005</v>
      </c>
      <c r="U455">
        <v>592634749956.66003</v>
      </c>
      <c r="V455">
        <v>7.2841000000000003E-2</v>
      </c>
      <c r="W455">
        <v>1.5409000000000001E-2</v>
      </c>
      <c r="Y455" t="s">
        <v>2</v>
      </c>
      <c r="Z455">
        <v>3750</v>
      </c>
      <c r="AA455">
        <v>96</v>
      </c>
      <c r="AB455">
        <v>882</v>
      </c>
      <c r="AC455">
        <v>0</v>
      </c>
      <c r="AD455">
        <v>10510735143</v>
      </c>
      <c r="AE455">
        <v>25608652.93</v>
      </c>
      <c r="AF455">
        <v>10468699963.209999</v>
      </c>
      <c r="AG455">
        <v>10485126490.07</v>
      </c>
      <c r="AH455">
        <v>1.8593999999999999E-2</v>
      </c>
      <c r="AI455">
        <v>0</v>
      </c>
    </row>
    <row r="456" spans="13:35" x14ac:dyDescent="0.35">
      <c r="M456" t="s">
        <v>2</v>
      </c>
      <c r="N456">
        <v>3750</v>
      </c>
      <c r="O456">
        <v>96</v>
      </c>
      <c r="P456">
        <v>605</v>
      </c>
      <c r="Q456">
        <v>0</v>
      </c>
      <c r="R456">
        <v>7092291538</v>
      </c>
      <c r="S456">
        <v>17246471.18</v>
      </c>
      <c r="T456">
        <v>7043363765.6999998</v>
      </c>
      <c r="U456">
        <v>7053874773.1499996</v>
      </c>
      <c r="V456">
        <v>5.2306999999999999E-2</v>
      </c>
      <c r="W456">
        <v>3.5236999999999997E-2</v>
      </c>
      <c r="Y456" t="s">
        <v>0</v>
      </c>
      <c r="Z456">
        <v>4750</v>
      </c>
      <c r="AA456">
        <v>96</v>
      </c>
      <c r="AB456">
        <v>41536</v>
      </c>
      <c r="AC456">
        <v>0</v>
      </c>
      <c r="AD456">
        <v>585552721874</v>
      </c>
      <c r="AE456">
        <v>1230277748.5899999</v>
      </c>
      <c r="AF456">
        <v>580530414522.02002</v>
      </c>
      <c r="AG456">
        <v>583672205908.69995</v>
      </c>
      <c r="AH456">
        <v>7.5003E-2</v>
      </c>
      <c r="AI456">
        <v>1.3245E-2</v>
      </c>
    </row>
    <row r="457" spans="13:35" x14ac:dyDescent="0.35">
      <c r="M457" t="s">
        <v>0</v>
      </c>
      <c r="N457">
        <v>3750</v>
      </c>
      <c r="O457">
        <v>96</v>
      </c>
      <c r="P457">
        <v>3195</v>
      </c>
      <c r="Q457">
        <v>0</v>
      </c>
      <c r="R457">
        <v>44928464195</v>
      </c>
      <c r="S457">
        <v>108584583.55</v>
      </c>
      <c r="T457">
        <v>44621289930.720001</v>
      </c>
      <c r="U457">
        <v>44772939101.279999</v>
      </c>
      <c r="V457">
        <v>5.1770999999999998E-2</v>
      </c>
      <c r="W457">
        <v>1.2466E-2</v>
      </c>
      <c r="Y457" t="s">
        <v>0</v>
      </c>
      <c r="Z457">
        <v>6000</v>
      </c>
      <c r="AA457">
        <v>108</v>
      </c>
      <c r="AB457">
        <v>37</v>
      </c>
      <c r="AC457">
        <v>0</v>
      </c>
      <c r="AD457">
        <v>368104636</v>
      </c>
      <c r="AE457">
        <v>697010.25</v>
      </c>
      <c r="AF457">
        <v>367407625.75</v>
      </c>
      <c r="AG457">
        <v>367407625.75</v>
      </c>
      <c r="AH457">
        <v>0</v>
      </c>
      <c r="AI457">
        <v>0</v>
      </c>
    </row>
    <row r="458" spans="13:35" x14ac:dyDescent="0.35">
      <c r="M458" t="s">
        <v>0</v>
      </c>
      <c r="N458">
        <v>4250</v>
      </c>
      <c r="O458">
        <v>96</v>
      </c>
      <c r="P458">
        <v>18357</v>
      </c>
      <c r="Q458">
        <v>0</v>
      </c>
      <c r="R458">
        <v>268149390681</v>
      </c>
      <c r="S458">
        <v>606561345.5</v>
      </c>
      <c r="T458">
        <v>266084232662.57001</v>
      </c>
      <c r="U458">
        <v>267307077789.54999</v>
      </c>
      <c r="V458">
        <v>6.3355999999999996E-2</v>
      </c>
      <c r="W458">
        <v>1.0499E-2</v>
      </c>
      <c r="Y458" t="s">
        <v>1</v>
      </c>
      <c r="Z458">
        <v>3250</v>
      </c>
      <c r="AA458">
        <v>96</v>
      </c>
      <c r="AB458">
        <v>299</v>
      </c>
      <c r="AC458">
        <v>0</v>
      </c>
      <c r="AD458">
        <v>5162298460</v>
      </c>
      <c r="AE458">
        <v>13382781.529999999</v>
      </c>
      <c r="AF458">
        <v>5134458298.8800001</v>
      </c>
      <c r="AG458">
        <v>5134458298.8800001</v>
      </c>
      <c r="AH458">
        <v>3.3093999999999998E-2</v>
      </c>
      <c r="AI458">
        <v>3.3093999999999998E-2</v>
      </c>
    </row>
    <row r="459" spans="13:35" x14ac:dyDescent="0.35">
      <c r="M459" t="s">
        <v>2</v>
      </c>
      <c r="N459">
        <v>4750</v>
      </c>
      <c r="O459">
        <v>96</v>
      </c>
      <c r="P459">
        <v>6598</v>
      </c>
      <c r="Q459">
        <v>0</v>
      </c>
      <c r="R459">
        <v>73419143773</v>
      </c>
      <c r="S459">
        <v>155262057.77000001</v>
      </c>
      <c r="T459">
        <v>72644273145.660004</v>
      </c>
      <c r="U459">
        <v>73215824338.660004</v>
      </c>
      <c r="V459">
        <v>9.6700999999999995E-2</v>
      </c>
      <c r="W459">
        <v>7.8270000000000006E-3</v>
      </c>
      <c r="Y459" t="s">
        <v>0</v>
      </c>
      <c r="Z459">
        <v>4250</v>
      </c>
      <c r="AA459">
        <v>96</v>
      </c>
      <c r="AB459">
        <v>20955</v>
      </c>
      <c r="AC459">
        <v>0</v>
      </c>
      <c r="AD459">
        <v>300310619983</v>
      </c>
      <c r="AE459">
        <v>680357906.47000003</v>
      </c>
      <c r="AF459">
        <v>297732710523.65997</v>
      </c>
      <c r="AG459">
        <v>299334083256.53998</v>
      </c>
      <c r="AH459">
        <v>7.3243000000000003E-2</v>
      </c>
      <c r="AI459">
        <v>1.1771E-2</v>
      </c>
    </row>
    <row r="460" spans="13:35" x14ac:dyDescent="0.35">
      <c r="M460" t="s">
        <v>0</v>
      </c>
      <c r="N460">
        <v>5250</v>
      </c>
      <c r="O460">
        <v>96</v>
      </c>
      <c r="P460">
        <v>26059</v>
      </c>
      <c r="Q460">
        <v>0</v>
      </c>
      <c r="R460">
        <v>362415940123</v>
      </c>
      <c r="S460">
        <v>711707287.63999999</v>
      </c>
      <c r="T460">
        <v>359022398037.28998</v>
      </c>
      <c r="U460">
        <v>361083917459.28003</v>
      </c>
      <c r="V460">
        <v>8.5272000000000001E-2</v>
      </c>
      <c r="W460">
        <v>2.0347000000000001E-2</v>
      </c>
      <c r="Y460" t="s">
        <v>2</v>
      </c>
      <c r="Z460">
        <v>4750</v>
      </c>
      <c r="AA460">
        <v>96</v>
      </c>
      <c r="AB460">
        <v>6485</v>
      </c>
      <c r="AC460">
        <v>0</v>
      </c>
      <c r="AD460">
        <v>71474890830</v>
      </c>
      <c r="AE460">
        <v>150955604.65000001</v>
      </c>
      <c r="AF460">
        <v>70838112187.990005</v>
      </c>
      <c r="AG460">
        <v>71291276675.419998</v>
      </c>
      <c r="AH460">
        <v>7.8584000000000001E-2</v>
      </c>
      <c r="AI460">
        <v>5.4689999999999999E-3</v>
      </c>
    </row>
    <row r="461" spans="13:35" x14ac:dyDescent="0.35">
      <c r="M461" t="s">
        <v>1</v>
      </c>
      <c r="N461">
        <v>3750</v>
      </c>
      <c r="O461">
        <v>96</v>
      </c>
      <c r="P461">
        <v>1923</v>
      </c>
      <c r="Q461">
        <v>0</v>
      </c>
      <c r="R461">
        <v>35960921330</v>
      </c>
      <c r="S461">
        <v>86895298.090000004</v>
      </c>
      <c r="T461">
        <v>35543715725.120003</v>
      </c>
      <c r="U461">
        <v>35820240478.519997</v>
      </c>
      <c r="V461">
        <v>0.104822</v>
      </c>
      <c r="W461">
        <v>1.7801000000000001E-2</v>
      </c>
      <c r="Y461" t="s">
        <v>2</v>
      </c>
      <c r="Z461">
        <v>3250</v>
      </c>
      <c r="AA461">
        <v>96</v>
      </c>
      <c r="AB461">
        <v>96</v>
      </c>
      <c r="AC461">
        <v>0</v>
      </c>
      <c r="AD461">
        <v>1105199025</v>
      </c>
      <c r="AE461">
        <v>2873894.98</v>
      </c>
      <c r="AF461">
        <v>1102325130.02</v>
      </c>
      <c r="AG461">
        <v>1102325130.02</v>
      </c>
      <c r="AH461">
        <v>0</v>
      </c>
      <c r="AI461">
        <v>0</v>
      </c>
    </row>
    <row r="462" spans="13:35" x14ac:dyDescent="0.35">
      <c r="M462" t="s">
        <v>2</v>
      </c>
      <c r="N462">
        <v>4250</v>
      </c>
      <c r="O462">
        <v>96</v>
      </c>
      <c r="P462">
        <v>2572</v>
      </c>
      <c r="Q462">
        <v>0</v>
      </c>
      <c r="R462">
        <v>31328692559</v>
      </c>
      <c r="S462">
        <v>70912549.689999998</v>
      </c>
      <c r="T462">
        <v>31068422080.310001</v>
      </c>
      <c r="U462">
        <v>31228813093.650002</v>
      </c>
      <c r="V462">
        <v>7.0167999999999994E-2</v>
      </c>
      <c r="W462">
        <v>1.1039E-2</v>
      </c>
      <c r="Y462" t="s">
        <v>0</v>
      </c>
      <c r="Z462">
        <v>3750</v>
      </c>
      <c r="AA462">
        <v>96</v>
      </c>
      <c r="AB462">
        <v>4457</v>
      </c>
      <c r="AC462">
        <v>0</v>
      </c>
      <c r="AD462">
        <v>64718578498</v>
      </c>
      <c r="AE462">
        <v>156950207.38999999</v>
      </c>
      <c r="AF462">
        <v>64266285594.910004</v>
      </c>
      <c r="AG462">
        <v>64496369913.279999</v>
      </c>
      <c r="AH462">
        <v>5.3407999999999997E-2</v>
      </c>
      <c r="AI462">
        <v>1.2033E-2</v>
      </c>
    </row>
    <row r="463" spans="13:35" x14ac:dyDescent="0.35">
      <c r="M463" t="s">
        <v>1</v>
      </c>
      <c r="N463">
        <v>4250</v>
      </c>
      <c r="O463">
        <v>96</v>
      </c>
      <c r="P463">
        <v>6894</v>
      </c>
      <c r="Q463">
        <v>0</v>
      </c>
      <c r="R463">
        <v>127318421853</v>
      </c>
      <c r="S463">
        <v>287046523.29000002</v>
      </c>
      <c r="T463">
        <v>126214316092.75999</v>
      </c>
      <c r="U463">
        <v>126892354326.67</v>
      </c>
      <c r="V463">
        <v>7.4348999999999998E-2</v>
      </c>
      <c r="W463">
        <v>1.3025E-2</v>
      </c>
      <c r="Y463" t="s">
        <v>0</v>
      </c>
      <c r="Z463">
        <v>5250</v>
      </c>
      <c r="AA463">
        <v>96</v>
      </c>
      <c r="AB463">
        <v>24477</v>
      </c>
      <c r="AC463">
        <v>0</v>
      </c>
      <c r="AD463">
        <v>340998802892</v>
      </c>
      <c r="AE463">
        <v>668241820.00999999</v>
      </c>
      <c r="AF463">
        <v>338082026126.48999</v>
      </c>
      <c r="AG463">
        <v>339831797823.63</v>
      </c>
      <c r="AH463">
        <v>7.6319999999999999E-2</v>
      </c>
      <c r="AI463">
        <v>1.7410999999999999E-2</v>
      </c>
    </row>
    <row r="464" spans="13:35" x14ac:dyDescent="0.35">
      <c r="M464" t="s">
        <v>1</v>
      </c>
      <c r="N464">
        <v>4750</v>
      </c>
      <c r="O464">
        <v>96</v>
      </c>
      <c r="P464">
        <v>7518</v>
      </c>
      <c r="Q464">
        <v>0</v>
      </c>
      <c r="R464">
        <v>123453847147</v>
      </c>
      <c r="S464">
        <v>260283545.52000001</v>
      </c>
      <c r="T464">
        <v>122327772113.09</v>
      </c>
      <c r="U464">
        <v>123036482680.37</v>
      </c>
      <c r="V464">
        <v>8.0986000000000002E-2</v>
      </c>
      <c r="W464">
        <v>1.5162E-2</v>
      </c>
      <c r="Y464" t="s">
        <v>2</v>
      </c>
      <c r="Z464">
        <v>4250</v>
      </c>
      <c r="AA464">
        <v>96</v>
      </c>
      <c r="AB464">
        <v>2885</v>
      </c>
      <c r="AC464">
        <v>0</v>
      </c>
      <c r="AD464">
        <v>34687856677</v>
      </c>
      <c r="AE464">
        <v>78619943.260000005</v>
      </c>
      <c r="AF464">
        <v>34404396774.099998</v>
      </c>
      <c r="AG464">
        <v>34609236733.739998</v>
      </c>
      <c r="AH464">
        <v>6.8606E-2</v>
      </c>
      <c r="AI464">
        <v>0</v>
      </c>
    </row>
    <row r="465" spans="13:35" x14ac:dyDescent="0.35">
      <c r="M465" t="s">
        <v>2</v>
      </c>
      <c r="N465">
        <v>5250</v>
      </c>
      <c r="O465">
        <v>96</v>
      </c>
      <c r="P465">
        <v>5543</v>
      </c>
      <c r="Q465">
        <v>0</v>
      </c>
      <c r="R465">
        <v>53373086791</v>
      </c>
      <c r="S465">
        <v>104817073.39</v>
      </c>
      <c r="T465">
        <v>52932244100.540001</v>
      </c>
      <c r="U465">
        <v>53246050417.940002</v>
      </c>
      <c r="V465">
        <v>7.2987999999999997E-2</v>
      </c>
      <c r="W465">
        <v>4.9839999999999997E-3</v>
      </c>
      <c r="Y465" t="s">
        <v>1</v>
      </c>
      <c r="Z465">
        <v>4250</v>
      </c>
      <c r="AA465">
        <v>96</v>
      </c>
      <c r="AB465">
        <v>7136</v>
      </c>
      <c r="AC465">
        <v>0</v>
      </c>
      <c r="AD465">
        <v>130395997988</v>
      </c>
      <c r="AE465">
        <v>293804390.32999998</v>
      </c>
      <c r="AF465">
        <v>129151138066.48</v>
      </c>
      <c r="AG465">
        <v>129933382794.08</v>
      </c>
      <c r="AH465">
        <v>8.4096000000000004E-2</v>
      </c>
      <c r="AI465">
        <v>1.5424999999999999E-2</v>
      </c>
    </row>
    <row r="466" spans="13:35" x14ac:dyDescent="0.35">
      <c r="M466" t="s">
        <v>1</v>
      </c>
      <c r="N466">
        <v>5250</v>
      </c>
      <c r="O466">
        <v>96</v>
      </c>
      <c r="P466">
        <v>2931</v>
      </c>
      <c r="Q466">
        <v>0</v>
      </c>
      <c r="R466">
        <v>42137176399</v>
      </c>
      <c r="S466">
        <v>82795499.549999997</v>
      </c>
      <c r="T466">
        <v>41661924998.830002</v>
      </c>
      <c r="U466">
        <v>41848485886</v>
      </c>
      <c r="V466">
        <v>0.106214</v>
      </c>
      <c r="W466">
        <v>5.7084999999999997E-2</v>
      </c>
      <c r="Y466" t="s">
        <v>1</v>
      </c>
      <c r="Z466">
        <v>4750</v>
      </c>
      <c r="AA466">
        <v>96</v>
      </c>
      <c r="AB466">
        <v>7329</v>
      </c>
      <c r="AC466">
        <v>0</v>
      </c>
      <c r="AD466">
        <v>120230150116</v>
      </c>
      <c r="AE466">
        <v>252858397.22999999</v>
      </c>
      <c r="AF466">
        <v>119091612690.36</v>
      </c>
      <c r="AG466">
        <v>119862531252.07001</v>
      </c>
      <c r="AH466">
        <v>8.4903000000000006E-2</v>
      </c>
      <c r="AI466">
        <v>1.1394E-2</v>
      </c>
    </row>
    <row r="467" spans="13:35" x14ac:dyDescent="0.35">
      <c r="M467" t="s">
        <v>1</v>
      </c>
      <c r="N467">
        <v>6000</v>
      </c>
      <c r="O467">
        <v>96</v>
      </c>
      <c r="P467">
        <v>68</v>
      </c>
      <c r="Q467">
        <v>0</v>
      </c>
      <c r="R467">
        <v>861361508</v>
      </c>
      <c r="S467">
        <v>1516202.84</v>
      </c>
      <c r="T467">
        <v>859845305.15999997</v>
      </c>
      <c r="U467">
        <v>859845305.15999997</v>
      </c>
      <c r="V467">
        <v>0</v>
      </c>
      <c r="W467">
        <v>0</v>
      </c>
      <c r="Y467" t="s">
        <v>2</v>
      </c>
      <c r="Z467">
        <v>5250</v>
      </c>
      <c r="AA467">
        <v>96</v>
      </c>
      <c r="AB467">
        <v>4965</v>
      </c>
      <c r="AC467">
        <v>0</v>
      </c>
      <c r="AD467">
        <v>47852586512</v>
      </c>
      <c r="AE467">
        <v>93783662.219999999</v>
      </c>
      <c r="AF467">
        <v>47370281068.059998</v>
      </c>
      <c r="AG467">
        <v>47669598177.489998</v>
      </c>
      <c r="AH467">
        <v>9.3195E-2</v>
      </c>
      <c r="AI467">
        <v>2.2141999999999998E-2</v>
      </c>
    </row>
    <row r="468" spans="13:35" x14ac:dyDescent="0.35">
      <c r="M468" t="s">
        <v>2</v>
      </c>
      <c r="N468">
        <v>4500</v>
      </c>
      <c r="O468">
        <v>84</v>
      </c>
      <c r="P468">
        <v>4851</v>
      </c>
      <c r="Q468">
        <v>0</v>
      </c>
      <c r="R468">
        <v>54667244751</v>
      </c>
      <c r="S468">
        <v>111833743.22</v>
      </c>
      <c r="T468">
        <v>54217781970.690002</v>
      </c>
      <c r="U468">
        <v>54501280451.830002</v>
      </c>
      <c r="V468">
        <v>7.1647000000000002E-2</v>
      </c>
      <c r="W468">
        <v>1.1818E-2</v>
      </c>
      <c r="Y468" t="s">
        <v>1</v>
      </c>
      <c r="Z468">
        <v>5250</v>
      </c>
      <c r="AA468">
        <v>96</v>
      </c>
      <c r="AB468">
        <v>2816</v>
      </c>
      <c r="AC468">
        <v>0</v>
      </c>
      <c r="AD468">
        <v>40225104779</v>
      </c>
      <c r="AE468">
        <v>78820294.75</v>
      </c>
      <c r="AF468">
        <v>39752293871.910004</v>
      </c>
      <c r="AG468">
        <v>40083637464.339996</v>
      </c>
      <c r="AH468">
        <v>0.11140600000000001</v>
      </c>
      <c r="AI468">
        <v>1.8530000000000001E-2</v>
      </c>
    </row>
    <row r="469" spans="13:35" x14ac:dyDescent="0.35">
      <c r="M469" t="s">
        <v>0</v>
      </c>
      <c r="N469">
        <v>5000</v>
      </c>
      <c r="O469">
        <v>84</v>
      </c>
      <c r="P469">
        <v>12862</v>
      </c>
      <c r="Q469">
        <v>0</v>
      </c>
      <c r="R469">
        <v>187728534743</v>
      </c>
      <c r="S469">
        <v>357798840.70999998</v>
      </c>
      <c r="T469">
        <v>186089583342.95999</v>
      </c>
      <c r="U469">
        <v>187035752304.26999</v>
      </c>
      <c r="V469">
        <v>7.8889000000000001E-2</v>
      </c>
      <c r="W469">
        <v>2.1204000000000001E-2</v>
      </c>
      <c r="Y469" t="s">
        <v>0</v>
      </c>
      <c r="Z469">
        <v>5500</v>
      </c>
      <c r="AA469">
        <v>84</v>
      </c>
      <c r="AB469">
        <v>4476</v>
      </c>
      <c r="AC469">
        <v>0</v>
      </c>
      <c r="AD469">
        <v>62339660139</v>
      </c>
      <c r="AE469">
        <v>111734411.66</v>
      </c>
      <c r="AF469">
        <v>61607548416.150002</v>
      </c>
      <c r="AG469">
        <v>62041394006.879997</v>
      </c>
      <c r="AH469">
        <v>0.113095</v>
      </c>
      <c r="AI469">
        <v>3.5320999999999998E-2</v>
      </c>
    </row>
    <row r="470" spans="13:35" x14ac:dyDescent="0.35">
      <c r="M470" t="s">
        <v>2</v>
      </c>
      <c r="N470">
        <v>5000</v>
      </c>
      <c r="O470">
        <v>84</v>
      </c>
      <c r="P470">
        <v>1324</v>
      </c>
      <c r="Q470">
        <v>0</v>
      </c>
      <c r="R470">
        <v>13063569459</v>
      </c>
      <c r="S470">
        <v>25190605.940000001</v>
      </c>
      <c r="T470">
        <v>12963939907.209999</v>
      </c>
      <c r="U470">
        <v>13038378853.059999</v>
      </c>
      <c r="V470">
        <v>6.6276000000000002E-2</v>
      </c>
      <c r="W470">
        <v>0</v>
      </c>
      <c r="Y470" t="s">
        <v>0</v>
      </c>
      <c r="Z470">
        <v>5000</v>
      </c>
      <c r="AA470">
        <v>84</v>
      </c>
      <c r="AB470">
        <v>14396</v>
      </c>
      <c r="AC470">
        <v>0</v>
      </c>
      <c r="AD470">
        <v>207534589801</v>
      </c>
      <c r="AE470">
        <v>395525223.31</v>
      </c>
      <c r="AF470">
        <v>205735141561.09</v>
      </c>
      <c r="AG470">
        <v>206852307868.45001</v>
      </c>
      <c r="AH470">
        <v>7.8224000000000002E-2</v>
      </c>
      <c r="AI470">
        <v>1.6455000000000001E-2</v>
      </c>
    </row>
    <row r="471" spans="13:35" x14ac:dyDescent="0.35">
      <c r="M471" t="s">
        <v>1</v>
      </c>
      <c r="N471">
        <v>5000</v>
      </c>
      <c r="O471">
        <v>84</v>
      </c>
      <c r="P471">
        <v>978</v>
      </c>
      <c r="Q471">
        <v>0</v>
      </c>
      <c r="R471">
        <v>14568664746</v>
      </c>
      <c r="S471">
        <v>27943241.809999999</v>
      </c>
      <c r="T471">
        <v>14372154161.719999</v>
      </c>
      <c r="U471">
        <v>14540721504.190001</v>
      </c>
      <c r="V471">
        <v>0.13034299999999999</v>
      </c>
      <c r="W471">
        <v>0</v>
      </c>
      <c r="Y471" t="s">
        <v>1</v>
      </c>
      <c r="Z471">
        <v>6000</v>
      </c>
      <c r="AA471">
        <v>96</v>
      </c>
      <c r="AB471">
        <v>67</v>
      </c>
      <c r="AC471">
        <v>0</v>
      </c>
      <c r="AD471">
        <v>857829536</v>
      </c>
      <c r="AE471">
        <v>1501269.3</v>
      </c>
      <c r="AF471">
        <v>820026165.02999997</v>
      </c>
      <c r="AG471">
        <v>828965597.53999996</v>
      </c>
      <c r="AH471">
        <v>0.40481400000000001</v>
      </c>
      <c r="AI471">
        <v>0.32227099999999997</v>
      </c>
    </row>
    <row r="472" spans="13:35" x14ac:dyDescent="0.35">
      <c r="M472" t="s">
        <v>0</v>
      </c>
      <c r="N472">
        <v>5500</v>
      </c>
      <c r="O472">
        <v>84</v>
      </c>
      <c r="P472">
        <v>3722</v>
      </c>
      <c r="Q472">
        <v>0</v>
      </c>
      <c r="R472">
        <v>52454580405</v>
      </c>
      <c r="S472">
        <v>94243861.519999996</v>
      </c>
      <c r="T472">
        <v>51980142722.82</v>
      </c>
      <c r="U472">
        <v>52243830740.550003</v>
      </c>
      <c r="V472">
        <v>8.3592E-2</v>
      </c>
      <c r="W472">
        <v>2.6329999999999999E-2</v>
      </c>
      <c r="Y472" t="s">
        <v>2</v>
      </c>
      <c r="Z472">
        <v>5000</v>
      </c>
      <c r="AA472">
        <v>84</v>
      </c>
      <c r="AB472">
        <v>1859</v>
      </c>
      <c r="AC472">
        <v>0</v>
      </c>
      <c r="AD472">
        <v>18750890379</v>
      </c>
      <c r="AE472">
        <v>36200509.07</v>
      </c>
      <c r="AF472">
        <v>18629929290.540001</v>
      </c>
      <c r="AG472">
        <v>18703819261.450001</v>
      </c>
      <c r="AH472">
        <v>5.2915999999999998E-2</v>
      </c>
      <c r="AI472">
        <v>6.9350000000000002E-3</v>
      </c>
    </row>
    <row r="473" spans="13:35" x14ac:dyDescent="0.35">
      <c r="M473" t="s">
        <v>1</v>
      </c>
      <c r="N473">
        <v>5500</v>
      </c>
      <c r="O473">
        <v>84</v>
      </c>
      <c r="P473">
        <v>190</v>
      </c>
      <c r="Q473">
        <v>0</v>
      </c>
      <c r="R473">
        <v>2522819087</v>
      </c>
      <c r="S473">
        <v>4523428.04</v>
      </c>
      <c r="T473">
        <v>2419335286.3499999</v>
      </c>
      <c r="U473">
        <v>2461007638.8299999</v>
      </c>
      <c r="V473">
        <v>0.38133699999999998</v>
      </c>
      <c r="W473">
        <v>0.24091099999999999</v>
      </c>
      <c r="Y473" t="s">
        <v>1</v>
      </c>
      <c r="Z473">
        <v>5000</v>
      </c>
      <c r="AA473">
        <v>84</v>
      </c>
      <c r="AB473">
        <v>1237</v>
      </c>
      <c r="AC473">
        <v>0</v>
      </c>
      <c r="AD473">
        <v>18531465465</v>
      </c>
      <c r="AE473">
        <v>35660951.899999999</v>
      </c>
      <c r="AF473">
        <v>18251515878.66</v>
      </c>
      <c r="AG473">
        <v>18429803343.580002</v>
      </c>
      <c r="AH473">
        <v>0.14720900000000001</v>
      </c>
      <c r="AI473">
        <v>4.1911999999999998E-2</v>
      </c>
    </row>
    <row r="474" spans="13:35" x14ac:dyDescent="0.35">
      <c r="M474" t="s">
        <v>0</v>
      </c>
      <c r="N474">
        <v>6000</v>
      </c>
      <c r="O474">
        <v>84</v>
      </c>
      <c r="P474">
        <v>827</v>
      </c>
      <c r="Q474">
        <v>0</v>
      </c>
      <c r="R474">
        <v>10826163838</v>
      </c>
      <c r="S474">
        <v>18157951.530000001</v>
      </c>
      <c r="T474">
        <v>10676623381.049999</v>
      </c>
      <c r="U474">
        <v>10795971963.719999</v>
      </c>
      <c r="V474">
        <v>0.13628999999999999</v>
      </c>
      <c r="W474">
        <v>1.3257E-2</v>
      </c>
      <c r="Y474" t="s">
        <v>2</v>
      </c>
      <c r="Z474">
        <v>5500</v>
      </c>
      <c r="AA474">
        <v>84</v>
      </c>
      <c r="AB474">
        <v>145</v>
      </c>
      <c r="AC474">
        <v>0</v>
      </c>
      <c r="AD474">
        <v>1354051965</v>
      </c>
      <c r="AE474">
        <v>2472833.65</v>
      </c>
      <c r="AF474">
        <v>1344557847.7</v>
      </c>
      <c r="AG474">
        <v>1351579131.3499999</v>
      </c>
      <c r="AH474">
        <v>6.0479999999999999E-2</v>
      </c>
      <c r="AI474">
        <v>0</v>
      </c>
    </row>
    <row r="475" spans="13:35" x14ac:dyDescent="0.35">
      <c r="M475" t="s">
        <v>2</v>
      </c>
      <c r="N475">
        <v>5500</v>
      </c>
      <c r="O475">
        <v>84</v>
      </c>
      <c r="P475">
        <v>31</v>
      </c>
      <c r="Q475">
        <v>0</v>
      </c>
      <c r="R475">
        <v>306194022</v>
      </c>
      <c r="S475">
        <v>564818.44999999995</v>
      </c>
      <c r="T475">
        <v>305629203.55000001</v>
      </c>
      <c r="U475">
        <v>305629203.55000001</v>
      </c>
      <c r="V475">
        <v>0</v>
      </c>
      <c r="W475">
        <v>0</v>
      </c>
      <c r="Y475" t="s">
        <v>1</v>
      </c>
      <c r="Z475">
        <v>5500</v>
      </c>
      <c r="AA475">
        <v>84</v>
      </c>
      <c r="AB475">
        <v>256</v>
      </c>
      <c r="AC475">
        <v>0</v>
      </c>
      <c r="AD475">
        <v>3424093076</v>
      </c>
      <c r="AE475">
        <v>6141919.8899999997</v>
      </c>
      <c r="AF475">
        <v>3379178950.8899999</v>
      </c>
      <c r="AG475">
        <v>3393709368.1599998</v>
      </c>
      <c r="AH475">
        <v>0.12772900000000001</v>
      </c>
      <c r="AI475">
        <v>8.1725999999999993E-2</v>
      </c>
    </row>
    <row r="476" spans="13:35" x14ac:dyDescent="0.35">
      <c r="M476" t="s">
        <v>1</v>
      </c>
      <c r="N476">
        <v>6000</v>
      </c>
      <c r="O476">
        <v>84</v>
      </c>
      <c r="P476">
        <v>45</v>
      </c>
      <c r="Q476">
        <v>0</v>
      </c>
      <c r="R476">
        <v>534262419</v>
      </c>
      <c r="S476">
        <v>889030.4</v>
      </c>
      <c r="T476">
        <v>519959936.69999999</v>
      </c>
      <c r="U476">
        <v>533373388.60000002</v>
      </c>
      <c r="V476">
        <v>0.26296799999999998</v>
      </c>
      <c r="W476">
        <v>0</v>
      </c>
      <c r="Y476" t="s">
        <v>0</v>
      </c>
      <c r="Z476">
        <v>6000</v>
      </c>
      <c r="AA476">
        <v>84</v>
      </c>
      <c r="AB476">
        <v>992</v>
      </c>
      <c r="AC476">
        <v>0</v>
      </c>
      <c r="AD476">
        <v>13058378633</v>
      </c>
      <c r="AE476">
        <v>21843889.550000001</v>
      </c>
      <c r="AF476">
        <v>12964075304.6</v>
      </c>
      <c r="AG476">
        <v>13036534743.450001</v>
      </c>
      <c r="AH476">
        <v>6.4591999999999997E-2</v>
      </c>
      <c r="AI476">
        <v>0</v>
      </c>
    </row>
    <row r="477" spans="13:35" x14ac:dyDescent="0.35">
      <c r="M477" t="s">
        <v>0</v>
      </c>
      <c r="N477">
        <v>3000</v>
      </c>
      <c r="O477">
        <v>84</v>
      </c>
      <c r="P477">
        <v>5812</v>
      </c>
      <c r="Q477">
        <v>0</v>
      </c>
      <c r="R477">
        <v>123239936974</v>
      </c>
      <c r="S477">
        <v>298976232.08999997</v>
      </c>
      <c r="T477">
        <v>122574826548.17999</v>
      </c>
      <c r="U477">
        <v>122914105664.10001</v>
      </c>
      <c r="V477">
        <v>3.5074000000000001E-2</v>
      </c>
      <c r="W477">
        <v>2.6120000000000002E-3</v>
      </c>
      <c r="Y477" t="s">
        <v>1</v>
      </c>
      <c r="Z477">
        <v>6000</v>
      </c>
      <c r="AA477">
        <v>84</v>
      </c>
      <c r="AB477">
        <v>49</v>
      </c>
      <c r="AC477">
        <v>0</v>
      </c>
      <c r="AD477">
        <v>598072433</v>
      </c>
      <c r="AE477">
        <v>991310.84</v>
      </c>
      <c r="AF477">
        <v>575994697.49000001</v>
      </c>
      <c r="AG477">
        <v>597081122.15999997</v>
      </c>
      <c r="AH477">
        <v>0.34996300000000002</v>
      </c>
      <c r="AI477">
        <v>0</v>
      </c>
    </row>
    <row r="478" spans="13:35" x14ac:dyDescent="0.35">
      <c r="M478" t="s">
        <v>2</v>
      </c>
      <c r="N478">
        <v>4250</v>
      </c>
      <c r="O478">
        <v>84</v>
      </c>
      <c r="P478">
        <v>9704</v>
      </c>
      <c r="Q478">
        <v>0</v>
      </c>
      <c r="R478">
        <v>113117229143</v>
      </c>
      <c r="S478">
        <v>237775432.61000001</v>
      </c>
      <c r="T478">
        <v>112224651080.83</v>
      </c>
      <c r="U478">
        <v>112786471450.86</v>
      </c>
      <c r="V478">
        <v>6.7294999999999994E-2</v>
      </c>
      <c r="W478">
        <v>9.8200000000000006E-3</v>
      </c>
      <c r="Y478" t="s">
        <v>2</v>
      </c>
      <c r="Z478">
        <v>4750</v>
      </c>
      <c r="AA478">
        <v>84</v>
      </c>
      <c r="AB478">
        <v>4748</v>
      </c>
      <c r="AC478">
        <v>0</v>
      </c>
      <c r="AD478">
        <v>52206921714</v>
      </c>
      <c r="AE478">
        <v>103991660.51000001</v>
      </c>
      <c r="AF478">
        <v>51597015859.489998</v>
      </c>
      <c r="AG478">
        <v>52050554608.739998</v>
      </c>
      <c r="AH478">
        <v>0.11028499999999999</v>
      </c>
      <c r="AI478">
        <v>1.1972999999999999E-2</v>
      </c>
    </row>
    <row r="479" spans="13:35" x14ac:dyDescent="0.35">
      <c r="M479" t="s">
        <v>0</v>
      </c>
      <c r="N479">
        <v>4750</v>
      </c>
      <c r="O479">
        <v>84</v>
      </c>
      <c r="P479">
        <v>36663</v>
      </c>
      <c r="Q479">
        <v>0</v>
      </c>
      <c r="R479">
        <v>548584055938</v>
      </c>
      <c r="S479">
        <v>1086114894.29</v>
      </c>
      <c r="T479">
        <v>543862027522.04999</v>
      </c>
      <c r="U479">
        <v>546664883585.15002</v>
      </c>
      <c r="V479">
        <v>7.6698000000000002E-2</v>
      </c>
      <c r="W479">
        <v>1.8071E-2</v>
      </c>
      <c r="Y479" t="s">
        <v>0</v>
      </c>
      <c r="Z479">
        <v>4750</v>
      </c>
      <c r="AA479">
        <v>84</v>
      </c>
      <c r="AB479">
        <v>38171</v>
      </c>
      <c r="AC479">
        <v>0</v>
      </c>
      <c r="AD479">
        <v>572589320895</v>
      </c>
      <c r="AE479">
        <v>1130830633.9300001</v>
      </c>
      <c r="AF479">
        <v>567683861527.07996</v>
      </c>
      <c r="AG479">
        <v>570713417034.75</v>
      </c>
      <c r="AH479">
        <v>7.6300000000000007E-2</v>
      </c>
      <c r="AI479">
        <v>1.5504E-2</v>
      </c>
    </row>
    <row r="480" spans="13:35" x14ac:dyDescent="0.35">
      <c r="M480" t="s">
        <v>0</v>
      </c>
      <c r="N480">
        <v>5250</v>
      </c>
      <c r="O480">
        <v>84</v>
      </c>
      <c r="P480">
        <v>13641</v>
      </c>
      <c r="Q480">
        <v>0</v>
      </c>
      <c r="R480">
        <v>191207233600</v>
      </c>
      <c r="S480">
        <v>354162034.04000002</v>
      </c>
      <c r="T480">
        <v>189537183759.62</v>
      </c>
      <c r="U480">
        <v>190636894014.66</v>
      </c>
      <c r="V480">
        <v>7.9529000000000002E-2</v>
      </c>
      <c r="W480">
        <v>1.3483E-2</v>
      </c>
      <c r="Y480" t="s">
        <v>1</v>
      </c>
      <c r="Z480">
        <v>4750</v>
      </c>
      <c r="AA480">
        <v>84</v>
      </c>
      <c r="AB480">
        <v>4040</v>
      </c>
      <c r="AC480">
        <v>0</v>
      </c>
      <c r="AD480">
        <v>64315965593</v>
      </c>
      <c r="AE480">
        <v>127829773.41</v>
      </c>
      <c r="AF480">
        <v>63457827720.529999</v>
      </c>
      <c r="AG480">
        <v>64091272870.919998</v>
      </c>
      <c r="AH480">
        <v>0.12806400000000001</v>
      </c>
      <c r="AI480">
        <v>1.7923999999999999E-2</v>
      </c>
    </row>
    <row r="481" spans="13:35" x14ac:dyDescent="0.35">
      <c r="M481" t="s">
        <v>1</v>
      </c>
      <c r="N481">
        <v>3750</v>
      </c>
      <c r="O481">
        <v>84</v>
      </c>
      <c r="P481">
        <v>27549</v>
      </c>
      <c r="Q481">
        <v>0</v>
      </c>
      <c r="R481">
        <v>570132013443</v>
      </c>
      <c r="S481">
        <v>1274564982.3599999</v>
      </c>
      <c r="T481">
        <v>564910347391.54004</v>
      </c>
      <c r="U481">
        <v>568514622695.34998</v>
      </c>
      <c r="V481">
        <v>7.9986000000000002E-2</v>
      </c>
      <c r="W481">
        <v>7.1919999999999996E-3</v>
      </c>
      <c r="Y481" t="s">
        <v>0</v>
      </c>
      <c r="Z481">
        <v>3000</v>
      </c>
      <c r="AA481">
        <v>84</v>
      </c>
      <c r="AB481">
        <v>4552</v>
      </c>
      <c r="AC481">
        <v>0</v>
      </c>
      <c r="AD481">
        <v>95089935393</v>
      </c>
      <c r="AE481">
        <v>230336990.28</v>
      </c>
      <c r="AF481">
        <v>94415249561.770004</v>
      </c>
      <c r="AG481">
        <v>94834940262.940002</v>
      </c>
      <c r="AH481">
        <v>5.4656000000000003E-2</v>
      </c>
      <c r="AI481">
        <v>3.107E-3</v>
      </c>
    </row>
    <row r="482" spans="13:35" x14ac:dyDescent="0.35">
      <c r="M482" t="s">
        <v>0</v>
      </c>
      <c r="N482">
        <v>4250</v>
      </c>
      <c r="O482">
        <v>84</v>
      </c>
      <c r="P482">
        <v>55716</v>
      </c>
      <c r="Q482">
        <v>0</v>
      </c>
      <c r="R482">
        <v>931364891660</v>
      </c>
      <c r="S482">
        <v>1952856435.29</v>
      </c>
      <c r="T482">
        <v>923593185419.17004</v>
      </c>
      <c r="U482">
        <v>928385418228.68994</v>
      </c>
      <c r="V482">
        <v>7.2449E-2</v>
      </c>
      <c r="W482">
        <v>1.3147000000000001E-2</v>
      </c>
      <c r="Y482" t="s">
        <v>2</v>
      </c>
      <c r="Z482">
        <v>3000</v>
      </c>
      <c r="AA482">
        <v>84</v>
      </c>
      <c r="AB482">
        <v>765</v>
      </c>
      <c r="AC482">
        <v>0</v>
      </c>
      <c r="AD482">
        <v>11466941897</v>
      </c>
      <c r="AE482">
        <v>27773485</v>
      </c>
      <c r="AF482">
        <v>11381391295.780001</v>
      </c>
      <c r="AG482">
        <v>11439168412</v>
      </c>
      <c r="AH482">
        <v>5.8814999999999999E-2</v>
      </c>
      <c r="AI482">
        <v>0</v>
      </c>
    </row>
    <row r="483" spans="13:35" x14ac:dyDescent="0.35">
      <c r="M483" t="s">
        <v>1</v>
      </c>
      <c r="N483">
        <v>5250</v>
      </c>
      <c r="O483">
        <v>84</v>
      </c>
      <c r="P483">
        <v>1025</v>
      </c>
      <c r="Q483">
        <v>0</v>
      </c>
      <c r="R483">
        <v>14972249493</v>
      </c>
      <c r="S483">
        <v>27741577.190000001</v>
      </c>
      <c r="T483">
        <v>14769683884.1</v>
      </c>
      <c r="U483">
        <v>14896934662.030001</v>
      </c>
      <c r="V483">
        <v>0.13146099999999999</v>
      </c>
      <c r="W483">
        <v>3.7470000000000003E-2</v>
      </c>
      <c r="Y483" t="s">
        <v>0</v>
      </c>
      <c r="Z483">
        <v>4250</v>
      </c>
      <c r="AA483">
        <v>84</v>
      </c>
      <c r="AB483">
        <v>54015</v>
      </c>
      <c r="AC483">
        <v>0</v>
      </c>
      <c r="AD483">
        <v>904107054015</v>
      </c>
      <c r="AE483">
        <v>1889935825.9300001</v>
      </c>
      <c r="AF483">
        <v>896626187554.13</v>
      </c>
      <c r="AG483">
        <v>901623207964.20996</v>
      </c>
      <c r="AH483">
        <v>7.1734999999999993E-2</v>
      </c>
      <c r="AI483">
        <v>7.8539999999999999E-3</v>
      </c>
    </row>
    <row r="484" spans="13:35" x14ac:dyDescent="0.35">
      <c r="M484" t="s">
        <v>2</v>
      </c>
      <c r="N484">
        <v>3750</v>
      </c>
      <c r="O484">
        <v>84</v>
      </c>
      <c r="P484">
        <v>11138</v>
      </c>
      <c r="Q484">
        <v>0</v>
      </c>
      <c r="R484">
        <v>151874255324</v>
      </c>
      <c r="S484">
        <v>337197806.05000001</v>
      </c>
      <c r="T484">
        <v>150762410876.91</v>
      </c>
      <c r="U484">
        <v>151508554248.03</v>
      </c>
      <c r="V484">
        <v>5.9519000000000002E-2</v>
      </c>
      <c r="W484">
        <v>2.2499999999999998E-3</v>
      </c>
      <c r="Y484" t="s">
        <v>0</v>
      </c>
      <c r="Z484">
        <v>5250</v>
      </c>
      <c r="AA484">
        <v>84</v>
      </c>
      <c r="AB484">
        <v>15876</v>
      </c>
      <c r="AC484">
        <v>0</v>
      </c>
      <c r="AD484">
        <v>221640767316</v>
      </c>
      <c r="AE484">
        <v>410243377.94</v>
      </c>
      <c r="AF484">
        <v>219524222370.85001</v>
      </c>
      <c r="AG484">
        <v>220811200555.39001</v>
      </c>
      <c r="AH484">
        <v>8.8568999999999995E-2</v>
      </c>
      <c r="AI484">
        <v>2.2467999999999998E-2</v>
      </c>
    </row>
    <row r="485" spans="13:35" x14ac:dyDescent="0.35">
      <c r="M485" t="s">
        <v>0</v>
      </c>
      <c r="N485">
        <v>3750</v>
      </c>
      <c r="O485">
        <v>84</v>
      </c>
      <c r="P485">
        <v>70460</v>
      </c>
      <c r="Q485">
        <v>0</v>
      </c>
      <c r="R485">
        <v>1300056343147</v>
      </c>
      <c r="S485">
        <v>2888030909.1700001</v>
      </c>
      <c r="T485">
        <v>1289583286426.6599</v>
      </c>
      <c r="U485">
        <v>1296457356954.1699</v>
      </c>
      <c r="V485">
        <v>6.7808999999999994E-2</v>
      </c>
      <c r="W485">
        <v>6.5430000000000002E-3</v>
      </c>
      <c r="Y485" t="s">
        <v>2</v>
      </c>
      <c r="Z485">
        <v>4250</v>
      </c>
      <c r="AA485">
        <v>84</v>
      </c>
      <c r="AB485">
        <v>9535</v>
      </c>
      <c r="AC485">
        <v>0</v>
      </c>
      <c r="AD485">
        <v>111757339340</v>
      </c>
      <c r="AE485">
        <v>234049164.58000001</v>
      </c>
      <c r="AF485">
        <v>110705691074.64</v>
      </c>
      <c r="AG485">
        <v>111420078829.7</v>
      </c>
      <c r="AH485">
        <v>8.4342E-2</v>
      </c>
      <c r="AI485">
        <v>1.1025999999999999E-2</v>
      </c>
    </row>
    <row r="486" spans="13:35" x14ac:dyDescent="0.35">
      <c r="M486" t="s">
        <v>2</v>
      </c>
      <c r="N486">
        <v>5250</v>
      </c>
      <c r="O486">
        <v>84</v>
      </c>
      <c r="P486">
        <v>549</v>
      </c>
      <c r="Q486">
        <v>0</v>
      </c>
      <c r="R486">
        <v>5121649874</v>
      </c>
      <c r="S486">
        <v>9631755.4700000007</v>
      </c>
      <c r="T486">
        <v>5069741778.1800003</v>
      </c>
      <c r="U486">
        <v>5100199797.8500004</v>
      </c>
      <c r="V486">
        <v>9.4677999999999998E-2</v>
      </c>
      <c r="W486">
        <v>2.7342000000000002E-2</v>
      </c>
      <c r="Y486" t="s">
        <v>1</v>
      </c>
      <c r="Z486">
        <v>3750</v>
      </c>
      <c r="AA486">
        <v>84</v>
      </c>
      <c r="AB486">
        <v>25092</v>
      </c>
      <c r="AC486">
        <v>0</v>
      </c>
      <c r="AD486">
        <v>522405518946</v>
      </c>
      <c r="AE486">
        <v>1164609838.1099999</v>
      </c>
      <c r="AF486">
        <v>516978848490.37</v>
      </c>
      <c r="AG486">
        <v>520933292226.25</v>
      </c>
      <c r="AH486">
        <v>9.3627000000000002E-2</v>
      </c>
      <c r="AI486">
        <v>7.0429999999999998E-3</v>
      </c>
    </row>
    <row r="487" spans="13:35" x14ac:dyDescent="0.35">
      <c r="M487" t="s">
        <v>1</v>
      </c>
      <c r="N487">
        <v>3250</v>
      </c>
      <c r="O487">
        <v>84</v>
      </c>
      <c r="P487">
        <v>21155</v>
      </c>
      <c r="Q487">
        <v>0</v>
      </c>
      <c r="R487">
        <v>495551210735</v>
      </c>
      <c r="S487">
        <v>1168708089.3499999</v>
      </c>
      <c r="T487">
        <v>491193016811.07001</v>
      </c>
      <c r="U487">
        <v>494216919039.62</v>
      </c>
      <c r="V487">
        <v>7.4559E-2</v>
      </c>
      <c r="W487">
        <v>4.0020000000000003E-3</v>
      </c>
      <c r="Y487" t="s">
        <v>1</v>
      </c>
      <c r="Z487">
        <v>5250</v>
      </c>
      <c r="AA487">
        <v>84</v>
      </c>
      <c r="AB487">
        <v>1220</v>
      </c>
      <c r="AC487">
        <v>0</v>
      </c>
      <c r="AD487">
        <v>18012180633</v>
      </c>
      <c r="AE487">
        <v>33375296.800000001</v>
      </c>
      <c r="AF487">
        <v>17747097612.610001</v>
      </c>
      <c r="AG487">
        <v>17957877712.889999</v>
      </c>
      <c r="AH487">
        <v>0.143901</v>
      </c>
      <c r="AI487">
        <v>1.3854E-2</v>
      </c>
    </row>
    <row r="488" spans="13:35" x14ac:dyDescent="0.35">
      <c r="M488" t="s">
        <v>2</v>
      </c>
      <c r="N488">
        <v>4750</v>
      </c>
      <c r="O488">
        <v>84</v>
      </c>
      <c r="P488">
        <v>4276</v>
      </c>
      <c r="Q488">
        <v>0</v>
      </c>
      <c r="R488">
        <v>46506080509</v>
      </c>
      <c r="S488">
        <v>92914423.790000007</v>
      </c>
      <c r="T488">
        <v>45944185978.989998</v>
      </c>
      <c r="U488">
        <v>46349564999.239998</v>
      </c>
      <c r="V488">
        <v>0.11452</v>
      </c>
      <c r="W488">
        <v>1.6288E-2</v>
      </c>
      <c r="Y488" t="s">
        <v>2</v>
      </c>
      <c r="Z488">
        <v>3750</v>
      </c>
      <c r="AA488">
        <v>84</v>
      </c>
      <c r="AB488">
        <v>9942</v>
      </c>
      <c r="AC488">
        <v>0</v>
      </c>
      <c r="AD488">
        <v>135803413421</v>
      </c>
      <c r="AE488">
        <v>300718748.45999998</v>
      </c>
      <c r="AF488">
        <v>134626248575.22</v>
      </c>
      <c r="AG488">
        <v>135416484515.64</v>
      </c>
      <c r="AH488">
        <v>7.4755000000000002E-2</v>
      </c>
      <c r="AI488">
        <v>7.5909999999999997E-3</v>
      </c>
    </row>
    <row r="489" spans="13:35" x14ac:dyDescent="0.35">
      <c r="M489" t="s">
        <v>1</v>
      </c>
      <c r="N489">
        <v>4750</v>
      </c>
      <c r="O489">
        <v>84</v>
      </c>
      <c r="P489">
        <v>3618</v>
      </c>
      <c r="Q489">
        <v>0</v>
      </c>
      <c r="R489">
        <v>57144787219</v>
      </c>
      <c r="S489">
        <v>113793244.76000001</v>
      </c>
      <c r="T489">
        <v>56580282301.529999</v>
      </c>
      <c r="U489">
        <v>56908507654.550003</v>
      </c>
      <c r="V489">
        <v>9.0647000000000005E-2</v>
      </c>
      <c r="W489">
        <v>2.5420000000000002E-2</v>
      </c>
      <c r="Y489" t="s">
        <v>0</v>
      </c>
      <c r="Z489">
        <v>3750</v>
      </c>
      <c r="AA489">
        <v>84</v>
      </c>
      <c r="AB489">
        <v>61948</v>
      </c>
      <c r="AC489">
        <v>0</v>
      </c>
      <c r="AD489">
        <v>1147941239920</v>
      </c>
      <c r="AE489">
        <v>2543108673.3099999</v>
      </c>
      <c r="AF489">
        <v>1140098310108.8501</v>
      </c>
      <c r="AG489">
        <v>1145021629418.29</v>
      </c>
      <c r="AH489">
        <v>5.4016000000000002E-2</v>
      </c>
      <c r="AI489">
        <v>3.9290000000000002E-3</v>
      </c>
    </row>
    <row r="490" spans="13:35" x14ac:dyDescent="0.35">
      <c r="M490" t="s">
        <v>1</v>
      </c>
      <c r="N490">
        <v>3000</v>
      </c>
      <c r="O490">
        <v>84</v>
      </c>
      <c r="P490">
        <v>10538</v>
      </c>
      <c r="Q490">
        <v>0</v>
      </c>
      <c r="R490">
        <v>258061299968</v>
      </c>
      <c r="S490">
        <v>627406545.04999995</v>
      </c>
      <c r="T490">
        <v>255886476771.98001</v>
      </c>
      <c r="U490">
        <v>257263688681.01999</v>
      </c>
      <c r="V490">
        <v>6.9628999999999996E-2</v>
      </c>
      <c r="W490">
        <v>7.8860000000000006E-3</v>
      </c>
      <c r="Y490" t="s">
        <v>2</v>
      </c>
      <c r="Z490">
        <v>5250</v>
      </c>
      <c r="AA490">
        <v>84</v>
      </c>
      <c r="AB490">
        <v>1184</v>
      </c>
      <c r="AC490">
        <v>0</v>
      </c>
      <c r="AD490">
        <v>11278178513</v>
      </c>
      <c r="AE490">
        <v>21217250.07</v>
      </c>
      <c r="AF490">
        <v>11188890964.01</v>
      </c>
      <c r="AG490">
        <v>11223941577.16</v>
      </c>
      <c r="AH490">
        <v>7.0069999999999993E-2</v>
      </c>
      <c r="AI490">
        <v>3.4573E-2</v>
      </c>
    </row>
    <row r="491" spans="13:35" x14ac:dyDescent="0.35">
      <c r="M491" t="s">
        <v>0</v>
      </c>
      <c r="N491">
        <v>3500</v>
      </c>
      <c r="O491">
        <v>72</v>
      </c>
      <c r="P491">
        <v>60126</v>
      </c>
      <c r="Q491">
        <v>0</v>
      </c>
      <c r="R491">
        <v>1062860321039</v>
      </c>
      <c r="S491">
        <v>2338485653.3299999</v>
      </c>
      <c r="T491">
        <v>1054252241805.8</v>
      </c>
      <c r="U491">
        <v>1059776517945.54</v>
      </c>
      <c r="V491">
        <v>6.8533999999999998E-2</v>
      </c>
      <c r="W491">
        <v>8.3820000000000006E-3</v>
      </c>
      <c r="Y491" t="s">
        <v>1</v>
      </c>
      <c r="Z491">
        <v>3250</v>
      </c>
      <c r="AA491">
        <v>84</v>
      </c>
      <c r="AB491">
        <v>17762</v>
      </c>
      <c r="AC491">
        <v>0</v>
      </c>
      <c r="AD491">
        <v>416000551223</v>
      </c>
      <c r="AE491">
        <v>978808888.92999995</v>
      </c>
      <c r="AF491">
        <v>412383383254.29999</v>
      </c>
      <c r="AG491">
        <v>414852701795.22998</v>
      </c>
      <c r="AH491">
        <v>7.3507000000000003E-2</v>
      </c>
      <c r="AI491">
        <v>4.8650000000000004E-3</v>
      </c>
    </row>
    <row r="492" spans="13:35" x14ac:dyDescent="0.35">
      <c r="M492" t="s">
        <v>2</v>
      </c>
      <c r="N492">
        <v>3500</v>
      </c>
      <c r="O492">
        <v>72</v>
      </c>
      <c r="P492">
        <v>10560</v>
      </c>
      <c r="Q492">
        <v>0</v>
      </c>
      <c r="R492">
        <v>144549566761</v>
      </c>
      <c r="S492">
        <v>320995510.29000002</v>
      </c>
      <c r="T492">
        <v>143109283188.66</v>
      </c>
      <c r="U492">
        <v>144158320018.32999</v>
      </c>
      <c r="V492">
        <v>8.9063000000000003E-2</v>
      </c>
      <c r="W492">
        <v>5.816E-3</v>
      </c>
      <c r="Y492" t="s">
        <v>1</v>
      </c>
      <c r="Z492">
        <v>3000</v>
      </c>
      <c r="AA492">
        <v>84</v>
      </c>
      <c r="AB492">
        <v>8244</v>
      </c>
      <c r="AC492">
        <v>0</v>
      </c>
      <c r="AD492">
        <v>199232732500</v>
      </c>
      <c r="AE492">
        <v>483525277.56</v>
      </c>
      <c r="AF492">
        <v>197701033114.07999</v>
      </c>
      <c r="AG492">
        <v>198618569964.78</v>
      </c>
      <c r="AH492">
        <v>6.1337999999999997E-2</v>
      </c>
      <c r="AI492">
        <v>7.8399999999999997E-3</v>
      </c>
    </row>
    <row r="493" spans="13:35" x14ac:dyDescent="0.35">
      <c r="M493" t="s">
        <v>2</v>
      </c>
      <c r="N493">
        <v>4000</v>
      </c>
      <c r="O493">
        <v>72</v>
      </c>
      <c r="P493">
        <v>2205</v>
      </c>
      <c r="Q493">
        <v>0</v>
      </c>
      <c r="R493">
        <v>26794457166</v>
      </c>
      <c r="S493">
        <v>55747485.159999996</v>
      </c>
      <c r="T493">
        <v>26575868200.470001</v>
      </c>
      <c r="U493">
        <v>26714744499.900002</v>
      </c>
      <c r="V493">
        <v>7.0540000000000005E-2</v>
      </c>
      <c r="W493">
        <v>1.068E-2</v>
      </c>
      <c r="Y493" t="s">
        <v>2</v>
      </c>
      <c r="Z493">
        <v>3500</v>
      </c>
      <c r="AA493">
        <v>72</v>
      </c>
      <c r="AB493">
        <v>11618</v>
      </c>
      <c r="AC493">
        <v>0</v>
      </c>
      <c r="AD493">
        <v>160437305367</v>
      </c>
      <c r="AE493">
        <v>354994647.66000003</v>
      </c>
      <c r="AF493">
        <v>159086867658.22</v>
      </c>
      <c r="AG493">
        <v>159975307524.45999</v>
      </c>
      <c r="AH493">
        <v>7.1966000000000002E-2</v>
      </c>
      <c r="AI493">
        <v>7.9740000000000002E-3</v>
      </c>
    </row>
    <row r="494" spans="13:35" x14ac:dyDescent="0.35">
      <c r="M494" t="s">
        <v>0</v>
      </c>
      <c r="N494">
        <v>5000</v>
      </c>
      <c r="O494">
        <v>72</v>
      </c>
      <c r="P494">
        <v>1727</v>
      </c>
      <c r="Q494">
        <v>0</v>
      </c>
      <c r="R494">
        <v>25919845228</v>
      </c>
      <c r="S494">
        <v>46595250.090000004</v>
      </c>
      <c r="T494">
        <v>25615172849.439999</v>
      </c>
      <c r="U494">
        <v>25836947700.459999</v>
      </c>
      <c r="V494">
        <v>0.11315</v>
      </c>
      <c r="W494">
        <v>1.6677999999999998E-2</v>
      </c>
      <c r="Y494" t="s">
        <v>0</v>
      </c>
      <c r="Z494">
        <v>3500</v>
      </c>
      <c r="AA494">
        <v>72</v>
      </c>
      <c r="AB494">
        <v>65214</v>
      </c>
      <c r="AC494">
        <v>0</v>
      </c>
      <c r="AD494">
        <v>1169397889724</v>
      </c>
      <c r="AE494">
        <v>2568253964.52</v>
      </c>
      <c r="AF494">
        <v>1160083352191.1399</v>
      </c>
      <c r="AG494">
        <v>1166192284135.1101</v>
      </c>
      <c r="AH494">
        <v>6.7072999999999994E-2</v>
      </c>
      <c r="AI494">
        <v>6.5209999999999999E-3</v>
      </c>
    </row>
    <row r="495" spans="13:35" x14ac:dyDescent="0.35">
      <c r="M495" t="s">
        <v>0</v>
      </c>
      <c r="N495">
        <v>4000</v>
      </c>
      <c r="O495">
        <v>72</v>
      </c>
      <c r="P495">
        <v>23625</v>
      </c>
      <c r="Q495">
        <v>0</v>
      </c>
      <c r="R495">
        <v>379550504802</v>
      </c>
      <c r="S495">
        <v>783480689.51999998</v>
      </c>
      <c r="T495">
        <v>376478812705.96002</v>
      </c>
      <c r="U495">
        <v>377967786164.40002</v>
      </c>
      <c r="V495">
        <v>6.9994000000000001E-2</v>
      </c>
      <c r="W495">
        <v>2.4978E-2</v>
      </c>
      <c r="Y495" t="s">
        <v>1</v>
      </c>
      <c r="Z495">
        <v>3500</v>
      </c>
      <c r="AA495">
        <v>72</v>
      </c>
      <c r="AB495">
        <v>25446</v>
      </c>
      <c r="AC495">
        <v>0</v>
      </c>
      <c r="AD495">
        <v>550547675072</v>
      </c>
      <c r="AE495">
        <v>1219664069.46</v>
      </c>
      <c r="AF495">
        <v>545988139602.37</v>
      </c>
      <c r="AG495">
        <v>548978238851.97998</v>
      </c>
      <c r="AH495">
        <v>7.0416999999999993E-2</v>
      </c>
      <c r="AI495">
        <v>7.5969999999999996E-3</v>
      </c>
    </row>
    <row r="496" spans="13:35" x14ac:dyDescent="0.35">
      <c r="M496" t="s">
        <v>1</v>
      </c>
      <c r="N496">
        <v>3500</v>
      </c>
      <c r="O496">
        <v>72</v>
      </c>
      <c r="P496">
        <v>20907</v>
      </c>
      <c r="Q496">
        <v>0</v>
      </c>
      <c r="R496">
        <v>449851892077</v>
      </c>
      <c r="S496">
        <v>998171982.73000002</v>
      </c>
      <c r="T496">
        <v>445674157029</v>
      </c>
      <c r="U496">
        <v>448451440249.26001</v>
      </c>
      <c r="V496">
        <v>8.1596000000000002E-2</v>
      </c>
      <c r="W496">
        <v>1.0678E-2</v>
      </c>
      <c r="Y496" t="s">
        <v>0</v>
      </c>
      <c r="Z496">
        <v>4000</v>
      </c>
      <c r="AA496">
        <v>72</v>
      </c>
      <c r="AB496">
        <v>28327</v>
      </c>
      <c r="AC496">
        <v>0</v>
      </c>
      <c r="AD496">
        <v>451876427345</v>
      </c>
      <c r="AE496">
        <v>932069425.54999995</v>
      </c>
      <c r="AF496">
        <v>448554818643.17999</v>
      </c>
      <c r="AG496">
        <v>450467242163.09998</v>
      </c>
      <c r="AH496">
        <v>6.1643000000000003E-2</v>
      </c>
      <c r="AI496">
        <v>1.2597000000000001E-2</v>
      </c>
    </row>
    <row r="497" spans="13:35" x14ac:dyDescent="0.35">
      <c r="M497" t="s">
        <v>0</v>
      </c>
      <c r="N497">
        <v>4500</v>
      </c>
      <c r="O497">
        <v>72</v>
      </c>
      <c r="P497">
        <v>5789</v>
      </c>
      <c r="Q497">
        <v>0</v>
      </c>
      <c r="R497">
        <v>96038560541</v>
      </c>
      <c r="S497">
        <v>184117989.90000001</v>
      </c>
      <c r="T497">
        <v>95451989715.130005</v>
      </c>
      <c r="U497">
        <v>95790365310.809998</v>
      </c>
      <c r="V497">
        <v>4.9142999999999999E-2</v>
      </c>
      <c r="W497">
        <v>7.9769999999999997E-3</v>
      </c>
      <c r="Y497" t="s">
        <v>2</v>
      </c>
      <c r="Z497">
        <v>4000</v>
      </c>
      <c r="AA497">
        <v>72</v>
      </c>
      <c r="AB497">
        <v>2890</v>
      </c>
      <c r="AC497">
        <v>0</v>
      </c>
      <c r="AD497">
        <v>35334389860</v>
      </c>
      <c r="AE497">
        <v>73363232.709999993</v>
      </c>
      <c r="AF497">
        <v>34925929710.650002</v>
      </c>
      <c r="AG497">
        <v>35207425994.760002</v>
      </c>
      <c r="AH497">
        <v>0.10805099999999999</v>
      </c>
      <c r="AI497">
        <v>1.8051999999999999E-2</v>
      </c>
    </row>
    <row r="498" spans="13:35" x14ac:dyDescent="0.35">
      <c r="M498" t="s">
        <v>2</v>
      </c>
      <c r="N498">
        <v>4500</v>
      </c>
      <c r="O498">
        <v>72</v>
      </c>
      <c r="P498">
        <v>616</v>
      </c>
      <c r="Q498">
        <v>0</v>
      </c>
      <c r="R498">
        <v>6839095842</v>
      </c>
      <c r="S498">
        <v>13294888.91</v>
      </c>
      <c r="T498">
        <v>6743955555.7600002</v>
      </c>
      <c r="U498">
        <v>6803796770.7799997</v>
      </c>
      <c r="V498">
        <v>0.134522</v>
      </c>
      <c r="W498">
        <v>3.7933000000000001E-2</v>
      </c>
      <c r="Y498" t="s">
        <v>1</v>
      </c>
      <c r="Z498">
        <v>4000</v>
      </c>
      <c r="AA498">
        <v>72</v>
      </c>
      <c r="AB498">
        <v>3053</v>
      </c>
      <c r="AC498">
        <v>0</v>
      </c>
      <c r="AD498">
        <v>55435537748</v>
      </c>
      <c r="AE498">
        <v>115054911.93000001</v>
      </c>
      <c r="AF498">
        <v>54758800927.449997</v>
      </c>
      <c r="AG498">
        <v>55105059125.629997</v>
      </c>
      <c r="AH498">
        <v>0.115034</v>
      </c>
      <c r="AI498">
        <v>4.5648000000000001E-2</v>
      </c>
    </row>
    <row r="499" spans="13:35" x14ac:dyDescent="0.35">
      <c r="M499" t="s">
        <v>1</v>
      </c>
      <c r="N499">
        <v>4500</v>
      </c>
      <c r="O499">
        <v>72</v>
      </c>
      <c r="P499">
        <v>606</v>
      </c>
      <c r="Q499">
        <v>0</v>
      </c>
      <c r="R499">
        <v>10171622803</v>
      </c>
      <c r="S499">
        <v>19536636.32</v>
      </c>
      <c r="T499">
        <v>10128937939.41</v>
      </c>
      <c r="U499">
        <v>10152086166.68</v>
      </c>
      <c r="V499">
        <v>2.6970000000000001E-2</v>
      </c>
      <c r="W499">
        <v>0</v>
      </c>
      <c r="Y499" t="s">
        <v>0</v>
      </c>
      <c r="Z499">
        <v>4500</v>
      </c>
      <c r="AA499">
        <v>72</v>
      </c>
      <c r="AB499">
        <v>7103</v>
      </c>
      <c r="AC499">
        <v>0</v>
      </c>
      <c r="AD499">
        <v>118386726845</v>
      </c>
      <c r="AE499">
        <v>226906487.68000001</v>
      </c>
      <c r="AF499">
        <v>117199914187.10001</v>
      </c>
      <c r="AG499">
        <v>118014777443.53</v>
      </c>
      <c r="AH499">
        <v>9.3075000000000005E-2</v>
      </c>
      <c r="AI499">
        <v>1.4603E-2</v>
      </c>
    </row>
    <row r="500" spans="13:35" x14ac:dyDescent="0.35">
      <c r="M500" t="s">
        <v>2</v>
      </c>
      <c r="N500">
        <v>5000</v>
      </c>
      <c r="O500">
        <v>72</v>
      </c>
      <c r="P500">
        <v>145</v>
      </c>
      <c r="Q500">
        <v>0</v>
      </c>
      <c r="R500">
        <v>1609953120</v>
      </c>
      <c r="S500">
        <v>2946603.79</v>
      </c>
      <c r="T500">
        <v>1579213177.1099999</v>
      </c>
      <c r="U500">
        <v>1607006516.21</v>
      </c>
      <c r="V500">
        <v>0.188581</v>
      </c>
      <c r="W500">
        <v>0</v>
      </c>
      <c r="Y500" t="s">
        <v>2</v>
      </c>
      <c r="Z500">
        <v>4500</v>
      </c>
      <c r="AA500">
        <v>72</v>
      </c>
      <c r="AB500">
        <v>740</v>
      </c>
      <c r="AC500">
        <v>0</v>
      </c>
      <c r="AD500">
        <v>8163170133</v>
      </c>
      <c r="AE500">
        <v>15789700.199999999</v>
      </c>
      <c r="AF500">
        <v>8124268872.1000004</v>
      </c>
      <c r="AG500">
        <v>8139509990.6199999</v>
      </c>
      <c r="AH500">
        <v>3.3450000000000001E-2</v>
      </c>
      <c r="AI500">
        <v>1.1509E-2</v>
      </c>
    </row>
    <row r="501" spans="13:35" x14ac:dyDescent="0.35">
      <c r="M501" t="s">
        <v>1</v>
      </c>
      <c r="N501">
        <v>4250</v>
      </c>
      <c r="O501">
        <v>84</v>
      </c>
      <c r="P501">
        <v>10037</v>
      </c>
      <c r="Q501">
        <v>0</v>
      </c>
      <c r="R501">
        <v>178254892711</v>
      </c>
      <c r="S501">
        <v>376798389.88</v>
      </c>
      <c r="T501">
        <v>176440625593.48001</v>
      </c>
      <c r="U501">
        <v>177655240906.39999</v>
      </c>
      <c r="V501">
        <v>9.2591000000000007E-2</v>
      </c>
      <c r="W501">
        <v>1.49E-2</v>
      </c>
      <c r="Y501" t="s">
        <v>0</v>
      </c>
      <c r="Z501">
        <v>5000</v>
      </c>
      <c r="AA501">
        <v>72</v>
      </c>
      <c r="AB501">
        <v>2374</v>
      </c>
      <c r="AC501">
        <v>0</v>
      </c>
      <c r="AD501">
        <v>35706416552</v>
      </c>
      <c r="AE501">
        <v>64171869.539999999</v>
      </c>
      <c r="AF501">
        <v>35293431438.059998</v>
      </c>
      <c r="AG501">
        <v>35562699905.489998</v>
      </c>
      <c r="AH501">
        <v>0.11112900000000001</v>
      </c>
      <c r="AI501">
        <v>2.6408000000000001E-2</v>
      </c>
    </row>
    <row r="502" spans="13:35" x14ac:dyDescent="0.35">
      <c r="M502" t="s">
        <v>0</v>
      </c>
      <c r="N502">
        <v>3250</v>
      </c>
      <c r="O502">
        <v>84</v>
      </c>
      <c r="P502">
        <v>18957</v>
      </c>
      <c r="Q502">
        <v>0</v>
      </c>
      <c r="R502">
        <v>384850584225</v>
      </c>
      <c r="S502">
        <v>906005056.95000005</v>
      </c>
      <c r="T502">
        <v>381901010010.88</v>
      </c>
      <c r="U502">
        <v>383780812241.03003</v>
      </c>
      <c r="V502">
        <v>6.1892000000000003E-2</v>
      </c>
      <c r="W502">
        <v>5.0939999999999996E-3</v>
      </c>
      <c r="Y502" t="s">
        <v>2</v>
      </c>
      <c r="Z502">
        <v>5000</v>
      </c>
      <c r="AA502">
        <v>72</v>
      </c>
      <c r="AB502">
        <v>176</v>
      </c>
      <c r="AC502">
        <v>0</v>
      </c>
      <c r="AD502">
        <v>1896450903</v>
      </c>
      <c r="AE502">
        <v>3450048.05</v>
      </c>
      <c r="AF502">
        <v>1879159151.24</v>
      </c>
      <c r="AG502">
        <v>1893000854.95</v>
      </c>
      <c r="AH502">
        <v>8.4153000000000006E-2</v>
      </c>
      <c r="AI502">
        <v>0</v>
      </c>
    </row>
    <row r="503" spans="13:35" x14ac:dyDescent="0.35">
      <c r="M503" t="s">
        <v>2</v>
      </c>
      <c r="N503">
        <v>3250</v>
      </c>
      <c r="O503">
        <v>84</v>
      </c>
      <c r="P503">
        <v>3033</v>
      </c>
      <c r="Q503">
        <v>0</v>
      </c>
      <c r="R503">
        <v>45778997182</v>
      </c>
      <c r="S503">
        <v>107627776.01000001</v>
      </c>
      <c r="T503">
        <v>45368709091.279999</v>
      </c>
      <c r="U503">
        <v>45671369405.989998</v>
      </c>
      <c r="V503">
        <v>7.6513999999999999E-2</v>
      </c>
      <c r="W503">
        <v>0</v>
      </c>
      <c r="Y503" t="s">
        <v>1</v>
      </c>
      <c r="Z503">
        <v>4500</v>
      </c>
      <c r="AA503">
        <v>72</v>
      </c>
      <c r="AB503">
        <v>735</v>
      </c>
      <c r="AC503">
        <v>0</v>
      </c>
      <c r="AD503">
        <v>12315923835</v>
      </c>
      <c r="AE503">
        <v>23616994.100000001</v>
      </c>
      <c r="AF503">
        <v>12088363981.610001</v>
      </c>
      <c r="AG503">
        <v>12230236040.49</v>
      </c>
      <c r="AH503">
        <v>0.18157599999999999</v>
      </c>
      <c r="AI503">
        <v>5.883E-2</v>
      </c>
    </row>
    <row r="504" spans="13:35" x14ac:dyDescent="0.35">
      <c r="M504" t="s">
        <v>0</v>
      </c>
      <c r="N504">
        <v>4500</v>
      </c>
      <c r="O504">
        <v>48</v>
      </c>
      <c r="P504">
        <v>30724</v>
      </c>
      <c r="Q504">
        <v>0</v>
      </c>
      <c r="R504">
        <v>809160324886</v>
      </c>
      <c r="S504">
        <v>1364690308.99</v>
      </c>
      <c r="T504">
        <v>802465575688.65002</v>
      </c>
      <c r="U504">
        <v>806658060082.5</v>
      </c>
      <c r="V504">
        <v>7.6244000000000006E-2</v>
      </c>
      <c r="W504">
        <v>1.6740999999999999E-2</v>
      </c>
      <c r="Y504" t="s">
        <v>1</v>
      </c>
      <c r="Z504">
        <v>5000</v>
      </c>
      <c r="AA504">
        <v>72</v>
      </c>
      <c r="AB504">
        <v>168</v>
      </c>
      <c r="AC504">
        <v>0</v>
      </c>
      <c r="AD504">
        <v>2878051194</v>
      </c>
      <c r="AE504">
        <v>5176896.5999999996</v>
      </c>
      <c r="AF504">
        <v>2855246531.9400001</v>
      </c>
      <c r="AG504">
        <v>2872874297.4000001</v>
      </c>
      <c r="AH504">
        <v>7.1072999999999997E-2</v>
      </c>
      <c r="AI504">
        <v>0</v>
      </c>
    </row>
    <row r="505" spans="13:35" x14ac:dyDescent="0.35">
      <c r="M505" t="s">
        <v>2</v>
      </c>
      <c r="N505">
        <v>4500</v>
      </c>
      <c r="O505">
        <v>48</v>
      </c>
      <c r="P505">
        <v>1883</v>
      </c>
      <c r="Q505">
        <v>0</v>
      </c>
      <c r="R505">
        <v>32634863527</v>
      </c>
      <c r="S505">
        <v>55233273.859999999</v>
      </c>
      <c r="T505">
        <v>32268196623.84</v>
      </c>
      <c r="U505">
        <v>32499710186.77</v>
      </c>
      <c r="V505">
        <v>0.108692</v>
      </c>
      <c r="W505">
        <v>2.8993999999999999E-2</v>
      </c>
      <c r="Y505" t="s">
        <v>1</v>
      </c>
      <c r="Z505">
        <v>4250</v>
      </c>
      <c r="AA505">
        <v>84</v>
      </c>
      <c r="AB505">
        <v>10220</v>
      </c>
      <c r="AC505">
        <v>0</v>
      </c>
      <c r="AD505">
        <v>182746844122</v>
      </c>
      <c r="AE505">
        <v>385202083.85000002</v>
      </c>
      <c r="AF505">
        <v>180960569328.57999</v>
      </c>
      <c r="AG505">
        <v>181856570405.95999</v>
      </c>
      <c r="AH505">
        <v>8.8219000000000006E-2</v>
      </c>
      <c r="AI505">
        <v>3.2666000000000001E-2</v>
      </c>
    </row>
    <row r="506" spans="13:35" x14ac:dyDescent="0.35">
      <c r="M506" t="s">
        <v>1</v>
      </c>
      <c r="N506">
        <v>4500</v>
      </c>
      <c r="O506">
        <v>48</v>
      </c>
      <c r="P506">
        <v>18779</v>
      </c>
      <c r="Q506">
        <v>0</v>
      </c>
      <c r="R506">
        <v>676311232850</v>
      </c>
      <c r="S506">
        <v>1137226686.6099999</v>
      </c>
      <c r="T506">
        <v>667610118958.31006</v>
      </c>
      <c r="U506">
        <v>674198606594.72998</v>
      </c>
      <c r="V506">
        <v>0.126253</v>
      </c>
      <c r="W506">
        <v>1.7170000000000001E-2</v>
      </c>
      <c r="Y506" t="s">
        <v>0</v>
      </c>
      <c r="Z506">
        <v>3250</v>
      </c>
      <c r="AA506">
        <v>84</v>
      </c>
      <c r="AB506">
        <v>15586</v>
      </c>
      <c r="AC506">
        <v>0</v>
      </c>
      <c r="AD506">
        <v>315982199549</v>
      </c>
      <c r="AE506">
        <v>742050265.47000003</v>
      </c>
      <c r="AF506">
        <v>313688041081.79999</v>
      </c>
      <c r="AG506">
        <v>315222134406.01001</v>
      </c>
      <c r="AH506">
        <v>5.7376999999999997E-2</v>
      </c>
      <c r="AI506">
        <v>6.8400000000000004E-4</v>
      </c>
    </row>
    <row r="507" spans="13:35" x14ac:dyDescent="0.35">
      <c r="M507" t="s">
        <v>0</v>
      </c>
      <c r="N507">
        <v>5000</v>
      </c>
      <c r="O507">
        <v>48</v>
      </c>
      <c r="P507">
        <v>35125</v>
      </c>
      <c r="Q507">
        <v>0</v>
      </c>
      <c r="R507">
        <v>921593768316</v>
      </c>
      <c r="S507">
        <v>1432451995.5699999</v>
      </c>
      <c r="T507">
        <v>914219001534.05005</v>
      </c>
      <c r="U507">
        <v>918577995081.12</v>
      </c>
      <c r="V507">
        <v>7.4689000000000005E-2</v>
      </c>
      <c r="W507">
        <v>2.0423E-2</v>
      </c>
      <c r="Y507" t="s">
        <v>2</v>
      </c>
      <c r="Z507">
        <v>3250</v>
      </c>
      <c r="AA507">
        <v>84</v>
      </c>
      <c r="AB507">
        <v>2481</v>
      </c>
      <c r="AC507">
        <v>0</v>
      </c>
      <c r="AD507">
        <v>37341887173</v>
      </c>
      <c r="AE507">
        <v>87637816.329999998</v>
      </c>
      <c r="AF507">
        <v>37036506726.239998</v>
      </c>
      <c r="AG507">
        <v>37254249356.669998</v>
      </c>
      <c r="AH507">
        <v>6.7771999999999999E-2</v>
      </c>
      <c r="AI507">
        <v>0</v>
      </c>
    </row>
    <row r="508" spans="13:35" x14ac:dyDescent="0.35">
      <c r="M508" t="s">
        <v>1</v>
      </c>
      <c r="N508">
        <v>5000</v>
      </c>
      <c r="O508">
        <v>48</v>
      </c>
      <c r="P508">
        <v>18543</v>
      </c>
      <c r="Q508">
        <v>0</v>
      </c>
      <c r="R508">
        <v>649593245109</v>
      </c>
      <c r="S508">
        <v>1008903720.7</v>
      </c>
      <c r="T508">
        <v>640307602570.44995</v>
      </c>
      <c r="U508">
        <v>647182913678.56006</v>
      </c>
      <c r="V508">
        <v>0.142625</v>
      </c>
      <c r="W508">
        <v>2.5583999999999999E-2</v>
      </c>
      <c r="Y508" t="s">
        <v>0</v>
      </c>
      <c r="Z508">
        <v>4750</v>
      </c>
      <c r="AA508">
        <v>72</v>
      </c>
      <c r="AB508">
        <v>7215</v>
      </c>
      <c r="AC508">
        <v>0</v>
      </c>
      <c r="AD508">
        <v>113988854274</v>
      </c>
      <c r="AE508">
        <v>210162720.06</v>
      </c>
      <c r="AF508">
        <v>113066636453.62</v>
      </c>
      <c r="AG508">
        <v>113654772971.71001</v>
      </c>
      <c r="AH508">
        <v>7.2438000000000002E-2</v>
      </c>
      <c r="AI508">
        <v>1.2968E-2</v>
      </c>
    </row>
    <row r="509" spans="13:35" x14ac:dyDescent="0.35">
      <c r="M509" t="s">
        <v>0</v>
      </c>
      <c r="N509">
        <v>5500</v>
      </c>
      <c r="O509">
        <v>72</v>
      </c>
      <c r="P509">
        <v>187</v>
      </c>
      <c r="Q509">
        <v>0</v>
      </c>
      <c r="R509">
        <v>2497297203</v>
      </c>
      <c r="S509">
        <v>4173446.5</v>
      </c>
      <c r="T509">
        <v>2415048072.04</v>
      </c>
      <c r="U509">
        <v>2456426817.5500002</v>
      </c>
      <c r="V509">
        <v>0.31693100000000002</v>
      </c>
      <c r="W509">
        <v>0.16275999999999999</v>
      </c>
      <c r="Y509" t="s">
        <v>0</v>
      </c>
      <c r="Z509">
        <v>4250</v>
      </c>
      <c r="AA509">
        <v>72</v>
      </c>
      <c r="AB509">
        <v>17763</v>
      </c>
      <c r="AC509">
        <v>0</v>
      </c>
      <c r="AD509">
        <v>300303669644</v>
      </c>
      <c r="AE509">
        <v>593645537.44000006</v>
      </c>
      <c r="AF509">
        <v>297503329765.94</v>
      </c>
      <c r="AG509">
        <v>299314685816.09998</v>
      </c>
      <c r="AH509">
        <v>8.4700999999999999E-2</v>
      </c>
      <c r="AI509">
        <v>1.5684E-2</v>
      </c>
    </row>
    <row r="510" spans="13:35" x14ac:dyDescent="0.35">
      <c r="M510" t="s">
        <v>1</v>
      </c>
      <c r="N510">
        <v>4000</v>
      </c>
      <c r="O510">
        <v>72</v>
      </c>
      <c r="P510">
        <v>2397</v>
      </c>
      <c r="Q510">
        <v>0</v>
      </c>
      <c r="R510">
        <v>43973974884</v>
      </c>
      <c r="S510">
        <v>91311038.140000001</v>
      </c>
      <c r="T510">
        <v>43621873952.650002</v>
      </c>
      <c r="U510">
        <v>43826688399.449997</v>
      </c>
      <c r="V510">
        <v>6.8890999999999994E-2</v>
      </c>
      <c r="W510">
        <v>1.5169E-2</v>
      </c>
      <c r="Y510" t="s">
        <v>0</v>
      </c>
      <c r="Z510">
        <v>4500</v>
      </c>
      <c r="AA510">
        <v>48</v>
      </c>
      <c r="AB510">
        <v>29300</v>
      </c>
      <c r="AC510">
        <v>0</v>
      </c>
      <c r="AD510">
        <v>749048607310</v>
      </c>
      <c r="AE510">
        <v>1261307500.79</v>
      </c>
      <c r="AF510">
        <v>743495608892.83997</v>
      </c>
      <c r="AG510">
        <v>746667002198.70996</v>
      </c>
      <c r="AH510">
        <v>6.6628999999999994E-2</v>
      </c>
      <c r="AI510">
        <v>1.7801000000000001E-2</v>
      </c>
    </row>
    <row r="511" spans="13:35" x14ac:dyDescent="0.35">
      <c r="M511" t="s">
        <v>2</v>
      </c>
      <c r="N511">
        <v>2750</v>
      </c>
      <c r="O511">
        <v>72</v>
      </c>
      <c r="P511">
        <v>22773</v>
      </c>
      <c r="Q511">
        <v>0</v>
      </c>
      <c r="R511">
        <v>368244641099</v>
      </c>
      <c r="S511">
        <v>877848579.13</v>
      </c>
      <c r="T511">
        <v>365217393490.59003</v>
      </c>
      <c r="U511">
        <v>367198139672.04999</v>
      </c>
      <c r="V511">
        <v>6.7836999999999995E-2</v>
      </c>
      <c r="W511">
        <v>5.4819999999999999E-3</v>
      </c>
      <c r="Y511" t="s">
        <v>2</v>
      </c>
      <c r="Z511">
        <v>4500</v>
      </c>
      <c r="AA511">
        <v>48</v>
      </c>
      <c r="AB511">
        <v>1843</v>
      </c>
      <c r="AC511">
        <v>0</v>
      </c>
      <c r="AD511">
        <v>30718473380</v>
      </c>
      <c r="AE511">
        <v>51894251.600000001</v>
      </c>
      <c r="AF511">
        <v>30511586375.52</v>
      </c>
      <c r="AG511">
        <v>30603904287.919998</v>
      </c>
      <c r="AH511">
        <v>5.8895000000000003E-2</v>
      </c>
      <c r="AI511">
        <v>2.4211E-2</v>
      </c>
    </row>
    <row r="512" spans="13:35" x14ac:dyDescent="0.35">
      <c r="M512" t="s">
        <v>1</v>
      </c>
      <c r="N512">
        <v>2750</v>
      </c>
      <c r="O512">
        <v>72</v>
      </c>
      <c r="P512">
        <v>179910</v>
      </c>
      <c r="Q512">
        <v>0</v>
      </c>
      <c r="R512">
        <v>4800952451237</v>
      </c>
      <c r="S512">
        <v>11544601516.91</v>
      </c>
      <c r="T512">
        <v>4762627382992.9199</v>
      </c>
      <c r="U512">
        <v>4788169507833.2305</v>
      </c>
      <c r="V512">
        <v>6.4921999999999994E-2</v>
      </c>
      <c r="W512">
        <v>3.091E-3</v>
      </c>
      <c r="Y512" t="s">
        <v>1</v>
      </c>
      <c r="Z512">
        <v>4500</v>
      </c>
      <c r="AA512">
        <v>48</v>
      </c>
      <c r="AB512">
        <v>16274</v>
      </c>
      <c r="AC512">
        <v>0</v>
      </c>
      <c r="AD512">
        <v>574210321714</v>
      </c>
      <c r="AE512">
        <v>963430120.08000004</v>
      </c>
      <c r="AF512">
        <v>566903558152.87</v>
      </c>
      <c r="AG512">
        <v>571933137072.56006</v>
      </c>
      <c r="AH512">
        <v>0.12479999999999999</v>
      </c>
      <c r="AI512">
        <v>2.7112000000000001E-2</v>
      </c>
    </row>
    <row r="513" spans="13:35" x14ac:dyDescent="0.35">
      <c r="M513" t="s">
        <v>2</v>
      </c>
      <c r="N513">
        <v>3250</v>
      </c>
      <c r="O513">
        <v>72</v>
      </c>
      <c r="P513">
        <v>20893</v>
      </c>
      <c r="Q513">
        <v>0</v>
      </c>
      <c r="R513">
        <v>303277715395</v>
      </c>
      <c r="S513">
        <v>687629217.63</v>
      </c>
      <c r="T513">
        <v>300930933083.40997</v>
      </c>
      <c r="U513">
        <v>302441396231.65997</v>
      </c>
      <c r="V513">
        <v>6.3709000000000002E-2</v>
      </c>
      <c r="W513">
        <v>5.8669999999999998E-3</v>
      </c>
      <c r="Y513" t="s">
        <v>0</v>
      </c>
      <c r="Z513">
        <v>5000</v>
      </c>
      <c r="AA513">
        <v>48</v>
      </c>
      <c r="AB513">
        <v>29806</v>
      </c>
      <c r="AC513">
        <v>0</v>
      </c>
      <c r="AD513">
        <v>777573019829</v>
      </c>
      <c r="AE513">
        <v>1205214597.24</v>
      </c>
      <c r="AF513">
        <v>770869160759.22998</v>
      </c>
      <c r="AG513">
        <v>774630575771.31006</v>
      </c>
      <c r="AH513">
        <v>8.1634999999999999E-2</v>
      </c>
      <c r="AI513">
        <v>2.6483E-2</v>
      </c>
    </row>
    <row r="514" spans="13:35" x14ac:dyDescent="0.35">
      <c r="M514" t="s">
        <v>0</v>
      </c>
      <c r="N514">
        <v>3250</v>
      </c>
      <c r="O514">
        <v>72</v>
      </c>
      <c r="P514">
        <v>161821</v>
      </c>
      <c r="Q514">
        <v>0</v>
      </c>
      <c r="R514">
        <v>3201715104047</v>
      </c>
      <c r="S514">
        <v>7234316245.7399998</v>
      </c>
      <c r="T514">
        <v>3178152907039.1899</v>
      </c>
      <c r="U514">
        <v>3192897597699.2002</v>
      </c>
      <c r="V514">
        <v>5.9508999999999999E-2</v>
      </c>
      <c r="W514">
        <v>5.9179999999999996E-3</v>
      </c>
      <c r="Y514" t="s">
        <v>0</v>
      </c>
      <c r="Z514">
        <v>5000</v>
      </c>
      <c r="AA514">
        <v>42</v>
      </c>
      <c r="AB514">
        <v>14638</v>
      </c>
      <c r="AC514">
        <v>0</v>
      </c>
      <c r="AD514">
        <v>411298351216</v>
      </c>
      <c r="AE514">
        <v>623142477.54999995</v>
      </c>
      <c r="AF514">
        <v>408096781255.32001</v>
      </c>
      <c r="AG514">
        <v>409999322231.21997</v>
      </c>
      <c r="AH514">
        <v>7.2688000000000003E-2</v>
      </c>
      <c r="AI514">
        <v>1.9542E-2</v>
      </c>
    </row>
    <row r="515" spans="13:35" x14ac:dyDescent="0.35">
      <c r="M515" t="s">
        <v>0</v>
      </c>
      <c r="N515">
        <v>3750</v>
      </c>
      <c r="O515">
        <v>72</v>
      </c>
      <c r="P515">
        <v>75352</v>
      </c>
      <c r="Q515">
        <v>0</v>
      </c>
      <c r="R515">
        <v>1314322931827</v>
      </c>
      <c r="S515">
        <v>2797119727.4000001</v>
      </c>
      <c r="T515">
        <v>1303865797023.5701</v>
      </c>
      <c r="U515">
        <v>1310427524669.2</v>
      </c>
      <c r="V515">
        <v>6.7738000000000007E-2</v>
      </c>
      <c r="W515">
        <v>9.9819999999999996E-3</v>
      </c>
      <c r="Y515" t="s">
        <v>1</v>
      </c>
      <c r="Z515">
        <v>5000</v>
      </c>
      <c r="AA515">
        <v>48</v>
      </c>
      <c r="AB515">
        <v>14907</v>
      </c>
      <c r="AC515">
        <v>0</v>
      </c>
      <c r="AD515">
        <v>521529210188</v>
      </c>
      <c r="AE515">
        <v>807751561.50999999</v>
      </c>
      <c r="AF515">
        <v>514782378391.26001</v>
      </c>
      <c r="AG515">
        <v>518965150753.09998</v>
      </c>
      <c r="AH515">
        <v>0.128412</v>
      </c>
      <c r="AI515">
        <v>3.9670999999999998E-2</v>
      </c>
    </row>
    <row r="516" spans="13:35" x14ac:dyDescent="0.35">
      <c r="M516" t="s">
        <v>0</v>
      </c>
      <c r="N516">
        <v>4750</v>
      </c>
      <c r="O516">
        <v>72</v>
      </c>
      <c r="P516">
        <v>5993</v>
      </c>
      <c r="Q516">
        <v>0</v>
      </c>
      <c r="R516">
        <v>94967850497</v>
      </c>
      <c r="S516">
        <v>175089656.99000001</v>
      </c>
      <c r="T516">
        <v>94014903482.339996</v>
      </c>
      <c r="U516">
        <v>94688232269.460007</v>
      </c>
      <c r="V516">
        <v>9.3979999999999994E-2</v>
      </c>
      <c r="W516">
        <v>1.3128000000000001E-2</v>
      </c>
      <c r="Y516" t="s">
        <v>0</v>
      </c>
      <c r="Z516">
        <v>5500</v>
      </c>
      <c r="AA516">
        <v>72</v>
      </c>
      <c r="AB516">
        <v>240</v>
      </c>
      <c r="AC516">
        <v>0</v>
      </c>
      <c r="AD516">
        <v>3305455413</v>
      </c>
      <c r="AE516">
        <v>5513825.4000000004</v>
      </c>
      <c r="AF516">
        <v>3248411886.4699998</v>
      </c>
      <c r="AG516">
        <v>3299941587.5999999</v>
      </c>
      <c r="AH516">
        <v>0.17183699999999999</v>
      </c>
      <c r="AI516">
        <v>0</v>
      </c>
    </row>
    <row r="517" spans="13:35" x14ac:dyDescent="0.35">
      <c r="M517" t="s">
        <v>1</v>
      </c>
      <c r="N517">
        <v>2500</v>
      </c>
      <c r="O517">
        <v>72</v>
      </c>
      <c r="P517">
        <v>118553</v>
      </c>
      <c r="Q517">
        <v>0</v>
      </c>
      <c r="R517">
        <v>3267809961776</v>
      </c>
      <c r="S517">
        <v>8118463071.8500004</v>
      </c>
      <c r="T517">
        <v>3242680827178.21</v>
      </c>
      <c r="U517">
        <v>3258971669777.5698</v>
      </c>
      <c r="V517">
        <v>6.0708999999999999E-2</v>
      </c>
      <c r="W517">
        <v>2.64E-3</v>
      </c>
      <c r="Y517" t="s">
        <v>2</v>
      </c>
      <c r="Z517">
        <v>3750</v>
      </c>
      <c r="AA517">
        <v>72</v>
      </c>
      <c r="AB517">
        <v>10238</v>
      </c>
      <c r="AC517">
        <v>0</v>
      </c>
      <c r="AD517">
        <v>136408811093</v>
      </c>
      <c r="AE517">
        <v>291848410.82999998</v>
      </c>
      <c r="AF517">
        <v>135241447725.25999</v>
      </c>
      <c r="AG517">
        <v>136027404796.74001</v>
      </c>
      <c r="AH517">
        <v>7.4357999999999994E-2</v>
      </c>
      <c r="AI517">
        <v>7.8499999999999993E-3</v>
      </c>
    </row>
    <row r="518" spans="13:35" x14ac:dyDescent="0.35">
      <c r="M518" t="s">
        <v>2</v>
      </c>
      <c r="N518">
        <v>2500</v>
      </c>
      <c r="O518">
        <v>72</v>
      </c>
      <c r="P518">
        <v>8369</v>
      </c>
      <c r="Q518">
        <v>0</v>
      </c>
      <c r="R518">
        <v>142997435702</v>
      </c>
      <c r="S518">
        <v>351192617.02999997</v>
      </c>
      <c r="T518">
        <v>141745396350.26999</v>
      </c>
      <c r="U518">
        <v>142596055536.60001</v>
      </c>
      <c r="V518">
        <v>7.3032E-2</v>
      </c>
      <c r="W518">
        <v>4.2030000000000001E-3</v>
      </c>
      <c r="Y518" t="s">
        <v>0</v>
      </c>
      <c r="Z518">
        <v>3750</v>
      </c>
      <c r="AA518">
        <v>72</v>
      </c>
      <c r="AB518">
        <v>83465</v>
      </c>
      <c r="AC518">
        <v>0</v>
      </c>
      <c r="AD518">
        <v>1464220836888</v>
      </c>
      <c r="AE518">
        <v>3111098263.5799999</v>
      </c>
      <c r="AF518">
        <v>1452979086099.8799</v>
      </c>
      <c r="AG518">
        <v>1460115400259.54</v>
      </c>
      <c r="AH518">
        <v>6.4637E-2</v>
      </c>
      <c r="AI518">
        <v>8.1189999999999995E-3</v>
      </c>
    </row>
    <row r="519" spans="13:35" x14ac:dyDescent="0.35">
      <c r="M519" t="s">
        <v>0</v>
      </c>
      <c r="N519">
        <v>4250</v>
      </c>
      <c r="O519">
        <v>72</v>
      </c>
      <c r="P519">
        <v>14827</v>
      </c>
      <c r="Q519">
        <v>0</v>
      </c>
      <c r="R519">
        <v>250043679347</v>
      </c>
      <c r="S519">
        <v>494037702.82999998</v>
      </c>
      <c r="T519">
        <v>247998261550.23001</v>
      </c>
      <c r="U519">
        <v>249355803179.89001</v>
      </c>
      <c r="V519">
        <v>7.1964E-2</v>
      </c>
      <c r="W519">
        <v>9.2630000000000004E-3</v>
      </c>
      <c r="Y519" t="s">
        <v>2</v>
      </c>
      <c r="Z519">
        <v>3250</v>
      </c>
      <c r="AA519">
        <v>72</v>
      </c>
      <c r="AB519">
        <v>20415</v>
      </c>
      <c r="AC519">
        <v>0</v>
      </c>
      <c r="AD519">
        <v>298813346018</v>
      </c>
      <c r="AE519">
        <v>674979569.51999998</v>
      </c>
      <c r="AF519">
        <v>296159677780.08002</v>
      </c>
      <c r="AG519">
        <v>298050284236.81</v>
      </c>
      <c r="AH519">
        <v>7.6631000000000005E-2</v>
      </c>
      <c r="AI519">
        <v>3.532E-3</v>
      </c>
    </row>
    <row r="520" spans="13:35" x14ac:dyDescent="0.35">
      <c r="M520" t="s">
        <v>0</v>
      </c>
      <c r="N520">
        <v>2750</v>
      </c>
      <c r="O520">
        <v>72</v>
      </c>
      <c r="P520">
        <v>172730</v>
      </c>
      <c r="Q520">
        <v>0</v>
      </c>
      <c r="R520">
        <v>3757410489780</v>
      </c>
      <c r="S520">
        <v>8978121420.7199993</v>
      </c>
      <c r="T520">
        <v>3732066037946.6899</v>
      </c>
      <c r="U520">
        <v>3747228635591.1499</v>
      </c>
      <c r="V520">
        <v>5.1034999999999997E-2</v>
      </c>
      <c r="W520">
        <v>3.8379999999999998E-3</v>
      </c>
      <c r="Y520" t="s">
        <v>2</v>
      </c>
      <c r="Z520">
        <v>2750</v>
      </c>
      <c r="AA520">
        <v>72</v>
      </c>
      <c r="AB520">
        <v>20252</v>
      </c>
      <c r="AC520">
        <v>0</v>
      </c>
      <c r="AD520">
        <v>329759135730</v>
      </c>
      <c r="AE520">
        <v>784171088.03999996</v>
      </c>
      <c r="AF520">
        <v>327178223245.54999</v>
      </c>
      <c r="AG520">
        <v>328835178840.20001</v>
      </c>
      <c r="AH520">
        <v>6.3460000000000003E-2</v>
      </c>
      <c r="AI520">
        <v>5.0749999999999997E-3</v>
      </c>
    </row>
    <row r="521" spans="13:35" x14ac:dyDescent="0.35">
      <c r="M521" t="s">
        <v>1</v>
      </c>
      <c r="N521">
        <v>5500</v>
      </c>
      <c r="O521">
        <v>72</v>
      </c>
      <c r="P521">
        <v>8</v>
      </c>
      <c r="Q521">
        <v>0</v>
      </c>
      <c r="R521">
        <v>103482960</v>
      </c>
      <c r="S521">
        <v>172956.77</v>
      </c>
      <c r="T521">
        <v>103310003.23</v>
      </c>
      <c r="U521">
        <v>103310003.23</v>
      </c>
      <c r="V521">
        <v>0</v>
      </c>
      <c r="W521">
        <v>0</v>
      </c>
      <c r="Y521" t="s">
        <v>1</v>
      </c>
      <c r="Z521">
        <v>2750</v>
      </c>
      <c r="AA521">
        <v>72</v>
      </c>
      <c r="AB521">
        <v>171683</v>
      </c>
      <c r="AC521">
        <v>0</v>
      </c>
      <c r="AD521">
        <v>4613783106039</v>
      </c>
      <c r="AE521">
        <v>11057422057.5</v>
      </c>
      <c r="AF521">
        <v>4576152625530.04</v>
      </c>
      <c r="AG521">
        <v>4601113056599.6602</v>
      </c>
      <c r="AH521">
        <v>6.6965999999999998E-2</v>
      </c>
      <c r="AI521">
        <v>4.1859999999999996E-3</v>
      </c>
    </row>
    <row r="522" spans="13:35" x14ac:dyDescent="0.35">
      <c r="M522" t="s">
        <v>1</v>
      </c>
      <c r="N522">
        <v>3750</v>
      </c>
      <c r="O522">
        <v>72</v>
      </c>
      <c r="P522">
        <v>13379</v>
      </c>
      <c r="Q522">
        <v>0</v>
      </c>
      <c r="R522">
        <v>272043907594</v>
      </c>
      <c r="S522">
        <v>582901724.24000001</v>
      </c>
      <c r="T522">
        <v>269031463019.01999</v>
      </c>
      <c r="U522">
        <v>271116186063.60001</v>
      </c>
      <c r="V522">
        <v>0.102058</v>
      </c>
      <c r="W522">
        <v>1.5105E-2</v>
      </c>
      <c r="Y522" t="s">
        <v>0</v>
      </c>
      <c r="Z522">
        <v>3250</v>
      </c>
      <c r="AA522">
        <v>72</v>
      </c>
      <c r="AB522">
        <v>156558</v>
      </c>
      <c r="AC522">
        <v>0</v>
      </c>
      <c r="AD522">
        <v>3108872587607</v>
      </c>
      <c r="AE522">
        <v>7006575784.1700001</v>
      </c>
      <c r="AF522">
        <v>3086988345265.0098</v>
      </c>
      <c r="AG522">
        <v>3100418960834.48</v>
      </c>
      <c r="AH522">
        <v>5.5939000000000003E-2</v>
      </c>
      <c r="AI522">
        <v>5.5710000000000004E-3</v>
      </c>
    </row>
    <row r="523" spans="13:35" x14ac:dyDescent="0.35">
      <c r="M523" t="s">
        <v>2</v>
      </c>
      <c r="N523">
        <v>3750</v>
      </c>
      <c r="O523">
        <v>72</v>
      </c>
      <c r="P523">
        <v>8988</v>
      </c>
      <c r="Q523">
        <v>0</v>
      </c>
      <c r="R523">
        <v>118801904327</v>
      </c>
      <c r="S523">
        <v>254897912.22999999</v>
      </c>
      <c r="T523">
        <v>117643729893.25</v>
      </c>
      <c r="U523">
        <v>118375671670.07001</v>
      </c>
      <c r="V523">
        <v>8.7517999999999999E-2</v>
      </c>
      <c r="W523">
        <v>1.7170000000000001E-2</v>
      </c>
      <c r="Y523" t="s">
        <v>1</v>
      </c>
      <c r="Z523">
        <v>3750</v>
      </c>
      <c r="AA523">
        <v>72</v>
      </c>
      <c r="AB523">
        <v>16185</v>
      </c>
      <c r="AC523">
        <v>0</v>
      </c>
      <c r="AD523">
        <v>329251197583</v>
      </c>
      <c r="AE523">
        <v>704540923.23000002</v>
      </c>
      <c r="AF523">
        <v>326059209602.19</v>
      </c>
      <c r="AG523">
        <v>327995639188.96002</v>
      </c>
      <c r="AH523">
        <v>8.6985000000000007E-2</v>
      </c>
      <c r="AI523">
        <v>1.9899E-2</v>
      </c>
    </row>
    <row r="524" spans="13:35" x14ac:dyDescent="0.35">
      <c r="M524" t="s">
        <v>1</v>
      </c>
      <c r="N524">
        <v>3000</v>
      </c>
      <c r="O524">
        <v>60</v>
      </c>
      <c r="P524">
        <v>62186</v>
      </c>
      <c r="Q524">
        <v>0</v>
      </c>
      <c r="R524">
        <v>1734265540588</v>
      </c>
      <c r="S524">
        <v>3887727637.3099999</v>
      </c>
      <c r="T524">
        <v>1717629028291.9199</v>
      </c>
      <c r="U524">
        <v>1729203930237.1799</v>
      </c>
      <c r="V524">
        <v>8.4733000000000003E-2</v>
      </c>
      <c r="W524">
        <v>8.0920000000000002E-3</v>
      </c>
      <c r="Y524" t="s">
        <v>1</v>
      </c>
      <c r="Z524">
        <v>2500</v>
      </c>
      <c r="AA524">
        <v>72</v>
      </c>
      <c r="AB524">
        <v>101915</v>
      </c>
      <c r="AC524">
        <v>0</v>
      </c>
      <c r="AD524">
        <v>2825030596414</v>
      </c>
      <c r="AE524">
        <v>7002819663.5100002</v>
      </c>
      <c r="AF524">
        <v>2804777243639.3101</v>
      </c>
      <c r="AG524">
        <v>2817451545838.7998</v>
      </c>
      <c r="AH524">
        <v>5.4855000000000001E-2</v>
      </c>
      <c r="AI524">
        <v>2.4450000000000001E-3</v>
      </c>
    </row>
    <row r="525" spans="13:35" x14ac:dyDescent="0.35">
      <c r="M525" t="s">
        <v>1</v>
      </c>
      <c r="N525">
        <v>2500</v>
      </c>
      <c r="O525">
        <v>60</v>
      </c>
      <c r="P525">
        <v>69510</v>
      </c>
      <c r="Q525">
        <v>0</v>
      </c>
      <c r="R525">
        <v>2075830676033</v>
      </c>
      <c r="S525">
        <v>4987710028.3599997</v>
      </c>
      <c r="T525">
        <v>2059238542057.8301</v>
      </c>
      <c r="U525">
        <v>2070267410014.1201</v>
      </c>
      <c r="V525">
        <v>6.5058000000000005E-2</v>
      </c>
      <c r="W525">
        <v>3.3219999999999999E-3</v>
      </c>
      <c r="Y525" t="s">
        <v>2</v>
      </c>
      <c r="Z525">
        <v>2500</v>
      </c>
      <c r="AA525">
        <v>72</v>
      </c>
      <c r="AB525">
        <v>6808</v>
      </c>
      <c r="AC525">
        <v>0</v>
      </c>
      <c r="AD525">
        <v>117053676645</v>
      </c>
      <c r="AE525">
        <v>286917557.02999997</v>
      </c>
      <c r="AF525">
        <v>116317254870.23</v>
      </c>
      <c r="AG525">
        <v>116732886259.17999</v>
      </c>
      <c r="AH525">
        <v>4.5121000000000001E-2</v>
      </c>
      <c r="AI525">
        <v>3.467E-3</v>
      </c>
    </row>
    <row r="526" spans="13:35" x14ac:dyDescent="0.35">
      <c r="M526" t="s">
        <v>1</v>
      </c>
      <c r="N526">
        <v>3250</v>
      </c>
      <c r="O526">
        <v>72</v>
      </c>
      <c r="P526">
        <v>56250</v>
      </c>
      <c r="Q526">
        <v>0</v>
      </c>
      <c r="R526">
        <v>1308829063498</v>
      </c>
      <c r="S526">
        <v>2982355023.9699998</v>
      </c>
      <c r="T526">
        <v>1295922067961.4399</v>
      </c>
      <c r="U526">
        <v>1304840894108.29</v>
      </c>
      <c r="V526">
        <v>8.7292999999999996E-2</v>
      </c>
      <c r="W526">
        <v>9.1830000000000002E-3</v>
      </c>
      <c r="Y526" t="s">
        <v>0</v>
      </c>
      <c r="Z526">
        <v>2750</v>
      </c>
      <c r="AA526">
        <v>72</v>
      </c>
      <c r="AB526">
        <v>151179</v>
      </c>
      <c r="AC526">
        <v>0</v>
      </c>
      <c r="AD526">
        <v>3302813834649</v>
      </c>
      <c r="AE526">
        <v>7873456416.3599997</v>
      </c>
      <c r="AF526">
        <v>3279293418541.9502</v>
      </c>
      <c r="AG526">
        <v>3293972813720.27</v>
      </c>
      <c r="AH526">
        <v>5.5391000000000003E-2</v>
      </c>
      <c r="AI526">
        <v>3.5100000000000001E-3</v>
      </c>
    </row>
    <row r="527" spans="13:35" x14ac:dyDescent="0.35">
      <c r="M527" t="s">
        <v>0</v>
      </c>
      <c r="N527">
        <v>2500</v>
      </c>
      <c r="O527">
        <v>72</v>
      </c>
      <c r="P527">
        <v>65800</v>
      </c>
      <c r="Q527">
        <v>0</v>
      </c>
      <c r="R527">
        <v>1508541754320</v>
      </c>
      <c r="S527">
        <v>3733454229.6399999</v>
      </c>
      <c r="T527">
        <v>1498744006823.0601</v>
      </c>
      <c r="U527">
        <v>1504384655056.3701</v>
      </c>
      <c r="V527">
        <v>4.7187E-2</v>
      </c>
      <c r="W527">
        <v>3.3649999999999999E-3</v>
      </c>
      <c r="Y527" t="s">
        <v>1</v>
      </c>
      <c r="Z527">
        <v>5500</v>
      </c>
      <c r="AA527">
        <v>72</v>
      </c>
      <c r="AB527">
        <v>9</v>
      </c>
      <c r="AC527">
        <v>0</v>
      </c>
      <c r="AD527">
        <v>119999867</v>
      </c>
      <c r="AE527">
        <v>199595.35</v>
      </c>
      <c r="AF527">
        <v>119800271.65000001</v>
      </c>
      <c r="AG527">
        <v>119800271.65000001</v>
      </c>
      <c r="AH527">
        <v>0</v>
      </c>
      <c r="AI527">
        <v>0</v>
      </c>
    </row>
    <row r="528" spans="13:35" x14ac:dyDescent="0.35">
      <c r="M528" t="s">
        <v>3</v>
      </c>
      <c r="N528">
        <v>3000</v>
      </c>
      <c r="O528">
        <v>72</v>
      </c>
      <c r="P528">
        <v>751</v>
      </c>
      <c r="Q528">
        <v>0</v>
      </c>
      <c r="R528">
        <v>14442041220</v>
      </c>
      <c r="S528">
        <v>33786746.619999997</v>
      </c>
      <c r="T528">
        <v>14310234423.51</v>
      </c>
      <c r="U528">
        <v>14389780443.08</v>
      </c>
      <c r="V528">
        <v>7.8473000000000001E-2</v>
      </c>
      <c r="W528">
        <v>1.5243E-2</v>
      </c>
      <c r="Y528" t="s">
        <v>1</v>
      </c>
      <c r="Z528">
        <v>3000</v>
      </c>
      <c r="AA528">
        <v>60</v>
      </c>
      <c r="AB528">
        <v>57154</v>
      </c>
      <c r="AC528">
        <v>0</v>
      </c>
      <c r="AD528">
        <v>1560425753134</v>
      </c>
      <c r="AE528">
        <v>3495644862.8499999</v>
      </c>
      <c r="AF528">
        <v>1547242838119.53</v>
      </c>
      <c r="AG528">
        <v>1555528565287.3</v>
      </c>
      <c r="AH528">
        <v>7.2005E-2</v>
      </c>
      <c r="AI528">
        <v>1.0725E-2</v>
      </c>
    </row>
    <row r="529" spans="13:35" x14ac:dyDescent="0.35">
      <c r="M529" t="s">
        <v>0</v>
      </c>
      <c r="N529">
        <v>3500</v>
      </c>
      <c r="O529">
        <v>60</v>
      </c>
      <c r="P529">
        <v>56795</v>
      </c>
      <c r="Q529">
        <v>0</v>
      </c>
      <c r="R529">
        <v>1135265681586</v>
      </c>
      <c r="S529">
        <v>2371250537.3099999</v>
      </c>
      <c r="T529">
        <v>1126662077980.26</v>
      </c>
      <c r="U529">
        <v>1131827207291.96</v>
      </c>
      <c r="V529">
        <v>6.3923999999999995E-2</v>
      </c>
      <c r="W529">
        <v>1.1223E-2</v>
      </c>
      <c r="Y529" t="s">
        <v>1</v>
      </c>
      <c r="Z529">
        <v>2500</v>
      </c>
      <c r="AA529">
        <v>60</v>
      </c>
      <c r="AB529">
        <v>73771</v>
      </c>
      <c r="AC529">
        <v>0</v>
      </c>
      <c r="AD529">
        <v>2146361577124</v>
      </c>
      <c r="AE529">
        <v>5169113158.6599998</v>
      </c>
      <c r="AF529">
        <v>2130317878425.97</v>
      </c>
      <c r="AG529">
        <v>2140425761756.01</v>
      </c>
      <c r="AH529">
        <v>5.9131999999999997E-2</v>
      </c>
      <c r="AI529">
        <v>4.2779999999999997E-3</v>
      </c>
    </row>
    <row r="530" spans="13:35" x14ac:dyDescent="0.35">
      <c r="M530" t="s">
        <v>2</v>
      </c>
      <c r="N530">
        <v>3500</v>
      </c>
      <c r="O530">
        <v>60</v>
      </c>
      <c r="P530">
        <v>7223</v>
      </c>
      <c r="Q530">
        <v>0</v>
      </c>
      <c r="R530">
        <v>103840990686</v>
      </c>
      <c r="S530">
        <v>219230624.62</v>
      </c>
      <c r="T530">
        <v>102914219873.42</v>
      </c>
      <c r="U530">
        <v>103476082004.09</v>
      </c>
      <c r="V530">
        <v>7.8769000000000006E-2</v>
      </c>
      <c r="W530">
        <v>1.6705000000000001E-2</v>
      </c>
      <c r="Y530" t="s">
        <v>0</v>
      </c>
      <c r="Z530">
        <v>2500</v>
      </c>
      <c r="AA530">
        <v>54</v>
      </c>
      <c r="AB530">
        <v>31502</v>
      </c>
      <c r="AC530">
        <v>0</v>
      </c>
      <c r="AD530">
        <v>818998481704</v>
      </c>
      <c r="AE530">
        <v>1921697563.71</v>
      </c>
      <c r="AF530">
        <v>813757267638.98999</v>
      </c>
      <c r="AG530">
        <v>816850069143.27002</v>
      </c>
      <c r="AH530">
        <v>4.7567999999999999E-2</v>
      </c>
      <c r="AI530">
        <v>3.3170000000000001E-3</v>
      </c>
    </row>
    <row r="531" spans="13:35" x14ac:dyDescent="0.35">
      <c r="M531" t="s">
        <v>1</v>
      </c>
      <c r="N531">
        <v>2250</v>
      </c>
      <c r="O531">
        <v>60</v>
      </c>
      <c r="P531">
        <v>111994</v>
      </c>
      <c r="Q531">
        <v>0</v>
      </c>
      <c r="R531">
        <v>3329037877966</v>
      </c>
      <c r="S531">
        <v>8237440998.6199999</v>
      </c>
      <c r="T531">
        <v>3304506998672.1401</v>
      </c>
      <c r="U531">
        <v>3320222242443.5098</v>
      </c>
      <c r="V531">
        <v>5.7176999999999999E-2</v>
      </c>
      <c r="W531">
        <v>2.0820000000000001E-3</v>
      </c>
      <c r="Y531" t="s">
        <v>2</v>
      </c>
      <c r="Z531">
        <v>2500</v>
      </c>
      <c r="AA531">
        <v>54</v>
      </c>
      <c r="AB531">
        <v>2799</v>
      </c>
      <c r="AC531">
        <v>0</v>
      </c>
      <c r="AD531">
        <v>52947143906</v>
      </c>
      <c r="AE531">
        <v>123652866.39</v>
      </c>
      <c r="AF531">
        <v>52621224394.889999</v>
      </c>
      <c r="AG531">
        <v>52813471080.080002</v>
      </c>
      <c r="AH531">
        <v>4.4891E-2</v>
      </c>
      <c r="AI531">
        <v>2.2690000000000002E-3</v>
      </c>
    </row>
    <row r="532" spans="13:35" x14ac:dyDescent="0.35">
      <c r="M532" t="s">
        <v>1</v>
      </c>
      <c r="N532">
        <v>2250</v>
      </c>
      <c r="O532">
        <v>72</v>
      </c>
      <c r="P532">
        <v>209073</v>
      </c>
      <c r="Q532">
        <v>0</v>
      </c>
      <c r="R532">
        <v>5985688638486</v>
      </c>
      <c r="S532">
        <v>15132967852.23</v>
      </c>
      <c r="T532">
        <v>5941655045565.8096</v>
      </c>
      <c r="U532">
        <v>5969763721400.3301</v>
      </c>
      <c r="V532">
        <v>5.6425000000000003E-2</v>
      </c>
      <c r="W532">
        <v>1.5870000000000001E-3</v>
      </c>
      <c r="Y532" t="s">
        <v>0</v>
      </c>
      <c r="Z532">
        <v>3000</v>
      </c>
      <c r="AA532">
        <v>54</v>
      </c>
      <c r="AB532">
        <v>140427</v>
      </c>
      <c r="AC532">
        <v>0</v>
      </c>
      <c r="AD532">
        <v>2984084073931</v>
      </c>
      <c r="AE532">
        <v>6509725494.9499998</v>
      </c>
      <c r="AF532">
        <v>2963117328762.4702</v>
      </c>
      <c r="AG532">
        <v>2975438411524.9902</v>
      </c>
      <c r="AH532">
        <v>5.6612000000000003E-2</v>
      </c>
      <c r="AI532">
        <v>8.5559999999999994E-3</v>
      </c>
    </row>
    <row r="533" spans="13:35" x14ac:dyDescent="0.35">
      <c r="M533" t="s">
        <v>0</v>
      </c>
      <c r="N533">
        <v>3250</v>
      </c>
      <c r="O533">
        <v>60</v>
      </c>
      <c r="P533">
        <v>145749</v>
      </c>
      <c r="Q533">
        <v>0</v>
      </c>
      <c r="R533">
        <v>3057078096002</v>
      </c>
      <c r="S533">
        <v>6593334726.6099997</v>
      </c>
      <c r="T533">
        <v>3035076291981.02</v>
      </c>
      <c r="U533">
        <v>3048188992316.1699</v>
      </c>
      <c r="V533">
        <v>5.8833999999999997E-2</v>
      </c>
      <c r="W533">
        <v>8.9739999999999993E-3</v>
      </c>
      <c r="Y533" t="s">
        <v>2</v>
      </c>
      <c r="Z533">
        <v>3000</v>
      </c>
      <c r="AA533">
        <v>54</v>
      </c>
      <c r="AB533">
        <v>9799</v>
      </c>
      <c r="AC533">
        <v>0</v>
      </c>
      <c r="AD533">
        <v>170125855774</v>
      </c>
      <c r="AE533">
        <v>370435913.69</v>
      </c>
      <c r="AF533">
        <v>168304496638.28</v>
      </c>
      <c r="AG533">
        <v>169454716762.32999</v>
      </c>
      <c r="AH533">
        <v>9.7675999999999999E-2</v>
      </c>
      <c r="AI533">
        <v>2.1004999999999999E-2</v>
      </c>
    </row>
    <row r="534" spans="13:35" x14ac:dyDescent="0.35">
      <c r="M534" t="s">
        <v>0</v>
      </c>
      <c r="N534">
        <v>2750</v>
      </c>
      <c r="O534">
        <v>60</v>
      </c>
      <c r="P534">
        <v>111472</v>
      </c>
      <c r="Q534">
        <v>0</v>
      </c>
      <c r="R534">
        <v>2541059562185</v>
      </c>
      <c r="S534">
        <v>5880982011.5</v>
      </c>
      <c r="T534">
        <v>2522974222530.3901</v>
      </c>
      <c r="U534">
        <v>2534115629955.0898</v>
      </c>
      <c r="V534">
        <v>5.6135999999999998E-2</v>
      </c>
      <c r="W534">
        <v>5.0080000000000003E-3</v>
      </c>
      <c r="Y534" t="s">
        <v>1</v>
      </c>
      <c r="Z534">
        <v>3000</v>
      </c>
      <c r="AA534">
        <v>54</v>
      </c>
      <c r="AB534">
        <v>58866</v>
      </c>
      <c r="AC534">
        <v>0</v>
      </c>
      <c r="AD534">
        <v>1773276683386</v>
      </c>
      <c r="AE534">
        <v>3865481528.0500002</v>
      </c>
      <c r="AF534">
        <v>1756066487992.5601</v>
      </c>
      <c r="AG534">
        <v>1767455430485.6499</v>
      </c>
      <c r="AH534">
        <v>8.6660000000000001E-2</v>
      </c>
      <c r="AI534">
        <v>1.3155E-2</v>
      </c>
    </row>
    <row r="535" spans="13:35" x14ac:dyDescent="0.35">
      <c r="M535" t="s">
        <v>2</v>
      </c>
      <c r="N535">
        <v>2750</v>
      </c>
      <c r="O535">
        <v>60</v>
      </c>
      <c r="P535">
        <v>10490</v>
      </c>
      <c r="Q535">
        <v>0</v>
      </c>
      <c r="R535">
        <v>178736681416</v>
      </c>
      <c r="S535">
        <v>412525875.16000003</v>
      </c>
      <c r="T535">
        <v>177329025450.79001</v>
      </c>
      <c r="U535">
        <v>178312863622.56</v>
      </c>
      <c r="V535">
        <v>6.4802999999999999E-2</v>
      </c>
      <c r="W535">
        <v>7.5799999999999999E-4</v>
      </c>
      <c r="Y535" t="s">
        <v>1</v>
      </c>
      <c r="Z535">
        <v>3250</v>
      </c>
      <c r="AA535">
        <v>72</v>
      </c>
      <c r="AB535">
        <v>57683</v>
      </c>
      <c r="AC535">
        <v>0</v>
      </c>
      <c r="AD535">
        <v>1350595817315</v>
      </c>
      <c r="AE535">
        <v>3069709171.1199999</v>
      </c>
      <c r="AF535">
        <v>1337117822949.29</v>
      </c>
      <c r="AG535">
        <v>1346211698463.6599</v>
      </c>
      <c r="AH535">
        <v>8.8657E-2</v>
      </c>
      <c r="AI535">
        <v>1.1616E-2</v>
      </c>
    </row>
    <row r="536" spans="13:35" x14ac:dyDescent="0.35">
      <c r="M536" t="s">
        <v>0</v>
      </c>
      <c r="N536">
        <v>2250</v>
      </c>
      <c r="O536">
        <v>72</v>
      </c>
      <c r="P536">
        <v>32980</v>
      </c>
      <c r="Q536">
        <v>0</v>
      </c>
      <c r="R536">
        <v>776987098993</v>
      </c>
      <c r="S536">
        <v>1961388277.73</v>
      </c>
      <c r="T536">
        <v>772157145424.03003</v>
      </c>
      <c r="U536">
        <v>774885731051.02002</v>
      </c>
      <c r="V536">
        <v>4.3414000000000001E-2</v>
      </c>
      <c r="W536">
        <v>2.16E-3</v>
      </c>
      <c r="Y536" t="s">
        <v>0</v>
      </c>
      <c r="Z536">
        <v>2500</v>
      </c>
      <c r="AA536">
        <v>72</v>
      </c>
      <c r="AB536">
        <v>52261</v>
      </c>
      <c r="AC536">
        <v>0</v>
      </c>
      <c r="AD536">
        <v>1201265596507</v>
      </c>
      <c r="AE536">
        <v>2965127652.9099998</v>
      </c>
      <c r="AF536">
        <v>1193697661016.1699</v>
      </c>
      <c r="AG536">
        <v>1198028992594.6201</v>
      </c>
      <c r="AH536">
        <v>4.5023000000000001E-2</v>
      </c>
      <c r="AI536">
        <v>2.709E-3</v>
      </c>
    </row>
    <row r="537" spans="13:35" x14ac:dyDescent="0.35">
      <c r="M537" t="s">
        <v>0</v>
      </c>
      <c r="N537">
        <v>2250</v>
      </c>
      <c r="O537">
        <v>60</v>
      </c>
      <c r="P537">
        <v>18322</v>
      </c>
      <c r="Q537">
        <v>0</v>
      </c>
      <c r="R537">
        <v>456207115216</v>
      </c>
      <c r="S537">
        <v>1131230667.8499999</v>
      </c>
      <c r="T537">
        <v>453209224004.17999</v>
      </c>
      <c r="U537">
        <v>454992920214.79999</v>
      </c>
      <c r="V537">
        <v>4.8009999999999997E-2</v>
      </c>
      <c r="W537">
        <v>2.1800000000000001E-3</v>
      </c>
      <c r="Y537" t="s">
        <v>0</v>
      </c>
      <c r="Z537">
        <v>3500</v>
      </c>
      <c r="AA537">
        <v>60</v>
      </c>
      <c r="AB537">
        <v>49634</v>
      </c>
      <c r="AC537">
        <v>0</v>
      </c>
      <c r="AD537">
        <v>986832685256</v>
      </c>
      <c r="AE537">
        <v>2057547061.8299999</v>
      </c>
      <c r="AF537">
        <v>979665631349.26001</v>
      </c>
      <c r="AG537">
        <v>983980393194.30005</v>
      </c>
      <c r="AH537">
        <v>6.0393000000000002E-2</v>
      </c>
      <c r="AI537">
        <v>9.6209999999999993E-3</v>
      </c>
    </row>
    <row r="538" spans="13:35" x14ac:dyDescent="0.35">
      <c r="M538" t="s">
        <v>0</v>
      </c>
      <c r="N538">
        <v>4500</v>
      </c>
      <c r="O538">
        <v>60</v>
      </c>
      <c r="P538">
        <v>1845</v>
      </c>
      <c r="Q538">
        <v>0</v>
      </c>
      <c r="R538">
        <v>37861079319</v>
      </c>
      <c r="S538">
        <v>67952763.269999996</v>
      </c>
      <c r="T538">
        <v>37587916007.330002</v>
      </c>
      <c r="U538">
        <v>37793126555.730003</v>
      </c>
      <c r="V538">
        <v>6.3136999999999999E-2</v>
      </c>
      <c r="W538">
        <v>0</v>
      </c>
      <c r="Y538" t="s">
        <v>1</v>
      </c>
      <c r="Z538">
        <v>3500</v>
      </c>
      <c r="AA538">
        <v>60</v>
      </c>
      <c r="AB538">
        <v>9800</v>
      </c>
      <c r="AC538">
        <v>0</v>
      </c>
      <c r="AD538">
        <v>235152076069</v>
      </c>
      <c r="AE538">
        <v>490614350.54000002</v>
      </c>
      <c r="AF538">
        <v>232132856620.60001</v>
      </c>
      <c r="AG538">
        <v>233945551791.25</v>
      </c>
      <c r="AH538">
        <v>0.121672</v>
      </c>
      <c r="AI538">
        <v>3.5928000000000002E-2</v>
      </c>
    </row>
    <row r="539" spans="13:35" x14ac:dyDescent="0.35">
      <c r="M539" t="s">
        <v>1</v>
      </c>
      <c r="N539">
        <v>4500</v>
      </c>
      <c r="O539">
        <v>60</v>
      </c>
      <c r="P539">
        <v>186</v>
      </c>
      <c r="Q539">
        <v>0</v>
      </c>
      <c r="R539">
        <v>3979943901</v>
      </c>
      <c r="S539">
        <v>7217972.2199999997</v>
      </c>
      <c r="T539">
        <v>3958179583.0300002</v>
      </c>
      <c r="U539">
        <v>3972725928.7800002</v>
      </c>
      <c r="V539">
        <v>4.2987999999999998E-2</v>
      </c>
      <c r="W539">
        <v>0</v>
      </c>
      <c r="Y539" t="s">
        <v>2</v>
      </c>
      <c r="Z539">
        <v>3500</v>
      </c>
      <c r="AA539">
        <v>60</v>
      </c>
      <c r="AB539">
        <v>6286</v>
      </c>
      <c r="AC539">
        <v>0</v>
      </c>
      <c r="AD539">
        <v>90167019020</v>
      </c>
      <c r="AE539">
        <v>190217518.77000001</v>
      </c>
      <c r="AF539">
        <v>89530781315.839996</v>
      </c>
      <c r="AG539">
        <v>89893254788.990005</v>
      </c>
      <c r="AH539">
        <v>5.7771000000000003E-2</v>
      </c>
      <c r="AI539">
        <v>1.1062000000000001E-2</v>
      </c>
    </row>
    <row r="540" spans="13:35" x14ac:dyDescent="0.35">
      <c r="M540" t="s">
        <v>0</v>
      </c>
      <c r="N540">
        <v>4500</v>
      </c>
      <c r="O540">
        <v>54</v>
      </c>
      <c r="P540">
        <v>6524</v>
      </c>
      <c r="Q540">
        <v>0</v>
      </c>
      <c r="R540">
        <v>148484634871</v>
      </c>
      <c r="S540">
        <v>257116820.88</v>
      </c>
      <c r="T540">
        <v>147509643536.70999</v>
      </c>
      <c r="U540">
        <v>148061733038.64999</v>
      </c>
      <c r="V540">
        <v>5.6498E-2</v>
      </c>
      <c r="W540">
        <v>1.3316E-2</v>
      </c>
      <c r="Y540" t="s">
        <v>0</v>
      </c>
      <c r="Z540">
        <v>4000</v>
      </c>
      <c r="AA540">
        <v>60</v>
      </c>
      <c r="AB540">
        <v>14041</v>
      </c>
      <c r="AC540">
        <v>0</v>
      </c>
      <c r="AD540">
        <v>284906391754</v>
      </c>
      <c r="AE540">
        <v>551933452.12</v>
      </c>
      <c r="AF540">
        <v>282972198572.81</v>
      </c>
      <c r="AG540">
        <v>284103390326.01001</v>
      </c>
      <c r="AH540">
        <v>5.6690999999999998E-2</v>
      </c>
      <c r="AI540">
        <v>1.0524E-2</v>
      </c>
    </row>
    <row r="541" spans="13:35" x14ac:dyDescent="0.35">
      <c r="M541" t="s">
        <v>1</v>
      </c>
      <c r="N541">
        <v>4500</v>
      </c>
      <c r="O541">
        <v>54</v>
      </c>
      <c r="P541">
        <v>754</v>
      </c>
      <c r="Q541">
        <v>0</v>
      </c>
      <c r="R541">
        <v>18620567337</v>
      </c>
      <c r="S541">
        <v>32253811.789999999</v>
      </c>
      <c r="T541">
        <v>18418126065.150002</v>
      </c>
      <c r="U541">
        <v>18554341849.150002</v>
      </c>
      <c r="V541">
        <v>0.104328</v>
      </c>
      <c r="W541">
        <v>2.1675E-2</v>
      </c>
      <c r="Y541" t="s">
        <v>3</v>
      </c>
      <c r="Z541">
        <v>3000</v>
      </c>
      <c r="AA541">
        <v>72</v>
      </c>
      <c r="AB541">
        <v>714</v>
      </c>
      <c r="AC541">
        <v>0</v>
      </c>
      <c r="AD541">
        <v>13701598452</v>
      </c>
      <c r="AE541">
        <v>31960383.059999999</v>
      </c>
      <c r="AF541">
        <v>13607125185.1</v>
      </c>
      <c r="AG541">
        <v>13669638068.940001</v>
      </c>
      <c r="AH541">
        <v>5.3395999999999999E-2</v>
      </c>
      <c r="AI541">
        <v>0</v>
      </c>
    </row>
    <row r="542" spans="13:35" x14ac:dyDescent="0.35">
      <c r="M542" t="s">
        <v>2</v>
      </c>
      <c r="N542">
        <v>2250</v>
      </c>
      <c r="O542">
        <v>60</v>
      </c>
      <c r="P542">
        <v>1829</v>
      </c>
      <c r="Q542">
        <v>0</v>
      </c>
      <c r="R542">
        <v>32965763145</v>
      </c>
      <c r="S542">
        <v>81503136.329999998</v>
      </c>
      <c r="T542">
        <v>32730013521.16</v>
      </c>
      <c r="U542">
        <v>32884260008.669998</v>
      </c>
      <c r="V542">
        <v>5.4725000000000003E-2</v>
      </c>
      <c r="W542">
        <v>0</v>
      </c>
      <c r="Y542" t="s">
        <v>2</v>
      </c>
      <c r="Z542">
        <v>2750</v>
      </c>
      <c r="AA542">
        <v>60</v>
      </c>
      <c r="AB542">
        <v>11697</v>
      </c>
      <c r="AC542">
        <v>0</v>
      </c>
      <c r="AD542">
        <v>194677242810</v>
      </c>
      <c r="AE542">
        <v>449472862.63999999</v>
      </c>
      <c r="AF542">
        <v>193478368491.32999</v>
      </c>
      <c r="AG542">
        <v>194164333917.91</v>
      </c>
      <c r="AH542">
        <v>4.5227999999999997E-2</v>
      </c>
      <c r="AI542">
        <v>3.9029999999999998E-3</v>
      </c>
    </row>
    <row r="543" spans="13:35" x14ac:dyDescent="0.35">
      <c r="M543" t="s">
        <v>1</v>
      </c>
      <c r="N543">
        <v>2750</v>
      </c>
      <c r="O543">
        <v>60</v>
      </c>
      <c r="P543">
        <v>100809</v>
      </c>
      <c r="Q543">
        <v>0</v>
      </c>
      <c r="R543">
        <v>2914051943145</v>
      </c>
      <c r="S543">
        <v>6731814390.8400002</v>
      </c>
      <c r="T543">
        <v>2888861304144.2402</v>
      </c>
      <c r="U543">
        <v>2905966864569.8501</v>
      </c>
      <c r="V543">
        <v>7.3419999999999999E-2</v>
      </c>
      <c r="W543">
        <v>5.5579999999999996E-3</v>
      </c>
      <c r="Y543" t="s">
        <v>0</v>
      </c>
      <c r="Z543">
        <v>3250</v>
      </c>
      <c r="AA543">
        <v>60</v>
      </c>
      <c r="AB543">
        <v>133327</v>
      </c>
      <c r="AC543">
        <v>0</v>
      </c>
      <c r="AD543">
        <v>2768370701805</v>
      </c>
      <c r="AE543">
        <v>5960649280.7200003</v>
      </c>
      <c r="AF543">
        <v>2748257337494.6499</v>
      </c>
      <c r="AG543">
        <v>2760675015853.4502</v>
      </c>
      <c r="AH543">
        <v>5.9651999999999997E-2</v>
      </c>
      <c r="AI543">
        <v>7.4949999999999999E-3</v>
      </c>
    </row>
    <row r="544" spans="13:35" x14ac:dyDescent="0.35">
      <c r="M544" t="s">
        <v>1</v>
      </c>
      <c r="N544">
        <v>3500</v>
      </c>
      <c r="O544">
        <v>60</v>
      </c>
      <c r="P544">
        <v>11969</v>
      </c>
      <c r="Q544">
        <v>0</v>
      </c>
      <c r="R544">
        <v>291457254468</v>
      </c>
      <c r="S544">
        <v>607759594.59000003</v>
      </c>
      <c r="T544">
        <v>288470367640.96002</v>
      </c>
      <c r="U544">
        <v>290269509935.06</v>
      </c>
      <c r="V544">
        <v>9.3673999999999993E-2</v>
      </c>
      <c r="W544">
        <v>2.3619999999999999E-2</v>
      </c>
      <c r="Y544" t="s">
        <v>1</v>
      </c>
      <c r="Z544">
        <v>2250</v>
      </c>
      <c r="AA544">
        <v>60</v>
      </c>
      <c r="AB544">
        <v>137832</v>
      </c>
      <c r="AC544">
        <v>0</v>
      </c>
      <c r="AD544">
        <v>4040689058266</v>
      </c>
      <c r="AE544">
        <v>10008005358.639999</v>
      </c>
      <c r="AF544">
        <v>4010371019935.9902</v>
      </c>
      <c r="AG544">
        <v>4030054900387.1602</v>
      </c>
      <c r="AH544">
        <v>5.8677E-2</v>
      </c>
      <c r="AI544">
        <v>1.8580000000000001E-3</v>
      </c>
    </row>
    <row r="545" spans="13:35" x14ac:dyDescent="0.35">
      <c r="M545" t="s">
        <v>0</v>
      </c>
      <c r="N545">
        <v>4000</v>
      </c>
      <c r="O545">
        <v>60</v>
      </c>
      <c r="P545">
        <v>16154</v>
      </c>
      <c r="Q545">
        <v>0</v>
      </c>
      <c r="R545">
        <v>331418732121</v>
      </c>
      <c r="S545">
        <v>643501125.64999998</v>
      </c>
      <c r="T545">
        <v>329073018062.25</v>
      </c>
      <c r="U545">
        <v>330425629755.96997</v>
      </c>
      <c r="V545">
        <v>5.9922000000000003E-2</v>
      </c>
      <c r="W545">
        <v>1.2585000000000001E-2</v>
      </c>
      <c r="Y545" t="s">
        <v>0</v>
      </c>
      <c r="Z545">
        <v>2750</v>
      </c>
      <c r="AA545">
        <v>60</v>
      </c>
      <c r="AB545">
        <v>115656</v>
      </c>
      <c r="AC545">
        <v>0</v>
      </c>
      <c r="AD545">
        <v>2605354498300</v>
      </c>
      <c r="AE545">
        <v>6032428939.8100004</v>
      </c>
      <c r="AF545">
        <v>2586752551864.3101</v>
      </c>
      <c r="AG545">
        <v>2598585090504.04</v>
      </c>
      <c r="AH545">
        <v>5.6382000000000002E-2</v>
      </c>
      <c r="AI545">
        <v>3.3890000000000001E-3</v>
      </c>
    </row>
    <row r="546" spans="13:35" x14ac:dyDescent="0.35">
      <c r="M546" t="s">
        <v>2</v>
      </c>
      <c r="N546">
        <v>4000</v>
      </c>
      <c r="O546">
        <v>60</v>
      </c>
      <c r="P546">
        <v>921</v>
      </c>
      <c r="Q546">
        <v>0</v>
      </c>
      <c r="R546">
        <v>12053249065</v>
      </c>
      <c r="S546">
        <v>23542965.129999999</v>
      </c>
      <c r="T546">
        <v>11896826068.75</v>
      </c>
      <c r="U546">
        <v>12013026407.809999</v>
      </c>
      <c r="V546">
        <v>0.124559</v>
      </c>
      <c r="W546">
        <v>1.6480000000000002E-2</v>
      </c>
      <c r="Y546" t="s">
        <v>0</v>
      </c>
      <c r="Z546">
        <v>2250</v>
      </c>
      <c r="AA546">
        <v>60</v>
      </c>
      <c r="AB546">
        <v>23736</v>
      </c>
      <c r="AC546">
        <v>0</v>
      </c>
      <c r="AD546">
        <v>579491487312</v>
      </c>
      <c r="AE546">
        <v>1437965831.3199999</v>
      </c>
      <c r="AF546">
        <v>576039243892.34998</v>
      </c>
      <c r="AG546">
        <v>577920373350.90002</v>
      </c>
      <c r="AH546">
        <v>4.0923000000000001E-2</v>
      </c>
      <c r="AI546">
        <v>2.7539999999999999E-3</v>
      </c>
    </row>
    <row r="547" spans="13:35" x14ac:dyDescent="0.35">
      <c r="M547" t="s">
        <v>1</v>
      </c>
      <c r="N547">
        <v>4000</v>
      </c>
      <c r="O547">
        <v>60</v>
      </c>
      <c r="P547">
        <v>1425</v>
      </c>
      <c r="Q547">
        <v>0</v>
      </c>
      <c r="R547">
        <v>31555879976</v>
      </c>
      <c r="S547">
        <v>61338403.630000003</v>
      </c>
      <c r="T547">
        <v>31209823441.619999</v>
      </c>
      <c r="U547">
        <v>31383492871.75</v>
      </c>
      <c r="V547">
        <v>0.103057</v>
      </c>
      <c r="W547">
        <v>4.1422E-2</v>
      </c>
      <c r="Y547" t="s">
        <v>0</v>
      </c>
      <c r="Z547">
        <v>4500</v>
      </c>
      <c r="AA547">
        <v>60</v>
      </c>
      <c r="AB547">
        <v>1569</v>
      </c>
      <c r="AC547">
        <v>0</v>
      </c>
      <c r="AD547">
        <v>31168895449</v>
      </c>
      <c r="AE547">
        <v>55924045.07</v>
      </c>
      <c r="AF547">
        <v>30914860044.150002</v>
      </c>
      <c r="AG547">
        <v>31020127791.5</v>
      </c>
      <c r="AH547">
        <v>7.3662000000000005E-2</v>
      </c>
      <c r="AI547">
        <v>3.5165000000000002E-2</v>
      </c>
    </row>
    <row r="548" spans="13:35" x14ac:dyDescent="0.35">
      <c r="M548" t="s">
        <v>0</v>
      </c>
      <c r="N548">
        <v>3000</v>
      </c>
      <c r="O548">
        <v>54</v>
      </c>
      <c r="P548">
        <v>118471</v>
      </c>
      <c r="Q548">
        <v>0</v>
      </c>
      <c r="R548">
        <v>2521668801704</v>
      </c>
      <c r="S548">
        <v>5509373610.6400003</v>
      </c>
      <c r="T548">
        <v>2504768316955.71</v>
      </c>
      <c r="U548">
        <v>2514135196488.7998</v>
      </c>
      <c r="V548">
        <v>5.2880999999999997E-2</v>
      </c>
      <c r="W548">
        <v>9.5899999999999996E-3</v>
      </c>
      <c r="Y548" t="s">
        <v>0</v>
      </c>
      <c r="Z548">
        <v>4500</v>
      </c>
      <c r="AA548">
        <v>54</v>
      </c>
      <c r="AB548">
        <v>4771</v>
      </c>
      <c r="AC548">
        <v>0</v>
      </c>
      <c r="AD548">
        <v>107255710610</v>
      </c>
      <c r="AE548">
        <v>185826061.19</v>
      </c>
      <c r="AF548">
        <v>106441421643.57001</v>
      </c>
      <c r="AG548">
        <v>106876280636.25999</v>
      </c>
      <c r="AH548">
        <v>6.8090999999999999E-2</v>
      </c>
      <c r="AI548">
        <v>2.1447000000000001E-2</v>
      </c>
    </row>
    <row r="549" spans="13:35" x14ac:dyDescent="0.35">
      <c r="M549" t="s">
        <v>2</v>
      </c>
      <c r="N549">
        <v>3000</v>
      </c>
      <c r="O549">
        <v>54</v>
      </c>
      <c r="P549">
        <v>8368</v>
      </c>
      <c r="Q549">
        <v>0</v>
      </c>
      <c r="R549">
        <v>145860240488</v>
      </c>
      <c r="S549">
        <v>317981764.24000001</v>
      </c>
      <c r="T549">
        <v>144754234028.07999</v>
      </c>
      <c r="U549">
        <v>145512291063.76001</v>
      </c>
      <c r="V549">
        <v>6.2938999999999995E-2</v>
      </c>
      <c r="W549">
        <v>2.4629999999999999E-3</v>
      </c>
      <c r="Y549" t="s">
        <v>1</v>
      </c>
      <c r="Z549">
        <v>4500</v>
      </c>
      <c r="AA549">
        <v>54</v>
      </c>
      <c r="AB549">
        <v>435</v>
      </c>
      <c r="AC549">
        <v>0</v>
      </c>
      <c r="AD549">
        <v>10185286683</v>
      </c>
      <c r="AE549">
        <v>17711125.710000001</v>
      </c>
      <c r="AF549">
        <v>10076857801.540001</v>
      </c>
      <c r="AG549">
        <v>10118706719.559999</v>
      </c>
      <c r="AH549">
        <v>0.101798</v>
      </c>
      <c r="AI549">
        <v>5.6079999999999998E-2</v>
      </c>
    </row>
    <row r="550" spans="13:35" x14ac:dyDescent="0.35">
      <c r="M550" t="s">
        <v>1</v>
      </c>
      <c r="N550">
        <v>3000</v>
      </c>
      <c r="O550">
        <v>54</v>
      </c>
      <c r="P550">
        <v>53941</v>
      </c>
      <c r="Q550">
        <v>0</v>
      </c>
      <c r="R550">
        <v>1654650963546</v>
      </c>
      <c r="S550">
        <v>3608195481.8099999</v>
      </c>
      <c r="T550">
        <v>1639667599116.0801</v>
      </c>
      <c r="U550">
        <v>1650051119986.02</v>
      </c>
      <c r="V550">
        <v>7.9447000000000004E-2</v>
      </c>
      <c r="W550">
        <v>7.1679999999999999E-3</v>
      </c>
      <c r="Y550" t="s">
        <v>0</v>
      </c>
      <c r="Z550">
        <v>2250</v>
      </c>
      <c r="AA550">
        <v>72</v>
      </c>
      <c r="AB550">
        <v>24491</v>
      </c>
      <c r="AC550">
        <v>0</v>
      </c>
      <c r="AD550">
        <v>576442658256</v>
      </c>
      <c r="AE550">
        <v>1452707907.03</v>
      </c>
      <c r="AF550">
        <v>572524561963.27002</v>
      </c>
      <c r="AG550">
        <v>574844287062.33997</v>
      </c>
      <c r="AH550">
        <v>5.0132999999999997E-2</v>
      </c>
      <c r="AI550">
        <v>3.0279999999999999E-3</v>
      </c>
    </row>
    <row r="551" spans="13:35" x14ac:dyDescent="0.35">
      <c r="M551" t="s">
        <v>2</v>
      </c>
      <c r="N551">
        <v>3500</v>
      </c>
      <c r="O551">
        <v>54</v>
      </c>
      <c r="P551">
        <v>7444</v>
      </c>
      <c r="Q551">
        <v>0</v>
      </c>
      <c r="R551">
        <v>113539669679</v>
      </c>
      <c r="S551">
        <v>233371119.41</v>
      </c>
      <c r="T551">
        <v>112519723865.36</v>
      </c>
      <c r="U551">
        <v>113176300134.33</v>
      </c>
      <c r="V551">
        <v>8.0036999999999997E-2</v>
      </c>
      <c r="W551">
        <v>1.3653E-2</v>
      </c>
      <c r="Y551" t="s">
        <v>2</v>
      </c>
      <c r="Z551">
        <v>2250</v>
      </c>
      <c r="AA551">
        <v>60</v>
      </c>
      <c r="AB551">
        <v>2781</v>
      </c>
      <c r="AC551">
        <v>0</v>
      </c>
      <c r="AD551">
        <v>49627447042</v>
      </c>
      <c r="AE551">
        <v>122817867.73</v>
      </c>
      <c r="AF551">
        <v>49280584612.519997</v>
      </c>
      <c r="AG551">
        <v>49504629174.269997</v>
      </c>
      <c r="AH551">
        <v>5.2849E-2</v>
      </c>
      <c r="AI551">
        <v>0</v>
      </c>
    </row>
    <row r="552" spans="13:35" x14ac:dyDescent="0.35">
      <c r="M552" t="s">
        <v>0</v>
      </c>
      <c r="N552">
        <v>3500</v>
      </c>
      <c r="O552">
        <v>54</v>
      </c>
      <c r="P552">
        <v>57370</v>
      </c>
      <c r="Q552">
        <v>0</v>
      </c>
      <c r="R552">
        <v>1229648714445</v>
      </c>
      <c r="S552">
        <v>2482411518.8299999</v>
      </c>
      <c r="T552">
        <v>1220707149290.25</v>
      </c>
      <c r="U552">
        <v>1225720572004.24</v>
      </c>
      <c r="V552">
        <v>6.1245000000000001E-2</v>
      </c>
      <c r="W552">
        <v>1.4017999999999999E-2</v>
      </c>
      <c r="Y552" t="s">
        <v>1</v>
      </c>
      <c r="Z552">
        <v>2750</v>
      </c>
      <c r="AA552">
        <v>60</v>
      </c>
      <c r="AB552">
        <v>96827</v>
      </c>
      <c r="AC552">
        <v>0</v>
      </c>
      <c r="AD552">
        <v>2747245460174</v>
      </c>
      <c r="AE552">
        <v>6339774496.6499996</v>
      </c>
      <c r="AF552">
        <v>2723385190985.23</v>
      </c>
      <c r="AG552">
        <v>2739379152365.4902</v>
      </c>
      <c r="AH552">
        <v>7.3901999999999995E-2</v>
      </c>
      <c r="AI552">
        <v>6.6480000000000003E-3</v>
      </c>
    </row>
    <row r="553" spans="13:35" x14ac:dyDescent="0.35">
      <c r="M553" t="s">
        <v>1</v>
      </c>
      <c r="N553">
        <v>3500</v>
      </c>
      <c r="O553">
        <v>54</v>
      </c>
      <c r="P553">
        <v>21533</v>
      </c>
      <c r="Q553">
        <v>0</v>
      </c>
      <c r="R553">
        <v>574419841224</v>
      </c>
      <c r="S553">
        <v>1164380380.3900001</v>
      </c>
      <c r="T553">
        <v>568125336138.30005</v>
      </c>
      <c r="U553">
        <v>572135304923.29004</v>
      </c>
      <c r="V553">
        <v>0.102061</v>
      </c>
      <c r="W553">
        <v>2.3151000000000001E-2</v>
      </c>
      <c r="Y553" t="s">
        <v>2</v>
      </c>
      <c r="Z553">
        <v>4000</v>
      </c>
      <c r="AA553">
        <v>60</v>
      </c>
      <c r="AB553">
        <v>845</v>
      </c>
      <c r="AC553">
        <v>0</v>
      </c>
      <c r="AD553">
        <v>11028104290</v>
      </c>
      <c r="AE553">
        <v>21509951.68</v>
      </c>
      <c r="AF553">
        <v>10935553345.219999</v>
      </c>
      <c r="AG553">
        <v>11006594338.32</v>
      </c>
      <c r="AH553">
        <v>7.4621000000000007E-2</v>
      </c>
      <c r="AI553">
        <v>0</v>
      </c>
    </row>
    <row r="554" spans="13:35" x14ac:dyDescent="0.35">
      <c r="M554" t="s">
        <v>0</v>
      </c>
      <c r="N554">
        <v>4000</v>
      </c>
      <c r="O554">
        <v>54</v>
      </c>
      <c r="P554">
        <v>22462</v>
      </c>
      <c r="Q554">
        <v>0</v>
      </c>
      <c r="R554">
        <v>500513519641</v>
      </c>
      <c r="S554">
        <v>939153240.50999999</v>
      </c>
      <c r="T554">
        <v>496675802752.96002</v>
      </c>
      <c r="U554">
        <v>498883048277.29999</v>
      </c>
      <c r="V554">
        <v>6.7322999999999994E-2</v>
      </c>
      <c r="W554">
        <v>1.6448999999999998E-2</v>
      </c>
      <c r="Y554" t="s">
        <v>1</v>
      </c>
      <c r="Z554">
        <v>4000</v>
      </c>
      <c r="AA554">
        <v>60</v>
      </c>
      <c r="AB554">
        <v>1244</v>
      </c>
      <c r="AC554">
        <v>0</v>
      </c>
      <c r="AD554">
        <v>27217759633</v>
      </c>
      <c r="AE554">
        <v>52863013.229999997</v>
      </c>
      <c r="AF554">
        <v>26992888238.619999</v>
      </c>
      <c r="AG554">
        <v>27053560612.02</v>
      </c>
      <c r="AH554">
        <v>7.3255000000000001E-2</v>
      </c>
      <c r="AI554">
        <v>4.7996999999999998E-2</v>
      </c>
    </row>
    <row r="555" spans="13:35" x14ac:dyDescent="0.35">
      <c r="M555" t="s">
        <v>2</v>
      </c>
      <c r="N555">
        <v>4000</v>
      </c>
      <c r="O555">
        <v>54</v>
      </c>
      <c r="P555">
        <v>1452</v>
      </c>
      <c r="Q555">
        <v>0</v>
      </c>
      <c r="R555">
        <v>21004533653</v>
      </c>
      <c r="S555">
        <v>39497785.740000002</v>
      </c>
      <c r="T555">
        <v>20856617705.080002</v>
      </c>
      <c r="U555">
        <v>20965035867.259998</v>
      </c>
      <c r="V555">
        <v>6.0211000000000001E-2</v>
      </c>
      <c r="W555">
        <v>0</v>
      </c>
      <c r="Y555" t="s">
        <v>2</v>
      </c>
      <c r="Z555">
        <v>3500</v>
      </c>
      <c r="AA555">
        <v>54</v>
      </c>
      <c r="AB555">
        <v>7678</v>
      </c>
      <c r="AC555">
        <v>0</v>
      </c>
      <c r="AD555">
        <v>115020356310</v>
      </c>
      <c r="AE555">
        <v>236791692.43000001</v>
      </c>
      <c r="AF555">
        <v>114165889255.87</v>
      </c>
      <c r="AG555">
        <v>114667727910.00999</v>
      </c>
      <c r="AH555">
        <v>6.2572000000000003E-2</v>
      </c>
      <c r="AI555">
        <v>1.2017999999999999E-2</v>
      </c>
    </row>
    <row r="556" spans="13:35" x14ac:dyDescent="0.35">
      <c r="M556" t="s">
        <v>2</v>
      </c>
      <c r="N556">
        <v>3250</v>
      </c>
      <c r="O556">
        <v>60</v>
      </c>
      <c r="P556">
        <v>12813</v>
      </c>
      <c r="Q556">
        <v>0</v>
      </c>
      <c r="R556">
        <v>200091996681</v>
      </c>
      <c r="S556">
        <v>433124226.62</v>
      </c>
      <c r="T556">
        <v>198390832160.56</v>
      </c>
      <c r="U556">
        <v>199487701334.56</v>
      </c>
      <c r="V556">
        <v>7.3452000000000003E-2</v>
      </c>
      <c r="W556">
        <v>1.0217E-2</v>
      </c>
      <c r="Y556" t="s">
        <v>0</v>
      </c>
      <c r="Z556">
        <v>3500</v>
      </c>
      <c r="AA556">
        <v>54</v>
      </c>
      <c r="AB556">
        <v>54612</v>
      </c>
      <c r="AC556">
        <v>0</v>
      </c>
      <c r="AD556">
        <v>1158316609299</v>
      </c>
      <c r="AE556">
        <v>2341150279.02</v>
      </c>
      <c r="AF556">
        <v>1149877730693.54</v>
      </c>
      <c r="AG556">
        <v>1154521210734.48</v>
      </c>
      <c r="AH556">
        <v>6.1373999999999998E-2</v>
      </c>
      <c r="AI556">
        <v>1.4962E-2</v>
      </c>
    </row>
    <row r="557" spans="13:35" x14ac:dyDescent="0.35">
      <c r="M557" t="s">
        <v>0</v>
      </c>
      <c r="N557">
        <v>3250</v>
      </c>
      <c r="O557">
        <v>54</v>
      </c>
      <c r="P557">
        <v>142304</v>
      </c>
      <c r="Q557">
        <v>0</v>
      </c>
      <c r="R557">
        <v>2991972051479</v>
      </c>
      <c r="S557">
        <v>6295690463.6599998</v>
      </c>
      <c r="T557">
        <v>2969276066374.8501</v>
      </c>
      <c r="U557">
        <v>2981687152346.3999</v>
      </c>
      <c r="V557">
        <v>6.3829999999999998E-2</v>
      </c>
      <c r="W557">
        <v>1.5883000000000001E-2</v>
      </c>
      <c r="Y557" t="s">
        <v>1</v>
      </c>
      <c r="Z557">
        <v>3500</v>
      </c>
      <c r="AA557">
        <v>54</v>
      </c>
      <c r="AB557">
        <v>19321</v>
      </c>
      <c r="AC557">
        <v>0</v>
      </c>
      <c r="AD557">
        <v>491790697335</v>
      </c>
      <c r="AE557">
        <v>998707638.88999999</v>
      </c>
      <c r="AF557">
        <v>485788392534.51001</v>
      </c>
      <c r="AG557">
        <v>489376717852.88</v>
      </c>
      <c r="AH557">
        <v>0.115485</v>
      </c>
      <c r="AI557">
        <v>3.3992000000000001E-2</v>
      </c>
    </row>
    <row r="558" spans="13:35" x14ac:dyDescent="0.35">
      <c r="M558" t="s">
        <v>0</v>
      </c>
      <c r="N558">
        <v>2750</v>
      </c>
      <c r="O558">
        <v>54</v>
      </c>
      <c r="P558">
        <v>62281</v>
      </c>
      <c r="Q558">
        <v>0</v>
      </c>
      <c r="R558">
        <v>1486925341964</v>
      </c>
      <c r="S558">
        <v>3362044829.4299998</v>
      </c>
      <c r="T558">
        <v>1477541998581.52</v>
      </c>
      <c r="U558">
        <v>1482911210448.71</v>
      </c>
      <c r="V558">
        <v>4.7525999999999999E-2</v>
      </c>
      <c r="W558">
        <v>5.2500000000000003E-3</v>
      </c>
      <c r="Y558" t="s">
        <v>0</v>
      </c>
      <c r="Z558">
        <v>4000</v>
      </c>
      <c r="AA558">
        <v>54</v>
      </c>
      <c r="AB558">
        <v>18051</v>
      </c>
      <c r="AC558">
        <v>0</v>
      </c>
      <c r="AD558">
        <v>397871114028</v>
      </c>
      <c r="AE558">
        <v>748230583.88999999</v>
      </c>
      <c r="AF558">
        <v>395279319445.09998</v>
      </c>
      <c r="AG558">
        <v>396608379305.73999</v>
      </c>
      <c r="AH558">
        <v>5.4206999999999998E-2</v>
      </c>
      <c r="AI558">
        <v>1.5408E-2</v>
      </c>
    </row>
    <row r="559" spans="13:35" x14ac:dyDescent="0.35">
      <c r="M559" t="s">
        <v>2</v>
      </c>
      <c r="N559">
        <v>2750</v>
      </c>
      <c r="O559">
        <v>54</v>
      </c>
      <c r="P559">
        <v>6522</v>
      </c>
      <c r="Q559">
        <v>0</v>
      </c>
      <c r="R559">
        <v>117513595813</v>
      </c>
      <c r="S559">
        <v>264873013.72999999</v>
      </c>
      <c r="T559">
        <v>116698856003.53</v>
      </c>
      <c r="U559">
        <v>117203154845.42999</v>
      </c>
      <c r="V559">
        <v>5.4726999999999998E-2</v>
      </c>
      <c r="W559">
        <v>4.6430000000000004E-3</v>
      </c>
      <c r="Y559" t="s">
        <v>1</v>
      </c>
      <c r="Z559">
        <v>4000</v>
      </c>
      <c r="AA559">
        <v>54</v>
      </c>
      <c r="AB559">
        <v>2780</v>
      </c>
      <c r="AC559">
        <v>0</v>
      </c>
      <c r="AD559">
        <v>69433272276</v>
      </c>
      <c r="AE559">
        <v>130007658.01000001</v>
      </c>
      <c r="AF559">
        <v>68412649054.889999</v>
      </c>
      <c r="AG559">
        <v>69078018035.020004</v>
      </c>
      <c r="AH559">
        <v>0.143515</v>
      </c>
      <c r="AI559">
        <v>3.8241999999999998E-2</v>
      </c>
    </row>
    <row r="560" spans="13:35" x14ac:dyDescent="0.35">
      <c r="M560" t="s">
        <v>2</v>
      </c>
      <c r="N560">
        <v>2500</v>
      </c>
      <c r="O560">
        <v>54</v>
      </c>
      <c r="P560">
        <v>2230</v>
      </c>
      <c r="Q560">
        <v>0</v>
      </c>
      <c r="R560">
        <v>42174709284</v>
      </c>
      <c r="S560">
        <v>98648750.459999993</v>
      </c>
      <c r="T560">
        <v>41925135895.050003</v>
      </c>
      <c r="U560">
        <v>42076060533.540001</v>
      </c>
      <c r="V560">
        <v>4.2106999999999999E-2</v>
      </c>
      <c r="W560">
        <v>0</v>
      </c>
      <c r="Y560" t="s">
        <v>2</v>
      </c>
      <c r="Z560">
        <v>4000</v>
      </c>
      <c r="AA560">
        <v>54</v>
      </c>
      <c r="AB560">
        <v>998</v>
      </c>
      <c r="AC560">
        <v>0</v>
      </c>
      <c r="AD560">
        <v>13628194828</v>
      </c>
      <c r="AE560">
        <v>25759738.100000001</v>
      </c>
      <c r="AF560">
        <v>13466409401.84</v>
      </c>
      <c r="AG560">
        <v>13591924232.07</v>
      </c>
      <c r="AH560">
        <v>0.113413</v>
      </c>
      <c r="AI560">
        <v>9.2160000000000002E-3</v>
      </c>
    </row>
    <row r="561" spans="13:35" x14ac:dyDescent="0.35">
      <c r="M561" t="s">
        <v>0</v>
      </c>
      <c r="N561">
        <v>2500</v>
      </c>
      <c r="O561">
        <v>54</v>
      </c>
      <c r="P561">
        <v>25113</v>
      </c>
      <c r="Q561">
        <v>0</v>
      </c>
      <c r="R561">
        <v>651744503727</v>
      </c>
      <c r="S561">
        <v>1530427882.27</v>
      </c>
      <c r="T561">
        <v>647898779326.34998</v>
      </c>
      <c r="U561">
        <v>650046893821.82996</v>
      </c>
      <c r="V561">
        <v>4.1806000000000003E-2</v>
      </c>
      <c r="W561">
        <v>3.0739999999999999E-3</v>
      </c>
      <c r="Y561" t="s">
        <v>2</v>
      </c>
      <c r="Z561">
        <v>3250</v>
      </c>
      <c r="AA561">
        <v>60</v>
      </c>
      <c r="AB561">
        <v>11873</v>
      </c>
      <c r="AC561">
        <v>0</v>
      </c>
      <c r="AD561">
        <v>183154879619</v>
      </c>
      <c r="AE561">
        <v>395958295.02999997</v>
      </c>
      <c r="AF561">
        <v>181811609993.82001</v>
      </c>
      <c r="AG561">
        <v>182590870444.76999</v>
      </c>
      <c r="AH561">
        <v>6.0331000000000003E-2</v>
      </c>
      <c r="AI561">
        <v>1.0954999999999999E-2</v>
      </c>
    </row>
    <row r="562" spans="13:35" x14ac:dyDescent="0.35">
      <c r="M562" t="s">
        <v>1</v>
      </c>
      <c r="N562">
        <v>2500</v>
      </c>
      <c r="O562">
        <v>54</v>
      </c>
      <c r="P562">
        <v>53756</v>
      </c>
      <c r="Q562">
        <v>0</v>
      </c>
      <c r="R562">
        <v>1684615566348</v>
      </c>
      <c r="S562">
        <v>3948875098.8299999</v>
      </c>
      <c r="T562">
        <v>1670047447850.3301</v>
      </c>
      <c r="U562">
        <v>1679900585861.3101</v>
      </c>
      <c r="V562">
        <v>7.3076000000000002E-2</v>
      </c>
      <c r="W562">
        <v>5.4440000000000001E-3</v>
      </c>
      <c r="Y562" t="s">
        <v>1</v>
      </c>
      <c r="Z562">
        <v>2500</v>
      </c>
      <c r="AA562">
        <v>54</v>
      </c>
      <c r="AB562">
        <v>64490</v>
      </c>
      <c r="AC562">
        <v>0</v>
      </c>
      <c r="AD562">
        <v>2010901070723</v>
      </c>
      <c r="AE562">
        <v>4708311544.2200003</v>
      </c>
      <c r="AF562">
        <v>1995019526386.5601</v>
      </c>
      <c r="AG562">
        <v>2005205728278.3201</v>
      </c>
      <c r="AH562">
        <v>6.4675999999999997E-2</v>
      </c>
      <c r="AI562">
        <v>5.8739999999999999E-3</v>
      </c>
    </row>
    <row r="563" spans="13:35" x14ac:dyDescent="0.35">
      <c r="M563" t="s">
        <v>0</v>
      </c>
      <c r="N563">
        <v>3000</v>
      </c>
      <c r="O563">
        <v>48</v>
      </c>
      <c r="P563">
        <v>5119</v>
      </c>
      <c r="Q563">
        <v>0</v>
      </c>
      <c r="R563">
        <v>123715061165</v>
      </c>
      <c r="S563">
        <v>263331830.09999999</v>
      </c>
      <c r="T563">
        <v>122861645435.17</v>
      </c>
      <c r="U563">
        <v>123393656445.56</v>
      </c>
      <c r="V563">
        <v>5.5759000000000003E-2</v>
      </c>
      <c r="W563">
        <v>5.6179999999999997E-3</v>
      </c>
      <c r="Y563" t="s">
        <v>1</v>
      </c>
      <c r="Z563">
        <v>2250</v>
      </c>
      <c r="AA563">
        <v>54</v>
      </c>
      <c r="AB563">
        <v>68954</v>
      </c>
      <c r="AC563">
        <v>0</v>
      </c>
      <c r="AD563">
        <v>2164587116442</v>
      </c>
      <c r="AE563">
        <v>5215435202.9399996</v>
      </c>
      <c r="AF563">
        <v>2148534396279.9199</v>
      </c>
      <c r="AG563">
        <v>2158616564069.03</v>
      </c>
      <c r="AH563">
        <v>5.8451999999999997E-2</v>
      </c>
      <c r="AI563">
        <v>4.1780000000000003E-3</v>
      </c>
    </row>
    <row r="564" spans="13:35" x14ac:dyDescent="0.35">
      <c r="M564" t="s">
        <v>2</v>
      </c>
      <c r="N564">
        <v>3000</v>
      </c>
      <c r="O564">
        <v>48</v>
      </c>
      <c r="P564">
        <v>371</v>
      </c>
      <c r="Q564">
        <v>0</v>
      </c>
      <c r="R564">
        <v>6828188067</v>
      </c>
      <c r="S564">
        <v>14584585.74</v>
      </c>
      <c r="T564">
        <v>6760137426.1000004</v>
      </c>
      <c r="U564">
        <v>6813603481.2600002</v>
      </c>
      <c r="V564">
        <v>9.0020000000000003E-2</v>
      </c>
      <c r="W564">
        <v>0</v>
      </c>
      <c r="Y564" t="s">
        <v>0</v>
      </c>
      <c r="Z564">
        <v>2250</v>
      </c>
      <c r="AA564">
        <v>54</v>
      </c>
      <c r="AB564">
        <v>13554</v>
      </c>
      <c r="AC564">
        <v>0</v>
      </c>
      <c r="AD564">
        <v>348502260004</v>
      </c>
      <c r="AE564">
        <v>844382272.21000004</v>
      </c>
      <c r="AF564">
        <v>346362236745.96002</v>
      </c>
      <c r="AG564">
        <v>347639230719.02002</v>
      </c>
      <c r="AH564">
        <v>4.3712000000000001E-2</v>
      </c>
      <c r="AI564">
        <v>6.4199999999999999E-4</v>
      </c>
    </row>
    <row r="565" spans="13:35" x14ac:dyDescent="0.35">
      <c r="M565" t="s">
        <v>1</v>
      </c>
      <c r="N565">
        <v>3000</v>
      </c>
      <c r="O565">
        <v>48</v>
      </c>
      <c r="P565">
        <v>6020</v>
      </c>
      <c r="Q565">
        <v>0</v>
      </c>
      <c r="R565">
        <v>220629912748</v>
      </c>
      <c r="S565">
        <v>470366750.55000001</v>
      </c>
      <c r="T565">
        <v>218341008951.51999</v>
      </c>
      <c r="U565">
        <v>219961698273.10001</v>
      </c>
      <c r="V565">
        <v>9.4547000000000006E-2</v>
      </c>
      <c r="W565">
        <v>1.0708000000000001E-2</v>
      </c>
      <c r="Y565" t="s">
        <v>2</v>
      </c>
      <c r="Z565">
        <v>2750</v>
      </c>
      <c r="AA565">
        <v>54</v>
      </c>
      <c r="AB565">
        <v>7808</v>
      </c>
      <c r="AC565">
        <v>0</v>
      </c>
      <c r="AD565">
        <v>140721810351</v>
      </c>
      <c r="AE565">
        <v>316663709.27999997</v>
      </c>
      <c r="AF565">
        <v>139610329863.26999</v>
      </c>
      <c r="AG565">
        <v>140335683299.89001</v>
      </c>
      <c r="AH565">
        <v>6.5711000000000006E-2</v>
      </c>
      <c r="AI565">
        <v>5.9069999999999999E-3</v>
      </c>
    </row>
    <row r="566" spans="13:35" x14ac:dyDescent="0.35">
      <c r="M566" t="s">
        <v>0</v>
      </c>
      <c r="N566">
        <v>3500</v>
      </c>
      <c r="O566">
        <v>48</v>
      </c>
      <c r="P566">
        <v>13176</v>
      </c>
      <c r="Q566">
        <v>0</v>
      </c>
      <c r="R566">
        <v>333741061344</v>
      </c>
      <c r="S566">
        <v>660056360.83000004</v>
      </c>
      <c r="T566">
        <v>331405661796.06</v>
      </c>
      <c r="U566">
        <v>332920890335.90002</v>
      </c>
      <c r="V566">
        <v>5.8603000000000002E-2</v>
      </c>
      <c r="W566">
        <v>5.7419999999999997E-3</v>
      </c>
      <c r="Y566" t="s">
        <v>0</v>
      </c>
      <c r="Z566">
        <v>2750</v>
      </c>
      <c r="AA566">
        <v>54</v>
      </c>
      <c r="AB566">
        <v>78140</v>
      </c>
      <c r="AC566">
        <v>0</v>
      </c>
      <c r="AD566">
        <v>1850105719678</v>
      </c>
      <c r="AE566">
        <v>4179198650.7399998</v>
      </c>
      <c r="AF566">
        <v>1838640530012.3201</v>
      </c>
      <c r="AG566">
        <v>1845440566066.28</v>
      </c>
      <c r="AH566">
        <v>4.6247999999999997E-2</v>
      </c>
      <c r="AI566">
        <v>3.1470000000000001E-3</v>
      </c>
    </row>
    <row r="567" spans="13:35" x14ac:dyDescent="0.35">
      <c r="M567" t="s">
        <v>1</v>
      </c>
      <c r="N567">
        <v>3500</v>
      </c>
      <c r="O567">
        <v>48</v>
      </c>
      <c r="P567">
        <v>12079</v>
      </c>
      <c r="Q567">
        <v>0</v>
      </c>
      <c r="R567">
        <v>427924395671</v>
      </c>
      <c r="S567">
        <v>847266673.12</v>
      </c>
      <c r="T567">
        <v>423030206710.10999</v>
      </c>
      <c r="U567">
        <v>426564816269.34003</v>
      </c>
      <c r="V567">
        <v>0.107765</v>
      </c>
      <c r="W567">
        <v>1.4272E-2</v>
      </c>
      <c r="Y567" t="s">
        <v>0</v>
      </c>
      <c r="Z567">
        <v>3250</v>
      </c>
      <c r="AA567">
        <v>54</v>
      </c>
      <c r="AB567">
        <v>156484</v>
      </c>
      <c r="AC567">
        <v>0</v>
      </c>
      <c r="AD567">
        <v>3289910551085</v>
      </c>
      <c r="AE567">
        <v>6912712734.3900003</v>
      </c>
      <c r="AF567">
        <v>3264852398666.3398</v>
      </c>
      <c r="AG567">
        <v>3278776924262.6099</v>
      </c>
      <c r="AH567">
        <v>6.4213999999999993E-2</v>
      </c>
      <c r="AI567">
        <v>1.5288E-2</v>
      </c>
    </row>
    <row r="568" spans="13:35" x14ac:dyDescent="0.35">
      <c r="M568" t="s">
        <v>2</v>
      </c>
      <c r="N568">
        <v>3500</v>
      </c>
      <c r="O568">
        <v>48</v>
      </c>
      <c r="P568">
        <v>1304</v>
      </c>
      <c r="Q568">
        <v>0</v>
      </c>
      <c r="R568">
        <v>23429878064</v>
      </c>
      <c r="S568">
        <v>46603566.689999998</v>
      </c>
      <c r="T568">
        <v>23171385771.07</v>
      </c>
      <c r="U568">
        <v>23383274497.310001</v>
      </c>
      <c r="V568">
        <v>0.103284</v>
      </c>
      <c r="W568">
        <v>0</v>
      </c>
      <c r="Y568" t="s">
        <v>1</v>
      </c>
      <c r="Z568">
        <v>2750</v>
      </c>
      <c r="AA568">
        <v>54</v>
      </c>
      <c r="AB568">
        <v>81799</v>
      </c>
      <c r="AC568">
        <v>0</v>
      </c>
      <c r="AD568">
        <v>2493086981561</v>
      </c>
      <c r="AE568">
        <v>5614761947.96</v>
      </c>
      <c r="AF568">
        <v>2470828231926.3301</v>
      </c>
      <c r="AG568">
        <v>2485606978785.0898</v>
      </c>
      <c r="AH568">
        <v>7.7235999999999999E-2</v>
      </c>
      <c r="AI568">
        <v>8.9409999999999993E-3</v>
      </c>
    </row>
    <row r="569" spans="13:35" x14ac:dyDescent="0.35">
      <c r="M569" t="s">
        <v>0</v>
      </c>
      <c r="N569">
        <v>4000</v>
      </c>
      <c r="O569">
        <v>48</v>
      </c>
      <c r="P569">
        <v>27184</v>
      </c>
      <c r="Q569">
        <v>0</v>
      </c>
      <c r="R569">
        <v>658984354365</v>
      </c>
      <c r="S569">
        <v>1210068280.6099999</v>
      </c>
      <c r="T569">
        <v>654160741031.81995</v>
      </c>
      <c r="U569">
        <v>657054827050.90002</v>
      </c>
      <c r="V569">
        <v>6.3852999999999993E-2</v>
      </c>
      <c r="W569">
        <v>1.3023E-2</v>
      </c>
      <c r="Y569" t="s">
        <v>0</v>
      </c>
      <c r="Z569">
        <v>2500</v>
      </c>
      <c r="AA569">
        <v>48</v>
      </c>
      <c r="AB569">
        <v>1248</v>
      </c>
      <c r="AC569">
        <v>0</v>
      </c>
      <c r="AD569">
        <v>33554186311</v>
      </c>
      <c r="AE569">
        <v>76782403.700000003</v>
      </c>
      <c r="AF569">
        <v>33430684506.860001</v>
      </c>
      <c r="AG569">
        <v>33477403907.299999</v>
      </c>
      <c r="AH569">
        <v>1.6580999999999999E-2</v>
      </c>
      <c r="AI569">
        <v>0</v>
      </c>
    </row>
    <row r="570" spans="13:35" x14ac:dyDescent="0.35">
      <c r="M570" t="s">
        <v>1</v>
      </c>
      <c r="N570">
        <v>4000</v>
      </c>
      <c r="O570">
        <v>48</v>
      </c>
      <c r="P570">
        <v>15668</v>
      </c>
      <c r="Q570">
        <v>0</v>
      </c>
      <c r="R570">
        <v>525234567516</v>
      </c>
      <c r="S570">
        <v>962513286.39999998</v>
      </c>
      <c r="T570">
        <v>519145416538.14001</v>
      </c>
      <c r="U570">
        <v>523282347355.21997</v>
      </c>
      <c r="V570">
        <v>0.11104</v>
      </c>
      <c r="W570">
        <v>2.2379E-2</v>
      </c>
      <c r="Y570" t="s">
        <v>2</v>
      </c>
      <c r="Z570">
        <v>2500</v>
      </c>
      <c r="AA570">
        <v>48</v>
      </c>
      <c r="AB570">
        <v>123</v>
      </c>
      <c r="AC570">
        <v>0</v>
      </c>
      <c r="AD570">
        <v>2192282635</v>
      </c>
      <c r="AE570">
        <v>5035762.33</v>
      </c>
      <c r="AF570">
        <v>2187246872.6700001</v>
      </c>
      <c r="AG570">
        <v>2187246872.6700001</v>
      </c>
      <c r="AH570">
        <v>0</v>
      </c>
      <c r="AI570">
        <v>0</v>
      </c>
    </row>
    <row r="571" spans="13:35" x14ac:dyDescent="0.35">
      <c r="M571" t="s">
        <v>2</v>
      </c>
      <c r="N571">
        <v>5000</v>
      </c>
      <c r="O571">
        <v>48</v>
      </c>
      <c r="P571">
        <v>2206</v>
      </c>
      <c r="Q571">
        <v>0</v>
      </c>
      <c r="R571">
        <v>38557864914</v>
      </c>
      <c r="S571">
        <v>59966936.590000004</v>
      </c>
      <c r="T571">
        <v>38158355063.68</v>
      </c>
      <c r="U571">
        <v>38456460945.900002</v>
      </c>
      <c r="V571">
        <v>0.100702</v>
      </c>
      <c r="W571">
        <v>1.282E-2</v>
      </c>
      <c r="Y571" t="s">
        <v>2</v>
      </c>
      <c r="Z571">
        <v>3000</v>
      </c>
      <c r="AA571">
        <v>48</v>
      </c>
      <c r="AB571">
        <v>882</v>
      </c>
      <c r="AC571">
        <v>0</v>
      </c>
      <c r="AD571">
        <v>15989436422</v>
      </c>
      <c r="AE571">
        <v>34090151.920000002</v>
      </c>
      <c r="AF571">
        <v>15815317479.120001</v>
      </c>
      <c r="AG571">
        <v>15955346270.08</v>
      </c>
      <c r="AH571">
        <v>0.100174</v>
      </c>
      <c r="AI571">
        <v>0</v>
      </c>
    </row>
    <row r="572" spans="13:35" x14ac:dyDescent="0.35">
      <c r="M572" t="s">
        <v>0</v>
      </c>
      <c r="N572">
        <v>5500</v>
      </c>
      <c r="O572">
        <v>48</v>
      </c>
      <c r="P572">
        <v>21905</v>
      </c>
      <c r="Q572">
        <v>0</v>
      </c>
      <c r="R572">
        <v>539452576035</v>
      </c>
      <c r="S572">
        <v>770594927.46000004</v>
      </c>
      <c r="T572">
        <v>535045086041.07001</v>
      </c>
      <c r="U572">
        <v>537357103730.44</v>
      </c>
      <c r="V572">
        <v>7.7967999999999996E-2</v>
      </c>
      <c r="W572">
        <v>2.9076999999999999E-2</v>
      </c>
      <c r="Y572" t="s">
        <v>0</v>
      </c>
      <c r="Z572">
        <v>3000</v>
      </c>
      <c r="AA572">
        <v>48</v>
      </c>
      <c r="AB572">
        <v>10503</v>
      </c>
      <c r="AC572">
        <v>0</v>
      </c>
      <c r="AD572">
        <v>254331269605</v>
      </c>
      <c r="AE572">
        <v>541480015.88999999</v>
      </c>
      <c r="AF572">
        <v>252783083874.91</v>
      </c>
      <c r="AG572">
        <v>253676708629.22</v>
      </c>
      <c r="AH572">
        <v>4.6477999999999998E-2</v>
      </c>
      <c r="AI572">
        <v>5.3220000000000003E-3</v>
      </c>
    </row>
    <row r="573" spans="13:35" x14ac:dyDescent="0.35">
      <c r="M573" t="s">
        <v>1</v>
      </c>
      <c r="N573">
        <v>5500</v>
      </c>
      <c r="O573">
        <v>48</v>
      </c>
      <c r="P573">
        <v>9848</v>
      </c>
      <c r="Q573">
        <v>0</v>
      </c>
      <c r="R573">
        <v>302031063767</v>
      </c>
      <c r="S573">
        <v>431467002.45999998</v>
      </c>
      <c r="T573">
        <v>297973917670.53998</v>
      </c>
      <c r="U573">
        <v>300926789000.70001</v>
      </c>
      <c r="V573">
        <v>0.134912</v>
      </c>
      <c r="W573">
        <v>2.6405999999999999E-2</v>
      </c>
      <c r="Y573" t="s">
        <v>2</v>
      </c>
      <c r="Z573">
        <v>3500</v>
      </c>
      <c r="AA573">
        <v>48</v>
      </c>
      <c r="AB573">
        <v>2336</v>
      </c>
      <c r="AC573">
        <v>0</v>
      </c>
      <c r="AD573">
        <v>40571206503</v>
      </c>
      <c r="AE573">
        <v>80490445.849999994</v>
      </c>
      <c r="AF573">
        <v>40290536088.120003</v>
      </c>
      <c r="AG573">
        <v>40364375163.839996</v>
      </c>
      <c r="AH573">
        <v>5.7627999999999999E-2</v>
      </c>
      <c r="AI573">
        <v>3.6734999999999997E-2</v>
      </c>
    </row>
    <row r="574" spans="13:35" x14ac:dyDescent="0.35">
      <c r="M574" t="s">
        <v>2</v>
      </c>
      <c r="N574">
        <v>5500</v>
      </c>
      <c r="O574">
        <v>48</v>
      </c>
      <c r="P574">
        <v>1612</v>
      </c>
      <c r="Q574">
        <v>0</v>
      </c>
      <c r="R574">
        <v>25515293601</v>
      </c>
      <c r="S574">
        <v>36372290.509999998</v>
      </c>
      <c r="T574">
        <v>25160166267.490002</v>
      </c>
      <c r="U574">
        <v>25394471806.099998</v>
      </c>
      <c r="V574">
        <v>0.14002899999999999</v>
      </c>
      <c r="W574">
        <v>3.9002000000000002E-2</v>
      </c>
      <c r="Y574" t="s">
        <v>0</v>
      </c>
      <c r="Z574">
        <v>3500</v>
      </c>
      <c r="AA574">
        <v>48</v>
      </c>
      <c r="AB574">
        <v>25211</v>
      </c>
      <c r="AC574">
        <v>0</v>
      </c>
      <c r="AD574">
        <v>596587514091</v>
      </c>
      <c r="AE574">
        <v>1178221684.96</v>
      </c>
      <c r="AF574">
        <v>592068150581.18994</v>
      </c>
      <c r="AG574">
        <v>594503173956.82996</v>
      </c>
      <c r="AH574">
        <v>6.5172999999999995E-2</v>
      </c>
      <c r="AI574">
        <v>1.8075000000000001E-2</v>
      </c>
    </row>
    <row r="575" spans="13:35" x14ac:dyDescent="0.35">
      <c r="M575" t="s">
        <v>0</v>
      </c>
      <c r="N575">
        <v>2250</v>
      </c>
      <c r="O575">
        <v>54</v>
      </c>
      <c r="P575">
        <v>10558</v>
      </c>
      <c r="Q575">
        <v>0</v>
      </c>
      <c r="R575">
        <v>270222972444</v>
      </c>
      <c r="S575">
        <v>655155301.25</v>
      </c>
      <c r="T575">
        <v>268531573310.45999</v>
      </c>
      <c r="U575">
        <v>269442585625.14999</v>
      </c>
      <c r="V575">
        <v>4.5059000000000002E-2</v>
      </c>
      <c r="W575">
        <v>5.5469999999999998E-3</v>
      </c>
      <c r="Y575" t="s">
        <v>1</v>
      </c>
      <c r="Z575">
        <v>3500</v>
      </c>
      <c r="AA575">
        <v>48</v>
      </c>
      <c r="AB575">
        <v>17312</v>
      </c>
      <c r="AC575">
        <v>0</v>
      </c>
      <c r="AD575">
        <v>588648543564</v>
      </c>
      <c r="AE575">
        <v>1163328142.47</v>
      </c>
      <c r="AF575">
        <v>582582787334.70996</v>
      </c>
      <c r="AG575">
        <v>586807267312.28003</v>
      </c>
      <c r="AH575">
        <v>9.5486000000000001E-2</v>
      </c>
      <c r="AI575">
        <v>1.3733E-2</v>
      </c>
    </row>
    <row r="576" spans="13:35" x14ac:dyDescent="0.35">
      <c r="M576" t="s">
        <v>2</v>
      </c>
      <c r="N576">
        <v>3250</v>
      </c>
      <c r="O576">
        <v>54</v>
      </c>
      <c r="P576">
        <v>10175</v>
      </c>
      <c r="Q576">
        <v>0</v>
      </c>
      <c r="R576">
        <v>160955869675</v>
      </c>
      <c r="S576">
        <v>339373765.06999999</v>
      </c>
      <c r="T576">
        <v>159588982180.73001</v>
      </c>
      <c r="U576">
        <v>160444132717.20001</v>
      </c>
      <c r="V576">
        <v>7.3972999999999997E-2</v>
      </c>
      <c r="W576">
        <v>1.2775E-2</v>
      </c>
      <c r="Y576" t="s">
        <v>1</v>
      </c>
      <c r="Z576">
        <v>3000</v>
      </c>
      <c r="AA576">
        <v>48</v>
      </c>
      <c r="AB576">
        <v>11887</v>
      </c>
      <c r="AC576">
        <v>0</v>
      </c>
      <c r="AD576">
        <v>420068838902</v>
      </c>
      <c r="AE576">
        <v>894801552.88999999</v>
      </c>
      <c r="AF576">
        <v>416662910657.79999</v>
      </c>
      <c r="AG576">
        <v>418919574264.51001</v>
      </c>
      <c r="AH576">
        <v>6.9422999999999999E-2</v>
      </c>
      <c r="AI576">
        <v>7.2449999999999997E-3</v>
      </c>
    </row>
    <row r="577" spans="13:35" x14ac:dyDescent="0.35">
      <c r="M577" t="s">
        <v>1</v>
      </c>
      <c r="N577">
        <v>2250</v>
      </c>
      <c r="O577">
        <v>54</v>
      </c>
      <c r="P577">
        <v>54122</v>
      </c>
      <c r="Q577">
        <v>0</v>
      </c>
      <c r="R577">
        <v>1718463837124</v>
      </c>
      <c r="S577">
        <v>4144050861.3000002</v>
      </c>
      <c r="T577">
        <v>1706114975810.25</v>
      </c>
      <c r="U577">
        <v>1713684181261.6201</v>
      </c>
      <c r="V577">
        <v>5.5813000000000001E-2</v>
      </c>
      <c r="W577">
        <v>4.4289999999999998E-3</v>
      </c>
      <c r="Y577" t="s">
        <v>0</v>
      </c>
      <c r="Z577">
        <v>4000</v>
      </c>
      <c r="AA577">
        <v>48</v>
      </c>
      <c r="AB577">
        <v>33916</v>
      </c>
      <c r="AC577">
        <v>0</v>
      </c>
      <c r="AD577">
        <v>807569040534</v>
      </c>
      <c r="AE577">
        <v>1479694814.55</v>
      </c>
      <c r="AF577">
        <v>801330576973.79004</v>
      </c>
      <c r="AG577">
        <v>805022669964.38</v>
      </c>
      <c r="AH577">
        <v>6.8464999999999998E-2</v>
      </c>
      <c r="AI577">
        <v>1.5736E-2</v>
      </c>
    </row>
    <row r="578" spans="13:35" x14ac:dyDescent="0.35">
      <c r="M578" t="s">
        <v>0</v>
      </c>
      <c r="N578">
        <v>3750</v>
      </c>
      <c r="O578">
        <v>54</v>
      </c>
      <c r="P578">
        <v>54962</v>
      </c>
      <c r="Q578">
        <v>0</v>
      </c>
      <c r="R578">
        <v>1201291387874</v>
      </c>
      <c r="S578">
        <v>2343817140.5599999</v>
      </c>
      <c r="T578">
        <v>1192564830423.02</v>
      </c>
      <c r="U578">
        <v>1197663331919.49</v>
      </c>
      <c r="V578">
        <v>6.1927999999999997E-2</v>
      </c>
      <c r="W578">
        <v>1.2753E-2</v>
      </c>
      <c r="Y578" t="s">
        <v>1</v>
      </c>
      <c r="Z578">
        <v>4000</v>
      </c>
      <c r="AA578">
        <v>48</v>
      </c>
      <c r="AB578">
        <v>17521</v>
      </c>
      <c r="AC578">
        <v>0</v>
      </c>
      <c r="AD578">
        <v>569401160957</v>
      </c>
      <c r="AE578">
        <v>1040464513.21</v>
      </c>
      <c r="AF578">
        <v>563348282646.93994</v>
      </c>
      <c r="AG578">
        <v>567238971003.83997</v>
      </c>
      <c r="AH578">
        <v>0.10066799999999999</v>
      </c>
      <c r="AI578">
        <v>2.3386000000000001E-2</v>
      </c>
    </row>
    <row r="579" spans="13:35" x14ac:dyDescent="0.35">
      <c r="M579" t="s">
        <v>3</v>
      </c>
      <c r="N579">
        <v>3500</v>
      </c>
      <c r="O579">
        <v>54</v>
      </c>
      <c r="P579">
        <v>135</v>
      </c>
      <c r="Q579">
        <v>0</v>
      </c>
      <c r="R579">
        <v>3055876310</v>
      </c>
      <c r="S579">
        <v>6166487.8300000001</v>
      </c>
      <c r="T579">
        <v>3028845804.7399998</v>
      </c>
      <c r="U579">
        <v>3049709822.1700001</v>
      </c>
      <c r="V579">
        <v>7.8922000000000006E-2</v>
      </c>
      <c r="W579">
        <v>0</v>
      </c>
      <c r="Y579" t="s">
        <v>2</v>
      </c>
      <c r="Z579">
        <v>5000</v>
      </c>
      <c r="AA579">
        <v>48</v>
      </c>
      <c r="AB579">
        <v>1890</v>
      </c>
      <c r="AC579">
        <v>0</v>
      </c>
      <c r="AD579">
        <v>32745837560</v>
      </c>
      <c r="AE579">
        <v>50769956.729999997</v>
      </c>
      <c r="AF579">
        <v>32360741492.939999</v>
      </c>
      <c r="AG579">
        <v>32566798043.57</v>
      </c>
      <c r="AH579">
        <v>0.115866</v>
      </c>
      <c r="AI579">
        <v>4.6005999999999998E-2</v>
      </c>
    </row>
    <row r="580" spans="13:35" x14ac:dyDescent="0.35">
      <c r="M580" t="s">
        <v>2</v>
      </c>
      <c r="N580">
        <v>2250</v>
      </c>
      <c r="O580">
        <v>54</v>
      </c>
      <c r="P580">
        <v>810</v>
      </c>
      <c r="Q580">
        <v>0</v>
      </c>
      <c r="R580">
        <v>14869466173</v>
      </c>
      <c r="S580">
        <v>35822808.649999999</v>
      </c>
      <c r="T580">
        <v>14747272426.059999</v>
      </c>
      <c r="U580">
        <v>14833643364.35</v>
      </c>
      <c r="V580">
        <v>6.7518999999999996E-2</v>
      </c>
      <c r="W580">
        <v>0</v>
      </c>
      <c r="Y580" t="s">
        <v>0</v>
      </c>
      <c r="Z580">
        <v>5500</v>
      </c>
      <c r="AA580">
        <v>48</v>
      </c>
      <c r="AB580">
        <v>17222</v>
      </c>
      <c r="AC580">
        <v>0</v>
      </c>
      <c r="AD580">
        <v>429445889866</v>
      </c>
      <c r="AE580">
        <v>611600797.08000004</v>
      </c>
      <c r="AF580">
        <v>425626495137.59003</v>
      </c>
      <c r="AG580">
        <v>427566091866.72998</v>
      </c>
      <c r="AH580">
        <v>8.6042999999999994E-2</v>
      </c>
      <c r="AI580">
        <v>3.4867000000000002E-2</v>
      </c>
    </row>
    <row r="581" spans="13:35" x14ac:dyDescent="0.35">
      <c r="M581" t="s">
        <v>1</v>
      </c>
      <c r="N581">
        <v>3250</v>
      </c>
      <c r="O581">
        <v>54</v>
      </c>
      <c r="P581">
        <v>40565</v>
      </c>
      <c r="Q581">
        <v>0</v>
      </c>
      <c r="R581">
        <v>1163740333648</v>
      </c>
      <c r="S581">
        <v>2437464243.8800001</v>
      </c>
      <c r="T581">
        <v>1150257886033.0901</v>
      </c>
      <c r="U581">
        <v>1159562659079.27</v>
      </c>
      <c r="V581">
        <v>0.10813</v>
      </c>
      <c r="W581">
        <v>1.7797E-2</v>
      </c>
      <c r="Y581" t="s">
        <v>1</v>
      </c>
      <c r="Z581">
        <v>5500</v>
      </c>
      <c r="AA581">
        <v>48</v>
      </c>
      <c r="AB581">
        <v>7508</v>
      </c>
      <c r="AC581">
        <v>0</v>
      </c>
      <c r="AD581">
        <v>232189968273</v>
      </c>
      <c r="AE581">
        <v>330651104.48000002</v>
      </c>
      <c r="AF581">
        <v>229060824736.42999</v>
      </c>
      <c r="AG581">
        <v>231091967818.56</v>
      </c>
      <c r="AH581">
        <v>0.13541900000000001</v>
      </c>
      <c r="AI581">
        <v>3.8945E-2</v>
      </c>
    </row>
    <row r="582" spans="13:35" x14ac:dyDescent="0.35">
      <c r="M582" t="s">
        <v>1</v>
      </c>
      <c r="N582">
        <v>4000</v>
      </c>
      <c r="O582">
        <v>54</v>
      </c>
      <c r="P582">
        <v>4801</v>
      </c>
      <c r="Q582">
        <v>0</v>
      </c>
      <c r="R582">
        <v>124594284243</v>
      </c>
      <c r="S582">
        <v>232727321.75</v>
      </c>
      <c r="T582">
        <v>123088265228.25999</v>
      </c>
      <c r="U582">
        <v>123947727916.78</v>
      </c>
      <c r="V582">
        <v>0.115971</v>
      </c>
      <c r="W582">
        <v>3.9136999999999998E-2</v>
      </c>
      <c r="Y582" t="s">
        <v>2</v>
      </c>
      <c r="Z582">
        <v>5500</v>
      </c>
      <c r="AA582">
        <v>48</v>
      </c>
      <c r="AB582">
        <v>1145</v>
      </c>
      <c r="AC582">
        <v>0</v>
      </c>
      <c r="AD582">
        <v>17822179349</v>
      </c>
      <c r="AE582">
        <v>25351275.850000001</v>
      </c>
      <c r="AF582">
        <v>17694010566.990002</v>
      </c>
      <c r="AG582">
        <v>17756397035.349998</v>
      </c>
      <c r="AH582">
        <v>6.7073999999999995E-2</v>
      </c>
      <c r="AI582">
        <v>2.6886E-2</v>
      </c>
    </row>
    <row r="583" spans="13:35" x14ac:dyDescent="0.35">
      <c r="M583" t="s">
        <v>2</v>
      </c>
      <c r="N583">
        <v>4000</v>
      </c>
      <c r="O583">
        <v>48</v>
      </c>
      <c r="P583">
        <v>2246</v>
      </c>
      <c r="Q583">
        <v>0</v>
      </c>
      <c r="R583">
        <v>38836674147</v>
      </c>
      <c r="S583">
        <v>71502496.170000002</v>
      </c>
      <c r="T583">
        <v>38405614343.150002</v>
      </c>
      <c r="U583">
        <v>38638095143.739998</v>
      </c>
      <c r="V583">
        <v>0.105612</v>
      </c>
      <c r="W583">
        <v>3.8566000000000003E-2</v>
      </c>
      <c r="Y583" t="s">
        <v>2</v>
      </c>
      <c r="Z583">
        <v>5000</v>
      </c>
      <c r="AA583">
        <v>42</v>
      </c>
      <c r="AB583">
        <v>782</v>
      </c>
      <c r="AC583">
        <v>0</v>
      </c>
      <c r="AD583">
        <v>14737662839</v>
      </c>
      <c r="AE583">
        <v>22387559.149999999</v>
      </c>
      <c r="AF583">
        <v>14668220797.49</v>
      </c>
      <c r="AG583">
        <v>14715275279.85</v>
      </c>
      <c r="AH583">
        <v>3.7648000000000001E-2</v>
      </c>
      <c r="AI583">
        <v>0</v>
      </c>
    </row>
    <row r="584" spans="13:35" x14ac:dyDescent="0.35">
      <c r="M584" t="s">
        <v>2</v>
      </c>
      <c r="N584">
        <v>4500</v>
      </c>
      <c r="O584">
        <v>54</v>
      </c>
      <c r="P584">
        <v>236</v>
      </c>
      <c r="Q584">
        <v>0</v>
      </c>
      <c r="R584">
        <v>3178397560</v>
      </c>
      <c r="S584">
        <v>5626612.1799999997</v>
      </c>
      <c r="T584">
        <v>3136151300.6199999</v>
      </c>
      <c r="U584">
        <v>3172770947.8200002</v>
      </c>
      <c r="V584">
        <v>0.12982399999999999</v>
      </c>
      <c r="W584">
        <v>0</v>
      </c>
      <c r="Y584" t="s">
        <v>1</v>
      </c>
      <c r="Z584">
        <v>5000</v>
      </c>
      <c r="AA584">
        <v>42</v>
      </c>
      <c r="AB584">
        <v>9587</v>
      </c>
      <c r="AC584">
        <v>0</v>
      </c>
      <c r="AD584">
        <v>346063181354</v>
      </c>
      <c r="AE584">
        <v>524999414</v>
      </c>
      <c r="AF584">
        <v>342312367962.14001</v>
      </c>
      <c r="AG584">
        <v>345084396885.41998</v>
      </c>
      <c r="AH584">
        <v>0.106297</v>
      </c>
      <c r="AI584">
        <v>1.5622E-2</v>
      </c>
    </row>
    <row r="585" spans="13:35" x14ac:dyDescent="0.35">
      <c r="M585" t="s">
        <v>0</v>
      </c>
      <c r="N585">
        <v>6000</v>
      </c>
      <c r="O585">
        <v>48</v>
      </c>
      <c r="P585">
        <v>6715</v>
      </c>
      <c r="Q585">
        <v>0</v>
      </c>
      <c r="R585">
        <v>155512288883</v>
      </c>
      <c r="S585">
        <v>204498143.38999999</v>
      </c>
      <c r="T585">
        <v>153858149913.70999</v>
      </c>
      <c r="U585">
        <v>154971010623.59</v>
      </c>
      <c r="V585">
        <v>0.10630000000000001</v>
      </c>
      <c r="W585">
        <v>2.5680000000000001E-2</v>
      </c>
      <c r="Y585" t="s">
        <v>2</v>
      </c>
      <c r="Z585">
        <v>3250</v>
      </c>
      <c r="AA585">
        <v>54</v>
      </c>
      <c r="AB585">
        <v>11586</v>
      </c>
      <c r="AC585">
        <v>0</v>
      </c>
      <c r="AD585">
        <v>182447098359</v>
      </c>
      <c r="AE585">
        <v>385200080.45999998</v>
      </c>
      <c r="AF585">
        <v>181093345220.73001</v>
      </c>
      <c r="AG585">
        <v>181939882927.10999</v>
      </c>
      <c r="AH585">
        <v>6.1877000000000001E-2</v>
      </c>
      <c r="AI585">
        <v>7.9959999999999996E-3</v>
      </c>
    </row>
    <row r="586" spans="13:35" x14ac:dyDescent="0.35">
      <c r="M586" t="s">
        <v>2</v>
      </c>
      <c r="N586">
        <v>6000</v>
      </c>
      <c r="O586">
        <v>48</v>
      </c>
      <c r="P586">
        <v>369</v>
      </c>
      <c r="Q586">
        <v>0</v>
      </c>
      <c r="R586">
        <v>4960229088</v>
      </c>
      <c r="S586">
        <v>6529079.3499999996</v>
      </c>
      <c r="T586">
        <v>4942185972.3199997</v>
      </c>
      <c r="U586">
        <v>4953700008.6499996</v>
      </c>
      <c r="V586">
        <v>2.7501999999999999E-2</v>
      </c>
      <c r="W586">
        <v>0</v>
      </c>
      <c r="Y586" t="s">
        <v>0</v>
      </c>
      <c r="Z586">
        <v>3750</v>
      </c>
      <c r="AA586">
        <v>54</v>
      </c>
      <c r="AB586">
        <v>51737</v>
      </c>
      <c r="AC586">
        <v>0</v>
      </c>
      <c r="AD586">
        <v>1103540818466</v>
      </c>
      <c r="AE586">
        <v>2156623488.1500001</v>
      </c>
      <c r="AF586">
        <v>1095601277799.35</v>
      </c>
      <c r="AG586">
        <v>1100085288149.6899</v>
      </c>
      <c r="AH586">
        <v>6.1102999999999998E-2</v>
      </c>
      <c r="AI586">
        <v>1.4033E-2</v>
      </c>
    </row>
    <row r="587" spans="13:35" x14ac:dyDescent="0.35">
      <c r="M587" t="s">
        <v>1</v>
      </c>
      <c r="N587">
        <v>2750</v>
      </c>
      <c r="O587">
        <v>54</v>
      </c>
      <c r="P587">
        <v>73542</v>
      </c>
      <c r="Q587">
        <v>0</v>
      </c>
      <c r="R587">
        <v>2252548291700</v>
      </c>
      <c r="S587">
        <v>5076003678.1499996</v>
      </c>
      <c r="T587">
        <v>2232126066242.4902</v>
      </c>
      <c r="U587">
        <v>2245857472280.9102</v>
      </c>
      <c r="V587">
        <v>7.8758999999999996E-2</v>
      </c>
      <c r="W587">
        <v>8.5690000000000002E-3</v>
      </c>
      <c r="Y587" t="s">
        <v>3</v>
      </c>
      <c r="Z587">
        <v>3500</v>
      </c>
      <c r="AA587">
        <v>54</v>
      </c>
      <c r="AB587">
        <v>150</v>
      </c>
      <c r="AC587">
        <v>0</v>
      </c>
      <c r="AD587">
        <v>3295564119</v>
      </c>
      <c r="AE587">
        <v>6651405.4299999997</v>
      </c>
      <c r="AF587">
        <v>3263056220.4200001</v>
      </c>
      <c r="AG587">
        <v>3288912713.5700002</v>
      </c>
      <c r="AH587">
        <v>9.0191999999999994E-2</v>
      </c>
      <c r="AI587">
        <v>0</v>
      </c>
    </row>
    <row r="588" spans="13:35" x14ac:dyDescent="0.35">
      <c r="M588" t="s">
        <v>0</v>
      </c>
      <c r="N588">
        <v>5000</v>
      </c>
      <c r="O588">
        <v>54</v>
      </c>
      <c r="P588">
        <v>542</v>
      </c>
      <c r="Q588">
        <v>0</v>
      </c>
      <c r="R588">
        <v>11902523348</v>
      </c>
      <c r="S588">
        <v>19026096.789999999</v>
      </c>
      <c r="T588">
        <v>11808504430.219999</v>
      </c>
      <c r="U588">
        <v>11883497251.209999</v>
      </c>
      <c r="V588">
        <v>7.3040999999999995E-2</v>
      </c>
      <c r="W588">
        <v>0</v>
      </c>
      <c r="Y588" t="s">
        <v>2</v>
      </c>
      <c r="Z588">
        <v>2250</v>
      </c>
      <c r="AA588">
        <v>54</v>
      </c>
      <c r="AB588">
        <v>984</v>
      </c>
      <c r="AC588">
        <v>0</v>
      </c>
      <c r="AD588">
        <v>18312863664</v>
      </c>
      <c r="AE588">
        <v>44043859.509999998</v>
      </c>
      <c r="AF588">
        <v>18185717212.540001</v>
      </c>
      <c r="AG588">
        <v>18268819804.490002</v>
      </c>
      <c r="AH588">
        <v>5.3115999999999997E-2</v>
      </c>
      <c r="AI588">
        <v>0</v>
      </c>
    </row>
    <row r="589" spans="13:35" x14ac:dyDescent="0.35">
      <c r="M589" t="s">
        <v>0</v>
      </c>
      <c r="N589">
        <v>4250</v>
      </c>
      <c r="O589">
        <v>54</v>
      </c>
      <c r="P589">
        <v>14762</v>
      </c>
      <c r="Q589">
        <v>0</v>
      </c>
      <c r="R589">
        <v>326627066346</v>
      </c>
      <c r="S589">
        <v>588132265.79999995</v>
      </c>
      <c r="T589">
        <v>324256236052.41998</v>
      </c>
      <c r="U589">
        <v>325649391391.65002</v>
      </c>
      <c r="V589">
        <v>6.3563999999999996E-2</v>
      </c>
      <c r="W589">
        <v>1.4218E-2</v>
      </c>
      <c r="Y589" t="s">
        <v>0</v>
      </c>
      <c r="Z589">
        <v>3250</v>
      </c>
      <c r="AA589">
        <v>48</v>
      </c>
      <c r="AB589">
        <v>19546</v>
      </c>
      <c r="AC589">
        <v>0</v>
      </c>
      <c r="AD589">
        <v>469307719886</v>
      </c>
      <c r="AE589">
        <v>961998460.49000001</v>
      </c>
      <c r="AF589">
        <v>465639627917.65997</v>
      </c>
      <c r="AG589">
        <v>467948986762.79999</v>
      </c>
      <c r="AH589">
        <v>6.7041000000000003E-2</v>
      </c>
      <c r="AI589">
        <v>1.0097E-2</v>
      </c>
    </row>
    <row r="590" spans="13:35" x14ac:dyDescent="0.35">
      <c r="M590" t="s">
        <v>2</v>
      </c>
      <c r="N590">
        <v>3750</v>
      </c>
      <c r="O590">
        <v>54</v>
      </c>
      <c r="P590">
        <v>4609</v>
      </c>
      <c r="Q590">
        <v>0</v>
      </c>
      <c r="R590">
        <v>68994464032</v>
      </c>
      <c r="S590">
        <v>135658994.05000001</v>
      </c>
      <c r="T590">
        <v>68453269107.32</v>
      </c>
      <c r="U590">
        <v>68794359843.270004</v>
      </c>
      <c r="V590">
        <v>6.8297999999999998E-2</v>
      </c>
      <c r="W590">
        <v>1.1150999999999999E-2</v>
      </c>
      <c r="Y590" t="s">
        <v>1</v>
      </c>
      <c r="Z590">
        <v>3250</v>
      </c>
      <c r="AA590">
        <v>54</v>
      </c>
      <c r="AB590">
        <v>38629</v>
      </c>
      <c r="AC590">
        <v>0</v>
      </c>
      <c r="AD590">
        <v>1073714075766</v>
      </c>
      <c r="AE590">
        <v>2250588704.6700001</v>
      </c>
      <c r="AF590">
        <v>1060655604507.63</v>
      </c>
      <c r="AG590">
        <v>1069020167502.91</v>
      </c>
      <c r="AH590">
        <v>0.11432299999999999</v>
      </c>
      <c r="AI590">
        <v>2.6967999999999999E-2</v>
      </c>
    </row>
    <row r="591" spans="13:35" x14ac:dyDescent="0.35">
      <c r="M591" t="s">
        <v>0</v>
      </c>
      <c r="N591">
        <v>5500</v>
      </c>
      <c r="O591">
        <v>54</v>
      </c>
      <c r="P591">
        <v>103</v>
      </c>
      <c r="Q591">
        <v>0</v>
      </c>
      <c r="R591">
        <v>2368628791</v>
      </c>
      <c r="S591">
        <v>3500968.8</v>
      </c>
      <c r="T591">
        <v>2284061461.8600001</v>
      </c>
      <c r="U591">
        <v>2293145520.3000002</v>
      </c>
      <c r="V591">
        <v>0.34156700000000001</v>
      </c>
      <c r="W591">
        <v>0.30949700000000002</v>
      </c>
      <c r="Y591" t="s">
        <v>2</v>
      </c>
      <c r="Z591">
        <v>4000</v>
      </c>
      <c r="AA591">
        <v>48</v>
      </c>
      <c r="AB591">
        <v>2807</v>
      </c>
      <c r="AC591">
        <v>0</v>
      </c>
      <c r="AD591">
        <v>47481693726</v>
      </c>
      <c r="AE591">
        <v>87152948.719999999</v>
      </c>
      <c r="AF591">
        <v>47095910346.889999</v>
      </c>
      <c r="AG591">
        <v>47336490461.360001</v>
      </c>
      <c r="AH591">
        <v>7.2915999999999995E-2</v>
      </c>
      <c r="AI591">
        <v>1.4572999999999999E-2</v>
      </c>
    </row>
    <row r="592" spans="13:35" x14ac:dyDescent="0.35">
      <c r="M592" t="s">
        <v>0</v>
      </c>
      <c r="N592">
        <v>3250</v>
      </c>
      <c r="O592">
        <v>48</v>
      </c>
      <c r="P592">
        <v>10432</v>
      </c>
      <c r="Q592">
        <v>0</v>
      </c>
      <c r="R592">
        <v>249238449618</v>
      </c>
      <c r="S592">
        <v>511189476.25999999</v>
      </c>
      <c r="T592">
        <v>247337834411.54001</v>
      </c>
      <c r="U592">
        <v>248522322091.54001</v>
      </c>
      <c r="V592">
        <v>6.4882999999999996E-2</v>
      </c>
      <c r="W592">
        <v>9.8230000000000001E-3</v>
      </c>
      <c r="Y592" t="s">
        <v>0</v>
      </c>
      <c r="Z592">
        <v>6000</v>
      </c>
      <c r="AA592">
        <v>48</v>
      </c>
      <c r="AB592">
        <v>4142</v>
      </c>
      <c r="AC592">
        <v>0</v>
      </c>
      <c r="AD592">
        <v>97343959478</v>
      </c>
      <c r="AE592">
        <v>127690303.61</v>
      </c>
      <c r="AF592">
        <v>96447427562.929993</v>
      </c>
      <c r="AG592">
        <v>97017651499.470001</v>
      </c>
      <c r="AH592">
        <v>9.0768000000000001E-2</v>
      </c>
      <c r="AI592">
        <v>2.4212000000000001E-2</v>
      </c>
    </row>
    <row r="593" spans="13:35" x14ac:dyDescent="0.35">
      <c r="M593" t="s">
        <v>2</v>
      </c>
      <c r="N593">
        <v>3250</v>
      </c>
      <c r="O593">
        <v>48</v>
      </c>
      <c r="P593">
        <v>889</v>
      </c>
      <c r="Q593">
        <v>0</v>
      </c>
      <c r="R593">
        <v>15678212218</v>
      </c>
      <c r="S593">
        <v>32306526.43</v>
      </c>
      <c r="T593">
        <v>15505285397.280001</v>
      </c>
      <c r="U593">
        <v>15645905691.57</v>
      </c>
      <c r="V593">
        <v>0.102476</v>
      </c>
      <c r="W593">
        <v>0</v>
      </c>
      <c r="Y593" t="s">
        <v>2</v>
      </c>
      <c r="Z593">
        <v>6000</v>
      </c>
      <c r="AA593">
        <v>48</v>
      </c>
      <c r="AB593">
        <v>221</v>
      </c>
      <c r="AC593">
        <v>0</v>
      </c>
      <c r="AD593">
        <v>2861401397</v>
      </c>
      <c r="AE593">
        <v>3769991.29</v>
      </c>
      <c r="AF593">
        <v>2834279753.3099999</v>
      </c>
      <c r="AG593">
        <v>2857631405.71</v>
      </c>
      <c r="AH593">
        <v>9.3653E-2</v>
      </c>
      <c r="AI593">
        <v>0</v>
      </c>
    </row>
    <row r="594" spans="13:35" x14ac:dyDescent="0.35">
      <c r="M594" t="s">
        <v>0</v>
      </c>
      <c r="N594">
        <v>3750</v>
      </c>
      <c r="O594">
        <v>48</v>
      </c>
      <c r="P594">
        <v>23490</v>
      </c>
      <c r="Q594">
        <v>0</v>
      </c>
      <c r="R594">
        <v>584866259282</v>
      </c>
      <c r="S594">
        <v>1113945356.9000001</v>
      </c>
      <c r="T594">
        <v>581104222999.94995</v>
      </c>
      <c r="U594">
        <v>583281537886.78003</v>
      </c>
      <c r="V594">
        <v>5.2998999999999998E-2</v>
      </c>
      <c r="W594">
        <v>9.6170000000000005E-3</v>
      </c>
      <c r="Y594" t="s">
        <v>2</v>
      </c>
      <c r="Z594">
        <v>4500</v>
      </c>
      <c r="AA594">
        <v>54</v>
      </c>
      <c r="AB594">
        <v>158</v>
      </c>
      <c r="AC594">
        <v>0</v>
      </c>
      <c r="AD594">
        <v>2010065678</v>
      </c>
      <c r="AE594">
        <v>3602662.4</v>
      </c>
      <c r="AF594">
        <v>1984332720.2</v>
      </c>
      <c r="AG594">
        <v>2006463015.5999999</v>
      </c>
      <c r="AH594">
        <v>0.124403</v>
      </c>
      <c r="AI594">
        <v>0</v>
      </c>
    </row>
    <row r="595" spans="13:35" x14ac:dyDescent="0.35">
      <c r="M595" t="s">
        <v>1</v>
      </c>
      <c r="N595">
        <v>3750</v>
      </c>
      <c r="O595">
        <v>48</v>
      </c>
      <c r="P595">
        <v>19051</v>
      </c>
      <c r="Q595">
        <v>0</v>
      </c>
      <c r="R595">
        <v>653380192410</v>
      </c>
      <c r="S595">
        <v>1243732967.1700001</v>
      </c>
      <c r="T595">
        <v>646540076316.06006</v>
      </c>
      <c r="U595">
        <v>651536788439.97998</v>
      </c>
      <c r="V595">
        <v>9.8076999999999998E-2</v>
      </c>
      <c r="W595">
        <v>1.0958000000000001E-2</v>
      </c>
      <c r="Y595" t="s">
        <v>0</v>
      </c>
      <c r="Z595">
        <v>5000</v>
      </c>
      <c r="AA595">
        <v>54</v>
      </c>
      <c r="AB595">
        <v>294</v>
      </c>
      <c r="AC595">
        <v>0</v>
      </c>
      <c r="AD595">
        <v>5792889033</v>
      </c>
      <c r="AE595">
        <v>9318969.7300000004</v>
      </c>
      <c r="AF595">
        <v>5696525439.0299997</v>
      </c>
      <c r="AG595">
        <v>5759134922.2799997</v>
      </c>
      <c r="AH595">
        <v>0.166133</v>
      </c>
      <c r="AI595">
        <v>4.9459999999999997E-2</v>
      </c>
    </row>
    <row r="596" spans="13:35" x14ac:dyDescent="0.35">
      <c r="M596" t="s">
        <v>1</v>
      </c>
      <c r="N596">
        <v>2250</v>
      </c>
      <c r="O596">
        <v>48</v>
      </c>
      <c r="P596">
        <v>678</v>
      </c>
      <c r="Q596">
        <v>0</v>
      </c>
      <c r="R596">
        <v>25749935261</v>
      </c>
      <c r="S596">
        <v>60868235.479999997</v>
      </c>
      <c r="T596">
        <v>25585042828.349998</v>
      </c>
      <c r="U596">
        <v>25689067025.52</v>
      </c>
      <c r="V596">
        <v>4.7414999999999999E-2</v>
      </c>
      <c r="W596">
        <v>0</v>
      </c>
      <c r="Y596" t="s">
        <v>0</v>
      </c>
      <c r="Z596">
        <v>3750</v>
      </c>
      <c r="AA596">
        <v>48</v>
      </c>
      <c r="AB596">
        <v>35291</v>
      </c>
      <c r="AC596">
        <v>0</v>
      </c>
      <c r="AD596">
        <v>862182068148</v>
      </c>
      <c r="AE596">
        <v>1639696149.74</v>
      </c>
      <c r="AF596">
        <v>856046154835.71997</v>
      </c>
      <c r="AG596">
        <v>859705509049.22998</v>
      </c>
      <c r="AH596">
        <v>6.0815000000000001E-2</v>
      </c>
      <c r="AI596">
        <v>1.1586000000000001E-2</v>
      </c>
    </row>
    <row r="597" spans="13:35" x14ac:dyDescent="0.35">
      <c r="M597" t="s">
        <v>2</v>
      </c>
      <c r="N597">
        <v>2750</v>
      </c>
      <c r="O597">
        <v>48</v>
      </c>
      <c r="P597">
        <v>177</v>
      </c>
      <c r="Q597">
        <v>0</v>
      </c>
      <c r="R597">
        <v>3367769725</v>
      </c>
      <c r="S597">
        <v>7490434.8200000003</v>
      </c>
      <c r="T597">
        <v>3360279290.1799998</v>
      </c>
      <c r="U597">
        <v>3360279290.1799998</v>
      </c>
      <c r="V597">
        <v>0</v>
      </c>
      <c r="W597">
        <v>0</v>
      </c>
      <c r="Y597" t="s">
        <v>0</v>
      </c>
      <c r="Z597">
        <v>4250</v>
      </c>
      <c r="AA597">
        <v>48</v>
      </c>
      <c r="AB597">
        <v>33344</v>
      </c>
      <c r="AC597">
        <v>0</v>
      </c>
      <c r="AD597">
        <v>824601206690</v>
      </c>
      <c r="AE597">
        <v>1448137890.3699999</v>
      </c>
      <c r="AF597">
        <v>817986737841.21997</v>
      </c>
      <c r="AG597">
        <v>821826771835.60999</v>
      </c>
      <c r="AH597">
        <v>7.2646000000000002E-2</v>
      </c>
      <c r="AI597">
        <v>1.9130999999999999E-2</v>
      </c>
    </row>
    <row r="598" spans="13:35" x14ac:dyDescent="0.35">
      <c r="M598" t="s">
        <v>1</v>
      </c>
      <c r="N598">
        <v>2750</v>
      </c>
      <c r="O598">
        <v>48</v>
      </c>
      <c r="P598">
        <v>5730</v>
      </c>
      <c r="Q598">
        <v>0</v>
      </c>
      <c r="R598">
        <v>187268373109</v>
      </c>
      <c r="S598">
        <v>412918521.66000003</v>
      </c>
      <c r="T598">
        <v>185614979773.94</v>
      </c>
      <c r="U598">
        <v>186789519661.76001</v>
      </c>
      <c r="V598">
        <v>7.6656000000000002E-2</v>
      </c>
      <c r="W598">
        <v>4.2170000000000003E-3</v>
      </c>
      <c r="Y598" t="s">
        <v>1</v>
      </c>
      <c r="Z598">
        <v>2500</v>
      </c>
      <c r="AA598">
        <v>48</v>
      </c>
      <c r="AB598">
        <v>4280</v>
      </c>
      <c r="AC598">
        <v>0</v>
      </c>
      <c r="AD598">
        <v>147662446808</v>
      </c>
      <c r="AE598">
        <v>338544091.30000001</v>
      </c>
      <c r="AF598">
        <v>146405495134.92001</v>
      </c>
      <c r="AG598">
        <v>147208107972.64999</v>
      </c>
      <c r="AH598">
        <v>7.2135000000000005E-2</v>
      </c>
      <c r="AI598">
        <v>9.3699999999999999E-3</v>
      </c>
    </row>
    <row r="599" spans="13:35" x14ac:dyDescent="0.35">
      <c r="M599" t="s">
        <v>0</v>
      </c>
      <c r="N599">
        <v>4250</v>
      </c>
      <c r="O599">
        <v>48</v>
      </c>
      <c r="P599">
        <v>30186</v>
      </c>
      <c r="Q599">
        <v>0</v>
      </c>
      <c r="R599">
        <v>762361660931</v>
      </c>
      <c r="S599">
        <v>1341756671.5999999</v>
      </c>
      <c r="T599">
        <v>756593300988.59998</v>
      </c>
      <c r="U599">
        <v>760097359494.93994</v>
      </c>
      <c r="V599">
        <v>6.7494999999999999E-2</v>
      </c>
      <c r="W599">
        <v>1.4425E-2</v>
      </c>
      <c r="Y599" t="s">
        <v>2</v>
      </c>
      <c r="Z599">
        <v>2750</v>
      </c>
      <c r="AA599">
        <v>48</v>
      </c>
      <c r="AB599">
        <v>440</v>
      </c>
      <c r="AC599">
        <v>0</v>
      </c>
      <c r="AD599">
        <v>8202323861</v>
      </c>
      <c r="AE599">
        <v>18145788.199999999</v>
      </c>
      <c r="AF599">
        <v>8095613423.2299995</v>
      </c>
      <c r="AG599">
        <v>8135172959.1400003</v>
      </c>
      <c r="AH599">
        <v>0.122146</v>
      </c>
      <c r="AI599">
        <v>6.9385000000000002E-2</v>
      </c>
    </row>
    <row r="600" spans="13:35" x14ac:dyDescent="0.35">
      <c r="M600" t="s">
        <v>2</v>
      </c>
      <c r="N600">
        <v>3750</v>
      </c>
      <c r="O600">
        <v>48</v>
      </c>
      <c r="P600">
        <v>2248</v>
      </c>
      <c r="Q600">
        <v>0</v>
      </c>
      <c r="R600">
        <v>38878210803</v>
      </c>
      <c r="S600">
        <v>74446501.810000002</v>
      </c>
      <c r="T600">
        <v>38606605592.059998</v>
      </c>
      <c r="U600">
        <v>38785361987.809998</v>
      </c>
      <c r="V600">
        <v>5.9185000000000001E-2</v>
      </c>
      <c r="W600">
        <v>5.6649999999999999E-3</v>
      </c>
      <c r="Y600" t="s">
        <v>1</v>
      </c>
      <c r="Z600">
        <v>2750</v>
      </c>
      <c r="AA600">
        <v>48</v>
      </c>
      <c r="AB600">
        <v>13066</v>
      </c>
      <c r="AC600">
        <v>0</v>
      </c>
      <c r="AD600">
        <v>417668526638</v>
      </c>
      <c r="AE600">
        <v>920554487.45000005</v>
      </c>
      <c r="AF600">
        <v>414289274566.04999</v>
      </c>
      <c r="AG600">
        <v>416528269146</v>
      </c>
      <c r="AH600">
        <v>6.8398E-2</v>
      </c>
      <c r="AI600">
        <v>6.2940000000000001E-3</v>
      </c>
    </row>
    <row r="601" spans="13:35" x14ac:dyDescent="0.35">
      <c r="M601" t="s">
        <v>0</v>
      </c>
      <c r="N601">
        <v>4750</v>
      </c>
      <c r="O601">
        <v>48</v>
      </c>
      <c r="P601">
        <v>47010</v>
      </c>
      <c r="Q601">
        <v>0</v>
      </c>
      <c r="R601">
        <v>1243788944488</v>
      </c>
      <c r="S601">
        <v>2013746390.6600001</v>
      </c>
      <c r="T601">
        <v>1234089861911.99</v>
      </c>
      <c r="U601">
        <v>1239527868677.21</v>
      </c>
      <c r="V601">
        <v>7.1679000000000007E-2</v>
      </c>
      <c r="W601">
        <v>2.1468000000000001E-2</v>
      </c>
      <c r="Y601" t="s">
        <v>2</v>
      </c>
      <c r="Z601">
        <v>3750</v>
      </c>
      <c r="AA601">
        <v>48</v>
      </c>
      <c r="AB601">
        <v>3272</v>
      </c>
      <c r="AC601">
        <v>0</v>
      </c>
      <c r="AD601">
        <v>55359058549</v>
      </c>
      <c r="AE601">
        <v>105825342.17</v>
      </c>
      <c r="AF601">
        <v>54907793233.839996</v>
      </c>
      <c r="AG601">
        <v>55102447968.510002</v>
      </c>
      <c r="AH601">
        <v>7.2362999999999997E-2</v>
      </c>
      <c r="AI601">
        <v>3.2199999999999999E-2</v>
      </c>
    </row>
    <row r="602" spans="13:35" x14ac:dyDescent="0.35">
      <c r="M602" t="s">
        <v>0</v>
      </c>
      <c r="N602">
        <v>5250</v>
      </c>
      <c r="O602">
        <v>48</v>
      </c>
      <c r="P602">
        <v>59161</v>
      </c>
      <c r="Q602">
        <v>0</v>
      </c>
      <c r="R602">
        <v>1486615743902</v>
      </c>
      <c r="S602">
        <v>2217767578.3600001</v>
      </c>
      <c r="T602">
        <v>1472897631105.1201</v>
      </c>
      <c r="U602">
        <v>1480256335130.01</v>
      </c>
      <c r="V602">
        <v>8.8981000000000005E-2</v>
      </c>
      <c r="W602">
        <v>3.2924000000000002E-2</v>
      </c>
      <c r="Y602" t="s">
        <v>0</v>
      </c>
      <c r="Z602">
        <v>5500</v>
      </c>
      <c r="AA602">
        <v>54</v>
      </c>
      <c r="AB602">
        <v>46</v>
      </c>
      <c r="AC602">
        <v>0</v>
      </c>
      <c r="AD602">
        <v>985207200</v>
      </c>
      <c r="AE602">
        <v>1460383.5</v>
      </c>
      <c r="AF602">
        <v>983746816.5</v>
      </c>
      <c r="AG602">
        <v>983746816.5</v>
      </c>
      <c r="AH602">
        <v>0</v>
      </c>
      <c r="AI602">
        <v>0</v>
      </c>
    </row>
    <row r="603" spans="13:35" x14ac:dyDescent="0.35">
      <c r="M603" t="s">
        <v>1</v>
      </c>
      <c r="N603">
        <v>3250</v>
      </c>
      <c r="O603">
        <v>48</v>
      </c>
      <c r="P603">
        <v>13677</v>
      </c>
      <c r="Q603">
        <v>0</v>
      </c>
      <c r="R603">
        <v>465561462292</v>
      </c>
      <c r="S603">
        <v>953512599.92999995</v>
      </c>
      <c r="T603">
        <v>460995641494.5</v>
      </c>
      <c r="U603">
        <v>464192573882.15002</v>
      </c>
      <c r="V603">
        <v>8.9235999999999996E-2</v>
      </c>
      <c r="W603">
        <v>1.0654E-2</v>
      </c>
      <c r="Y603" t="s">
        <v>2</v>
      </c>
      <c r="Z603">
        <v>3250</v>
      </c>
      <c r="AA603">
        <v>48</v>
      </c>
      <c r="AB603">
        <v>1711</v>
      </c>
      <c r="AC603">
        <v>0</v>
      </c>
      <c r="AD603">
        <v>29675552917</v>
      </c>
      <c r="AE603">
        <v>60985838.5</v>
      </c>
      <c r="AF603">
        <v>29445406087.52</v>
      </c>
      <c r="AG603">
        <v>29607704659.27</v>
      </c>
      <c r="AH603">
        <v>6.6299999999999998E-2</v>
      </c>
      <c r="AI603">
        <v>2.771E-3</v>
      </c>
    </row>
    <row r="604" spans="13:35" x14ac:dyDescent="0.35">
      <c r="M604" t="s">
        <v>2</v>
      </c>
      <c r="N604">
        <v>4250</v>
      </c>
      <c r="O604">
        <v>48</v>
      </c>
      <c r="P604">
        <v>2540</v>
      </c>
      <c r="Q604">
        <v>0</v>
      </c>
      <c r="R604">
        <v>42924122173</v>
      </c>
      <c r="S604">
        <v>76037887.349999994</v>
      </c>
      <c r="T604">
        <v>42626239168.790001</v>
      </c>
      <c r="U604">
        <v>42759556560.529999</v>
      </c>
      <c r="V604">
        <v>6.0287E-2</v>
      </c>
      <c r="W604">
        <v>2.4469999999999999E-2</v>
      </c>
      <c r="Y604" t="s">
        <v>1</v>
      </c>
      <c r="Z604">
        <v>3750</v>
      </c>
      <c r="AA604">
        <v>48</v>
      </c>
      <c r="AB604">
        <v>23705</v>
      </c>
      <c r="AC604">
        <v>0</v>
      </c>
      <c r="AD604">
        <v>790025934243</v>
      </c>
      <c r="AE604">
        <v>1499600558.3800001</v>
      </c>
      <c r="AF604">
        <v>781621988922.31995</v>
      </c>
      <c r="AG604">
        <v>787358654812.73999</v>
      </c>
      <c r="AH604">
        <v>9.9975999999999995E-2</v>
      </c>
      <c r="AI604">
        <v>1.7593000000000001E-2</v>
      </c>
    </row>
    <row r="605" spans="13:35" x14ac:dyDescent="0.35">
      <c r="M605" t="s">
        <v>0</v>
      </c>
      <c r="N605">
        <v>5750</v>
      </c>
      <c r="O605">
        <v>48</v>
      </c>
      <c r="P605">
        <v>45900</v>
      </c>
      <c r="Q605">
        <v>0</v>
      </c>
      <c r="R605">
        <v>1117809861678</v>
      </c>
      <c r="S605">
        <v>1537405000.25</v>
      </c>
      <c r="T605">
        <v>1107971335582.9199</v>
      </c>
      <c r="U605">
        <v>1113378625035.8799</v>
      </c>
      <c r="V605">
        <v>8.5564000000000001E-2</v>
      </c>
      <c r="W605">
        <v>3.0627999999999999E-2</v>
      </c>
      <c r="Y605" t="s">
        <v>1</v>
      </c>
      <c r="Z605">
        <v>2250</v>
      </c>
      <c r="AA605">
        <v>48</v>
      </c>
      <c r="AB605">
        <v>2847</v>
      </c>
      <c r="AC605">
        <v>0</v>
      </c>
      <c r="AD605">
        <v>103290064769</v>
      </c>
      <c r="AE605">
        <v>243905321.03</v>
      </c>
      <c r="AF605">
        <v>102426639631.89999</v>
      </c>
      <c r="AG605">
        <v>102965313533.39999</v>
      </c>
      <c r="AH605">
        <v>6.9647000000000001E-2</v>
      </c>
      <c r="AI605">
        <v>9.3519999999999992E-3</v>
      </c>
    </row>
    <row r="606" spans="13:35" x14ac:dyDescent="0.35">
      <c r="M606" t="s">
        <v>0</v>
      </c>
      <c r="N606">
        <v>6250</v>
      </c>
      <c r="O606">
        <v>48</v>
      </c>
      <c r="P606">
        <v>9903</v>
      </c>
      <c r="Q606">
        <v>0</v>
      </c>
      <c r="R606">
        <v>235472264274</v>
      </c>
      <c r="S606">
        <v>297665347.04000002</v>
      </c>
      <c r="T606">
        <v>232894450918.57999</v>
      </c>
      <c r="U606">
        <v>234267408770.82001</v>
      </c>
      <c r="V606">
        <v>0.110206</v>
      </c>
      <c r="W606">
        <v>4.5265E-2</v>
      </c>
      <c r="Y606" t="s">
        <v>0</v>
      </c>
      <c r="Z606">
        <v>4750</v>
      </c>
      <c r="AA606">
        <v>48</v>
      </c>
      <c r="AB606">
        <v>40820</v>
      </c>
      <c r="AC606">
        <v>0</v>
      </c>
      <c r="AD606">
        <v>1048125834220</v>
      </c>
      <c r="AE606">
        <v>1694910751.8499999</v>
      </c>
      <c r="AF606">
        <v>1038746005577.5601</v>
      </c>
      <c r="AG606">
        <v>1044382930635.48</v>
      </c>
      <c r="AH606">
        <v>8.4522E-2</v>
      </c>
      <c r="AI606">
        <v>2.3196999999999999E-2</v>
      </c>
    </row>
    <row r="607" spans="13:35" x14ac:dyDescent="0.35">
      <c r="M607" t="s">
        <v>1</v>
      </c>
      <c r="N607">
        <v>4250</v>
      </c>
      <c r="O607">
        <v>48</v>
      </c>
      <c r="P607">
        <v>17652</v>
      </c>
      <c r="Q607">
        <v>0</v>
      </c>
      <c r="R607">
        <v>618901435712</v>
      </c>
      <c r="S607">
        <v>1084852572.75</v>
      </c>
      <c r="T607">
        <v>612532938822.07996</v>
      </c>
      <c r="U607">
        <v>617035921466.47998</v>
      </c>
      <c r="V607">
        <v>9.7769999999999996E-2</v>
      </c>
      <c r="W607">
        <v>1.5032E-2</v>
      </c>
      <c r="Y607" t="s">
        <v>0</v>
      </c>
      <c r="Z607">
        <v>5250</v>
      </c>
      <c r="AA607">
        <v>48</v>
      </c>
      <c r="AB607">
        <v>47854</v>
      </c>
      <c r="AC607">
        <v>0</v>
      </c>
      <c r="AD607">
        <v>1182145881953</v>
      </c>
      <c r="AE607">
        <v>1759528483.78</v>
      </c>
      <c r="AF607">
        <v>1171183138057.8999</v>
      </c>
      <c r="AG607">
        <v>1177053923737.95</v>
      </c>
      <c r="AH607">
        <v>8.9524000000000006E-2</v>
      </c>
      <c r="AI607">
        <v>3.3307999999999997E-2</v>
      </c>
    </row>
    <row r="608" spans="13:35" x14ac:dyDescent="0.35">
      <c r="M608" t="s">
        <v>2</v>
      </c>
      <c r="N608">
        <v>4750</v>
      </c>
      <c r="O608">
        <v>48</v>
      </c>
      <c r="P608">
        <v>3026</v>
      </c>
      <c r="Q608">
        <v>0</v>
      </c>
      <c r="R608">
        <v>52047105492</v>
      </c>
      <c r="S608">
        <v>84540458.950000003</v>
      </c>
      <c r="T608">
        <v>51575034735.669998</v>
      </c>
      <c r="U608">
        <v>51829193579.639999</v>
      </c>
      <c r="V608">
        <v>8.5778999999999994E-2</v>
      </c>
      <c r="W608">
        <v>3.032E-2</v>
      </c>
      <c r="Y608" t="s">
        <v>1</v>
      </c>
      <c r="Z608">
        <v>3250</v>
      </c>
      <c r="AA608">
        <v>48</v>
      </c>
      <c r="AB608">
        <v>21424</v>
      </c>
      <c r="AC608">
        <v>0</v>
      </c>
      <c r="AD608">
        <v>717011289139</v>
      </c>
      <c r="AE608">
        <v>1466752362.95</v>
      </c>
      <c r="AF608">
        <v>709970641486.08997</v>
      </c>
      <c r="AG608">
        <v>714958777633.13</v>
      </c>
      <c r="AH608">
        <v>8.9399000000000006E-2</v>
      </c>
      <c r="AI608">
        <v>9.7590000000000003E-3</v>
      </c>
    </row>
    <row r="609" spans="13:35" x14ac:dyDescent="0.35">
      <c r="M609" t="s">
        <v>2</v>
      </c>
      <c r="N609">
        <v>5250</v>
      </c>
      <c r="O609">
        <v>48</v>
      </c>
      <c r="P609">
        <v>4656</v>
      </c>
      <c r="Q609">
        <v>0</v>
      </c>
      <c r="R609">
        <v>72945312935</v>
      </c>
      <c r="S609">
        <v>109093359.7</v>
      </c>
      <c r="T609">
        <v>72086804226.410004</v>
      </c>
      <c r="U609">
        <v>72588203986.899994</v>
      </c>
      <c r="V609">
        <v>0.116551</v>
      </c>
      <c r="W609">
        <v>4.0045999999999998E-2</v>
      </c>
      <c r="Y609" t="s">
        <v>2</v>
      </c>
      <c r="Z609">
        <v>4250</v>
      </c>
      <c r="AA609">
        <v>48</v>
      </c>
      <c r="AB609">
        <v>2843</v>
      </c>
      <c r="AC609">
        <v>0</v>
      </c>
      <c r="AD609">
        <v>47033096010</v>
      </c>
      <c r="AE609">
        <v>83056338.909999996</v>
      </c>
      <c r="AF609">
        <v>46556952625.68</v>
      </c>
      <c r="AG609">
        <v>46851323950.989998</v>
      </c>
      <c r="AH609">
        <v>9.5808000000000004E-2</v>
      </c>
      <c r="AI609">
        <v>2.4898E-2</v>
      </c>
    </row>
    <row r="610" spans="13:35" x14ac:dyDescent="0.35">
      <c r="M610" t="s">
        <v>1</v>
      </c>
      <c r="N610">
        <v>6000</v>
      </c>
      <c r="O610">
        <v>48</v>
      </c>
      <c r="P610">
        <v>2668</v>
      </c>
      <c r="Q610">
        <v>0</v>
      </c>
      <c r="R610">
        <v>70596669121</v>
      </c>
      <c r="S610">
        <v>92813749.219999999</v>
      </c>
      <c r="T610">
        <v>68876066857.399994</v>
      </c>
      <c r="U610">
        <v>69882561424.869995</v>
      </c>
      <c r="V610">
        <v>0.24416399999999999</v>
      </c>
      <c r="W610">
        <v>0.100643</v>
      </c>
      <c r="Y610" t="s">
        <v>0</v>
      </c>
      <c r="Z610">
        <v>5750</v>
      </c>
      <c r="AA610">
        <v>48</v>
      </c>
      <c r="AB610">
        <v>32320</v>
      </c>
      <c r="AC610">
        <v>0</v>
      </c>
      <c r="AD610">
        <v>784738706096</v>
      </c>
      <c r="AE610">
        <v>1076735366.79</v>
      </c>
      <c r="AF610">
        <v>776779534558.25</v>
      </c>
      <c r="AG610">
        <v>780623991076.03003</v>
      </c>
      <c r="AH610">
        <v>0.100313</v>
      </c>
      <c r="AI610">
        <v>4.5478999999999999E-2</v>
      </c>
    </row>
    <row r="611" spans="13:35" x14ac:dyDescent="0.35">
      <c r="M611" t="s">
        <v>1</v>
      </c>
      <c r="N611">
        <v>5250</v>
      </c>
      <c r="O611">
        <v>48</v>
      </c>
      <c r="P611">
        <v>23957</v>
      </c>
      <c r="Q611">
        <v>0</v>
      </c>
      <c r="R611">
        <v>803847480686</v>
      </c>
      <c r="S611">
        <v>1197492972.21</v>
      </c>
      <c r="T611">
        <v>793375984134.51001</v>
      </c>
      <c r="U611">
        <v>800332018049.06006</v>
      </c>
      <c r="V611">
        <v>0.12998899999999999</v>
      </c>
      <c r="W611">
        <v>3.406E-2</v>
      </c>
      <c r="Y611" t="s">
        <v>0</v>
      </c>
      <c r="Z611">
        <v>6250</v>
      </c>
      <c r="AA611">
        <v>48</v>
      </c>
      <c r="AB611">
        <v>5981</v>
      </c>
      <c r="AC611">
        <v>0</v>
      </c>
      <c r="AD611">
        <v>143897206953</v>
      </c>
      <c r="AE611">
        <v>181452445.31999999</v>
      </c>
      <c r="AF611">
        <v>141829064600.42999</v>
      </c>
      <c r="AG611">
        <v>142969544469.82999</v>
      </c>
      <c r="AH611">
        <v>0.14647199999999999</v>
      </c>
      <c r="AI611">
        <v>6.0484000000000003E-2</v>
      </c>
    </row>
    <row r="612" spans="13:35" x14ac:dyDescent="0.35">
      <c r="M612" t="s">
        <v>0</v>
      </c>
      <c r="N612">
        <v>5000</v>
      </c>
      <c r="O612">
        <v>42</v>
      </c>
      <c r="P612">
        <v>10476</v>
      </c>
      <c r="Q612">
        <v>0</v>
      </c>
      <c r="R612">
        <v>304932548656</v>
      </c>
      <c r="S612">
        <v>460681893.94</v>
      </c>
      <c r="T612">
        <v>301996389592.03003</v>
      </c>
      <c r="U612">
        <v>303800885504.79999</v>
      </c>
      <c r="V612">
        <v>9.3183000000000002E-2</v>
      </c>
      <c r="W612">
        <v>2.6088E-2</v>
      </c>
      <c r="Y612" t="s">
        <v>1</v>
      </c>
      <c r="Z612">
        <v>4250</v>
      </c>
      <c r="AA612">
        <v>48</v>
      </c>
      <c r="AB612">
        <v>17405</v>
      </c>
      <c r="AC612">
        <v>0</v>
      </c>
      <c r="AD612">
        <v>596021530707</v>
      </c>
      <c r="AE612">
        <v>1042216139.53</v>
      </c>
      <c r="AF612">
        <v>590904904198.88</v>
      </c>
      <c r="AG612">
        <v>593987499801.06995</v>
      </c>
      <c r="AH612">
        <v>7.9017000000000004E-2</v>
      </c>
      <c r="AI612">
        <v>1.9786999999999999E-2</v>
      </c>
    </row>
    <row r="613" spans="13:35" x14ac:dyDescent="0.35">
      <c r="M613" t="s">
        <v>0</v>
      </c>
      <c r="N613">
        <v>7500</v>
      </c>
      <c r="O613">
        <v>42</v>
      </c>
      <c r="P613">
        <v>1534</v>
      </c>
      <c r="Q613">
        <v>0</v>
      </c>
      <c r="R613">
        <v>34238395112</v>
      </c>
      <c r="S613">
        <v>33778357.75</v>
      </c>
      <c r="T613">
        <v>33489944568.080002</v>
      </c>
      <c r="U613">
        <v>34033862909.759998</v>
      </c>
      <c r="V613">
        <v>0.223635</v>
      </c>
      <c r="W613">
        <v>5.8231999999999999E-2</v>
      </c>
      <c r="Y613" t="s">
        <v>2</v>
      </c>
      <c r="Z613">
        <v>4750</v>
      </c>
      <c r="AA613">
        <v>48</v>
      </c>
      <c r="AB613">
        <v>2723</v>
      </c>
      <c r="AC613">
        <v>0</v>
      </c>
      <c r="AD613">
        <v>45495825966</v>
      </c>
      <c r="AE613">
        <v>73762340.75</v>
      </c>
      <c r="AF613">
        <v>45155265106.110001</v>
      </c>
      <c r="AG613">
        <v>45372421287.989998</v>
      </c>
      <c r="AH613">
        <v>6.8144999999999997E-2</v>
      </c>
      <c r="AI613">
        <v>1.3015000000000001E-2</v>
      </c>
    </row>
    <row r="614" spans="13:35" x14ac:dyDescent="0.35">
      <c r="M614" t="s">
        <v>0</v>
      </c>
      <c r="N614">
        <v>7000</v>
      </c>
      <c r="O614">
        <v>42</v>
      </c>
      <c r="P614">
        <v>6897</v>
      </c>
      <c r="Q614">
        <v>0</v>
      </c>
      <c r="R614">
        <v>158762820734</v>
      </c>
      <c r="S614">
        <v>171550423.22999999</v>
      </c>
      <c r="T614">
        <v>155383109695.37</v>
      </c>
      <c r="U614">
        <v>157317479699.14001</v>
      </c>
      <c r="V614">
        <v>0.21727199999999999</v>
      </c>
      <c r="W614">
        <v>9.2142000000000002E-2</v>
      </c>
      <c r="Y614" t="s">
        <v>2</v>
      </c>
      <c r="Z614">
        <v>5250</v>
      </c>
      <c r="AA614">
        <v>48</v>
      </c>
      <c r="AB614">
        <v>3904</v>
      </c>
      <c r="AC614">
        <v>0</v>
      </c>
      <c r="AD614">
        <v>59476321733</v>
      </c>
      <c r="AE614">
        <v>88707402.439999998</v>
      </c>
      <c r="AF614">
        <v>58975776969.559998</v>
      </c>
      <c r="AG614">
        <v>59253041568.82</v>
      </c>
      <c r="AH614">
        <v>0.08</v>
      </c>
      <c r="AI614">
        <v>2.6816E-2</v>
      </c>
    </row>
    <row r="615" spans="13:35" x14ac:dyDescent="0.35">
      <c r="M615" t="s">
        <v>0</v>
      </c>
      <c r="N615">
        <v>6500</v>
      </c>
      <c r="O615">
        <v>48</v>
      </c>
      <c r="P615">
        <v>1722</v>
      </c>
      <c r="Q615">
        <v>0</v>
      </c>
      <c r="R615">
        <v>40298000972</v>
      </c>
      <c r="S615">
        <v>48726775.490000002</v>
      </c>
      <c r="T615">
        <v>39967109860.839996</v>
      </c>
      <c r="U615">
        <v>40128776977.32</v>
      </c>
      <c r="V615">
        <v>8.0862000000000003E-2</v>
      </c>
      <c r="W615">
        <v>3.5298000000000003E-2</v>
      </c>
      <c r="Y615" t="s">
        <v>1</v>
      </c>
      <c r="Z615">
        <v>6000</v>
      </c>
      <c r="AA615">
        <v>48</v>
      </c>
      <c r="AB615">
        <v>1598</v>
      </c>
      <c r="AC615">
        <v>0</v>
      </c>
      <c r="AD615">
        <v>42068824648</v>
      </c>
      <c r="AE615">
        <v>55208085.539999999</v>
      </c>
      <c r="AF615">
        <v>41016437601.160004</v>
      </c>
      <c r="AG615">
        <v>41858770202.610001</v>
      </c>
      <c r="AH615">
        <v>0.250139</v>
      </c>
      <c r="AI615">
        <v>4.3285999999999998E-2</v>
      </c>
    </row>
    <row r="616" spans="13:35" x14ac:dyDescent="0.35">
      <c r="M616" t="s">
        <v>2</v>
      </c>
      <c r="N616">
        <v>6500</v>
      </c>
      <c r="O616">
        <v>48</v>
      </c>
      <c r="P616">
        <v>61</v>
      </c>
      <c r="Q616">
        <v>0</v>
      </c>
      <c r="R616">
        <v>792325746</v>
      </c>
      <c r="S616">
        <v>957946.14</v>
      </c>
      <c r="T616">
        <v>766303272.85000002</v>
      </c>
      <c r="U616">
        <v>791367799.86000001</v>
      </c>
      <c r="V616">
        <v>0.32005499999999998</v>
      </c>
      <c r="W616">
        <v>0</v>
      </c>
      <c r="Y616" t="s">
        <v>1</v>
      </c>
      <c r="Z616">
        <v>5250</v>
      </c>
      <c r="AA616">
        <v>48</v>
      </c>
      <c r="AB616">
        <v>18344</v>
      </c>
      <c r="AC616">
        <v>0</v>
      </c>
      <c r="AD616">
        <v>611775386419</v>
      </c>
      <c r="AE616">
        <v>909047515.03999996</v>
      </c>
      <c r="AF616">
        <v>603436029497.56006</v>
      </c>
      <c r="AG616">
        <v>608777509557.62</v>
      </c>
      <c r="AH616">
        <v>0.13639399999999999</v>
      </c>
      <c r="AI616">
        <v>4.0211999999999998E-2</v>
      </c>
    </row>
    <row r="617" spans="13:35" x14ac:dyDescent="0.35">
      <c r="M617" t="s">
        <v>1</v>
      </c>
      <c r="N617">
        <v>6500</v>
      </c>
      <c r="O617">
        <v>48</v>
      </c>
      <c r="P617">
        <v>156</v>
      </c>
      <c r="Q617">
        <v>0</v>
      </c>
      <c r="R617">
        <v>3657076205</v>
      </c>
      <c r="S617">
        <v>4411923.55</v>
      </c>
      <c r="T617">
        <v>3456987271.79</v>
      </c>
      <c r="U617">
        <v>3624294817.9899998</v>
      </c>
      <c r="V617">
        <v>0.48309299999999999</v>
      </c>
      <c r="W617">
        <v>8.9218000000000006E-2</v>
      </c>
      <c r="Y617" t="s">
        <v>0</v>
      </c>
      <c r="Z617">
        <v>6000</v>
      </c>
      <c r="AA617">
        <v>42</v>
      </c>
      <c r="AB617">
        <v>21057</v>
      </c>
      <c r="AC617">
        <v>0</v>
      </c>
      <c r="AD617">
        <v>536650646004</v>
      </c>
      <c r="AE617">
        <v>685301091.46000004</v>
      </c>
      <c r="AF617">
        <v>529086749583.96997</v>
      </c>
      <c r="AG617">
        <v>534352970879.79999</v>
      </c>
      <c r="AH617">
        <v>0.14341899999999999</v>
      </c>
      <c r="AI617">
        <v>3.5464000000000002E-2</v>
      </c>
    </row>
    <row r="618" spans="13:35" x14ac:dyDescent="0.35">
      <c r="M618" t="s">
        <v>0</v>
      </c>
      <c r="N618">
        <v>5500</v>
      </c>
      <c r="O618">
        <v>42</v>
      </c>
      <c r="P618">
        <v>18475</v>
      </c>
      <c r="Q618">
        <v>0</v>
      </c>
      <c r="R618">
        <v>496375666587</v>
      </c>
      <c r="S618">
        <v>688359862.10000002</v>
      </c>
      <c r="T618">
        <v>492509112472.64001</v>
      </c>
      <c r="U618">
        <v>494906788703.09003</v>
      </c>
      <c r="V618">
        <v>7.4185000000000001E-2</v>
      </c>
      <c r="W618">
        <v>1.8707000000000001E-2</v>
      </c>
      <c r="Y618" t="s">
        <v>0</v>
      </c>
      <c r="Z618">
        <v>7500</v>
      </c>
      <c r="AA618">
        <v>42</v>
      </c>
      <c r="AB618">
        <v>1408</v>
      </c>
      <c r="AC618">
        <v>0</v>
      </c>
      <c r="AD618">
        <v>31842738939</v>
      </c>
      <c r="AE618">
        <v>31239243.129999999</v>
      </c>
      <c r="AF618">
        <v>30721889714.73</v>
      </c>
      <c r="AG618">
        <v>31506716102.720001</v>
      </c>
      <c r="AH618">
        <v>0.34151399999999998</v>
      </c>
      <c r="AI618">
        <v>0.109001</v>
      </c>
    </row>
    <row r="619" spans="13:35" x14ac:dyDescent="0.35">
      <c r="M619" t="s">
        <v>2</v>
      </c>
      <c r="N619">
        <v>5500</v>
      </c>
      <c r="O619">
        <v>42</v>
      </c>
      <c r="P619">
        <v>1115</v>
      </c>
      <c r="Q619">
        <v>0</v>
      </c>
      <c r="R619">
        <v>21289442886</v>
      </c>
      <c r="S619">
        <v>29621440.219999999</v>
      </c>
      <c r="T619">
        <v>21026284968.830002</v>
      </c>
      <c r="U619">
        <v>21218299461.549999</v>
      </c>
      <c r="V619">
        <v>0.123977</v>
      </c>
      <c r="W619">
        <v>2.3154999999999999E-2</v>
      </c>
      <c r="Y619" t="s">
        <v>0</v>
      </c>
      <c r="Z619">
        <v>7000</v>
      </c>
      <c r="AA619">
        <v>42</v>
      </c>
      <c r="AB619">
        <v>6343</v>
      </c>
      <c r="AC619">
        <v>0</v>
      </c>
      <c r="AD619">
        <v>145744474627</v>
      </c>
      <c r="AE619">
        <v>156824627.78999999</v>
      </c>
      <c r="AF619">
        <v>142400450003.84</v>
      </c>
      <c r="AG619">
        <v>144656857671.26999</v>
      </c>
      <c r="AH619">
        <v>0.23304900000000001</v>
      </c>
      <c r="AI619">
        <v>7.4001999999999998E-2</v>
      </c>
    </row>
    <row r="620" spans="13:35" x14ac:dyDescent="0.35">
      <c r="M620" t="s">
        <v>1</v>
      </c>
      <c r="N620">
        <v>6000</v>
      </c>
      <c r="O620">
        <v>42</v>
      </c>
      <c r="P620">
        <v>9284</v>
      </c>
      <c r="Q620">
        <v>0</v>
      </c>
      <c r="R620">
        <v>294621639044</v>
      </c>
      <c r="S620">
        <v>376831724.89999998</v>
      </c>
      <c r="T620">
        <v>288027026263.03998</v>
      </c>
      <c r="U620">
        <v>293615110551.78998</v>
      </c>
      <c r="V620">
        <v>0.225829</v>
      </c>
      <c r="W620">
        <v>2.5347999999999999E-2</v>
      </c>
      <c r="Y620" t="s">
        <v>0</v>
      </c>
      <c r="Z620">
        <v>6500</v>
      </c>
      <c r="AA620">
        <v>42</v>
      </c>
      <c r="AB620">
        <v>11714</v>
      </c>
      <c r="AC620">
        <v>0</v>
      </c>
      <c r="AD620">
        <v>285046813968</v>
      </c>
      <c r="AE620">
        <v>333536987.63</v>
      </c>
      <c r="AF620">
        <v>278293044416.88</v>
      </c>
      <c r="AG620">
        <v>282836810392.53998</v>
      </c>
      <c r="AH620">
        <v>0.23919000000000001</v>
      </c>
      <c r="AI620">
        <v>7.6198000000000002E-2</v>
      </c>
    </row>
    <row r="621" spans="13:35" x14ac:dyDescent="0.35">
      <c r="M621" t="s">
        <v>0</v>
      </c>
      <c r="N621">
        <v>6000</v>
      </c>
      <c r="O621">
        <v>42</v>
      </c>
      <c r="P621">
        <v>21066</v>
      </c>
      <c r="Q621">
        <v>0</v>
      </c>
      <c r="R621">
        <v>543284575615</v>
      </c>
      <c r="S621">
        <v>694871246.62</v>
      </c>
      <c r="T621">
        <v>537282409625.28998</v>
      </c>
      <c r="U621">
        <v>541511867648.10999</v>
      </c>
      <c r="V621">
        <v>0.11112900000000001</v>
      </c>
      <c r="W621">
        <v>2.3549E-2</v>
      </c>
      <c r="Y621" t="s">
        <v>0</v>
      </c>
      <c r="Z621">
        <v>6500</v>
      </c>
      <c r="AA621">
        <v>48</v>
      </c>
      <c r="AB621">
        <v>902</v>
      </c>
      <c r="AC621">
        <v>0</v>
      </c>
      <c r="AD621">
        <v>20681991518</v>
      </c>
      <c r="AE621">
        <v>24952684.280000001</v>
      </c>
      <c r="AF621">
        <v>20332719814.790001</v>
      </c>
      <c r="AG621">
        <v>20500978155.959999</v>
      </c>
      <c r="AH621">
        <v>0.172764</v>
      </c>
      <c r="AI621">
        <v>8.6884000000000003E-2</v>
      </c>
    </row>
    <row r="622" spans="13:35" x14ac:dyDescent="0.35">
      <c r="M622" t="s">
        <v>2</v>
      </c>
      <c r="N622">
        <v>6000</v>
      </c>
      <c r="O622">
        <v>42</v>
      </c>
      <c r="P622">
        <v>1229</v>
      </c>
      <c r="Q622">
        <v>0</v>
      </c>
      <c r="R622">
        <v>22011657524</v>
      </c>
      <c r="S622">
        <v>28114036.84</v>
      </c>
      <c r="T622">
        <v>21728707599.990002</v>
      </c>
      <c r="U622">
        <v>21974260123.380001</v>
      </c>
      <c r="V622">
        <v>0.130414</v>
      </c>
      <c r="W622">
        <v>5.0489999999999997E-3</v>
      </c>
      <c r="Y622" t="s">
        <v>2</v>
      </c>
      <c r="Z622">
        <v>6500</v>
      </c>
      <c r="AA622">
        <v>48</v>
      </c>
      <c r="AB622">
        <v>29</v>
      </c>
      <c r="AC622">
        <v>0</v>
      </c>
      <c r="AD622">
        <v>423023125</v>
      </c>
      <c r="AE622">
        <v>514099.47</v>
      </c>
      <c r="AF622">
        <v>422509025.52999997</v>
      </c>
      <c r="AG622">
        <v>422509025.52999997</v>
      </c>
      <c r="AH622">
        <v>0</v>
      </c>
      <c r="AI622">
        <v>0</v>
      </c>
    </row>
    <row r="623" spans="13:35" x14ac:dyDescent="0.35">
      <c r="M623" t="s">
        <v>0</v>
      </c>
      <c r="N623">
        <v>6500</v>
      </c>
      <c r="O623">
        <v>42</v>
      </c>
      <c r="P623">
        <v>12605</v>
      </c>
      <c r="Q623">
        <v>0</v>
      </c>
      <c r="R623">
        <v>304726012376</v>
      </c>
      <c r="S623">
        <v>357295558.30000001</v>
      </c>
      <c r="T623">
        <v>299645805892.28003</v>
      </c>
      <c r="U623">
        <v>303507969703.82001</v>
      </c>
      <c r="V623">
        <v>0.17092399999999999</v>
      </c>
      <c r="W623">
        <v>3.3374000000000001E-2</v>
      </c>
      <c r="Y623" t="s">
        <v>1</v>
      </c>
      <c r="Z623">
        <v>6500</v>
      </c>
      <c r="AA623">
        <v>48</v>
      </c>
      <c r="AB623">
        <v>78</v>
      </c>
      <c r="AC623">
        <v>0</v>
      </c>
      <c r="AD623">
        <v>1868282641</v>
      </c>
      <c r="AE623">
        <v>2249482.2599999998</v>
      </c>
      <c r="AF623">
        <v>1776934408.23</v>
      </c>
      <c r="AG623">
        <v>1832933673.0599999</v>
      </c>
      <c r="AH623">
        <v>0.443662</v>
      </c>
      <c r="AI623">
        <v>0.19305900000000001</v>
      </c>
    </row>
    <row r="624" spans="13:35" x14ac:dyDescent="0.35">
      <c r="M624" t="s">
        <v>1</v>
      </c>
      <c r="N624">
        <v>6500</v>
      </c>
      <c r="O624">
        <v>42</v>
      </c>
      <c r="P624">
        <v>3746</v>
      </c>
      <c r="Q624">
        <v>0</v>
      </c>
      <c r="R624">
        <v>106369005401</v>
      </c>
      <c r="S624">
        <v>124989239.84</v>
      </c>
      <c r="T624">
        <v>103145690825.8</v>
      </c>
      <c r="U624">
        <v>105802838824.72</v>
      </c>
      <c r="V624">
        <v>0.29863600000000001</v>
      </c>
      <c r="W624">
        <v>4.8652000000000001E-2</v>
      </c>
      <c r="Y624" t="s">
        <v>2</v>
      </c>
      <c r="Z624">
        <v>5500</v>
      </c>
      <c r="AA624">
        <v>42</v>
      </c>
      <c r="AB624">
        <v>1459</v>
      </c>
      <c r="AC624">
        <v>0</v>
      </c>
      <c r="AD624">
        <v>26209564943</v>
      </c>
      <c r="AE624">
        <v>36519547.920000002</v>
      </c>
      <c r="AF624">
        <v>25903594750</v>
      </c>
      <c r="AG624">
        <v>26088637251.619999</v>
      </c>
      <c r="AH624">
        <v>0.11662500000000001</v>
      </c>
      <c r="AI624">
        <v>3.7969000000000003E-2</v>
      </c>
    </row>
    <row r="625" spans="13:35" x14ac:dyDescent="0.35">
      <c r="M625" t="s">
        <v>2</v>
      </c>
      <c r="N625">
        <v>7000</v>
      </c>
      <c r="O625">
        <v>42</v>
      </c>
      <c r="P625">
        <v>459</v>
      </c>
      <c r="Q625">
        <v>0</v>
      </c>
      <c r="R625">
        <v>6626000609</v>
      </c>
      <c r="S625">
        <v>7159779.4199999999</v>
      </c>
      <c r="T625">
        <v>6530517286.6400003</v>
      </c>
      <c r="U625">
        <v>6613717588.5</v>
      </c>
      <c r="V625">
        <v>0.14873700000000001</v>
      </c>
      <c r="W625">
        <v>9.2390000000000007E-3</v>
      </c>
      <c r="Y625" t="s">
        <v>0</v>
      </c>
      <c r="Z625">
        <v>5500</v>
      </c>
      <c r="AA625">
        <v>42</v>
      </c>
      <c r="AB625">
        <v>20365</v>
      </c>
      <c r="AC625">
        <v>0</v>
      </c>
      <c r="AD625">
        <v>525288408764</v>
      </c>
      <c r="AE625">
        <v>729330808.08000004</v>
      </c>
      <c r="AF625">
        <v>519611020731.22998</v>
      </c>
      <c r="AG625">
        <v>523102760538.40997</v>
      </c>
      <c r="AH625">
        <v>0.10736</v>
      </c>
      <c r="AI625">
        <v>3.2766000000000003E-2</v>
      </c>
    </row>
    <row r="626" spans="13:35" x14ac:dyDescent="0.35">
      <c r="M626" t="s">
        <v>0</v>
      </c>
      <c r="N626">
        <v>7000</v>
      </c>
      <c r="O626">
        <v>48</v>
      </c>
      <c r="P626">
        <v>333</v>
      </c>
      <c r="Q626">
        <v>0</v>
      </c>
      <c r="R626">
        <v>6971657447</v>
      </c>
      <c r="S626">
        <v>7763206.2000000002</v>
      </c>
      <c r="T626">
        <v>6833204037.1400003</v>
      </c>
      <c r="U626">
        <v>6833204037.1400003</v>
      </c>
      <c r="V626">
        <v>0.203148</v>
      </c>
      <c r="W626">
        <v>0.203148</v>
      </c>
      <c r="Y626" t="s">
        <v>2</v>
      </c>
      <c r="Z626">
        <v>6000</v>
      </c>
      <c r="AA626">
        <v>42</v>
      </c>
      <c r="AB626">
        <v>1175</v>
      </c>
      <c r="AC626">
        <v>0</v>
      </c>
      <c r="AD626">
        <v>20331506067</v>
      </c>
      <c r="AE626">
        <v>25947938.140000001</v>
      </c>
      <c r="AF626">
        <v>20124612058.450001</v>
      </c>
      <c r="AG626">
        <v>20278940193.700001</v>
      </c>
      <c r="AH626">
        <v>0.10172200000000001</v>
      </c>
      <c r="AI626">
        <v>1.5598000000000001E-2</v>
      </c>
    </row>
    <row r="627" spans="13:35" x14ac:dyDescent="0.35">
      <c r="M627" t="s">
        <v>2</v>
      </c>
      <c r="N627">
        <v>5750</v>
      </c>
      <c r="O627">
        <v>48</v>
      </c>
      <c r="P627">
        <v>3433</v>
      </c>
      <c r="Q627">
        <v>0</v>
      </c>
      <c r="R627">
        <v>53453180013</v>
      </c>
      <c r="S627">
        <v>73527350.609999999</v>
      </c>
      <c r="T627">
        <v>52870024865.57</v>
      </c>
      <c r="U627">
        <v>53331450165.300003</v>
      </c>
      <c r="V627">
        <v>0.108596</v>
      </c>
      <c r="W627">
        <v>1.0768E-2</v>
      </c>
      <c r="Y627" t="s">
        <v>1</v>
      </c>
      <c r="Z627">
        <v>6000</v>
      </c>
      <c r="AA627">
        <v>42</v>
      </c>
      <c r="AB627">
        <v>9526</v>
      </c>
      <c r="AC627">
        <v>0</v>
      </c>
      <c r="AD627">
        <v>297008978325</v>
      </c>
      <c r="AE627">
        <v>379063072.11000001</v>
      </c>
      <c r="AF627">
        <v>288849593128.09998</v>
      </c>
      <c r="AG627">
        <v>295326886055.78998</v>
      </c>
      <c r="AH627">
        <v>0.27278799999999997</v>
      </c>
      <c r="AI627">
        <v>5.1394000000000002E-2</v>
      </c>
    </row>
    <row r="628" spans="13:35" x14ac:dyDescent="0.35">
      <c r="M628" t="s">
        <v>1</v>
      </c>
      <c r="N628">
        <v>4750</v>
      </c>
      <c r="O628">
        <v>48</v>
      </c>
      <c r="P628">
        <v>29349</v>
      </c>
      <c r="Q628">
        <v>0</v>
      </c>
      <c r="R628">
        <v>1049822267468</v>
      </c>
      <c r="S628">
        <v>1695409324.75</v>
      </c>
      <c r="T628">
        <v>1036870905797.8101</v>
      </c>
      <c r="U628">
        <v>1046477137946.6899</v>
      </c>
      <c r="V628">
        <v>0.121339</v>
      </c>
      <c r="W628">
        <v>1.8695E-2</v>
      </c>
      <c r="Y628" t="s">
        <v>2</v>
      </c>
      <c r="Z628">
        <v>6500</v>
      </c>
      <c r="AA628">
        <v>42</v>
      </c>
      <c r="AB628">
        <v>810</v>
      </c>
      <c r="AC628">
        <v>0</v>
      </c>
      <c r="AD628">
        <v>13122579204</v>
      </c>
      <c r="AE628">
        <v>15313191.890000001</v>
      </c>
      <c r="AF628">
        <v>12994224703.24</v>
      </c>
      <c r="AG628">
        <v>13008553819.860001</v>
      </c>
      <c r="AH628">
        <v>9.8611000000000004E-2</v>
      </c>
      <c r="AI628">
        <v>8.6624999999999994E-2</v>
      </c>
    </row>
    <row r="629" spans="13:35" x14ac:dyDescent="0.35">
      <c r="M629" t="s">
        <v>3</v>
      </c>
      <c r="N629">
        <v>5000</v>
      </c>
      <c r="O629">
        <v>48</v>
      </c>
      <c r="P629">
        <v>89</v>
      </c>
      <c r="Q629">
        <v>0</v>
      </c>
      <c r="R629">
        <v>2069174777</v>
      </c>
      <c r="S629">
        <v>3219523.8</v>
      </c>
      <c r="T629">
        <v>2065955253.2</v>
      </c>
      <c r="U629">
        <v>2065955253.2</v>
      </c>
      <c r="V629">
        <v>0</v>
      </c>
      <c r="W629">
        <v>0</v>
      </c>
      <c r="Y629" t="s">
        <v>1</v>
      </c>
      <c r="Z629">
        <v>5500</v>
      </c>
      <c r="AA629">
        <v>42</v>
      </c>
      <c r="AB629">
        <v>11071</v>
      </c>
      <c r="AC629">
        <v>0</v>
      </c>
      <c r="AD629">
        <v>379711415398</v>
      </c>
      <c r="AE629">
        <v>527254647.86000001</v>
      </c>
      <c r="AF629">
        <v>373560997176.78003</v>
      </c>
      <c r="AG629">
        <v>378322467738.92999</v>
      </c>
      <c r="AH629">
        <v>0.16392499999999999</v>
      </c>
      <c r="AI629">
        <v>2.6894999999999999E-2</v>
      </c>
    </row>
    <row r="630" spans="13:35" x14ac:dyDescent="0.35">
      <c r="M630" t="s">
        <v>0</v>
      </c>
      <c r="N630">
        <v>5750</v>
      </c>
      <c r="O630">
        <v>42</v>
      </c>
      <c r="P630">
        <v>38380</v>
      </c>
      <c r="Q630">
        <v>0</v>
      </c>
      <c r="R630">
        <v>1023270046031</v>
      </c>
      <c r="S630">
        <v>1366905060.97</v>
      </c>
      <c r="T630">
        <v>1012900541462.26</v>
      </c>
      <c r="U630">
        <v>1020030458199.55</v>
      </c>
      <c r="V630">
        <v>0.10061299999999999</v>
      </c>
      <c r="W630">
        <v>2.1741E-2</v>
      </c>
      <c r="Y630" t="s">
        <v>1</v>
      </c>
      <c r="Z630">
        <v>6500</v>
      </c>
      <c r="AA630">
        <v>42</v>
      </c>
      <c r="AB630">
        <v>3492</v>
      </c>
      <c r="AC630">
        <v>0</v>
      </c>
      <c r="AD630">
        <v>99907690078</v>
      </c>
      <c r="AE630">
        <v>116851801.3</v>
      </c>
      <c r="AF630">
        <v>96131329244.139999</v>
      </c>
      <c r="AG630">
        <v>99309898550.699997</v>
      </c>
      <c r="AH630">
        <v>0.36096699999999998</v>
      </c>
      <c r="AI630">
        <v>5.6260999999999999E-2</v>
      </c>
    </row>
    <row r="631" spans="13:35" x14ac:dyDescent="0.35">
      <c r="M631" t="s">
        <v>1</v>
      </c>
      <c r="N631">
        <v>4000</v>
      </c>
      <c r="O631">
        <v>42</v>
      </c>
      <c r="P631">
        <v>1649</v>
      </c>
      <c r="Q631">
        <v>0</v>
      </c>
      <c r="R631">
        <v>60659443966</v>
      </c>
      <c r="S631">
        <v>107778335.40000001</v>
      </c>
      <c r="T631">
        <v>60097513685.129997</v>
      </c>
      <c r="U631">
        <v>60414098613.190002</v>
      </c>
      <c r="V631">
        <v>8.6234000000000005E-2</v>
      </c>
      <c r="W631">
        <v>2.6877000000000002E-2</v>
      </c>
      <c r="Y631" t="s">
        <v>2</v>
      </c>
      <c r="Z631">
        <v>7000</v>
      </c>
      <c r="AA631">
        <v>42</v>
      </c>
      <c r="AB631">
        <v>424</v>
      </c>
      <c r="AC631">
        <v>0</v>
      </c>
      <c r="AD631">
        <v>6237671956</v>
      </c>
      <c r="AE631">
        <v>6702034.1200000001</v>
      </c>
      <c r="AF631">
        <v>6083271924</v>
      </c>
      <c r="AG631">
        <v>6214065211.1599998</v>
      </c>
      <c r="AH631">
        <v>0.24990699999999999</v>
      </c>
      <c r="AI631">
        <v>3.2041E-2</v>
      </c>
    </row>
    <row r="632" spans="13:35" x14ac:dyDescent="0.35">
      <c r="M632" t="s">
        <v>1</v>
      </c>
      <c r="N632">
        <v>4250</v>
      </c>
      <c r="O632">
        <v>42</v>
      </c>
      <c r="P632">
        <v>2861</v>
      </c>
      <c r="Q632">
        <v>0</v>
      </c>
      <c r="R632">
        <v>104997763109</v>
      </c>
      <c r="S632">
        <v>179327649.81</v>
      </c>
      <c r="T632">
        <v>104169911550.11</v>
      </c>
      <c r="U632">
        <v>104700673444.86</v>
      </c>
      <c r="V632">
        <v>7.1651999999999993E-2</v>
      </c>
      <c r="W632">
        <v>1.3376000000000001E-2</v>
      </c>
      <c r="Y632" t="s">
        <v>0</v>
      </c>
      <c r="Z632">
        <v>7000</v>
      </c>
      <c r="AA632">
        <v>48</v>
      </c>
      <c r="AB632">
        <v>153</v>
      </c>
      <c r="AC632">
        <v>0</v>
      </c>
      <c r="AD632">
        <v>3385674268</v>
      </c>
      <c r="AE632">
        <v>3752213.3</v>
      </c>
      <c r="AF632">
        <v>3345266342.3000002</v>
      </c>
      <c r="AG632">
        <v>3362989840.6399999</v>
      </c>
      <c r="AH632">
        <v>0.122457</v>
      </c>
      <c r="AI632">
        <v>6.5076999999999996E-2</v>
      </c>
    </row>
    <row r="633" spans="13:35" x14ac:dyDescent="0.35">
      <c r="M633" t="s">
        <v>2</v>
      </c>
      <c r="N633">
        <v>4250</v>
      </c>
      <c r="O633">
        <v>42</v>
      </c>
      <c r="P633">
        <v>141</v>
      </c>
      <c r="Q633">
        <v>0</v>
      </c>
      <c r="R633">
        <v>2651597264</v>
      </c>
      <c r="S633">
        <v>4632337.6399999997</v>
      </c>
      <c r="T633">
        <v>2617311372.7199998</v>
      </c>
      <c r="U633">
        <v>2637160282.2199998</v>
      </c>
      <c r="V633">
        <v>0.126245</v>
      </c>
      <c r="W633">
        <v>4.3479999999999998E-2</v>
      </c>
      <c r="Y633" t="s">
        <v>2</v>
      </c>
      <c r="Z633">
        <v>5750</v>
      </c>
      <c r="AA633">
        <v>48</v>
      </c>
      <c r="AB633">
        <v>2137</v>
      </c>
      <c r="AC633">
        <v>0</v>
      </c>
      <c r="AD633">
        <v>33012054597</v>
      </c>
      <c r="AE633">
        <v>45319121.649999999</v>
      </c>
      <c r="AF633">
        <v>32663537355</v>
      </c>
      <c r="AG633">
        <v>32850008878.110001</v>
      </c>
      <c r="AH633">
        <v>0.104813</v>
      </c>
      <c r="AI633">
        <v>4.1614999999999999E-2</v>
      </c>
    </row>
    <row r="634" spans="13:35" x14ac:dyDescent="0.35">
      <c r="M634" t="s">
        <v>0</v>
      </c>
      <c r="N634">
        <v>4250</v>
      </c>
      <c r="O634">
        <v>42</v>
      </c>
      <c r="P634">
        <v>2684</v>
      </c>
      <c r="Q634">
        <v>0</v>
      </c>
      <c r="R634">
        <v>80402079830</v>
      </c>
      <c r="S634">
        <v>137009006.15000001</v>
      </c>
      <c r="T634">
        <v>79863310936.639999</v>
      </c>
      <c r="U634">
        <v>80223620042.539993</v>
      </c>
      <c r="V634">
        <v>5.8341999999999998E-2</v>
      </c>
      <c r="W634">
        <v>6.169E-3</v>
      </c>
      <c r="Y634" t="s">
        <v>1</v>
      </c>
      <c r="Z634">
        <v>4750</v>
      </c>
      <c r="AA634">
        <v>48</v>
      </c>
      <c r="AB634">
        <v>23264</v>
      </c>
      <c r="AC634">
        <v>0</v>
      </c>
      <c r="AD634">
        <v>823872010636</v>
      </c>
      <c r="AE634">
        <v>1327921293.95</v>
      </c>
      <c r="AF634">
        <v>813325408614.45996</v>
      </c>
      <c r="AG634">
        <v>820448745975.12</v>
      </c>
      <c r="AH634">
        <v>0.12631100000000001</v>
      </c>
      <c r="AI634">
        <v>3.0096000000000001E-2</v>
      </c>
    </row>
    <row r="635" spans="13:35" x14ac:dyDescent="0.35">
      <c r="M635" t="s">
        <v>0</v>
      </c>
      <c r="N635">
        <v>4500</v>
      </c>
      <c r="O635">
        <v>42</v>
      </c>
      <c r="P635">
        <v>5444</v>
      </c>
      <c r="Q635">
        <v>0</v>
      </c>
      <c r="R635">
        <v>164532109777</v>
      </c>
      <c r="S635">
        <v>269796006.88999999</v>
      </c>
      <c r="T635">
        <v>163412409381.59</v>
      </c>
      <c r="U635">
        <v>164083923188.06</v>
      </c>
      <c r="V635">
        <v>6.0255999999999997E-2</v>
      </c>
      <c r="W635">
        <v>1.2933E-2</v>
      </c>
      <c r="Y635" t="s">
        <v>2</v>
      </c>
      <c r="Z635">
        <v>5250</v>
      </c>
      <c r="AA635">
        <v>42</v>
      </c>
      <c r="AB635">
        <v>1977</v>
      </c>
      <c r="AC635">
        <v>0</v>
      </c>
      <c r="AD635">
        <v>35476351931</v>
      </c>
      <c r="AE635">
        <v>51764673.649999999</v>
      </c>
      <c r="AF635">
        <v>35226661089.480003</v>
      </c>
      <c r="AG635">
        <v>35381707577.900002</v>
      </c>
      <c r="AH635">
        <v>6.4933000000000005E-2</v>
      </c>
      <c r="AI635">
        <v>1.4408000000000001E-2</v>
      </c>
    </row>
    <row r="636" spans="13:35" x14ac:dyDescent="0.35">
      <c r="M636" t="s">
        <v>2</v>
      </c>
      <c r="N636">
        <v>4500</v>
      </c>
      <c r="O636">
        <v>42</v>
      </c>
      <c r="P636">
        <v>280</v>
      </c>
      <c r="Q636">
        <v>0</v>
      </c>
      <c r="R636">
        <v>6135471695</v>
      </c>
      <c r="S636">
        <v>10134419.18</v>
      </c>
      <c r="T636">
        <v>6047743727.3000002</v>
      </c>
      <c r="U636">
        <v>6100732983.6800003</v>
      </c>
      <c r="V636">
        <v>0.14163700000000001</v>
      </c>
      <c r="W636">
        <v>4.7074999999999999E-2</v>
      </c>
      <c r="Y636" t="s">
        <v>0</v>
      </c>
      <c r="Z636">
        <v>4750</v>
      </c>
      <c r="AA636">
        <v>42</v>
      </c>
      <c r="AB636">
        <v>21610</v>
      </c>
      <c r="AC636">
        <v>0</v>
      </c>
      <c r="AD636">
        <v>640376539836</v>
      </c>
      <c r="AE636">
        <v>1009379745.84</v>
      </c>
      <c r="AF636">
        <v>635495907977.89001</v>
      </c>
      <c r="AG636">
        <v>638292197949.17004</v>
      </c>
      <c r="AH636">
        <v>7.0179000000000005E-2</v>
      </c>
      <c r="AI636">
        <v>1.9959000000000001E-2</v>
      </c>
    </row>
    <row r="637" spans="13:35" x14ac:dyDescent="0.35">
      <c r="M637" t="s">
        <v>2</v>
      </c>
      <c r="N637">
        <v>4750</v>
      </c>
      <c r="O637">
        <v>42</v>
      </c>
      <c r="P637">
        <v>705</v>
      </c>
      <c r="Q637">
        <v>0</v>
      </c>
      <c r="R637">
        <v>14747299096</v>
      </c>
      <c r="S637">
        <v>23350523.809999999</v>
      </c>
      <c r="T637">
        <v>14564206082.200001</v>
      </c>
      <c r="U637">
        <v>14666846706.33</v>
      </c>
      <c r="V637">
        <v>0.122513</v>
      </c>
      <c r="W637">
        <v>4.5487E-2</v>
      </c>
      <c r="Y637" t="s">
        <v>3</v>
      </c>
      <c r="Z637">
        <v>5000</v>
      </c>
      <c r="AA637">
        <v>42</v>
      </c>
      <c r="AB637">
        <v>21</v>
      </c>
      <c r="AC637">
        <v>0</v>
      </c>
      <c r="AD637">
        <v>547674709</v>
      </c>
      <c r="AE637">
        <v>833300.23</v>
      </c>
      <c r="AF637">
        <v>546841408.76999998</v>
      </c>
      <c r="AG637">
        <v>546841408.76999998</v>
      </c>
      <c r="AH637">
        <v>0</v>
      </c>
      <c r="AI637">
        <v>0</v>
      </c>
    </row>
    <row r="638" spans="13:35" x14ac:dyDescent="0.35">
      <c r="M638" t="s">
        <v>0</v>
      </c>
      <c r="N638">
        <v>4750</v>
      </c>
      <c r="O638">
        <v>42</v>
      </c>
      <c r="P638">
        <v>14318</v>
      </c>
      <c r="Q638">
        <v>0</v>
      </c>
      <c r="R638">
        <v>424324198828</v>
      </c>
      <c r="S638">
        <v>668459815.84000003</v>
      </c>
      <c r="T638">
        <v>420676415011.87</v>
      </c>
      <c r="U638">
        <v>423093025644.41998</v>
      </c>
      <c r="V638">
        <v>8.1076999999999996E-2</v>
      </c>
      <c r="W638">
        <v>1.5798E-2</v>
      </c>
      <c r="Y638" t="s">
        <v>1</v>
      </c>
      <c r="Z638">
        <v>4500</v>
      </c>
      <c r="AA638">
        <v>42</v>
      </c>
      <c r="AB638">
        <v>7567</v>
      </c>
      <c r="AC638">
        <v>0</v>
      </c>
      <c r="AD638">
        <v>287065690111</v>
      </c>
      <c r="AE638">
        <v>471157559.19999999</v>
      </c>
      <c r="AF638">
        <v>283508442047.28003</v>
      </c>
      <c r="AG638">
        <v>286138889037.10999</v>
      </c>
      <c r="AH638">
        <v>0.121645</v>
      </c>
      <c r="AI638">
        <v>1.8881999999999999E-2</v>
      </c>
    </row>
    <row r="639" spans="13:35" x14ac:dyDescent="0.35">
      <c r="M639" t="s">
        <v>1</v>
      </c>
      <c r="N639">
        <v>4750</v>
      </c>
      <c r="O639">
        <v>42</v>
      </c>
      <c r="P639">
        <v>11073</v>
      </c>
      <c r="Q639">
        <v>0</v>
      </c>
      <c r="R639">
        <v>399411356318</v>
      </c>
      <c r="S639">
        <v>630081807.49000001</v>
      </c>
      <c r="T639">
        <v>395109815813.26001</v>
      </c>
      <c r="U639">
        <v>398154379007.71997</v>
      </c>
      <c r="V639">
        <v>0.104897</v>
      </c>
      <c r="W639">
        <v>1.8672999999999999E-2</v>
      </c>
      <c r="Y639" t="s">
        <v>2</v>
      </c>
      <c r="Z639">
        <v>4500</v>
      </c>
      <c r="AA639">
        <v>42</v>
      </c>
      <c r="AB639">
        <v>426</v>
      </c>
      <c r="AC639">
        <v>0</v>
      </c>
      <c r="AD639">
        <v>9462533806</v>
      </c>
      <c r="AE639">
        <v>15584537.9</v>
      </c>
      <c r="AF639">
        <v>9446949268.1000004</v>
      </c>
      <c r="AG639">
        <v>9446949268.1000004</v>
      </c>
      <c r="AH639">
        <v>0</v>
      </c>
      <c r="AI639">
        <v>0</v>
      </c>
    </row>
    <row r="640" spans="13:35" x14ac:dyDescent="0.35">
      <c r="M640" t="s">
        <v>2</v>
      </c>
      <c r="N640">
        <v>5000</v>
      </c>
      <c r="O640">
        <v>42</v>
      </c>
      <c r="P640">
        <v>472</v>
      </c>
      <c r="Q640">
        <v>0</v>
      </c>
      <c r="R640">
        <v>9283149151</v>
      </c>
      <c r="S640">
        <v>14082895.43</v>
      </c>
      <c r="T640">
        <v>9269066255.5699997</v>
      </c>
      <c r="U640">
        <v>9269066255.5699997</v>
      </c>
      <c r="V640">
        <v>0</v>
      </c>
      <c r="W640">
        <v>0</v>
      </c>
      <c r="Y640" t="s">
        <v>2</v>
      </c>
      <c r="Z640">
        <v>4750</v>
      </c>
      <c r="AA640">
        <v>42</v>
      </c>
      <c r="AB640">
        <v>1063</v>
      </c>
      <c r="AC640">
        <v>0</v>
      </c>
      <c r="AD640">
        <v>21756875384</v>
      </c>
      <c r="AE640">
        <v>34401891.579999998</v>
      </c>
      <c r="AF640">
        <v>21616158504.5</v>
      </c>
      <c r="AG640">
        <v>21722473492.419998</v>
      </c>
      <c r="AH640">
        <v>5.7086999999999999E-2</v>
      </c>
      <c r="AI640">
        <v>0</v>
      </c>
    </row>
    <row r="641" spans="13:35" x14ac:dyDescent="0.35">
      <c r="M641" t="s">
        <v>1</v>
      </c>
      <c r="N641">
        <v>5250</v>
      </c>
      <c r="O641">
        <v>42</v>
      </c>
      <c r="P641">
        <v>13155</v>
      </c>
      <c r="Q641">
        <v>0</v>
      </c>
      <c r="R641">
        <v>470805718549</v>
      </c>
      <c r="S641">
        <v>683406795.5</v>
      </c>
      <c r="T641">
        <v>464901533078.95001</v>
      </c>
      <c r="U641">
        <v>469375440128.34003</v>
      </c>
      <c r="V641">
        <v>0.125245</v>
      </c>
      <c r="W641">
        <v>1.8870999999999999E-2</v>
      </c>
      <c r="Y641" t="s">
        <v>1</v>
      </c>
      <c r="Z641">
        <v>4750</v>
      </c>
      <c r="AA641">
        <v>42</v>
      </c>
      <c r="AB641">
        <v>17045</v>
      </c>
      <c r="AC641">
        <v>0</v>
      </c>
      <c r="AD641">
        <v>621940953472</v>
      </c>
      <c r="AE641">
        <v>981440091.73000002</v>
      </c>
      <c r="AF641">
        <v>614635453484.12</v>
      </c>
      <c r="AG641">
        <v>619619065674.26001</v>
      </c>
      <c r="AH641">
        <v>0.115421</v>
      </c>
      <c r="AI641">
        <v>2.5558999999999998E-2</v>
      </c>
    </row>
    <row r="642" spans="13:35" x14ac:dyDescent="0.35">
      <c r="M642" t="s">
        <v>0</v>
      </c>
      <c r="N642">
        <v>5250</v>
      </c>
      <c r="O642">
        <v>42</v>
      </c>
      <c r="P642">
        <v>21705</v>
      </c>
      <c r="Q642">
        <v>0</v>
      </c>
      <c r="R642">
        <v>595271732056</v>
      </c>
      <c r="S642">
        <v>864988451.22000003</v>
      </c>
      <c r="T642">
        <v>590178559449.58997</v>
      </c>
      <c r="U642">
        <v>593208686551.16003</v>
      </c>
      <c r="V642">
        <v>8.1983E-2</v>
      </c>
      <c r="W642">
        <v>2.3886000000000001E-2</v>
      </c>
      <c r="Y642" t="s">
        <v>0</v>
      </c>
      <c r="Z642">
        <v>5250</v>
      </c>
      <c r="AA642">
        <v>42</v>
      </c>
      <c r="AB642">
        <v>31672</v>
      </c>
      <c r="AC642">
        <v>0</v>
      </c>
      <c r="AD642">
        <v>851878591994</v>
      </c>
      <c r="AE642">
        <v>1239960572.9200001</v>
      </c>
      <c r="AF642">
        <v>844696715858.22998</v>
      </c>
      <c r="AG642">
        <v>848900203190.68994</v>
      </c>
      <c r="AH642">
        <v>8.0562999999999996E-2</v>
      </c>
      <c r="AI642">
        <v>2.4215E-2</v>
      </c>
    </row>
    <row r="643" spans="13:35" x14ac:dyDescent="0.35">
      <c r="M643" t="s">
        <v>2</v>
      </c>
      <c r="N643">
        <v>5250</v>
      </c>
      <c r="O643">
        <v>42</v>
      </c>
      <c r="P643">
        <v>1276</v>
      </c>
      <c r="Q643">
        <v>0</v>
      </c>
      <c r="R643">
        <v>23448853602</v>
      </c>
      <c r="S643">
        <v>34176279.590000004</v>
      </c>
      <c r="T643">
        <v>23238239400.32</v>
      </c>
      <c r="U643">
        <v>23364735450.23</v>
      </c>
      <c r="V643">
        <v>8.6648000000000003E-2</v>
      </c>
      <c r="W643">
        <v>2.5260999999999999E-2</v>
      </c>
      <c r="Y643" t="s">
        <v>0</v>
      </c>
      <c r="Z643">
        <v>5750</v>
      </c>
      <c r="AA643">
        <v>42</v>
      </c>
      <c r="AB643">
        <v>45546</v>
      </c>
      <c r="AC643">
        <v>0</v>
      </c>
      <c r="AD643">
        <v>1168030793554</v>
      </c>
      <c r="AE643">
        <v>1565185832.8499999</v>
      </c>
      <c r="AF643">
        <v>1155795715455.24</v>
      </c>
      <c r="AG643">
        <v>1162878351675.95</v>
      </c>
      <c r="AH643">
        <v>0.10427599999999999</v>
      </c>
      <c r="AI643">
        <v>3.6237999999999999E-2</v>
      </c>
    </row>
    <row r="644" spans="13:35" x14ac:dyDescent="0.35">
      <c r="M644" t="s">
        <v>0</v>
      </c>
      <c r="N644">
        <v>6250</v>
      </c>
      <c r="O644">
        <v>42</v>
      </c>
      <c r="P644">
        <v>37637</v>
      </c>
      <c r="Q644">
        <v>0</v>
      </c>
      <c r="R644">
        <v>963735837628</v>
      </c>
      <c r="S644">
        <v>1181837214.8</v>
      </c>
      <c r="T644">
        <v>949765076667.29004</v>
      </c>
      <c r="U644">
        <v>959132060526.87</v>
      </c>
      <c r="V644">
        <v>0.148119</v>
      </c>
      <c r="W644">
        <v>4.1785999999999997E-2</v>
      </c>
      <c r="Y644" t="s">
        <v>0</v>
      </c>
      <c r="Z644">
        <v>6250</v>
      </c>
      <c r="AA644">
        <v>42</v>
      </c>
      <c r="AB644">
        <v>35522</v>
      </c>
      <c r="AC644">
        <v>0</v>
      </c>
      <c r="AD644">
        <v>901699670181</v>
      </c>
      <c r="AE644">
        <v>1104869219.6900001</v>
      </c>
      <c r="AF644">
        <v>885221334882.21997</v>
      </c>
      <c r="AG644">
        <v>896401552157.23999</v>
      </c>
      <c r="AH644">
        <v>0.18645800000000001</v>
      </c>
      <c r="AI644">
        <v>5.4399000000000003E-2</v>
      </c>
    </row>
    <row r="645" spans="13:35" x14ac:dyDescent="0.35">
      <c r="M645" t="s">
        <v>0</v>
      </c>
      <c r="N645">
        <v>6750</v>
      </c>
      <c r="O645">
        <v>42</v>
      </c>
      <c r="P645">
        <v>27025</v>
      </c>
      <c r="Q645">
        <v>0</v>
      </c>
      <c r="R645">
        <v>658548983475</v>
      </c>
      <c r="S645">
        <v>741194931.69000006</v>
      </c>
      <c r="T645">
        <v>644419255622.32996</v>
      </c>
      <c r="U645">
        <v>654365914345.75</v>
      </c>
      <c r="V645">
        <v>0.21845200000000001</v>
      </c>
      <c r="W645">
        <v>6.0946E-2</v>
      </c>
      <c r="Y645" t="s">
        <v>0</v>
      </c>
      <c r="Z645">
        <v>4000</v>
      </c>
      <c r="AA645">
        <v>42</v>
      </c>
      <c r="AB645">
        <v>2812</v>
      </c>
      <c r="AC645">
        <v>0</v>
      </c>
      <c r="AD645">
        <v>87460289555</v>
      </c>
      <c r="AE645">
        <v>154649782.34</v>
      </c>
      <c r="AF645">
        <v>86725301601.460007</v>
      </c>
      <c r="AG645">
        <v>87127918503.130005</v>
      </c>
      <c r="AH645">
        <v>7.6783000000000004E-2</v>
      </c>
      <c r="AI645">
        <v>2.4114E-2</v>
      </c>
    </row>
    <row r="646" spans="13:35" x14ac:dyDescent="0.35">
      <c r="M646" t="s">
        <v>0</v>
      </c>
      <c r="N646">
        <v>3750</v>
      </c>
      <c r="O646">
        <v>42</v>
      </c>
      <c r="P646">
        <v>427</v>
      </c>
      <c r="Q646">
        <v>0</v>
      </c>
      <c r="R646">
        <v>11547772074</v>
      </c>
      <c r="S646">
        <v>21263557.219999999</v>
      </c>
      <c r="T646">
        <v>11469554172.530001</v>
      </c>
      <c r="U646">
        <v>11526508516.780001</v>
      </c>
      <c r="V646">
        <v>5.7605000000000003E-2</v>
      </c>
      <c r="W646">
        <v>0</v>
      </c>
      <c r="Y646" t="s">
        <v>0</v>
      </c>
      <c r="Z646">
        <v>4500</v>
      </c>
      <c r="AA646">
        <v>42</v>
      </c>
      <c r="AB646">
        <v>9016</v>
      </c>
      <c r="AC646">
        <v>0</v>
      </c>
      <c r="AD646">
        <v>274883981619</v>
      </c>
      <c r="AE646">
        <v>450873729.75999999</v>
      </c>
      <c r="AF646">
        <v>273126387217.38</v>
      </c>
      <c r="AG646">
        <v>274179678853.07001</v>
      </c>
      <c r="AH646">
        <v>5.5577000000000001E-2</v>
      </c>
      <c r="AI646">
        <v>1.1006999999999999E-2</v>
      </c>
    </row>
    <row r="647" spans="13:35" x14ac:dyDescent="0.35">
      <c r="M647" t="s">
        <v>0</v>
      </c>
      <c r="N647">
        <v>4000</v>
      </c>
      <c r="O647">
        <v>42</v>
      </c>
      <c r="P647">
        <v>2186</v>
      </c>
      <c r="Q647">
        <v>0</v>
      </c>
      <c r="R647">
        <v>67716970121</v>
      </c>
      <c r="S647">
        <v>119888285.88</v>
      </c>
      <c r="T647">
        <v>67296685294.580002</v>
      </c>
      <c r="U647">
        <v>67431799988.379997</v>
      </c>
      <c r="V647">
        <v>5.1952999999999999E-2</v>
      </c>
      <c r="W647">
        <v>2.8899000000000001E-2</v>
      </c>
      <c r="Y647" t="s">
        <v>1</v>
      </c>
      <c r="Z647">
        <v>4000</v>
      </c>
      <c r="AA647">
        <v>42</v>
      </c>
      <c r="AB647">
        <v>2222</v>
      </c>
      <c r="AC647">
        <v>0</v>
      </c>
      <c r="AD647">
        <v>83730852863</v>
      </c>
      <c r="AE647">
        <v>148572005.21000001</v>
      </c>
      <c r="AF647">
        <v>82897439607.279999</v>
      </c>
      <c r="AG647">
        <v>83487490946.279999</v>
      </c>
      <c r="AH647">
        <v>9.3852000000000005E-2</v>
      </c>
      <c r="AI647">
        <v>1.3501000000000001E-2</v>
      </c>
    </row>
    <row r="648" spans="13:35" x14ac:dyDescent="0.35">
      <c r="M648" t="s">
        <v>1</v>
      </c>
      <c r="N648">
        <v>5500</v>
      </c>
      <c r="O648">
        <v>42</v>
      </c>
      <c r="P648">
        <v>10758</v>
      </c>
      <c r="Q648">
        <v>0</v>
      </c>
      <c r="R648">
        <v>384151304907</v>
      </c>
      <c r="S648">
        <v>532568642.58999997</v>
      </c>
      <c r="T648">
        <v>378563076891.15997</v>
      </c>
      <c r="U648">
        <v>383065025287.28998</v>
      </c>
      <c r="V648">
        <v>0.146983</v>
      </c>
      <c r="W648">
        <v>1.7160000000000002E-2</v>
      </c>
      <c r="Y648" t="s">
        <v>1</v>
      </c>
      <c r="Z648">
        <v>4250</v>
      </c>
      <c r="AA648">
        <v>42</v>
      </c>
      <c r="AB648">
        <v>4319</v>
      </c>
      <c r="AC648">
        <v>0</v>
      </c>
      <c r="AD648">
        <v>162408401422</v>
      </c>
      <c r="AE648">
        <v>276982090.67000002</v>
      </c>
      <c r="AF648">
        <v>160939471920.22</v>
      </c>
      <c r="AG648">
        <v>162050437397.48001</v>
      </c>
      <c r="AH648">
        <v>8.4600999999999996E-2</v>
      </c>
      <c r="AI648">
        <v>5.9670000000000001E-3</v>
      </c>
    </row>
    <row r="649" spans="13:35" x14ac:dyDescent="0.35">
      <c r="M649" t="s">
        <v>0</v>
      </c>
      <c r="N649">
        <v>7250</v>
      </c>
      <c r="O649">
        <v>42</v>
      </c>
      <c r="P649">
        <v>9681</v>
      </c>
      <c r="Q649">
        <v>0</v>
      </c>
      <c r="R649">
        <v>211602813459</v>
      </c>
      <c r="S649">
        <v>218953085.88</v>
      </c>
      <c r="T649">
        <v>206072649599.19</v>
      </c>
      <c r="U649">
        <v>209203013487.89001</v>
      </c>
      <c r="V649">
        <v>0.262909</v>
      </c>
      <c r="W649">
        <v>0.116901</v>
      </c>
      <c r="Y649" t="s">
        <v>2</v>
      </c>
      <c r="Z649">
        <v>4250</v>
      </c>
      <c r="AA649">
        <v>42</v>
      </c>
      <c r="AB649">
        <v>202</v>
      </c>
      <c r="AC649">
        <v>0</v>
      </c>
      <c r="AD649">
        <v>3900659018</v>
      </c>
      <c r="AE649">
        <v>6780576.0099999998</v>
      </c>
      <c r="AF649">
        <v>3847575098.7399998</v>
      </c>
      <c r="AG649">
        <v>3893878441.9899998</v>
      </c>
      <c r="AH649">
        <v>0.13350600000000001</v>
      </c>
      <c r="AI649">
        <v>0</v>
      </c>
    </row>
    <row r="650" spans="13:35" x14ac:dyDescent="0.35">
      <c r="M650" t="s">
        <v>1</v>
      </c>
      <c r="N650">
        <v>5000</v>
      </c>
      <c r="O650">
        <v>42</v>
      </c>
      <c r="P650">
        <v>6830</v>
      </c>
      <c r="Q650">
        <v>0</v>
      </c>
      <c r="R650">
        <v>249606096520</v>
      </c>
      <c r="S650">
        <v>377480286.01999998</v>
      </c>
      <c r="T650">
        <v>246233585031.66</v>
      </c>
      <c r="U650">
        <v>248690272713.07999</v>
      </c>
      <c r="V650">
        <v>0.134856</v>
      </c>
      <c r="W650">
        <v>2.5576000000000002E-2</v>
      </c>
      <c r="Y650" t="s">
        <v>0</v>
      </c>
      <c r="Z650">
        <v>4250</v>
      </c>
      <c r="AA650">
        <v>42</v>
      </c>
      <c r="AB650">
        <v>4114</v>
      </c>
      <c r="AC650">
        <v>0</v>
      </c>
      <c r="AD650">
        <v>125793156469</v>
      </c>
      <c r="AE650">
        <v>214500031.09</v>
      </c>
      <c r="AF650">
        <v>125005002514.45</v>
      </c>
      <c r="AG650">
        <v>125495556868.3</v>
      </c>
      <c r="AH650">
        <v>5.3372000000000003E-2</v>
      </c>
      <c r="AI650">
        <v>7.8989999999999998E-3</v>
      </c>
    </row>
    <row r="651" spans="13:35" x14ac:dyDescent="0.35">
      <c r="M651" t="s">
        <v>1</v>
      </c>
      <c r="N651">
        <v>5750</v>
      </c>
      <c r="O651">
        <v>42</v>
      </c>
      <c r="P651">
        <v>19574</v>
      </c>
      <c r="Q651">
        <v>0</v>
      </c>
      <c r="R651">
        <v>658847279720</v>
      </c>
      <c r="S651">
        <v>878811793.53999996</v>
      </c>
      <c r="T651">
        <v>646403111235.59998</v>
      </c>
      <c r="U651">
        <v>656378271295.47998</v>
      </c>
      <c r="V651">
        <v>0.19145400000000001</v>
      </c>
      <c r="W651">
        <v>2.8582E-2</v>
      </c>
      <c r="Y651" t="s">
        <v>1</v>
      </c>
      <c r="Z651">
        <v>5250</v>
      </c>
      <c r="AA651">
        <v>42</v>
      </c>
      <c r="AB651">
        <v>16938</v>
      </c>
      <c r="AC651">
        <v>0</v>
      </c>
      <c r="AD651">
        <v>592733332660</v>
      </c>
      <c r="AE651">
        <v>862626050.88</v>
      </c>
      <c r="AF651">
        <v>584147695622.60999</v>
      </c>
      <c r="AG651">
        <v>590400260459.75</v>
      </c>
      <c r="AH651">
        <v>0.145622</v>
      </c>
      <c r="AI651">
        <v>2.9367000000000001E-2</v>
      </c>
    </row>
    <row r="652" spans="13:35" x14ac:dyDescent="0.35">
      <c r="M652" t="s">
        <v>2</v>
      </c>
      <c r="N652">
        <v>5750</v>
      </c>
      <c r="O652">
        <v>42</v>
      </c>
      <c r="P652">
        <v>2871</v>
      </c>
      <c r="Q652">
        <v>0</v>
      </c>
      <c r="R652">
        <v>49592330846</v>
      </c>
      <c r="S652">
        <v>66497240.93</v>
      </c>
      <c r="T652">
        <v>48985070666.300003</v>
      </c>
      <c r="U652">
        <v>49394930842.129997</v>
      </c>
      <c r="V652">
        <v>0.123281</v>
      </c>
      <c r="W652">
        <v>3.1219E-2</v>
      </c>
      <c r="Y652" t="s">
        <v>0</v>
      </c>
      <c r="Z652">
        <v>6750</v>
      </c>
      <c r="AA652">
        <v>42</v>
      </c>
      <c r="AB652">
        <v>24155</v>
      </c>
      <c r="AC652">
        <v>0</v>
      </c>
      <c r="AD652">
        <v>593878229264</v>
      </c>
      <c r="AE652">
        <v>666072311.67999995</v>
      </c>
      <c r="AF652">
        <v>577585609992.97998</v>
      </c>
      <c r="AG652">
        <v>588794152197.48999</v>
      </c>
      <c r="AH652">
        <v>0.273837</v>
      </c>
      <c r="AI652">
        <v>8.5707000000000005E-2</v>
      </c>
    </row>
    <row r="653" spans="13:35" x14ac:dyDescent="0.35">
      <c r="M653" t="s">
        <v>2</v>
      </c>
      <c r="N653">
        <v>6250</v>
      </c>
      <c r="O653">
        <v>42</v>
      </c>
      <c r="P653">
        <v>2904</v>
      </c>
      <c r="Q653">
        <v>0</v>
      </c>
      <c r="R653">
        <v>48015376866</v>
      </c>
      <c r="S653">
        <v>58946168.890000001</v>
      </c>
      <c r="T653">
        <v>47462051058.410004</v>
      </c>
      <c r="U653">
        <v>47832872344.209999</v>
      </c>
      <c r="V653">
        <v>0.11679299999999999</v>
      </c>
      <c r="W653">
        <v>3.0446000000000001E-2</v>
      </c>
      <c r="Y653" t="s">
        <v>0</v>
      </c>
      <c r="Z653">
        <v>3750</v>
      </c>
      <c r="AA653">
        <v>42</v>
      </c>
      <c r="AB653">
        <v>714</v>
      </c>
      <c r="AC653">
        <v>0</v>
      </c>
      <c r="AD653">
        <v>19081326782</v>
      </c>
      <c r="AE653">
        <v>35094397.649999999</v>
      </c>
      <c r="AF653">
        <v>18885165898.07</v>
      </c>
      <c r="AG653">
        <v>19016754261.349998</v>
      </c>
      <c r="AH653">
        <v>9.672E-2</v>
      </c>
      <c r="AI653">
        <v>1.8381999999999999E-2</v>
      </c>
    </row>
    <row r="654" spans="13:35" x14ac:dyDescent="0.35">
      <c r="M654" t="s">
        <v>2</v>
      </c>
      <c r="N654">
        <v>6500</v>
      </c>
      <c r="O654">
        <v>42</v>
      </c>
      <c r="P654">
        <v>917</v>
      </c>
      <c r="Q654">
        <v>0</v>
      </c>
      <c r="R654">
        <v>14975944814</v>
      </c>
      <c r="S654">
        <v>17532489.34</v>
      </c>
      <c r="T654">
        <v>14822103646.309999</v>
      </c>
      <c r="U654">
        <v>14937933871.879999</v>
      </c>
      <c r="V654">
        <v>0.103917</v>
      </c>
      <c r="W654">
        <v>1.6285999999999998E-2</v>
      </c>
      <c r="Y654" t="s">
        <v>0</v>
      </c>
      <c r="Z654">
        <v>7250</v>
      </c>
      <c r="AA654">
        <v>42</v>
      </c>
      <c r="AB654">
        <v>8735</v>
      </c>
      <c r="AC654">
        <v>0</v>
      </c>
      <c r="AD654">
        <v>192241486149</v>
      </c>
      <c r="AE654">
        <v>198045091.12</v>
      </c>
      <c r="AF654">
        <v>186187420829.76999</v>
      </c>
      <c r="AG654">
        <v>190252713312.35001</v>
      </c>
      <c r="AH654">
        <v>0.31011100000000003</v>
      </c>
      <c r="AI654">
        <v>0.106227</v>
      </c>
    </row>
    <row r="655" spans="13:35" x14ac:dyDescent="0.35">
      <c r="M655" t="s">
        <v>1</v>
      </c>
      <c r="N655">
        <v>7000</v>
      </c>
      <c r="O655">
        <v>42</v>
      </c>
      <c r="P655">
        <v>1807</v>
      </c>
      <c r="Q655">
        <v>0</v>
      </c>
      <c r="R655">
        <v>43809892052</v>
      </c>
      <c r="S655">
        <v>47346940.340000004</v>
      </c>
      <c r="T655">
        <v>42140756163.82</v>
      </c>
      <c r="U655">
        <v>43563711567.989998</v>
      </c>
      <c r="V655">
        <v>0.36406300000000003</v>
      </c>
      <c r="W655">
        <v>5.3123999999999998E-2</v>
      </c>
      <c r="Y655" t="s">
        <v>1</v>
      </c>
      <c r="Z655">
        <v>5750</v>
      </c>
      <c r="AA655">
        <v>42</v>
      </c>
      <c r="AB655">
        <v>20355</v>
      </c>
      <c r="AC655">
        <v>0</v>
      </c>
      <c r="AD655">
        <v>661890048510</v>
      </c>
      <c r="AE655">
        <v>884737185.99000001</v>
      </c>
      <c r="AF655">
        <v>648896753099.35999</v>
      </c>
      <c r="AG655">
        <v>658819869775.32996</v>
      </c>
      <c r="AH655">
        <v>0.19873199999999999</v>
      </c>
      <c r="AI655">
        <v>3.891E-2</v>
      </c>
    </row>
    <row r="656" spans="13:35" x14ac:dyDescent="0.35">
      <c r="M656" t="s">
        <v>1</v>
      </c>
      <c r="N656">
        <v>5750</v>
      </c>
      <c r="O656">
        <v>48</v>
      </c>
      <c r="P656">
        <v>14658</v>
      </c>
      <c r="Q656">
        <v>0</v>
      </c>
      <c r="R656">
        <v>432830922244</v>
      </c>
      <c r="S656">
        <v>595528453.13999999</v>
      </c>
      <c r="T656">
        <v>426341937540.39001</v>
      </c>
      <c r="U656">
        <v>430713000134.17999</v>
      </c>
      <c r="V656">
        <v>0.151695</v>
      </c>
      <c r="W656">
        <v>4.1401E-2</v>
      </c>
      <c r="Y656" t="s">
        <v>2</v>
      </c>
      <c r="Z656">
        <v>5750</v>
      </c>
      <c r="AA656">
        <v>42</v>
      </c>
      <c r="AB656">
        <v>3784</v>
      </c>
      <c r="AC656">
        <v>0</v>
      </c>
      <c r="AD656">
        <v>62415025846</v>
      </c>
      <c r="AE656">
        <v>83951978.370000005</v>
      </c>
      <c r="AF656">
        <v>61877415903.849998</v>
      </c>
      <c r="AG656">
        <v>62300723530.779999</v>
      </c>
      <c r="AH656">
        <v>8.3817000000000003E-2</v>
      </c>
      <c r="AI656">
        <v>5.8199999999999997E-3</v>
      </c>
    </row>
    <row r="657" spans="13:35" x14ac:dyDescent="0.35">
      <c r="M657" t="s">
        <v>2</v>
      </c>
      <c r="N657">
        <v>4000</v>
      </c>
      <c r="O657">
        <v>42</v>
      </c>
      <c r="P657">
        <v>113</v>
      </c>
      <c r="Q657">
        <v>0</v>
      </c>
      <c r="R657">
        <v>2345326858</v>
      </c>
      <c r="S657">
        <v>4247627.21</v>
      </c>
      <c r="T657">
        <v>2305659616.25</v>
      </c>
      <c r="U657">
        <v>2322559912.0300002</v>
      </c>
      <c r="V657">
        <v>0.166906</v>
      </c>
      <c r="W657">
        <v>9.0745999999999993E-2</v>
      </c>
      <c r="Y657" t="s">
        <v>2</v>
      </c>
      <c r="Z657">
        <v>6250</v>
      </c>
      <c r="AA657">
        <v>42</v>
      </c>
      <c r="AB657">
        <v>2613</v>
      </c>
      <c r="AC657">
        <v>0</v>
      </c>
      <c r="AD657">
        <v>42732406974</v>
      </c>
      <c r="AE657">
        <v>52400079.420000002</v>
      </c>
      <c r="AF657">
        <v>42222157424.669998</v>
      </c>
      <c r="AG657">
        <v>42545492562.529999</v>
      </c>
      <c r="AH657">
        <v>0.12126000000000001</v>
      </c>
      <c r="AI657">
        <v>3.7127E-2</v>
      </c>
    </row>
    <row r="658" spans="13:35" x14ac:dyDescent="0.35">
      <c r="M658" t="s">
        <v>1</v>
      </c>
      <c r="N658">
        <v>4500</v>
      </c>
      <c r="O658">
        <v>42</v>
      </c>
      <c r="P658">
        <v>4609</v>
      </c>
      <c r="Q658">
        <v>0</v>
      </c>
      <c r="R658">
        <v>170290605064</v>
      </c>
      <c r="S658">
        <v>279675120.43000001</v>
      </c>
      <c r="T658">
        <v>168114377272.17999</v>
      </c>
      <c r="U658">
        <v>169617219325.98999</v>
      </c>
      <c r="V658">
        <v>0.12575600000000001</v>
      </c>
      <c r="W658">
        <v>2.7394000000000002E-2</v>
      </c>
      <c r="Y658" t="s">
        <v>1</v>
      </c>
      <c r="Z658">
        <v>7000</v>
      </c>
      <c r="AA658">
        <v>42</v>
      </c>
      <c r="AB658">
        <v>1728</v>
      </c>
      <c r="AC658">
        <v>0</v>
      </c>
      <c r="AD658">
        <v>42258296073</v>
      </c>
      <c r="AE658">
        <v>45386223.149999999</v>
      </c>
      <c r="AF658">
        <v>40935694272.760002</v>
      </c>
      <c r="AG658">
        <v>42057156574.190002</v>
      </c>
      <c r="AH658">
        <v>0.30807800000000002</v>
      </c>
      <c r="AI658">
        <v>4.3343E-2</v>
      </c>
    </row>
    <row r="659" spans="13:35" x14ac:dyDescent="0.35">
      <c r="M659" t="s">
        <v>0</v>
      </c>
      <c r="N659">
        <v>6000</v>
      </c>
      <c r="O659">
        <v>36</v>
      </c>
      <c r="P659">
        <v>28191</v>
      </c>
      <c r="Q659">
        <v>0</v>
      </c>
      <c r="R659">
        <v>778585811341</v>
      </c>
      <c r="S659">
        <v>958357514.40999997</v>
      </c>
      <c r="T659">
        <v>769968864820.40002</v>
      </c>
      <c r="U659">
        <v>776025921984.5</v>
      </c>
      <c r="V659">
        <v>0.111857</v>
      </c>
      <c r="W659">
        <v>2.4406000000000001E-2</v>
      </c>
      <c r="Y659" t="s">
        <v>1</v>
      </c>
      <c r="Z659">
        <v>5750</v>
      </c>
      <c r="AA659">
        <v>48</v>
      </c>
      <c r="AB659">
        <v>10232</v>
      </c>
      <c r="AC659">
        <v>0</v>
      </c>
      <c r="AD659">
        <v>299968455964</v>
      </c>
      <c r="AE659">
        <v>411841766.82999998</v>
      </c>
      <c r="AF659">
        <v>294086795663.78003</v>
      </c>
      <c r="AG659">
        <v>297675757636.40002</v>
      </c>
      <c r="AH659">
        <v>0.19815099999999999</v>
      </c>
      <c r="AI659">
        <v>7.2701000000000002E-2</v>
      </c>
    </row>
    <row r="660" spans="13:35" x14ac:dyDescent="0.35">
      <c r="M660" t="s">
        <v>2</v>
      </c>
      <c r="N660">
        <v>6000</v>
      </c>
      <c r="O660">
        <v>36</v>
      </c>
      <c r="P660">
        <v>1180</v>
      </c>
      <c r="Q660">
        <v>0</v>
      </c>
      <c r="R660">
        <v>22083341538</v>
      </c>
      <c r="S660">
        <v>27228550.129999999</v>
      </c>
      <c r="T660">
        <v>21907349462.02</v>
      </c>
      <c r="U660">
        <v>22056112987.869999</v>
      </c>
      <c r="V660">
        <v>7.7909000000000006E-2</v>
      </c>
      <c r="W660">
        <v>0</v>
      </c>
      <c r="Y660" t="s">
        <v>2</v>
      </c>
      <c r="Z660">
        <v>4000</v>
      </c>
      <c r="AA660">
        <v>42</v>
      </c>
      <c r="AB660">
        <v>142</v>
      </c>
      <c r="AC660">
        <v>0</v>
      </c>
      <c r="AD660">
        <v>3079880289</v>
      </c>
      <c r="AE660">
        <v>5557357.3399999999</v>
      </c>
      <c r="AF660">
        <v>3054424319.1100001</v>
      </c>
      <c r="AG660">
        <v>3074322931.6599998</v>
      </c>
      <c r="AH660">
        <v>7.4833999999999998E-2</v>
      </c>
      <c r="AI660">
        <v>0</v>
      </c>
    </row>
    <row r="661" spans="13:35" x14ac:dyDescent="0.35">
      <c r="M661" t="s">
        <v>1</v>
      </c>
      <c r="N661">
        <v>6000</v>
      </c>
      <c r="O661">
        <v>36</v>
      </c>
      <c r="P661">
        <v>11900</v>
      </c>
      <c r="Q661">
        <v>0</v>
      </c>
      <c r="R661">
        <v>426707847429</v>
      </c>
      <c r="S661">
        <v>525665179.75</v>
      </c>
      <c r="T661">
        <v>416968190200.06</v>
      </c>
      <c r="U661">
        <v>425443639899.38</v>
      </c>
      <c r="V661">
        <v>0.23045599999999999</v>
      </c>
      <c r="W661">
        <v>2.0573000000000001E-2</v>
      </c>
      <c r="Y661" t="s">
        <v>0</v>
      </c>
      <c r="Z661">
        <v>5500</v>
      </c>
      <c r="AA661">
        <v>36</v>
      </c>
      <c r="AB661">
        <v>18722</v>
      </c>
      <c r="AC661">
        <v>0</v>
      </c>
      <c r="AD661">
        <v>570010206294</v>
      </c>
      <c r="AE661">
        <v>761963066.36000001</v>
      </c>
      <c r="AF661">
        <v>564802687618.20996</v>
      </c>
      <c r="AG661">
        <v>567841163018.30005</v>
      </c>
      <c r="AH661">
        <v>8.9677000000000007E-2</v>
      </c>
      <c r="AI661">
        <v>2.9222999999999999E-2</v>
      </c>
    </row>
    <row r="662" spans="13:35" x14ac:dyDescent="0.35">
      <c r="M662" t="s">
        <v>2</v>
      </c>
      <c r="N662">
        <v>5000</v>
      </c>
      <c r="O662">
        <v>36</v>
      </c>
      <c r="P662">
        <v>217</v>
      </c>
      <c r="Q662">
        <v>0</v>
      </c>
      <c r="R662">
        <v>5547965829</v>
      </c>
      <c r="S662">
        <v>8076659.2599999998</v>
      </c>
      <c r="T662">
        <v>5510077570.6199999</v>
      </c>
      <c r="U662">
        <v>5539889169.7399998</v>
      </c>
      <c r="V662">
        <v>6.2608999999999998E-2</v>
      </c>
      <c r="W662">
        <v>0</v>
      </c>
      <c r="Y662" t="s">
        <v>2</v>
      </c>
      <c r="Z662">
        <v>5500</v>
      </c>
      <c r="AA662">
        <v>36</v>
      </c>
      <c r="AB662">
        <v>652</v>
      </c>
      <c r="AC662">
        <v>0</v>
      </c>
      <c r="AD662">
        <v>13671772530</v>
      </c>
      <c r="AE662">
        <v>18340258.350000001</v>
      </c>
      <c r="AF662">
        <v>13591339873.32</v>
      </c>
      <c r="AG662">
        <v>13653432271.65</v>
      </c>
      <c r="AH662">
        <v>5.3158999999999998E-2</v>
      </c>
      <c r="AI662">
        <v>0</v>
      </c>
    </row>
    <row r="663" spans="13:35" x14ac:dyDescent="0.35">
      <c r="M663" t="s">
        <v>0</v>
      </c>
      <c r="N663">
        <v>5000</v>
      </c>
      <c r="O663">
        <v>36</v>
      </c>
      <c r="P663">
        <v>10153</v>
      </c>
      <c r="Q663">
        <v>0</v>
      </c>
      <c r="R663">
        <v>330182266405</v>
      </c>
      <c r="S663">
        <v>480359115.23000002</v>
      </c>
      <c r="T663">
        <v>328162426751.97998</v>
      </c>
      <c r="U663">
        <v>329307175209.20001</v>
      </c>
      <c r="V663">
        <v>5.4537000000000002E-2</v>
      </c>
      <c r="W663">
        <v>1.4252000000000001E-2</v>
      </c>
      <c r="Y663" t="s">
        <v>1</v>
      </c>
      <c r="Z663">
        <v>5500</v>
      </c>
      <c r="AA663">
        <v>36</v>
      </c>
      <c r="AB663">
        <v>13722</v>
      </c>
      <c r="AC663">
        <v>0</v>
      </c>
      <c r="AD663">
        <v>512870043371</v>
      </c>
      <c r="AE663">
        <v>686581110.66999996</v>
      </c>
      <c r="AF663">
        <v>506362238377.63</v>
      </c>
      <c r="AG663">
        <v>511083332384.29999</v>
      </c>
      <c r="AH663">
        <v>0.12801399999999999</v>
      </c>
      <c r="AI663">
        <v>2.5439E-2</v>
      </c>
    </row>
    <row r="664" spans="13:35" x14ac:dyDescent="0.35">
      <c r="M664" t="s">
        <v>1</v>
      </c>
      <c r="N664">
        <v>5000</v>
      </c>
      <c r="O664">
        <v>36</v>
      </c>
      <c r="P664">
        <v>5786</v>
      </c>
      <c r="Q664">
        <v>0</v>
      </c>
      <c r="R664">
        <v>213302805468</v>
      </c>
      <c r="S664">
        <v>310639553.06999999</v>
      </c>
      <c r="T664">
        <v>210999757131.51999</v>
      </c>
      <c r="U664">
        <v>212723831365.01999</v>
      </c>
      <c r="V664">
        <v>0.106506</v>
      </c>
      <c r="W664">
        <v>1.4992E-2</v>
      </c>
      <c r="Y664" t="s">
        <v>0</v>
      </c>
      <c r="Z664">
        <v>6000</v>
      </c>
      <c r="AA664">
        <v>36</v>
      </c>
      <c r="AB664">
        <v>27648</v>
      </c>
      <c r="AC664">
        <v>0</v>
      </c>
      <c r="AD664">
        <v>755275199623</v>
      </c>
      <c r="AE664">
        <v>928103753.72000003</v>
      </c>
      <c r="AF664">
        <v>746722084929.32996</v>
      </c>
      <c r="AG664">
        <v>752903424787.87</v>
      </c>
      <c r="AH664">
        <v>0.11464199999999999</v>
      </c>
      <c r="AI664">
        <v>2.2697999999999999E-2</v>
      </c>
    </row>
    <row r="665" spans="13:35" x14ac:dyDescent="0.35">
      <c r="M665" t="s">
        <v>2</v>
      </c>
      <c r="N665">
        <v>5500</v>
      </c>
      <c r="O665">
        <v>36</v>
      </c>
      <c r="P665">
        <v>538</v>
      </c>
      <c r="Q665">
        <v>0</v>
      </c>
      <c r="R665">
        <v>11245471666</v>
      </c>
      <c r="S665">
        <v>15087024.02</v>
      </c>
      <c r="T665">
        <v>11190576613.360001</v>
      </c>
      <c r="U665">
        <v>11230384641.98</v>
      </c>
      <c r="V665">
        <v>4.1661999999999998E-2</v>
      </c>
      <c r="W665">
        <v>0</v>
      </c>
      <c r="Y665" t="s">
        <v>2</v>
      </c>
      <c r="Z665">
        <v>6000</v>
      </c>
      <c r="AA665">
        <v>36</v>
      </c>
      <c r="AB665">
        <v>1274</v>
      </c>
      <c r="AC665">
        <v>0</v>
      </c>
      <c r="AD665">
        <v>23718944653</v>
      </c>
      <c r="AE665">
        <v>29213494.98</v>
      </c>
      <c r="AF665">
        <v>23458800661.259998</v>
      </c>
      <c r="AG665">
        <v>23637014501.369999</v>
      </c>
      <c r="AH665">
        <v>0.110776</v>
      </c>
      <c r="AI665">
        <v>2.6346999999999999E-2</v>
      </c>
    </row>
    <row r="666" spans="13:35" x14ac:dyDescent="0.35">
      <c r="M666" t="s">
        <v>0</v>
      </c>
      <c r="N666">
        <v>5500</v>
      </c>
      <c r="O666">
        <v>36</v>
      </c>
      <c r="P666">
        <v>17564</v>
      </c>
      <c r="Q666">
        <v>0</v>
      </c>
      <c r="R666">
        <v>542833449344</v>
      </c>
      <c r="S666">
        <v>726034116.13999999</v>
      </c>
      <c r="T666">
        <v>537816407744.35999</v>
      </c>
      <c r="U666">
        <v>540817174112.62</v>
      </c>
      <c r="V666">
        <v>9.0841000000000005E-2</v>
      </c>
      <c r="W666">
        <v>2.8152E-2</v>
      </c>
      <c r="Y666" t="s">
        <v>1</v>
      </c>
      <c r="Z666">
        <v>6000</v>
      </c>
      <c r="AA666">
        <v>36</v>
      </c>
      <c r="AB666">
        <v>10848</v>
      </c>
      <c r="AC666">
        <v>0</v>
      </c>
      <c r="AD666">
        <v>385914397557</v>
      </c>
      <c r="AE666">
        <v>475041774.44999999</v>
      </c>
      <c r="AF666">
        <v>374381716941.21002</v>
      </c>
      <c r="AG666">
        <v>384309670137.23999</v>
      </c>
      <c r="AH666">
        <v>0.29450799999999999</v>
      </c>
      <c r="AI666">
        <v>3.4567000000000001E-2</v>
      </c>
    </row>
    <row r="667" spans="13:35" x14ac:dyDescent="0.35">
      <c r="M667" t="s">
        <v>1</v>
      </c>
      <c r="N667">
        <v>5500</v>
      </c>
      <c r="O667">
        <v>36</v>
      </c>
      <c r="P667">
        <v>12785</v>
      </c>
      <c r="Q667">
        <v>0</v>
      </c>
      <c r="R667">
        <v>477839890595</v>
      </c>
      <c r="S667">
        <v>640142047.26999998</v>
      </c>
      <c r="T667">
        <v>471182952573.82001</v>
      </c>
      <c r="U667">
        <v>476574027500.15997</v>
      </c>
      <c r="V667">
        <v>0.14106299999999999</v>
      </c>
      <c r="W667">
        <v>1.5601E-2</v>
      </c>
      <c r="Y667" t="s">
        <v>2</v>
      </c>
      <c r="Z667">
        <v>5000</v>
      </c>
      <c r="AA667">
        <v>36</v>
      </c>
      <c r="AB667">
        <v>227</v>
      </c>
      <c r="AC667">
        <v>0</v>
      </c>
      <c r="AD667">
        <v>5869751093</v>
      </c>
      <c r="AE667">
        <v>8541997.1600000001</v>
      </c>
      <c r="AF667">
        <v>5832750487.6700001</v>
      </c>
      <c r="AG667">
        <v>5832750487.6700001</v>
      </c>
      <c r="AH667">
        <v>5.6654000000000003E-2</v>
      </c>
      <c r="AI667">
        <v>5.6654000000000003E-2</v>
      </c>
    </row>
    <row r="668" spans="13:35" x14ac:dyDescent="0.35">
      <c r="M668" t="s">
        <v>0</v>
      </c>
      <c r="N668">
        <v>6250</v>
      </c>
      <c r="O668">
        <v>36</v>
      </c>
      <c r="P668">
        <v>58781</v>
      </c>
      <c r="Q668">
        <v>0</v>
      </c>
      <c r="R668">
        <v>1719782624207</v>
      </c>
      <c r="S668">
        <v>2031669217.24</v>
      </c>
      <c r="T668">
        <v>1695643580643.3799</v>
      </c>
      <c r="U668">
        <v>1712972867587.0801</v>
      </c>
      <c r="V668">
        <v>0.14380499999999999</v>
      </c>
      <c r="W668">
        <v>3.2835000000000003E-2</v>
      </c>
      <c r="Y668" t="s">
        <v>0</v>
      </c>
      <c r="Z668">
        <v>5000</v>
      </c>
      <c r="AA668">
        <v>36</v>
      </c>
      <c r="AB668">
        <v>10857</v>
      </c>
      <c r="AC668">
        <v>0</v>
      </c>
      <c r="AD668">
        <v>349314421841</v>
      </c>
      <c r="AE668">
        <v>507808166.97000003</v>
      </c>
      <c r="AF668">
        <v>347165150523.64001</v>
      </c>
      <c r="AG668">
        <v>348360221388.53003</v>
      </c>
      <c r="AH668">
        <v>5.4954000000000003E-2</v>
      </c>
      <c r="AI668">
        <v>1.5228E-2</v>
      </c>
    </row>
    <row r="669" spans="13:35" x14ac:dyDescent="0.35">
      <c r="M669" t="s">
        <v>0</v>
      </c>
      <c r="N669">
        <v>6500</v>
      </c>
      <c r="O669">
        <v>36</v>
      </c>
      <c r="P669">
        <v>23512</v>
      </c>
      <c r="Q669">
        <v>0</v>
      </c>
      <c r="R669">
        <v>588824304247</v>
      </c>
      <c r="S669">
        <v>664510270.99000001</v>
      </c>
      <c r="T669">
        <v>579705330585.97998</v>
      </c>
      <c r="U669">
        <v>586244549571.42004</v>
      </c>
      <c r="V669">
        <v>0.15932299999999999</v>
      </c>
      <c r="W669">
        <v>3.8341E-2</v>
      </c>
      <c r="Y669" t="s">
        <v>1</v>
      </c>
      <c r="Z669">
        <v>5000</v>
      </c>
      <c r="AA669">
        <v>36</v>
      </c>
      <c r="AB669">
        <v>6414</v>
      </c>
      <c r="AC669">
        <v>0</v>
      </c>
      <c r="AD669">
        <v>237551192544</v>
      </c>
      <c r="AE669">
        <v>345699731.02999997</v>
      </c>
      <c r="AF669">
        <v>234627953251.69</v>
      </c>
      <c r="AG669">
        <v>236613332044.17999</v>
      </c>
      <c r="AH669">
        <v>0.122709</v>
      </c>
      <c r="AI669">
        <v>2.9506999999999999E-2</v>
      </c>
    </row>
    <row r="670" spans="13:35" x14ac:dyDescent="0.35">
      <c r="M670" t="s">
        <v>2</v>
      </c>
      <c r="N670">
        <v>6500</v>
      </c>
      <c r="O670">
        <v>36</v>
      </c>
      <c r="P670">
        <v>1714</v>
      </c>
      <c r="Q670">
        <v>0</v>
      </c>
      <c r="R670">
        <v>29363578961</v>
      </c>
      <c r="S670">
        <v>33159096.280000001</v>
      </c>
      <c r="T670">
        <v>29108299544.439999</v>
      </c>
      <c r="U670">
        <v>29320969751.599998</v>
      </c>
      <c r="V670">
        <v>8.7091000000000002E-2</v>
      </c>
      <c r="W670">
        <v>3.8549999999999999E-3</v>
      </c>
      <c r="Y670" t="s">
        <v>0</v>
      </c>
      <c r="Z670">
        <v>6250</v>
      </c>
      <c r="AA670">
        <v>36</v>
      </c>
      <c r="AB670">
        <v>59003</v>
      </c>
      <c r="AC670">
        <v>0</v>
      </c>
      <c r="AD670">
        <v>1698582822793</v>
      </c>
      <c r="AE670">
        <v>2002616940.55</v>
      </c>
      <c r="AF670">
        <v>1671182809069.5801</v>
      </c>
      <c r="AG670">
        <v>1689452360116.3799</v>
      </c>
      <c r="AH670">
        <v>0.165381</v>
      </c>
      <c r="AI670">
        <v>4.9209999999999997E-2</v>
      </c>
    </row>
    <row r="671" spans="13:35" x14ac:dyDescent="0.35">
      <c r="M671" t="s">
        <v>0</v>
      </c>
      <c r="N671">
        <v>7000</v>
      </c>
      <c r="O671">
        <v>36</v>
      </c>
      <c r="P671">
        <v>16418</v>
      </c>
      <c r="Q671">
        <v>0</v>
      </c>
      <c r="R671">
        <v>412918894118</v>
      </c>
      <c r="S671">
        <v>426143619.93000001</v>
      </c>
      <c r="T671">
        <v>403942062488.13</v>
      </c>
      <c r="U671">
        <v>409801068826.96002</v>
      </c>
      <c r="V671">
        <v>0.22205800000000001</v>
      </c>
      <c r="W671">
        <v>7.5480000000000005E-2</v>
      </c>
      <c r="Y671" t="s">
        <v>0</v>
      </c>
      <c r="Z671">
        <v>6500</v>
      </c>
      <c r="AA671">
        <v>36</v>
      </c>
      <c r="AB671">
        <v>21744</v>
      </c>
      <c r="AC671">
        <v>0</v>
      </c>
      <c r="AD671">
        <v>539702532621</v>
      </c>
      <c r="AE671">
        <v>608401058.05999994</v>
      </c>
      <c r="AF671">
        <v>530620951879.72998</v>
      </c>
      <c r="AG671">
        <v>536846673915.29999</v>
      </c>
      <c r="AH671">
        <v>0.17295099999999999</v>
      </c>
      <c r="AI671">
        <v>4.8842000000000003E-2</v>
      </c>
    </row>
    <row r="672" spans="13:35" x14ac:dyDescent="0.35">
      <c r="M672" t="s">
        <v>2</v>
      </c>
      <c r="N672">
        <v>7000</v>
      </c>
      <c r="O672">
        <v>36</v>
      </c>
      <c r="P672">
        <v>1238</v>
      </c>
      <c r="Q672">
        <v>0</v>
      </c>
      <c r="R672">
        <v>19754407850</v>
      </c>
      <c r="S672">
        <v>20446196.539999999</v>
      </c>
      <c r="T672">
        <v>19510041143.82</v>
      </c>
      <c r="U672">
        <v>19669142459.080002</v>
      </c>
      <c r="V672">
        <v>0.127855</v>
      </c>
      <c r="W672">
        <v>3.8671999999999998E-2</v>
      </c>
      <c r="Y672" t="s">
        <v>1</v>
      </c>
      <c r="Z672">
        <v>6500</v>
      </c>
      <c r="AA672">
        <v>36</v>
      </c>
      <c r="AB672">
        <v>4926</v>
      </c>
      <c r="AC672">
        <v>0</v>
      </c>
      <c r="AD672">
        <v>142984642955</v>
      </c>
      <c r="AE672">
        <v>161399016.78</v>
      </c>
      <c r="AF672">
        <v>137888146434.16</v>
      </c>
      <c r="AG672">
        <v>142078269922.57001</v>
      </c>
      <c r="AH672">
        <v>0.34393499999999999</v>
      </c>
      <c r="AI672">
        <v>6.0761000000000003E-2</v>
      </c>
    </row>
    <row r="673" spans="13:35" x14ac:dyDescent="0.35">
      <c r="M673" t="s">
        <v>1</v>
      </c>
      <c r="N673">
        <v>6500</v>
      </c>
      <c r="O673">
        <v>36</v>
      </c>
      <c r="P673">
        <v>5430</v>
      </c>
      <c r="Q673">
        <v>0</v>
      </c>
      <c r="R673">
        <v>161161345811</v>
      </c>
      <c r="S673">
        <v>181867133.16</v>
      </c>
      <c r="T673">
        <v>155750710379.56</v>
      </c>
      <c r="U673">
        <v>160405790124.87</v>
      </c>
      <c r="V673">
        <v>0.32684999999999997</v>
      </c>
      <c r="W673">
        <v>4.1889999999999997E-2</v>
      </c>
      <c r="Y673" t="s">
        <v>2</v>
      </c>
      <c r="Z673">
        <v>6500</v>
      </c>
      <c r="AA673">
        <v>36</v>
      </c>
      <c r="AB673">
        <v>1596</v>
      </c>
      <c r="AC673">
        <v>0</v>
      </c>
      <c r="AD673">
        <v>27024238404</v>
      </c>
      <c r="AE673">
        <v>30470611.84</v>
      </c>
      <c r="AF673">
        <v>26580735125.830002</v>
      </c>
      <c r="AG673">
        <v>26841662539.709999</v>
      </c>
      <c r="AH673">
        <v>0.16874700000000001</v>
      </c>
      <c r="AI673">
        <v>6.5490000000000007E-2</v>
      </c>
    </row>
    <row r="674" spans="13:35" x14ac:dyDescent="0.35">
      <c r="M674" t="s">
        <v>1</v>
      </c>
      <c r="N674">
        <v>7000</v>
      </c>
      <c r="O674">
        <v>36</v>
      </c>
      <c r="P674">
        <v>3314</v>
      </c>
      <c r="Q674">
        <v>0</v>
      </c>
      <c r="R674">
        <v>85316908536</v>
      </c>
      <c r="S674">
        <v>88298061.439999998</v>
      </c>
      <c r="T674">
        <v>82747877547.199997</v>
      </c>
      <c r="U674">
        <v>84809052869.600006</v>
      </c>
      <c r="V674">
        <v>0.29819099999999998</v>
      </c>
      <c r="W674">
        <v>5.7440999999999999E-2</v>
      </c>
      <c r="Y674" t="s">
        <v>0</v>
      </c>
      <c r="Z674">
        <v>7000</v>
      </c>
      <c r="AA674">
        <v>36</v>
      </c>
      <c r="AB674">
        <v>12708</v>
      </c>
      <c r="AC674">
        <v>0</v>
      </c>
      <c r="AD674">
        <v>315831757007</v>
      </c>
      <c r="AE674">
        <v>326134854.80000001</v>
      </c>
      <c r="AF674">
        <v>308612940933.13</v>
      </c>
      <c r="AG674">
        <v>313304530125.47998</v>
      </c>
      <c r="AH674">
        <v>0.23263</v>
      </c>
      <c r="AI674">
        <v>8.0498E-2</v>
      </c>
    </row>
    <row r="675" spans="13:35" x14ac:dyDescent="0.35">
      <c r="M675" t="s">
        <v>0</v>
      </c>
      <c r="N675">
        <v>8000</v>
      </c>
      <c r="O675">
        <v>42</v>
      </c>
      <c r="P675">
        <v>125</v>
      </c>
      <c r="Q675">
        <v>0</v>
      </c>
      <c r="R675">
        <v>3544355911</v>
      </c>
      <c r="S675">
        <v>3198527.82</v>
      </c>
      <c r="T675">
        <v>3332732076.5599999</v>
      </c>
      <c r="U675">
        <v>3517578332.6300001</v>
      </c>
      <c r="V675">
        <v>0.51676699999999998</v>
      </c>
      <c r="W675">
        <v>7.6974000000000001E-2</v>
      </c>
      <c r="Y675" t="s">
        <v>2</v>
      </c>
      <c r="Z675">
        <v>7000</v>
      </c>
      <c r="AA675">
        <v>36</v>
      </c>
      <c r="AB675">
        <v>908</v>
      </c>
      <c r="AC675">
        <v>0</v>
      </c>
      <c r="AD675">
        <v>13850583911</v>
      </c>
      <c r="AE675">
        <v>14336621.279999999</v>
      </c>
      <c r="AF675">
        <v>13638893681.469999</v>
      </c>
      <c r="AG675">
        <v>13737553903.559999</v>
      </c>
      <c r="AH675">
        <v>0.15820200000000001</v>
      </c>
      <c r="AI675">
        <v>8.2234000000000002E-2</v>
      </c>
    </row>
    <row r="676" spans="13:35" x14ac:dyDescent="0.35">
      <c r="M676" t="s">
        <v>0</v>
      </c>
      <c r="N676">
        <v>7500</v>
      </c>
      <c r="O676">
        <v>36</v>
      </c>
      <c r="P676">
        <v>4910</v>
      </c>
      <c r="Q676">
        <v>0</v>
      </c>
      <c r="R676">
        <v>125667619100</v>
      </c>
      <c r="S676">
        <v>118849973.26000001</v>
      </c>
      <c r="T676">
        <v>123094987517.14999</v>
      </c>
      <c r="U676">
        <v>124496440550.94</v>
      </c>
      <c r="V676">
        <v>0.21071599999999999</v>
      </c>
      <c r="W676">
        <v>9.5986000000000002E-2</v>
      </c>
      <c r="Y676" t="s">
        <v>1</v>
      </c>
      <c r="Z676">
        <v>7000</v>
      </c>
      <c r="AA676">
        <v>36</v>
      </c>
      <c r="AB676">
        <v>2464</v>
      </c>
      <c r="AC676">
        <v>0</v>
      </c>
      <c r="AD676">
        <v>61813438963</v>
      </c>
      <c r="AE676">
        <v>64081183.340000004</v>
      </c>
      <c r="AF676">
        <v>59092399236.809998</v>
      </c>
      <c r="AG676">
        <v>60959137882.010002</v>
      </c>
      <c r="AH676">
        <v>0.40975400000000001</v>
      </c>
      <c r="AI676">
        <v>0.143068</v>
      </c>
    </row>
    <row r="677" spans="13:35" x14ac:dyDescent="0.35">
      <c r="M677" t="s">
        <v>2</v>
      </c>
      <c r="N677">
        <v>6750</v>
      </c>
      <c r="O677">
        <v>42</v>
      </c>
      <c r="P677">
        <v>2435</v>
      </c>
      <c r="Q677">
        <v>0</v>
      </c>
      <c r="R677">
        <v>37971035449</v>
      </c>
      <c r="S677">
        <v>42751035.060000002</v>
      </c>
      <c r="T677">
        <v>37409117281.940002</v>
      </c>
      <c r="U677">
        <v>37881362948.760002</v>
      </c>
      <c r="V677">
        <v>0.15228</v>
      </c>
      <c r="W677">
        <v>1.4728E-2</v>
      </c>
      <c r="Y677" t="s">
        <v>0</v>
      </c>
      <c r="Z677">
        <v>8000</v>
      </c>
      <c r="AA677">
        <v>42</v>
      </c>
      <c r="AB677">
        <v>112</v>
      </c>
      <c r="AC677">
        <v>0</v>
      </c>
      <c r="AD677">
        <v>3318890103</v>
      </c>
      <c r="AE677">
        <v>2977065.74</v>
      </c>
      <c r="AF677">
        <v>3193015393.02</v>
      </c>
      <c r="AG677">
        <v>3287317971.5100002</v>
      </c>
      <c r="AH677">
        <v>0.36414999999999997</v>
      </c>
      <c r="AI677">
        <v>9.8628999999999994E-2</v>
      </c>
    </row>
    <row r="678" spans="13:35" x14ac:dyDescent="0.35">
      <c r="M678" t="s">
        <v>0</v>
      </c>
      <c r="N678">
        <v>7750</v>
      </c>
      <c r="O678">
        <v>42</v>
      </c>
      <c r="P678">
        <v>1536</v>
      </c>
      <c r="Q678">
        <v>0</v>
      </c>
      <c r="R678">
        <v>32124324641</v>
      </c>
      <c r="S678">
        <v>30523698.379999999</v>
      </c>
      <c r="T678">
        <v>30996594040.849998</v>
      </c>
      <c r="U678">
        <v>31723471010</v>
      </c>
      <c r="V678">
        <v>0.34099400000000002</v>
      </c>
      <c r="W678">
        <v>0.12989400000000001</v>
      </c>
      <c r="Y678" t="s">
        <v>0</v>
      </c>
      <c r="Z678">
        <v>7500</v>
      </c>
      <c r="AA678">
        <v>36</v>
      </c>
      <c r="AB678">
        <v>3792</v>
      </c>
      <c r="AC678">
        <v>0</v>
      </c>
      <c r="AD678">
        <v>94809982412</v>
      </c>
      <c r="AE678">
        <v>89583010.260000005</v>
      </c>
      <c r="AF678">
        <v>92737238853.210007</v>
      </c>
      <c r="AG678">
        <v>93995267190.050003</v>
      </c>
      <c r="AH678">
        <v>0.224051</v>
      </c>
      <c r="AI678">
        <v>8.8014999999999996E-2</v>
      </c>
    </row>
    <row r="679" spans="13:35" x14ac:dyDescent="0.35">
      <c r="M679" t="s">
        <v>1</v>
      </c>
      <c r="N679">
        <v>6750</v>
      </c>
      <c r="O679">
        <v>42</v>
      </c>
      <c r="P679">
        <v>7703</v>
      </c>
      <c r="Q679">
        <v>0</v>
      </c>
      <c r="R679">
        <v>206459395807</v>
      </c>
      <c r="S679">
        <v>232347784.21000001</v>
      </c>
      <c r="T679">
        <v>199703674165.20999</v>
      </c>
      <c r="U679">
        <v>204987041400.56</v>
      </c>
      <c r="V679">
        <v>0.31973699999999999</v>
      </c>
      <c r="W679">
        <v>6.9738999999999995E-2</v>
      </c>
      <c r="Y679" t="s">
        <v>2</v>
      </c>
      <c r="Z679">
        <v>6750</v>
      </c>
      <c r="AA679">
        <v>42</v>
      </c>
      <c r="AB679">
        <v>2097</v>
      </c>
      <c r="AC679">
        <v>0</v>
      </c>
      <c r="AD679">
        <v>32981369729</v>
      </c>
      <c r="AE679">
        <v>36986366.869999997</v>
      </c>
      <c r="AF679">
        <v>32595670323.009998</v>
      </c>
      <c r="AG679">
        <v>32835975101.040001</v>
      </c>
      <c r="AH679">
        <v>0.119752</v>
      </c>
      <c r="AI679">
        <v>3.8738000000000002E-2</v>
      </c>
    </row>
    <row r="680" spans="13:35" x14ac:dyDescent="0.35">
      <c r="M680" t="s">
        <v>1</v>
      </c>
      <c r="N680">
        <v>6250</v>
      </c>
      <c r="O680">
        <v>42</v>
      </c>
      <c r="P680">
        <v>13775</v>
      </c>
      <c r="Q680">
        <v>0</v>
      </c>
      <c r="R680">
        <v>413940441375</v>
      </c>
      <c r="S680">
        <v>507768361.32999998</v>
      </c>
      <c r="T680">
        <v>402806394543.45001</v>
      </c>
      <c r="U680">
        <v>411951496271.17999</v>
      </c>
      <c r="V680">
        <v>0.26807399999999998</v>
      </c>
      <c r="W680">
        <v>4.2104000000000003E-2</v>
      </c>
      <c r="Y680" t="s">
        <v>0</v>
      </c>
      <c r="Z680">
        <v>7750</v>
      </c>
      <c r="AA680">
        <v>42</v>
      </c>
      <c r="AB680">
        <v>1509</v>
      </c>
      <c r="AC680">
        <v>0</v>
      </c>
      <c r="AD680">
        <v>31782913218</v>
      </c>
      <c r="AE680">
        <v>30007690.879999999</v>
      </c>
      <c r="AF680">
        <v>30633366723.790001</v>
      </c>
      <c r="AG680">
        <v>31378292095.68</v>
      </c>
      <c r="AH680">
        <v>0.34969800000000001</v>
      </c>
      <c r="AI680">
        <v>0.13262099999999999</v>
      </c>
    </row>
    <row r="681" spans="13:35" x14ac:dyDescent="0.35">
      <c r="M681" t="s">
        <v>0</v>
      </c>
      <c r="N681">
        <v>5750</v>
      </c>
      <c r="O681">
        <v>36</v>
      </c>
      <c r="P681">
        <v>42026</v>
      </c>
      <c r="Q681">
        <v>0</v>
      </c>
      <c r="R681">
        <v>1308034564624</v>
      </c>
      <c r="S681">
        <v>1685391905.3900001</v>
      </c>
      <c r="T681">
        <v>1296649658394.8</v>
      </c>
      <c r="U681">
        <v>1304335700906.6499</v>
      </c>
      <c r="V681">
        <v>8.5443000000000005E-2</v>
      </c>
      <c r="W681">
        <v>1.8315999999999999E-2</v>
      </c>
      <c r="Y681" t="s">
        <v>1</v>
      </c>
      <c r="Z681">
        <v>6750</v>
      </c>
      <c r="AA681">
        <v>42</v>
      </c>
      <c r="AB681">
        <v>6677</v>
      </c>
      <c r="AC681">
        <v>0</v>
      </c>
      <c r="AD681">
        <v>182932474948</v>
      </c>
      <c r="AE681">
        <v>205177189.83000001</v>
      </c>
      <c r="AF681">
        <v>175512923932.39999</v>
      </c>
      <c r="AG681">
        <v>181263544251.85999</v>
      </c>
      <c r="AH681">
        <v>0.382967</v>
      </c>
      <c r="AI681">
        <v>9.1904E-2</v>
      </c>
    </row>
    <row r="682" spans="13:35" x14ac:dyDescent="0.35">
      <c r="M682" t="s">
        <v>1</v>
      </c>
      <c r="N682">
        <v>5750</v>
      </c>
      <c r="O682">
        <v>36</v>
      </c>
      <c r="P682">
        <v>26467</v>
      </c>
      <c r="Q682">
        <v>0</v>
      </c>
      <c r="R682">
        <v>1017438634448</v>
      </c>
      <c r="S682">
        <v>1310545077.96</v>
      </c>
      <c r="T682">
        <v>999528564279.03003</v>
      </c>
      <c r="U682">
        <v>1014621525137.89</v>
      </c>
      <c r="V682">
        <v>0.17913399999999999</v>
      </c>
      <c r="W682">
        <v>1.7624999999999998E-2</v>
      </c>
      <c r="Y682" t="s">
        <v>1</v>
      </c>
      <c r="Z682">
        <v>6250</v>
      </c>
      <c r="AA682">
        <v>42</v>
      </c>
      <c r="AB682">
        <v>13069</v>
      </c>
      <c r="AC682">
        <v>0</v>
      </c>
      <c r="AD682">
        <v>387698171475</v>
      </c>
      <c r="AE682">
        <v>475148763.94999999</v>
      </c>
      <c r="AF682">
        <v>374127685924.60999</v>
      </c>
      <c r="AG682">
        <v>385163297412.96002</v>
      </c>
      <c r="AH682">
        <v>0.33789400000000003</v>
      </c>
      <c r="AI682">
        <v>6.1921999999999998E-2</v>
      </c>
    </row>
    <row r="683" spans="13:35" x14ac:dyDescent="0.35">
      <c r="M683" t="s">
        <v>0</v>
      </c>
      <c r="N683">
        <v>7250</v>
      </c>
      <c r="O683">
        <v>36</v>
      </c>
      <c r="P683">
        <v>24645</v>
      </c>
      <c r="Q683">
        <v>0</v>
      </c>
      <c r="R683">
        <v>596126532502</v>
      </c>
      <c r="S683">
        <v>590050709.78999996</v>
      </c>
      <c r="T683">
        <v>579212378147.18005</v>
      </c>
      <c r="U683">
        <v>590003153093.91003</v>
      </c>
      <c r="V683">
        <v>0.28336299999999998</v>
      </c>
      <c r="W683">
        <v>0.10587199999999999</v>
      </c>
      <c r="Y683" t="s">
        <v>0</v>
      </c>
      <c r="Z683">
        <v>5750</v>
      </c>
      <c r="AA683">
        <v>36</v>
      </c>
      <c r="AB683">
        <v>45926</v>
      </c>
      <c r="AC683">
        <v>0</v>
      </c>
      <c r="AD683">
        <v>1413246742883</v>
      </c>
      <c r="AE683">
        <v>1817833708.6099999</v>
      </c>
      <c r="AF683">
        <v>1397775941567.21</v>
      </c>
      <c r="AG683">
        <v>1407955221749.5601</v>
      </c>
      <c r="AH683">
        <v>0.10996300000000001</v>
      </c>
      <c r="AI683">
        <v>2.9100000000000001E-2</v>
      </c>
    </row>
    <row r="684" spans="13:35" x14ac:dyDescent="0.35">
      <c r="M684" t="s">
        <v>0</v>
      </c>
      <c r="N684">
        <v>6750</v>
      </c>
      <c r="O684">
        <v>36</v>
      </c>
      <c r="P684">
        <v>54163</v>
      </c>
      <c r="Q684">
        <v>0</v>
      </c>
      <c r="R684">
        <v>1434339428333</v>
      </c>
      <c r="S684">
        <v>1551346824.76</v>
      </c>
      <c r="T684">
        <v>1407135446755.6101</v>
      </c>
      <c r="U684">
        <v>1425770014208.3101</v>
      </c>
      <c r="V684">
        <v>0.194714</v>
      </c>
      <c r="W684">
        <v>5.7160000000000002E-2</v>
      </c>
      <c r="Y684" t="s">
        <v>1</v>
      </c>
      <c r="Z684">
        <v>5750</v>
      </c>
      <c r="AA684">
        <v>36</v>
      </c>
      <c r="AB684">
        <v>29038</v>
      </c>
      <c r="AC684">
        <v>0</v>
      </c>
      <c r="AD684">
        <v>1106689105887</v>
      </c>
      <c r="AE684">
        <v>1422629368.1400001</v>
      </c>
      <c r="AF684">
        <v>1083758516505.33</v>
      </c>
      <c r="AG684">
        <v>1102501867056.48</v>
      </c>
      <c r="AH684">
        <v>0.20983199999999999</v>
      </c>
      <c r="AI684">
        <v>2.9569000000000002E-2</v>
      </c>
    </row>
    <row r="685" spans="13:35" x14ac:dyDescent="0.35">
      <c r="M685" t="s">
        <v>2</v>
      </c>
      <c r="N685">
        <v>5750</v>
      </c>
      <c r="O685">
        <v>36</v>
      </c>
      <c r="P685">
        <v>1694</v>
      </c>
      <c r="Q685">
        <v>0</v>
      </c>
      <c r="R685">
        <v>34755493324</v>
      </c>
      <c r="S685">
        <v>44870934.390000001</v>
      </c>
      <c r="T685">
        <v>34369651459.709999</v>
      </c>
      <c r="U685">
        <v>34624970482.330002</v>
      </c>
      <c r="V685">
        <v>0.111578</v>
      </c>
      <c r="W685">
        <v>2.9175E-2</v>
      </c>
      <c r="Y685" t="s">
        <v>2</v>
      </c>
      <c r="Z685">
        <v>5250</v>
      </c>
      <c r="AA685">
        <v>36</v>
      </c>
      <c r="AB685">
        <v>521</v>
      </c>
      <c r="AC685">
        <v>0</v>
      </c>
      <c r="AD685">
        <v>12082327375</v>
      </c>
      <c r="AE685">
        <v>16907216.899999999</v>
      </c>
      <c r="AF685">
        <v>11934805230.860001</v>
      </c>
      <c r="AG685">
        <v>12032474473.66</v>
      </c>
      <c r="AH685">
        <v>0.122283</v>
      </c>
      <c r="AI685">
        <v>3.2235E-2</v>
      </c>
    </row>
    <row r="686" spans="13:35" x14ac:dyDescent="0.35">
      <c r="M686" t="s">
        <v>0</v>
      </c>
      <c r="N686">
        <v>5250</v>
      </c>
      <c r="O686">
        <v>36</v>
      </c>
      <c r="P686">
        <v>13521</v>
      </c>
      <c r="Q686">
        <v>0</v>
      </c>
      <c r="R686">
        <v>439209346783</v>
      </c>
      <c r="S686">
        <v>614228164.95000005</v>
      </c>
      <c r="T686">
        <v>436457452755.34998</v>
      </c>
      <c r="U686">
        <v>438017055990.76001</v>
      </c>
      <c r="V686">
        <v>5.6867000000000001E-2</v>
      </c>
      <c r="W686">
        <v>1.5679999999999999E-2</v>
      </c>
      <c r="Y686" t="s">
        <v>0</v>
      </c>
      <c r="Z686">
        <v>7250</v>
      </c>
      <c r="AA686">
        <v>36</v>
      </c>
      <c r="AB686">
        <v>19768</v>
      </c>
      <c r="AC686">
        <v>0</v>
      </c>
      <c r="AD686">
        <v>469497489462</v>
      </c>
      <c r="AE686">
        <v>464604833.44999999</v>
      </c>
      <c r="AF686">
        <v>456389822770.46997</v>
      </c>
      <c r="AG686">
        <v>464424737540.67999</v>
      </c>
      <c r="AH686">
        <v>0.279333</v>
      </c>
      <c r="AI686">
        <v>0.111626</v>
      </c>
    </row>
    <row r="687" spans="13:35" x14ac:dyDescent="0.35">
      <c r="M687" t="s">
        <v>1</v>
      </c>
      <c r="N687">
        <v>6250</v>
      </c>
      <c r="O687">
        <v>36</v>
      </c>
      <c r="P687">
        <v>21402</v>
      </c>
      <c r="Q687">
        <v>0</v>
      </c>
      <c r="R687">
        <v>733845127497</v>
      </c>
      <c r="S687">
        <v>866311147.63999999</v>
      </c>
      <c r="T687">
        <v>713420281773.88</v>
      </c>
      <c r="U687">
        <v>731565777046.88</v>
      </c>
      <c r="V687">
        <v>0.27686899999999998</v>
      </c>
      <c r="W687">
        <v>2.2863000000000001E-2</v>
      </c>
      <c r="Y687" t="s">
        <v>0</v>
      </c>
      <c r="Z687">
        <v>6750</v>
      </c>
      <c r="AA687">
        <v>36</v>
      </c>
      <c r="AB687">
        <v>48720</v>
      </c>
      <c r="AC687">
        <v>0</v>
      </c>
      <c r="AD687">
        <v>1264700991533</v>
      </c>
      <c r="AE687">
        <v>1366264783.0699999</v>
      </c>
      <c r="AF687">
        <v>1236560739368.01</v>
      </c>
      <c r="AG687">
        <v>1254994833361.8301</v>
      </c>
      <c r="AH687">
        <v>0.22645399999999999</v>
      </c>
      <c r="AI687">
        <v>7.6324000000000003E-2</v>
      </c>
    </row>
    <row r="688" spans="13:35" x14ac:dyDescent="0.35">
      <c r="M688" t="s">
        <v>2</v>
      </c>
      <c r="N688">
        <v>6250</v>
      </c>
      <c r="O688">
        <v>36</v>
      </c>
      <c r="P688">
        <v>3319</v>
      </c>
      <c r="Q688">
        <v>0</v>
      </c>
      <c r="R688">
        <v>60370050201</v>
      </c>
      <c r="S688">
        <v>71435070.140000001</v>
      </c>
      <c r="T688">
        <v>59438764007.550003</v>
      </c>
      <c r="U688">
        <v>60073139162.260002</v>
      </c>
      <c r="V688">
        <v>0.15814300000000001</v>
      </c>
      <c r="W688">
        <v>4.3908999999999997E-2</v>
      </c>
      <c r="Y688" t="s">
        <v>2</v>
      </c>
      <c r="Z688">
        <v>5750</v>
      </c>
      <c r="AA688">
        <v>36</v>
      </c>
      <c r="AB688">
        <v>2031</v>
      </c>
      <c r="AC688">
        <v>0</v>
      </c>
      <c r="AD688">
        <v>41374871668</v>
      </c>
      <c r="AE688">
        <v>53355968.590000004</v>
      </c>
      <c r="AF688">
        <v>40946421628.639999</v>
      </c>
      <c r="AG688">
        <v>41168308732.940002</v>
      </c>
      <c r="AH688">
        <v>0.10352500000000001</v>
      </c>
      <c r="AI688">
        <v>4.3541000000000003E-2</v>
      </c>
    </row>
    <row r="689" spans="13:35" x14ac:dyDescent="0.35">
      <c r="M689" t="s">
        <v>1</v>
      </c>
      <c r="N689">
        <v>6750</v>
      </c>
      <c r="O689">
        <v>36</v>
      </c>
      <c r="P689">
        <v>12813</v>
      </c>
      <c r="Q689">
        <v>0</v>
      </c>
      <c r="R689">
        <v>368969421854</v>
      </c>
      <c r="S689">
        <v>399358262.98000002</v>
      </c>
      <c r="T689">
        <v>355652894349.45001</v>
      </c>
      <c r="U689">
        <v>366850407200.79999</v>
      </c>
      <c r="V689">
        <v>0.34795100000000001</v>
      </c>
      <c r="W689">
        <v>5.4517000000000003E-2</v>
      </c>
      <c r="Y689" t="s">
        <v>1</v>
      </c>
      <c r="Z689">
        <v>5250</v>
      </c>
      <c r="AA689">
        <v>36</v>
      </c>
      <c r="AB689">
        <v>12011</v>
      </c>
      <c r="AC689">
        <v>0</v>
      </c>
      <c r="AD689">
        <v>455122632962</v>
      </c>
      <c r="AE689">
        <v>636106193.19000006</v>
      </c>
      <c r="AF689">
        <v>449054000880.03003</v>
      </c>
      <c r="AG689">
        <v>453682582881.66998</v>
      </c>
      <c r="AH689">
        <v>0.13419800000000001</v>
      </c>
      <c r="AI689">
        <v>2.0992E-2</v>
      </c>
    </row>
    <row r="690" spans="13:35" x14ac:dyDescent="0.35">
      <c r="M690" t="s">
        <v>2</v>
      </c>
      <c r="N690">
        <v>6750</v>
      </c>
      <c r="O690">
        <v>36</v>
      </c>
      <c r="P690">
        <v>3614</v>
      </c>
      <c r="Q690">
        <v>0</v>
      </c>
      <c r="R690">
        <v>58762161815</v>
      </c>
      <c r="S690">
        <v>63727948.950000003</v>
      </c>
      <c r="T690">
        <v>57923021319.019997</v>
      </c>
      <c r="U690">
        <v>58645378945.089996</v>
      </c>
      <c r="V690">
        <v>0.14734800000000001</v>
      </c>
      <c r="W690">
        <v>1.0781000000000001E-2</v>
      </c>
      <c r="Y690" t="s">
        <v>0</v>
      </c>
      <c r="Z690">
        <v>5250</v>
      </c>
      <c r="AA690">
        <v>36</v>
      </c>
      <c r="AB690">
        <v>14932</v>
      </c>
      <c r="AC690">
        <v>0</v>
      </c>
      <c r="AD690">
        <v>483457833651</v>
      </c>
      <c r="AE690">
        <v>675470721.32000005</v>
      </c>
      <c r="AF690">
        <v>478725236210.48999</v>
      </c>
      <c r="AG690">
        <v>481829823751.73999</v>
      </c>
      <c r="AH690">
        <v>9.6182000000000004E-2</v>
      </c>
      <c r="AI690">
        <v>2.3389E-2</v>
      </c>
    </row>
    <row r="691" spans="13:35" x14ac:dyDescent="0.35">
      <c r="M691" t="s">
        <v>0</v>
      </c>
      <c r="N691">
        <v>6750</v>
      </c>
      <c r="O691">
        <v>30</v>
      </c>
      <c r="P691">
        <v>40684</v>
      </c>
      <c r="Q691">
        <v>0</v>
      </c>
      <c r="R691">
        <v>1157375135216</v>
      </c>
      <c r="S691">
        <v>1205663909.6800001</v>
      </c>
      <c r="T691">
        <v>1136480881916.78</v>
      </c>
      <c r="U691">
        <v>1151783919584.78</v>
      </c>
      <c r="V691">
        <v>0.18608</v>
      </c>
      <c r="W691">
        <v>4.4534999999999998E-2</v>
      </c>
      <c r="Y691" t="s">
        <v>2</v>
      </c>
      <c r="Z691">
        <v>6250</v>
      </c>
      <c r="AA691">
        <v>36</v>
      </c>
      <c r="AB691">
        <v>3604</v>
      </c>
      <c r="AC691">
        <v>0</v>
      </c>
      <c r="AD691">
        <v>64215360994</v>
      </c>
      <c r="AE691">
        <v>75861382.439999998</v>
      </c>
      <c r="AF691">
        <v>63589723309.029999</v>
      </c>
      <c r="AG691">
        <v>63947949118.529999</v>
      </c>
      <c r="AH691">
        <v>9.8034999999999997E-2</v>
      </c>
      <c r="AI691">
        <v>3.5214000000000002E-2</v>
      </c>
    </row>
    <row r="692" spans="13:35" x14ac:dyDescent="0.35">
      <c r="M692" t="s">
        <v>0</v>
      </c>
      <c r="N692">
        <v>7000</v>
      </c>
      <c r="O692">
        <v>30</v>
      </c>
      <c r="P692">
        <v>17254</v>
      </c>
      <c r="Q692">
        <v>0</v>
      </c>
      <c r="R692">
        <v>435370278938</v>
      </c>
      <c r="S692">
        <v>434428830.44999999</v>
      </c>
      <c r="T692">
        <v>425489381710.25</v>
      </c>
      <c r="U692">
        <v>432122111144.58002</v>
      </c>
      <c r="V692">
        <v>0.23144000000000001</v>
      </c>
      <c r="W692">
        <v>7.4856000000000006E-2</v>
      </c>
      <c r="Y692" t="s">
        <v>1</v>
      </c>
      <c r="Z692">
        <v>6250</v>
      </c>
      <c r="AA692">
        <v>36</v>
      </c>
      <c r="AB692">
        <v>21452</v>
      </c>
      <c r="AC692">
        <v>0</v>
      </c>
      <c r="AD692">
        <v>720461435125</v>
      </c>
      <c r="AE692">
        <v>849271482.61000001</v>
      </c>
      <c r="AF692">
        <v>698390522852.02002</v>
      </c>
      <c r="AG692">
        <v>716818759959.08997</v>
      </c>
      <c r="AH692">
        <v>0.30147000000000002</v>
      </c>
      <c r="AI692">
        <v>4.5546999999999997E-2</v>
      </c>
    </row>
    <row r="693" spans="13:35" x14ac:dyDescent="0.35">
      <c r="M693" t="s">
        <v>0</v>
      </c>
      <c r="N693">
        <v>7250</v>
      </c>
      <c r="O693">
        <v>30</v>
      </c>
      <c r="P693">
        <v>32329</v>
      </c>
      <c r="Q693">
        <v>0</v>
      </c>
      <c r="R693">
        <v>836030642751</v>
      </c>
      <c r="S693">
        <v>799534893.73000002</v>
      </c>
      <c r="T693">
        <v>812288973130.73999</v>
      </c>
      <c r="U693">
        <v>828478270832.59998</v>
      </c>
      <c r="V693">
        <v>0.28387699999999999</v>
      </c>
      <c r="W693">
        <v>9.2734999999999998E-2</v>
      </c>
      <c r="Y693" t="s">
        <v>1</v>
      </c>
      <c r="Z693">
        <v>6750</v>
      </c>
      <c r="AA693">
        <v>36</v>
      </c>
      <c r="AB693">
        <v>12082</v>
      </c>
      <c r="AC693">
        <v>0</v>
      </c>
      <c r="AD693">
        <v>336395304942</v>
      </c>
      <c r="AE693">
        <v>363912986.81999999</v>
      </c>
      <c r="AF693">
        <v>321461083480.42999</v>
      </c>
      <c r="AG693">
        <v>333457732137.60999</v>
      </c>
      <c r="AH693">
        <v>0.412188</v>
      </c>
      <c r="AI693">
        <v>8.8041999999999995E-2</v>
      </c>
    </row>
    <row r="694" spans="13:35" x14ac:dyDescent="0.35">
      <c r="M694" t="s">
        <v>1</v>
      </c>
      <c r="N694">
        <v>5250</v>
      </c>
      <c r="O694">
        <v>36</v>
      </c>
      <c r="P694">
        <v>10206</v>
      </c>
      <c r="Q694">
        <v>0</v>
      </c>
      <c r="R694">
        <v>386385581834</v>
      </c>
      <c r="S694">
        <v>540560579.00999999</v>
      </c>
      <c r="T694">
        <v>381161321511.04999</v>
      </c>
      <c r="U694">
        <v>385302844329.44</v>
      </c>
      <c r="V694">
        <v>0.13614499999999999</v>
      </c>
      <c r="W694">
        <v>1.6709000000000002E-2</v>
      </c>
      <c r="Y694" t="s">
        <v>0</v>
      </c>
      <c r="Z694">
        <v>6000</v>
      </c>
      <c r="AA694">
        <v>30</v>
      </c>
      <c r="AB694">
        <v>17486</v>
      </c>
      <c r="AC694">
        <v>0</v>
      </c>
      <c r="AD694">
        <v>542117011813</v>
      </c>
      <c r="AE694">
        <v>641798511.75</v>
      </c>
      <c r="AF694">
        <v>536054609250.12</v>
      </c>
      <c r="AG694">
        <v>540102240724.94</v>
      </c>
      <c r="AH694">
        <v>0.113604</v>
      </c>
      <c r="AI694">
        <v>2.9971999999999999E-2</v>
      </c>
    </row>
    <row r="695" spans="13:35" x14ac:dyDescent="0.35">
      <c r="M695" t="s">
        <v>2</v>
      </c>
      <c r="N695">
        <v>5250</v>
      </c>
      <c r="O695">
        <v>36</v>
      </c>
      <c r="P695">
        <v>442</v>
      </c>
      <c r="Q695">
        <v>0</v>
      </c>
      <c r="R695">
        <v>10408863728</v>
      </c>
      <c r="S695">
        <v>14586245.140000001</v>
      </c>
      <c r="T695">
        <v>10340653925</v>
      </c>
      <c r="U695">
        <v>10373805876.969999</v>
      </c>
      <c r="V695">
        <v>6.0099E-2</v>
      </c>
      <c r="W695">
        <v>2.3347E-2</v>
      </c>
      <c r="Y695" t="s">
        <v>0</v>
      </c>
      <c r="Z695">
        <v>6250</v>
      </c>
      <c r="AA695">
        <v>30</v>
      </c>
      <c r="AB695">
        <v>26887</v>
      </c>
      <c r="AC695">
        <v>0</v>
      </c>
      <c r="AD695">
        <v>842867547040</v>
      </c>
      <c r="AE695">
        <v>958470626.53999996</v>
      </c>
      <c r="AF695">
        <v>827812688198</v>
      </c>
      <c r="AG695">
        <v>839468368396.81006</v>
      </c>
      <c r="AH695">
        <v>0.183223</v>
      </c>
      <c r="AI695">
        <v>3.4201000000000002E-2</v>
      </c>
    </row>
    <row r="696" spans="13:35" x14ac:dyDescent="0.35">
      <c r="M696" t="s">
        <v>2</v>
      </c>
      <c r="N696">
        <v>7250</v>
      </c>
      <c r="O696">
        <v>36</v>
      </c>
      <c r="P696">
        <v>1895</v>
      </c>
      <c r="Q696">
        <v>0</v>
      </c>
      <c r="R696">
        <v>27774256119</v>
      </c>
      <c r="S696">
        <v>27513228.640000001</v>
      </c>
      <c r="T696">
        <v>27243357051.279999</v>
      </c>
      <c r="U696">
        <v>27606537134.77</v>
      </c>
      <c r="V696">
        <v>0.19706799999999999</v>
      </c>
      <c r="W696">
        <v>5.8923000000000003E-2</v>
      </c>
      <c r="Y696" t="s">
        <v>0</v>
      </c>
      <c r="Z696">
        <v>6500</v>
      </c>
      <c r="AA696">
        <v>30</v>
      </c>
      <c r="AB696">
        <v>19107</v>
      </c>
      <c r="AC696">
        <v>0</v>
      </c>
      <c r="AD696">
        <v>528622607762</v>
      </c>
      <c r="AE696">
        <v>574549268.42999995</v>
      </c>
      <c r="AF696">
        <v>518161934746.13</v>
      </c>
      <c r="AG696">
        <v>526381257564.33002</v>
      </c>
      <c r="AH696">
        <v>0.20271700000000001</v>
      </c>
      <c r="AI696">
        <v>3.7187999999999999E-2</v>
      </c>
    </row>
    <row r="697" spans="13:35" x14ac:dyDescent="0.35">
      <c r="M697" t="s">
        <v>1</v>
      </c>
      <c r="N697">
        <v>6500</v>
      </c>
      <c r="O697">
        <v>30</v>
      </c>
      <c r="P697">
        <v>5482</v>
      </c>
      <c r="Q697">
        <v>0</v>
      </c>
      <c r="R697">
        <v>175315052490</v>
      </c>
      <c r="S697">
        <v>190841054.30000001</v>
      </c>
      <c r="T697">
        <v>169573399760.70999</v>
      </c>
      <c r="U697">
        <v>174578615138.07001</v>
      </c>
      <c r="V697">
        <v>0.32028899999999999</v>
      </c>
      <c r="W697">
        <v>3.6712000000000002E-2</v>
      </c>
      <c r="Y697" t="s">
        <v>2</v>
      </c>
      <c r="Z697">
        <v>6750</v>
      </c>
      <c r="AA697">
        <v>36</v>
      </c>
      <c r="AB697">
        <v>3370</v>
      </c>
      <c r="AC697">
        <v>0</v>
      </c>
      <c r="AD697">
        <v>53254294301</v>
      </c>
      <c r="AE697">
        <v>57729930.789999999</v>
      </c>
      <c r="AF697">
        <v>52696701894.529999</v>
      </c>
      <c r="AG697">
        <v>52993540465.07</v>
      </c>
      <c r="AH697">
        <v>0.106999</v>
      </c>
      <c r="AI697">
        <v>4.4801000000000001E-2</v>
      </c>
    </row>
    <row r="698" spans="13:35" x14ac:dyDescent="0.35">
      <c r="M698" t="s">
        <v>1</v>
      </c>
      <c r="N698">
        <v>6750</v>
      </c>
      <c r="O698">
        <v>30</v>
      </c>
      <c r="P698">
        <v>11396</v>
      </c>
      <c r="Q698">
        <v>0</v>
      </c>
      <c r="R698">
        <v>344769412501</v>
      </c>
      <c r="S698">
        <v>359741636.31</v>
      </c>
      <c r="T698">
        <v>332456073251.97998</v>
      </c>
      <c r="U698">
        <v>343020164457.28003</v>
      </c>
      <c r="V698">
        <v>0.34520899999999999</v>
      </c>
      <c r="W698">
        <v>4.7305E-2</v>
      </c>
      <c r="Y698" t="s">
        <v>0</v>
      </c>
      <c r="Z698">
        <v>6750</v>
      </c>
      <c r="AA698">
        <v>30</v>
      </c>
      <c r="AB698">
        <v>44547</v>
      </c>
      <c r="AC698">
        <v>0</v>
      </c>
      <c r="AD698">
        <v>1274874629373</v>
      </c>
      <c r="AE698">
        <v>1329980877.1900001</v>
      </c>
      <c r="AF698">
        <v>1247112486167.2</v>
      </c>
      <c r="AG698">
        <v>1267374499374.9099</v>
      </c>
      <c r="AH698">
        <v>0.222299</v>
      </c>
      <c r="AI698">
        <v>5.6556000000000002E-2</v>
      </c>
    </row>
    <row r="699" spans="13:35" x14ac:dyDescent="0.35">
      <c r="M699" t="s">
        <v>1</v>
      </c>
      <c r="N699">
        <v>7000</v>
      </c>
      <c r="O699">
        <v>30</v>
      </c>
      <c r="P699">
        <v>3782</v>
      </c>
      <c r="Q699">
        <v>0</v>
      </c>
      <c r="R699">
        <v>105708160855</v>
      </c>
      <c r="S699">
        <v>105792435.44</v>
      </c>
      <c r="T699">
        <v>101450589877.05</v>
      </c>
      <c r="U699">
        <v>104841256219.17</v>
      </c>
      <c r="V699">
        <v>0.38172099999999998</v>
      </c>
      <c r="W699">
        <v>8.3060999999999996E-2</v>
      </c>
      <c r="Y699" t="s">
        <v>1</v>
      </c>
      <c r="Z699">
        <v>6750</v>
      </c>
      <c r="AA699">
        <v>30</v>
      </c>
      <c r="AB699">
        <v>12521</v>
      </c>
      <c r="AC699">
        <v>0</v>
      </c>
      <c r="AD699">
        <v>388285571925</v>
      </c>
      <c r="AE699">
        <v>405477374.38</v>
      </c>
      <c r="AF699">
        <v>371429930641.21997</v>
      </c>
      <c r="AG699">
        <v>385961667098.12</v>
      </c>
      <c r="AH699">
        <v>0.405169</v>
      </c>
      <c r="AI699">
        <v>5.7703999999999998E-2</v>
      </c>
    </row>
    <row r="700" spans="13:35" x14ac:dyDescent="0.35">
      <c r="M700" t="s">
        <v>2</v>
      </c>
      <c r="N700">
        <v>7000</v>
      </c>
      <c r="O700">
        <v>30</v>
      </c>
      <c r="P700">
        <v>1181</v>
      </c>
      <c r="Q700">
        <v>0</v>
      </c>
      <c r="R700">
        <v>19888411602</v>
      </c>
      <c r="S700">
        <v>19885494.030000001</v>
      </c>
      <c r="T700">
        <v>19663138721.25</v>
      </c>
      <c r="U700">
        <v>19853172463.59</v>
      </c>
      <c r="V700">
        <v>0.117122</v>
      </c>
      <c r="W700">
        <v>9.2250000000000006E-3</v>
      </c>
      <c r="Y700" t="s">
        <v>0</v>
      </c>
      <c r="Z700">
        <v>7000</v>
      </c>
      <c r="AA700">
        <v>30</v>
      </c>
      <c r="AB700">
        <v>20819</v>
      </c>
      <c r="AC700">
        <v>0</v>
      </c>
      <c r="AD700">
        <v>529382897910</v>
      </c>
      <c r="AE700">
        <v>528019288.68000001</v>
      </c>
      <c r="AF700">
        <v>515962842068.97998</v>
      </c>
      <c r="AG700">
        <v>526501846912.15997</v>
      </c>
      <c r="AH700">
        <v>0.25610300000000003</v>
      </c>
      <c r="AI700">
        <v>5.2053000000000002E-2</v>
      </c>
    </row>
    <row r="701" spans="13:35" x14ac:dyDescent="0.35">
      <c r="M701" t="s">
        <v>1</v>
      </c>
      <c r="N701">
        <v>7250</v>
      </c>
      <c r="O701">
        <v>30</v>
      </c>
      <c r="P701">
        <v>5327</v>
      </c>
      <c r="Q701">
        <v>0</v>
      </c>
      <c r="R701">
        <v>142815861083</v>
      </c>
      <c r="S701">
        <v>136731430.56</v>
      </c>
      <c r="T701">
        <v>136439182867</v>
      </c>
      <c r="U701">
        <v>141379830469.84</v>
      </c>
      <c r="V701">
        <v>0.41497800000000001</v>
      </c>
      <c r="W701">
        <v>0.10387200000000001</v>
      </c>
      <c r="Y701" t="s">
        <v>0</v>
      </c>
      <c r="Z701">
        <v>7500</v>
      </c>
      <c r="AA701">
        <v>30</v>
      </c>
      <c r="AB701">
        <v>11117</v>
      </c>
      <c r="AC701">
        <v>0</v>
      </c>
      <c r="AD701">
        <v>281554369562</v>
      </c>
      <c r="AE701">
        <v>255943913.59999999</v>
      </c>
      <c r="AF701">
        <v>273409454357.03</v>
      </c>
      <c r="AG701">
        <v>279249516580.33002</v>
      </c>
      <c r="AH701">
        <v>0.288964</v>
      </c>
      <c r="AI701">
        <v>8.3914000000000002E-2</v>
      </c>
    </row>
    <row r="702" spans="13:35" x14ac:dyDescent="0.35">
      <c r="M702" t="s">
        <v>0</v>
      </c>
      <c r="N702">
        <v>6500</v>
      </c>
      <c r="O702">
        <v>30</v>
      </c>
      <c r="P702">
        <v>17722</v>
      </c>
      <c r="Q702">
        <v>0</v>
      </c>
      <c r="R702">
        <v>490666508212</v>
      </c>
      <c r="S702">
        <v>533236772.99000001</v>
      </c>
      <c r="T702">
        <v>482473310714.09003</v>
      </c>
      <c r="U702">
        <v>488584781246.77002</v>
      </c>
      <c r="V702">
        <v>0.17205899999999999</v>
      </c>
      <c r="W702">
        <v>3.7220000000000003E-2</v>
      </c>
      <c r="Y702" t="s">
        <v>1</v>
      </c>
      <c r="Z702">
        <v>6500</v>
      </c>
      <c r="AA702">
        <v>30</v>
      </c>
      <c r="AB702">
        <v>6173</v>
      </c>
      <c r="AC702">
        <v>0</v>
      </c>
      <c r="AD702">
        <v>199889604062</v>
      </c>
      <c r="AE702">
        <v>217369145.5</v>
      </c>
      <c r="AF702">
        <v>191975223215.29001</v>
      </c>
      <c r="AG702">
        <v>199178266736.35999</v>
      </c>
      <c r="AH702">
        <v>0.37575199999999997</v>
      </c>
      <c r="AI702">
        <v>2.9255E-2</v>
      </c>
    </row>
    <row r="703" spans="13:35" x14ac:dyDescent="0.35">
      <c r="M703" t="s">
        <v>2</v>
      </c>
      <c r="N703">
        <v>6750</v>
      </c>
      <c r="O703">
        <v>30</v>
      </c>
      <c r="P703">
        <v>2190</v>
      </c>
      <c r="Q703">
        <v>0</v>
      </c>
      <c r="R703">
        <v>39012763922</v>
      </c>
      <c r="S703">
        <v>40656586.729999997</v>
      </c>
      <c r="T703">
        <v>38531870856.720001</v>
      </c>
      <c r="U703">
        <v>38883513016.160004</v>
      </c>
      <c r="V703">
        <v>0.12731700000000001</v>
      </c>
      <c r="W703">
        <v>2.6912999999999999E-2</v>
      </c>
      <c r="Y703" t="s">
        <v>1</v>
      </c>
      <c r="Z703">
        <v>7000</v>
      </c>
      <c r="AA703">
        <v>30</v>
      </c>
      <c r="AB703">
        <v>4863</v>
      </c>
      <c r="AC703">
        <v>0</v>
      </c>
      <c r="AD703">
        <v>136018808996</v>
      </c>
      <c r="AE703">
        <v>135895685.31</v>
      </c>
      <c r="AF703">
        <v>130492932494.82001</v>
      </c>
      <c r="AG703">
        <v>135028189700.48</v>
      </c>
      <c r="AH703">
        <v>0.38442500000000002</v>
      </c>
      <c r="AI703">
        <v>7.2854000000000002E-2</v>
      </c>
    </row>
    <row r="704" spans="13:35" x14ac:dyDescent="0.35">
      <c r="M704" t="s">
        <v>2</v>
      </c>
      <c r="N704">
        <v>7250</v>
      </c>
      <c r="O704">
        <v>30</v>
      </c>
      <c r="P704">
        <v>2563</v>
      </c>
      <c r="Q704">
        <v>0</v>
      </c>
      <c r="R704">
        <v>40340721886</v>
      </c>
      <c r="S704">
        <v>38664015.82</v>
      </c>
      <c r="T704">
        <v>39316186348.529999</v>
      </c>
      <c r="U704">
        <v>40097973271.449997</v>
      </c>
      <c r="V704">
        <v>0.256886</v>
      </c>
      <c r="W704">
        <v>5.9047000000000002E-2</v>
      </c>
      <c r="Y704" t="s">
        <v>2</v>
      </c>
      <c r="Z704">
        <v>7000</v>
      </c>
      <c r="AA704">
        <v>30</v>
      </c>
      <c r="AB704">
        <v>1490</v>
      </c>
      <c r="AC704">
        <v>0</v>
      </c>
      <c r="AD704">
        <v>25498855629</v>
      </c>
      <c r="AE704">
        <v>25507980.649999999</v>
      </c>
      <c r="AF704">
        <v>25195624946.759998</v>
      </c>
      <c r="AG704">
        <v>25390062439.450001</v>
      </c>
      <c r="AH704">
        <v>0.12314700000000001</v>
      </c>
      <c r="AI704">
        <v>3.8497999999999998E-2</v>
      </c>
    </row>
    <row r="705" spans="13:35" x14ac:dyDescent="0.35">
      <c r="M705" t="s">
        <v>0</v>
      </c>
      <c r="N705">
        <v>7500</v>
      </c>
      <c r="O705">
        <v>30</v>
      </c>
      <c r="P705">
        <v>10061</v>
      </c>
      <c r="Q705">
        <v>0</v>
      </c>
      <c r="R705">
        <v>251460425241</v>
      </c>
      <c r="S705">
        <v>229266483.24000001</v>
      </c>
      <c r="T705">
        <v>244805665632.67001</v>
      </c>
      <c r="U705">
        <v>248797047795.09</v>
      </c>
      <c r="V705">
        <v>0.26700600000000002</v>
      </c>
      <c r="W705">
        <v>0.11017</v>
      </c>
      <c r="Y705" t="s">
        <v>0</v>
      </c>
      <c r="Z705">
        <v>7250</v>
      </c>
      <c r="AA705">
        <v>30</v>
      </c>
      <c r="AB705">
        <v>37298</v>
      </c>
      <c r="AC705">
        <v>0</v>
      </c>
      <c r="AD705">
        <v>964897479130</v>
      </c>
      <c r="AE705">
        <v>921105774.62</v>
      </c>
      <c r="AF705">
        <v>933001652742.37</v>
      </c>
      <c r="AG705">
        <v>956555622800.31006</v>
      </c>
      <c r="AH705">
        <v>0.32398300000000002</v>
      </c>
      <c r="AI705">
        <v>8.8483000000000006E-2</v>
      </c>
    </row>
    <row r="706" spans="13:35" x14ac:dyDescent="0.35">
      <c r="M706" t="s">
        <v>1</v>
      </c>
      <c r="N706">
        <v>7250</v>
      </c>
      <c r="O706">
        <v>36</v>
      </c>
      <c r="P706">
        <v>4236</v>
      </c>
      <c r="Q706">
        <v>0</v>
      </c>
      <c r="R706">
        <v>102890526504</v>
      </c>
      <c r="S706">
        <v>102192688.55</v>
      </c>
      <c r="T706">
        <v>98755831027.199997</v>
      </c>
      <c r="U706">
        <v>101929248451.21001</v>
      </c>
      <c r="V706">
        <v>0.38107400000000002</v>
      </c>
      <c r="W706">
        <v>9.5718999999999999E-2</v>
      </c>
      <c r="Y706" t="s">
        <v>2</v>
      </c>
      <c r="Z706">
        <v>7250</v>
      </c>
      <c r="AA706">
        <v>36</v>
      </c>
      <c r="AB706">
        <v>1446</v>
      </c>
      <c r="AC706">
        <v>0</v>
      </c>
      <c r="AD706">
        <v>20842407669</v>
      </c>
      <c r="AE706">
        <v>20658468.41</v>
      </c>
      <c r="AF706">
        <v>20401769928.32</v>
      </c>
      <c r="AG706">
        <v>20649914038.009998</v>
      </c>
      <c r="AH706">
        <v>0.216726</v>
      </c>
      <c r="AI706">
        <v>9.4569E-2</v>
      </c>
    </row>
    <row r="707" spans="13:35" x14ac:dyDescent="0.35">
      <c r="M707" t="s">
        <v>1</v>
      </c>
      <c r="N707">
        <v>6250</v>
      </c>
      <c r="O707">
        <v>30</v>
      </c>
      <c r="P707">
        <v>13560</v>
      </c>
      <c r="Q707">
        <v>0</v>
      </c>
      <c r="R707">
        <v>462614945533</v>
      </c>
      <c r="S707">
        <v>522834611.10000002</v>
      </c>
      <c r="T707">
        <v>449960178779.13</v>
      </c>
      <c r="U707">
        <v>460896129127.48999</v>
      </c>
      <c r="V707">
        <v>0.27304899999999999</v>
      </c>
      <c r="W707">
        <v>3.0585999999999999E-2</v>
      </c>
      <c r="Y707" t="s">
        <v>2</v>
      </c>
      <c r="Z707">
        <v>6750</v>
      </c>
      <c r="AA707">
        <v>30</v>
      </c>
      <c r="AB707">
        <v>2390</v>
      </c>
      <c r="AC707">
        <v>0</v>
      </c>
      <c r="AD707">
        <v>43037113174</v>
      </c>
      <c r="AE707">
        <v>44980395.619999997</v>
      </c>
      <c r="AF707">
        <v>42464890649.260002</v>
      </c>
      <c r="AG707">
        <v>42892851900.209999</v>
      </c>
      <c r="AH707">
        <v>0.13749800000000001</v>
      </c>
      <c r="AI707">
        <v>2.7334000000000001E-2</v>
      </c>
    </row>
    <row r="708" spans="13:35" x14ac:dyDescent="0.35">
      <c r="M708" t="s">
        <v>2</v>
      </c>
      <c r="N708">
        <v>6500</v>
      </c>
      <c r="O708">
        <v>30</v>
      </c>
      <c r="P708">
        <v>964</v>
      </c>
      <c r="Q708">
        <v>0</v>
      </c>
      <c r="R708">
        <v>17552513379</v>
      </c>
      <c r="S708">
        <v>19034303.399999999</v>
      </c>
      <c r="T708">
        <v>17269745151.619999</v>
      </c>
      <c r="U708">
        <v>17503557429.400002</v>
      </c>
      <c r="V708">
        <v>0.166126</v>
      </c>
      <c r="W708">
        <v>2.0265999999999999E-2</v>
      </c>
      <c r="Y708" t="s">
        <v>1</v>
      </c>
      <c r="Z708">
        <v>7250</v>
      </c>
      <c r="AA708">
        <v>30</v>
      </c>
      <c r="AB708">
        <v>6210</v>
      </c>
      <c r="AC708">
        <v>0</v>
      </c>
      <c r="AD708">
        <v>166225890496</v>
      </c>
      <c r="AE708">
        <v>158843305.53</v>
      </c>
      <c r="AF708">
        <v>156859522063.28</v>
      </c>
      <c r="AG708">
        <v>164348046692.92001</v>
      </c>
      <c r="AH708">
        <v>0.49531399999999998</v>
      </c>
      <c r="AI708">
        <v>0.11727600000000001</v>
      </c>
    </row>
    <row r="709" spans="13:35" x14ac:dyDescent="0.35">
      <c r="M709" t="s">
        <v>0</v>
      </c>
      <c r="N709">
        <v>6000</v>
      </c>
      <c r="O709">
        <v>30</v>
      </c>
      <c r="P709">
        <v>18980</v>
      </c>
      <c r="Q709">
        <v>0</v>
      </c>
      <c r="R709">
        <v>592195675247</v>
      </c>
      <c r="S709">
        <v>699297647.24000001</v>
      </c>
      <c r="T709">
        <v>586485339223.81995</v>
      </c>
      <c r="U709">
        <v>590688740048.22998</v>
      </c>
      <c r="V709">
        <v>9.6947000000000005E-2</v>
      </c>
      <c r="W709">
        <v>1.6243E-2</v>
      </c>
      <c r="Y709" t="s">
        <v>2</v>
      </c>
      <c r="Z709">
        <v>7250</v>
      </c>
      <c r="AA709">
        <v>30</v>
      </c>
      <c r="AB709">
        <v>3008</v>
      </c>
      <c r="AC709">
        <v>0</v>
      </c>
      <c r="AD709">
        <v>47213256129</v>
      </c>
      <c r="AE709">
        <v>45170157.159999996</v>
      </c>
      <c r="AF709">
        <v>46166603837.599998</v>
      </c>
      <c r="AG709">
        <v>46877567865.169998</v>
      </c>
      <c r="AH709">
        <v>0.226849</v>
      </c>
      <c r="AI709">
        <v>7.1390999999999996E-2</v>
      </c>
    </row>
    <row r="710" spans="13:35" x14ac:dyDescent="0.35">
      <c r="M710" t="s">
        <v>0</v>
      </c>
      <c r="N710">
        <v>6250</v>
      </c>
      <c r="O710">
        <v>30</v>
      </c>
      <c r="P710">
        <v>29344</v>
      </c>
      <c r="Q710">
        <v>0</v>
      </c>
      <c r="R710">
        <v>922822602644</v>
      </c>
      <c r="S710">
        <v>1043805254.76</v>
      </c>
      <c r="T710">
        <v>910902971231.09998</v>
      </c>
      <c r="U710">
        <v>919907716023.87</v>
      </c>
      <c r="V710">
        <v>0.132608</v>
      </c>
      <c r="W710">
        <v>2.4060999999999999E-2</v>
      </c>
      <c r="Y710" t="s">
        <v>1</v>
      </c>
      <c r="Z710">
        <v>7250</v>
      </c>
      <c r="AA710">
        <v>36</v>
      </c>
      <c r="AB710">
        <v>3498</v>
      </c>
      <c r="AC710">
        <v>0</v>
      </c>
      <c r="AD710">
        <v>83858327774</v>
      </c>
      <c r="AE710">
        <v>83221897.260000005</v>
      </c>
      <c r="AF710">
        <v>80138884104.160004</v>
      </c>
      <c r="AG710">
        <v>83017475603.570007</v>
      </c>
      <c r="AH710">
        <v>0.412545</v>
      </c>
      <c r="AI710">
        <v>0.103187</v>
      </c>
    </row>
    <row r="711" spans="13:35" x14ac:dyDescent="0.35">
      <c r="M711" t="s">
        <v>1</v>
      </c>
      <c r="N711">
        <v>7500</v>
      </c>
      <c r="O711">
        <v>30</v>
      </c>
      <c r="P711">
        <v>1563</v>
      </c>
      <c r="Q711">
        <v>0</v>
      </c>
      <c r="R711">
        <v>38835221440</v>
      </c>
      <c r="S711">
        <v>35562962.520000003</v>
      </c>
      <c r="T711">
        <v>37405576012.290001</v>
      </c>
      <c r="U711">
        <v>38479402414.529999</v>
      </c>
      <c r="V711">
        <v>0.35511999999999999</v>
      </c>
      <c r="W711">
        <v>9.4590999999999995E-2</v>
      </c>
      <c r="Y711" t="s">
        <v>2</v>
      </c>
      <c r="Z711">
        <v>6000</v>
      </c>
      <c r="AA711">
        <v>30</v>
      </c>
      <c r="AB711">
        <v>471</v>
      </c>
      <c r="AC711">
        <v>0</v>
      </c>
      <c r="AD711">
        <v>9922380723</v>
      </c>
      <c r="AE711">
        <v>11761124.029999999</v>
      </c>
      <c r="AF711">
        <v>9864636224.1499996</v>
      </c>
      <c r="AG711">
        <v>9910619598.9699993</v>
      </c>
      <c r="AH711">
        <v>5.4216E-2</v>
      </c>
      <c r="AI711">
        <v>0</v>
      </c>
    </row>
    <row r="712" spans="13:35" x14ac:dyDescent="0.35">
      <c r="M712" t="s">
        <v>0</v>
      </c>
      <c r="N712">
        <v>7750</v>
      </c>
      <c r="O712">
        <v>30</v>
      </c>
      <c r="P712">
        <v>16576</v>
      </c>
      <c r="Q712">
        <v>0</v>
      </c>
      <c r="R712">
        <v>398603724771</v>
      </c>
      <c r="S712">
        <v>348490146.72000003</v>
      </c>
      <c r="T712">
        <v>386773549313.95001</v>
      </c>
      <c r="U712">
        <v>394390909108.08002</v>
      </c>
      <c r="V712">
        <v>0.29582799999999998</v>
      </c>
      <c r="W712">
        <v>0.110329</v>
      </c>
      <c r="Y712" t="s">
        <v>1</v>
      </c>
      <c r="Z712">
        <v>6000</v>
      </c>
      <c r="AA712">
        <v>30</v>
      </c>
      <c r="AB712">
        <v>9064</v>
      </c>
      <c r="AC712">
        <v>0</v>
      </c>
      <c r="AD712">
        <v>323555297506</v>
      </c>
      <c r="AE712">
        <v>384456647.00999999</v>
      </c>
      <c r="AF712">
        <v>313852324366.78998</v>
      </c>
      <c r="AG712">
        <v>322056731706.90002</v>
      </c>
      <c r="AH712">
        <v>0.29579</v>
      </c>
      <c r="AI712">
        <v>4.0545999999999999E-2</v>
      </c>
    </row>
    <row r="713" spans="13:35" x14ac:dyDescent="0.35">
      <c r="M713" t="s">
        <v>2</v>
      </c>
      <c r="N713">
        <v>7500</v>
      </c>
      <c r="O713">
        <v>30</v>
      </c>
      <c r="P713">
        <v>632</v>
      </c>
      <c r="Q713">
        <v>0</v>
      </c>
      <c r="R713">
        <v>10001380220</v>
      </c>
      <c r="S713">
        <v>9105570.6099999994</v>
      </c>
      <c r="T713">
        <v>9882573495.6599998</v>
      </c>
      <c r="U713">
        <v>9960161659.2399998</v>
      </c>
      <c r="V713">
        <v>0.12396600000000001</v>
      </c>
      <c r="W713">
        <v>3.7857000000000002E-2</v>
      </c>
      <c r="Y713" t="s">
        <v>1</v>
      </c>
      <c r="Z713">
        <v>6250</v>
      </c>
      <c r="AA713">
        <v>30</v>
      </c>
      <c r="AB713">
        <v>12120</v>
      </c>
      <c r="AC713">
        <v>0</v>
      </c>
      <c r="AD713">
        <v>422942368494</v>
      </c>
      <c r="AE713">
        <v>480695308.97000003</v>
      </c>
      <c r="AF713">
        <v>409531479480.38</v>
      </c>
      <c r="AG713">
        <v>420835845917.56</v>
      </c>
      <c r="AH713">
        <v>0.311052</v>
      </c>
      <c r="AI713">
        <v>4.5165999999999998E-2</v>
      </c>
    </row>
    <row r="714" spans="13:35" x14ac:dyDescent="0.35">
      <c r="M714" t="s">
        <v>0</v>
      </c>
      <c r="N714">
        <v>5000</v>
      </c>
      <c r="O714">
        <v>30</v>
      </c>
      <c r="P714">
        <v>7742</v>
      </c>
      <c r="Q714">
        <v>0</v>
      </c>
      <c r="R714">
        <v>254706613066</v>
      </c>
      <c r="S714">
        <v>356297633.06</v>
      </c>
      <c r="T714">
        <v>253280396384.10999</v>
      </c>
      <c r="U714">
        <v>254034885113.67001</v>
      </c>
      <c r="V714">
        <v>4.9258999999999997E-2</v>
      </c>
      <c r="W714">
        <v>1.4760000000000001E-2</v>
      </c>
      <c r="Y714" t="s">
        <v>2</v>
      </c>
      <c r="Z714">
        <v>6500</v>
      </c>
      <c r="AA714">
        <v>30</v>
      </c>
      <c r="AB714">
        <v>1016</v>
      </c>
      <c r="AC714">
        <v>0</v>
      </c>
      <c r="AD714">
        <v>18696824415</v>
      </c>
      <c r="AE714">
        <v>20360071.949999999</v>
      </c>
      <c r="AF714">
        <v>18458945971.57</v>
      </c>
      <c r="AG714">
        <v>18617724413.93</v>
      </c>
      <c r="AH714">
        <v>0.13101199999999999</v>
      </c>
      <c r="AI714">
        <v>3.7055999999999999E-2</v>
      </c>
    </row>
    <row r="715" spans="13:35" x14ac:dyDescent="0.35">
      <c r="M715" t="s">
        <v>1</v>
      </c>
      <c r="N715">
        <v>5500</v>
      </c>
      <c r="O715">
        <v>30</v>
      </c>
      <c r="P715">
        <v>5129</v>
      </c>
      <c r="Q715">
        <v>0</v>
      </c>
      <c r="R715">
        <v>195355252886</v>
      </c>
      <c r="S715">
        <v>251121419.41</v>
      </c>
      <c r="T715">
        <v>192958497621.98999</v>
      </c>
      <c r="U715">
        <v>194835913934.14999</v>
      </c>
      <c r="V715">
        <v>0.124122</v>
      </c>
      <c r="W715">
        <v>1.6351999999999998E-2</v>
      </c>
      <c r="Y715" t="s">
        <v>2</v>
      </c>
      <c r="Z715">
        <v>6250</v>
      </c>
      <c r="AA715">
        <v>30</v>
      </c>
      <c r="AB715">
        <v>993</v>
      </c>
      <c r="AC715">
        <v>0</v>
      </c>
      <c r="AD715">
        <v>20112463005</v>
      </c>
      <c r="AE715">
        <v>22868568.129999999</v>
      </c>
      <c r="AF715">
        <v>19716953814.900002</v>
      </c>
      <c r="AG715">
        <v>19916543017.560001</v>
      </c>
      <c r="AH715">
        <v>0.20102</v>
      </c>
      <c r="AI715">
        <v>9.8502000000000006E-2</v>
      </c>
    </row>
    <row r="716" spans="13:35" x14ac:dyDescent="0.35">
      <c r="M716" t="s">
        <v>0</v>
      </c>
      <c r="N716">
        <v>5500</v>
      </c>
      <c r="O716">
        <v>30</v>
      </c>
      <c r="P716">
        <v>8959</v>
      </c>
      <c r="Q716">
        <v>0</v>
      </c>
      <c r="R716">
        <v>299717033276</v>
      </c>
      <c r="S716">
        <v>386013976.12</v>
      </c>
      <c r="T716">
        <v>297539954516.25</v>
      </c>
      <c r="U716">
        <v>298714263015.57001</v>
      </c>
      <c r="V716">
        <v>6.9400000000000003E-2</v>
      </c>
      <c r="W716">
        <v>2.4416E-2</v>
      </c>
      <c r="Y716" t="s">
        <v>1</v>
      </c>
      <c r="Z716">
        <v>7500</v>
      </c>
      <c r="AA716">
        <v>30</v>
      </c>
      <c r="AB716">
        <v>1771</v>
      </c>
      <c r="AC716">
        <v>0</v>
      </c>
      <c r="AD716">
        <v>44373922330</v>
      </c>
      <c r="AE716">
        <v>40455695.939999998</v>
      </c>
      <c r="AF716">
        <v>41835109589.230003</v>
      </c>
      <c r="AG716">
        <v>43901894257.169998</v>
      </c>
      <c r="AH716">
        <v>0.50112199999999996</v>
      </c>
      <c r="AI716">
        <v>0.110665</v>
      </c>
    </row>
    <row r="717" spans="13:35" x14ac:dyDescent="0.35">
      <c r="M717" t="s">
        <v>2</v>
      </c>
      <c r="N717">
        <v>5500</v>
      </c>
      <c r="O717">
        <v>30</v>
      </c>
      <c r="P717">
        <v>178</v>
      </c>
      <c r="Q717">
        <v>0</v>
      </c>
      <c r="R717">
        <v>4311334200</v>
      </c>
      <c r="S717">
        <v>5558964.4800000004</v>
      </c>
      <c r="T717">
        <v>4305775235.5200005</v>
      </c>
      <c r="U717">
        <v>4305775235.5200005</v>
      </c>
      <c r="V717">
        <v>0</v>
      </c>
      <c r="W717">
        <v>0</v>
      </c>
      <c r="Y717" t="s">
        <v>0</v>
      </c>
      <c r="Z717">
        <v>7750</v>
      </c>
      <c r="AA717">
        <v>30</v>
      </c>
      <c r="AB717">
        <v>17756</v>
      </c>
      <c r="AC717">
        <v>0</v>
      </c>
      <c r="AD717">
        <v>429342564936</v>
      </c>
      <c r="AE717">
        <v>373889988.66000003</v>
      </c>
      <c r="AF717">
        <v>413266234938.42999</v>
      </c>
      <c r="AG717">
        <v>424319110813.79999</v>
      </c>
      <c r="AH717">
        <v>0.36052400000000001</v>
      </c>
      <c r="AI717">
        <v>0.122486</v>
      </c>
    </row>
    <row r="718" spans="13:35" x14ac:dyDescent="0.35">
      <c r="M718" t="s">
        <v>0</v>
      </c>
      <c r="N718">
        <v>5500</v>
      </c>
      <c r="O718">
        <v>24</v>
      </c>
      <c r="P718">
        <v>7840</v>
      </c>
      <c r="Q718">
        <v>0</v>
      </c>
      <c r="R718">
        <v>267077059464</v>
      </c>
      <c r="S718">
        <v>334155653.50999999</v>
      </c>
      <c r="T718">
        <v>265492005897.81</v>
      </c>
      <c r="U718">
        <v>266383324543.67001</v>
      </c>
      <c r="V718">
        <v>5.4778E-2</v>
      </c>
      <c r="W718">
        <v>1.6036999999999999E-2</v>
      </c>
      <c r="Y718" t="s">
        <v>2</v>
      </c>
      <c r="Z718">
        <v>7500</v>
      </c>
      <c r="AA718">
        <v>30</v>
      </c>
      <c r="AB718">
        <v>661</v>
      </c>
      <c r="AC718">
        <v>0</v>
      </c>
      <c r="AD718">
        <v>10441120897</v>
      </c>
      <c r="AE718">
        <v>9457738.7699999996</v>
      </c>
      <c r="AF718">
        <v>10178520759.280001</v>
      </c>
      <c r="AG718">
        <v>10397417276.93</v>
      </c>
      <c r="AH718">
        <v>0.25511200000000001</v>
      </c>
      <c r="AI718">
        <v>3.8656999999999997E-2</v>
      </c>
    </row>
    <row r="719" spans="13:35" x14ac:dyDescent="0.35">
      <c r="M719" t="s">
        <v>2</v>
      </c>
      <c r="N719">
        <v>5500</v>
      </c>
      <c r="O719">
        <v>24</v>
      </c>
      <c r="P719">
        <v>168</v>
      </c>
      <c r="Q719">
        <v>0</v>
      </c>
      <c r="R719">
        <v>4051410958</v>
      </c>
      <c r="S719">
        <v>5075122.0599999996</v>
      </c>
      <c r="T719">
        <v>4023177040.1599998</v>
      </c>
      <c r="U719">
        <v>4046335835.9400001</v>
      </c>
      <c r="V719">
        <v>6.6478999999999996E-2</v>
      </c>
      <c r="W719">
        <v>0</v>
      </c>
      <c r="Y719" t="s">
        <v>0</v>
      </c>
      <c r="Z719">
        <v>5000</v>
      </c>
      <c r="AA719">
        <v>30</v>
      </c>
      <c r="AB719">
        <v>6631</v>
      </c>
      <c r="AC719">
        <v>0</v>
      </c>
      <c r="AD719">
        <v>217118178462</v>
      </c>
      <c r="AE719">
        <v>304410067.01999998</v>
      </c>
      <c r="AF719">
        <v>215830935267.06</v>
      </c>
      <c r="AG719">
        <v>216560952174.76999</v>
      </c>
      <c r="AH719">
        <v>5.2988E-2</v>
      </c>
      <c r="AI719">
        <v>1.3884000000000001E-2</v>
      </c>
    </row>
    <row r="720" spans="13:35" x14ac:dyDescent="0.35">
      <c r="M720" t="s">
        <v>1</v>
      </c>
      <c r="N720">
        <v>5500</v>
      </c>
      <c r="O720">
        <v>24</v>
      </c>
      <c r="P720">
        <v>4140</v>
      </c>
      <c r="Q720">
        <v>0</v>
      </c>
      <c r="R720">
        <v>158922768998</v>
      </c>
      <c r="S720">
        <v>199085230.13</v>
      </c>
      <c r="T720">
        <v>156634530608.32999</v>
      </c>
      <c r="U720">
        <v>157901614142.59</v>
      </c>
      <c r="V720">
        <v>0.14682799999999999</v>
      </c>
      <c r="W720">
        <v>6.0337000000000002E-2</v>
      </c>
      <c r="Y720" t="s">
        <v>0</v>
      </c>
      <c r="Z720">
        <v>5500</v>
      </c>
      <c r="AA720">
        <v>30</v>
      </c>
      <c r="AB720">
        <v>9245</v>
      </c>
      <c r="AC720">
        <v>0</v>
      </c>
      <c r="AD720">
        <v>306734979930</v>
      </c>
      <c r="AE720">
        <v>395711967.51999998</v>
      </c>
      <c r="AF720">
        <v>304149078254.34003</v>
      </c>
      <c r="AG720">
        <v>305542112206.90002</v>
      </c>
      <c r="AH720">
        <v>8.2397999999999999E-2</v>
      </c>
      <c r="AI720">
        <v>3.0744E-2</v>
      </c>
    </row>
    <row r="721" spans="13:35" x14ac:dyDescent="0.35">
      <c r="M721" t="s">
        <v>0</v>
      </c>
      <c r="N721">
        <v>5500</v>
      </c>
      <c r="O721">
        <v>20</v>
      </c>
      <c r="P721">
        <v>4496</v>
      </c>
      <c r="Q721">
        <v>0</v>
      </c>
      <c r="R721">
        <v>156892273236</v>
      </c>
      <c r="S721">
        <v>193030531.69999999</v>
      </c>
      <c r="T721">
        <v>156036791596.17001</v>
      </c>
      <c r="U721">
        <v>156622217152.84</v>
      </c>
      <c r="V721">
        <v>4.9508000000000003E-2</v>
      </c>
      <c r="W721">
        <v>5.875E-3</v>
      </c>
      <c r="Y721" t="s">
        <v>1</v>
      </c>
      <c r="Z721">
        <v>5500</v>
      </c>
      <c r="AA721">
        <v>30</v>
      </c>
      <c r="AB721">
        <v>5053</v>
      </c>
      <c r="AC721">
        <v>0</v>
      </c>
      <c r="AD721">
        <v>189085508124</v>
      </c>
      <c r="AE721">
        <v>244236227.44</v>
      </c>
      <c r="AF721">
        <v>186801721755.51001</v>
      </c>
      <c r="AG721">
        <v>188488304356.95001</v>
      </c>
      <c r="AH721">
        <v>0.122027</v>
      </c>
      <c r="AI721">
        <v>2.2172000000000001E-2</v>
      </c>
    </row>
    <row r="722" spans="13:35" x14ac:dyDescent="0.35">
      <c r="M722" t="s">
        <v>2</v>
      </c>
      <c r="N722">
        <v>5500</v>
      </c>
      <c r="O722">
        <v>20</v>
      </c>
      <c r="P722">
        <v>117</v>
      </c>
      <c r="Q722">
        <v>0</v>
      </c>
      <c r="R722">
        <v>2699212274</v>
      </c>
      <c r="S722">
        <v>3315580.52</v>
      </c>
      <c r="T722">
        <v>2695896693.48</v>
      </c>
      <c r="U722">
        <v>2695896693.48</v>
      </c>
      <c r="V722">
        <v>0</v>
      </c>
      <c r="W722">
        <v>0</v>
      </c>
      <c r="Y722" t="s">
        <v>2</v>
      </c>
      <c r="Z722">
        <v>5500</v>
      </c>
      <c r="AA722">
        <v>30</v>
      </c>
      <c r="AB722">
        <v>173</v>
      </c>
      <c r="AC722">
        <v>0</v>
      </c>
      <c r="AD722">
        <v>4260001419</v>
      </c>
      <c r="AE722">
        <v>5497399</v>
      </c>
      <c r="AF722">
        <v>4237926785.6399999</v>
      </c>
      <c r="AG722">
        <v>4254504020</v>
      </c>
      <c r="AH722">
        <v>4.5710000000000001E-2</v>
      </c>
      <c r="AI722">
        <v>0</v>
      </c>
    </row>
    <row r="723" spans="13:35" x14ac:dyDescent="0.35">
      <c r="M723" t="s">
        <v>1</v>
      </c>
      <c r="N723">
        <v>5500</v>
      </c>
      <c r="O723">
        <v>20</v>
      </c>
      <c r="P723">
        <v>3257</v>
      </c>
      <c r="Q723">
        <v>0</v>
      </c>
      <c r="R723">
        <v>133475122692</v>
      </c>
      <c r="S723">
        <v>164223648.06999999</v>
      </c>
      <c r="T723">
        <v>132318182892.87</v>
      </c>
      <c r="U723">
        <v>133064572185.7</v>
      </c>
      <c r="V723">
        <v>8.5688E-2</v>
      </c>
      <c r="W723">
        <v>2.1922000000000001E-2</v>
      </c>
      <c r="Y723" t="s">
        <v>0</v>
      </c>
      <c r="Z723">
        <v>5500</v>
      </c>
      <c r="AA723">
        <v>24</v>
      </c>
      <c r="AB723">
        <v>7653</v>
      </c>
      <c r="AC723">
        <v>0</v>
      </c>
      <c r="AD723">
        <v>258582645217</v>
      </c>
      <c r="AE723">
        <v>323871743.70999998</v>
      </c>
      <c r="AF723">
        <v>256800558423.51999</v>
      </c>
      <c r="AG723">
        <v>257899582077.44</v>
      </c>
      <c r="AH723">
        <v>6.5611000000000003E-2</v>
      </c>
      <c r="AI723">
        <v>1.6542000000000001E-2</v>
      </c>
    </row>
    <row r="724" spans="13:35" x14ac:dyDescent="0.35">
      <c r="M724" t="s">
        <v>0</v>
      </c>
      <c r="N724">
        <v>7750</v>
      </c>
      <c r="O724">
        <v>36</v>
      </c>
      <c r="P724">
        <v>4558</v>
      </c>
      <c r="Q724">
        <v>0</v>
      </c>
      <c r="R724">
        <v>112615014731</v>
      </c>
      <c r="S724">
        <v>101850247.27</v>
      </c>
      <c r="T724">
        <v>109811920260.87</v>
      </c>
      <c r="U724">
        <v>111284237514.05</v>
      </c>
      <c r="V724">
        <v>0.25274400000000002</v>
      </c>
      <c r="W724">
        <v>0.12337099999999999</v>
      </c>
      <c r="Y724" t="s">
        <v>2</v>
      </c>
      <c r="Z724">
        <v>5500</v>
      </c>
      <c r="AA724">
        <v>24</v>
      </c>
      <c r="AB724">
        <v>171</v>
      </c>
      <c r="AC724">
        <v>0</v>
      </c>
      <c r="AD724">
        <v>4036910914</v>
      </c>
      <c r="AE724">
        <v>5063499.72</v>
      </c>
      <c r="AF724">
        <v>4031847414.2800002</v>
      </c>
      <c r="AG724">
        <v>4031847414.2800002</v>
      </c>
      <c r="AH724">
        <v>0</v>
      </c>
      <c r="AI724">
        <v>0</v>
      </c>
    </row>
    <row r="725" spans="13:35" x14ac:dyDescent="0.35">
      <c r="M725" t="s">
        <v>0</v>
      </c>
      <c r="N725">
        <v>8000</v>
      </c>
      <c r="O725">
        <v>36</v>
      </c>
      <c r="P725">
        <v>276</v>
      </c>
      <c r="Q725">
        <v>0</v>
      </c>
      <c r="R725">
        <v>7345177651</v>
      </c>
      <c r="S725">
        <v>6339018.8300000001</v>
      </c>
      <c r="T725">
        <v>7186601539.9799995</v>
      </c>
      <c r="U725">
        <v>7293479276.2799997</v>
      </c>
      <c r="V725">
        <v>0.22223200000000001</v>
      </c>
      <c r="W725">
        <v>7.1638999999999994E-2</v>
      </c>
      <c r="Y725" t="s">
        <v>1</v>
      </c>
      <c r="Z725">
        <v>5500</v>
      </c>
      <c r="AA725">
        <v>24</v>
      </c>
      <c r="AB725">
        <v>4750</v>
      </c>
      <c r="AC725">
        <v>0</v>
      </c>
      <c r="AD725">
        <v>184393640561</v>
      </c>
      <c r="AE725">
        <v>231323893.33000001</v>
      </c>
      <c r="AF725">
        <v>182653803357.37</v>
      </c>
      <c r="AG725">
        <v>183675533654.09</v>
      </c>
      <c r="AH725">
        <v>9.3871999999999997E-2</v>
      </c>
      <c r="AI725">
        <v>3.1223000000000001E-2</v>
      </c>
    </row>
    <row r="726" spans="13:35" x14ac:dyDescent="0.35">
      <c r="M726" t="s">
        <v>2</v>
      </c>
      <c r="N726">
        <v>7750</v>
      </c>
      <c r="O726">
        <v>36</v>
      </c>
      <c r="P726">
        <v>86</v>
      </c>
      <c r="Q726">
        <v>0</v>
      </c>
      <c r="R726">
        <v>1165264681</v>
      </c>
      <c r="S726">
        <v>1054454.97</v>
      </c>
      <c r="T726">
        <v>1148042422.7</v>
      </c>
      <c r="U726">
        <v>1148042422.7</v>
      </c>
      <c r="V726">
        <v>0.154362</v>
      </c>
      <c r="W726">
        <v>0.154362</v>
      </c>
      <c r="Y726" t="s">
        <v>0</v>
      </c>
      <c r="Z726">
        <v>5500</v>
      </c>
      <c r="AA726">
        <v>20</v>
      </c>
      <c r="AB726">
        <v>4068</v>
      </c>
      <c r="AC726">
        <v>0</v>
      </c>
      <c r="AD726">
        <v>141347339955</v>
      </c>
      <c r="AE726">
        <v>173877903.56</v>
      </c>
      <c r="AF726">
        <v>140926516295.17001</v>
      </c>
      <c r="AG726">
        <v>141035623287.35001</v>
      </c>
      <c r="AH726">
        <v>2.0764999999999999E-2</v>
      </c>
      <c r="AI726">
        <v>1.1639999999999999E-2</v>
      </c>
    </row>
    <row r="727" spans="13:35" x14ac:dyDescent="0.35">
      <c r="M727" t="s">
        <v>0</v>
      </c>
      <c r="N727">
        <v>8250</v>
      </c>
      <c r="O727">
        <v>36</v>
      </c>
      <c r="P727">
        <v>328</v>
      </c>
      <c r="Q727">
        <v>0</v>
      </c>
      <c r="R727">
        <v>8096110179</v>
      </c>
      <c r="S727">
        <v>6651035.6799999997</v>
      </c>
      <c r="T727">
        <v>8007773358.8800001</v>
      </c>
      <c r="U727">
        <v>8025150981.4399996</v>
      </c>
      <c r="V727">
        <v>0.114576</v>
      </c>
      <c r="W727">
        <v>9.1260999999999995E-2</v>
      </c>
      <c r="Y727" t="s">
        <v>2</v>
      </c>
      <c r="Z727">
        <v>5500</v>
      </c>
      <c r="AA727">
        <v>20</v>
      </c>
      <c r="AB727">
        <v>80</v>
      </c>
      <c r="AC727">
        <v>0</v>
      </c>
      <c r="AD727">
        <v>1908436040</v>
      </c>
      <c r="AE727">
        <v>2350816.25</v>
      </c>
      <c r="AF727">
        <v>1906085223.75</v>
      </c>
      <c r="AG727">
        <v>1906085223.75</v>
      </c>
      <c r="AH727">
        <v>0</v>
      </c>
      <c r="AI727">
        <v>0</v>
      </c>
    </row>
    <row r="728" spans="13:35" x14ac:dyDescent="0.35">
      <c r="M728" t="s">
        <v>0</v>
      </c>
      <c r="N728">
        <v>8500</v>
      </c>
      <c r="O728">
        <v>30</v>
      </c>
      <c r="P728">
        <v>415</v>
      </c>
      <c r="Q728">
        <v>0</v>
      </c>
      <c r="R728">
        <v>9538962962</v>
      </c>
      <c r="S728">
        <v>7257489.5599999996</v>
      </c>
      <c r="T728">
        <v>9409391419.1000004</v>
      </c>
      <c r="U728">
        <v>9466922300.3299999</v>
      </c>
      <c r="V728">
        <v>0.14346999999999999</v>
      </c>
      <c r="W728">
        <v>7.8520999999999994E-2</v>
      </c>
      <c r="Y728" t="s">
        <v>1</v>
      </c>
      <c r="Z728">
        <v>5500</v>
      </c>
      <c r="AA728">
        <v>20</v>
      </c>
      <c r="AB728">
        <v>2129</v>
      </c>
      <c r="AC728">
        <v>0</v>
      </c>
      <c r="AD728">
        <v>82503746224</v>
      </c>
      <c r="AE728">
        <v>101507116.53</v>
      </c>
      <c r="AF728">
        <v>81704902840.580002</v>
      </c>
      <c r="AG728">
        <v>82270631319.699997</v>
      </c>
      <c r="AH728">
        <v>9.6840999999999997E-2</v>
      </c>
      <c r="AI728">
        <v>1.8974999999999999E-2</v>
      </c>
    </row>
    <row r="729" spans="13:35" x14ac:dyDescent="0.35">
      <c r="M729" t="s">
        <v>0</v>
      </c>
      <c r="N729">
        <v>8000</v>
      </c>
      <c r="O729">
        <v>30</v>
      </c>
      <c r="P729">
        <v>2599</v>
      </c>
      <c r="Q729">
        <v>0</v>
      </c>
      <c r="R729">
        <v>63269169569</v>
      </c>
      <c r="S729">
        <v>52801837.840000004</v>
      </c>
      <c r="T729">
        <v>62103488805.300003</v>
      </c>
      <c r="U729">
        <v>62778356021.639999</v>
      </c>
      <c r="V729">
        <v>0.191806</v>
      </c>
      <c r="W729">
        <v>7.9984E-2</v>
      </c>
      <c r="Y729" t="s">
        <v>0</v>
      </c>
      <c r="Z729">
        <v>7750</v>
      </c>
      <c r="AA729">
        <v>36</v>
      </c>
      <c r="AB729">
        <v>3126</v>
      </c>
      <c r="AC729">
        <v>0</v>
      </c>
      <c r="AD729">
        <v>77004370769</v>
      </c>
      <c r="AE729">
        <v>69607770.370000005</v>
      </c>
      <c r="AF729">
        <v>75164829214</v>
      </c>
      <c r="AG729">
        <v>76201883814.610001</v>
      </c>
      <c r="AH729">
        <v>0.24348800000000001</v>
      </c>
      <c r="AI729">
        <v>0.108416</v>
      </c>
    </row>
    <row r="730" spans="13:35" x14ac:dyDescent="0.35">
      <c r="M730" t="s">
        <v>1</v>
      </c>
      <c r="N730">
        <v>8000</v>
      </c>
      <c r="O730">
        <v>36</v>
      </c>
      <c r="P730">
        <v>7</v>
      </c>
      <c r="Q730">
        <v>0</v>
      </c>
      <c r="R730">
        <v>185225143</v>
      </c>
      <c r="S730">
        <v>160407.17000000001</v>
      </c>
      <c r="T730">
        <v>185064735.83000001</v>
      </c>
      <c r="U730">
        <v>185064735.83000001</v>
      </c>
      <c r="V730">
        <v>0</v>
      </c>
      <c r="W730">
        <v>0</v>
      </c>
      <c r="Y730" t="s">
        <v>0</v>
      </c>
      <c r="Z730">
        <v>8000</v>
      </c>
      <c r="AA730">
        <v>36</v>
      </c>
      <c r="AB730">
        <v>131</v>
      </c>
      <c r="AC730">
        <v>0</v>
      </c>
      <c r="AD730">
        <v>3826820981</v>
      </c>
      <c r="AE730">
        <v>3308450.64</v>
      </c>
      <c r="AF730">
        <v>3680865276.0500002</v>
      </c>
      <c r="AG730">
        <v>3778096253.6399999</v>
      </c>
      <c r="AH730">
        <v>0.36609599999999998</v>
      </c>
      <c r="AI730">
        <v>0.13347700000000001</v>
      </c>
    </row>
    <row r="731" spans="13:35" x14ac:dyDescent="0.35">
      <c r="M731" t="s">
        <v>2</v>
      </c>
      <c r="N731">
        <v>7750</v>
      </c>
      <c r="O731">
        <v>30</v>
      </c>
      <c r="P731">
        <v>1378</v>
      </c>
      <c r="Q731">
        <v>0</v>
      </c>
      <c r="R731">
        <v>19895057700</v>
      </c>
      <c r="S731">
        <v>17420199.100000001</v>
      </c>
      <c r="T731">
        <v>19522267812.330002</v>
      </c>
      <c r="U731">
        <v>19701234505.950001</v>
      </c>
      <c r="V731">
        <v>0.194493</v>
      </c>
      <c r="W731">
        <v>0.10136199999999999</v>
      </c>
      <c r="Y731" t="s">
        <v>2</v>
      </c>
      <c r="Z731">
        <v>7750</v>
      </c>
      <c r="AA731">
        <v>36</v>
      </c>
      <c r="AB731">
        <v>72</v>
      </c>
      <c r="AC731">
        <v>0</v>
      </c>
      <c r="AD731">
        <v>986339350</v>
      </c>
      <c r="AE731">
        <v>892178.46</v>
      </c>
      <c r="AF731">
        <v>966490415.79999995</v>
      </c>
      <c r="AG731">
        <v>966490415.79999995</v>
      </c>
      <c r="AH731">
        <v>0.20774899999999999</v>
      </c>
      <c r="AI731">
        <v>0.20774899999999999</v>
      </c>
    </row>
    <row r="732" spans="13:35" x14ac:dyDescent="0.35">
      <c r="M732" t="s">
        <v>0</v>
      </c>
      <c r="N732">
        <v>6750</v>
      </c>
      <c r="O732">
        <v>24</v>
      </c>
      <c r="P732">
        <v>47063</v>
      </c>
      <c r="Q732">
        <v>0</v>
      </c>
      <c r="R732">
        <v>1375893555044</v>
      </c>
      <c r="S732">
        <v>1384819467.6400001</v>
      </c>
      <c r="T732">
        <v>1346966308111.6899</v>
      </c>
      <c r="U732">
        <v>1369726897569.3501</v>
      </c>
      <c r="V732">
        <v>0.21545500000000001</v>
      </c>
      <c r="W732">
        <v>4.0917000000000002E-2</v>
      </c>
      <c r="Y732" t="s">
        <v>0</v>
      </c>
      <c r="Z732">
        <v>8000</v>
      </c>
      <c r="AA732">
        <v>30</v>
      </c>
      <c r="AB732">
        <v>2683</v>
      </c>
      <c r="AC732">
        <v>0</v>
      </c>
      <c r="AD732">
        <v>65614005760</v>
      </c>
      <c r="AE732">
        <v>54504179.729999997</v>
      </c>
      <c r="AF732">
        <v>64101569797.690002</v>
      </c>
      <c r="AG732">
        <v>65167823817.93</v>
      </c>
      <c r="AH732">
        <v>0.236349</v>
      </c>
      <c r="AI732">
        <v>6.9327E-2</v>
      </c>
    </row>
    <row r="733" spans="13:35" x14ac:dyDescent="0.35">
      <c r="M733" t="s">
        <v>1</v>
      </c>
      <c r="N733">
        <v>6750</v>
      </c>
      <c r="O733">
        <v>24</v>
      </c>
      <c r="P733">
        <v>14774</v>
      </c>
      <c r="Q733">
        <v>0</v>
      </c>
      <c r="R733">
        <v>484650821622</v>
      </c>
      <c r="S733">
        <v>488009346.02999997</v>
      </c>
      <c r="T733">
        <v>465335667335.77002</v>
      </c>
      <c r="U733">
        <v>482310705402.31</v>
      </c>
      <c r="V733">
        <v>0.37840000000000001</v>
      </c>
      <c r="W733">
        <v>4.4907000000000002E-2</v>
      </c>
      <c r="Y733" t="s">
        <v>0</v>
      </c>
      <c r="Z733">
        <v>8250</v>
      </c>
      <c r="AA733">
        <v>30</v>
      </c>
      <c r="AB733">
        <v>3151</v>
      </c>
      <c r="AC733">
        <v>0</v>
      </c>
      <c r="AD733">
        <v>75863044095</v>
      </c>
      <c r="AE733">
        <v>60079624.479999997</v>
      </c>
      <c r="AF733">
        <v>73237425152.539993</v>
      </c>
      <c r="AG733">
        <v>74687111942.089996</v>
      </c>
      <c r="AH733">
        <v>0.33822999999999998</v>
      </c>
      <c r="AI733">
        <v>0.16290399999999999</v>
      </c>
    </row>
    <row r="734" spans="13:35" x14ac:dyDescent="0.35">
      <c r="M734" t="s">
        <v>0</v>
      </c>
      <c r="N734">
        <v>6500</v>
      </c>
      <c r="O734">
        <v>24</v>
      </c>
      <c r="P734">
        <v>19265</v>
      </c>
      <c r="Q734">
        <v>0</v>
      </c>
      <c r="R734">
        <v>551499256290</v>
      </c>
      <c r="S734">
        <v>578503814.51999998</v>
      </c>
      <c r="T734">
        <v>541183480009.35999</v>
      </c>
      <c r="U734">
        <v>549483502194.09998</v>
      </c>
      <c r="V734">
        <v>0.19246199999999999</v>
      </c>
      <c r="W734">
        <v>3.0828999999999999E-2</v>
      </c>
      <c r="Y734" t="s">
        <v>0</v>
      </c>
      <c r="Z734">
        <v>8500</v>
      </c>
      <c r="AA734">
        <v>30</v>
      </c>
      <c r="AB734">
        <v>415</v>
      </c>
      <c r="AC734">
        <v>0</v>
      </c>
      <c r="AD734">
        <v>9564096113</v>
      </c>
      <c r="AE734">
        <v>7225527.5099999998</v>
      </c>
      <c r="AF734">
        <v>9424583750.5300007</v>
      </c>
      <c r="AG734">
        <v>9445850916.8500004</v>
      </c>
      <c r="AH734">
        <v>0.153917</v>
      </c>
      <c r="AI734">
        <v>0.13073799999999999</v>
      </c>
    </row>
    <row r="735" spans="13:35" x14ac:dyDescent="0.35">
      <c r="M735" t="s">
        <v>2</v>
      </c>
      <c r="N735">
        <v>6750</v>
      </c>
      <c r="O735">
        <v>24</v>
      </c>
      <c r="P735">
        <v>2938</v>
      </c>
      <c r="Q735">
        <v>0</v>
      </c>
      <c r="R735">
        <v>53415375509</v>
      </c>
      <c r="S735">
        <v>53835163.299999997</v>
      </c>
      <c r="T735">
        <v>52828527139.07</v>
      </c>
      <c r="U735">
        <v>53267127248.849998</v>
      </c>
      <c r="V735">
        <v>0.113386</v>
      </c>
      <c r="W735">
        <v>2.1004999999999999E-2</v>
      </c>
      <c r="Y735" t="s">
        <v>1</v>
      </c>
      <c r="Z735">
        <v>8000</v>
      </c>
      <c r="AA735">
        <v>30</v>
      </c>
      <c r="AB735">
        <v>334</v>
      </c>
      <c r="AC735">
        <v>0</v>
      </c>
      <c r="AD735">
        <v>7392030327</v>
      </c>
      <c r="AE735">
        <v>6125116.9000000004</v>
      </c>
      <c r="AF735">
        <v>6930089979.3999996</v>
      </c>
      <c r="AG735">
        <v>7167079249.0200005</v>
      </c>
      <c r="AH735">
        <v>0.53408599999999995</v>
      </c>
      <c r="AI735">
        <v>0.30274200000000001</v>
      </c>
    </row>
    <row r="736" spans="13:35" x14ac:dyDescent="0.35">
      <c r="M736" t="s">
        <v>0</v>
      </c>
      <c r="N736">
        <v>7000</v>
      </c>
      <c r="O736">
        <v>24</v>
      </c>
      <c r="P736">
        <v>15852</v>
      </c>
      <c r="Q736">
        <v>0</v>
      </c>
      <c r="R736">
        <v>400731085311</v>
      </c>
      <c r="S736">
        <v>384294943.44</v>
      </c>
      <c r="T736">
        <v>391636404800.45001</v>
      </c>
      <c r="U736">
        <v>398059353436.70001</v>
      </c>
      <c r="V736">
        <v>0.23180500000000001</v>
      </c>
      <c r="W736">
        <v>6.6388000000000003E-2</v>
      </c>
      <c r="Y736" t="s">
        <v>2</v>
      </c>
      <c r="Z736">
        <v>7750</v>
      </c>
      <c r="AA736">
        <v>30</v>
      </c>
      <c r="AB736">
        <v>1367</v>
      </c>
      <c r="AC736">
        <v>0</v>
      </c>
      <c r="AD736">
        <v>19820279283</v>
      </c>
      <c r="AE736">
        <v>17254886.280000001</v>
      </c>
      <c r="AF736">
        <v>19264218130.689999</v>
      </c>
      <c r="AG736">
        <v>19697170593.439999</v>
      </c>
      <c r="AH736">
        <v>0.28160200000000002</v>
      </c>
      <c r="AI736">
        <v>6.2239000000000003E-2</v>
      </c>
    </row>
    <row r="737" spans="13:35" x14ac:dyDescent="0.35">
      <c r="M737" t="s">
        <v>1</v>
      </c>
      <c r="N737">
        <v>7000</v>
      </c>
      <c r="O737">
        <v>24</v>
      </c>
      <c r="P737">
        <v>2788</v>
      </c>
      <c r="Q737">
        <v>0</v>
      </c>
      <c r="R737">
        <v>79938716665</v>
      </c>
      <c r="S737">
        <v>76923064.340000004</v>
      </c>
      <c r="T737">
        <v>76230118363.610001</v>
      </c>
      <c r="U737">
        <v>79324938930.009995</v>
      </c>
      <c r="V737">
        <v>0.42761399999999999</v>
      </c>
      <c r="W737">
        <v>7.7678999999999998E-2</v>
      </c>
      <c r="Y737" t="s">
        <v>0</v>
      </c>
      <c r="Z737">
        <v>6750</v>
      </c>
      <c r="AA737">
        <v>24</v>
      </c>
      <c r="AB737">
        <v>43588</v>
      </c>
      <c r="AC737">
        <v>0</v>
      </c>
      <c r="AD737">
        <v>1251240546725</v>
      </c>
      <c r="AE737">
        <v>1258758286.02</v>
      </c>
      <c r="AF737">
        <v>1216227622278.8401</v>
      </c>
      <c r="AG737">
        <v>1243245755896.3799</v>
      </c>
      <c r="AH737">
        <v>0.279756</v>
      </c>
      <c r="AI737">
        <v>6.2723000000000001E-2</v>
      </c>
    </row>
    <row r="738" spans="13:35" x14ac:dyDescent="0.35">
      <c r="M738" t="s">
        <v>0</v>
      </c>
      <c r="N738">
        <v>8250</v>
      </c>
      <c r="O738">
        <v>30</v>
      </c>
      <c r="P738">
        <v>3009</v>
      </c>
      <c r="Q738">
        <v>0</v>
      </c>
      <c r="R738">
        <v>72804697409</v>
      </c>
      <c r="S738">
        <v>57958683.25</v>
      </c>
      <c r="T738">
        <v>70682808742.279999</v>
      </c>
      <c r="U738">
        <v>72119403095.910004</v>
      </c>
      <c r="V738">
        <v>0.29185100000000003</v>
      </c>
      <c r="W738">
        <v>9.8638000000000003E-2</v>
      </c>
      <c r="Y738" t="s">
        <v>0</v>
      </c>
      <c r="Z738">
        <v>7000</v>
      </c>
      <c r="AA738">
        <v>24</v>
      </c>
      <c r="AB738">
        <v>13006</v>
      </c>
      <c r="AC738">
        <v>0</v>
      </c>
      <c r="AD738">
        <v>331024703880</v>
      </c>
      <c r="AE738">
        <v>317282465.19</v>
      </c>
      <c r="AF738">
        <v>322885167713.65002</v>
      </c>
      <c r="AG738">
        <v>328665642425.14001</v>
      </c>
      <c r="AH738">
        <v>0.24946499999999999</v>
      </c>
      <c r="AI738">
        <v>7.1556999999999996E-2</v>
      </c>
    </row>
    <row r="739" spans="13:35" x14ac:dyDescent="0.35">
      <c r="M739" t="s">
        <v>2</v>
      </c>
      <c r="N739">
        <v>6250</v>
      </c>
      <c r="O739">
        <v>30</v>
      </c>
      <c r="P739">
        <v>1151</v>
      </c>
      <c r="Q739">
        <v>0</v>
      </c>
      <c r="R739">
        <v>23224593989</v>
      </c>
      <c r="S739">
        <v>26242761.239999998</v>
      </c>
      <c r="T739">
        <v>23015441519.450001</v>
      </c>
      <c r="U739">
        <v>23165544971.549999</v>
      </c>
      <c r="V739">
        <v>9.0520000000000003E-2</v>
      </c>
      <c r="W739">
        <v>1.6820000000000002E-2</v>
      </c>
      <c r="Y739" t="s">
        <v>1</v>
      </c>
      <c r="Z739">
        <v>6750</v>
      </c>
      <c r="AA739">
        <v>24</v>
      </c>
      <c r="AB739">
        <v>12955</v>
      </c>
      <c r="AC739">
        <v>0</v>
      </c>
      <c r="AD739">
        <v>410965895261</v>
      </c>
      <c r="AE739">
        <v>413312145.98000002</v>
      </c>
      <c r="AF739">
        <v>392605694649.71002</v>
      </c>
      <c r="AG739">
        <v>408545867449.33002</v>
      </c>
      <c r="AH739">
        <v>0.41481499999999999</v>
      </c>
      <c r="AI739">
        <v>5.7047E-2</v>
      </c>
    </row>
    <row r="740" spans="13:35" x14ac:dyDescent="0.35">
      <c r="M740" t="s">
        <v>0</v>
      </c>
      <c r="N740">
        <v>5750</v>
      </c>
      <c r="O740">
        <v>30</v>
      </c>
      <c r="P740">
        <v>14758</v>
      </c>
      <c r="Q740">
        <v>0</v>
      </c>
      <c r="R740">
        <v>498131075024</v>
      </c>
      <c r="S740">
        <v>613019071.33000004</v>
      </c>
      <c r="T740">
        <v>493937760414.42999</v>
      </c>
      <c r="U740">
        <v>496666783335.84998</v>
      </c>
      <c r="V740">
        <v>8.2919999999999994E-2</v>
      </c>
      <c r="W740">
        <v>2.0316000000000001E-2</v>
      </c>
      <c r="Y740" t="s">
        <v>0</v>
      </c>
      <c r="Z740">
        <v>7250</v>
      </c>
      <c r="AA740">
        <v>24</v>
      </c>
      <c r="AB740">
        <v>20572</v>
      </c>
      <c r="AC740">
        <v>0</v>
      </c>
      <c r="AD740">
        <v>539312074432</v>
      </c>
      <c r="AE740">
        <v>495479465.98000002</v>
      </c>
      <c r="AF740">
        <v>521561572994.96997</v>
      </c>
      <c r="AG740">
        <v>533455702046.59998</v>
      </c>
      <c r="AH740">
        <v>0.32308500000000001</v>
      </c>
      <c r="AI740">
        <v>0.112973</v>
      </c>
    </row>
    <row r="741" spans="13:35" x14ac:dyDescent="0.35">
      <c r="M741" t="s">
        <v>1</v>
      </c>
      <c r="N741">
        <v>6000</v>
      </c>
      <c r="O741">
        <v>30</v>
      </c>
      <c r="P741">
        <v>9415</v>
      </c>
      <c r="Q741">
        <v>0</v>
      </c>
      <c r="R741">
        <v>333425730860</v>
      </c>
      <c r="S741">
        <v>393985468.89999998</v>
      </c>
      <c r="T741">
        <v>326123747809.65997</v>
      </c>
      <c r="U741">
        <v>332431980362.16998</v>
      </c>
      <c r="V741">
        <v>0.22215699999999999</v>
      </c>
      <c r="W741">
        <v>2.1373E-2</v>
      </c>
      <c r="Y741" t="s">
        <v>0</v>
      </c>
      <c r="Z741">
        <v>6500</v>
      </c>
      <c r="AA741">
        <v>24</v>
      </c>
      <c r="AB741">
        <v>17459</v>
      </c>
      <c r="AC741">
        <v>0</v>
      </c>
      <c r="AD741">
        <v>486609915449</v>
      </c>
      <c r="AE741">
        <v>510080468.98000002</v>
      </c>
      <c r="AF741">
        <v>476255219297.28998</v>
      </c>
      <c r="AG741">
        <v>484490904074.84003</v>
      </c>
      <c r="AH741">
        <v>0.2175</v>
      </c>
      <c r="AI741">
        <v>3.8962999999999998E-2</v>
      </c>
    </row>
    <row r="742" spans="13:35" x14ac:dyDescent="0.35">
      <c r="M742" t="s">
        <v>2</v>
      </c>
      <c r="N742">
        <v>6000</v>
      </c>
      <c r="O742">
        <v>30</v>
      </c>
      <c r="P742">
        <v>542</v>
      </c>
      <c r="Q742">
        <v>0</v>
      </c>
      <c r="R742">
        <v>11467804713</v>
      </c>
      <c r="S742">
        <v>13507366.09</v>
      </c>
      <c r="T742">
        <v>11362098617.360001</v>
      </c>
      <c r="U742">
        <v>11425103981.85</v>
      </c>
      <c r="V742">
        <v>9.2324000000000003E-2</v>
      </c>
      <c r="W742">
        <v>3.0124000000000001E-2</v>
      </c>
      <c r="Y742" t="s">
        <v>2</v>
      </c>
      <c r="Z742">
        <v>6750</v>
      </c>
      <c r="AA742">
        <v>24</v>
      </c>
      <c r="AB742">
        <v>2732</v>
      </c>
      <c r="AC742">
        <v>0</v>
      </c>
      <c r="AD742">
        <v>48778370525</v>
      </c>
      <c r="AE742">
        <v>49142216.640000001</v>
      </c>
      <c r="AF742">
        <v>48244855630.629997</v>
      </c>
      <c r="AG742">
        <v>48560831936.699997</v>
      </c>
      <c r="AH742">
        <v>0.11286400000000001</v>
      </c>
      <c r="AI742">
        <v>4.0649999999999999E-2</v>
      </c>
    </row>
    <row r="743" spans="13:35" x14ac:dyDescent="0.35">
      <c r="M743" t="s">
        <v>1</v>
      </c>
      <c r="N743">
        <v>7750</v>
      </c>
      <c r="O743">
        <v>30</v>
      </c>
      <c r="P743">
        <v>2224</v>
      </c>
      <c r="Q743">
        <v>0</v>
      </c>
      <c r="R743">
        <v>52051899954</v>
      </c>
      <c r="S743">
        <v>45667225.469999999</v>
      </c>
      <c r="T743">
        <v>48969982646.129997</v>
      </c>
      <c r="U743">
        <v>51257139629.730003</v>
      </c>
      <c r="V743">
        <v>0.51384099999999999</v>
      </c>
      <c r="W743">
        <v>0.159661</v>
      </c>
      <c r="Y743" t="s">
        <v>1</v>
      </c>
      <c r="Z743">
        <v>7000</v>
      </c>
      <c r="AA743">
        <v>24</v>
      </c>
      <c r="AB743">
        <v>2353</v>
      </c>
      <c r="AC743">
        <v>0</v>
      </c>
      <c r="AD743">
        <v>67196497115</v>
      </c>
      <c r="AE743">
        <v>64555815.609999999</v>
      </c>
      <c r="AF743">
        <v>63622327150.25</v>
      </c>
      <c r="AG743">
        <v>66780235854.260002</v>
      </c>
      <c r="AH743">
        <v>0.47466000000000003</v>
      </c>
      <c r="AI743">
        <v>6.1031000000000002E-2</v>
      </c>
    </row>
    <row r="744" spans="13:35" x14ac:dyDescent="0.35">
      <c r="M744" t="s">
        <v>2</v>
      </c>
      <c r="N744">
        <v>7000</v>
      </c>
      <c r="O744">
        <v>24</v>
      </c>
      <c r="P744">
        <v>1122</v>
      </c>
      <c r="Q744">
        <v>0</v>
      </c>
      <c r="R744">
        <v>19011303689</v>
      </c>
      <c r="S744">
        <v>18281417.5</v>
      </c>
      <c r="T744">
        <v>18798584974.720001</v>
      </c>
      <c r="U744">
        <v>18902787636.650002</v>
      </c>
      <c r="V744">
        <v>0.11605600000000001</v>
      </c>
      <c r="W744">
        <v>5.5493000000000001E-2</v>
      </c>
      <c r="Y744" t="s">
        <v>0</v>
      </c>
      <c r="Z744">
        <v>5750</v>
      </c>
      <c r="AA744">
        <v>30</v>
      </c>
      <c r="AB744">
        <v>13333</v>
      </c>
      <c r="AC744">
        <v>0</v>
      </c>
      <c r="AD744">
        <v>444948402119</v>
      </c>
      <c r="AE744">
        <v>550758405.15999997</v>
      </c>
      <c r="AF744">
        <v>440141528913.28998</v>
      </c>
      <c r="AG744">
        <v>443288790266.91998</v>
      </c>
      <c r="AH744">
        <v>0.108935</v>
      </c>
      <c r="AI744">
        <v>2.9499000000000001E-2</v>
      </c>
    </row>
    <row r="745" spans="13:35" x14ac:dyDescent="0.35">
      <c r="M745" t="s">
        <v>0</v>
      </c>
      <c r="N745">
        <v>7500</v>
      </c>
      <c r="O745">
        <v>24</v>
      </c>
      <c r="P745">
        <v>4382</v>
      </c>
      <c r="Q745">
        <v>0</v>
      </c>
      <c r="R745">
        <v>113671175003</v>
      </c>
      <c r="S745">
        <v>99788664.599999994</v>
      </c>
      <c r="T745">
        <v>111151625459.63</v>
      </c>
      <c r="U745">
        <v>112684722214.00999</v>
      </c>
      <c r="V745">
        <v>0.22756399999999999</v>
      </c>
      <c r="W745">
        <v>8.9690000000000006E-2</v>
      </c>
      <c r="Y745" t="s">
        <v>1</v>
      </c>
      <c r="Z745">
        <v>7750</v>
      </c>
      <c r="AA745">
        <v>30</v>
      </c>
      <c r="AB745">
        <v>2492</v>
      </c>
      <c r="AC745">
        <v>0</v>
      </c>
      <c r="AD745">
        <v>58853884369</v>
      </c>
      <c r="AE745">
        <v>51486564.770000003</v>
      </c>
      <c r="AF745">
        <v>55184917974.400002</v>
      </c>
      <c r="AG745">
        <v>57509690135.25</v>
      </c>
      <c r="AH745">
        <v>0.53290700000000002</v>
      </c>
      <c r="AI745">
        <v>0.233955</v>
      </c>
    </row>
    <row r="746" spans="13:35" x14ac:dyDescent="0.35">
      <c r="M746" t="s">
        <v>0</v>
      </c>
      <c r="N746">
        <v>6750</v>
      </c>
      <c r="O746">
        <v>20</v>
      </c>
      <c r="P746">
        <v>24748</v>
      </c>
      <c r="Q746">
        <v>0</v>
      </c>
      <c r="R746">
        <v>722112478840</v>
      </c>
      <c r="S746">
        <v>712929816.62</v>
      </c>
      <c r="T746">
        <v>708350924623.93994</v>
      </c>
      <c r="U746">
        <v>718343573009.5</v>
      </c>
      <c r="V746">
        <v>0.19653699999999999</v>
      </c>
      <c r="W746">
        <v>4.9618000000000002E-2</v>
      </c>
      <c r="Y746" t="s">
        <v>0</v>
      </c>
      <c r="Z746">
        <v>7000</v>
      </c>
      <c r="AA746">
        <v>20</v>
      </c>
      <c r="AB746">
        <v>9435</v>
      </c>
      <c r="AC746">
        <v>0</v>
      </c>
      <c r="AD746">
        <v>239119034146</v>
      </c>
      <c r="AE746">
        <v>225141578.5</v>
      </c>
      <c r="AF746">
        <v>232452576032.73001</v>
      </c>
      <c r="AG746">
        <v>237172527824.81</v>
      </c>
      <c r="AH746">
        <v>0.27941100000000002</v>
      </c>
      <c r="AI746">
        <v>8.3045999999999995E-2</v>
      </c>
    </row>
    <row r="747" spans="13:35" x14ac:dyDescent="0.35">
      <c r="M747" t="s">
        <v>0</v>
      </c>
      <c r="N747">
        <v>6500</v>
      </c>
      <c r="O747">
        <v>20</v>
      </c>
      <c r="P747">
        <v>9102</v>
      </c>
      <c r="Q747">
        <v>0</v>
      </c>
      <c r="R747">
        <v>250022092720</v>
      </c>
      <c r="S747">
        <v>257311783.12</v>
      </c>
      <c r="T747">
        <v>246258641700.25</v>
      </c>
      <c r="U747">
        <v>249113021331.76999</v>
      </c>
      <c r="V747">
        <v>0.155889</v>
      </c>
      <c r="W747">
        <v>3.0837E-2</v>
      </c>
      <c r="Y747" t="s">
        <v>0</v>
      </c>
      <c r="Z747">
        <v>6750</v>
      </c>
      <c r="AA747">
        <v>20</v>
      </c>
      <c r="AB747">
        <v>25718</v>
      </c>
      <c r="AC747">
        <v>0</v>
      </c>
      <c r="AD747">
        <v>773607613383</v>
      </c>
      <c r="AE747">
        <v>763373710.11000001</v>
      </c>
      <c r="AF747">
        <v>752372055884.14001</v>
      </c>
      <c r="AG747">
        <v>768977297797.59998</v>
      </c>
      <c r="AH747">
        <v>0.27518300000000001</v>
      </c>
      <c r="AI747">
        <v>5.8361000000000003E-2</v>
      </c>
    </row>
    <row r="748" spans="13:35" x14ac:dyDescent="0.35">
      <c r="M748" t="s">
        <v>1</v>
      </c>
      <c r="N748">
        <v>6750</v>
      </c>
      <c r="O748">
        <v>20</v>
      </c>
      <c r="P748">
        <v>7229</v>
      </c>
      <c r="Q748">
        <v>0</v>
      </c>
      <c r="R748">
        <v>228278502998</v>
      </c>
      <c r="S748">
        <v>225948894.13999999</v>
      </c>
      <c r="T748">
        <v>219303815039.17001</v>
      </c>
      <c r="U748">
        <v>227443641774.39001</v>
      </c>
      <c r="V748">
        <v>0.37433699999999998</v>
      </c>
      <c r="W748">
        <v>3.1543000000000002E-2</v>
      </c>
      <c r="Y748" t="s">
        <v>1</v>
      </c>
      <c r="Z748">
        <v>7000</v>
      </c>
      <c r="AA748">
        <v>20</v>
      </c>
      <c r="AB748">
        <v>1360</v>
      </c>
      <c r="AC748">
        <v>0</v>
      </c>
      <c r="AD748">
        <v>38247450329</v>
      </c>
      <c r="AE748">
        <v>36145950.490000002</v>
      </c>
      <c r="AF748">
        <v>36636696336.400002</v>
      </c>
      <c r="AG748">
        <v>37867379753.540001</v>
      </c>
      <c r="AH748">
        <v>0.39618300000000001</v>
      </c>
      <c r="AI748">
        <v>0.102725</v>
      </c>
    </row>
    <row r="749" spans="13:35" x14ac:dyDescent="0.35">
      <c r="M749" t="s">
        <v>1</v>
      </c>
      <c r="N749">
        <v>6500</v>
      </c>
      <c r="O749">
        <v>20</v>
      </c>
      <c r="P749">
        <v>3044</v>
      </c>
      <c r="Q749">
        <v>0</v>
      </c>
      <c r="R749">
        <v>101652063254</v>
      </c>
      <c r="S749">
        <v>104802576.76000001</v>
      </c>
      <c r="T749">
        <v>98458298465.179993</v>
      </c>
      <c r="U749">
        <v>101214612297.33</v>
      </c>
      <c r="V749">
        <v>0.309477</v>
      </c>
      <c r="W749">
        <v>3.857E-2</v>
      </c>
      <c r="Y749" t="s">
        <v>2</v>
      </c>
      <c r="Z749">
        <v>7000</v>
      </c>
      <c r="AA749">
        <v>20</v>
      </c>
      <c r="AB749">
        <v>697</v>
      </c>
      <c r="AC749">
        <v>0</v>
      </c>
      <c r="AD749">
        <v>11919792602</v>
      </c>
      <c r="AE749">
        <v>11271043.92</v>
      </c>
      <c r="AF749">
        <v>11722747075.120001</v>
      </c>
      <c r="AG749">
        <v>11883397178.48</v>
      </c>
      <c r="AH749">
        <v>0.17179700000000001</v>
      </c>
      <c r="AI749">
        <v>2.5002E-2</v>
      </c>
    </row>
    <row r="750" spans="13:35" x14ac:dyDescent="0.35">
      <c r="M750" t="s">
        <v>2</v>
      </c>
      <c r="N750">
        <v>6500</v>
      </c>
      <c r="O750">
        <v>20</v>
      </c>
      <c r="P750">
        <v>851</v>
      </c>
      <c r="Q750">
        <v>0</v>
      </c>
      <c r="R750">
        <v>16247928155</v>
      </c>
      <c r="S750">
        <v>16764640.84</v>
      </c>
      <c r="T750">
        <v>16148251198.200001</v>
      </c>
      <c r="U750">
        <v>16231163514.16</v>
      </c>
      <c r="V750">
        <v>5.9546000000000002E-2</v>
      </c>
      <c r="W750">
        <v>0</v>
      </c>
      <c r="Y750" t="s">
        <v>0</v>
      </c>
      <c r="Z750">
        <v>7500</v>
      </c>
      <c r="AA750">
        <v>24</v>
      </c>
      <c r="AB750">
        <v>3891</v>
      </c>
      <c r="AC750">
        <v>0</v>
      </c>
      <c r="AD750">
        <v>100854934897</v>
      </c>
      <c r="AE750">
        <v>88378860.040000007</v>
      </c>
      <c r="AF750">
        <v>98598633999.149994</v>
      </c>
      <c r="AG750">
        <v>99765320948.839996</v>
      </c>
      <c r="AH750">
        <v>0.22953299999999999</v>
      </c>
      <c r="AI750">
        <v>0.11283600000000001</v>
      </c>
    </row>
    <row r="751" spans="13:35" x14ac:dyDescent="0.35">
      <c r="M751" t="s">
        <v>0</v>
      </c>
      <c r="N751">
        <v>7000</v>
      </c>
      <c r="O751">
        <v>20</v>
      </c>
      <c r="P751">
        <v>7681</v>
      </c>
      <c r="Q751">
        <v>0</v>
      </c>
      <c r="R751">
        <v>196643434018</v>
      </c>
      <c r="S751">
        <v>185444553.77000001</v>
      </c>
      <c r="T751">
        <v>192619315578.66</v>
      </c>
      <c r="U751">
        <v>195248722774.35001</v>
      </c>
      <c r="V751">
        <v>0.21066799999999999</v>
      </c>
      <c r="W751">
        <v>7.1348999999999996E-2</v>
      </c>
      <c r="Y751" t="s">
        <v>1</v>
      </c>
      <c r="Z751">
        <v>6750</v>
      </c>
      <c r="AA751">
        <v>20</v>
      </c>
      <c r="AB751">
        <v>8784</v>
      </c>
      <c r="AC751">
        <v>0</v>
      </c>
      <c r="AD751">
        <v>294527117750</v>
      </c>
      <c r="AE751">
        <v>291321083.10000002</v>
      </c>
      <c r="AF751">
        <v>280634865571.72998</v>
      </c>
      <c r="AG751">
        <v>293187958572.47998</v>
      </c>
      <c r="AH751">
        <v>0.43297400000000003</v>
      </c>
      <c r="AI751">
        <v>4.1867000000000001E-2</v>
      </c>
    </row>
    <row r="752" spans="13:35" x14ac:dyDescent="0.35">
      <c r="M752" t="s">
        <v>1</v>
      </c>
      <c r="N752">
        <v>5750</v>
      </c>
      <c r="O752">
        <v>30</v>
      </c>
      <c r="P752">
        <v>9127</v>
      </c>
      <c r="Q752">
        <v>0</v>
      </c>
      <c r="R752">
        <v>350832303536</v>
      </c>
      <c r="S752">
        <v>431330934.85000002</v>
      </c>
      <c r="T752">
        <v>344733327833.58002</v>
      </c>
      <c r="U752">
        <v>349351716530.45001</v>
      </c>
      <c r="V752">
        <v>0.17752799999999999</v>
      </c>
      <c r="W752">
        <v>3.5305000000000003E-2</v>
      </c>
      <c r="Y752" t="s">
        <v>0</v>
      </c>
      <c r="Z752">
        <v>6500</v>
      </c>
      <c r="AA752">
        <v>20</v>
      </c>
      <c r="AB752">
        <v>9984</v>
      </c>
      <c r="AC752">
        <v>0</v>
      </c>
      <c r="AD752">
        <v>291205844475</v>
      </c>
      <c r="AE752">
        <v>299850511.07999998</v>
      </c>
      <c r="AF752">
        <v>284927888261.89001</v>
      </c>
      <c r="AG752">
        <v>289924764258.94</v>
      </c>
      <c r="AH752">
        <v>0.22034899999999999</v>
      </c>
      <c r="AI752">
        <v>3.9692999999999999E-2</v>
      </c>
    </row>
    <row r="753" spans="13:35" x14ac:dyDescent="0.35">
      <c r="M753" t="s">
        <v>2</v>
      </c>
      <c r="N753">
        <v>5750</v>
      </c>
      <c r="O753">
        <v>30</v>
      </c>
      <c r="P753">
        <v>346</v>
      </c>
      <c r="Q753">
        <v>0</v>
      </c>
      <c r="R753">
        <v>7714369465</v>
      </c>
      <c r="S753">
        <v>9506363.3200000003</v>
      </c>
      <c r="T753">
        <v>7704863101.6800003</v>
      </c>
      <c r="U753">
        <v>7704863101.6800003</v>
      </c>
      <c r="V753">
        <v>0</v>
      </c>
      <c r="W753">
        <v>0</v>
      </c>
      <c r="Y753" t="s">
        <v>1</v>
      </c>
      <c r="Z753">
        <v>6500</v>
      </c>
      <c r="AA753">
        <v>20</v>
      </c>
      <c r="AB753">
        <v>4375</v>
      </c>
      <c r="AC753">
        <v>0</v>
      </c>
      <c r="AD753">
        <v>152364225483</v>
      </c>
      <c r="AE753">
        <v>157155404.27000001</v>
      </c>
      <c r="AF753">
        <v>145933836410.42001</v>
      </c>
      <c r="AG753">
        <v>151652632372.63</v>
      </c>
      <c r="AH753">
        <v>0.39621099999999998</v>
      </c>
      <c r="AI753">
        <v>4.2803000000000001E-2</v>
      </c>
    </row>
    <row r="754" spans="13:35" x14ac:dyDescent="0.35">
      <c r="M754" t="s">
        <v>0</v>
      </c>
      <c r="N754">
        <v>5250</v>
      </c>
      <c r="O754">
        <v>30</v>
      </c>
      <c r="P754">
        <v>3938</v>
      </c>
      <c r="Q754">
        <v>0</v>
      </c>
      <c r="R754">
        <v>133658770222</v>
      </c>
      <c r="S754">
        <v>179609764.31999999</v>
      </c>
      <c r="T754">
        <v>132887931520.78999</v>
      </c>
      <c r="U754">
        <v>133303687424.84</v>
      </c>
      <c r="V754">
        <v>5.1808E-2</v>
      </c>
      <c r="W754">
        <v>1.5640999999999999E-2</v>
      </c>
      <c r="Y754" t="s">
        <v>2</v>
      </c>
      <c r="Z754">
        <v>6500</v>
      </c>
      <c r="AA754">
        <v>20</v>
      </c>
      <c r="AB754">
        <v>768</v>
      </c>
      <c r="AC754">
        <v>0</v>
      </c>
      <c r="AD754">
        <v>14800973190</v>
      </c>
      <c r="AE754">
        <v>15253954.279999999</v>
      </c>
      <c r="AF754">
        <v>14646495072.139999</v>
      </c>
      <c r="AG754">
        <v>14785719235.719999</v>
      </c>
      <c r="AH754">
        <v>0.10721700000000001</v>
      </c>
      <c r="AI754">
        <v>0</v>
      </c>
    </row>
    <row r="755" spans="13:35" x14ac:dyDescent="0.35">
      <c r="M755" t="s">
        <v>1</v>
      </c>
      <c r="N755">
        <v>5250</v>
      </c>
      <c r="O755">
        <v>30</v>
      </c>
      <c r="P755">
        <v>2320</v>
      </c>
      <c r="Q755">
        <v>0</v>
      </c>
      <c r="R755">
        <v>88243116030</v>
      </c>
      <c r="S755">
        <v>118385364.98</v>
      </c>
      <c r="T755">
        <v>87454590350.440002</v>
      </c>
      <c r="U755">
        <v>87989640463.869995</v>
      </c>
      <c r="V755">
        <v>8.7418999999999997E-2</v>
      </c>
      <c r="W755">
        <v>1.8217000000000001E-2</v>
      </c>
      <c r="Y755" t="s">
        <v>0</v>
      </c>
      <c r="Z755">
        <v>6500</v>
      </c>
      <c r="AA755">
        <v>18</v>
      </c>
      <c r="AB755">
        <v>8469</v>
      </c>
      <c r="AC755">
        <v>0</v>
      </c>
      <c r="AD755">
        <v>221419610333</v>
      </c>
      <c r="AE755">
        <v>225303311.58000001</v>
      </c>
      <c r="AF755">
        <v>216888281162.67999</v>
      </c>
      <c r="AG755">
        <v>220002449651.04999</v>
      </c>
      <c r="AH755">
        <v>0.209957</v>
      </c>
      <c r="AI755">
        <v>6.2715000000000007E-2</v>
      </c>
    </row>
    <row r="756" spans="13:35" x14ac:dyDescent="0.35">
      <c r="M756" t="s">
        <v>0</v>
      </c>
      <c r="N756">
        <v>6000</v>
      </c>
      <c r="O756">
        <v>24</v>
      </c>
      <c r="P756">
        <v>17804</v>
      </c>
      <c r="Q756">
        <v>0</v>
      </c>
      <c r="R756">
        <v>557703060025</v>
      </c>
      <c r="S756">
        <v>641194263.38</v>
      </c>
      <c r="T756">
        <v>551883025937.5</v>
      </c>
      <c r="U756">
        <v>556217902559.05005</v>
      </c>
      <c r="V756">
        <v>0.10591399999999999</v>
      </c>
      <c r="W756">
        <v>1.8009000000000001E-2</v>
      </c>
      <c r="Y756" t="s">
        <v>1</v>
      </c>
      <c r="Z756">
        <v>5750</v>
      </c>
      <c r="AA756">
        <v>30</v>
      </c>
      <c r="AB756">
        <v>7703</v>
      </c>
      <c r="AC756">
        <v>0</v>
      </c>
      <c r="AD756">
        <v>295041509709</v>
      </c>
      <c r="AE756">
        <v>365343624.61000001</v>
      </c>
      <c r="AF756">
        <v>289237463177.73999</v>
      </c>
      <c r="AG756">
        <v>293971972655.08002</v>
      </c>
      <c r="AH756">
        <v>0.2001</v>
      </c>
      <c r="AI756">
        <v>2.8268000000000001E-2</v>
      </c>
    </row>
    <row r="757" spans="13:35" x14ac:dyDescent="0.35">
      <c r="M757" t="s">
        <v>0</v>
      </c>
      <c r="N757">
        <v>6250</v>
      </c>
      <c r="O757">
        <v>24</v>
      </c>
      <c r="P757">
        <v>34135</v>
      </c>
      <c r="Q757">
        <v>0</v>
      </c>
      <c r="R757">
        <v>1103977898815</v>
      </c>
      <c r="S757">
        <v>1215295497.71</v>
      </c>
      <c r="T757">
        <v>1089311359493.61</v>
      </c>
      <c r="U757">
        <v>1100102739013.8601</v>
      </c>
      <c r="V757">
        <v>0.13680100000000001</v>
      </c>
      <c r="W757">
        <v>2.8531999999999998E-2</v>
      </c>
      <c r="Y757" t="s">
        <v>2</v>
      </c>
      <c r="Z757">
        <v>5750</v>
      </c>
      <c r="AA757">
        <v>30</v>
      </c>
      <c r="AB757">
        <v>334</v>
      </c>
      <c r="AC757">
        <v>0</v>
      </c>
      <c r="AD757">
        <v>7123279035</v>
      </c>
      <c r="AE757">
        <v>8840038.3800000008</v>
      </c>
      <c r="AF757">
        <v>7030002264.2700005</v>
      </c>
      <c r="AG757">
        <v>7114438996.6199999</v>
      </c>
      <c r="AH757">
        <v>0.133327</v>
      </c>
      <c r="AI757">
        <v>0</v>
      </c>
    </row>
    <row r="758" spans="13:35" x14ac:dyDescent="0.35">
      <c r="M758" t="s">
        <v>1</v>
      </c>
      <c r="N758">
        <v>5250</v>
      </c>
      <c r="O758">
        <v>24</v>
      </c>
      <c r="P758">
        <v>1835</v>
      </c>
      <c r="Q758">
        <v>0</v>
      </c>
      <c r="R758">
        <v>70327398068</v>
      </c>
      <c r="S758">
        <v>92081651.799999997</v>
      </c>
      <c r="T758">
        <v>69558318654.990005</v>
      </c>
      <c r="U758">
        <v>70101883119.210007</v>
      </c>
      <c r="V758">
        <v>0.109593</v>
      </c>
      <c r="W758">
        <v>2.2532E-2</v>
      </c>
      <c r="Y758" t="s">
        <v>0</v>
      </c>
      <c r="Z758">
        <v>6000</v>
      </c>
      <c r="AA758">
        <v>24</v>
      </c>
      <c r="AB758">
        <v>19162</v>
      </c>
      <c r="AC758">
        <v>0</v>
      </c>
      <c r="AD758">
        <v>587888979208</v>
      </c>
      <c r="AE758">
        <v>675921406.25</v>
      </c>
      <c r="AF758">
        <v>581247329778.48999</v>
      </c>
      <c r="AG758">
        <v>586016946802.43005</v>
      </c>
      <c r="AH758">
        <v>0.115201</v>
      </c>
      <c r="AI758">
        <v>2.4143999999999999E-2</v>
      </c>
    </row>
    <row r="759" spans="13:35" x14ac:dyDescent="0.35">
      <c r="M759" t="s">
        <v>0</v>
      </c>
      <c r="N759">
        <v>5750</v>
      </c>
      <c r="O759">
        <v>24</v>
      </c>
      <c r="P759">
        <v>12039</v>
      </c>
      <c r="Q759">
        <v>0</v>
      </c>
      <c r="R759">
        <v>403369545998</v>
      </c>
      <c r="S759">
        <v>485280804.92000002</v>
      </c>
      <c r="T759">
        <v>399960473676.20001</v>
      </c>
      <c r="U759">
        <v>402029339861.53003</v>
      </c>
      <c r="V759">
        <v>8.3596000000000004E-2</v>
      </c>
      <c r="W759">
        <v>2.5139000000000002E-2</v>
      </c>
      <c r="Y759" t="s">
        <v>0</v>
      </c>
      <c r="Z759">
        <v>5250</v>
      </c>
      <c r="AA759">
        <v>24</v>
      </c>
      <c r="AB759">
        <v>4016</v>
      </c>
      <c r="AC759">
        <v>0</v>
      </c>
      <c r="AD759">
        <v>137547540838</v>
      </c>
      <c r="AE759">
        <v>180026752.05000001</v>
      </c>
      <c r="AF759">
        <v>136904278932.28999</v>
      </c>
      <c r="AG759">
        <v>137185680211.47</v>
      </c>
      <c r="AH759">
        <v>3.9674000000000001E-2</v>
      </c>
      <c r="AI759">
        <v>1.5748999999999999E-2</v>
      </c>
    </row>
    <row r="760" spans="13:35" x14ac:dyDescent="0.35">
      <c r="M760" t="s">
        <v>1</v>
      </c>
      <c r="N760">
        <v>6000</v>
      </c>
      <c r="O760">
        <v>24</v>
      </c>
      <c r="P760">
        <v>8952</v>
      </c>
      <c r="Q760">
        <v>0</v>
      </c>
      <c r="R760">
        <v>336193400374</v>
      </c>
      <c r="S760">
        <v>386490884.5</v>
      </c>
      <c r="T760">
        <v>326930203298.77002</v>
      </c>
      <c r="U760">
        <v>335064156939.77002</v>
      </c>
      <c r="V760">
        <v>0.27465000000000001</v>
      </c>
      <c r="W760">
        <v>2.6192E-2</v>
      </c>
      <c r="Y760" t="s">
        <v>1</v>
      </c>
      <c r="Z760">
        <v>5250</v>
      </c>
      <c r="AA760">
        <v>24</v>
      </c>
      <c r="AB760">
        <v>2278</v>
      </c>
      <c r="AC760">
        <v>0</v>
      </c>
      <c r="AD760">
        <v>87873831381</v>
      </c>
      <c r="AE760">
        <v>114978461.48</v>
      </c>
      <c r="AF760">
        <v>87236393343.789993</v>
      </c>
      <c r="AG760">
        <v>87666023225.399994</v>
      </c>
      <c r="AH760">
        <v>6.9058999999999995E-2</v>
      </c>
      <c r="AI760">
        <v>1.2603E-2</v>
      </c>
    </row>
    <row r="761" spans="13:35" x14ac:dyDescent="0.35">
      <c r="M761" t="s">
        <v>2</v>
      </c>
      <c r="N761">
        <v>6000</v>
      </c>
      <c r="O761">
        <v>24</v>
      </c>
      <c r="P761">
        <v>537</v>
      </c>
      <c r="Q761">
        <v>0</v>
      </c>
      <c r="R761">
        <v>11528335279</v>
      </c>
      <c r="S761">
        <v>13253175.34</v>
      </c>
      <c r="T761">
        <v>11487297676.01</v>
      </c>
      <c r="U761">
        <v>11515082103.66</v>
      </c>
      <c r="V761">
        <v>2.8541E-2</v>
      </c>
      <c r="W761">
        <v>0</v>
      </c>
      <c r="Y761" t="s">
        <v>0</v>
      </c>
      <c r="Z761">
        <v>5750</v>
      </c>
      <c r="AA761">
        <v>24</v>
      </c>
      <c r="AB761">
        <v>15095</v>
      </c>
      <c r="AC761">
        <v>0</v>
      </c>
      <c r="AD761">
        <v>507679631943</v>
      </c>
      <c r="AE761">
        <v>611014575.64999998</v>
      </c>
      <c r="AF761">
        <v>502945482805.35999</v>
      </c>
      <c r="AG761">
        <v>506123707480.26001</v>
      </c>
      <c r="AH761">
        <v>9.3220999999999998E-2</v>
      </c>
      <c r="AI761">
        <v>2.2107999999999999E-2</v>
      </c>
    </row>
    <row r="762" spans="13:35" x14ac:dyDescent="0.35">
      <c r="M762" t="s">
        <v>2</v>
      </c>
      <c r="N762">
        <v>6500</v>
      </c>
      <c r="O762">
        <v>24</v>
      </c>
      <c r="P762">
        <v>1481</v>
      </c>
      <c r="Q762">
        <v>0</v>
      </c>
      <c r="R762">
        <v>28367549776</v>
      </c>
      <c r="S762">
        <v>29837215.280000001</v>
      </c>
      <c r="T762">
        <v>28109654943.650002</v>
      </c>
      <c r="U762">
        <v>28337712560.720001</v>
      </c>
      <c r="V762">
        <v>9.2318999999999998E-2</v>
      </c>
      <c r="W762">
        <v>0</v>
      </c>
      <c r="Y762" t="s">
        <v>2</v>
      </c>
      <c r="Z762">
        <v>5750</v>
      </c>
      <c r="AA762">
        <v>24</v>
      </c>
      <c r="AB762">
        <v>389</v>
      </c>
      <c r="AC762">
        <v>0</v>
      </c>
      <c r="AD762">
        <v>8978032213</v>
      </c>
      <c r="AE762">
        <v>10827124.91</v>
      </c>
      <c r="AF762">
        <v>8898512365.1399994</v>
      </c>
      <c r="AG762">
        <v>8967205088.0900002</v>
      </c>
      <c r="AH762">
        <v>8.8048000000000001E-2</v>
      </c>
      <c r="AI762">
        <v>0</v>
      </c>
    </row>
    <row r="763" spans="13:35" x14ac:dyDescent="0.35">
      <c r="M763" t="s">
        <v>0</v>
      </c>
      <c r="N763">
        <v>7250</v>
      </c>
      <c r="O763">
        <v>24</v>
      </c>
      <c r="P763">
        <v>23595</v>
      </c>
      <c r="Q763">
        <v>0</v>
      </c>
      <c r="R763">
        <v>622091536560</v>
      </c>
      <c r="S763">
        <v>572066740.86000001</v>
      </c>
      <c r="T763">
        <v>603596749212.87</v>
      </c>
      <c r="U763">
        <v>616059296622.18005</v>
      </c>
      <c r="V763">
        <v>0.29587799999999997</v>
      </c>
      <c r="W763">
        <v>0.100387</v>
      </c>
      <c r="Y763" t="s">
        <v>0</v>
      </c>
      <c r="Z763">
        <v>6250</v>
      </c>
      <c r="AA763">
        <v>24</v>
      </c>
      <c r="AB763">
        <v>37136</v>
      </c>
      <c r="AC763">
        <v>0</v>
      </c>
      <c r="AD763">
        <v>1181261825782</v>
      </c>
      <c r="AE763">
        <v>1300821948.9100001</v>
      </c>
      <c r="AF763">
        <v>1160760674286.8799</v>
      </c>
      <c r="AG763">
        <v>1176632347406.02</v>
      </c>
      <c r="AH763">
        <v>0.17852299999999999</v>
      </c>
      <c r="AI763">
        <v>3.3294999999999998E-2</v>
      </c>
    </row>
    <row r="764" spans="13:35" x14ac:dyDescent="0.35">
      <c r="M764" t="s">
        <v>1</v>
      </c>
      <c r="N764">
        <v>7250</v>
      </c>
      <c r="O764">
        <v>24</v>
      </c>
      <c r="P764">
        <v>4777</v>
      </c>
      <c r="Q764">
        <v>0</v>
      </c>
      <c r="R764">
        <v>128595892493</v>
      </c>
      <c r="S764">
        <v>118719110.27</v>
      </c>
      <c r="T764">
        <v>122093960281</v>
      </c>
      <c r="U764">
        <v>126972023122.64999</v>
      </c>
      <c r="V764">
        <v>0.45716200000000001</v>
      </c>
      <c r="W764">
        <v>0.13175600000000001</v>
      </c>
      <c r="Y764" t="s">
        <v>1</v>
      </c>
      <c r="Z764">
        <v>6000</v>
      </c>
      <c r="AA764">
        <v>24</v>
      </c>
      <c r="AB764">
        <v>10027</v>
      </c>
      <c r="AC764">
        <v>0</v>
      </c>
      <c r="AD764">
        <v>367175631494</v>
      </c>
      <c r="AE764">
        <v>422491232.38999999</v>
      </c>
      <c r="AF764">
        <v>355404015211.27002</v>
      </c>
      <c r="AG764">
        <v>365979880171.53998</v>
      </c>
      <c r="AH764">
        <v>0.31392199999999998</v>
      </c>
      <c r="AI764">
        <v>2.4981E-2</v>
      </c>
    </row>
    <row r="765" spans="13:35" x14ac:dyDescent="0.35">
      <c r="M765" t="s">
        <v>2</v>
      </c>
      <c r="N765">
        <v>5750</v>
      </c>
      <c r="O765">
        <v>24</v>
      </c>
      <c r="P765">
        <v>328</v>
      </c>
      <c r="Q765">
        <v>0</v>
      </c>
      <c r="R765">
        <v>7434522390</v>
      </c>
      <c r="S765">
        <v>8956468.3800000008</v>
      </c>
      <c r="T765">
        <v>7392154373.54</v>
      </c>
      <c r="U765">
        <v>7425565921.6199999</v>
      </c>
      <c r="V765">
        <v>5.2616000000000003E-2</v>
      </c>
      <c r="W765">
        <v>0</v>
      </c>
      <c r="Y765" t="s">
        <v>2</v>
      </c>
      <c r="Z765">
        <v>6000</v>
      </c>
      <c r="AA765">
        <v>24</v>
      </c>
      <c r="AB765">
        <v>639</v>
      </c>
      <c r="AC765">
        <v>0</v>
      </c>
      <c r="AD765">
        <v>13447500629</v>
      </c>
      <c r="AE765">
        <v>15455650.23</v>
      </c>
      <c r="AF765">
        <v>13234540897.92</v>
      </c>
      <c r="AG765">
        <v>13297682079.5</v>
      </c>
      <c r="AH765">
        <v>0.16268199999999999</v>
      </c>
      <c r="AI765">
        <v>0.113526</v>
      </c>
    </row>
    <row r="766" spans="13:35" x14ac:dyDescent="0.35">
      <c r="M766" t="s">
        <v>1</v>
      </c>
      <c r="N766">
        <v>5750</v>
      </c>
      <c r="O766">
        <v>24</v>
      </c>
      <c r="P766">
        <v>7833</v>
      </c>
      <c r="Q766">
        <v>0</v>
      </c>
      <c r="R766">
        <v>307644569791</v>
      </c>
      <c r="S766">
        <v>370081931.52999997</v>
      </c>
      <c r="T766">
        <v>302214084062.23999</v>
      </c>
      <c r="U766">
        <v>306618871947.28998</v>
      </c>
      <c r="V766">
        <v>0.18047299999999999</v>
      </c>
      <c r="W766">
        <v>2.5274999999999999E-2</v>
      </c>
      <c r="Y766" t="s">
        <v>2</v>
      </c>
      <c r="Z766">
        <v>6500</v>
      </c>
      <c r="AA766">
        <v>24</v>
      </c>
      <c r="AB766">
        <v>1391</v>
      </c>
      <c r="AC766">
        <v>0</v>
      </c>
      <c r="AD766">
        <v>26148199766</v>
      </c>
      <c r="AE766">
        <v>27471270.960000001</v>
      </c>
      <c r="AF766">
        <v>25935953375.830002</v>
      </c>
      <c r="AG766">
        <v>26094050672.349998</v>
      </c>
      <c r="AH766">
        <v>8.1577999999999998E-2</v>
      </c>
      <c r="AI766">
        <v>1.2175E-2</v>
      </c>
    </row>
    <row r="767" spans="13:35" x14ac:dyDescent="0.35">
      <c r="M767" t="s">
        <v>2</v>
      </c>
      <c r="N767">
        <v>6250</v>
      </c>
      <c r="O767">
        <v>24</v>
      </c>
      <c r="P767">
        <v>1503</v>
      </c>
      <c r="Q767">
        <v>0</v>
      </c>
      <c r="R767">
        <v>30927612759</v>
      </c>
      <c r="S767">
        <v>34063593.289999999</v>
      </c>
      <c r="T767">
        <v>30686564616.150002</v>
      </c>
      <c r="U767">
        <v>30884896642.380001</v>
      </c>
      <c r="V767">
        <v>7.7419000000000002E-2</v>
      </c>
      <c r="W767">
        <v>3.3519999999999999E-3</v>
      </c>
      <c r="Y767" t="s">
        <v>1</v>
      </c>
      <c r="Z767">
        <v>7250</v>
      </c>
      <c r="AA767">
        <v>24</v>
      </c>
      <c r="AB767">
        <v>4152</v>
      </c>
      <c r="AC767">
        <v>0</v>
      </c>
      <c r="AD767">
        <v>113069890739</v>
      </c>
      <c r="AE767">
        <v>104181233.98999999</v>
      </c>
      <c r="AF767">
        <v>106470400624.19</v>
      </c>
      <c r="AG767">
        <v>111270832674.10001</v>
      </c>
      <c r="AH767">
        <v>0.50832299999999997</v>
      </c>
      <c r="AI767">
        <v>0.16576299999999999</v>
      </c>
    </row>
    <row r="768" spans="13:35" x14ac:dyDescent="0.35">
      <c r="M768" t="s">
        <v>1</v>
      </c>
      <c r="N768">
        <v>6250</v>
      </c>
      <c r="O768">
        <v>24</v>
      </c>
      <c r="P768">
        <v>18504</v>
      </c>
      <c r="Q768">
        <v>0</v>
      </c>
      <c r="R768">
        <v>689808548773</v>
      </c>
      <c r="S768">
        <v>759243035.03999996</v>
      </c>
      <c r="T768">
        <v>669274891519.39001</v>
      </c>
      <c r="U768">
        <v>687244060961.5</v>
      </c>
      <c r="V768">
        <v>0.29462500000000003</v>
      </c>
      <c r="W768">
        <v>3.0956000000000001E-2</v>
      </c>
      <c r="Y768" t="s">
        <v>1</v>
      </c>
      <c r="Z768">
        <v>5750</v>
      </c>
      <c r="AA768">
        <v>24</v>
      </c>
      <c r="AB768">
        <v>10428</v>
      </c>
      <c r="AC768">
        <v>0</v>
      </c>
      <c r="AD768">
        <v>406720164155</v>
      </c>
      <c r="AE768">
        <v>489453111.01999998</v>
      </c>
      <c r="AF768">
        <v>396135006861.5</v>
      </c>
      <c r="AG768">
        <v>404975345713.16998</v>
      </c>
      <c r="AH768">
        <v>0.26038499999999998</v>
      </c>
      <c r="AI768">
        <v>3.6415999999999997E-2</v>
      </c>
    </row>
    <row r="769" spans="13:35" x14ac:dyDescent="0.35">
      <c r="M769" t="s">
        <v>1</v>
      </c>
      <c r="N769">
        <v>6500</v>
      </c>
      <c r="O769">
        <v>24</v>
      </c>
      <c r="P769">
        <v>7109</v>
      </c>
      <c r="Q769">
        <v>0</v>
      </c>
      <c r="R769">
        <v>246634809069</v>
      </c>
      <c r="S769">
        <v>258779083.09999999</v>
      </c>
      <c r="T769">
        <v>237405545034.45999</v>
      </c>
      <c r="U769">
        <v>245674700313.19</v>
      </c>
      <c r="V769">
        <v>0.35891499999999998</v>
      </c>
      <c r="W769">
        <v>3.3593999999999999E-2</v>
      </c>
      <c r="Y769" t="s">
        <v>2</v>
      </c>
      <c r="Z769">
        <v>6250</v>
      </c>
      <c r="AA769">
        <v>24</v>
      </c>
      <c r="AB769">
        <v>1730</v>
      </c>
      <c r="AC769">
        <v>0</v>
      </c>
      <c r="AD769">
        <v>35274120701</v>
      </c>
      <c r="AE769">
        <v>38836929.170000002</v>
      </c>
      <c r="AF769">
        <v>34910615889.209999</v>
      </c>
      <c r="AG769">
        <v>35175716776.910004</v>
      </c>
      <c r="AH769">
        <v>0.10502599999999999</v>
      </c>
      <c r="AI769">
        <v>2.0077000000000001E-2</v>
      </c>
    </row>
    <row r="770" spans="13:35" x14ac:dyDescent="0.35">
      <c r="M770" t="s">
        <v>1</v>
      </c>
      <c r="N770">
        <v>8000</v>
      </c>
      <c r="O770">
        <v>30</v>
      </c>
      <c r="P770">
        <v>326</v>
      </c>
      <c r="Q770">
        <v>0</v>
      </c>
      <c r="R770">
        <v>7113113443</v>
      </c>
      <c r="S770">
        <v>5933976.8799999999</v>
      </c>
      <c r="T770">
        <v>6704169058.8500004</v>
      </c>
      <c r="U770">
        <v>6976326925.2399998</v>
      </c>
      <c r="V770">
        <v>0.50336899999999996</v>
      </c>
      <c r="W770">
        <v>0.19973099999999999</v>
      </c>
      <c r="Y770" t="s">
        <v>1</v>
      </c>
      <c r="Z770">
        <v>6250</v>
      </c>
      <c r="AA770">
        <v>24</v>
      </c>
      <c r="AB770">
        <v>19287</v>
      </c>
      <c r="AC770">
        <v>0</v>
      </c>
      <c r="AD770">
        <v>699686952497</v>
      </c>
      <c r="AE770">
        <v>770546858.34000003</v>
      </c>
      <c r="AF770">
        <v>672585763317.85999</v>
      </c>
      <c r="AG770">
        <v>696550561555.09998</v>
      </c>
      <c r="AH770">
        <v>0.36890600000000001</v>
      </c>
      <c r="AI770">
        <v>3.9829000000000003E-2</v>
      </c>
    </row>
    <row r="771" spans="13:35" x14ac:dyDescent="0.35">
      <c r="M771" t="s">
        <v>1</v>
      </c>
      <c r="N771">
        <v>7500</v>
      </c>
      <c r="O771">
        <v>24</v>
      </c>
      <c r="P771">
        <v>607</v>
      </c>
      <c r="Q771">
        <v>0</v>
      </c>
      <c r="R771">
        <v>15490215737</v>
      </c>
      <c r="S771">
        <v>13925464.119999999</v>
      </c>
      <c r="T771">
        <v>14610649342.93</v>
      </c>
      <c r="U771">
        <v>15033692945.610001</v>
      </c>
      <c r="V771">
        <v>0.49845600000000001</v>
      </c>
      <c r="W771">
        <v>0.29380699999999998</v>
      </c>
      <c r="Y771" t="s">
        <v>1</v>
      </c>
      <c r="Z771">
        <v>6500</v>
      </c>
      <c r="AA771">
        <v>24</v>
      </c>
      <c r="AB771">
        <v>5570</v>
      </c>
      <c r="AC771">
        <v>0</v>
      </c>
      <c r="AD771">
        <v>188141759753</v>
      </c>
      <c r="AE771">
        <v>197187180.80000001</v>
      </c>
      <c r="AF771">
        <v>180935132746.45999</v>
      </c>
      <c r="AG771">
        <v>187183880096.39001</v>
      </c>
      <c r="AH771">
        <v>0.36594199999999999</v>
      </c>
      <c r="AI771">
        <v>4.7454000000000003E-2</v>
      </c>
    </row>
    <row r="772" spans="13:35" x14ac:dyDescent="0.35">
      <c r="M772" t="s">
        <v>2</v>
      </c>
      <c r="N772">
        <v>7500</v>
      </c>
      <c r="O772">
        <v>24</v>
      </c>
      <c r="P772">
        <v>259</v>
      </c>
      <c r="Q772">
        <v>0</v>
      </c>
      <c r="R772">
        <v>3722985098</v>
      </c>
      <c r="S772">
        <v>3270540.34</v>
      </c>
      <c r="T772">
        <v>3530394199.9400001</v>
      </c>
      <c r="U772">
        <v>3633989286.4499998</v>
      </c>
      <c r="V772">
        <v>0.46542499999999998</v>
      </c>
      <c r="W772">
        <v>0.24387</v>
      </c>
      <c r="Y772" t="s">
        <v>0</v>
      </c>
      <c r="Z772">
        <v>7250</v>
      </c>
      <c r="AA772">
        <v>20</v>
      </c>
      <c r="AB772">
        <v>12745</v>
      </c>
      <c r="AC772">
        <v>0</v>
      </c>
      <c r="AD772">
        <v>336685239444</v>
      </c>
      <c r="AE772">
        <v>303408404.62</v>
      </c>
      <c r="AF772">
        <v>325785088242.54999</v>
      </c>
      <c r="AG772">
        <v>333422654780.31</v>
      </c>
      <c r="AH772">
        <v>0.31870199999999999</v>
      </c>
      <c r="AI772">
        <v>0.100518</v>
      </c>
    </row>
    <row r="773" spans="13:35" x14ac:dyDescent="0.35">
      <c r="M773" t="s">
        <v>2</v>
      </c>
      <c r="N773">
        <v>7000</v>
      </c>
      <c r="O773">
        <v>20</v>
      </c>
      <c r="P773">
        <v>509</v>
      </c>
      <c r="Q773">
        <v>0</v>
      </c>
      <c r="R773">
        <v>8382752982</v>
      </c>
      <c r="S773">
        <v>7920272.0899999999</v>
      </c>
      <c r="T773">
        <v>8272017662.4300003</v>
      </c>
      <c r="U773">
        <v>8342359856.3199997</v>
      </c>
      <c r="V773">
        <v>0.13764699999999999</v>
      </c>
      <c r="W773">
        <v>4.5508E-2</v>
      </c>
      <c r="Y773" t="s">
        <v>0</v>
      </c>
      <c r="Z773">
        <v>7500</v>
      </c>
      <c r="AA773">
        <v>20</v>
      </c>
      <c r="AB773">
        <v>2261</v>
      </c>
      <c r="AC773">
        <v>0</v>
      </c>
      <c r="AD773">
        <v>57703341751</v>
      </c>
      <c r="AE773">
        <v>49725921.030000001</v>
      </c>
      <c r="AF773">
        <v>56661574912.199997</v>
      </c>
      <c r="AG773">
        <v>57167029143.279999</v>
      </c>
      <c r="AH773">
        <v>0.18787300000000001</v>
      </c>
      <c r="AI773">
        <v>9.6627000000000005E-2</v>
      </c>
    </row>
    <row r="774" spans="13:35" x14ac:dyDescent="0.35">
      <c r="M774" t="s">
        <v>1</v>
      </c>
      <c r="N774">
        <v>7000</v>
      </c>
      <c r="O774">
        <v>20</v>
      </c>
      <c r="P774">
        <v>972</v>
      </c>
      <c r="Q774">
        <v>0</v>
      </c>
      <c r="R774">
        <v>26529146869</v>
      </c>
      <c r="S774">
        <v>25094331.760000002</v>
      </c>
      <c r="T774">
        <v>25395296965.130001</v>
      </c>
      <c r="U774">
        <v>26178826890.470001</v>
      </c>
      <c r="V774">
        <v>0.400889</v>
      </c>
      <c r="W774">
        <v>0.13758600000000001</v>
      </c>
      <c r="Y774" t="s">
        <v>1</v>
      </c>
      <c r="Z774">
        <v>5750</v>
      </c>
      <c r="AA774">
        <v>20</v>
      </c>
      <c r="AB774">
        <v>4244</v>
      </c>
      <c r="AC774">
        <v>0</v>
      </c>
      <c r="AD774">
        <v>171159977737</v>
      </c>
      <c r="AE774">
        <v>201602181.12</v>
      </c>
      <c r="AF774">
        <v>166694019124.35001</v>
      </c>
      <c r="AG774">
        <v>170213410932.48001</v>
      </c>
      <c r="AH774">
        <v>0.26122400000000001</v>
      </c>
      <c r="AI774">
        <v>5.0997000000000001E-2</v>
      </c>
    </row>
    <row r="775" spans="13:35" x14ac:dyDescent="0.35">
      <c r="M775" t="s">
        <v>0</v>
      </c>
      <c r="N775">
        <v>6500</v>
      </c>
      <c r="O775">
        <v>18</v>
      </c>
      <c r="P775">
        <v>7158</v>
      </c>
      <c r="Q775">
        <v>0</v>
      </c>
      <c r="R775">
        <v>182129790094</v>
      </c>
      <c r="S775">
        <v>185732938.78</v>
      </c>
      <c r="T775">
        <v>179447050665.17999</v>
      </c>
      <c r="U775">
        <v>181493895391.73999</v>
      </c>
      <c r="V775">
        <v>0.152665</v>
      </c>
      <c r="W775">
        <v>2.9260000000000001E-2</v>
      </c>
      <c r="Y775" t="s">
        <v>0</v>
      </c>
      <c r="Z775">
        <v>5750</v>
      </c>
      <c r="AA775">
        <v>20</v>
      </c>
      <c r="AB775">
        <v>5302</v>
      </c>
      <c r="AC775">
        <v>0</v>
      </c>
      <c r="AD775">
        <v>182166718334</v>
      </c>
      <c r="AE775">
        <v>214872179.80000001</v>
      </c>
      <c r="AF775">
        <v>180651501986.41</v>
      </c>
      <c r="AG775">
        <v>181482540095.82001</v>
      </c>
      <c r="AH775">
        <v>8.2374000000000003E-2</v>
      </c>
      <c r="AI775">
        <v>3.0481000000000001E-2</v>
      </c>
    </row>
    <row r="776" spans="13:35" x14ac:dyDescent="0.35">
      <c r="M776" t="s">
        <v>2</v>
      </c>
      <c r="N776">
        <v>6500</v>
      </c>
      <c r="O776">
        <v>18</v>
      </c>
      <c r="P776">
        <v>608</v>
      </c>
      <c r="Q776">
        <v>0</v>
      </c>
      <c r="R776">
        <v>10306119125</v>
      </c>
      <c r="S776">
        <v>10521234.300000001</v>
      </c>
      <c r="T776">
        <v>10273710372.620001</v>
      </c>
      <c r="U776">
        <v>10295597890.700001</v>
      </c>
      <c r="V776">
        <v>2.5189E-2</v>
      </c>
      <c r="W776">
        <v>0</v>
      </c>
      <c r="Y776" t="s">
        <v>0</v>
      </c>
      <c r="Z776">
        <v>6000</v>
      </c>
      <c r="AA776">
        <v>20</v>
      </c>
      <c r="AB776">
        <v>8787</v>
      </c>
      <c r="AC776">
        <v>0</v>
      </c>
      <c r="AD776">
        <v>288623004806</v>
      </c>
      <c r="AE776">
        <v>325650540.82999998</v>
      </c>
      <c r="AF776">
        <v>285627942210.29999</v>
      </c>
      <c r="AG776">
        <v>287646119735.46997</v>
      </c>
      <c r="AH776">
        <v>0.10551000000000001</v>
      </c>
      <c r="AI776">
        <v>2.6742999999999999E-2</v>
      </c>
    </row>
    <row r="777" spans="13:35" x14ac:dyDescent="0.35">
      <c r="M777" t="s">
        <v>1</v>
      </c>
      <c r="N777">
        <v>6500</v>
      </c>
      <c r="O777">
        <v>18</v>
      </c>
      <c r="P777">
        <v>1135</v>
      </c>
      <c r="Q777">
        <v>0</v>
      </c>
      <c r="R777">
        <v>32201214895</v>
      </c>
      <c r="S777">
        <v>32954282.219999999</v>
      </c>
      <c r="T777">
        <v>31502862630.529999</v>
      </c>
      <c r="U777">
        <v>32128803075.889999</v>
      </c>
      <c r="V777">
        <v>0.221637</v>
      </c>
      <c r="W777">
        <v>1.4605E-2</v>
      </c>
      <c r="Y777" t="s">
        <v>2</v>
      </c>
      <c r="Z777">
        <v>6000</v>
      </c>
      <c r="AA777">
        <v>20</v>
      </c>
      <c r="AB777">
        <v>273</v>
      </c>
      <c r="AC777">
        <v>0</v>
      </c>
      <c r="AD777">
        <v>6031360482</v>
      </c>
      <c r="AE777">
        <v>6804671.2699999996</v>
      </c>
      <c r="AF777">
        <v>6000232733.6800003</v>
      </c>
      <c r="AG777">
        <v>6024555810.7299995</v>
      </c>
      <c r="AH777">
        <v>4.7334000000000001E-2</v>
      </c>
      <c r="AI777">
        <v>0</v>
      </c>
    </row>
    <row r="778" spans="13:35" x14ac:dyDescent="0.35">
      <c r="M778" t="s">
        <v>0</v>
      </c>
      <c r="N778">
        <v>7000</v>
      </c>
      <c r="O778">
        <v>18</v>
      </c>
      <c r="P778">
        <v>3347</v>
      </c>
      <c r="Q778">
        <v>0</v>
      </c>
      <c r="R778">
        <v>85530623531</v>
      </c>
      <c r="S778">
        <v>79778980.189999998</v>
      </c>
      <c r="T778">
        <v>83965051233.369995</v>
      </c>
      <c r="U778">
        <v>84962215560.529999</v>
      </c>
      <c r="V778">
        <v>0.18965000000000001</v>
      </c>
      <c r="W778">
        <v>6.6441E-2</v>
      </c>
      <c r="Y778" t="s">
        <v>2</v>
      </c>
      <c r="Z778">
        <v>7000</v>
      </c>
      <c r="AA778">
        <v>24</v>
      </c>
      <c r="AB778">
        <v>814</v>
      </c>
      <c r="AC778">
        <v>0</v>
      </c>
      <c r="AD778">
        <v>13568374900</v>
      </c>
      <c r="AE778">
        <v>13028883.289999999</v>
      </c>
      <c r="AF778">
        <v>13308819836.1</v>
      </c>
      <c r="AG778">
        <v>13509730765.950001</v>
      </c>
      <c r="AH778">
        <v>0.19750899999999999</v>
      </c>
      <c r="AI778">
        <v>3.9605000000000001E-2</v>
      </c>
    </row>
    <row r="779" spans="13:35" x14ac:dyDescent="0.35">
      <c r="M779" t="s">
        <v>2</v>
      </c>
      <c r="N779">
        <v>7000</v>
      </c>
      <c r="O779">
        <v>18</v>
      </c>
      <c r="P779">
        <v>156</v>
      </c>
      <c r="Q779">
        <v>0</v>
      </c>
      <c r="R779">
        <v>2254404852</v>
      </c>
      <c r="S779">
        <v>2101331.5</v>
      </c>
      <c r="T779">
        <v>2231256649.3299999</v>
      </c>
      <c r="U779">
        <v>2240396961.2800002</v>
      </c>
      <c r="V779">
        <v>0.10645300000000001</v>
      </c>
      <c r="W779">
        <v>6.1568999999999999E-2</v>
      </c>
      <c r="Y779" t="s">
        <v>1</v>
      </c>
      <c r="Z779">
        <v>7500</v>
      </c>
      <c r="AA779">
        <v>24</v>
      </c>
      <c r="AB779">
        <v>524</v>
      </c>
      <c r="AC779">
        <v>0</v>
      </c>
      <c r="AD779">
        <v>13484732514</v>
      </c>
      <c r="AE779">
        <v>12125021.85</v>
      </c>
      <c r="AF779">
        <v>12708546685.030001</v>
      </c>
      <c r="AG779">
        <v>13093655397.74</v>
      </c>
      <c r="AH779">
        <v>0.50339299999999998</v>
      </c>
      <c r="AI779">
        <v>0.28969200000000001</v>
      </c>
    </row>
    <row r="780" spans="13:35" x14ac:dyDescent="0.35">
      <c r="M780" t="s">
        <v>0</v>
      </c>
      <c r="N780">
        <v>7750</v>
      </c>
      <c r="O780">
        <v>24</v>
      </c>
      <c r="P780">
        <v>6586</v>
      </c>
      <c r="Q780">
        <v>0</v>
      </c>
      <c r="R780">
        <v>169161949782</v>
      </c>
      <c r="S780">
        <v>141873956.84</v>
      </c>
      <c r="T780">
        <v>164497821363.29999</v>
      </c>
      <c r="U780">
        <v>167684265842.07001</v>
      </c>
      <c r="V780">
        <v>0.27759200000000001</v>
      </c>
      <c r="W780">
        <v>9.0749999999999997E-2</v>
      </c>
      <c r="Y780" t="s">
        <v>2</v>
      </c>
      <c r="Z780">
        <v>7500</v>
      </c>
      <c r="AA780">
        <v>24</v>
      </c>
      <c r="AB780">
        <v>195</v>
      </c>
      <c r="AC780">
        <v>0</v>
      </c>
      <c r="AD780">
        <v>2780989060</v>
      </c>
      <c r="AE780">
        <v>2433285.9300000002</v>
      </c>
      <c r="AF780">
        <v>2715811466.5500002</v>
      </c>
      <c r="AG780">
        <v>2760698415.4499998</v>
      </c>
      <c r="AH780">
        <v>0.23954900000000001</v>
      </c>
      <c r="AI780">
        <v>7.4390999999999999E-2</v>
      </c>
    </row>
    <row r="781" spans="13:35" x14ac:dyDescent="0.35">
      <c r="M781" t="s">
        <v>2</v>
      </c>
      <c r="N781">
        <v>7250</v>
      </c>
      <c r="O781">
        <v>24</v>
      </c>
      <c r="P781">
        <v>1664</v>
      </c>
      <c r="Q781">
        <v>0</v>
      </c>
      <c r="R781">
        <v>25717342470</v>
      </c>
      <c r="S781">
        <v>23706442.23</v>
      </c>
      <c r="T781">
        <v>25269555860.470001</v>
      </c>
      <c r="U781">
        <v>25556067413.43</v>
      </c>
      <c r="V781">
        <v>0.18088499999999999</v>
      </c>
      <c r="W781">
        <v>6.2336000000000003E-2</v>
      </c>
      <c r="Y781" t="s">
        <v>1</v>
      </c>
      <c r="Z781">
        <v>6500</v>
      </c>
      <c r="AA781">
        <v>18</v>
      </c>
      <c r="AB781">
        <v>1987</v>
      </c>
      <c r="AC781">
        <v>0</v>
      </c>
      <c r="AD781">
        <v>62683201880</v>
      </c>
      <c r="AE781">
        <v>63975807.490000002</v>
      </c>
      <c r="AF781">
        <v>60147798714.830002</v>
      </c>
      <c r="AG781">
        <v>62272099248.440002</v>
      </c>
      <c r="AH781">
        <v>0.38288899999999998</v>
      </c>
      <c r="AI781">
        <v>6.4465999999999996E-2</v>
      </c>
    </row>
    <row r="782" spans="13:35" x14ac:dyDescent="0.35">
      <c r="M782" t="s">
        <v>0</v>
      </c>
      <c r="N782">
        <v>8000</v>
      </c>
      <c r="O782">
        <v>24</v>
      </c>
      <c r="P782">
        <v>714</v>
      </c>
      <c r="Q782">
        <v>0</v>
      </c>
      <c r="R782">
        <v>18096342860</v>
      </c>
      <c r="S782">
        <v>14535602.359999999</v>
      </c>
      <c r="T782">
        <v>17682414802.32</v>
      </c>
      <c r="U782">
        <v>17913263620.610001</v>
      </c>
      <c r="V782">
        <v>0.23494699999999999</v>
      </c>
      <c r="W782">
        <v>0.106213</v>
      </c>
      <c r="Y782" t="s">
        <v>2</v>
      </c>
      <c r="Z782">
        <v>6500</v>
      </c>
      <c r="AA782">
        <v>18</v>
      </c>
      <c r="AB782">
        <v>762</v>
      </c>
      <c r="AC782">
        <v>0</v>
      </c>
      <c r="AD782">
        <v>14045133854</v>
      </c>
      <c r="AE782">
        <v>14323948.9</v>
      </c>
      <c r="AF782">
        <v>13952942572.82</v>
      </c>
      <c r="AG782">
        <v>14017186823.57</v>
      </c>
      <c r="AH782">
        <v>6.4536999999999997E-2</v>
      </c>
      <c r="AI782">
        <v>1.1578E-2</v>
      </c>
    </row>
    <row r="783" spans="13:35" x14ac:dyDescent="0.35">
      <c r="M783" t="s">
        <v>1</v>
      </c>
      <c r="N783">
        <v>8000</v>
      </c>
      <c r="O783">
        <v>24</v>
      </c>
      <c r="P783">
        <v>214</v>
      </c>
      <c r="Q783">
        <v>0</v>
      </c>
      <c r="R783">
        <v>4925448941</v>
      </c>
      <c r="S783">
        <v>3938304.54</v>
      </c>
      <c r="T783">
        <v>4622816816.9399996</v>
      </c>
      <c r="U783">
        <v>4829797902.8599997</v>
      </c>
      <c r="V783">
        <v>0.52797099999999997</v>
      </c>
      <c r="W783">
        <v>0.20192199999999999</v>
      </c>
      <c r="Y783" t="s">
        <v>0</v>
      </c>
      <c r="Z783">
        <v>7000</v>
      </c>
      <c r="AA783">
        <v>18</v>
      </c>
      <c r="AB783">
        <v>5436</v>
      </c>
      <c r="AC783">
        <v>0</v>
      </c>
      <c r="AD783">
        <v>138665729647</v>
      </c>
      <c r="AE783">
        <v>129276958.59</v>
      </c>
      <c r="AF783">
        <v>135870693039.16</v>
      </c>
      <c r="AG783">
        <v>137728817221.45999</v>
      </c>
      <c r="AH783">
        <v>0.20779800000000001</v>
      </c>
      <c r="AI783">
        <v>6.7696000000000006E-2</v>
      </c>
    </row>
    <row r="784" spans="13:35" x14ac:dyDescent="0.35">
      <c r="M784" t="s">
        <v>1</v>
      </c>
      <c r="N784">
        <v>5750</v>
      </c>
      <c r="O784">
        <v>20</v>
      </c>
      <c r="P784">
        <v>10565</v>
      </c>
      <c r="Q784">
        <v>0</v>
      </c>
      <c r="R784">
        <v>428648778177</v>
      </c>
      <c r="S784">
        <v>505007502.02999997</v>
      </c>
      <c r="T784">
        <v>422140005897.46997</v>
      </c>
      <c r="U784">
        <v>427195447929.98999</v>
      </c>
      <c r="V784">
        <v>0.15571299999999999</v>
      </c>
      <c r="W784">
        <v>2.6228000000000001E-2</v>
      </c>
      <c r="Y784" t="s">
        <v>1</v>
      </c>
      <c r="Z784">
        <v>7000</v>
      </c>
      <c r="AA784">
        <v>18</v>
      </c>
      <c r="AB784">
        <v>603</v>
      </c>
      <c r="AC784">
        <v>0</v>
      </c>
      <c r="AD784">
        <v>16717688918</v>
      </c>
      <c r="AE784">
        <v>15597111.119999999</v>
      </c>
      <c r="AF784">
        <v>15518669512.709999</v>
      </c>
      <c r="AG784">
        <v>16479027972.17</v>
      </c>
      <c r="AH784">
        <v>0.58564300000000002</v>
      </c>
      <c r="AI784">
        <v>0.14887300000000001</v>
      </c>
    </row>
    <row r="785" spans="13:35" x14ac:dyDescent="0.35">
      <c r="M785" t="s">
        <v>2</v>
      </c>
      <c r="N785">
        <v>5750</v>
      </c>
      <c r="O785">
        <v>20</v>
      </c>
      <c r="P785">
        <v>262</v>
      </c>
      <c r="Q785">
        <v>0</v>
      </c>
      <c r="R785">
        <v>5826579148</v>
      </c>
      <c r="S785">
        <v>6867916.3799999999</v>
      </c>
      <c r="T785">
        <v>5745555569.8000002</v>
      </c>
      <c r="U785">
        <v>5819711231.6199999</v>
      </c>
      <c r="V785">
        <v>0.14247599999999999</v>
      </c>
      <c r="W785">
        <v>0</v>
      </c>
      <c r="Y785" t="s">
        <v>2</v>
      </c>
      <c r="Z785">
        <v>7000</v>
      </c>
      <c r="AA785">
        <v>18</v>
      </c>
      <c r="AB785">
        <v>340</v>
      </c>
      <c r="AC785">
        <v>0</v>
      </c>
      <c r="AD785">
        <v>5306909820</v>
      </c>
      <c r="AE785">
        <v>4952480.17</v>
      </c>
      <c r="AF785">
        <v>5225585299.0500002</v>
      </c>
      <c r="AG785">
        <v>5266888213.0100002</v>
      </c>
      <c r="AH785">
        <v>0.159659</v>
      </c>
      <c r="AI785">
        <v>7.6479000000000005E-2</v>
      </c>
    </row>
    <row r="786" spans="13:35" x14ac:dyDescent="0.35">
      <c r="M786" t="s">
        <v>0</v>
      </c>
      <c r="N786">
        <v>5750</v>
      </c>
      <c r="O786">
        <v>20</v>
      </c>
      <c r="P786">
        <v>9560</v>
      </c>
      <c r="Q786">
        <v>0</v>
      </c>
      <c r="R786">
        <v>337790280346</v>
      </c>
      <c r="S786">
        <v>398060460.49000001</v>
      </c>
      <c r="T786">
        <v>335578644037.79999</v>
      </c>
      <c r="U786">
        <v>336874979533.77002</v>
      </c>
      <c r="V786">
        <v>6.2558000000000002E-2</v>
      </c>
      <c r="W786">
        <v>1.8221000000000001E-2</v>
      </c>
      <c r="Y786" t="s">
        <v>0</v>
      </c>
      <c r="Z786">
        <v>6500</v>
      </c>
      <c r="AA786">
        <v>16</v>
      </c>
      <c r="AB786">
        <v>7402</v>
      </c>
      <c r="AC786">
        <v>0</v>
      </c>
      <c r="AD786">
        <v>194994445144</v>
      </c>
      <c r="AE786">
        <v>196182192.86000001</v>
      </c>
      <c r="AF786">
        <v>191360366246.44</v>
      </c>
      <c r="AG786">
        <v>194261251397.04999</v>
      </c>
      <c r="AH786">
        <v>0.19221199999999999</v>
      </c>
      <c r="AI786">
        <v>3.2551999999999998E-2</v>
      </c>
    </row>
    <row r="787" spans="13:35" x14ac:dyDescent="0.35">
      <c r="M787" t="s">
        <v>2</v>
      </c>
      <c r="N787">
        <v>6000</v>
      </c>
      <c r="O787">
        <v>20</v>
      </c>
      <c r="P787">
        <v>367</v>
      </c>
      <c r="Q787">
        <v>0</v>
      </c>
      <c r="R787">
        <v>7810214615</v>
      </c>
      <c r="S787">
        <v>8810736.0099999998</v>
      </c>
      <c r="T787">
        <v>7759026123.7799997</v>
      </c>
      <c r="U787">
        <v>7777014580.0699997</v>
      </c>
      <c r="V787">
        <v>6.3202999999999995E-2</v>
      </c>
      <c r="W787">
        <v>3.6836000000000001E-2</v>
      </c>
      <c r="Y787" t="s">
        <v>1</v>
      </c>
      <c r="Z787">
        <v>6500</v>
      </c>
      <c r="AA787">
        <v>16</v>
      </c>
      <c r="AB787">
        <v>1311</v>
      </c>
      <c r="AC787">
        <v>0</v>
      </c>
      <c r="AD787">
        <v>40377961477</v>
      </c>
      <c r="AE787">
        <v>40660525.130000003</v>
      </c>
      <c r="AF787">
        <v>38787572894.660004</v>
      </c>
      <c r="AG787">
        <v>40237002385.459999</v>
      </c>
      <c r="AH787">
        <v>0.37477100000000002</v>
      </c>
      <c r="AI787">
        <v>2.9404E-2</v>
      </c>
    </row>
    <row r="788" spans="13:35" x14ac:dyDescent="0.35">
      <c r="M788" t="s">
        <v>0</v>
      </c>
      <c r="N788">
        <v>6000</v>
      </c>
      <c r="O788">
        <v>20</v>
      </c>
      <c r="P788">
        <v>9219</v>
      </c>
      <c r="Q788">
        <v>0</v>
      </c>
      <c r="R788">
        <v>295220814176</v>
      </c>
      <c r="S788">
        <v>332998204.61000001</v>
      </c>
      <c r="T788">
        <v>292293594880.09003</v>
      </c>
      <c r="U788">
        <v>294394802762.40997</v>
      </c>
      <c r="V788">
        <v>0.100499</v>
      </c>
      <c r="W788">
        <v>1.9857E-2</v>
      </c>
      <c r="Y788" t="s">
        <v>2</v>
      </c>
      <c r="Z788">
        <v>6500</v>
      </c>
      <c r="AA788">
        <v>16</v>
      </c>
      <c r="AB788">
        <v>660</v>
      </c>
      <c r="AC788">
        <v>0</v>
      </c>
      <c r="AD788">
        <v>11732778560</v>
      </c>
      <c r="AE788">
        <v>11822934.42</v>
      </c>
      <c r="AF788">
        <v>11691620199.43</v>
      </c>
      <c r="AG788">
        <v>11720955625.58</v>
      </c>
      <c r="AH788">
        <v>2.9593999999999999E-2</v>
      </c>
      <c r="AI788">
        <v>0</v>
      </c>
    </row>
    <row r="789" spans="13:35" x14ac:dyDescent="0.35">
      <c r="M789" t="s">
        <v>0</v>
      </c>
      <c r="N789">
        <v>6250</v>
      </c>
      <c r="O789">
        <v>20</v>
      </c>
      <c r="P789">
        <v>23188</v>
      </c>
      <c r="Q789">
        <v>0</v>
      </c>
      <c r="R789">
        <v>774252857677</v>
      </c>
      <c r="S789">
        <v>835462275.26999998</v>
      </c>
      <c r="T789">
        <v>763750782803.90002</v>
      </c>
      <c r="U789">
        <v>771597788344.66003</v>
      </c>
      <c r="V789">
        <v>0.13994899999999999</v>
      </c>
      <c r="W789">
        <v>2.784E-2</v>
      </c>
      <c r="Y789" t="s">
        <v>2</v>
      </c>
      <c r="Z789">
        <v>7250</v>
      </c>
      <c r="AA789">
        <v>24</v>
      </c>
      <c r="AB789">
        <v>1422</v>
      </c>
      <c r="AC789">
        <v>0</v>
      </c>
      <c r="AD789">
        <v>21904877421</v>
      </c>
      <c r="AE789">
        <v>20167755.899999999</v>
      </c>
      <c r="AF789">
        <v>21630900022.540001</v>
      </c>
      <c r="AG789">
        <v>21832312570.73</v>
      </c>
      <c r="AH789">
        <v>0.13051499999999999</v>
      </c>
      <c r="AI789">
        <v>2.8330000000000001E-2</v>
      </c>
    </row>
    <row r="790" spans="13:35" x14ac:dyDescent="0.35">
      <c r="M790" t="s">
        <v>2</v>
      </c>
      <c r="N790">
        <v>6250</v>
      </c>
      <c r="O790">
        <v>20</v>
      </c>
      <c r="P790">
        <v>812</v>
      </c>
      <c r="Q790">
        <v>0</v>
      </c>
      <c r="R790">
        <v>16857491804</v>
      </c>
      <c r="S790">
        <v>18186731.82</v>
      </c>
      <c r="T790">
        <v>16691003469.530001</v>
      </c>
      <c r="U790">
        <v>16822267683.530001</v>
      </c>
      <c r="V790">
        <v>0.100607</v>
      </c>
      <c r="W790">
        <v>1.2061000000000001E-2</v>
      </c>
      <c r="Y790" t="s">
        <v>0</v>
      </c>
      <c r="Z790">
        <v>6750</v>
      </c>
      <c r="AA790">
        <v>18</v>
      </c>
      <c r="AB790">
        <v>19775</v>
      </c>
      <c r="AC790">
        <v>0</v>
      </c>
      <c r="AD790">
        <v>558419747548</v>
      </c>
      <c r="AE790">
        <v>545124854.90999997</v>
      </c>
      <c r="AF790">
        <v>543941576424.67999</v>
      </c>
      <c r="AG790">
        <v>554280056971.20996</v>
      </c>
      <c r="AH790">
        <v>0.26155499999999998</v>
      </c>
      <c r="AI790">
        <v>7.4566999999999994E-2</v>
      </c>
    </row>
    <row r="791" spans="13:35" x14ac:dyDescent="0.35">
      <c r="M791" t="s">
        <v>0</v>
      </c>
      <c r="N791">
        <v>7250</v>
      </c>
      <c r="O791">
        <v>20</v>
      </c>
      <c r="P791">
        <v>10454</v>
      </c>
      <c r="Q791">
        <v>0</v>
      </c>
      <c r="R791">
        <v>269438531456</v>
      </c>
      <c r="S791">
        <v>242873546.72999999</v>
      </c>
      <c r="T791">
        <v>261337958343.67001</v>
      </c>
      <c r="U791">
        <v>266624914025.57001</v>
      </c>
      <c r="V791">
        <v>0.29894100000000001</v>
      </c>
      <c r="W791">
        <v>0.108672</v>
      </c>
      <c r="Y791" t="s">
        <v>0</v>
      </c>
      <c r="Z791">
        <v>7750</v>
      </c>
      <c r="AA791">
        <v>24</v>
      </c>
      <c r="AB791">
        <v>6064</v>
      </c>
      <c r="AC791">
        <v>0</v>
      </c>
      <c r="AD791">
        <v>154481017982</v>
      </c>
      <c r="AE791">
        <v>129371042.63</v>
      </c>
      <c r="AF791">
        <v>149854107970.51999</v>
      </c>
      <c r="AG791">
        <v>152240209608.26999</v>
      </c>
      <c r="AH791">
        <v>0.29851299999999997</v>
      </c>
      <c r="AI791">
        <v>0.15223</v>
      </c>
    </row>
    <row r="792" spans="13:35" x14ac:dyDescent="0.35">
      <c r="M792" t="s">
        <v>0</v>
      </c>
      <c r="N792">
        <v>7500</v>
      </c>
      <c r="O792">
        <v>20</v>
      </c>
      <c r="P792">
        <v>1906</v>
      </c>
      <c r="Q792">
        <v>0</v>
      </c>
      <c r="R792">
        <v>48991086778</v>
      </c>
      <c r="S792">
        <v>42241202.850000001</v>
      </c>
      <c r="T792">
        <v>47885670676.110001</v>
      </c>
      <c r="U792">
        <v>48491185895.790001</v>
      </c>
      <c r="V792">
        <v>0.23147599999999999</v>
      </c>
      <c r="W792">
        <v>0.106516</v>
      </c>
      <c r="Y792" t="s">
        <v>0</v>
      </c>
      <c r="Z792">
        <v>8000</v>
      </c>
      <c r="AA792">
        <v>24</v>
      </c>
      <c r="AB792">
        <v>677</v>
      </c>
      <c r="AC792">
        <v>0</v>
      </c>
      <c r="AD792">
        <v>17168402894</v>
      </c>
      <c r="AE792">
        <v>13767889.24</v>
      </c>
      <c r="AF792">
        <v>16601537671.389999</v>
      </c>
      <c r="AG792">
        <v>16976512146.809999</v>
      </c>
      <c r="AH792">
        <v>0.32494200000000001</v>
      </c>
      <c r="AI792">
        <v>0.117636</v>
      </c>
    </row>
    <row r="793" spans="13:35" x14ac:dyDescent="0.35">
      <c r="M793" t="s">
        <v>1</v>
      </c>
      <c r="N793">
        <v>5250</v>
      </c>
      <c r="O793">
        <v>20</v>
      </c>
      <c r="P793">
        <v>2345</v>
      </c>
      <c r="Q793">
        <v>0</v>
      </c>
      <c r="R793">
        <v>99721796851</v>
      </c>
      <c r="S793">
        <v>127962931.53</v>
      </c>
      <c r="T793">
        <v>98669700819.710007</v>
      </c>
      <c r="U793">
        <v>99422939712.169998</v>
      </c>
      <c r="V793">
        <v>0.105709</v>
      </c>
      <c r="W793">
        <v>2.0372000000000001E-2</v>
      </c>
      <c r="Y793" t="s">
        <v>1</v>
      </c>
      <c r="Z793">
        <v>7250</v>
      </c>
      <c r="AA793">
        <v>20</v>
      </c>
      <c r="AB793">
        <v>2705</v>
      </c>
      <c r="AC793">
        <v>0</v>
      </c>
      <c r="AD793">
        <v>72253949961</v>
      </c>
      <c r="AE793">
        <v>65407793.439999998</v>
      </c>
      <c r="AF793">
        <v>67661140018.050003</v>
      </c>
      <c r="AG793">
        <v>71442073482.779999</v>
      </c>
      <c r="AH793">
        <v>0.53998900000000005</v>
      </c>
      <c r="AI793">
        <v>0.11716699999999999</v>
      </c>
    </row>
    <row r="794" spans="13:35" x14ac:dyDescent="0.35">
      <c r="M794" t="s">
        <v>1</v>
      </c>
      <c r="N794">
        <v>6000</v>
      </c>
      <c r="O794">
        <v>20</v>
      </c>
      <c r="P794">
        <v>6361</v>
      </c>
      <c r="Q794">
        <v>0</v>
      </c>
      <c r="R794">
        <v>242190622173</v>
      </c>
      <c r="S794">
        <v>273257843.41000003</v>
      </c>
      <c r="T794">
        <v>236168157833.72</v>
      </c>
      <c r="U794">
        <v>241234528044.37</v>
      </c>
      <c r="V794">
        <v>0.25046000000000002</v>
      </c>
      <c r="W794">
        <v>3.3313000000000002E-2</v>
      </c>
      <c r="Y794" t="s">
        <v>0</v>
      </c>
      <c r="Z794">
        <v>7750</v>
      </c>
      <c r="AA794">
        <v>20</v>
      </c>
      <c r="AB794">
        <v>3375</v>
      </c>
      <c r="AC794">
        <v>0</v>
      </c>
      <c r="AD794">
        <v>87592427062</v>
      </c>
      <c r="AE794">
        <v>71972465.609999999</v>
      </c>
      <c r="AF794">
        <v>84584503162.009995</v>
      </c>
      <c r="AG794">
        <v>86149743785.470001</v>
      </c>
      <c r="AH794">
        <v>0.335762</v>
      </c>
      <c r="AI794">
        <v>0.17243700000000001</v>
      </c>
    </row>
    <row r="795" spans="13:35" x14ac:dyDescent="0.35">
      <c r="M795" t="s">
        <v>0</v>
      </c>
      <c r="N795">
        <v>6750</v>
      </c>
      <c r="O795">
        <v>18</v>
      </c>
      <c r="P795">
        <v>13443</v>
      </c>
      <c r="Q795">
        <v>0</v>
      </c>
      <c r="R795">
        <v>366677534239</v>
      </c>
      <c r="S795">
        <v>358482043.73000002</v>
      </c>
      <c r="T795">
        <v>360270324707.84003</v>
      </c>
      <c r="U795">
        <v>364325097277.87</v>
      </c>
      <c r="V795">
        <v>0.18094399999999999</v>
      </c>
      <c r="W795">
        <v>6.3338000000000005E-2</v>
      </c>
      <c r="Y795" t="s">
        <v>1</v>
      </c>
      <c r="Z795">
        <v>8000</v>
      </c>
      <c r="AA795">
        <v>24</v>
      </c>
      <c r="AB795">
        <v>163</v>
      </c>
      <c r="AC795">
        <v>0</v>
      </c>
      <c r="AD795">
        <v>3756479218</v>
      </c>
      <c r="AE795">
        <v>2998495.98</v>
      </c>
      <c r="AF795">
        <v>3451152040.7600002</v>
      </c>
      <c r="AG795">
        <v>3716876532.6900001</v>
      </c>
      <c r="AH795">
        <v>0.63463800000000004</v>
      </c>
      <c r="AI795">
        <v>0.110864</v>
      </c>
    </row>
    <row r="796" spans="13:35" x14ac:dyDescent="0.35">
      <c r="M796" t="s">
        <v>0</v>
      </c>
      <c r="N796">
        <v>7250</v>
      </c>
      <c r="O796">
        <v>18</v>
      </c>
      <c r="P796">
        <v>3615</v>
      </c>
      <c r="Q796">
        <v>0</v>
      </c>
      <c r="R796">
        <v>91081177992</v>
      </c>
      <c r="S796">
        <v>80960451.569999993</v>
      </c>
      <c r="T796">
        <v>88933719200.619995</v>
      </c>
      <c r="U796">
        <v>90313672424.729996</v>
      </c>
      <c r="V796">
        <v>0.240731</v>
      </c>
      <c r="W796">
        <v>8.6794999999999997E-2</v>
      </c>
      <c r="Y796" t="s">
        <v>1</v>
      </c>
      <c r="Z796">
        <v>8000</v>
      </c>
      <c r="AA796">
        <v>20</v>
      </c>
      <c r="AB796">
        <v>156</v>
      </c>
      <c r="AC796">
        <v>0</v>
      </c>
      <c r="AD796">
        <v>3622947788</v>
      </c>
      <c r="AE796">
        <v>2840864.46</v>
      </c>
      <c r="AF796">
        <v>3439328166.7199998</v>
      </c>
      <c r="AG796">
        <v>3620106923.54</v>
      </c>
      <c r="AH796">
        <v>0.45894499999999999</v>
      </c>
      <c r="AI796">
        <v>0</v>
      </c>
    </row>
    <row r="797" spans="13:35" x14ac:dyDescent="0.35">
      <c r="M797" t="s">
        <v>2</v>
      </c>
      <c r="N797">
        <v>5000</v>
      </c>
      <c r="O797">
        <v>20</v>
      </c>
      <c r="P797">
        <v>80</v>
      </c>
      <c r="Q797">
        <v>0</v>
      </c>
      <c r="R797">
        <v>2101190389</v>
      </c>
      <c r="S797">
        <v>2820126.44</v>
      </c>
      <c r="T797">
        <v>2098370262.5599999</v>
      </c>
      <c r="U797">
        <v>2098370262.5599999</v>
      </c>
      <c r="V797">
        <v>0</v>
      </c>
      <c r="W797">
        <v>0</v>
      </c>
      <c r="Y797" t="s">
        <v>0</v>
      </c>
      <c r="Z797">
        <v>8000</v>
      </c>
      <c r="AA797">
        <v>20</v>
      </c>
      <c r="AB797">
        <v>364</v>
      </c>
      <c r="AC797">
        <v>0</v>
      </c>
      <c r="AD797">
        <v>9002443721</v>
      </c>
      <c r="AE797">
        <v>7099636.8600000003</v>
      </c>
      <c r="AF797">
        <v>8595277672.8600006</v>
      </c>
      <c r="AG797">
        <v>8791238514.4400005</v>
      </c>
      <c r="AH797">
        <v>0.42044199999999998</v>
      </c>
      <c r="AI797">
        <v>0.24057899999999999</v>
      </c>
    </row>
    <row r="798" spans="13:35" x14ac:dyDescent="0.35">
      <c r="M798" t="s">
        <v>0</v>
      </c>
      <c r="N798">
        <v>5250</v>
      </c>
      <c r="O798">
        <v>18</v>
      </c>
      <c r="P798">
        <v>11119</v>
      </c>
      <c r="Q798">
        <v>0</v>
      </c>
      <c r="R798">
        <v>400055789863</v>
      </c>
      <c r="S798">
        <v>508699535.39999998</v>
      </c>
      <c r="T798">
        <v>397594290060.67999</v>
      </c>
      <c r="U798">
        <v>399143104017.15997</v>
      </c>
      <c r="V798">
        <v>5.7029000000000003E-2</v>
      </c>
      <c r="W798">
        <v>1.2050999999999999E-2</v>
      </c>
      <c r="Y798" t="s">
        <v>0</v>
      </c>
      <c r="Z798">
        <v>6250</v>
      </c>
      <c r="AA798">
        <v>20</v>
      </c>
      <c r="AB798">
        <v>17954</v>
      </c>
      <c r="AC798">
        <v>0</v>
      </c>
      <c r="AD798">
        <v>603608047850</v>
      </c>
      <c r="AE798">
        <v>651108127.03999996</v>
      </c>
      <c r="AF798">
        <v>592869098213.53003</v>
      </c>
      <c r="AG798">
        <v>602134421876.57996</v>
      </c>
      <c r="AH798">
        <v>0.18310599999999999</v>
      </c>
      <c r="AI798">
        <v>1.6230000000000001E-2</v>
      </c>
    </row>
    <row r="799" spans="13:35" x14ac:dyDescent="0.35">
      <c r="M799" t="s">
        <v>0</v>
      </c>
      <c r="N799">
        <v>5250</v>
      </c>
      <c r="O799">
        <v>20</v>
      </c>
      <c r="P799">
        <v>2338</v>
      </c>
      <c r="Q799">
        <v>0</v>
      </c>
      <c r="R799">
        <v>84311000642</v>
      </c>
      <c r="S799">
        <v>108410435.48999999</v>
      </c>
      <c r="T799">
        <v>83697796945.910004</v>
      </c>
      <c r="U799">
        <v>84088246444.729996</v>
      </c>
      <c r="V799">
        <v>6.9528000000000006E-2</v>
      </c>
      <c r="W799">
        <v>1.6154000000000002E-2</v>
      </c>
      <c r="Y799" t="s">
        <v>2</v>
      </c>
      <c r="Z799">
        <v>6250</v>
      </c>
      <c r="AA799">
        <v>20</v>
      </c>
      <c r="AB799">
        <v>568</v>
      </c>
      <c r="AC799">
        <v>0</v>
      </c>
      <c r="AD799">
        <v>11905406500</v>
      </c>
      <c r="AE799">
        <v>12842982.199999999</v>
      </c>
      <c r="AF799">
        <v>11863311600.870001</v>
      </c>
      <c r="AG799">
        <v>11875079482.92</v>
      </c>
      <c r="AH799">
        <v>2.9089E-2</v>
      </c>
      <c r="AI799">
        <v>1.7481E-2</v>
      </c>
    </row>
    <row r="800" spans="13:35" x14ac:dyDescent="0.35">
      <c r="M800" t="s">
        <v>0</v>
      </c>
      <c r="N800">
        <v>5500</v>
      </c>
      <c r="O800">
        <v>18</v>
      </c>
      <c r="P800">
        <v>8572</v>
      </c>
      <c r="Q800">
        <v>0</v>
      </c>
      <c r="R800">
        <v>287289314584</v>
      </c>
      <c r="S800">
        <v>349298309.91000003</v>
      </c>
      <c r="T800">
        <v>285524181704.46002</v>
      </c>
      <c r="U800">
        <v>286570477747.82001</v>
      </c>
      <c r="V800">
        <v>5.7562000000000002E-2</v>
      </c>
      <c r="W800">
        <v>1.5327E-2</v>
      </c>
      <c r="Y800" t="s">
        <v>2</v>
      </c>
      <c r="Z800">
        <v>5750</v>
      </c>
      <c r="AA800">
        <v>20</v>
      </c>
      <c r="AB800">
        <v>160</v>
      </c>
      <c r="AC800">
        <v>0</v>
      </c>
      <c r="AD800">
        <v>3465707077</v>
      </c>
      <c r="AE800">
        <v>4085101.84</v>
      </c>
      <c r="AF800">
        <v>3447921567.9299998</v>
      </c>
      <c r="AG800">
        <v>3461621975.1599998</v>
      </c>
      <c r="AH800">
        <v>4.6420000000000003E-2</v>
      </c>
      <c r="AI800">
        <v>0</v>
      </c>
    </row>
    <row r="801" spans="13:35" x14ac:dyDescent="0.35">
      <c r="M801" t="s">
        <v>1</v>
      </c>
      <c r="N801">
        <v>5500</v>
      </c>
      <c r="O801">
        <v>18</v>
      </c>
      <c r="P801">
        <v>9633</v>
      </c>
      <c r="Q801">
        <v>0</v>
      </c>
      <c r="R801">
        <v>384345880934</v>
      </c>
      <c r="S801">
        <v>468632322.11000001</v>
      </c>
      <c r="T801">
        <v>380338299718.84003</v>
      </c>
      <c r="U801">
        <v>383314493912.94</v>
      </c>
      <c r="V801">
        <v>0.10506500000000001</v>
      </c>
      <c r="W801">
        <v>1.7429E-2</v>
      </c>
      <c r="Y801" t="s">
        <v>1</v>
      </c>
      <c r="Z801">
        <v>6000</v>
      </c>
      <c r="AA801">
        <v>20</v>
      </c>
      <c r="AB801">
        <v>5476</v>
      </c>
      <c r="AC801">
        <v>0</v>
      </c>
      <c r="AD801">
        <v>212058750882</v>
      </c>
      <c r="AE801">
        <v>239175351.63999999</v>
      </c>
      <c r="AF801">
        <v>203906473792.35001</v>
      </c>
      <c r="AG801">
        <v>211379352760.89999</v>
      </c>
      <c r="AH801">
        <v>0.36641200000000002</v>
      </c>
      <c r="AI801">
        <v>2.4629000000000002E-2</v>
      </c>
    </row>
    <row r="802" spans="13:35" x14ac:dyDescent="0.35">
      <c r="M802" t="s">
        <v>2</v>
      </c>
      <c r="N802">
        <v>5500</v>
      </c>
      <c r="O802">
        <v>18</v>
      </c>
      <c r="P802">
        <v>384</v>
      </c>
      <c r="Q802">
        <v>0</v>
      </c>
      <c r="R802">
        <v>8277411613</v>
      </c>
      <c r="S802">
        <v>10055881.029999999</v>
      </c>
      <c r="T802">
        <v>8250070806.71</v>
      </c>
      <c r="U802">
        <v>8267355731.9700003</v>
      </c>
      <c r="V802">
        <v>2.4773E-2</v>
      </c>
      <c r="W802">
        <v>0</v>
      </c>
      <c r="Y802" t="s">
        <v>1</v>
      </c>
      <c r="Z802">
        <v>6250</v>
      </c>
      <c r="AA802">
        <v>20</v>
      </c>
      <c r="AB802">
        <v>11732</v>
      </c>
      <c r="AC802">
        <v>0</v>
      </c>
      <c r="AD802">
        <v>451472454120</v>
      </c>
      <c r="AE802">
        <v>487159401.88</v>
      </c>
      <c r="AF802">
        <v>435170136920.08002</v>
      </c>
      <c r="AG802">
        <v>449032446351.48999</v>
      </c>
      <c r="AH802">
        <v>0.34812399999999999</v>
      </c>
      <c r="AI802">
        <v>5.0688999999999998E-2</v>
      </c>
    </row>
    <row r="803" spans="13:35" x14ac:dyDescent="0.35">
      <c r="M803" t="s">
        <v>0</v>
      </c>
      <c r="N803">
        <v>5750</v>
      </c>
      <c r="O803">
        <v>18</v>
      </c>
      <c r="P803">
        <v>31913</v>
      </c>
      <c r="Q803">
        <v>0</v>
      </c>
      <c r="R803">
        <v>1106445566240</v>
      </c>
      <c r="S803">
        <v>1290677327.9100001</v>
      </c>
      <c r="T803">
        <v>1098201873608.46</v>
      </c>
      <c r="U803">
        <v>1103627416817.3799</v>
      </c>
      <c r="V803">
        <v>7.2857000000000005E-2</v>
      </c>
      <c r="W803">
        <v>1.6441000000000001E-2</v>
      </c>
      <c r="Y803" t="s">
        <v>1</v>
      </c>
      <c r="Z803">
        <v>5250</v>
      </c>
      <c r="AA803">
        <v>18</v>
      </c>
      <c r="AB803">
        <v>8139</v>
      </c>
      <c r="AC803">
        <v>0</v>
      </c>
      <c r="AD803">
        <v>343871825286</v>
      </c>
      <c r="AE803">
        <v>436803014.63</v>
      </c>
      <c r="AF803">
        <v>339256608150.28998</v>
      </c>
      <c r="AG803">
        <v>342774747466.85999</v>
      </c>
      <c r="AH803">
        <v>0.13645199999999999</v>
      </c>
      <c r="AI803">
        <v>2.2800000000000001E-2</v>
      </c>
    </row>
    <row r="804" spans="13:35" x14ac:dyDescent="0.35">
      <c r="M804" t="s">
        <v>2</v>
      </c>
      <c r="N804">
        <v>5750</v>
      </c>
      <c r="O804">
        <v>18</v>
      </c>
      <c r="P804">
        <v>1068</v>
      </c>
      <c r="Q804">
        <v>0</v>
      </c>
      <c r="R804">
        <v>23209083059</v>
      </c>
      <c r="S804">
        <v>27141976.809999999</v>
      </c>
      <c r="T804">
        <v>23094870858.41</v>
      </c>
      <c r="U804">
        <v>23181941082.189999</v>
      </c>
      <c r="V804">
        <v>4.4101000000000001E-2</v>
      </c>
      <c r="W804">
        <v>0</v>
      </c>
      <c r="Y804" t="s">
        <v>2</v>
      </c>
      <c r="Z804">
        <v>5500</v>
      </c>
      <c r="AA804">
        <v>18</v>
      </c>
      <c r="AB804">
        <v>217</v>
      </c>
      <c r="AC804">
        <v>0</v>
      </c>
      <c r="AD804">
        <v>4845722333</v>
      </c>
      <c r="AE804">
        <v>5886112.0599999996</v>
      </c>
      <c r="AF804">
        <v>4839836220.9399996</v>
      </c>
      <c r="AG804">
        <v>4839836220.9399996</v>
      </c>
      <c r="AH804">
        <v>0</v>
      </c>
      <c r="AI804">
        <v>0</v>
      </c>
    </row>
    <row r="805" spans="13:35" x14ac:dyDescent="0.35">
      <c r="M805" t="s">
        <v>2</v>
      </c>
      <c r="N805">
        <v>6000</v>
      </c>
      <c r="O805">
        <v>18</v>
      </c>
      <c r="P805">
        <v>697</v>
      </c>
      <c r="Q805">
        <v>0</v>
      </c>
      <c r="R805">
        <v>13559699602</v>
      </c>
      <c r="S805">
        <v>15106989.65</v>
      </c>
      <c r="T805">
        <v>13380973418.690001</v>
      </c>
      <c r="U805">
        <v>13505870065.959999</v>
      </c>
      <c r="V805">
        <v>0.13556499999999999</v>
      </c>
      <c r="W805">
        <v>3.3735000000000001E-2</v>
      </c>
      <c r="Y805" t="s">
        <v>0</v>
      </c>
      <c r="Z805">
        <v>5500</v>
      </c>
      <c r="AA805">
        <v>18</v>
      </c>
      <c r="AB805">
        <v>6671</v>
      </c>
      <c r="AC805">
        <v>0</v>
      </c>
      <c r="AD805">
        <v>231687113844</v>
      </c>
      <c r="AE805">
        <v>281691352.32999998</v>
      </c>
      <c r="AF805">
        <v>230058366094.97</v>
      </c>
      <c r="AG805">
        <v>230968851446.82999</v>
      </c>
      <c r="AH805">
        <v>6.7581000000000002E-2</v>
      </c>
      <c r="AI805">
        <v>2.2379E-2</v>
      </c>
    </row>
    <row r="806" spans="13:35" x14ac:dyDescent="0.35">
      <c r="M806" t="s">
        <v>0</v>
      </c>
      <c r="N806">
        <v>6000</v>
      </c>
      <c r="O806">
        <v>18</v>
      </c>
      <c r="P806">
        <v>9037</v>
      </c>
      <c r="Q806">
        <v>0</v>
      </c>
      <c r="R806">
        <v>261353642442</v>
      </c>
      <c r="S806">
        <v>291383635.70999998</v>
      </c>
      <c r="T806">
        <v>258923545679.39999</v>
      </c>
      <c r="U806">
        <v>260724333880.79001</v>
      </c>
      <c r="V806">
        <v>9.3896999999999994E-2</v>
      </c>
      <c r="W806">
        <v>1.5406E-2</v>
      </c>
      <c r="Y806" t="s">
        <v>1</v>
      </c>
      <c r="Z806">
        <v>5750</v>
      </c>
      <c r="AA806">
        <v>18</v>
      </c>
      <c r="AB806">
        <v>20904</v>
      </c>
      <c r="AC806">
        <v>0</v>
      </c>
      <c r="AD806">
        <v>840514042572</v>
      </c>
      <c r="AE806">
        <v>980705079.30999994</v>
      </c>
      <c r="AF806">
        <v>822274011530.38</v>
      </c>
      <c r="AG806">
        <v>836556285009</v>
      </c>
      <c r="AH806">
        <v>0.22040100000000001</v>
      </c>
      <c r="AI806">
        <v>4.1685E-2</v>
      </c>
    </row>
    <row r="807" spans="13:35" x14ac:dyDescent="0.35">
      <c r="M807" t="s">
        <v>1</v>
      </c>
      <c r="N807">
        <v>6250</v>
      </c>
      <c r="O807">
        <v>18</v>
      </c>
      <c r="P807">
        <v>9566</v>
      </c>
      <c r="Q807">
        <v>0</v>
      </c>
      <c r="R807">
        <v>320027676549</v>
      </c>
      <c r="S807">
        <v>342174232.37</v>
      </c>
      <c r="T807">
        <v>311239187245.13</v>
      </c>
      <c r="U807">
        <v>318189020526.84003</v>
      </c>
      <c r="V807">
        <v>0.27455000000000002</v>
      </c>
      <c r="W807">
        <v>5.4691999999999998E-2</v>
      </c>
      <c r="Y807" t="s">
        <v>0</v>
      </c>
      <c r="Z807">
        <v>5750</v>
      </c>
      <c r="AA807">
        <v>18</v>
      </c>
      <c r="AB807">
        <v>20332</v>
      </c>
      <c r="AC807">
        <v>0</v>
      </c>
      <c r="AD807">
        <v>722724984000</v>
      </c>
      <c r="AE807">
        <v>841939850.25</v>
      </c>
      <c r="AF807">
        <v>716678666889.63</v>
      </c>
      <c r="AG807">
        <v>720573487210.67004</v>
      </c>
      <c r="AH807">
        <v>8.3071000000000006E-2</v>
      </c>
      <c r="AI807">
        <v>2.1527999999999999E-2</v>
      </c>
    </row>
    <row r="808" spans="13:35" x14ac:dyDescent="0.35">
      <c r="M808" t="s">
        <v>0</v>
      </c>
      <c r="N808">
        <v>6250</v>
      </c>
      <c r="O808">
        <v>18</v>
      </c>
      <c r="P808">
        <v>24458</v>
      </c>
      <c r="Q808">
        <v>0</v>
      </c>
      <c r="R808">
        <v>739245992442</v>
      </c>
      <c r="S808">
        <v>789803598.02999997</v>
      </c>
      <c r="T808">
        <v>729370535743.85999</v>
      </c>
      <c r="U808">
        <v>736632419710.34998</v>
      </c>
      <c r="V808">
        <v>0.13791300000000001</v>
      </c>
      <c r="W808">
        <v>2.9205999999999999E-2</v>
      </c>
      <c r="Y808" t="s">
        <v>2</v>
      </c>
      <c r="Z808">
        <v>5750</v>
      </c>
      <c r="AA808">
        <v>18</v>
      </c>
      <c r="AB808">
        <v>545</v>
      </c>
      <c r="AC808">
        <v>0</v>
      </c>
      <c r="AD808">
        <v>12156888425</v>
      </c>
      <c r="AE808">
        <v>14190146.880000001</v>
      </c>
      <c r="AF808">
        <v>12112649133.74</v>
      </c>
      <c r="AG808">
        <v>12142698278.120001</v>
      </c>
      <c r="AH808">
        <v>2.9260999999999999E-2</v>
      </c>
      <c r="AI808">
        <v>0</v>
      </c>
    </row>
    <row r="809" spans="13:35" x14ac:dyDescent="0.35">
      <c r="M809" t="s">
        <v>1</v>
      </c>
      <c r="N809">
        <v>6250</v>
      </c>
      <c r="O809">
        <v>20</v>
      </c>
      <c r="P809">
        <v>14398</v>
      </c>
      <c r="Q809">
        <v>0</v>
      </c>
      <c r="R809">
        <v>538115559334</v>
      </c>
      <c r="S809">
        <v>581296079.89999998</v>
      </c>
      <c r="T809">
        <v>522516682699.71997</v>
      </c>
      <c r="U809">
        <v>536091456544.12</v>
      </c>
      <c r="V809">
        <v>0.28798400000000002</v>
      </c>
      <c r="W809">
        <v>3.1704000000000003E-2</v>
      </c>
      <c r="Y809" t="s">
        <v>2</v>
      </c>
      <c r="Z809">
        <v>6000</v>
      </c>
      <c r="AA809">
        <v>18</v>
      </c>
      <c r="AB809">
        <v>518</v>
      </c>
      <c r="AC809">
        <v>0</v>
      </c>
      <c r="AD809">
        <v>10470783682</v>
      </c>
      <c r="AE809">
        <v>11666328.82</v>
      </c>
      <c r="AF809">
        <v>10401054186.190001</v>
      </c>
      <c r="AG809">
        <v>10435835086.6</v>
      </c>
      <c r="AH809">
        <v>6.4550999999999997E-2</v>
      </c>
      <c r="AI809">
        <v>2.6359E-2</v>
      </c>
    </row>
    <row r="810" spans="13:35" x14ac:dyDescent="0.35">
      <c r="M810" t="s">
        <v>1</v>
      </c>
      <c r="N810">
        <v>4750</v>
      </c>
      <c r="O810">
        <v>18</v>
      </c>
      <c r="P810">
        <v>2606</v>
      </c>
      <c r="Q810">
        <v>0</v>
      </c>
      <c r="R810">
        <v>113785382181</v>
      </c>
      <c r="S810">
        <v>157295379.91</v>
      </c>
      <c r="T810">
        <v>112642549645</v>
      </c>
      <c r="U810">
        <v>113463063083.35001</v>
      </c>
      <c r="V810">
        <v>9.9125000000000005E-2</v>
      </c>
      <c r="W810">
        <v>1.7266E-2</v>
      </c>
      <c r="Y810" t="s">
        <v>0</v>
      </c>
      <c r="Z810">
        <v>6000</v>
      </c>
      <c r="AA810">
        <v>18</v>
      </c>
      <c r="AB810">
        <v>8996</v>
      </c>
      <c r="AC810">
        <v>0</v>
      </c>
      <c r="AD810">
        <v>275299069482</v>
      </c>
      <c r="AE810">
        <v>306698225.44</v>
      </c>
      <c r="AF810">
        <v>272093937344.56</v>
      </c>
      <c r="AG810">
        <v>274705060818.44</v>
      </c>
      <c r="AH810">
        <v>0.11927500000000001</v>
      </c>
      <c r="AI810">
        <v>1.2452E-2</v>
      </c>
    </row>
    <row r="811" spans="13:35" x14ac:dyDescent="0.35">
      <c r="M811" t="s">
        <v>0</v>
      </c>
      <c r="N811">
        <v>4750</v>
      </c>
      <c r="O811">
        <v>18</v>
      </c>
      <c r="P811">
        <v>2356</v>
      </c>
      <c r="Q811">
        <v>0</v>
      </c>
      <c r="R811">
        <v>83086376988</v>
      </c>
      <c r="S811">
        <v>115137091.17</v>
      </c>
      <c r="T811">
        <v>82921026755.169998</v>
      </c>
      <c r="U811">
        <v>82971239896.830002</v>
      </c>
      <c r="V811">
        <v>7.228E-3</v>
      </c>
      <c r="W811">
        <v>0</v>
      </c>
      <c r="Y811" t="s">
        <v>0</v>
      </c>
      <c r="Z811">
        <v>7250</v>
      </c>
      <c r="AA811">
        <v>18</v>
      </c>
      <c r="AB811">
        <v>6772</v>
      </c>
      <c r="AC811">
        <v>0</v>
      </c>
      <c r="AD811">
        <v>171471718843</v>
      </c>
      <c r="AE811">
        <v>152520659.72</v>
      </c>
      <c r="AF811">
        <v>166363175272.42999</v>
      </c>
      <c r="AG811">
        <v>169844807668.54001</v>
      </c>
      <c r="AH811">
        <v>0.29668099999999997</v>
      </c>
      <c r="AI811">
        <v>9.8438999999999999E-2</v>
      </c>
    </row>
    <row r="812" spans="13:35" x14ac:dyDescent="0.35">
      <c r="M812" t="s">
        <v>0</v>
      </c>
      <c r="N812">
        <v>5000</v>
      </c>
      <c r="O812">
        <v>18</v>
      </c>
      <c r="P812">
        <v>6974</v>
      </c>
      <c r="Q812">
        <v>0</v>
      </c>
      <c r="R812">
        <v>242205858268</v>
      </c>
      <c r="S812">
        <v>322008731.25999999</v>
      </c>
      <c r="T812">
        <v>241090856954.09</v>
      </c>
      <c r="U812">
        <v>241675994707.01999</v>
      </c>
      <c r="V812">
        <v>3.8588999999999998E-2</v>
      </c>
      <c r="W812">
        <v>1.025E-2</v>
      </c>
      <c r="Y812" t="s">
        <v>0</v>
      </c>
      <c r="Z812">
        <v>7500</v>
      </c>
      <c r="AA812">
        <v>18</v>
      </c>
      <c r="AB812">
        <v>1445</v>
      </c>
      <c r="AC812">
        <v>0</v>
      </c>
      <c r="AD812">
        <v>37102346860</v>
      </c>
      <c r="AE812">
        <v>31563223.609999999</v>
      </c>
      <c r="AF812">
        <v>35955994151.449997</v>
      </c>
      <c r="AG812">
        <v>36500080955.769997</v>
      </c>
      <c r="AH812">
        <v>0.30655500000000002</v>
      </c>
      <c r="AI812">
        <v>0.16974</v>
      </c>
    </row>
    <row r="813" spans="13:35" x14ac:dyDescent="0.35">
      <c r="M813" t="s">
        <v>1</v>
      </c>
      <c r="N813">
        <v>5000</v>
      </c>
      <c r="O813">
        <v>18</v>
      </c>
      <c r="P813">
        <v>8217</v>
      </c>
      <c r="Q813">
        <v>0</v>
      </c>
      <c r="R813">
        <v>320913421379</v>
      </c>
      <c r="S813">
        <v>425941096.60000002</v>
      </c>
      <c r="T813">
        <v>318337082303.69</v>
      </c>
      <c r="U813">
        <v>320093521739.65002</v>
      </c>
      <c r="V813">
        <v>7.7511999999999998E-2</v>
      </c>
      <c r="W813">
        <v>1.4631999999999999E-2</v>
      </c>
      <c r="Y813" t="s">
        <v>2</v>
      </c>
      <c r="Z813">
        <v>6250</v>
      </c>
      <c r="AA813">
        <v>18</v>
      </c>
      <c r="AB813">
        <v>1149</v>
      </c>
      <c r="AC813">
        <v>0</v>
      </c>
      <c r="AD813">
        <v>22873603401</v>
      </c>
      <c r="AE813">
        <v>24423826.059999999</v>
      </c>
      <c r="AF813">
        <v>22803659811.900002</v>
      </c>
      <c r="AG813">
        <v>22849179574.939999</v>
      </c>
      <c r="AH813">
        <v>2.3621E-2</v>
      </c>
      <c r="AI813">
        <v>0</v>
      </c>
    </row>
    <row r="814" spans="13:35" x14ac:dyDescent="0.35">
      <c r="M814" t="s">
        <v>1</v>
      </c>
      <c r="N814">
        <v>5250</v>
      </c>
      <c r="O814">
        <v>18</v>
      </c>
      <c r="P814">
        <v>16721</v>
      </c>
      <c r="Q814">
        <v>0</v>
      </c>
      <c r="R814">
        <v>697546795042</v>
      </c>
      <c r="S814">
        <v>887071604.16999996</v>
      </c>
      <c r="T814">
        <v>688674732420.89001</v>
      </c>
      <c r="U814">
        <v>695551179956.77002</v>
      </c>
      <c r="V814">
        <v>0.12903999999999999</v>
      </c>
      <c r="W814">
        <v>1.8905000000000002E-2</v>
      </c>
      <c r="Y814" t="s">
        <v>2</v>
      </c>
      <c r="Z814">
        <v>5000</v>
      </c>
      <c r="AA814">
        <v>18</v>
      </c>
      <c r="AB814">
        <v>121</v>
      </c>
      <c r="AC814">
        <v>0</v>
      </c>
      <c r="AD814">
        <v>3055701328</v>
      </c>
      <c r="AE814">
        <v>4058494.36</v>
      </c>
      <c r="AF814">
        <v>3051642833.6399999</v>
      </c>
      <c r="AG814">
        <v>3051642833.6399999</v>
      </c>
      <c r="AH814">
        <v>0</v>
      </c>
      <c r="AI814">
        <v>0</v>
      </c>
    </row>
    <row r="815" spans="13:35" x14ac:dyDescent="0.35">
      <c r="M815" t="s">
        <v>2</v>
      </c>
      <c r="N815">
        <v>5250</v>
      </c>
      <c r="O815">
        <v>18</v>
      </c>
      <c r="P815">
        <v>323</v>
      </c>
      <c r="Q815">
        <v>0</v>
      </c>
      <c r="R815">
        <v>7639195745</v>
      </c>
      <c r="S815">
        <v>9719527.5600000005</v>
      </c>
      <c r="T815">
        <v>7584516710.9300003</v>
      </c>
      <c r="U815">
        <v>7629476217.4399996</v>
      </c>
      <c r="V815">
        <v>6.8382999999999999E-2</v>
      </c>
      <c r="W815">
        <v>0</v>
      </c>
      <c r="Y815" t="s">
        <v>0</v>
      </c>
      <c r="Z815">
        <v>5250</v>
      </c>
      <c r="AA815">
        <v>18</v>
      </c>
      <c r="AB815">
        <v>5419</v>
      </c>
      <c r="AC815">
        <v>0</v>
      </c>
      <c r="AD815">
        <v>196807400179</v>
      </c>
      <c r="AE815">
        <v>250267285.22</v>
      </c>
      <c r="AF815">
        <v>195521885957.92001</v>
      </c>
      <c r="AG815">
        <v>196359255505.82001</v>
      </c>
      <c r="AH815">
        <v>6.1328000000000001E-2</v>
      </c>
      <c r="AI815">
        <v>1.1998999999999999E-2</v>
      </c>
    </row>
    <row r="816" spans="13:35" x14ac:dyDescent="0.35">
      <c r="M816" t="s">
        <v>1</v>
      </c>
      <c r="N816">
        <v>5750</v>
      </c>
      <c r="O816">
        <v>18</v>
      </c>
      <c r="P816">
        <v>25369</v>
      </c>
      <c r="Q816">
        <v>0</v>
      </c>
      <c r="R816">
        <v>995651920222</v>
      </c>
      <c r="S816">
        <v>1163617332.9200001</v>
      </c>
      <c r="T816">
        <v>981194216044.64001</v>
      </c>
      <c r="U816">
        <v>992854508265.26001</v>
      </c>
      <c r="V816">
        <v>0.14896799999999999</v>
      </c>
      <c r="W816">
        <v>1.9514E-2</v>
      </c>
      <c r="Y816" t="s">
        <v>1</v>
      </c>
      <c r="Z816">
        <v>5500</v>
      </c>
      <c r="AA816">
        <v>18</v>
      </c>
      <c r="AB816">
        <v>6769</v>
      </c>
      <c r="AC816">
        <v>0</v>
      </c>
      <c r="AD816">
        <v>276745502280</v>
      </c>
      <c r="AE816">
        <v>336945782.64999998</v>
      </c>
      <c r="AF816">
        <v>273282537479.04999</v>
      </c>
      <c r="AG816">
        <v>275758063316.09998</v>
      </c>
      <c r="AH816">
        <v>0.12743599999999999</v>
      </c>
      <c r="AI816">
        <v>2.7844000000000001E-2</v>
      </c>
    </row>
    <row r="817" spans="13:35" x14ac:dyDescent="0.35">
      <c r="M817" t="s">
        <v>1</v>
      </c>
      <c r="N817">
        <v>6000</v>
      </c>
      <c r="O817">
        <v>18</v>
      </c>
      <c r="P817">
        <v>4823</v>
      </c>
      <c r="Q817">
        <v>0</v>
      </c>
      <c r="R817">
        <v>160628659229</v>
      </c>
      <c r="S817">
        <v>179160005.13999999</v>
      </c>
      <c r="T817">
        <v>157186339734.73001</v>
      </c>
      <c r="U817">
        <v>159773866506.59</v>
      </c>
      <c r="V817">
        <v>0.218304</v>
      </c>
      <c r="W817">
        <v>4.9322999999999999E-2</v>
      </c>
      <c r="Y817" t="s">
        <v>1</v>
      </c>
      <c r="Z817">
        <v>6000</v>
      </c>
      <c r="AA817">
        <v>18</v>
      </c>
      <c r="AB817">
        <v>6335</v>
      </c>
      <c r="AC817">
        <v>0</v>
      </c>
      <c r="AD817">
        <v>227190587522</v>
      </c>
      <c r="AE817">
        <v>253388840.74000001</v>
      </c>
      <c r="AF817">
        <v>220440389706.92999</v>
      </c>
      <c r="AG817">
        <v>226277850082.42001</v>
      </c>
      <c r="AH817">
        <v>0.294012</v>
      </c>
      <c r="AI817">
        <v>3.4276000000000001E-2</v>
      </c>
    </row>
    <row r="818" spans="13:35" x14ac:dyDescent="0.35">
      <c r="M818" t="s">
        <v>0</v>
      </c>
      <c r="N818">
        <v>6500</v>
      </c>
      <c r="O818">
        <v>16</v>
      </c>
      <c r="P818">
        <v>8859</v>
      </c>
      <c r="Q818">
        <v>0</v>
      </c>
      <c r="R818">
        <v>240169127059</v>
      </c>
      <c r="S818">
        <v>241305739.93000001</v>
      </c>
      <c r="T818">
        <v>236298879103.45001</v>
      </c>
      <c r="U818">
        <v>239424657976.62</v>
      </c>
      <c r="V818">
        <v>0.16698499999999999</v>
      </c>
      <c r="W818">
        <v>2.4853E-2</v>
      </c>
      <c r="Y818" t="s">
        <v>0</v>
      </c>
      <c r="Z818">
        <v>6250</v>
      </c>
      <c r="AA818">
        <v>18</v>
      </c>
      <c r="AB818">
        <v>25880</v>
      </c>
      <c r="AC818">
        <v>0</v>
      </c>
      <c r="AD818">
        <v>828833376572</v>
      </c>
      <c r="AE818">
        <v>884608484.58000004</v>
      </c>
      <c r="AF818">
        <v>815763742316.06006</v>
      </c>
      <c r="AG818">
        <v>826147659320.94995</v>
      </c>
      <c r="AH818">
        <v>0.162829</v>
      </c>
      <c r="AI818">
        <v>2.5767000000000002E-2</v>
      </c>
    </row>
    <row r="819" spans="13:35" x14ac:dyDescent="0.35">
      <c r="M819" t="s">
        <v>0</v>
      </c>
      <c r="N819">
        <v>6750</v>
      </c>
      <c r="O819">
        <v>16</v>
      </c>
      <c r="P819">
        <v>18487</v>
      </c>
      <c r="Q819">
        <v>0</v>
      </c>
      <c r="R819">
        <v>515186378039</v>
      </c>
      <c r="S819">
        <v>496528109.88999999</v>
      </c>
      <c r="T819">
        <v>504468060640.42999</v>
      </c>
      <c r="U819">
        <v>513075661534.53003</v>
      </c>
      <c r="V819">
        <v>0.213754</v>
      </c>
      <c r="W819">
        <v>3.6956999999999997E-2</v>
      </c>
      <c r="Y819" t="s">
        <v>1</v>
      </c>
      <c r="Z819">
        <v>6250</v>
      </c>
      <c r="AA819">
        <v>18</v>
      </c>
      <c r="AB819">
        <v>13646</v>
      </c>
      <c r="AC819">
        <v>0</v>
      </c>
      <c r="AD819">
        <v>487790495857</v>
      </c>
      <c r="AE819">
        <v>521235795.55000001</v>
      </c>
      <c r="AF819">
        <v>470077546096.42999</v>
      </c>
      <c r="AG819">
        <v>485011655757.03003</v>
      </c>
      <c r="AH819">
        <v>0.349856</v>
      </c>
      <c r="AI819">
        <v>5.4147000000000001E-2</v>
      </c>
    </row>
    <row r="820" spans="13:35" x14ac:dyDescent="0.35">
      <c r="M820" t="s">
        <v>0</v>
      </c>
      <c r="N820">
        <v>7000</v>
      </c>
      <c r="O820">
        <v>16</v>
      </c>
      <c r="P820">
        <v>4710</v>
      </c>
      <c r="Q820">
        <v>0</v>
      </c>
      <c r="R820">
        <v>123476624213</v>
      </c>
      <c r="S820">
        <v>113291767.92</v>
      </c>
      <c r="T820">
        <v>121090635532.49001</v>
      </c>
      <c r="U820">
        <v>122517578872.00999</v>
      </c>
      <c r="V820">
        <v>0.19982800000000001</v>
      </c>
      <c r="W820">
        <v>7.9167000000000001E-2</v>
      </c>
      <c r="Y820" t="s">
        <v>1</v>
      </c>
      <c r="Z820">
        <v>6750</v>
      </c>
      <c r="AA820">
        <v>18</v>
      </c>
      <c r="AB820">
        <v>5006</v>
      </c>
      <c r="AC820">
        <v>0</v>
      </c>
      <c r="AD820">
        <v>149794052214</v>
      </c>
      <c r="AE820">
        <v>146445732.87</v>
      </c>
      <c r="AF820">
        <v>141845618730.42001</v>
      </c>
      <c r="AG820">
        <v>148556999754.01999</v>
      </c>
      <c r="AH820">
        <v>0.47369899999999998</v>
      </c>
      <c r="AI820">
        <v>8.3953E-2</v>
      </c>
    </row>
    <row r="821" spans="13:35" x14ac:dyDescent="0.35">
      <c r="M821" t="s">
        <v>1</v>
      </c>
      <c r="N821">
        <v>5000</v>
      </c>
      <c r="O821">
        <v>16</v>
      </c>
      <c r="P821">
        <v>4236</v>
      </c>
      <c r="Q821">
        <v>0</v>
      </c>
      <c r="R821">
        <v>162232843934</v>
      </c>
      <c r="S821">
        <v>213319131.68000001</v>
      </c>
      <c r="T821">
        <v>160729581148.20999</v>
      </c>
      <c r="U821">
        <v>161831872362.10001</v>
      </c>
      <c r="V821">
        <v>9.1350000000000001E-2</v>
      </c>
      <c r="W821">
        <v>1.3792E-2</v>
      </c>
      <c r="Y821" t="s">
        <v>1</v>
      </c>
      <c r="Z821">
        <v>4750</v>
      </c>
      <c r="AA821">
        <v>16</v>
      </c>
      <c r="AB821">
        <v>2520</v>
      </c>
      <c r="AC821">
        <v>0</v>
      </c>
      <c r="AD821">
        <v>111117208530</v>
      </c>
      <c r="AE821">
        <v>152456595.66999999</v>
      </c>
      <c r="AF821">
        <v>110519033202.41</v>
      </c>
      <c r="AG821">
        <v>110807536158.77</v>
      </c>
      <c r="AH821">
        <v>4.7086999999999997E-2</v>
      </c>
      <c r="AI821">
        <v>1.6847000000000001E-2</v>
      </c>
    </row>
    <row r="822" spans="13:35" x14ac:dyDescent="0.35">
      <c r="M822" t="s">
        <v>2</v>
      </c>
      <c r="N822">
        <v>5000</v>
      </c>
      <c r="O822">
        <v>18</v>
      </c>
      <c r="P822">
        <v>171</v>
      </c>
      <c r="Q822">
        <v>0</v>
      </c>
      <c r="R822">
        <v>4145948791</v>
      </c>
      <c r="S822">
        <v>5510906.6600000001</v>
      </c>
      <c r="T822">
        <v>4140437884.3400002</v>
      </c>
      <c r="U822">
        <v>4140437884.3400002</v>
      </c>
      <c r="V822">
        <v>0</v>
      </c>
      <c r="W822">
        <v>0</v>
      </c>
      <c r="Y822" t="s">
        <v>1</v>
      </c>
      <c r="Z822">
        <v>4750</v>
      </c>
      <c r="AA822">
        <v>18</v>
      </c>
      <c r="AB822">
        <v>1052</v>
      </c>
      <c r="AC822">
        <v>0</v>
      </c>
      <c r="AD822">
        <v>40899192079</v>
      </c>
      <c r="AE822">
        <v>56595694.490000002</v>
      </c>
      <c r="AF822">
        <v>40578595080.190002</v>
      </c>
      <c r="AG822">
        <v>40720002984.68</v>
      </c>
      <c r="AH822">
        <v>7.4767E-2</v>
      </c>
      <c r="AI822">
        <v>3.5381999999999997E-2</v>
      </c>
    </row>
    <row r="823" spans="13:35" x14ac:dyDescent="0.35">
      <c r="M823" t="s">
        <v>2</v>
      </c>
      <c r="N823">
        <v>5250</v>
      </c>
      <c r="O823">
        <v>16</v>
      </c>
      <c r="P823">
        <v>127</v>
      </c>
      <c r="Q823">
        <v>0</v>
      </c>
      <c r="R823">
        <v>2929202371</v>
      </c>
      <c r="S823">
        <v>3684290.46</v>
      </c>
      <c r="T823">
        <v>2925518080.54</v>
      </c>
      <c r="U823">
        <v>2925518080.54</v>
      </c>
      <c r="V823">
        <v>0</v>
      </c>
      <c r="W823">
        <v>0</v>
      </c>
      <c r="Y823" t="s">
        <v>0</v>
      </c>
      <c r="Z823">
        <v>4750</v>
      </c>
      <c r="AA823">
        <v>18</v>
      </c>
      <c r="AB823">
        <v>1664</v>
      </c>
      <c r="AC823">
        <v>0</v>
      </c>
      <c r="AD823">
        <v>56828368965</v>
      </c>
      <c r="AE823">
        <v>78748531.609999999</v>
      </c>
      <c r="AF823">
        <v>56654375465.07</v>
      </c>
      <c r="AG823">
        <v>56717809604.739998</v>
      </c>
      <c r="AH823">
        <v>1.9928000000000001E-2</v>
      </c>
      <c r="AI823">
        <v>6.6969999999999998E-3</v>
      </c>
    </row>
    <row r="824" spans="13:35" x14ac:dyDescent="0.35">
      <c r="M824" t="s">
        <v>0</v>
      </c>
      <c r="N824">
        <v>5250</v>
      </c>
      <c r="O824">
        <v>16</v>
      </c>
      <c r="P824">
        <v>4443</v>
      </c>
      <c r="Q824">
        <v>0</v>
      </c>
      <c r="R824">
        <v>151542216651</v>
      </c>
      <c r="S824">
        <v>190799816.50999999</v>
      </c>
      <c r="T824">
        <v>150708859109.39001</v>
      </c>
      <c r="U824">
        <v>151253458373.45001</v>
      </c>
      <c r="V824">
        <v>4.9711999999999999E-2</v>
      </c>
      <c r="W824">
        <v>7.7289999999999998E-3</v>
      </c>
      <c r="Y824" t="s">
        <v>0</v>
      </c>
      <c r="Z824">
        <v>5000</v>
      </c>
      <c r="AA824">
        <v>18</v>
      </c>
      <c r="AB824">
        <v>5666</v>
      </c>
      <c r="AC824">
        <v>0</v>
      </c>
      <c r="AD824">
        <v>195963910866</v>
      </c>
      <c r="AE824">
        <v>260339912.78</v>
      </c>
      <c r="AF824">
        <v>195089333771.84</v>
      </c>
      <c r="AG824">
        <v>195492067753.54999</v>
      </c>
      <c r="AH824">
        <v>3.6971999999999998E-2</v>
      </c>
      <c r="AI824">
        <v>1.2874999999999999E-2</v>
      </c>
    </row>
    <row r="825" spans="13:35" x14ac:dyDescent="0.35">
      <c r="M825" t="s">
        <v>1</v>
      </c>
      <c r="N825">
        <v>5250</v>
      </c>
      <c r="O825">
        <v>16</v>
      </c>
      <c r="P825">
        <v>5568</v>
      </c>
      <c r="Q825">
        <v>0</v>
      </c>
      <c r="R825">
        <v>217387238406</v>
      </c>
      <c r="S825">
        <v>273855658.19999999</v>
      </c>
      <c r="T825">
        <v>214894990571.41</v>
      </c>
      <c r="U825">
        <v>216613867674.20999</v>
      </c>
      <c r="V825">
        <v>0.115813</v>
      </c>
      <c r="W825">
        <v>2.7227999999999999E-2</v>
      </c>
      <c r="Y825" t="s">
        <v>0</v>
      </c>
      <c r="Z825">
        <v>5000</v>
      </c>
      <c r="AA825">
        <v>16</v>
      </c>
      <c r="AB825">
        <v>6163</v>
      </c>
      <c r="AC825">
        <v>0</v>
      </c>
      <c r="AD825">
        <v>214598787565</v>
      </c>
      <c r="AE825">
        <v>282397902.32999998</v>
      </c>
      <c r="AF825">
        <v>213572842642.67001</v>
      </c>
      <c r="AG825">
        <v>214197763090.70999</v>
      </c>
      <c r="AH825">
        <v>4.0794999999999998E-2</v>
      </c>
      <c r="AI825">
        <v>6.613E-3</v>
      </c>
    </row>
    <row r="826" spans="13:35" x14ac:dyDescent="0.35">
      <c r="M826" t="s">
        <v>0</v>
      </c>
      <c r="N826">
        <v>5500</v>
      </c>
      <c r="O826">
        <v>16</v>
      </c>
      <c r="P826">
        <v>4794</v>
      </c>
      <c r="Q826">
        <v>0</v>
      </c>
      <c r="R826">
        <v>157491692531</v>
      </c>
      <c r="S826">
        <v>189618570.59999999</v>
      </c>
      <c r="T826">
        <v>156451835482.32001</v>
      </c>
      <c r="U826">
        <v>157221938586.04001</v>
      </c>
      <c r="V826">
        <v>6.2894000000000005E-2</v>
      </c>
      <c r="W826">
        <v>6.0889999999999998E-3</v>
      </c>
      <c r="Y826" t="s">
        <v>1</v>
      </c>
      <c r="Z826">
        <v>5000</v>
      </c>
      <c r="AA826">
        <v>18</v>
      </c>
      <c r="AB826">
        <v>3447</v>
      </c>
      <c r="AC826">
        <v>0</v>
      </c>
      <c r="AD826">
        <v>134094979517</v>
      </c>
      <c r="AE826">
        <v>178048697.30000001</v>
      </c>
      <c r="AF826">
        <v>132823594220.52</v>
      </c>
      <c r="AG826">
        <v>133530391526.03999</v>
      </c>
      <c r="AH826">
        <v>9.3571000000000001E-2</v>
      </c>
      <c r="AI826">
        <v>3.4048000000000002E-2</v>
      </c>
    </row>
    <row r="827" spans="13:35" x14ac:dyDescent="0.35">
      <c r="M827" t="s">
        <v>2</v>
      </c>
      <c r="N827">
        <v>6750</v>
      </c>
      <c r="O827">
        <v>20</v>
      </c>
      <c r="P827">
        <v>1240</v>
      </c>
      <c r="Q827">
        <v>0</v>
      </c>
      <c r="R827">
        <v>22823209643</v>
      </c>
      <c r="S827">
        <v>22613597.920000002</v>
      </c>
      <c r="T827">
        <v>22684624866.57</v>
      </c>
      <c r="U827">
        <v>22790325728.209999</v>
      </c>
      <c r="V827">
        <v>5.9299999999999999E-2</v>
      </c>
      <c r="W827">
        <v>5.3870000000000003E-3</v>
      </c>
      <c r="Y827" t="s">
        <v>1</v>
      </c>
      <c r="Z827">
        <v>5000</v>
      </c>
      <c r="AA827">
        <v>16</v>
      </c>
      <c r="AB827">
        <v>8813</v>
      </c>
      <c r="AC827">
        <v>0</v>
      </c>
      <c r="AD827">
        <v>341525254142</v>
      </c>
      <c r="AE827">
        <v>449298672.33999997</v>
      </c>
      <c r="AF827">
        <v>339100354688.63</v>
      </c>
      <c r="AG827">
        <v>340637779957.79999</v>
      </c>
      <c r="AH827">
        <v>6.7249000000000003E-2</v>
      </c>
      <c r="AI827">
        <v>1.5288E-2</v>
      </c>
    </row>
    <row r="828" spans="13:35" x14ac:dyDescent="0.35">
      <c r="M828" t="s">
        <v>0</v>
      </c>
      <c r="N828">
        <v>6000</v>
      </c>
      <c r="O828">
        <v>16</v>
      </c>
      <c r="P828">
        <v>10703</v>
      </c>
      <c r="Q828">
        <v>0</v>
      </c>
      <c r="R828">
        <v>326320046483</v>
      </c>
      <c r="S828">
        <v>359516456.07999998</v>
      </c>
      <c r="T828">
        <v>322949876252.41998</v>
      </c>
      <c r="U828">
        <v>325676171321.5</v>
      </c>
      <c r="V828">
        <v>0.105264</v>
      </c>
      <c r="W828">
        <v>1.0407E-2</v>
      </c>
      <c r="Y828" t="s">
        <v>0</v>
      </c>
      <c r="Z828">
        <v>5250</v>
      </c>
      <c r="AA828">
        <v>16</v>
      </c>
      <c r="AB828">
        <v>10244</v>
      </c>
      <c r="AC828">
        <v>0</v>
      </c>
      <c r="AD828">
        <v>362760826707</v>
      </c>
      <c r="AE828">
        <v>456915650.51999998</v>
      </c>
      <c r="AF828">
        <v>360701787894.37</v>
      </c>
      <c r="AG828">
        <v>362069574337.5</v>
      </c>
      <c r="AH828">
        <v>5.1728999999999997E-2</v>
      </c>
      <c r="AI828">
        <v>7.724E-3</v>
      </c>
    </row>
    <row r="829" spans="13:35" x14ac:dyDescent="0.35">
      <c r="M829" t="s">
        <v>1</v>
      </c>
      <c r="N829">
        <v>6000</v>
      </c>
      <c r="O829">
        <v>16</v>
      </c>
      <c r="P829">
        <v>5566</v>
      </c>
      <c r="Q829">
        <v>0</v>
      </c>
      <c r="R829">
        <v>209321996356</v>
      </c>
      <c r="S829">
        <v>230652485.16999999</v>
      </c>
      <c r="T829">
        <v>205886365457.54001</v>
      </c>
      <c r="U829">
        <v>208769574379.51001</v>
      </c>
      <c r="V829">
        <v>0.16902500000000001</v>
      </c>
      <c r="W829">
        <v>1.8291000000000002E-2</v>
      </c>
      <c r="Y829" t="s">
        <v>2</v>
      </c>
      <c r="Z829">
        <v>5250</v>
      </c>
      <c r="AA829">
        <v>18</v>
      </c>
      <c r="AB829">
        <v>162</v>
      </c>
      <c r="AC829">
        <v>0</v>
      </c>
      <c r="AD829">
        <v>3906396211</v>
      </c>
      <c r="AE829">
        <v>4960785.01</v>
      </c>
      <c r="AF829">
        <v>3901435425.9899998</v>
      </c>
      <c r="AG829">
        <v>3901435425.9899998</v>
      </c>
      <c r="AH829">
        <v>0</v>
      </c>
      <c r="AI829">
        <v>0</v>
      </c>
    </row>
    <row r="830" spans="13:35" x14ac:dyDescent="0.35">
      <c r="M830" t="s">
        <v>2</v>
      </c>
      <c r="N830">
        <v>6000</v>
      </c>
      <c r="O830">
        <v>16</v>
      </c>
      <c r="P830">
        <v>669</v>
      </c>
      <c r="Q830">
        <v>0</v>
      </c>
      <c r="R830">
        <v>13823621147</v>
      </c>
      <c r="S830">
        <v>15237332.470000001</v>
      </c>
      <c r="T830">
        <v>13688739786.26</v>
      </c>
      <c r="U830">
        <v>13752365177.76</v>
      </c>
      <c r="V830">
        <v>9.9056000000000005E-2</v>
      </c>
      <c r="W830">
        <v>4.7558999999999997E-2</v>
      </c>
      <c r="Y830" t="s">
        <v>2</v>
      </c>
      <c r="Z830">
        <v>5250</v>
      </c>
      <c r="AA830">
        <v>16</v>
      </c>
      <c r="AB830">
        <v>284</v>
      </c>
      <c r="AC830">
        <v>0</v>
      </c>
      <c r="AD830">
        <v>6695313206</v>
      </c>
      <c r="AE830">
        <v>8435203.3800000008</v>
      </c>
      <c r="AF830">
        <v>6660124587.1599998</v>
      </c>
      <c r="AG830">
        <v>6686878002.6199999</v>
      </c>
      <c r="AH830">
        <v>4.691E-2</v>
      </c>
      <c r="AI830">
        <v>0</v>
      </c>
    </row>
    <row r="831" spans="13:35" x14ac:dyDescent="0.35">
      <c r="M831" t="s">
        <v>1</v>
      </c>
      <c r="N831">
        <v>6750</v>
      </c>
      <c r="O831">
        <v>16</v>
      </c>
      <c r="P831">
        <v>5027</v>
      </c>
      <c r="Q831">
        <v>0</v>
      </c>
      <c r="R831">
        <v>154570345220</v>
      </c>
      <c r="S831">
        <v>149093762.90000001</v>
      </c>
      <c r="T831">
        <v>146720549311.04001</v>
      </c>
      <c r="U831">
        <v>153327835497.07001</v>
      </c>
      <c r="V831">
        <v>0.45840999999999998</v>
      </c>
      <c r="W831">
        <v>8.1660999999999997E-2</v>
      </c>
      <c r="Y831" t="s">
        <v>0</v>
      </c>
      <c r="Z831">
        <v>5500</v>
      </c>
      <c r="AA831">
        <v>16</v>
      </c>
      <c r="AB831">
        <v>7218</v>
      </c>
      <c r="AC831">
        <v>0</v>
      </c>
      <c r="AD831">
        <v>236321148167</v>
      </c>
      <c r="AE831">
        <v>284394820.63999999</v>
      </c>
      <c r="AF831">
        <v>234487144713.23001</v>
      </c>
      <c r="AG831">
        <v>235531957522.69</v>
      </c>
      <c r="AH831">
        <v>7.5910000000000005E-2</v>
      </c>
      <c r="AI831">
        <v>2.5333999999999999E-2</v>
      </c>
    </row>
    <row r="832" spans="13:35" x14ac:dyDescent="0.35">
      <c r="M832" t="s">
        <v>1</v>
      </c>
      <c r="N832">
        <v>7000</v>
      </c>
      <c r="O832">
        <v>16</v>
      </c>
      <c r="P832">
        <v>696</v>
      </c>
      <c r="Q832">
        <v>0</v>
      </c>
      <c r="R832">
        <v>18169534886</v>
      </c>
      <c r="S832">
        <v>16689811.890000001</v>
      </c>
      <c r="T832">
        <v>17375975346.580002</v>
      </c>
      <c r="U832">
        <v>18011258022.209999</v>
      </c>
      <c r="V832">
        <v>0.40807300000000002</v>
      </c>
      <c r="W832">
        <v>8.9605000000000004E-2</v>
      </c>
      <c r="Y832" t="s">
        <v>0</v>
      </c>
      <c r="Z832">
        <v>5750</v>
      </c>
      <c r="AA832">
        <v>16</v>
      </c>
      <c r="AB832">
        <v>28995</v>
      </c>
      <c r="AC832">
        <v>0</v>
      </c>
      <c r="AD832">
        <v>982457265141</v>
      </c>
      <c r="AE832">
        <v>1133837423.8499999</v>
      </c>
      <c r="AF832">
        <v>976035662003.98999</v>
      </c>
      <c r="AG832">
        <v>980217617526.23999</v>
      </c>
      <c r="AH832">
        <v>6.2708E-2</v>
      </c>
      <c r="AI832">
        <v>1.3422999999999999E-2</v>
      </c>
    </row>
    <row r="833" spans="13:35" x14ac:dyDescent="0.35">
      <c r="M833" t="s">
        <v>0</v>
      </c>
      <c r="N833">
        <v>7250</v>
      </c>
      <c r="O833">
        <v>16</v>
      </c>
      <c r="P833">
        <v>4877</v>
      </c>
      <c r="Q833">
        <v>0</v>
      </c>
      <c r="R833">
        <v>127665082819</v>
      </c>
      <c r="S833">
        <v>111999220.94</v>
      </c>
      <c r="T833">
        <v>123632864224.56</v>
      </c>
      <c r="U833">
        <v>126449207925.28999</v>
      </c>
      <c r="V833">
        <v>0.31220199999999998</v>
      </c>
      <c r="W833">
        <v>9.8964999999999997E-2</v>
      </c>
      <c r="Y833" t="s">
        <v>2</v>
      </c>
      <c r="Z833">
        <v>5750</v>
      </c>
      <c r="AA833">
        <v>16</v>
      </c>
      <c r="AB833">
        <v>1032</v>
      </c>
      <c r="AC833">
        <v>0</v>
      </c>
      <c r="AD833">
        <v>22182824185</v>
      </c>
      <c r="AE833">
        <v>25672819.809999999</v>
      </c>
      <c r="AF833">
        <v>22157151365.189999</v>
      </c>
      <c r="AG833">
        <v>22157151365.189999</v>
      </c>
      <c r="AH833">
        <v>0</v>
      </c>
      <c r="AI833">
        <v>0</v>
      </c>
    </row>
    <row r="834" spans="13:35" x14ac:dyDescent="0.35">
      <c r="M834" t="s">
        <v>0</v>
      </c>
      <c r="N834">
        <v>5000</v>
      </c>
      <c r="O834">
        <v>20</v>
      </c>
      <c r="P834">
        <v>4550</v>
      </c>
      <c r="Q834">
        <v>0</v>
      </c>
      <c r="R834">
        <v>153385132177</v>
      </c>
      <c r="S834">
        <v>205855376.84</v>
      </c>
      <c r="T834">
        <v>152841489966.63</v>
      </c>
      <c r="U834">
        <v>153021800489.13</v>
      </c>
      <c r="V834">
        <v>2.6109E-2</v>
      </c>
      <c r="W834">
        <v>1.2251E-2</v>
      </c>
      <c r="Y834" t="s">
        <v>0</v>
      </c>
      <c r="Z834">
        <v>6000</v>
      </c>
      <c r="AA834">
        <v>16</v>
      </c>
      <c r="AB834">
        <v>10203</v>
      </c>
      <c r="AC834">
        <v>0</v>
      </c>
      <c r="AD834">
        <v>295964579575</v>
      </c>
      <c r="AE834">
        <v>326251890.75</v>
      </c>
      <c r="AF834">
        <v>292787803611.62</v>
      </c>
      <c r="AG834">
        <v>295192323134.15002</v>
      </c>
      <c r="AH834">
        <v>0.10964599999999999</v>
      </c>
      <c r="AI834">
        <v>1.7933999999999999E-2</v>
      </c>
    </row>
    <row r="835" spans="13:35" x14ac:dyDescent="0.35">
      <c r="M835" t="s">
        <v>1</v>
      </c>
      <c r="N835">
        <v>5000</v>
      </c>
      <c r="O835">
        <v>20</v>
      </c>
      <c r="P835">
        <v>1816</v>
      </c>
      <c r="Q835">
        <v>0</v>
      </c>
      <c r="R835">
        <v>67739243563</v>
      </c>
      <c r="S835">
        <v>90968767.340000004</v>
      </c>
      <c r="T835">
        <v>67305244672</v>
      </c>
      <c r="U835">
        <v>67648274795.660004</v>
      </c>
      <c r="V835">
        <v>5.9103999999999997E-2</v>
      </c>
      <c r="W835">
        <v>0</v>
      </c>
      <c r="Y835" t="s">
        <v>0</v>
      </c>
      <c r="Z835">
        <v>6250</v>
      </c>
      <c r="AA835">
        <v>16</v>
      </c>
      <c r="AB835">
        <v>25756</v>
      </c>
      <c r="AC835">
        <v>0</v>
      </c>
      <c r="AD835">
        <v>794925937423</v>
      </c>
      <c r="AE835">
        <v>838084206.66999996</v>
      </c>
      <c r="AF835">
        <v>780699326932.35999</v>
      </c>
      <c r="AG835">
        <v>791948954432.06006</v>
      </c>
      <c r="AH835">
        <v>0.18440000000000001</v>
      </c>
      <c r="AI835">
        <v>3.1815000000000003E-2</v>
      </c>
    </row>
    <row r="836" spans="13:35" x14ac:dyDescent="0.35">
      <c r="M836" t="s">
        <v>2</v>
      </c>
      <c r="N836">
        <v>4500</v>
      </c>
      <c r="O836">
        <v>18</v>
      </c>
      <c r="P836">
        <v>63</v>
      </c>
      <c r="Q836">
        <v>0</v>
      </c>
      <c r="R836">
        <v>1598284268</v>
      </c>
      <c r="S836">
        <v>2314650.69</v>
      </c>
      <c r="T836">
        <v>1589707782.3</v>
      </c>
      <c r="U836">
        <v>1589707782.3</v>
      </c>
      <c r="V836">
        <v>4.6013999999999999E-2</v>
      </c>
      <c r="W836">
        <v>4.6013999999999999E-2</v>
      </c>
      <c r="Y836" t="s">
        <v>0</v>
      </c>
      <c r="Z836">
        <v>7000</v>
      </c>
      <c r="AA836">
        <v>16</v>
      </c>
      <c r="AB836">
        <v>3568</v>
      </c>
      <c r="AC836">
        <v>0</v>
      </c>
      <c r="AD836">
        <v>93779386964</v>
      </c>
      <c r="AE836">
        <v>86070881.739999995</v>
      </c>
      <c r="AF836">
        <v>91537124683.740005</v>
      </c>
      <c r="AG836">
        <v>93260342947.899994</v>
      </c>
      <c r="AH836">
        <v>0.24355599999999999</v>
      </c>
      <c r="AI836">
        <v>5.4017999999999997E-2</v>
      </c>
    </row>
    <row r="837" spans="13:35" x14ac:dyDescent="0.35">
      <c r="M837" t="s">
        <v>0</v>
      </c>
      <c r="N837">
        <v>4500</v>
      </c>
      <c r="O837">
        <v>18</v>
      </c>
      <c r="P837">
        <v>1790</v>
      </c>
      <c r="Q837">
        <v>0</v>
      </c>
      <c r="R837">
        <v>59859532046</v>
      </c>
      <c r="S837">
        <v>86555262.040000007</v>
      </c>
      <c r="T837">
        <v>59727549277.309998</v>
      </c>
      <c r="U837">
        <v>59772976783.959999</v>
      </c>
      <c r="V837">
        <v>9.0690000000000007E-3</v>
      </c>
      <c r="W837">
        <v>0</v>
      </c>
      <c r="Y837" t="s">
        <v>0</v>
      </c>
      <c r="Z837">
        <v>7250</v>
      </c>
      <c r="AA837">
        <v>16</v>
      </c>
      <c r="AB837">
        <v>3719</v>
      </c>
      <c r="AC837">
        <v>0</v>
      </c>
      <c r="AD837">
        <v>96744847602</v>
      </c>
      <c r="AE837">
        <v>84806223.430000007</v>
      </c>
      <c r="AF837">
        <v>94173787110.800003</v>
      </c>
      <c r="AG837">
        <v>95985700179.440002</v>
      </c>
      <c r="AH837">
        <v>0.26832699999999998</v>
      </c>
      <c r="AI837">
        <v>8.0509999999999998E-2</v>
      </c>
    </row>
    <row r="838" spans="13:35" x14ac:dyDescent="0.35">
      <c r="M838" t="s">
        <v>2</v>
      </c>
      <c r="N838">
        <v>5500</v>
      </c>
      <c r="O838">
        <v>16</v>
      </c>
      <c r="P838">
        <v>220</v>
      </c>
      <c r="Q838">
        <v>0</v>
      </c>
      <c r="R838">
        <v>4739311238</v>
      </c>
      <c r="S838">
        <v>5698684.0999999996</v>
      </c>
      <c r="T838">
        <v>4733612553.8999996</v>
      </c>
      <c r="U838">
        <v>4733612553.8999996</v>
      </c>
      <c r="V838">
        <v>0</v>
      </c>
      <c r="W838">
        <v>0</v>
      </c>
      <c r="Y838" t="s">
        <v>0</v>
      </c>
      <c r="Z838">
        <v>6750</v>
      </c>
      <c r="AA838">
        <v>16</v>
      </c>
      <c r="AB838">
        <v>14489</v>
      </c>
      <c r="AC838">
        <v>0</v>
      </c>
      <c r="AD838">
        <v>395712654404</v>
      </c>
      <c r="AE838">
        <v>381533046.10000002</v>
      </c>
      <c r="AF838">
        <v>386647533914.03003</v>
      </c>
      <c r="AG838">
        <v>393390360983.08002</v>
      </c>
      <c r="AH838">
        <v>0.233762</v>
      </c>
      <c r="AI838">
        <v>5.7292000000000003E-2</v>
      </c>
    </row>
    <row r="839" spans="13:35" x14ac:dyDescent="0.35">
      <c r="M839" t="s">
        <v>1</v>
      </c>
      <c r="N839">
        <v>4500</v>
      </c>
      <c r="O839">
        <v>14</v>
      </c>
      <c r="P839">
        <v>670</v>
      </c>
      <c r="Q839">
        <v>0</v>
      </c>
      <c r="R839">
        <v>22086746600</v>
      </c>
      <c r="S839">
        <v>31258933.41</v>
      </c>
      <c r="T839">
        <v>21994754370.049999</v>
      </c>
      <c r="U839">
        <v>22055487666.59</v>
      </c>
      <c r="V839">
        <v>3.2502999999999997E-2</v>
      </c>
      <c r="W839">
        <v>0</v>
      </c>
      <c r="Y839" t="s">
        <v>2</v>
      </c>
      <c r="Z839">
        <v>5000</v>
      </c>
      <c r="AA839">
        <v>16</v>
      </c>
      <c r="AB839">
        <v>156</v>
      </c>
      <c r="AC839">
        <v>0</v>
      </c>
      <c r="AD839">
        <v>3768688798</v>
      </c>
      <c r="AE839">
        <v>4952697.2</v>
      </c>
      <c r="AF839">
        <v>3736027981.02</v>
      </c>
      <c r="AG839">
        <v>3763736100.8000002</v>
      </c>
      <c r="AH839">
        <v>8.4745000000000001E-2</v>
      </c>
      <c r="AI839">
        <v>0</v>
      </c>
    </row>
    <row r="840" spans="13:35" x14ac:dyDescent="0.35">
      <c r="M840" t="s">
        <v>2</v>
      </c>
      <c r="N840">
        <v>4500</v>
      </c>
      <c r="O840">
        <v>14</v>
      </c>
      <c r="P840">
        <v>87</v>
      </c>
      <c r="Q840">
        <v>0</v>
      </c>
      <c r="R840">
        <v>2383318391</v>
      </c>
      <c r="S840">
        <v>3367323.83</v>
      </c>
      <c r="T840">
        <v>2379951067.1700001</v>
      </c>
      <c r="U840">
        <v>2379951067.1700001</v>
      </c>
      <c r="V840">
        <v>0</v>
      </c>
      <c r="W840">
        <v>0</v>
      </c>
      <c r="Y840" t="s">
        <v>1</v>
      </c>
      <c r="Z840">
        <v>5250</v>
      </c>
      <c r="AA840">
        <v>16</v>
      </c>
      <c r="AB840">
        <v>15064</v>
      </c>
      <c r="AC840">
        <v>0</v>
      </c>
      <c r="AD840">
        <v>617121772322</v>
      </c>
      <c r="AE840">
        <v>777612958.54999995</v>
      </c>
      <c r="AF840">
        <v>609973481341.32996</v>
      </c>
      <c r="AG840">
        <v>614867343974.12</v>
      </c>
      <c r="AH840">
        <v>0.117081</v>
      </c>
      <c r="AI840">
        <v>2.8341999999999999E-2</v>
      </c>
    </row>
    <row r="841" spans="13:35" x14ac:dyDescent="0.35">
      <c r="M841" t="s">
        <v>0</v>
      </c>
      <c r="N841">
        <v>4500</v>
      </c>
      <c r="O841">
        <v>16</v>
      </c>
      <c r="P841">
        <v>2214</v>
      </c>
      <c r="Q841">
        <v>0</v>
      </c>
      <c r="R841">
        <v>73869245226</v>
      </c>
      <c r="S841">
        <v>105664525.34999999</v>
      </c>
      <c r="T841">
        <v>73721875299.649994</v>
      </c>
      <c r="U841">
        <v>73763580700.649994</v>
      </c>
      <c r="V841">
        <v>6.7539999999999996E-3</v>
      </c>
      <c r="W841">
        <v>0</v>
      </c>
      <c r="Y841" t="s">
        <v>2</v>
      </c>
      <c r="Z841">
        <v>5500</v>
      </c>
      <c r="AA841">
        <v>16</v>
      </c>
      <c r="AB841">
        <v>374</v>
      </c>
      <c r="AC841">
        <v>0</v>
      </c>
      <c r="AD841">
        <v>8064663013</v>
      </c>
      <c r="AE841">
        <v>9715956.4700000007</v>
      </c>
      <c r="AF841">
        <v>8054947056.5299997</v>
      </c>
      <c r="AG841">
        <v>8054947056.5299997</v>
      </c>
      <c r="AH841">
        <v>0</v>
      </c>
      <c r="AI841">
        <v>0</v>
      </c>
    </row>
    <row r="842" spans="13:35" x14ac:dyDescent="0.35">
      <c r="M842" t="s">
        <v>2</v>
      </c>
      <c r="N842">
        <v>4500</v>
      </c>
      <c r="O842">
        <v>16</v>
      </c>
      <c r="P842">
        <v>72</v>
      </c>
      <c r="Q842">
        <v>0</v>
      </c>
      <c r="R842">
        <v>1822893444</v>
      </c>
      <c r="S842">
        <v>2604685.73</v>
      </c>
      <c r="T842">
        <v>1820288758.27</v>
      </c>
      <c r="U842">
        <v>1820288758.27</v>
      </c>
      <c r="V842">
        <v>0</v>
      </c>
      <c r="W842">
        <v>0</v>
      </c>
      <c r="Y842" t="s">
        <v>2</v>
      </c>
      <c r="Z842">
        <v>6750</v>
      </c>
      <c r="AA842">
        <v>20</v>
      </c>
      <c r="AB842">
        <v>1412</v>
      </c>
      <c r="AC842">
        <v>0</v>
      </c>
      <c r="AD842">
        <v>26534356544</v>
      </c>
      <c r="AE842">
        <v>26245198.109999999</v>
      </c>
      <c r="AF842">
        <v>26192095572.849998</v>
      </c>
      <c r="AG842">
        <v>26442636843.209999</v>
      </c>
      <c r="AH842">
        <v>0.13391700000000001</v>
      </c>
      <c r="AI842">
        <v>2.9211999999999998E-2</v>
      </c>
    </row>
    <row r="843" spans="13:35" x14ac:dyDescent="0.35">
      <c r="M843" t="s">
        <v>0</v>
      </c>
      <c r="N843">
        <v>4500</v>
      </c>
      <c r="O843">
        <v>14</v>
      </c>
      <c r="P843">
        <v>1868</v>
      </c>
      <c r="Q843">
        <v>0</v>
      </c>
      <c r="R843">
        <v>58758547906</v>
      </c>
      <c r="S843">
        <v>83094613</v>
      </c>
      <c r="T843">
        <v>58611466452.980003</v>
      </c>
      <c r="U843">
        <v>58675453293</v>
      </c>
      <c r="V843">
        <v>1.299E-2</v>
      </c>
      <c r="W843">
        <v>0</v>
      </c>
      <c r="Y843" t="s">
        <v>1</v>
      </c>
      <c r="Z843">
        <v>6000</v>
      </c>
      <c r="AA843">
        <v>16</v>
      </c>
      <c r="AB843">
        <v>4760</v>
      </c>
      <c r="AC843">
        <v>0</v>
      </c>
      <c r="AD843">
        <v>167287577872</v>
      </c>
      <c r="AE843">
        <v>184329881.33000001</v>
      </c>
      <c r="AF843">
        <v>162609333095.95001</v>
      </c>
      <c r="AG843">
        <v>166588489955.60001</v>
      </c>
      <c r="AH843">
        <v>0.27875</v>
      </c>
      <c r="AI843">
        <v>3.6305999999999998E-2</v>
      </c>
    </row>
    <row r="844" spans="13:35" x14ac:dyDescent="0.35">
      <c r="M844" t="s">
        <v>0</v>
      </c>
      <c r="N844">
        <v>5000</v>
      </c>
      <c r="O844">
        <v>9</v>
      </c>
      <c r="P844">
        <v>2739</v>
      </c>
      <c r="Q844">
        <v>0</v>
      </c>
      <c r="R844">
        <v>98072100926</v>
      </c>
      <c r="S844">
        <v>124476028.48999999</v>
      </c>
      <c r="T844">
        <v>97877961343.270004</v>
      </c>
      <c r="U844">
        <v>97922002521.320007</v>
      </c>
      <c r="V844">
        <v>8.4910000000000003E-3</v>
      </c>
      <c r="W844">
        <v>3.1310000000000001E-3</v>
      </c>
      <c r="Y844" t="s">
        <v>2</v>
      </c>
      <c r="Z844">
        <v>6000</v>
      </c>
      <c r="AA844">
        <v>16</v>
      </c>
      <c r="AB844">
        <v>819</v>
      </c>
      <c r="AC844">
        <v>0</v>
      </c>
      <c r="AD844">
        <v>16381111436</v>
      </c>
      <c r="AE844">
        <v>18039379.48</v>
      </c>
      <c r="AF844">
        <v>16332522868.450001</v>
      </c>
      <c r="AG844">
        <v>16363072056.52</v>
      </c>
      <c r="AH844">
        <v>2.2151000000000001E-2</v>
      </c>
      <c r="AI844">
        <v>0</v>
      </c>
    </row>
    <row r="845" spans="13:35" x14ac:dyDescent="0.35">
      <c r="M845" t="s">
        <v>2</v>
      </c>
      <c r="N845">
        <v>5000</v>
      </c>
      <c r="O845">
        <v>9</v>
      </c>
      <c r="P845">
        <v>52</v>
      </c>
      <c r="Q845">
        <v>0</v>
      </c>
      <c r="R845">
        <v>1462862969</v>
      </c>
      <c r="S845">
        <v>1853851.04</v>
      </c>
      <c r="T845">
        <v>1461009117.96</v>
      </c>
      <c r="U845">
        <v>1461009117.96</v>
      </c>
      <c r="V845">
        <v>0</v>
      </c>
      <c r="W845">
        <v>0</v>
      </c>
      <c r="Y845" t="s">
        <v>0</v>
      </c>
      <c r="Z845">
        <v>6000</v>
      </c>
      <c r="AA845">
        <v>14</v>
      </c>
      <c r="AB845">
        <v>9725</v>
      </c>
      <c r="AC845">
        <v>0</v>
      </c>
      <c r="AD845">
        <v>306076283746</v>
      </c>
      <c r="AE845">
        <v>333322764.27999997</v>
      </c>
      <c r="AF845">
        <v>302864430930.15997</v>
      </c>
      <c r="AG845">
        <v>305525028880.52002</v>
      </c>
      <c r="AH845">
        <v>0.107197</v>
      </c>
      <c r="AI845">
        <v>8.5109999999999995E-3</v>
      </c>
    </row>
    <row r="846" spans="13:35" x14ac:dyDescent="0.35">
      <c r="M846" t="s">
        <v>1</v>
      </c>
      <c r="N846">
        <v>5000</v>
      </c>
      <c r="O846">
        <v>9</v>
      </c>
      <c r="P846">
        <v>1155</v>
      </c>
      <c r="Q846">
        <v>0</v>
      </c>
      <c r="R846">
        <v>45020557069</v>
      </c>
      <c r="S846">
        <v>57099777.439999998</v>
      </c>
      <c r="T846">
        <v>44861668218.739998</v>
      </c>
      <c r="U846">
        <v>44963457291.559998</v>
      </c>
      <c r="V846">
        <v>2.6797000000000001E-2</v>
      </c>
      <c r="W846">
        <v>0</v>
      </c>
      <c r="Y846" t="s">
        <v>1</v>
      </c>
      <c r="Z846">
        <v>6750</v>
      </c>
      <c r="AA846">
        <v>16</v>
      </c>
      <c r="AB846">
        <v>3481</v>
      </c>
      <c r="AC846">
        <v>0</v>
      </c>
      <c r="AD846">
        <v>104456437484</v>
      </c>
      <c r="AE846">
        <v>100860051.04000001</v>
      </c>
      <c r="AF846">
        <v>99200741546.880005</v>
      </c>
      <c r="AG846">
        <v>103445016130.27</v>
      </c>
      <c r="AH846">
        <v>0.455181</v>
      </c>
      <c r="AI846">
        <v>9.9733000000000002E-2</v>
      </c>
    </row>
    <row r="847" spans="13:35" x14ac:dyDescent="0.35">
      <c r="M847" t="s">
        <v>1</v>
      </c>
      <c r="N847">
        <v>5500</v>
      </c>
      <c r="O847">
        <v>9</v>
      </c>
      <c r="P847">
        <v>808</v>
      </c>
      <c r="Q847">
        <v>0</v>
      </c>
      <c r="R847">
        <v>31995081298</v>
      </c>
      <c r="S847">
        <v>37078679.960000001</v>
      </c>
      <c r="T847">
        <v>31902600374.25</v>
      </c>
      <c r="U847">
        <v>31958002618.040001</v>
      </c>
      <c r="V847">
        <v>2.0582E-2</v>
      </c>
      <c r="W847">
        <v>0</v>
      </c>
      <c r="Y847" t="s">
        <v>0</v>
      </c>
      <c r="Z847">
        <v>6750</v>
      </c>
      <c r="AA847">
        <v>14</v>
      </c>
      <c r="AB847">
        <v>19713</v>
      </c>
      <c r="AC847">
        <v>0</v>
      </c>
      <c r="AD847">
        <v>557590037993</v>
      </c>
      <c r="AE847">
        <v>530599063.14999998</v>
      </c>
      <c r="AF847">
        <v>542429163574.78003</v>
      </c>
      <c r="AG847">
        <v>554675483509.70996</v>
      </c>
      <c r="AH847">
        <v>0.27317200000000003</v>
      </c>
      <c r="AI847">
        <v>5.0116000000000001E-2</v>
      </c>
    </row>
    <row r="848" spans="13:35" x14ac:dyDescent="0.35">
      <c r="M848" t="s">
        <v>0</v>
      </c>
      <c r="N848">
        <v>5500</v>
      </c>
      <c r="O848">
        <v>9</v>
      </c>
      <c r="P848">
        <v>1287</v>
      </c>
      <c r="Q848">
        <v>0</v>
      </c>
      <c r="R848">
        <v>44846811318</v>
      </c>
      <c r="S848">
        <v>52067415.829999998</v>
      </c>
      <c r="T848">
        <v>44701372678.290001</v>
      </c>
      <c r="U848">
        <v>44794743902.169998</v>
      </c>
      <c r="V848">
        <v>2.47E-2</v>
      </c>
      <c r="W848">
        <v>0</v>
      </c>
      <c r="Y848" t="s">
        <v>1</v>
      </c>
      <c r="Z848">
        <v>7000</v>
      </c>
      <c r="AA848">
        <v>16</v>
      </c>
      <c r="AB848">
        <v>492</v>
      </c>
      <c r="AC848">
        <v>0</v>
      </c>
      <c r="AD848">
        <v>14083980166</v>
      </c>
      <c r="AE848">
        <v>12967601.52</v>
      </c>
      <c r="AF848">
        <v>13504266575.17</v>
      </c>
      <c r="AG848">
        <v>13920045599.940001</v>
      </c>
      <c r="AH848">
        <v>0.389129</v>
      </c>
      <c r="AI848">
        <v>0.12131</v>
      </c>
    </row>
    <row r="849" spans="13:35" x14ac:dyDescent="0.35">
      <c r="M849" t="s">
        <v>2</v>
      </c>
      <c r="N849">
        <v>5500</v>
      </c>
      <c r="O849">
        <v>10</v>
      </c>
      <c r="P849">
        <v>49</v>
      </c>
      <c r="Q849">
        <v>0</v>
      </c>
      <c r="R849">
        <v>1103747379</v>
      </c>
      <c r="S849">
        <v>1288104.3600000001</v>
      </c>
      <c r="T849">
        <v>1102459274.6400001</v>
      </c>
      <c r="U849">
        <v>1102459274.6400001</v>
      </c>
      <c r="V849">
        <v>0</v>
      </c>
      <c r="W849">
        <v>0</v>
      </c>
      <c r="Y849" t="s">
        <v>1</v>
      </c>
      <c r="Z849">
        <v>7000</v>
      </c>
      <c r="AA849">
        <v>14</v>
      </c>
      <c r="AB849">
        <v>779</v>
      </c>
      <c r="AC849">
        <v>0</v>
      </c>
      <c r="AD849">
        <v>20898262367</v>
      </c>
      <c r="AE849">
        <v>19020989.050000001</v>
      </c>
      <c r="AF849">
        <v>19695372335.349998</v>
      </c>
      <c r="AG849">
        <v>20408349382.34</v>
      </c>
      <c r="AH849">
        <v>0.50331700000000001</v>
      </c>
      <c r="AI849">
        <v>0.23927499999999999</v>
      </c>
    </row>
    <row r="850" spans="13:35" x14ac:dyDescent="0.35">
      <c r="M850" t="s">
        <v>0</v>
      </c>
      <c r="N850">
        <v>6000</v>
      </c>
      <c r="O850">
        <v>12</v>
      </c>
      <c r="P850">
        <v>15357</v>
      </c>
      <c r="Q850">
        <v>0</v>
      </c>
      <c r="R850">
        <v>498566253115</v>
      </c>
      <c r="S850">
        <v>536029516.93000001</v>
      </c>
      <c r="T850">
        <v>494466748441.67999</v>
      </c>
      <c r="U850">
        <v>497806624853.32001</v>
      </c>
      <c r="V850">
        <v>8.2476999999999995E-2</v>
      </c>
      <c r="W850">
        <v>5.3689999999999996E-3</v>
      </c>
      <c r="Y850" t="s">
        <v>2</v>
      </c>
      <c r="Z850">
        <v>4500</v>
      </c>
      <c r="AA850">
        <v>18</v>
      </c>
      <c r="AB850">
        <v>67</v>
      </c>
      <c r="AC850">
        <v>0</v>
      </c>
      <c r="AD850">
        <v>1663718080</v>
      </c>
      <c r="AE850">
        <v>2404498</v>
      </c>
      <c r="AF850">
        <v>1661313582</v>
      </c>
      <c r="AG850">
        <v>1661313582</v>
      </c>
      <c r="AH850">
        <v>0</v>
      </c>
      <c r="AI850">
        <v>0</v>
      </c>
    </row>
    <row r="851" spans="13:35" x14ac:dyDescent="0.35">
      <c r="M851" t="s">
        <v>0</v>
      </c>
      <c r="N851">
        <v>6000</v>
      </c>
      <c r="O851">
        <v>10</v>
      </c>
      <c r="P851">
        <v>7110</v>
      </c>
      <c r="Q851">
        <v>0</v>
      </c>
      <c r="R851">
        <v>230829049138</v>
      </c>
      <c r="S851">
        <v>245961646.44</v>
      </c>
      <c r="T851">
        <v>228840514944.82999</v>
      </c>
      <c r="U851">
        <v>230265499057.70001</v>
      </c>
      <c r="V851">
        <v>8.6921999999999999E-2</v>
      </c>
      <c r="W851">
        <v>1.6386000000000001E-2</v>
      </c>
      <c r="Y851" t="s">
        <v>0</v>
      </c>
      <c r="Z851">
        <v>4500</v>
      </c>
      <c r="AA851">
        <v>18</v>
      </c>
      <c r="AB851">
        <v>1750</v>
      </c>
      <c r="AC851">
        <v>0</v>
      </c>
      <c r="AD851">
        <v>57070013579</v>
      </c>
      <c r="AE851">
        <v>82402077.379999995</v>
      </c>
      <c r="AF851">
        <v>56958968382.279999</v>
      </c>
      <c r="AG851">
        <v>56987611501.620003</v>
      </c>
      <c r="AH851">
        <v>6.0060000000000001E-3</v>
      </c>
      <c r="AI851">
        <v>0</v>
      </c>
    </row>
    <row r="852" spans="13:35" x14ac:dyDescent="0.35">
      <c r="M852" t="s">
        <v>0</v>
      </c>
      <c r="N852">
        <v>6000</v>
      </c>
      <c r="O852">
        <v>9</v>
      </c>
      <c r="P852">
        <v>5597</v>
      </c>
      <c r="Q852">
        <v>0</v>
      </c>
      <c r="R852">
        <v>180039944579</v>
      </c>
      <c r="S852">
        <v>190941177.46000001</v>
      </c>
      <c r="T852">
        <v>178722974684.39001</v>
      </c>
      <c r="U852">
        <v>179778639497.75</v>
      </c>
      <c r="V852">
        <v>7.2523000000000004E-2</v>
      </c>
      <c r="W852">
        <v>4.6800000000000001E-3</v>
      </c>
      <c r="Y852" t="s">
        <v>0</v>
      </c>
      <c r="Z852">
        <v>5500</v>
      </c>
      <c r="AA852">
        <v>14</v>
      </c>
      <c r="AB852">
        <v>3528</v>
      </c>
      <c r="AC852">
        <v>0</v>
      </c>
      <c r="AD852">
        <v>116812327926</v>
      </c>
      <c r="AE852">
        <v>139214473.87</v>
      </c>
      <c r="AF852">
        <v>116049544952.32001</v>
      </c>
      <c r="AG852">
        <v>116588639832.38</v>
      </c>
      <c r="AH852">
        <v>6.2211000000000002E-2</v>
      </c>
      <c r="AI852">
        <v>8.6429999999999996E-3</v>
      </c>
    </row>
    <row r="853" spans="13:35" x14ac:dyDescent="0.35">
      <c r="M853" t="s">
        <v>1</v>
      </c>
      <c r="N853">
        <v>6000</v>
      </c>
      <c r="O853">
        <v>9</v>
      </c>
      <c r="P853">
        <v>4244</v>
      </c>
      <c r="Q853">
        <v>0</v>
      </c>
      <c r="R853">
        <v>174577322545</v>
      </c>
      <c r="S853">
        <v>184871948.22999999</v>
      </c>
      <c r="T853">
        <v>170921480375.01001</v>
      </c>
      <c r="U853">
        <v>174122425827.42999</v>
      </c>
      <c r="V853">
        <v>0.21415000000000001</v>
      </c>
      <c r="W853">
        <v>1.8404E-2</v>
      </c>
      <c r="Y853" t="s">
        <v>2</v>
      </c>
      <c r="Z853">
        <v>5500</v>
      </c>
      <c r="AA853">
        <v>14</v>
      </c>
      <c r="AB853">
        <v>144</v>
      </c>
      <c r="AC853">
        <v>0</v>
      </c>
      <c r="AD853">
        <v>3245704764</v>
      </c>
      <c r="AE853">
        <v>3856329.78</v>
      </c>
      <c r="AF853">
        <v>3241848434.2199998</v>
      </c>
      <c r="AG853">
        <v>3241848434.2199998</v>
      </c>
      <c r="AH853">
        <v>0</v>
      </c>
      <c r="AI853">
        <v>0</v>
      </c>
    </row>
    <row r="854" spans="13:35" x14ac:dyDescent="0.35">
      <c r="M854" t="s">
        <v>2</v>
      </c>
      <c r="N854">
        <v>5500</v>
      </c>
      <c r="O854">
        <v>8</v>
      </c>
      <c r="P854">
        <v>43</v>
      </c>
      <c r="Q854">
        <v>0</v>
      </c>
      <c r="R854">
        <v>1043170313</v>
      </c>
      <c r="S854">
        <v>1201574.75</v>
      </c>
      <c r="T854">
        <v>1041968738.25</v>
      </c>
      <c r="U854">
        <v>1041968738.25</v>
      </c>
      <c r="V854">
        <v>0</v>
      </c>
      <c r="W854">
        <v>0</v>
      </c>
      <c r="Y854" t="s">
        <v>1</v>
      </c>
      <c r="Z854">
        <v>4500</v>
      </c>
      <c r="AA854">
        <v>14</v>
      </c>
      <c r="AB854">
        <v>813</v>
      </c>
      <c r="AC854">
        <v>0</v>
      </c>
      <c r="AD854">
        <v>27615492882</v>
      </c>
      <c r="AE854">
        <v>39111016.07</v>
      </c>
      <c r="AF854">
        <v>27542660001.360001</v>
      </c>
      <c r="AG854">
        <v>27576381865.93</v>
      </c>
      <c r="AH854">
        <v>1.4555E-2</v>
      </c>
      <c r="AI854">
        <v>0</v>
      </c>
    </row>
    <row r="855" spans="13:35" x14ac:dyDescent="0.35">
      <c r="M855" t="s">
        <v>0</v>
      </c>
      <c r="N855">
        <v>5500</v>
      </c>
      <c r="O855">
        <v>8</v>
      </c>
      <c r="P855">
        <v>1353</v>
      </c>
      <c r="Q855">
        <v>0</v>
      </c>
      <c r="R855">
        <v>46407733250</v>
      </c>
      <c r="S855">
        <v>53597792.689999998</v>
      </c>
      <c r="T855">
        <v>46218906617.790001</v>
      </c>
      <c r="U855">
        <v>46354135457.309998</v>
      </c>
      <c r="V855">
        <v>3.4411999999999998E-2</v>
      </c>
      <c r="W855">
        <v>0</v>
      </c>
      <c r="Y855" t="s">
        <v>2</v>
      </c>
      <c r="Z855">
        <v>4500</v>
      </c>
      <c r="AA855">
        <v>14</v>
      </c>
      <c r="AB855">
        <v>84</v>
      </c>
      <c r="AC855">
        <v>0</v>
      </c>
      <c r="AD855">
        <v>2224830430</v>
      </c>
      <c r="AE855">
        <v>3146542.69</v>
      </c>
      <c r="AF855">
        <v>2221683887.3099999</v>
      </c>
      <c r="AG855">
        <v>2221683887.3099999</v>
      </c>
      <c r="AH855">
        <v>0</v>
      </c>
      <c r="AI855">
        <v>0</v>
      </c>
    </row>
    <row r="856" spans="13:35" x14ac:dyDescent="0.35">
      <c r="M856" t="s">
        <v>1</v>
      </c>
      <c r="N856">
        <v>5500</v>
      </c>
      <c r="O856">
        <v>8</v>
      </c>
      <c r="P856">
        <v>850</v>
      </c>
      <c r="Q856">
        <v>0</v>
      </c>
      <c r="R856">
        <v>34901313094</v>
      </c>
      <c r="S856">
        <v>40282985.619999997</v>
      </c>
      <c r="T856">
        <v>34700085777.980003</v>
      </c>
      <c r="U856">
        <v>34861030108.379997</v>
      </c>
      <c r="V856">
        <v>5.3955000000000003E-2</v>
      </c>
      <c r="W856">
        <v>0</v>
      </c>
      <c r="Y856" t="s">
        <v>0</v>
      </c>
      <c r="Z856">
        <v>4500</v>
      </c>
      <c r="AA856">
        <v>14</v>
      </c>
      <c r="AB856">
        <v>1980</v>
      </c>
      <c r="AC856">
        <v>0</v>
      </c>
      <c r="AD856">
        <v>63994306548</v>
      </c>
      <c r="AE856">
        <v>90601904.319999993</v>
      </c>
      <c r="AF856">
        <v>63903704643.68</v>
      </c>
      <c r="AG856">
        <v>63903704643.68</v>
      </c>
      <c r="AH856">
        <v>0</v>
      </c>
      <c r="AI856">
        <v>0</v>
      </c>
    </row>
    <row r="857" spans="13:35" x14ac:dyDescent="0.35">
      <c r="M857" t="s">
        <v>0</v>
      </c>
      <c r="N857">
        <v>6000</v>
      </c>
      <c r="O857">
        <v>8</v>
      </c>
      <c r="P857">
        <v>6678</v>
      </c>
      <c r="Q857">
        <v>0</v>
      </c>
      <c r="R857">
        <v>216617592071</v>
      </c>
      <c r="S857">
        <v>228339700.15000001</v>
      </c>
      <c r="T857">
        <v>214946375952.10999</v>
      </c>
      <c r="U857">
        <v>216314226684.04001</v>
      </c>
      <c r="V857">
        <v>7.7066999999999997E-2</v>
      </c>
      <c r="W857">
        <v>4.1479999999999998E-3</v>
      </c>
      <c r="Y857" t="s">
        <v>0</v>
      </c>
      <c r="Z857">
        <v>5000</v>
      </c>
      <c r="AA857">
        <v>8</v>
      </c>
      <c r="AB857">
        <v>2743</v>
      </c>
      <c r="AC857">
        <v>0</v>
      </c>
      <c r="AD857">
        <v>98386538924</v>
      </c>
      <c r="AE857">
        <v>124202612.31</v>
      </c>
      <c r="AF857">
        <v>98092891049.100006</v>
      </c>
      <c r="AG857">
        <v>98202480472.320007</v>
      </c>
      <c r="AH857">
        <v>2.0472000000000001E-2</v>
      </c>
      <c r="AI857">
        <v>7.2760000000000003E-3</v>
      </c>
    </row>
    <row r="858" spans="13:35" x14ac:dyDescent="0.35">
      <c r="M858" t="s">
        <v>1</v>
      </c>
      <c r="N858">
        <v>6000</v>
      </c>
      <c r="O858">
        <v>8</v>
      </c>
      <c r="P858">
        <v>5120</v>
      </c>
      <c r="Q858">
        <v>0</v>
      </c>
      <c r="R858">
        <v>217744039334</v>
      </c>
      <c r="S858">
        <v>229409080.06999999</v>
      </c>
      <c r="T858">
        <v>212010164845.32999</v>
      </c>
      <c r="U858">
        <v>217395275433.53</v>
      </c>
      <c r="V858">
        <v>0.26453700000000002</v>
      </c>
      <c r="W858">
        <v>6.5579999999999996E-3</v>
      </c>
      <c r="Y858" t="s">
        <v>2</v>
      </c>
      <c r="Z858">
        <v>5000</v>
      </c>
      <c r="AA858">
        <v>8</v>
      </c>
      <c r="AB858">
        <v>52</v>
      </c>
      <c r="AC858">
        <v>0</v>
      </c>
      <c r="AD858">
        <v>1465072017</v>
      </c>
      <c r="AE858">
        <v>1846656.7</v>
      </c>
      <c r="AF858">
        <v>1463225360.3</v>
      </c>
      <c r="AG858">
        <v>1463225360.3</v>
      </c>
      <c r="AH858">
        <v>0</v>
      </c>
      <c r="AI858">
        <v>0</v>
      </c>
    </row>
    <row r="859" spans="13:35" x14ac:dyDescent="0.35">
      <c r="M859" t="s">
        <v>0</v>
      </c>
      <c r="N859">
        <v>6000</v>
      </c>
      <c r="O859">
        <v>7</v>
      </c>
      <c r="P859">
        <v>8035</v>
      </c>
      <c r="Q859">
        <v>0</v>
      </c>
      <c r="R859">
        <v>259487178853</v>
      </c>
      <c r="S859">
        <v>271897022.14999998</v>
      </c>
      <c r="T859">
        <v>256617754223.12</v>
      </c>
      <c r="U859">
        <v>259128138494.5</v>
      </c>
      <c r="V859">
        <v>0.11372500000000001</v>
      </c>
      <c r="W859">
        <v>4.0229999999999997E-3</v>
      </c>
      <c r="Y859" t="s">
        <v>1</v>
      </c>
      <c r="Z859">
        <v>5000</v>
      </c>
      <c r="AA859">
        <v>8</v>
      </c>
      <c r="AB859">
        <v>1155</v>
      </c>
      <c r="AC859">
        <v>0</v>
      </c>
      <c r="AD859">
        <v>45072447710</v>
      </c>
      <c r="AE859">
        <v>56857476.590000004</v>
      </c>
      <c r="AF859">
        <v>44986816873.660004</v>
      </c>
      <c r="AG859">
        <v>44986816873.660004</v>
      </c>
      <c r="AH859">
        <v>7.6340000000000002E-3</v>
      </c>
      <c r="AI859">
        <v>7.6340000000000002E-3</v>
      </c>
    </row>
    <row r="860" spans="13:35" x14ac:dyDescent="0.35">
      <c r="M860" t="s">
        <v>0</v>
      </c>
      <c r="N860">
        <v>7750</v>
      </c>
      <c r="O860">
        <v>20</v>
      </c>
      <c r="P860">
        <v>2846</v>
      </c>
      <c r="Q860">
        <v>0</v>
      </c>
      <c r="R860">
        <v>72937465784</v>
      </c>
      <c r="S860">
        <v>59905263.509999998</v>
      </c>
      <c r="T860">
        <v>71279301895.210007</v>
      </c>
      <c r="U860">
        <v>72436791851.630005</v>
      </c>
      <c r="V860">
        <v>0.23346600000000001</v>
      </c>
      <c r="W860">
        <v>7.0154999999999995E-2</v>
      </c>
      <c r="Y860" t="s">
        <v>1</v>
      </c>
      <c r="Z860">
        <v>5500</v>
      </c>
      <c r="AA860">
        <v>8</v>
      </c>
      <c r="AB860">
        <v>820</v>
      </c>
      <c r="AC860">
        <v>0</v>
      </c>
      <c r="AD860">
        <v>32493673576</v>
      </c>
      <c r="AE860">
        <v>37440020.100000001</v>
      </c>
      <c r="AF860">
        <v>32004215827.029999</v>
      </c>
      <c r="AG860">
        <v>32405705569.77</v>
      </c>
      <c r="AH860">
        <v>0.15473300000000001</v>
      </c>
      <c r="AI860">
        <v>1.8501E-2</v>
      </c>
    </row>
    <row r="861" spans="13:35" x14ac:dyDescent="0.35">
      <c r="M861" t="s">
        <v>1</v>
      </c>
      <c r="N861">
        <v>7000</v>
      </c>
      <c r="O861">
        <v>18</v>
      </c>
      <c r="P861">
        <v>359</v>
      </c>
      <c r="Q861">
        <v>0</v>
      </c>
      <c r="R861">
        <v>10364321400</v>
      </c>
      <c r="S861">
        <v>9696803.6600000001</v>
      </c>
      <c r="T861">
        <v>9650784920.7199993</v>
      </c>
      <c r="U861">
        <v>10109855126.6</v>
      </c>
      <c r="V861">
        <v>0.56997399999999998</v>
      </c>
      <c r="W861">
        <v>0.249337</v>
      </c>
      <c r="Y861" t="s">
        <v>0</v>
      </c>
      <c r="Z861">
        <v>5500</v>
      </c>
      <c r="AA861">
        <v>8</v>
      </c>
      <c r="AB861">
        <v>1290</v>
      </c>
      <c r="AC861">
        <v>0</v>
      </c>
      <c r="AD861">
        <v>45021800638</v>
      </c>
      <c r="AE861">
        <v>51973663.450000003</v>
      </c>
      <c r="AF861">
        <v>44835004785.610001</v>
      </c>
      <c r="AG861">
        <v>44969826974.550003</v>
      </c>
      <c r="AH861">
        <v>3.5348999999999998E-2</v>
      </c>
      <c r="AI861">
        <v>0</v>
      </c>
    </row>
    <row r="862" spans="13:35" x14ac:dyDescent="0.35">
      <c r="M862" t="s">
        <v>2</v>
      </c>
      <c r="N862">
        <v>6500</v>
      </c>
      <c r="O862">
        <v>16</v>
      </c>
      <c r="P862">
        <v>788</v>
      </c>
      <c r="Q862">
        <v>0</v>
      </c>
      <c r="R862">
        <v>15027941287</v>
      </c>
      <c r="S862">
        <v>15134007.24</v>
      </c>
      <c r="T862">
        <v>14828698032.540001</v>
      </c>
      <c r="U862">
        <v>14984322875.870001</v>
      </c>
      <c r="V862">
        <v>0.13750100000000001</v>
      </c>
      <c r="W862">
        <v>2.2509999999999999E-2</v>
      </c>
      <c r="Y862" t="s">
        <v>2</v>
      </c>
      <c r="Z862">
        <v>5500</v>
      </c>
      <c r="AA862">
        <v>9</v>
      </c>
      <c r="AB862">
        <v>50</v>
      </c>
      <c r="AC862">
        <v>0</v>
      </c>
      <c r="AD862">
        <v>1129041310</v>
      </c>
      <c r="AE862">
        <v>1309934.17</v>
      </c>
      <c r="AF862">
        <v>1103787485.49</v>
      </c>
      <c r="AG862">
        <v>1127731375.8299999</v>
      </c>
      <c r="AH862">
        <v>0.22680500000000001</v>
      </c>
      <c r="AI862">
        <v>0</v>
      </c>
    </row>
    <row r="863" spans="13:35" x14ac:dyDescent="0.35">
      <c r="M863" t="s">
        <v>1</v>
      </c>
      <c r="N863">
        <v>6500</v>
      </c>
      <c r="O863">
        <v>16</v>
      </c>
      <c r="P863">
        <v>2038</v>
      </c>
      <c r="Q863">
        <v>0</v>
      </c>
      <c r="R863">
        <v>66004777874</v>
      </c>
      <c r="S863">
        <v>66468452.710000001</v>
      </c>
      <c r="T863">
        <v>63588067398.540001</v>
      </c>
      <c r="U863">
        <v>65755403846.589996</v>
      </c>
      <c r="V863">
        <v>0.35278599999999999</v>
      </c>
      <c r="W863">
        <v>3.2751000000000002E-2</v>
      </c>
      <c r="Y863" t="s">
        <v>0</v>
      </c>
      <c r="Z863">
        <v>6000</v>
      </c>
      <c r="AA863">
        <v>12</v>
      </c>
      <c r="AB863">
        <v>10728</v>
      </c>
      <c r="AC863">
        <v>0</v>
      </c>
      <c r="AD863">
        <v>352222004225</v>
      </c>
      <c r="AE863">
        <v>378770475.99000001</v>
      </c>
      <c r="AF863">
        <v>348456867648.07001</v>
      </c>
      <c r="AG863">
        <v>351557486865.13</v>
      </c>
      <c r="AH863">
        <v>0.109462</v>
      </c>
      <c r="AI863">
        <v>9.6919999999999992E-3</v>
      </c>
    </row>
    <row r="864" spans="13:35" x14ac:dyDescent="0.35">
      <c r="M864" t="s">
        <v>2</v>
      </c>
      <c r="N864">
        <v>7000</v>
      </c>
      <c r="O864">
        <v>16</v>
      </c>
      <c r="P864">
        <v>455</v>
      </c>
      <c r="Q864">
        <v>0</v>
      </c>
      <c r="R864">
        <v>7067118607</v>
      </c>
      <c r="S864">
        <v>6510419.5199999996</v>
      </c>
      <c r="T864">
        <v>7005929521.3900003</v>
      </c>
      <c r="U864">
        <v>7027710934.8500004</v>
      </c>
      <c r="V864">
        <v>8.8994000000000004E-2</v>
      </c>
      <c r="W864">
        <v>5.4452E-2</v>
      </c>
      <c r="Y864" t="s">
        <v>0</v>
      </c>
      <c r="Z864">
        <v>6000</v>
      </c>
      <c r="AA864">
        <v>9</v>
      </c>
      <c r="AB864">
        <v>7167</v>
      </c>
      <c r="AC864">
        <v>0</v>
      </c>
      <c r="AD864">
        <v>233069652577</v>
      </c>
      <c r="AE864">
        <v>246857176.05000001</v>
      </c>
      <c r="AF864">
        <v>230811456281.59</v>
      </c>
      <c r="AG864">
        <v>232760732524.60999</v>
      </c>
      <c r="AH864">
        <v>9.8780999999999994E-2</v>
      </c>
      <c r="AI864">
        <v>3.1909999999999998E-3</v>
      </c>
    </row>
    <row r="865" spans="13:35" x14ac:dyDescent="0.35">
      <c r="M865" t="s">
        <v>0</v>
      </c>
      <c r="N865">
        <v>6000</v>
      </c>
      <c r="O865">
        <v>14</v>
      </c>
      <c r="P865">
        <v>8192</v>
      </c>
      <c r="Q865">
        <v>0</v>
      </c>
      <c r="R865">
        <v>262063537564</v>
      </c>
      <c r="S865">
        <v>285461348.25999999</v>
      </c>
      <c r="T865">
        <v>259355505490.03</v>
      </c>
      <c r="U865">
        <v>261465857548.82001</v>
      </c>
      <c r="V865">
        <v>0.105461</v>
      </c>
      <c r="W865">
        <v>1.4203E-2</v>
      </c>
      <c r="Y865" t="s">
        <v>0</v>
      </c>
      <c r="Z865">
        <v>6000</v>
      </c>
      <c r="AA865">
        <v>8</v>
      </c>
      <c r="AB865">
        <v>5651</v>
      </c>
      <c r="AC865">
        <v>0</v>
      </c>
      <c r="AD865">
        <v>182052105594</v>
      </c>
      <c r="AE865">
        <v>191919069.22999999</v>
      </c>
      <c r="AF865">
        <v>180057010667.82001</v>
      </c>
      <c r="AG865">
        <v>181784460150.23001</v>
      </c>
      <c r="AH865">
        <v>0.112591</v>
      </c>
      <c r="AI865">
        <v>4.9800000000000001E-3</v>
      </c>
    </row>
    <row r="866" spans="13:35" x14ac:dyDescent="0.35">
      <c r="M866" t="s">
        <v>2</v>
      </c>
      <c r="N866">
        <v>6000</v>
      </c>
      <c r="O866">
        <v>14</v>
      </c>
      <c r="P866">
        <v>373</v>
      </c>
      <c r="Q866">
        <v>0</v>
      </c>
      <c r="R866">
        <v>8414061618</v>
      </c>
      <c r="S866">
        <v>9161057.6699999999</v>
      </c>
      <c r="T866">
        <v>8404900560.3299999</v>
      </c>
      <c r="U866">
        <v>8404900560.3299999</v>
      </c>
      <c r="V866">
        <v>0</v>
      </c>
      <c r="W866">
        <v>0</v>
      </c>
      <c r="Y866" t="s">
        <v>1</v>
      </c>
      <c r="Z866">
        <v>6000</v>
      </c>
      <c r="AA866">
        <v>8</v>
      </c>
      <c r="AB866">
        <v>4391</v>
      </c>
      <c r="AC866">
        <v>0</v>
      </c>
      <c r="AD866">
        <v>182072074057</v>
      </c>
      <c r="AE866">
        <v>191655199.15000001</v>
      </c>
      <c r="AF866">
        <v>174661625260.10999</v>
      </c>
      <c r="AG866">
        <v>181826579919.14001</v>
      </c>
      <c r="AH866">
        <v>0.38458900000000001</v>
      </c>
      <c r="AI866">
        <v>3.5430000000000001E-3</v>
      </c>
    </row>
    <row r="867" spans="13:35" x14ac:dyDescent="0.35">
      <c r="M867" t="s">
        <v>1</v>
      </c>
      <c r="N867">
        <v>6000</v>
      </c>
      <c r="O867">
        <v>14</v>
      </c>
      <c r="P867">
        <v>4677</v>
      </c>
      <c r="Q867">
        <v>0</v>
      </c>
      <c r="R867">
        <v>179895453204</v>
      </c>
      <c r="S867">
        <v>195770813.47999999</v>
      </c>
      <c r="T867">
        <v>175984560346.12</v>
      </c>
      <c r="U867">
        <v>179163590715.20001</v>
      </c>
      <c r="V867">
        <v>0.221521</v>
      </c>
      <c r="W867">
        <v>3.5180000000000003E-2</v>
      </c>
      <c r="Y867" t="s">
        <v>2</v>
      </c>
      <c r="Z867">
        <v>5500</v>
      </c>
      <c r="AA867">
        <v>7</v>
      </c>
      <c r="AB867">
        <v>43</v>
      </c>
      <c r="AC867">
        <v>0</v>
      </c>
      <c r="AD867">
        <v>1044457981</v>
      </c>
      <c r="AE867">
        <v>1196225.48</v>
      </c>
      <c r="AF867">
        <v>1043261755.52</v>
      </c>
      <c r="AG867">
        <v>1043261755.52</v>
      </c>
      <c r="AH867">
        <v>0</v>
      </c>
      <c r="AI867">
        <v>0</v>
      </c>
    </row>
    <row r="868" spans="13:35" x14ac:dyDescent="0.35">
      <c r="M868" t="s">
        <v>0</v>
      </c>
      <c r="N868">
        <v>6500</v>
      </c>
      <c r="O868">
        <v>14</v>
      </c>
      <c r="P868">
        <v>11185</v>
      </c>
      <c r="Q868">
        <v>0</v>
      </c>
      <c r="R868">
        <v>328516036127</v>
      </c>
      <c r="S868">
        <v>325934431.89999998</v>
      </c>
      <c r="T868">
        <v>322823511171.77002</v>
      </c>
      <c r="U868">
        <v>327332689876.01001</v>
      </c>
      <c r="V868">
        <v>0.179342</v>
      </c>
      <c r="W868">
        <v>3.0873999999999999E-2</v>
      </c>
      <c r="Y868" t="s">
        <v>0</v>
      </c>
      <c r="Z868">
        <v>5500</v>
      </c>
      <c r="AA868">
        <v>7</v>
      </c>
      <c r="AB868">
        <v>1354</v>
      </c>
      <c r="AC868">
        <v>0</v>
      </c>
      <c r="AD868">
        <v>46527651922</v>
      </c>
      <c r="AE868">
        <v>53431272.960000001</v>
      </c>
      <c r="AF868">
        <v>46311211745.449997</v>
      </c>
      <c r="AG868">
        <v>46474220649.040001</v>
      </c>
      <c r="AH868">
        <v>4.1241E-2</v>
      </c>
      <c r="AI868">
        <v>0</v>
      </c>
    </row>
    <row r="869" spans="13:35" x14ac:dyDescent="0.35">
      <c r="M869" t="s">
        <v>2</v>
      </c>
      <c r="N869">
        <v>6500</v>
      </c>
      <c r="O869">
        <v>14</v>
      </c>
      <c r="P869">
        <v>888</v>
      </c>
      <c r="Q869">
        <v>0</v>
      </c>
      <c r="R869">
        <v>18021065566</v>
      </c>
      <c r="S869">
        <v>17918252.140000001</v>
      </c>
      <c r="T869">
        <v>17951021422.200001</v>
      </c>
      <c r="U869">
        <v>18003147313.860001</v>
      </c>
      <c r="V869">
        <v>3.4162999999999999E-2</v>
      </c>
      <c r="W869">
        <v>0</v>
      </c>
      <c r="Y869" t="s">
        <v>1</v>
      </c>
      <c r="Z869">
        <v>5500</v>
      </c>
      <c r="AA869">
        <v>7</v>
      </c>
      <c r="AB869">
        <v>862</v>
      </c>
      <c r="AC869">
        <v>0</v>
      </c>
      <c r="AD869">
        <v>35357197243</v>
      </c>
      <c r="AE869">
        <v>40577477.600000001</v>
      </c>
      <c r="AF869">
        <v>34955552037.43</v>
      </c>
      <c r="AG869">
        <v>35316619765.400002</v>
      </c>
      <c r="AH869">
        <v>0.11589000000000001</v>
      </c>
      <c r="AI869">
        <v>0</v>
      </c>
    </row>
    <row r="870" spans="13:35" x14ac:dyDescent="0.35">
      <c r="M870" t="s">
        <v>1</v>
      </c>
      <c r="N870">
        <v>6500</v>
      </c>
      <c r="O870">
        <v>14</v>
      </c>
      <c r="P870">
        <v>3729</v>
      </c>
      <c r="Q870">
        <v>0</v>
      </c>
      <c r="R870">
        <v>127258238158</v>
      </c>
      <c r="S870">
        <v>126453687.81</v>
      </c>
      <c r="T870">
        <v>123637201925.62</v>
      </c>
      <c r="U870">
        <v>126875537649.69</v>
      </c>
      <c r="V870">
        <v>0.28404299999999999</v>
      </c>
      <c r="W870">
        <v>2.3897000000000002E-2</v>
      </c>
      <c r="Y870" t="s">
        <v>0</v>
      </c>
      <c r="Z870">
        <v>6000</v>
      </c>
      <c r="AA870">
        <v>7</v>
      </c>
      <c r="AB870">
        <v>6746</v>
      </c>
      <c r="AC870">
        <v>0</v>
      </c>
      <c r="AD870">
        <v>219194332325</v>
      </c>
      <c r="AE870">
        <v>229667227.34999999</v>
      </c>
      <c r="AF870">
        <v>216630483331.62</v>
      </c>
      <c r="AG870">
        <v>218875042018.98999</v>
      </c>
      <c r="AH870">
        <v>0.120562</v>
      </c>
      <c r="AI870">
        <v>4.895E-3</v>
      </c>
    </row>
    <row r="871" spans="13:35" x14ac:dyDescent="0.35">
      <c r="M871" t="s">
        <v>1</v>
      </c>
      <c r="N871">
        <v>6000</v>
      </c>
      <c r="O871">
        <v>12</v>
      </c>
      <c r="P871">
        <v>11410</v>
      </c>
      <c r="Q871">
        <v>0</v>
      </c>
      <c r="R871">
        <v>459778973584</v>
      </c>
      <c r="S871">
        <v>494156884.75999999</v>
      </c>
      <c r="T871">
        <v>450586818193.79999</v>
      </c>
      <c r="U871">
        <v>458623480921.03003</v>
      </c>
      <c r="V871">
        <v>0.204821</v>
      </c>
      <c r="W871">
        <v>1.7125000000000001E-2</v>
      </c>
      <c r="Y871" t="s">
        <v>1</v>
      </c>
      <c r="Z871">
        <v>6000</v>
      </c>
      <c r="AA871">
        <v>7</v>
      </c>
      <c r="AB871">
        <v>5616</v>
      </c>
      <c r="AC871">
        <v>0</v>
      </c>
      <c r="AD871">
        <v>242087033916</v>
      </c>
      <c r="AE871">
        <v>253563971.53999999</v>
      </c>
      <c r="AF871">
        <v>217865423283.79001</v>
      </c>
      <c r="AG871">
        <v>241577594736.32999</v>
      </c>
      <c r="AH871">
        <v>0.71380399999999999</v>
      </c>
      <c r="AI871">
        <v>1.261E-2</v>
      </c>
    </row>
    <row r="872" spans="13:35" x14ac:dyDescent="0.35">
      <c r="M872" t="s">
        <v>2</v>
      </c>
      <c r="N872">
        <v>6000</v>
      </c>
      <c r="O872">
        <v>12</v>
      </c>
      <c r="P872">
        <v>696</v>
      </c>
      <c r="Q872">
        <v>0</v>
      </c>
      <c r="R872">
        <v>14940481726</v>
      </c>
      <c r="S872">
        <v>16067593.93</v>
      </c>
      <c r="T872">
        <v>14864863908.280001</v>
      </c>
      <c r="U872">
        <v>14911590135.030001</v>
      </c>
      <c r="V872">
        <v>4.6795000000000003E-2</v>
      </c>
      <c r="W872">
        <v>1.0252000000000001E-2</v>
      </c>
      <c r="Y872" t="s">
        <v>0</v>
      </c>
      <c r="Z872">
        <v>6000</v>
      </c>
      <c r="AA872">
        <v>6</v>
      </c>
      <c r="AB872">
        <v>8083</v>
      </c>
      <c r="AC872">
        <v>0</v>
      </c>
      <c r="AD872">
        <v>261508785029</v>
      </c>
      <c r="AE872">
        <v>272377993.07999998</v>
      </c>
      <c r="AF872">
        <v>259714526723.32999</v>
      </c>
      <c r="AG872">
        <v>261077856998.98001</v>
      </c>
      <c r="AH872">
        <v>6.7642999999999995E-2</v>
      </c>
      <c r="AI872">
        <v>7.2509999999999996E-3</v>
      </c>
    </row>
    <row r="873" spans="13:35" x14ac:dyDescent="0.35">
      <c r="M873" t="s">
        <v>0</v>
      </c>
      <c r="N873">
        <v>6500</v>
      </c>
      <c r="O873">
        <v>12</v>
      </c>
      <c r="P873">
        <v>17880</v>
      </c>
      <c r="Q873">
        <v>0</v>
      </c>
      <c r="R873">
        <v>528150694052</v>
      </c>
      <c r="S873">
        <v>518101011.38999999</v>
      </c>
      <c r="T873">
        <v>519747081795.88</v>
      </c>
      <c r="U873">
        <v>526794601298.41998</v>
      </c>
      <c r="V873">
        <v>0.165161</v>
      </c>
      <c r="W873">
        <v>1.8874999999999999E-2</v>
      </c>
      <c r="Y873" t="s">
        <v>2</v>
      </c>
      <c r="Z873">
        <v>7000</v>
      </c>
      <c r="AA873">
        <v>16</v>
      </c>
      <c r="AB873">
        <v>288</v>
      </c>
      <c r="AC873">
        <v>0</v>
      </c>
      <c r="AD873">
        <v>4292476089</v>
      </c>
      <c r="AE873">
        <v>3938869.66</v>
      </c>
      <c r="AF873">
        <v>4218877313.02</v>
      </c>
      <c r="AG873">
        <v>4252818680.5900002</v>
      </c>
      <c r="AH873">
        <v>0.17826600000000001</v>
      </c>
      <c r="AI873">
        <v>9.5408999999999994E-2</v>
      </c>
    </row>
    <row r="874" spans="13:35" x14ac:dyDescent="0.35">
      <c r="M874" t="s">
        <v>2</v>
      </c>
      <c r="N874">
        <v>6500</v>
      </c>
      <c r="O874">
        <v>12</v>
      </c>
      <c r="P874">
        <v>1269</v>
      </c>
      <c r="Q874">
        <v>0</v>
      </c>
      <c r="R874">
        <v>25112224506</v>
      </c>
      <c r="S874">
        <v>24703389.030000001</v>
      </c>
      <c r="T874">
        <v>24932245243.860001</v>
      </c>
      <c r="U874">
        <v>25058386420.130001</v>
      </c>
      <c r="V874">
        <v>7.1726999999999999E-2</v>
      </c>
      <c r="W874">
        <v>1.3834000000000001E-2</v>
      </c>
      <c r="Y874" t="s">
        <v>1</v>
      </c>
      <c r="Z874">
        <v>6000</v>
      </c>
      <c r="AA874">
        <v>14</v>
      </c>
      <c r="AB874">
        <v>5574</v>
      </c>
      <c r="AC874">
        <v>0</v>
      </c>
      <c r="AD874">
        <v>213857560119</v>
      </c>
      <c r="AE874">
        <v>232756698.72999999</v>
      </c>
      <c r="AF874">
        <v>206953267031.54999</v>
      </c>
      <c r="AG874">
        <v>213082029163.13</v>
      </c>
      <c r="AH874">
        <v>0.31635600000000003</v>
      </c>
      <c r="AI874">
        <v>3.0034999999999999E-2</v>
      </c>
    </row>
    <row r="875" spans="13:35" x14ac:dyDescent="0.35">
      <c r="M875" t="s">
        <v>2</v>
      </c>
      <c r="N875">
        <v>6000</v>
      </c>
      <c r="O875">
        <v>10</v>
      </c>
      <c r="P875">
        <v>367</v>
      </c>
      <c r="Q875">
        <v>0</v>
      </c>
      <c r="R875">
        <v>8243921719</v>
      </c>
      <c r="S875">
        <v>8782110.3000000007</v>
      </c>
      <c r="T875">
        <v>8180570145.96</v>
      </c>
      <c r="U875">
        <v>8224109258.8000002</v>
      </c>
      <c r="V875">
        <v>7.6603000000000004E-2</v>
      </c>
      <c r="W875">
        <v>1.5938000000000001E-2</v>
      </c>
      <c r="Y875" t="s">
        <v>2</v>
      </c>
      <c r="Z875">
        <v>6000</v>
      </c>
      <c r="AA875">
        <v>14</v>
      </c>
      <c r="AB875">
        <v>445</v>
      </c>
      <c r="AC875">
        <v>0</v>
      </c>
      <c r="AD875">
        <v>9463741558</v>
      </c>
      <c r="AE875">
        <v>10295890.41</v>
      </c>
      <c r="AF875">
        <v>9394610658.6299992</v>
      </c>
      <c r="AG875">
        <v>9453445667.5900002</v>
      </c>
      <c r="AH875">
        <v>7.2104000000000001E-2</v>
      </c>
      <c r="AI875">
        <v>0</v>
      </c>
    </row>
    <row r="876" spans="13:35" x14ac:dyDescent="0.35">
      <c r="M876" t="s">
        <v>1</v>
      </c>
      <c r="N876">
        <v>6000</v>
      </c>
      <c r="O876">
        <v>10</v>
      </c>
      <c r="P876">
        <v>5772</v>
      </c>
      <c r="Q876">
        <v>0</v>
      </c>
      <c r="R876">
        <v>229526601695</v>
      </c>
      <c r="S876">
        <v>244671575.22999999</v>
      </c>
      <c r="T876">
        <v>224410980893.56</v>
      </c>
      <c r="U876">
        <v>229256042166.70001</v>
      </c>
      <c r="V876">
        <v>0.226942</v>
      </c>
      <c r="W876">
        <v>1.353E-3</v>
      </c>
      <c r="Y876" t="s">
        <v>0</v>
      </c>
      <c r="Z876">
        <v>6500</v>
      </c>
      <c r="AA876">
        <v>14</v>
      </c>
      <c r="AB876">
        <v>9644</v>
      </c>
      <c r="AC876">
        <v>0</v>
      </c>
      <c r="AD876">
        <v>269283044173</v>
      </c>
      <c r="AE876">
        <v>267204482.28</v>
      </c>
      <c r="AF876">
        <v>263899409524.22</v>
      </c>
      <c r="AG876">
        <v>268329433311.44</v>
      </c>
      <c r="AH876">
        <v>0.205622</v>
      </c>
      <c r="AI876">
        <v>3.0162999999999999E-2</v>
      </c>
    </row>
    <row r="877" spans="13:35" x14ac:dyDescent="0.35">
      <c r="M877" t="s">
        <v>2</v>
      </c>
      <c r="N877">
        <v>6000</v>
      </c>
      <c r="O877">
        <v>9</v>
      </c>
      <c r="P877">
        <v>266</v>
      </c>
      <c r="Q877">
        <v>0</v>
      </c>
      <c r="R877">
        <v>6013508795</v>
      </c>
      <c r="S877">
        <v>6372669.5300000003</v>
      </c>
      <c r="T877">
        <v>5973700489.5799999</v>
      </c>
      <c r="U877">
        <v>6007136125.4700003</v>
      </c>
      <c r="V877">
        <v>6.4717999999999998E-2</v>
      </c>
      <c r="W877">
        <v>0</v>
      </c>
      <c r="Y877" t="s">
        <v>1</v>
      </c>
      <c r="Z877">
        <v>6500</v>
      </c>
      <c r="AA877">
        <v>14</v>
      </c>
      <c r="AB877">
        <v>2827</v>
      </c>
      <c r="AC877">
        <v>0</v>
      </c>
      <c r="AD877">
        <v>94403370839</v>
      </c>
      <c r="AE877">
        <v>93887759.790000007</v>
      </c>
      <c r="AF877">
        <v>90093381233.419998</v>
      </c>
      <c r="AG877">
        <v>93937986436.610001</v>
      </c>
      <c r="AH877">
        <v>0.42204700000000001</v>
      </c>
      <c r="AI877">
        <v>4.6213999999999998E-2</v>
      </c>
    </row>
    <row r="878" spans="13:35" x14ac:dyDescent="0.35">
      <c r="M878" t="s">
        <v>0</v>
      </c>
      <c r="N878">
        <v>6500</v>
      </c>
      <c r="O878">
        <v>10</v>
      </c>
      <c r="P878">
        <v>11256</v>
      </c>
      <c r="Q878">
        <v>0</v>
      </c>
      <c r="R878">
        <v>339910123362</v>
      </c>
      <c r="S878">
        <v>330536001.57999998</v>
      </c>
      <c r="T878">
        <v>334445631942.78003</v>
      </c>
      <c r="U878">
        <v>338778299742.38</v>
      </c>
      <c r="V878">
        <v>0.16692299999999999</v>
      </c>
      <c r="W878">
        <v>2.7924000000000001E-2</v>
      </c>
      <c r="Y878" t="s">
        <v>2</v>
      </c>
      <c r="Z878">
        <v>6500</v>
      </c>
      <c r="AA878">
        <v>14</v>
      </c>
      <c r="AB878">
        <v>826</v>
      </c>
      <c r="AC878">
        <v>0</v>
      </c>
      <c r="AD878">
        <v>15958968125</v>
      </c>
      <c r="AE878">
        <v>15863132.199999999</v>
      </c>
      <c r="AF878">
        <v>15903736841.93</v>
      </c>
      <c r="AG878">
        <v>15919612182.389999</v>
      </c>
      <c r="AH878">
        <v>2.9204000000000001E-2</v>
      </c>
      <c r="AI878">
        <v>1.7523E-2</v>
      </c>
    </row>
    <row r="879" spans="13:35" x14ac:dyDescent="0.35">
      <c r="M879" t="s">
        <v>0</v>
      </c>
      <c r="N879">
        <v>6500</v>
      </c>
      <c r="O879">
        <v>9</v>
      </c>
      <c r="P879">
        <v>12061</v>
      </c>
      <c r="Q879">
        <v>0</v>
      </c>
      <c r="R879">
        <v>370688795686</v>
      </c>
      <c r="S879">
        <v>357949340.38</v>
      </c>
      <c r="T879">
        <v>364206053870.22998</v>
      </c>
      <c r="U879">
        <v>370141714554.46997</v>
      </c>
      <c r="V879">
        <v>0.18121100000000001</v>
      </c>
      <c r="W879">
        <v>6.1050000000000002E-3</v>
      </c>
      <c r="Y879" t="s">
        <v>0</v>
      </c>
      <c r="Z879">
        <v>7000</v>
      </c>
      <c r="AA879">
        <v>14</v>
      </c>
      <c r="AB879">
        <v>5324</v>
      </c>
      <c r="AC879">
        <v>0</v>
      </c>
      <c r="AD879">
        <v>138264267257</v>
      </c>
      <c r="AE879">
        <v>125308925.48999999</v>
      </c>
      <c r="AF879">
        <v>134992654950.85001</v>
      </c>
      <c r="AG879">
        <v>137237316308.33</v>
      </c>
      <c r="AH879">
        <v>0.24135699999999999</v>
      </c>
      <c r="AI879">
        <v>7.5507000000000005E-2</v>
      </c>
    </row>
    <row r="880" spans="13:35" x14ac:dyDescent="0.35">
      <c r="M880" t="s">
        <v>1</v>
      </c>
      <c r="N880">
        <v>6500</v>
      </c>
      <c r="O880">
        <v>9</v>
      </c>
      <c r="P880">
        <v>4627</v>
      </c>
      <c r="Q880">
        <v>0</v>
      </c>
      <c r="R880">
        <v>169039037422</v>
      </c>
      <c r="S880">
        <v>163035409.41999999</v>
      </c>
      <c r="T880">
        <v>161549842002.39999</v>
      </c>
      <c r="U880">
        <v>168691767111.35999</v>
      </c>
      <c r="V880">
        <v>0.412387</v>
      </c>
      <c r="W880">
        <v>1.3001E-2</v>
      </c>
      <c r="Y880" t="s">
        <v>1</v>
      </c>
      <c r="Z880">
        <v>6000</v>
      </c>
      <c r="AA880">
        <v>12</v>
      </c>
      <c r="AB880">
        <v>7044</v>
      </c>
      <c r="AC880">
        <v>0</v>
      </c>
      <c r="AD880">
        <v>280894197301</v>
      </c>
      <c r="AE880">
        <v>301710640.94999999</v>
      </c>
      <c r="AF880">
        <v>272698430158.76999</v>
      </c>
      <c r="AG880">
        <v>280020293872.96002</v>
      </c>
      <c r="AH880">
        <v>0.28970099999999999</v>
      </c>
      <c r="AI880">
        <v>2.4171999999999999E-2</v>
      </c>
    </row>
    <row r="881" spans="13:35" x14ac:dyDescent="0.35">
      <c r="M881" t="s">
        <v>2</v>
      </c>
      <c r="N881">
        <v>6500</v>
      </c>
      <c r="O881">
        <v>10</v>
      </c>
      <c r="P881">
        <v>669</v>
      </c>
      <c r="Q881">
        <v>0</v>
      </c>
      <c r="R881">
        <v>13436196040</v>
      </c>
      <c r="S881">
        <v>13093114.220000001</v>
      </c>
      <c r="T881">
        <v>13392646330.74</v>
      </c>
      <c r="U881">
        <v>13423102925.780001</v>
      </c>
      <c r="V881">
        <v>2.6865E-2</v>
      </c>
      <c r="W881">
        <v>0</v>
      </c>
      <c r="Y881" t="s">
        <v>2</v>
      </c>
      <c r="Z881">
        <v>6000</v>
      </c>
      <c r="AA881">
        <v>12</v>
      </c>
      <c r="AB881">
        <v>431</v>
      </c>
      <c r="AC881">
        <v>0</v>
      </c>
      <c r="AD881">
        <v>9678444638</v>
      </c>
      <c r="AE881">
        <v>10413180.48</v>
      </c>
      <c r="AF881">
        <v>9643590189.5100002</v>
      </c>
      <c r="AG881">
        <v>9668031457.5200005</v>
      </c>
      <c r="AH881">
        <v>2.9887E-2</v>
      </c>
      <c r="AI881">
        <v>0</v>
      </c>
    </row>
    <row r="882" spans="13:35" x14ac:dyDescent="0.35">
      <c r="M882" t="s">
        <v>2</v>
      </c>
      <c r="N882">
        <v>6000</v>
      </c>
      <c r="O882">
        <v>8</v>
      </c>
      <c r="P882">
        <v>293</v>
      </c>
      <c r="Q882">
        <v>0</v>
      </c>
      <c r="R882">
        <v>6844341982</v>
      </c>
      <c r="S882">
        <v>7213530.3700000001</v>
      </c>
      <c r="T882">
        <v>6837128451.6300001</v>
      </c>
      <c r="U882">
        <v>6837128451.6300001</v>
      </c>
      <c r="V882">
        <v>0</v>
      </c>
      <c r="W882">
        <v>0</v>
      </c>
      <c r="Y882" t="s">
        <v>1</v>
      </c>
      <c r="Z882">
        <v>6500</v>
      </c>
      <c r="AA882">
        <v>12</v>
      </c>
      <c r="AB882">
        <v>4619</v>
      </c>
      <c r="AC882">
        <v>0</v>
      </c>
      <c r="AD882">
        <v>159030362113</v>
      </c>
      <c r="AE882">
        <v>155913290.65000001</v>
      </c>
      <c r="AF882">
        <v>150279565265.39001</v>
      </c>
      <c r="AG882">
        <v>158497841170.35999</v>
      </c>
      <c r="AH882">
        <v>0.48661599999999999</v>
      </c>
      <c r="AI882">
        <v>2.8051E-2</v>
      </c>
    </row>
    <row r="883" spans="13:35" x14ac:dyDescent="0.35">
      <c r="M883" t="s">
        <v>0</v>
      </c>
      <c r="N883">
        <v>6500</v>
      </c>
      <c r="O883">
        <v>8</v>
      </c>
      <c r="P883">
        <v>11430</v>
      </c>
      <c r="Q883">
        <v>0</v>
      </c>
      <c r="R883">
        <v>348479350835</v>
      </c>
      <c r="S883">
        <v>334567584.57999998</v>
      </c>
      <c r="T883">
        <v>340785816303.22998</v>
      </c>
      <c r="U883">
        <v>347734518196.08002</v>
      </c>
      <c r="V883">
        <v>0.22595299999999999</v>
      </c>
      <c r="W883">
        <v>1.4036E-2</v>
      </c>
      <c r="Y883" t="s">
        <v>0</v>
      </c>
      <c r="Z883">
        <v>6500</v>
      </c>
      <c r="AA883">
        <v>12</v>
      </c>
      <c r="AB883">
        <v>15063</v>
      </c>
      <c r="AC883">
        <v>0</v>
      </c>
      <c r="AD883">
        <v>451210295850</v>
      </c>
      <c r="AE883">
        <v>442173954.83999997</v>
      </c>
      <c r="AF883">
        <v>439080036513.10999</v>
      </c>
      <c r="AG883">
        <v>449578599600.70001</v>
      </c>
      <c r="AH883">
        <v>0.27017000000000002</v>
      </c>
      <c r="AI883">
        <v>3.1181E-2</v>
      </c>
    </row>
    <row r="884" spans="13:35" x14ac:dyDescent="0.35">
      <c r="M884" t="s">
        <v>2</v>
      </c>
      <c r="N884">
        <v>6500</v>
      </c>
      <c r="O884">
        <v>8</v>
      </c>
      <c r="P884">
        <v>830</v>
      </c>
      <c r="Q884">
        <v>0</v>
      </c>
      <c r="R884">
        <v>16632869658</v>
      </c>
      <c r="S884">
        <v>16020745.35</v>
      </c>
      <c r="T884">
        <v>16616848912.65</v>
      </c>
      <c r="U884">
        <v>16616848912.65</v>
      </c>
      <c r="V884">
        <v>0</v>
      </c>
      <c r="W884">
        <v>0</v>
      </c>
      <c r="Y884" t="s">
        <v>2</v>
      </c>
      <c r="Z884">
        <v>6500</v>
      </c>
      <c r="AA884">
        <v>12</v>
      </c>
      <c r="AB884">
        <v>1102</v>
      </c>
      <c r="AC884">
        <v>0</v>
      </c>
      <c r="AD884">
        <v>22552907468</v>
      </c>
      <c r="AE884">
        <v>22164986.710000001</v>
      </c>
      <c r="AF884">
        <v>22454440651.02</v>
      </c>
      <c r="AG884">
        <v>22530742481.290001</v>
      </c>
      <c r="AH884">
        <v>3.9851999999999999E-2</v>
      </c>
      <c r="AI884">
        <v>0</v>
      </c>
    </row>
    <row r="885" spans="13:35" x14ac:dyDescent="0.35">
      <c r="M885" t="s">
        <v>2</v>
      </c>
      <c r="N885">
        <v>6250</v>
      </c>
      <c r="O885">
        <v>18</v>
      </c>
      <c r="P885">
        <v>1369</v>
      </c>
      <c r="Q885">
        <v>0</v>
      </c>
      <c r="R885">
        <v>25743915741</v>
      </c>
      <c r="S885">
        <v>27513107.140000001</v>
      </c>
      <c r="T885">
        <v>25581048626.810001</v>
      </c>
      <c r="U885">
        <v>25695389920.84</v>
      </c>
      <c r="V885">
        <v>6.13E-2</v>
      </c>
      <c r="W885">
        <v>9.7509999999999993E-3</v>
      </c>
      <c r="Y885" t="s">
        <v>0</v>
      </c>
      <c r="Z885">
        <v>6000</v>
      </c>
      <c r="AA885">
        <v>10</v>
      </c>
      <c r="AB885">
        <v>8800</v>
      </c>
      <c r="AC885">
        <v>0</v>
      </c>
      <c r="AD885">
        <v>283209900478</v>
      </c>
      <c r="AE885">
        <v>301759490.89999998</v>
      </c>
      <c r="AF885">
        <v>279855729470.78003</v>
      </c>
      <c r="AG885">
        <v>282772666053.14001</v>
      </c>
      <c r="AH885">
        <v>0.121937</v>
      </c>
      <c r="AI885">
        <v>5.7250000000000001E-3</v>
      </c>
    </row>
    <row r="886" spans="13:35" x14ac:dyDescent="0.35">
      <c r="M886" t="s">
        <v>2</v>
      </c>
      <c r="N886">
        <v>6750</v>
      </c>
      <c r="O886">
        <v>18</v>
      </c>
      <c r="P886">
        <v>677</v>
      </c>
      <c r="Q886">
        <v>0</v>
      </c>
      <c r="R886">
        <v>10870592118</v>
      </c>
      <c r="S886">
        <v>10633178.48</v>
      </c>
      <c r="T886">
        <v>10799906175.700001</v>
      </c>
      <c r="U886">
        <v>10849701508.34</v>
      </c>
      <c r="V886">
        <v>6.4313999999999996E-2</v>
      </c>
      <c r="W886">
        <v>1.1265000000000001E-2</v>
      </c>
      <c r="Y886" t="s">
        <v>2</v>
      </c>
      <c r="Z886">
        <v>6000</v>
      </c>
      <c r="AA886">
        <v>10</v>
      </c>
      <c r="AB886">
        <v>438</v>
      </c>
      <c r="AC886">
        <v>0</v>
      </c>
      <c r="AD886">
        <v>9352866463</v>
      </c>
      <c r="AE886">
        <v>9974649.1199999992</v>
      </c>
      <c r="AF886">
        <v>9323297460.9699993</v>
      </c>
      <c r="AG886">
        <v>9342891813.8799992</v>
      </c>
      <c r="AH886">
        <v>2.4851999999999999E-2</v>
      </c>
      <c r="AI886">
        <v>0</v>
      </c>
    </row>
    <row r="887" spans="13:35" x14ac:dyDescent="0.35">
      <c r="M887" t="s">
        <v>1</v>
      </c>
      <c r="N887">
        <v>6750</v>
      </c>
      <c r="O887">
        <v>18</v>
      </c>
      <c r="P887">
        <v>2813</v>
      </c>
      <c r="Q887">
        <v>0</v>
      </c>
      <c r="R887">
        <v>79737804336</v>
      </c>
      <c r="S887">
        <v>78042075.930000007</v>
      </c>
      <c r="T887">
        <v>77158346202.880005</v>
      </c>
      <c r="U887">
        <v>79239528147.240005</v>
      </c>
      <c r="V887">
        <v>0.31783099999999997</v>
      </c>
      <c r="W887">
        <v>6.1441000000000003E-2</v>
      </c>
      <c r="Y887" t="s">
        <v>0</v>
      </c>
      <c r="Z887">
        <v>6500</v>
      </c>
      <c r="AA887">
        <v>10</v>
      </c>
      <c r="AB887">
        <v>9885</v>
      </c>
      <c r="AC887">
        <v>0</v>
      </c>
      <c r="AD887">
        <v>291724269874</v>
      </c>
      <c r="AE887">
        <v>283723885.44999999</v>
      </c>
      <c r="AF887">
        <v>285124994880.67999</v>
      </c>
      <c r="AG887">
        <v>290592513777.71002</v>
      </c>
      <c r="AH887">
        <v>0.23098299999999999</v>
      </c>
      <c r="AI887">
        <v>3.4331E-2</v>
      </c>
    </row>
    <row r="888" spans="13:35" x14ac:dyDescent="0.35">
      <c r="M888" t="s">
        <v>2</v>
      </c>
      <c r="N888">
        <v>5750</v>
      </c>
      <c r="O888">
        <v>16</v>
      </c>
      <c r="P888">
        <v>540</v>
      </c>
      <c r="Q888">
        <v>0</v>
      </c>
      <c r="R888">
        <v>11651788174</v>
      </c>
      <c r="S888">
        <v>13439951.460000001</v>
      </c>
      <c r="T888">
        <v>11567461482.120001</v>
      </c>
      <c r="U888">
        <v>11638348222.540001</v>
      </c>
      <c r="V888">
        <v>7.0610999999999993E-2</v>
      </c>
      <c r="W888">
        <v>0</v>
      </c>
      <c r="Y888" t="s">
        <v>2</v>
      </c>
      <c r="Z888">
        <v>6500</v>
      </c>
      <c r="AA888">
        <v>10</v>
      </c>
      <c r="AB888">
        <v>646</v>
      </c>
      <c r="AC888">
        <v>0</v>
      </c>
      <c r="AD888">
        <v>12718650106</v>
      </c>
      <c r="AE888">
        <v>12396372.189999999</v>
      </c>
      <c r="AF888">
        <v>12671465045.58</v>
      </c>
      <c r="AG888">
        <v>12671465045.58</v>
      </c>
      <c r="AH888">
        <v>3.2334000000000002E-2</v>
      </c>
      <c r="AI888">
        <v>3.2334000000000002E-2</v>
      </c>
    </row>
    <row r="889" spans="13:35" x14ac:dyDescent="0.35">
      <c r="M889" t="s">
        <v>1</v>
      </c>
      <c r="N889">
        <v>5750</v>
      </c>
      <c r="O889">
        <v>16</v>
      </c>
      <c r="P889">
        <v>11880</v>
      </c>
      <c r="Q889">
        <v>0</v>
      </c>
      <c r="R889">
        <v>465960476945</v>
      </c>
      <c r="S889">
        <v>537291679.50999999</v>
      </c>
      <c r="T889">
        <v>458329014243.69</v>
      </c>
      <c r="U889">
        <v>464154451559.91998</v>
      </c>
      <c r="V889">
        <v>0.16814999999999999</v>
      </c>
      <c r="W889">
        <v>3.2189000000000002E-2</v>
      </c>
      <c r="Y889" t="s">
        <v>2</v>
      </c>
      <c r="Z889">
        <v>6000</v>
      </c>
      <c r="AA889">
        <v>9</v>
      </c>
      <c r="AB889">
        <v>367</v>
      </c>
      <c r="AC889">
        <v>0</v>
      </c>
      <c r="AD889">
        <v>8253239471</v>
      </c>
      <c r="AE889">
        <v>8739334.7599999998</v>
      </c>
      <c r="AF889">
        <v>8244500136.2399998</v>
      </c>
      <c r="AG889">
        <v>8244500136.2399998</v>
      </c>
      <c r="AH889">
        <v>0</v>
      </c>
      <c r="AI889">
        <v>0</v>
      </c>
    </row>
    <row r="890" spans="13:35" x14ac:dyDescent="0.35">
      <c r="M890" t="s">
        <v>0</v>
      </c>
      <c r="N890">
        <v>6250</v>
      </c>
      <c r="O890">
        <v>16</v>
      </c>
      <c r="P890">
        <v>26953</v>
      </c>
      <c r="Q890">
        <v>0</v>
      </c>
      <c r="R890">
        <v>871464869570</v>
      </c>
      <c r="S890">
        <v>917853173.84000003</v>
      </c>
      <c r="T890">
        <v>859525836708.91003</v>
      </c>
      <c r="U890">
        <v>868844109623.87</v>
      </c>
      <c r="V890">
        <v>0.14163700000000001</v>
      </c>
      <c r="W890">
        <v>2.3199000000000001E-2</v>
      </c>
      <c r="Y890" t="s">
        <v>1</v>
      </c>
      <c r="Z890">
        <v>6000</v>
      </c>
      <c r="AA890">
        <v>10</v>
      </c>
      <c r="AB890">
        <v>6950</v>
      </c>
      <c r="AC890">
        <v>0</v>
      </c>
      <c r="AD890">
        <v>281934685161</v>
      </c>
      <c r="AE890">
        <v>300531936.83999997</v>
      </c>
      <c r="AF890">
        <v>274389391115.04001</v>
      </c>
      <c r="AG890">
        <v>281128827631.27002</v>
      </c>
      <c r="AH890">
        <v>0.26830399999999999</v>
      </c>
      <c r="AI890">
        <v>2.1297E-2</v>
      </c>
    </row>
    <row r="891" spans="13:35" x14ac:dyDescent="0.35">
      <c r="M891" t="s">
        <v>1</v>
      </c>
      <c r="N891">
        <v>5500</v>
      </c>
      <c r="O891">
        <v>16</v>
      </c>
      <c r="P891">
        <v>4018</v>
      </c>
      <c r="Q891">
        <v>0</v>
      </c>
      <c r="R891">
        <v>160105247699</v>
      </c>
      <c r="S891">
        <v>193257387.69</v>
      </c>
      <c r="T891">
        <v>158682021150.94</v>
      </c>
      <c r="U891">
        <v>159661016936.76001</v>
      </c>
      <c r="V891">
        <v>8.8389999999999996E-2</v>
      </c>
      <c r="W891">
        <v>1.8648999999999999E-2</v>
      </c>
      <c r="Y891" t="s">
        <v>1</v>
      </c>
      <c r="Z891">
        <v>6000</v>
      </c>
      <c r="AA891">
        <v>9</v>
      </c>
      <c r="AB891">
        <v>5924</v>
      </c>
      <c r="AC891">
        <v>0</v>
      </c>
      <c r="AD891">
        <v>236861930469</v>
      </c>
      <c r="AE891">
        <v>250969041.94999999</v>
      </c>
      <c r="AF891">
        <v>229665752746.98001</v>
      </c>
      <c r="AG891">
        <v>236477210531.28</v>
      </c>
      <c r="AH891">
        <v>0.300313</v>
      </c>
      <c r="AI891">
        <v>6.7549999999999997E-3</v>
      </c>
    </row>
    <row r="892" spans="13:35" x14ac:dyDescent="0.35">
      <c r="M892" t="s">
        <v>0</v>
      </c>
      <c r="N892">
        <v>5750</v>
      </c>
      <c r="O892">
        <v>16</v>
      </c>
      <c r="P892">
        <v>17451</v>
      </c>
      <c r="Q892">
        <v>0</v>
      </c>
      <c r="R892">
        <v>585218471924</v>
      </c>
      <c r="S892">
        <v>674510520.99000001</v>
      </c>
      <c r="T892">
        <v>580700541109.54004</v>
      </c>
      <c r="U892">
        <v>583973895563.26001</v>
      </c>
      <c r="V892">
        <v>7.6024999999999995E-2</v>
      </c>
      <c r="W892">
        <v>1.1627E-2</v>
      </c>
      <c r="Y892" t="s">
        <v>2</v>
      </c>
      <c r="Z892">
        <v>6000</v>
      </c>
      <c r="AA892">
        <v>8</v>
      </c>
      <c r="AB892">
        <v>266</v>
      </c>
      <c r="AC892">
        <v>0</v>
      </c>
      <c r="AD892">
        <v>6020425975</v>
      </c>
      <c r="AE892">
        <v>6341814.1600000001</v>
      </c>
      <c r="AF892">
        <v>6014084160.8400002</v>
      </c>
      <c r="AG892">
        <v>6014084160.8400002</v>
      </c>
      <c r="AH892">
        <v>0</v>
      </c>
      <c r="AI892">
        <v>0</v>
      </c>
    </row>
    <row r="893" spans="13:35" x14ac:dyDescent="0.35">
      <c r="M893" t="s">
        <v>0</v>
      </c>
      <c r="N893">
        <v>5000</v>
      </c>
      <c r="O893">
        <v>16</v>
      </c>
      <c r="P893">
        <v>5179</v>
      </c>
      <c r="Q893">
        <v>0</v>
      </c>
      <c r="R893">
        <v>182960972797</v>
      </c>
      <c r="S893">
        <v>240561690.94999999</v>
      </c>
      <c r="T893">
        <v>182475726841.97</v>
      </c>
      <c r="U893">
        <v>182629438616.70001</v>
      </c>
      <c r="V893">
        <v>1.5931000000000001E-2</v>
      </c>
      <c r="W893">
        <v>5.9500000000000004E-3</v>
      </c>
      <c r="Y893" t="s">
        <v>0</v>
      </c>
      <c r="Z893">
        <v>6500</v>
      </c>
      <c r="AA893">
        <v>9</v>
      </c>
      <c r="AB893">
        <v>11422</v>
      </c>
      <c r="AC893">
        <v>0</v>
      </c>
      <c r="AD893">
        <v>346202845691</v>
      </c>
      <c r="AE893">
        <v>334518602.38</v>
      </c>
      <c r="AF893">
        <v>340025088679.82001</v>
      </c>
      <c r="AG893">
        <v>345606292603.48999</v>
      </c>
      <c r="AH893">
        <v>0.184754</v>
      </c>
      <c r="AI893">
        <v>9.0449999999999992E-3</v>
      </c>
    </row>
    <row r="894" spans="13:35" x14ac:dyDescent="0.35">
      <c r="M894" t="s">
        <v>1</v>
      </c>
      <c r="N894">
        <v>6250</v>
      </c>
      <c r="O894">
        <v>16</v>
      </c>
      <c r="P894">
        <v>11820</v>
      </c>
      <c r="Q894">
        <v>0</v>
      </c>
      <c r="R894">
        <v>434406335102</v>
      </c>
      <c r="S894">
        <v>457832827.13</v>
      </c>
      <c r="T894">
        <v>422260324899.95001</v>
      </c>
      <c r="U894">
        <v>432940033901.62</v>
      </c>
      <c r="V894">
        <v>0.27912999999999999</v>
      </c>
      <c r="W894">
        <v>2.7505000000000002E-2</v>
      </c>
      <c r="Y894" t="s">
        <v>0</v>
      </c>
      <c r="Z894">
        <v>6500</v>
      </c>
      <c r="AA894">
        <v>8</v>
      </c>
      <c r="AB894">
        <v>12327</v>
      </c>
      <c r="AC894">
        <v>0</v>
      </c>
      <c r="AD894">
        <v>380721367046</v>
      </c>
      <c r="AE894">
        <v>365354737.18000001</v>
      </c>
      <c r="AF894">
        <v>370626108111.40997</v>
      </c>
      <c r="AG894">
        <v>379861751090.56</v>
      </c>
      <c r="AH894">
        <v>0.26704099999999997</v>
      </c>
      <c r="AI894">
        <v>1.5468000000000001E-2</v>
      </c>
    </row>
    <row r="895" spans="13:35" x14ac:dyDescent="0.35">
      <c r="M895" t="s">
        <v>0</v>
      </c>
      <c r="N895">
        <v>6750</v>
      </c>
      <c r="O895">
        <v>14</v>
      </c>
      <c r="P895">
        <v>19860</v>
      </c>
      <c r="Q895">
        <v>0</v>
      </c>
      <c r="R895">
        <v>573448502503</v>
      </c>
      <c r="S895">
        <v>545658271.88</v>
      </c>
      <c r="T895">
        <v>559855667809.93005</v>
      </c>
      <c r="U895">
        <v>570665308339.12</v>
      </c>
      <c r="V895">
        <v>0.24132300000000001</v>
      </c>
      <c r="W895">
        <v>4.5830999999999997E-2</v>
      </c>
      <c r="Y895" t="s">
        <v>1</v>
      </c>
      <c r="Z895">
        <v>6500</v>
      </c>
      <c r="AA895">
        <v>8</v>
      </c>
      <c r="AB895">
        <v>4987</v>
      </c>
      <c r="AC895">
        <v>0</v>
      </c>
      <c r="AD895">
        <v>184920457005</v>
      </c>
      <c r="AE895">
        <v>177223065.53999999</v>
      </c>
      <c r="AF895">
        <v>169111544099.17001</v>
      </c>
      <c r="AG895">
        <v>184604292643.10999</v>
      </c>
      <c r="AH895">
        <v>0.65348799999999996</v>
      </c>
      <c r="AI895">
        <v>8.9789999999999991E-3</v>
      </c>
    </row>
    <row r="896" spans="13:35" x14ac:dyDescent="0.35">
      <c r="M896" t="s">
        <v>0</v>
      </c>
      <c r="N896">
        <v>7000</v>
      </c>
      <c r="O896">
        <v>14</v>
      </c>
      <c r="P896">
        <v>6156</v>
      </c>
      <c r="Q896">
        <v>0</v>
      </c>
      <c r="R896">
        <v>159987560714</v>
      </c>
      <c r="S896">
        <v>144981703.53</v>
      </c>
      <c r="T896">
        <v>156490114347.89001</v>
      </c>
      <c r="U896">
        <v>158637185002.69</v>
      </c>
      <c r="V896">
        <v>0.22440599999999999</v>
      </c>
      <c r="W896">
        <v>8.6758000000000002E-2</v>
      </c>
      <c r="Y896" t="s">
        <v>2</v>
      </c>
      <c r="Z896">
        <v>6500</v>
      </c>
      <c r="AA896">
        <v>9</v>
      </c>
      <c r="AB896">
        <v>672</v>
      </c>
      <c r="AC896">
        <v>0</v>
      </c>
      <c r="AD896">
        <v>13525984227</v>
      </c>
      <c r="AE896">
        <v>13097331.390000001</v>
      </c>
      <c r="AF896">
        <v>13437650468.950001</v>
      </c>
      <c r="AG896">
        <v>13512886895.610001</v>
      </c>
      <c r="AH896">
        <v>6.4743999999999996E-2</v>
      </c>
      <c r="AI896">
        <v>0</v>
      </c>
    </row>
    <row r="897" spans="13:35" x14ac:dyDescent="0.35">
      <c r="M897" t="s">
        <v>1</v>
      </c>
      <c r="N897">
        <v>5500</v>
      </c>
      <c r="O897">
        <v>14</v>
      </c>
      <c r="P897">
        <v>1438</v>
      </c>
      <c r="Q897">
        <v>0</v>
      </c>
      <c r="R897">
        <v>56206272803</v>
      </c>
      <c r="S897">
        <v>66993948.5</v>
      </c>
      <c r="T897">
        <v>55878780437.370003</v>
      </c>
      <c r="U897">
        <v>56095673400.32</v>
      </c>
      <c r="V897">
        <v>5.4219999999999997E-2</v>
      </c>
      <c r="W897">
        <v>9.2700000000000005E-3</v>
      </c>
      <c r="Y897" t="s">
        <v>2</v>
      </c>
      <c r="Z897">
        <v>6000</v>
      </c>
      <c r="AA897">
        <v>7</v>
      </c>
      <c r="AB897">
        <v>294</v>
      </c>
      <c r="AC897">
        <v>0</v>
      </c>
      <c r="AD897">
        <v>6867103143</v>
      </c>
      <c r="AE897">
        <v>7194114.2999999998</v>
      </c>
      <c r="AF897">
        <v>6845382072.54</v>
      </c>
      <c r="AG897">
        <v>6859909028.6999998</v>
      </c>
      <c r="AH897">
        <v>2.5092E-2</v>
      </c>
      <c r="AI897">
        <v>0</v>
      </c>
    </row>
    <row r="898" spans="13:35" x14ac:dyDescent="0.35">
      <c r="M898" t="s">
        <v>2</v>
      </c>
      <c r="N898">
        <v>5750</v>
      </c>
      <c r="O898">
        <v>14</v>
      </c>
      <c r="P898">
        <v>219</v>
      </c>
      <c r="Q898">
        <v>0</v>
      </c>
      <c r="R898">
        <v>4784643852</v>
      </c>
      <c r="S898">
        <v>5445193.8099999996</v>
      </c>
      <c r="T898">
        <v>4764640452.4399996</v>
      </c>
      <c r="U898">
        <v>4779198658.1899996</v>
      </c>
      <c r="V898">
        <v>3.5907000000000001E-2</v>
      </c>
      <c r="W898">
        <v>0</v>
      </c>
      <c r="Y898" t="s">
        <v>0</v>
      </c>
      <c r="Z898">
        <v>6500</v>
      </c>
      <c r="AA898">
        <v>7</v>
      </c>
      <c r="AB898">
        <v>11733</v>
      </c>
      <c r="AC898">
        <v>0</v>
      </c>
      <c r="AD898">
        <v>359843963646</v>
      </c>
      <c r="AE898">
        <v>343332873.69999999</v>
      </c>
      <c r="AF898">
        <v>348618150800.73999</v>
      </c>
      <c r="AG898">
        <v>358952869428.33002</v>
      </c>
      <c r="AH898">
        <v>0.30823400000000001</v>
      </c>
      <c r="AI898">
        <v>1.8114000000000002E-2</v>
      </c>
    </row>
    <row r="899" spans="13:35" x14ac:dyDescent="0.35">
      <c r="M899" t="s">
        <v>0</v>
      </c>
      <c r="N899">
        <v>5750</v>
      </c>
      <c r="O899">
        <v>14</v>
      </c>
      <c r="P899">
        <v>6645</v>
      </c>
      <c r="Q899">
        <v>0</v>
      </c>
      <c r="R899">
        <v>219673567609</v>
      </c>
      <c r="S899">
        <v>250536481.18000001</v>
      </c>
      <c r="T899">
        <v>218212413651.70001</v>
      </c>
      <c r="U899">
        <v>219273607590.23001</v>
      </c>
      <c r="V899">
        <v>6.4163999999999999E-2</v>
      </c>
      <c r="W899">
        <v>8.1320000000000003E-3</v>
      </c>
      <c r="Y899" t="s">
        <v>2</v>
      </c>
      <c r="Z899">
        <v>6500</v>
      </c>
      <c r="AA899">
        <v>7</v>
      </c>
      <c r="AB899">
        <v>834</v>
      </c>
      <c r="AC899">
        <v>0</v>
      </c>
      <c r="AD899">
        <v>16750927409</v>
      </c>
      <c r="AE899">
        <v>16032618</v>
      </c>
      <c r="AF899">
        <v>16635652452.209999</v>
      </c>
      <c r="AG899">
        <v>16711226134.26</v>
      </c>
      <c r="AH899">
        <v>6.8823999999999996E-2</v>
      </c>
      <c r="AI899">
        <v>1.6825E-2</v>
      </c>
    </row>
    <row r="900" spans="13:35" x14ac:dyDescent="0.35">
      <c r="M900" t="s">
        <v>0</v>
      </c>
      <c r="N900">
        <v>6250</v>
      </c>
      <c r="O900">
        <v>14</v>
      </c>
      <c r="P900">
        <v>18631</v>
      </c>
      <c r="Q900">
        <v>0</v>
      </c>
      <c r="R900">
        <v>606280172730</v>
      </c>
      <c r="S900">
        <v>631103087.32000005</v>
      </c>
      <c r="T900">
        <v>597231649545.27002</v>
      </c>
      <c r="U900">
        <v>604543369918.56006</v>
      </c>
      <c r="V900">
        <v>0.15445300000000001</v>
      </c>
      <c r="W900">
        <v>2.1666999999999999E-2</v>
      </c>
      <c r="Y900" t="s">
        <v>1</v>
      </c>
      <c r="Z900">
        <v>6250</v>
      </c>
      <c r="AA900">
        <v>16</v>
      </c>
      <c r="AB900">
        <v>9740</v>
      </c>
      <c r="AC900">
        <v>0</v>
      </c>
      <c r="AD900">
        <v>335084270005</v>
      </c>
      <c r="AE900">
        <v>353256247.45999998</v>
      </c>
      <c r="AF900">
        <v>323125365544.16998</v>
      </c>
      <c r="AG900">
        <v>333186998284.63</v>
      </c>
      <c r="AH900">
        <v>0.344914</v>
      </c>
      <c r="AI900">
        <v>5.3913999999999997E-2</v>
      </c>
    </row>
    <row r="901" spans="13:35" x14ac:dyDescent="0.35">
      <c r="M901" t="s">
        <v>2</v>
      </c>
      <c r="N901">
        <v>6250</v>
      </c>
      <c r="O901">
        <v>16</v>
      </c>
      <c r="P901">
        <v>1283</v>
      </c>
      <c r="Q901">
        <v>0</v>
      </c>
      <c r="R901">
        <v>26025730705</v>
      </c>
      <c r="S901">
        <v>27449787.559999999</v>
      </c>
      <c r="T901">
        <v>25927753864.900002</v>
      </c>
      <c r="U901">
        <v>25980435168.07</v>
      </c>
      <c r="V901">
        <v>3.2037999999999997E-2</v>
      </c>
      <c r="W901">
        <v>8.1969999999999994E-3</v>
      </c>
      <c r="Y901" t="s">
        <v>1</v>
      </c>
      <c r="Z901">
        <v>5750</v>
      </c>
      <c r="AA901">
        <v>16</v>
      </c>
      <c r="AB901">
        <v>20360</v>
      </c>
      <c r="AC901">
        <v>0</v>
      </c>
      <c r="AD901">
        <v>789991612874</v>
      </c>
      <c r="AE901">
        <v>912697098.14999998</v>
      </c>
      <c r="AF901">
        <v>772694217543.16003</v>
      </c>
      <c r="AG901">
        <v>787580343433.04004</v>
      </c>
      <c r="AH901">
        <v>0.22236800000000001</v>
      </c>
      <c r="AI901">
        <v>2.2526999999999998E-2</v>
      </c>
    </row>
    <row r="902" spans="13:35" x14ac:dyDescent="0.35">
      <c r="M902" t="s">
        <v>0</v>
      </c>
      <c r="N902">
        <v>7500</v>
      </c>
      <c r="O902">
        <v>16</v>
      </c>
      <c r="P902">
        <v>1055</v>
      </c>
      <c r="Q902">
        <v>0</v>
      </c>
      <c r="R902">
        <v>27424353311</v>
      </c>
      <c r="S902">
        <v>22961675.140000001</v>
      </c>
      <c r="T902">
        <v>26833989965.389999</v>
      </c>
      <c r="U902">
        <v>27119671456.75</v>
      </c>
      <c r="V902">
        <v>0.221885</v>
      </c>
      <c r="W902">
        <v>0.11654</v>
      </c>
      <c r="Y902" t="s">
        <v>2</v>
      </c>
      <c r="Z902">
        <v>6750</v>
      </c>
      <c r="AA902">
        <v>16</v>
      </c>
      <c r="AB902">
        <v>685</v>
      </c>
      <c r="AC902">
        <v>0</v>
      </c>
      <c r="AD902">
        <v>11530251748</v>
      </c>
      <c r="AE902">
        <v>11113791.130000001</v>
      </c>
      <c r="AF902">
        <v>11410603448.75</v>
      </c>
      <c r="AG902">
        <v>11519137956.870001</v>
      </c>
      <c r="AH902">
        <v>0.10728799999999999</v>
      </c>
      <c r="AI902">
        <v>0</v>
      </c>
    </row>
    <row r="903" spans="13:35" x14ac:dyDescent="0.35">
      <c r="M903" t="s">
        <v>2</v>
      </c>
      <c r="N903">
        <v>6750</v>
      </c>
      <c r="O903">
        <v>16</v>
      </c>
      <c r="P903">
        <v>994</v>
      </c>
      <c r="Q903">
        <v>0</v>
      </c>
      <c r="R903">
        <v>17327076214</v>
      </c>
      <c r="S903">
        <v>16705816.74</v>
      </c>
      <c r="T903">
        <v>17106074878.440001</v>
      </c>
      <c r="U903">
        <v>17245535003.25</v>
      </c>
      <c r="V903">
        <v>0.132663</v>
      </c>
      <c r="W903">
        <v>4.3990000000000001E-2</v>
      </c>
      <c r="Y903" t="s">
        <v>1</v>
      </c>
      <c r="Z903">
        <v>5500</v>
      </c>
      <c r="AA903">
        <v>16</v>
      </c>
      <c r="AB903">
        <v>7761</v>
      </c>
      <c r="AC903">
        <v>0</v>
      </c>
      <c r="AD903">
        <v>306959016473</v>
      </c>
      <c r="AE903">
        <v>370571722.77999997</v>
      </c>
      <c r="AF903">
        <v>303152787121.08002</v>
      </c>
      <c r="AG903">
        <v>305873049248.21997</v>
      </c>
      <c r="AH903">
        <v>0.12634400000000001</v>
      </c>
      <c r="AI903">
        <v>2.7611E-2</v>
      </c>
    </row>
    <row r="904" spans="13:35" x14ac:dyDescent="0.35">
      <c r="M904" t="s">
        <v>0</v>
      </c>
      <c r="N904">
        <v>7750</v>
      </c>
      <c r="O904">
        <v>16</v>
      </c>
      <c r="P904">
        <v>1490</v>
      </c>
      <c r="Q904">
        <v>0</v>
      </c>
      <c r="R904">
        <v>39313898317</v>
      </c>
      <c r="S904">
        <v>31273401.449999999</v>
      </c>
      <c r="T904">
        <v>38574000314.57</v>
      </c>
      <c r="U904">
        <v>39029087545.57</v>
      </c>
      <c r="V904">
        <v>0.19609199999999999</v>
      </c>
      <c r="W904">
        <v>7.4702000000000005E-2</v>
      </c>
      <c r="Y904" t="s">
        <v>0</v>
      </c>
      <c r="Z904">
        <v>5000</v>
      </c>
      <c r="AA904">
        <v>14</v>
      </c>
      <c r="AB904">
        <v>4402</v>
      </c>
      <c r="AC904">
        <v>0</v>
      </c>
      <c r="AD904">
        <v>156807674291</v>
      </c>
      <c r="AE904">
        <v>204220077.13999999</v>
      </c>
      <c r="AF904">
        <v>156398231484.48001</v>
      </c>
      <c r="AG904">
        <v>156563912593.01001</v>
      </c>
      <c r="AH904">
        <v>1.5592E-2</v>
      </c>
      <c r="AI904">
        <v>3.0219999999999999E-3</v>
      </c>
    </row>
    <row r="905" spans="13:35" x14ac:dyDescent="0.35">
      <c r="M905" t="s">
        <v>2</v>
      </c>
      <c r="N905">
        <v>6750</v>
      </c>
      <c r="O905">
        <v>14</v>
      </c>
      <c r="P905">
        <v>1079</v>
      </c>
      <c r="Q905">
        <v>0</v>
      </c>
      <c r="R905">
        <v>19765225768</v>
      </c>
      <c r="S905">
        <v>18808824.710000001</v>
      </c>
      <c r="T905">
        <v>19588938824.709999</v>
      </c>
      <c r="U905">
        <v>19708934333.220001</v>
      </c>
      <c r="V905">
        <v>9.1528999999999999E-2</v>
      </c>
      <c r="W905">
        <v>2.2520999999999999E-2</v>
      </c>
      <c r="Y905" t="s">
        <v>1</v>
      </c>
      <c r="Z905">
        <v>5500</v>
      </c>
      <c r="AA905">
        <v>14</v>
      </c>
      <c r="AB905">
        <v>2438</v>
      </c>
      <c r="AC905">
        <v>0</v>
      </c>
      <c r="AD905">
        <v>97553696432</v>
      </c>
      <c r="AE905">
        <v>116339225.72</v>
      </c>
      <c r="AF905">
        <v>96089831539.389999</v>
      </c>
      <c r="AG905">
        <v>97151729382.679993</v>
      </c>
      <c r="AH905">
        <v>0.153727</v>
      </c>
      <c r="AI905">
        <v>3.4575000000000002E-2</v>
      </c>
    </row>
    <row r="906" spans="13:35" x14ac:dyDescent="0.35">
      <c r="M906" t="s">
        <v>0</v>
      </c>
      <c r="N906">
        <v>7250</v>
      </c>
      <c r="O906">
        <v>14</v>
      </c>
      <c r="P906">
        <v>5519</v>
      </c>
      <c r="Q906">
        <v>0</v>
      </c>
      <c r="R906">
        <v>144490829265</v>
      </c>
      <c r="S906">
        <v>125165220.63</v>
      </c>
      <c r="T906">
        <v>140689026645.32999</v>
      </c>
      <c r="U906">
        <v>143367674718.10001</v>
      </c>
      <c r="V906">
        <v>0.266038</v>
      </c>
      <c r="W906">
        <v>7.9806000000000002E-2</v>
      </c>
      <c r="Y906" t="s">
        <v>0</v>
      </c>
      <c r="Z906">
        <v>5750</v>
      </c>
      <c r="AA906">
        <v>14</v>
      </c>
      <c r="AB906">
        <v>11158</v>
      </c>
      <c r="AC906">
        <v>0</v>
      </c>
      <c r="AD906">
        <v>374116489557</v>
      </c>
      <c r="AE906">
        <v>426289395.97000003</v>
      </c>
      <c r="AF906">
        <v>370925835063.65002</v>
      </c>
      <c r="AG906">
        <v>373337755063.81</v>
      </c>
      <c r="AH906">
        <v>8.5152000000000005E-2</v>
      </c>
      <c r="AI906">
        <v>1.1246000000000001E-2</v>
      </c>
    </row>
    <row r="907" spans="13:35" x14ac:dyDescent="0.35">
      <c r="M907" t="s">
        <v>1</v>
      </c>
      <c r="N907">
        <v>6750</v>
      </c>
      <c r="O907">
        <v>14</v>
      </c>
      <c r="P907">
        <v>6264</v>
      </c>
      <c r="Q907">
        <v>0</v>
      </c>
      <c r="R907">
        <v>201419722223</v>
      </c>
      <c r="S907">
        <v>191923932.80000001</v>
      </c>
      <c r="T907">
        <v>192552794377.39001</v>
      </c>
      <c r="U907">
        <v>200678438668.14999</v>
      </c>
      <c r="V907">
        <v>0.410389</v>
      </c>
      <c r="W907">
        <v>3.2243000000000001E-2</v>
      </c>
      <c r="Y907" t="s">
        <v>1</v>
      </c>
      <c r="Z907">
        <v>5750</v>
      </c>
      <c r="AA907">
        <v>14</v>
      </c>
      <c r="AB907">
        <v>8250</v>
      </c>
      <c r="AC907">
        <v>0</v>
      </c>
      <c r="AD907">
        <v>328128178296</v>
      </c>
      <c r="AE907">
        <v>373382598.55000001</v>
      </c>
      <c r="AF907">
        <v>320610191940.59998</v>
      </c>
      <c r="AG907">
        <v>326850002987.04999</v>
      </c>
      <c r="AH907">
        <v>0.232159</v>
      </c>
      <c r="AI907">
        <v>3.2592000000000003E-2</v>
      </c>
    </row>
    <row r="908" spans="13:35" x14ac:dyDescent="0.35">
      <c r="M908" t="s">
        <v>1</v>
      </c>
      <c r="N908">
        <v>7250</v>
      </c>
      <c r="O908">
        <v>14</v>
      </c>
      <c r="P908">
        <v>1151</v>
      </c>
      <c r="Q908">
        <v>0</v>
      </c>
      <c r="R908">
        <v>30537085611</v>
      </c>
      <c r="S908">
        <v>26488706.989999998</v>
      </c>
      <c r="T908">
        <v>28296539205.900002</v>
      </c>
      <c r="U908">
        <v>30257247051.23</v>
      </c>
      <c r="V908">
        <v>0.59472899999999995</v>
      </c>
      <c r="W908">
        <v>9.5138E-2</v>
      </c>
      <c r="Y908" t="s">
        <v>2</v>
      </c>
      <c r="Z908">
        <v>5750</v>
      </c>
      <c r="AA908">
        <v>14</v>
      </c>
      <c r="AB908">
        <v>358</v>
      </c>
      <c r="AC908">
        <v>0</v>
      </c>
      <c r="AD908">
        <v>7868879947</v>
      </c>
      <c r="AE908">
        <v>8958411.4600000009</v>
      </c>
      <c r="AF908">
        <v>7821967520.7299995</v>
      </c>
      <c r="AG908">
        <v>7821967520.7299995</v>
      </c>
      <c r="AH908">
        <v>5.6369000000000002E-2</v>
      </c>
      <c r="AI908">
        <v>5.6369000000000002E-2</v>
      </c>
    </row>
    <row r="909" spans="13:35" x14ac:dyDescent="0.35">
      <c r="M909" t="s">
        <v>0</v>
      </c>
      <c r="N909">
        <v>7500</v>
      </c>
      <c r="O909">
        <v>14</v>
      </c>
      <c r="P909">
        <v>1507</v>
      </c>
      <c r="Q909">
        <v>0</v>
      </c>
      <c r="R909">
        <v>37388065936</v>
      </c>
      <c r="S909">
        <v>30869460.719999999</v>
      </c>
      <c r="T909">
        <v>36097532363.580002</v>
      </c>
      <c r="U909">
        <v>36967322148.379997</v>
      </c>
      <c r="V909">
        <v>0.33718999999999999</v>
      </c>
      <c r="W909">
        <v>0.1182</v>
      </c>
      <c r="Y909" t="s">
        <v>0</v>
      </c>
      <c r="Z909">
        <v>6250</v>
      </c>
      <c r="AA909">
        <v>14</v>
      </c>
      <c r="AB909">
        <v>24307</v>
      </c>
      <c r="AC909">
        <v>0</v>
      </c>
      <c r="AD909">
        <v>795084557180</v>
      </c>
      <c r="AE909">
        <v>827597293.21000004</v>
      </c>
      <c r="AF909">
        <v>779150628211.06006</v>
      </c>
      <c r="AG909">
        <v>792991953447.67004</v>
      </c>
      <c r="AH909">
        <v>0.20561699999999999</v>
      </c>
      <c r="AI909">
        <v>1.8925999999999998E-2</v>
      </c>
    </row>
    <row r="910" spans="13:35" x14ac:dyDescent="0.35">
      <c r="M910" t="s">
        <v>1</v>
      </c>
      <c r="N910">
        <v>6500</v>
      </c>
      <c r="O910">
        <v>12</v>
      </c>
      <c r="P910">
        <v>4447</v>
      </c>
      <c r="Q910">
        <v>0</v>
      </c>
      <c r="R910">
        <v>147103224950</v>
      </c>
      <c r="S910">
        <v>144043637.37</v>
      </c>
      <c r="T910">
        <v>140157442857.23999</v>
      </c>
      <c r="U910">
        <v>146320353919.26001</v>
      </c>
      <c r="V910">
        <v>0.433394</v>
      </c>
      <c r="W910">
        <v>5.0886000000000001E-2</v>
      </c>
      <c r="Y910" t="s">
        <v>1</v>
      </c>
      <c r="Z910">
        <v>6250</v>
      </c>
      <c r="AA910">
        <v>14</v>
      </c>
      <c r="AB910">
        <v>11811</v>
      </c>
      <c r="AC910">
        <v>0</v>
      </c>
      <c r="AD910">
        <v>440303843110</v>
      </c>
      <c r="AE910">
        <v>458744626.68000001</v>
      </c>
      <c r="AF910">
        <v>425777214348.15997</v>
      </c>
      <c r="AG910">
        <v>438707043872.91998</v>
      </c>
      <c r="AH910">
        <v>0.32271499999999997</v>
      </c>
      <c r="AI910">
        <v>3.0578999999999999E-2</v>
      </c>
    </row>
    <row r="911" spans="13:35" x14ac:dyDescent="0.35">
      <c r="M911" t="s">
        <v>0</v>
      </c>
      <c r="N911">
        <v>6750</v>
      </c>
      <c r="O911">
        <v>12</v>
      </c>
      <c r="P911">
        <v>24607</v>
      </c>
      <c r="Q911">
        <v>0</v>
      </c>
      <c r="R911">
        <v>710833973068</v>
      </c>
      <c r="S911">
        <v>669580510.76999998</v>
      </c>
      <c r="T911">
        <v>693558658019.58997</v>
      </c>
      <c r="U911">
        <v>707866113843.06995</v>
      </c>
      <c r="V911">
        <v>0.246975</v>
      </c>
      <c r="W911">
        <v>3.8115999999999997E-2</v>
      </c>
      <c r="Y911" t="s">
        <v>2</v>
      </c>
      <c r="Z911">
        <v>5250</v>
      </c>
      <c r="AA911">
        <v>14</v>
      </c>
      <c r="AB911">
        <v>58</v>
      </c>
      <c r="AC911">
        <v>0</v>
      </c>
      <c r="AD911">
        <v>1280356485</v>
      </c>
      <c r="AE911">
        <v>1594277.16</v>
      </c>
      <c r="AF911">
        <v>1278762207.8399999</v>
      </c>
      <c r="AG911">
        <v>1278762207.8399999</v>
      </c>
      <c r="AH911">
        <v>0</v>
      </c>
      <c r="AI911">
        <v>0</v>
      </c>
    </row>
    <row r="912" spans="13:35" x14ac:dyDescent="0.35">
      <c r="M912" t="s">
        <v>0</v>
      </c>
      <c r="N912">
        <v>7250</v>
      </c>
      <c r="O912">
        <v>12</v>
      </c>
      <c r="P912">
        <v>5988</v>
      </c>
      <c r="Q912">
        <v>0</v>
      </c>
      <c r="R912">
        <v>154467673988</v>
      </c>
      <c r="S912">
        <v>132047836.19</v>
      </c>
      <c r="T912">
        <v>148920593623.14999</v>
      </c>
      <c r="U912">
        <v>153429319972.35999</v>
      </c>
      <c r="V912">
        <v>0.34833399999999998</v>
      </c>
      <c r="W912">
        <v>6.8179000000000003E-2</v>
      </c>
      <c r="Y912" t="s">
        <v>1</v>
      </c>
      <c r="Z912">
        <v>6750</v>
      </c>
      <c r="AA912">
        <v>14</v>
      </c>
      <c r="AB912">
        <v>5711</v>
      </c>
      <c r="AC912">
        <v>0</v>
      </c>
      <c r="AD912">
        <v>178781342992</v>
      </c>
      <c r="AE912">
        <v>170170595.75</v>
      </c>
      <c r="AF912">
        <v>169986684102.07001</v>
      </c>
      <c r="AG912">
        <v>177858139509.23001</v>
      </c>
      <c r="AH912">
        <v>0.44750699999999999</v>
      </c>
      <c r="AI912">
        <v>4.9390000000000003E-2</v>
      </c>
    </row>
    <row r="913" spans="13:35" x14ac:dyDescent="0.35">
      <c r="M913" t="s">
        <v>1</v>
      </c>
      <c r="N913">
        <v>6250</v>
      </c>
      <c r="O913">
        <v>14</v>
      </c>
      <c r="P913">
        <v>9569</v>
      </c>
      <c r="Q913">
        <v>0</v>
      </c>
      <c r="R913">
        <v>358333141836</v>
      </c>
      <c r="S913">
        <v>373125338.58999997</v>
      </c>
      <c r="T913">
        <v>347872171598.59003</v>
      </c>
      <c r="U913">
        <v>357054418368.64001</v>
      </c>
      <c r="V913">
        <v>0.29012900000000003</v>
      </c>
      <c r="W913">
        <v>2.9909000000000002E-2</v>
      </c>
      <c r="Y913" t="s">
        <v>0</v>
      </c>
      <c r="Z913">
        <v>7250</v>
      </c>
      <c r="AA913">
        <v>14</v>
      </c>
      <c r="AB913">
        <v>5324</v>
      </c>
      <c r="AC913">
        <v>0</v>
      </c>
      <c r="AD913">
        <v>139348549218</v>
      </c>
      <c r="AE913">
        <v>120740975.77</v>
      </c>
      <c r="AF913">
        <v>134757986499.99001</v>
      </c>
      <c r="AG913">
        <v>138403255732.98001</v>
      </c>
      <c r="AH913">
        <v>0.32377400000000001</v>
      </c>
      <c r="AI913">
        <v>6.8739999999999996E-2</v>
      </c>
    </row>
    <row r="914" spans="13:35" x14ac:dyDescent="0.35">
      <c r="M914" t="s">
        <v>1</v>
      </c>
      <c r="N914">
        <v>5750</v>
      </c>
      <c r="O914">
        <v>14</v>
      </c>
      <c r="P914">
        <v>5081</v>
      </c>
      <c r="Q914">
        <v>0</v>
      </c>
      <c r="R914">
        <v>201017841503</v>
      </c>
      <c r="S914">
        <v>228992694.62</v>
      </c>
      <c r="T914">
        <v>197747868436.25</v>
      </c>
      <c r="U914">
        <v>200259389992.20999</v>
      </c>
      <c r="V914">
        <v>0.16716700000000001</v>
      </c>
      <c r="W914">
        <v>3.1153E-2</v>
      </c>
      <c r="Y914" t="s">
        <v>2</v>
      </c>
      <c r="Z914">
        <v>6250</v>
      </c>
      <c r="AA914">
        <v>16</v>
      </c>
      <c r="AB914">
        <v>1407</v>
      </c>
      <c r="AC914">
        <v>0</v>
      </c>
      <c r="AD914">
        <v>27080626609</v>
      </c>
      <c r="AE914">
        <v>28557109.350000001</v>
      </c>
      <c r="AF914">
        <v>26956028468.23</v>
      </c>
      <c r="AG914">
        <v>27032724877.43</v>
      </c>
      <c r="AH914">
        <v>4.1737000000000003E-2</v>
      </c>
      <c r="AI914">
        <v>8.5380000000000005E-3</v>
      </c>
    </row>
    <row r="915" spans="13:35" x14ac:dyDescent="0.35">
      <c r="M915" t="s">
        <v>2</v>
      </c>
      <c r="N915">
        <v>6250</v>
      </c>
      <c r="O915">
        <v>14</v>
      </c>
      <c r="P915">
        <v>979</v>
      </c>
      <c r="Q915">
        <v>0</v>
      </c>
      <c r="R915">
        <v>20152576341</v>
      </c>
      <c r="S915">
        <v>20974427.420000002</v>
      </c>
      <c r="T915">
        <v>20074180472.869999</v>
      </c>
      <c r="U915">
        <v>20074180472.869999</v>
      </c>
      <c r="V915">
        <v>3.3661000000000003E-2</v>
      </c>
      <c r="W915">
        <v>3.3661000000000003E-2</v>
      </c>
      <c r="Y915" t="s">
        <v>0</v>
      </c>
      <c r="Z915">
        <v>7500</v>
      </c>
      <c r="AA915">
        <v>16</v>
      </c>
      <c r="AB915">
        <v>790</v>
      </c>
      <c r="AC915">
        <v>0</v>
      </c>
      <c r="AD915">
        <v>19808705715</v>
      </c>
      <c r="AE915">
        <v>16615910.300000001</v>
      </c>
      <c r="AF915">
        <v>19383459807.259998</v>
      </c>
      <c r="AG915">
        <v>19597972934.490002</v>
      </c>
      <c r="AH915">
        <v>0.221304</v>
      </c>
      <c r="AI915">
        <v>0.111459</v>
      </c>
    </row>
    <row r="916" spans="13:35" x14ac:dyDescent="0.35">
      <c r="M916" t="s">
        <v>1</v>
      </c>
      <c r="N916">
        <v>7000</v>
      </c>
      <c r="O916">
        <v>14</v>
      </c>
      <c r="P916">
        <v>912</v>
      </c>
      <c r="Q916">
        <v>0</v>
      </c>
      <c r="R916">
        <v>25318344927</v>
      </c>
      <c r="S916">
        <v>23018967.16</v>
      </c>
      <c r="T916">
        <v>24040807893.34</v>
      </c>
      <c r="U916">
        <v>25245793122.150002</v>
      </c>
      <c r="V916">
        <v>0.45655899999999999</v>
      </c>
      <c r="W916">
        <v>2.3226E-2</v>
      </c>
      <c r="Y916" t="s">
        <v>2</v>
      </c>
      <c r="Z916">
        <v>6750</v>
      </c>
      <c r="AA916">
        <v>14</v>
      </c>
      <c r="AB916">
        <v>1115</v>
      </c>
      <c r="AC916">
        <v>0</v>
      </c>
      <c r="AD916">
        <v>19467697703</v>
      </c>
      <c r="AE916">
        <v>18552575.890000001</v>
      </c>
      <c r="AF916">
        <v>19236219790.689999</v>
      </c>
      <c r="AG916">
        <v>19391236280.490002</v>
      </c>
      <c r="AH916">
        <v>0.12363399999999999</v>
      </c>
      <c r="AI916">
        <v>3.5117000000000002E-2</v>
      </c>
    </row>
    <row r="917" spans="13:35" x14ac:dyDescent="0.35">
      <c r="M917" t="s">
        <v>2</v>
      </c>
      <c r="N917">
        <v>7500</v>
      </c>
      <c r="O917">
        <v>14</v>
      </c>
      <c r="P917">
        <v>29</v>
      </c>
      <c r="Q917">
        <v>0</v>
      </c>
      <c r="R917">
        <v>427126572</v>
      </c>
      <c r="S917">
        <v>353771.26</v>
      </c>
      <c r="T917">
        <v>402047633.70999998</v>
      </c>
      <c r="U917">
        <v>417816931.17000002</v>
      </c>
      <c r="V917">
        <v>0.51108299999999995</v>
      </c>
      <c r="W917">
        <v>0.22453200000000001</v>
      </c>
      <c r="Y917" t="s">
        <v>0</v>
      </c>
      <c r="Z917">
        <v>7500</v>
      </c>
      <c r="AA917">
        <v>14</v>
      </c>
      <c r="AB917">
        <v>1335</v>
      </c>
      <c r="AC917">
        <v>0</v>
      </c>
      <c r="AD917">
        <v>34107929192</v>
      </c>
      <c r="AE917">
        <v>28152478.870000001</v>
      </c>
      <c r="AF917">
        <v>33034549582.130001</v>
      </c>
      <c r="AG917">
        <v>33767286334.720001</v>
      </c>
      <c r="AH917">
        <v>0.31167099999999998</v>
      </c>
      <c r="AI917">
        <v>0.10456799999999999</v>
      </c>
    </row>
    <row r="918" spans="13:35" x14ac:dyDescent="0.35">
      <c r="M918" t="s">
        <v>0</v>
      </c>
      <c r="N918">
        <v>7750</v>
      </c>
      <c r="O918">
        <v>14</v>
      </c>
      <c r="P918">
        <v>1522</v>
      </c>
      <c r="Q918">
        <v>0</v>
      </c>
      <c r="R918">
        <v>40770701897</v>
      </c>
      <c r="S918">
        <v>32020624.579999998</v>
      </c>
      <c r="T918">
        <v>39313841814.029999</v>
      </c>
      <c r="U918">
        <v>40387767153.459999</v>
      </c>
      <c r="V918">
        <v>0.34745500000000001</v>
      </c>
      <c r="W918">
        <v>9.8531999999999995E-2</v>
      </c>
      <c r="Y918" t="s">
        <v>0</v>
      </c>
      <c r="Z918">
        <v>7750</v>
      </c>
      <c r="AA918">
        <v>16</v>
      </c>
      <c r="AB918">
        <v>1161</v>
      </c>
      <c r="AC918">
        <v>0</v>
      </c>
      <c r="AD918">
        <v>30869578857</v>
      </c>
      <c r="AE918">
        <v>24546959.48</v>
      </c>
      <c r="AF918">
        <v>30119724205.619999</v>
      </c>
      <c r="AG918">
        <v>30624873758.52</v>
      </c>
      <c r="AH918">
        <v>0.248223</v>
      </c>
      <c r="AI918">
        <v>8.2304000000000002E-2</v>
      </c>
    </row>
    <row r="919" spans="13:35" x14ac:dyDescent="0.35">
      <c r="M919" t="s">
        <v>0</v>
      </c>
      <c r="N919">
        <v>7000</v>
      </c>
      <c r="O919">
        <v>12</v>
      </c>
      <c r="P919">
        <v>6897</v>
      </c>
      <c r="Q919">
        <v>0</v>
      </c>
      <c r="R919">
        <v>181825565147</v>
      </c>
      <c r="S919">
        <v>163026368.02000001</v>
      </c>
      <c r="T919">
        <v>177431604616.03</v>
      </c>
      <c r="U919">
        <v>180894734860</v>
      </c>
      <c r="V919">
        <v>0.24612600000000001</v>
      </c>
      <c r="W919">
        <v>4.9513000000000001E-2</v>
      </c>
      <c r="Y919" t="s">
        <v>0</v>
      </c>
      <c r="Z919">
        <v>7750</v>
      </c>
      <c r="AA919">
        <v>14</v>
      </c>
      <c r="AB919">
        <v>1648</v>
      </c>
      <c r="AC919">
        <v>0</v>
      </c>
      <c r="AD919">
        <v>43859789369</v>
      </c>
      <c r="AE919">
        <v>34434146.280000001</v>
      </c>
      <c r="AF919">
        <v>42542466912.82</v>
      </c>
      <c r="AG919">
        <v>43343302059.940002</v>
      </c>
      <c r="AH919">
        <v>0.29969000000000001</v>
      </c>
      <c r="AI919">
        <v>0.12420200000000001</v>
      </c>
    </row>
    <row r="920" spans="13:35" x14ac:dyDescent="0.35">
      <c r="M920" t="s">
        <v>1</v>
      </c>
      <c r="N920">
        <v>7000</v>
      </c>
      <c r="O920">
        <v>12</v>
      </c>
      <c r="P920">
        <v>883</v>
      </c>
      <c r="Q920">
        <v>0</v>
      </c>
      <c r="R920">
        <v>25388016209</v>
      </c>
      <c r="S920">
        <v>22710644.219999999</v>
      </c>
      <c r="T920">
        <v>23544922751.509998</v>
      </c>
      <c r="U920">
        <v>25290142568.25</v>
      </c>
      <c r="V920">
        <v>0.590507</v>
      </c>
      <c r="W920">
        <v>3.4953999999999999E-2</v>
      </c>
      <c r="Y920" t="s">
        <v>1</v>
      </c>
      <c r="Z920">
        <v>7250</v>
      </c>
      <c r="AA920">
        <v>14</v>
      </c>
      <c r="AB920">
        <v>1117</v>
      </c>
      <c r="AC920">
        <v>0</v>
      </c>
      <c r="AD920">
        <v>29324432245</v>
      </c>
      <c r="AE920">
        <v>25452647.059999999</v>
      </c>
      <c r="AF920">
        <v>27710039236.580002</v>
      </c>
      <c r="AG920">
        <v>28945205220.720001</v>
      </c>
      <c r="AH920">
        <v>0.48752200000000001</v>
      </c>
      <c r="AI920">
        <v>0.13553999999999999</v>
      </c>
    </row>
    <row r="921" spans="13:35" x14ac:dyDescent="0.35">
      <c r="M921" t="s">
        <v>0</v>
      </c>
      <c r="N921">
        <v>7000</v>
      </c>
      <c r="O921">
        <v>10</v>
      </c>
      <c r="P921">
        <v>6302</v>
      </c>
      <c r="Q921">
        <v>0</v>
      </c>
      <c r="R921">
        <v>175529453174</v>
      </c>
      <c r="S921">
        <v>155999381.63</v>
      </c>
      <c r="T921">
        <v>171691322154.23001</v>
      </c>
      <c r="U921">
        <v>174769321236.95999</v>
      </c>
      <c r="V921">
        <v>0.22462199999999999</v>
      </c>
      <c r="W921">
        <v>4.0528000000000002E-2</v>
      </c>
      <c r="Y921" t="s">
        <v>0</v>
      </c>
      <c r="Z921">
        <v>7000</v>
      </c>
      <c r="AA921">
        <v>12</v>
      </c>
      <c r="AB921">
        <v>6865</v>
      </c>
      <c r="AC921">
        <v>0</v>
      </c>
      <c r="AD921">
        <v>179449624533</v>
      </c>
      <c r="AE921">
        <v>160689210.50999999</v>
      </c>
      <c r="AF921">
        <v>174561347718.22</v>
      </c>
      <c r="AG921">
        <v>178076140066.67001</v>
      </c>
      <c r="AH921">
        <v>0.27412500000000001</v>
      </c>
      <c r="AI921">
        <v>7.8153E-2</v>
      </c>
    </row>
    <row r="922" spans="13:35" x14ac:dyDescent="0.35">
      <c r="M922" t="s">
        <v>2</v>
      </c>
      <c r="N922">
        <v>6000</v>
      </c>
      <c r="O922">
        <v>7</v>
      </c>
      <c r="P922">
        <v>346</v>
      </c>
      <c r="Q922">
        <v>0</v>
      </c>
      <c r="R922">
        <v>8271997044</v>
      </c>
      <c r="S922">
        <v>8662745.0199999996</v>
      </c>
      <c r="T922">
        <v>8234109328.2799997</v>
      </c>
      <c r="U922">
        <v>8263334298.9799995</v>
      </c>
      <c r="V922">
        <v>4.1582000000000001E-2</v>
      </c>
      <c r="W922">
        <v>0</v>
      </c>
      <c r="Y922" t="s">
        <v>0</v>
      </c>
      <c r="Z922">
        <v>7250</v>
      </c>
      <c r="AA922">
        <v>12</v>
      </c>
      <c r="AB922">
        <v>6417</v>
      </c>
      <c r="AC922">
        <v>0</v>
      </c>
      <c r="AD922">
        <v>167090075576</v>
      </c>
      <c r="AE922">
        <v>142830890.81</v>
      </c>
      <c r="AF922">
        <v>160647062455.76001</v>
      </c>
      <c r="AG922">
        <v>165958936796.75</v>
      </c>
      <c r="AH922">
        <v>0.36948300000000001</v>
      </c>
      <c r="AI922">
        <v>6.8713999999999997E-2</v>
      </c>
    </row>
    <row r="923" spans="13:35" x14ac:dyDescent="0.35">
      <c r="M923" t="s">
        <v>2</v>
      </c>
      <c r="N923">
        <v>5750</v>
      </c>
      <c r="O923">
        <v>7</v>
      </c>
      <c r="P923">
        <v>184</v>
      </c>
      <c r="Q923">
        <v>0</v>
      </c>
      <c r="R923">
        <v>4097719018</v>
      </c>
      <c r="S923">
        <v>4492083.71</v>
      </c>
      <c r="T923">
        <v>4073110416.9000001</v>
      </c>
      <c r="U923">
        <v>4073110416.9000001</v>
      </c>
      <c r="V923">
        <v>5.7346000000000001E-2</v>
      </c>
      <c r="W923">
        <v>5.7346000000000001E-2</v>
      </c>
      <c r="Y923" t="s">
        <v>0</v>
      </c>
      <c r="Z923">
        <v>6750</v>
      </c>
      <c r="AA923">
        <v>12</v>
      </c>
      <c r="AB923">
        <v>24009</v>
      </c>
      <c r="AC923">
        <v>0</v>
      </c>
      <c r="AD923">
        <v>698556789790</v>
      </c>
      <c r="AE923">
        <v>656934560.79999995</v>
      </c>
      <c r="AF923">
        <v>678116028096.17004</v>
      </c>
      <c r="AG923">
        <v>695244594807.93005</v>
      </c>
      <c r="AH923">
        <v>0.29160799999999998</v>
      </c>
      <c r="AI923">
        <v>4.4671000000000002E-2</v>
      </c>
    </row>
    <row r="924" spans="13:35" x14ac:dyDescent="0.35">
      <c r="M924" t="s">
        <v>0</v>
      </c>
      <c r="N924">
        <v>5750</v>
      </c>
      <c r="O924">
        <v>8</v>
      </c>
      <c r="P924">
        <v>2923</v>
      </c>
      <c r="Q924">
        <v>0</v>
      </c>
      <c r="R924">
        <v>95215121683</v>
      </c>
      <c r="S924">
        <v>105301175.27</v>
      </c>
      <c r="T924">
        <v>94739191746.470001</v>
      </c>
      <c r="U924">
        <v>95109820507.729996</v>
      </c>
      <c r="V924">
        <v>4.5723E-2</v>
      </c>
      <c r="W924">
        <v>0</v>
      </c>
      <c r="Y924" t="s">
        <v>1</v>
      </c>
      <c r="Z924">
        <v>7250</v>
      </c>
      <c r="AA924">
        <v>12</v>
      </c>
      <c r="AB924">
        <v>1359</v>
      </c>
      <c r="AC924">
        <v>0</v>
      </c>
      <c r="AD924">
        <v>35850445092</v>
      </c>
      <c r="AE924">
        <v>30786853.809999999</v>
      </c>
      <c r="AF924">
        <v>33023854372.709999</v>
      </c>
      <c r="AG924">
        <v>35403354187.019997</v>
      </c>
      <c r="AH924">
        <v>0.62255400000000005</v>
      </c>
      <c r="AI924">
        <v>0.13078300000000001</v>
      </c>
    </row>
    <row r="925" spans="13:35" x14ac:dyDescent="0.35">
      <c r="M925" t="s">
        <v>0</v>
      </c>
      <c r="N925">
        <v>5750</v>
      </c>
      <c r="O925">
        <v>7</v>
      </c>
      <c r="P925">
        <v>3680</v>
      </c>
      <c r="Q925">
        <v>0</v>
      </c>
      <c r="R925">
        <v>123669394269</v>
      </c>
      <c r="S925">
        <v>136008043.50999999</v>
      </c>
      <c r="T925">
        <v>123188170869.73</v>
      </c>
      <c r="U925">
        <v>123506474374.12</v>
      </c>
      <c r="V925">
        <v>3.2988000000000003E-2</v>
      </c>
      <c r="W925">
        <v>2.6080000000000001E-3</v>
      </c>
      <c r="Y925" t="s">
        <v>0</v>
      </c>
      <c r="Z925">
        <v>7500</v>
      </c>
      <c r="AA925">
        <v>12</v>
      </c>
      <c r="AB925">
        <v>1909</v>
      </c>
      <c r="AC925">
        <v>0</v>
      </c>
      <c r="AD925">
        <v>46807418940</v>
      </c>
      <c r="AE925">
        <v>38110769.710000001</v>
      </c>
      <c r="AF925">
        <v>44994885613.660004</v>
      </c>
      <c r="AG925">
        <v>46518718827.940002</v>
      </c>
      <c r="AH925">
        <v>0.37108200000000002</v>
      </c>
      <c r="AI925">
        <v>6.2385000000000003E-2</v>
      </c>
    </row>
    <row r="926" spans="13:35" x14ac:dyDescent="0.35">
      <c r="M926" t="s">
        <v>1</v>
      </c>
      <c r="N926">
        <v>5750</v>
      </c>
      <c r="O926">
        <v>7</v>
      </c>
      <c r="P926">
        <v>4693</v>
      </c>
      <c r="Q926">
        <v>0</v>
      </c>
      <c r="R926">
        <v>199297181269</v>
      </c>
      <c r="S926">
        <v>219565646.80000001</v>
      </c>
      <c r="T926">
        <v>194334711154.45001</v>
      </c>
      <c r="U926">
        <v>198845704354.17001</v>
      </c>
      <c r="V926">
        <v>0.25101099999999998</v>
      </c>
      <c r="W926">
        <v>1.3875E-2</v>
      </c>
      <c r="Y926" t="s">
        <v>1</v>
      </c>
      <c r="Z926">
        <v>5500</v>
      </c>
      <c r="AA926">
        <v>12</v>
      </c>
      <c r="AB926">
        <v>2177</v>
      </c>
      <c r="AC926">
        <v>0</v>
      </c>
      <c r="AD926">
        <v>90392873316</v>
      </c>
      <c r="AE926">
        <v>106262203.95999999</v>
      </c>
      <c r="AF926">
        <v>89581247069.350006</v>
      </c>
      <c r="AG926">
        <v>90224537342.580002</v>
      </c>
      <c r="AH926">
        <v>8.9723999999999998E-2</v>
      </c>
      <c r="AI926">
        <v>8.2089999999999993E-3</v>
      </c>
    </row>
    <row r="927" spans="13:35" x14ac:dyDescent="0.35">
      <c r="M927" t="s">
        <v>1</v>
      </c>
      <c r="N927">
        <v>5750</v>
      </c>
      <c r="O927">
        <v>8</v>
      </c>
      <c r="P927">
        <v>2463</v>
      </c>
      <c r="Q927">
        <v>0</v>
      </c>
      <c r="R927">
        <v>102564598210</v>
      </c>
      <c r="S927">
        <v>113336601.64</v>
      </c>
      <c r="T927">
        <v>100534017918.83</v>
      </c>
      <c r="U927">
        <v>102363574565.89</v>
      </c>
      <c r="V927">
        <v>0.20263200000000001</v>
      </c>
      <c r="W927">
        <v>1.0211E-2</v>
      </c>
      <c r="Y927" t="s">
        <v>1</v>
      </c>
      <c r="Z927">
        <v>5750</v>
      </c>
      <c r="AA927">
        <v>12</v>
      </c>
      <c r="AB927">
        <v>6657</v>
      </c>
      <c r="AC927">
        <v>0</v>
      </c>
      <c r="AD927">
        <v>277004766245</v>
      </c>
      <c r="AE927">
        <v>312406558.19</v>
      </c>
      <c r="AF927">
        <v>270673353674.76999</v>
      </c>
      <c r="AG927">
        <v>275812070858.89001</v>
      </c>
      <c r="AH927">
        <v>0.231736</v>
      </c>
      <c r="AI927">
        <v>3.7475000000000001E-2</v>
      </c>
    </row>
    <row r="928" spans="13:35" x14ac:dyDescent="0.35">
      <c r="M928" t="s">
        <v>1</v>
      </c>
      <c r="N928">
        <v>5500</v>
      </c>
      <c r="O928">
        <v>7</v>
      </c>
      <c r="P928">
        <v>1383</v>
      </c>
      <c r="Q928">
        <v>0</v>
      </c>
      <c r="R928">
        <v>58414665712</v>
      </c>
      <c r="S928">
        <v>67056342.649999999</v>
      </c>
      <c r="T928">
        <v>57925128815.760002</v>
      </c>
      <c r="U928">
        <v>58318365563.440002</v>
      </c>
      <c r="V928">
        <v>8.3418999999999993E-2</v>
      </c>
      <c r="W928">
        <v>5.9909999999999998E-3</v>
      </c>
      <c r="Y928" t="s">
        <v>2</v>
      </c>
      <c r="Z928">
        <v>6250</v>
      </c>
      <c r="AA928">
        <v>12</v>
      </c>
      <c r="AB928">
        <v>1101</v>
      </c>
      <c r="AC928">
        <v>0</v>
      </c>
      <c r="AD928">
        <v>23158879023</v>
      </c>
      <c r="AE928">
        <v>23815174.34</v>
      </c>
      <c r="AF928">
        <v>23082031624.66</v>
      </c>
      <c r="AG928">
        <v>23135063848.66</v>
      </c>
      <c r="AH928">
        <v>2.7136E-2</v>
      </c>
      <c r="AI928">
        <v>0</v>
      </c>
    </row>
    <row r="929" spans="13:35" x14ac:dyDescent="0.35">
      <c r="M929" t="s">
        <v>0</v>
      </c>
      <c r="N929">
        <v>8000</v>
      </c>
      <c r="O929">
        <v>9</v>
      </c>
      <c r="P929">
        <v>178</v>
      </c>
      <c r="Q929">
        <v>0</v>
      </c>
      <c r="R929">
        <v>5203148318</v>
      </c>
      <c r="S929">
        <v>3809371.8</v>
      </c>
      <c r="T929">
        <v>5016630990.0799999</v>
      </c>
      <c r="U929">
        <v>5180709078.5200005</v>
      </c>
      <c r="V929">
        <v>0.34881099999999998</v>
      </c>
      <c r="W929">
        <v>4.2130000000000001E-2</v>
      </c>
      <c r="Y929" t="s">
        <v>0</v>
      </c>
      <c r="Z929">
        <v>6250</v>
      </c>
      <c r="AA929">
        <v>12</v>
      </c>
      <c r="AB929">
        <v>21528</v>
      </c>
      <c r="AC929">
        <v>0</v>
      </c>
      <c r="AD929">
        <v>716068262164</v>
      </c>
      <c r="AE929">
        <v>736603084.11000001</v>
      </c>
      <c r="AF929">
        <v>702530724167.87</v>
      </c>
      <c r="AG929">
        <v>714559198578.05005</v>
      </c>
      <c r="AH929">
        <v>0.194636</v>
      </c>
      <c r="AI929">
        <v>1.2869E-2</v>
      </c>
    </row>
    <row r="930" spans="13:35" x14ac:dyDescent="0.35">
      <c r="M930" t="s">
        <v>0</v>
      </c>
      <c r="N930">
        <v>8000</v>
      </c>
      <c r="O930">
        <v>8</v>
      </c>
      <c r="P930">
        <v>157</v>
      </c>
      <c r="Q930">
        <v>0</v>
      </c>
      <c r="R930">
        <v>4922214200</v>
      </c>
      <c r="S930">
        <v>3579394.08</v>
      </c>
      <c r="T930">
        <v>4873982957.0900002</v>
      </c>
      <c r="U930">
        <v>4918634805.9200001</v>
      </c>
      <c r="V930">
        <v>0.103588</v>
      </c>
      <c r="W930">
        <v>0</v>
      </c>
      <c r="Y930" t="s">
        <v>1</v>
      </c>
      <c r="Z930">
        <v>6250</v>
      </c>
      <c r="AA930">
        <v>12</v>
      </c>
      <c r="AB930">
        <v>12923</v>
      </c>
      <c r="AC930">
        <v>0</v>
      </c>
      <c r="AD930">
        <v>489010387821</v>
      </c>
      <c r="AE930">
        <v>503101444.36000001</v>
      </c>
      <c r="AF930">
        <v>469619036060.25</v>
      </c>
      <c r="AG930">
        <v>487639943040.28003</v>
      </c>
      <c r="AH930">
        <v>0.37668000000000001</v>
      </c>
      <c r="AI930">
        <v>2.1078E-2</v>
      </c>
    </row>
    <row r="931" spans="13:35" x14ac:dyDescent="0.35">
      <c r="M931" t="s">
        <v>0</v>
      </c>
      <c r="N931">
        <v>7500</v>
      </c>
      <c r="O931">
        <v>8</v>
      </c>
      <c r="P931">
        <v>851</v>
      </c>
      <c r="Q931">
        <v>0</v>
      </c>
      <c r="R931">
        <v>23303709618</v>
      </c>
      <c r="S931">
        <v>18504030.210000001</v>
      </c>
      <c r="T931">
        <v>22216142736.040001</v>
      </c>
      <c r="U931">
        <v>23206862168.080002</v>
      </c>
      <c r="V931">
        <v>0.43080400000000002</v>
      </c>
      <c r="W931">
        <v>3.9604E-2</v>
      </c>
      <c r="Y931" t="s">
        <v>1</v>
      </c>
      <c r="Z931">
        <v>7000</v>
      </c>
      <c r="AA931">
        <v>12</v>
      </c>
      <c r="AB931">
        <v>1031</v>
      </c>
      <c r="AC931">
        <v>0</v>
      </c>
      <c r="AD931">
        <v>28794283826</v>
      </c>
      <c r="AE931">
        <v>25788196.18</v>
      </c>
      <c r="AF931">
        <v>27245314935.09</v>
      </c>
      <c r="AG931">
        <v>28676601060.119999</v>
      </c>
      <c r="AH931">
        <v>0.479097</v>
      </c>
      <c r="AI931">
        <v>3.7631999999999999E-2</v>
      </c>
    </row>
    <row r="932" spans="13:35" x14ac:dyDescent="0.35">
      <c r="M932" t="s">
        <v>0</v>
      </c>
      <c r="N932">
        <v>7250</v>
      </c>
      <c r="O932">
        <v>8</v>
      </c>
      <c r="P932">
        <v>4515</v>
      </c>
      <c r="Q932">
        <v>0</v>
      </c>
      <c r="R932">
        <v>120587669317</v>
      </c>
      <c r="S932">
        <v>100623346.53</v>
      </c>
      <c r="T932">
        <v>115951798145.19</v>
      </c>
      <c r="U932">
        <v>119881164297.63</v>
      </c>
      <c r="V932">
        <v>0.36872899999999997</v>
      </c>
      <c r="W932">
        <v>5.8653999999999998E-2</v>
      </c>
      <c r="Y932" t="s">
        <v>2</v>
      </c>
      <c r="Z932">
        <v>6250</v>
      </c>
      <c r="AA932">
        <v>14</v>
      </c>
      <c r="AB932">
        <v>1127</v>
      </c>
      <c r="AC932">
        <v>0</v>
      </c>
      <c r="AD932">
        <v>23092707008</v>
      </c>
      <c r="AE932">
        <v>24069847.510000002</v>
      </c>
      <c r="AF932">
        <v>22934085685.52</v>
      </c>
      <c r="AG932">
        <v>23055519362.310001</v>
      </c>
      <c r="AH932">
        <v>6.7721000000000003E-2</v>
      </c>
      <c r="AI932">
        <v>6.7949999999999998E-3</v>
      </c>
    </row>
    <row r="933" spans="13:35" x14ac:dyDescent="0.35">
      <c r="M933" t="s">
        <v>0</v>
      </c>
      <c r="N933">
        <v>7250</v>
      </c>
      <c r="O933">
        <v>9</v>
      </c>
      <c r="P933">
        <v>4607</v>
      </c>
      <c r="Q933">
        <v>0</v>
      </c>
      <c r="R933">
        <v>123889110995</v>
      </c>
      <c r="S933">
        <v>104033736.02</v>
      </c>
      <c r="T933">
        <v>120748398549.34</v>
      </c>
      <c r="U933">
        <v>123263247857.69</v>
      </c>
      <c r="V933">
        <v>0.25755</v>
      </c>
      <c r="W933">
        <v>4.9390000000000003E-2</v>
      </c>
      <c r="Y933" t="s">
        <v>2</v>
      </c>
      <c r="Z933">
        <v>7500</v>
      </c>
      <c r="AA933">
        <v>14</v>
      </c>
      <c r="AB933">
        <v>23</v>
      </c>
      <c r="AC933">
        <v>0</v>
      </c>
      <c r="AD933">
        <v>357758265</v>
      </c>
      <c r="AE933">
        <v>296032.19</v>
      </c>
      <c r="AF933">
        <v>357462232.81</v>
      </c>
      <c r="AG933">
        <v>357462232.81</v>
      </c>
      <c r="AH933">
        <v>0</v>
      </c>
      <c r="AI933">
        <v>0</v>
      </c>
    </row>
    <row r="934" spans="13:35" x14ac:dyDescent="0.35">
      <c r="M934" t="s">
        <v>0</v>
      </c>
      <c r="N934">
        <v>7250</v>
      </c>
      <c r="O934">
        <v>7</v>
      </c>
      <c r="P934">
        <v>3780</v>
      </c>
      <c r="Q934">
        <v>0</v>
      </c>
      <c r="R934">
        <v>100784331453</v>
      </c>
      <c r="S934">
        <v>83521023.319999993</v>
      </c>
      <c r="T934">
        <v>94478129007.729996</v>
      </c>
      <c r="U934">
        <v>100155738379.14999</v>
      </c>
      <c r="V934">
        <v>0.53455900000000001</v>
      </c>
      <c r="W934">
        <v>6.3004000000000004E-2</v>
      </c>
      <c r="Y934" t="s">
        <v>1</v>
      </c>
      <c r="Z934">
        <v>6500</v>
      </c>
      <c r="AA934">
        <v>10</v>
      </c>
      <c r="AB934">
        <v>2368</v>
      </c>
      <c r="AC934">
        <v>0</v>
      </c>
      <c r="AD934">
        <v>77414448843</v>
      </c>
      <c r="AE934">
        <v>75089123.010000005</v>
      </c>
      <c r="AF934">
        <v>73914089009.539993</v>
      </c>
      <c r="AG934">
        <v>77243648976.210007</v>
      </c>
      <c r="AH934">
        <v>0.41902899999999998</v>
      </c>
      <c r="AI934">
        <v>1.4736000000000001E-2</v>
      </c>
    </row>
    <row r="935" spans="13:35" x14ac:dyDescent="0.35">
      <c r="M935" t="s">
        <v>0</v>
      </c>
      <c r="N935">
        <v>7000</v>
      </c>
      <c r="O935">
        <v>7</v>
      </c>
      <c r="P935">
        <v>4963</v>
      </c>
      <c r="Q935">
        <v>0</v>
      </c>
      <c r="R935">
        <v>138796607737</v>
      </c>
      <c r="S935">
        <v>120685101.7</v>
      </c>
      <c r="T935">
        <v>132427775617.49001</v>
      </c>
      <c r="U935">
        <v>138173515471.48001</v>
      </c>
      <c r="V935">
        <v>0.424626</v>
      </c>
      <c r="W935">
        <v>4.2582000000000002E-2</v>
      </c>
      <c r="Y935" t="s">
        <v>0</v>
      </c>
      <c r="Z935">
        <v>6750</v>
      </c>
      <c r="AA935">
        <v>10</v>
      </c>
      <c r="AB935">
        <v>12286</v>
      </c>
      <c r="AC935">
        <v>0</v>
      </c>
      <c r="AD935">
        <v>358369540133</v>
      </c>
      <c r="AE935">
        <v>334544783.02999997</v>
      </c>
      <c r="AF935">
        <v>350264585590.46002</v>
      </c>
      <c r="AG935">
        <v>357146695203.89001</v>
      </c>
      <c r="AH935">
        <v>0.23130000000000001</v>
      </c>
      <c r="AI935">
        <v>2.9343000000000001E-2</v>
      </c>
    </row>
    <row r="936" spans="13:35" x14ac:dyDescent="0.35">
      <c r="M936" t="s">
        <v>0</v>
      </c>
      <c r="N936">
        <v>7000</v>
      </c>
      <c r="O936">
        <v>8</v>
      </c>
      <c r="P936">
        <v>6004</v>
      </c>
      <c r="Q936">
        <v>0</v>
      </c>
      <c r="R936">
        <v>164687211469</v>
      </c>
      <c r="S936">
        <v>144323802.74000001</v>
      </c>
      <c r="T936">
        <v>159180607673.19</v>
      </c>
      <c r="U936">
        <v>164112350957.14001</v>
      </c>
      <c r="V936">
        <v>0.32781900000000003</v>
      </c>
      <c r="W936">
        <v>3.0924E-2</v>
      </c>
      <c r="Y936" t="s">
        <v>0</v>
      </c>
      <c r="Z936">
        <v>7000</v>
      </c>
      <c r="AA936">
        <v>10</v>
      </c>
      <c r="AB936">
        <v>3819</v>
      </c>
      <c r="AC936">
        <v>0</v>
      </c>
      <c r="AD936">
        <v>102226215561</v>
      </c>
      <c r="AE936">
        <v>90802900.640000001</v>
      </c>
      <c r="AF936">
        <v>99435978413.649994</v>
      </c>
      <c r="AG936">
        <v>101728013899.14</v>
      </c>
      <c r="AH936">
        <v>0.27467599999999998</v>
      </c>
      <c r="AI936">
        <v>4.6788999999999997E-2</v>
      </c>
    </row>
    <row r="937" spans="13:35" x14ac:dyDescent="0.35">
      <c r="M937" t="s">
        <v>0</v>
      </c>
      <c r="N937">
        <v>6250</v>
      </c>
      <c r="O937">
        <v>8</v>
      </c>
      <c r="P937">
        <v>12686</v>
      </c>
      <c r="Q937">
        <v>0</v>
      </c>
      <c r="R937">
        <v>418852872323</v>
      </c>
      <c r="S937">
        <v>422759610.30000001</v>
      </c>
      <c r="T937">
        <v>413513371052.90002</v>
      </c>
      <c r="U937">
        <v>418162348722.09998</v>
      </c>
      <c r="V937">
        <v>0.13211500000000001</v>
      </c>
      <c r="W937">
        <v>7.6439999999999998E-3</v>
      </c>
      <c r="Y937" t="s">
        <v>1</v>
      </c>
      <c r="Z937">
        <v>7000</v>
      </c>
      <c r="AA937">
        <v>10</v>
      </c>
      <c r="AB937">
        <v>522</v>
      </c>
      <c r="AC937">
        <v>0</v>
      </c>
      <c r="AD937">
        <v>15267814953</v>
      </c>
      <c r="AE937">
        <v>13531500.18</v>
      </c>
      <c r="AF937">
        <v>13835593617.75</v>
      </c>
      <c r="AG937">
        <v>15111444670.530001</v>
      </c>
      <c r="AH937">
        <v>0.68972599999999995</v>
      </c>
      <c r="AI937">
        <v>0.106666</v>
      </c>
    </row>
    <row r="938" spans="13:35" x14ac:dyDescent="0.35">
      <c r="M938" t="s">
        <v>0</v>
      </c>
      <c r="N938">
        <v>6250</v>
      </c>
      <c r="O938">
        <v>9</v>
      </c>
      <c r="P938">
        <v>12049</v>
      </c>
      <c r="Q938">
        <v>0</v>
      </c>
      <c r="R938">
        <v>399860129493</v>
      </c>
      <c r="S938">
        <v>405264909.32999998</v>
      </c>
      <c r="T938">
        <v>394916930594.54999</v>
      </c>
      <c r="U938">
        <v>399352225129.44</v>
      </c>
      <c r="V938">
        <v>0.127999</v>
      </c>
      <c r="W938">
        <v>3.0760000000000002E-3</v>
      </c>
      <c r="Y938" t="s">
        <v>0</v>
      </c>
      <c r="Z938">
        <v>7000</v>
      </c>
      <c r="AA938">
        <v>9</v>
      </c>
      <c r="AB938">
        <v>6425</v>
      </c>
      <c r="AC938">
        <v>0</v>
      </c>
      <c r="AD938">
        <v>179559861100</v>
      </c>
      <c r="AE938">
        <v>158516353.34999999</v>
      </c>
      <c r="AF938">
        <v>175370489997.41</v>
      </c>
      <c r="AG938">
        <v>178830374184.92999</v>
      </c>
      <c r="AH938">
        <v>0.23849000000000001</v>
      </c>
      <c r="AI938">
        <v>3.7497999999999997E-2</v>
      </c>
    </row>
    <row r="939" spans="13:35" x14ac:dyDescent="0.35">
      <c r="M939" t="s">
        <v>0</v>
      </c>
      <c r="N939">
        <v>7000</v>
      </c>
      <c r="O939">
        <v>9</v>
      </c>
      <c r="P939">
        <v>6784</v>
      </c>
      <c r="Q939">
        <v>0</v>
      </c>
      <c r="R939">
        <v>186520431550</v>
      </c>
      <c r="S939">
        <v>164743232.61000001</v>
      </c>
      <c r="T939">
        <v>180959264937.63</v>
      </c>
      <c r="U939">
        <v>185508380577.07999</v>
      </c>
      <c r="V939">
        <v>0.296935</v>
      </c>
      <c r="W939">
        <v>5.3171000000000003E-2</v>
      </c>
      <c r="Y939" t="s">
        <v>2</v>
      </c>
      <c r="Z939">
        <v>6000</v>
      </c>
      <c r="AA939">
        <v>6</v>
      </c>
      <c r="AB939">
        <v>346</v>
      </c>
      <c r="AC939">
        <v>0</v>
      </c>
      <c r="AD939">
        <v>8287318634</v>
      </c>
      <c r="AE939">
        <v>8626958.7799999993</v>
      </c>
      <c r="AF939">
        <v>8278691675.2200003</v>
      </c>
      <c r="AG939">
        <v>8278691675.2200003</v>
      </c>
      <c r="AH939">
        <v>0</v>
      </c>
      <c r="AI939">
        <v>0</v>
      </c>
    </row>
    <row r="940" spans="13:35" x14ac:dyDescent="0.35">
      <c r="M940" t="s">
        <v>1</v>
      </c>
      <c r="N940">
        <v>7000</v>
      </c>
      <c r="O940">
        <v>8</v>
      </c>
      <c r="P940">
        <v>1346</v>
      </c>
      <c r="Q940">
        <v>0</v>
      </c>
      <c r="R940">
        <v>40809122463</v>
      </c>
      <c r="S940">
        <v>35713858.530000001</v>
      </c>
      <c r="T940">
        <v>35907889083.849998</v>
      </c>
      <c r="U940">
        <v>40651397573.93</v>
      </c>
      <c r="V940">
        <v>0.78204200000000001</v>
      </c>
      <c r="W940">
        <v>3.5292999999999998E-2</v>
      </c>
      <c r="Y940" t="s">
        <v>2</v>
      </c>
      <c r="Z940">
        <v>5750</v>
      </c>
      <c r="AA940">
        <v>6</v>
      </c>
      <c r="AB940">
        <v>184</v>
      </c>
      <c r="AC940">
        <v>0</v>
      </c>
      <c r="AD940">
        <v>4107958541</v>
      </c>
      <c r="AE940">
        <v>4477130.2300000004</v>
      </c>
      <c r="AF940">
        <v>4103481410.77</v>
      </c>
      <c r="AG940">
        <v>4103481410.77</v>
      </c>
      <c r="AH940">
        <v>0</v>
      </c>
      <c r="AI940">
        <v>0</v>
      </c>
    </row>
    <row r="941" spans="13:35" x14ac:dyDescent="0.35">
      <c r="M941" t="s">
        <v>0</v>
      </c>
      <c r="N941">
        <v>6750</v>
      </c>
      <c r="O941">
        <v>9</v>
      </c>
      <c r="P941">
        <v>14955</v>
      </c>
      <c r="Q941">
        <v>0</v>
      </c>
      <c r="R941">
        <v>452916701636</v>
      </c>
      <c r="S941">
        <v>419620397.08999997</v>
      </c>
      <c r="T941">
        <v>441494938715.57001</v>
      </c>
      <c r="U941">
        <v>451652320996.16998</v>
      </c>
      <c r="V941">
        <v>0.25554300000000002</v>
      </c>
      <c r="W941">
        <v>2.2154E-2</v>
      </c>
      <c r="Y941" t="s">
        <v>0</v>
      </c>
      <c r="Z941">
        <v>5750</v>
      </c>
      <c r="AA941">
        <v>7</v>
      </c>
      <c r="AB941">
        <v>2934</v>
      </c>
      <c r="AC941">
        <v>0</v>
      </c>
      <c r="AD941">
        <v>95638546292</v>
      </c>
      <c r="AE941">
        <v>105161186.70999999</v>
      </c>
      <c r="AF941">
        <v>95015600517.009995</v>
      </c>
      <c r="AG941">
        <v>95508099159.570007</v>
      </c>
      <c r="AH941">
        <v>6.3067999999999999E-2</v>
      </c>
      <c r="AI941">
        <v>3.1679999999999998E-3</v>
      </c>
    </row>
    <row r="942" spans="13:35" x14ac:dyDescent="0.35">
      <c r="M942" t="s">
        <v>0</v>
      </c>
      <c r="N942">
        <v>6750</v>
      </c>
      <c r="O942">
        <v>8</v>
      </c>
      <c r="P942">
        <v>14595</v>
      </c>
      <c r="Q942">
        <v>0</v>
      </c>
      <c r="R942">
        <v>429946213142</v>
      </c>
      <c r="S942">
        <v>395930690.47000003</v>
      </c>
      <c r="T942">
        <v>416421667721.52002</v>
      </c>
      <c r="U942">
        <v>428898983147.21002</v>
      </c>
      <c r="V942">
        <v>0.31074000000000002</v>
      </c>
      <c r="W942">
        <v>1.8027000000000001E-2</v>
      </c>
      <c r="Y942" t="s">
        <v>0</v>
      </c>
      <c r="Z942">
        <v>5750</v>
      </c>
      <c r="AA942">
        <v>6</v>
      </c>
      <c r="AB942">
        <v>3683</v>
      </c>
      <c r="AC942">
        <v>0</v>
      </c>
      <c r="AD942">
        <v>124174133694</v>
      </c>
      <c r="AE942">
        <v>135766010.53999999</v>
      </c>
      <c r="AF942">
        <v>123302432061.17</v>
      </c>
      <c r="AG942">
        <v>124006540452.67</v>
      </c>
      <c r="AH942">
        <v>6.8847000000000005E-2</v>
      </c>
      <c r="AI942">
        <v>3.0709999999999999E-3</v>
      </c>
    </row>
    <row r="943" spans="13:35" x14ac:dyDescent="0.35">
      <c r="M943" t="s">
        <v>0</v>
      </c>
      <c r="N943">
        <v>6250</v>
      </c>
      <c r="O943">
        <v>12</v>
      </c>
      <c r="P943">
        <v>28144</v>
      </c>
      <c r="Q943">
        <v>0</v>
      </c>
      <c r="R943">
        <v>929427307338</v>
      </c>
      <c r="S943">
        <v>957435202.53999996</v>
      </c>
      <c r="T943">
        <v>916895252914.87</v>
      </c>
      <c r="U943">
        <v>927931566007.93994</v>
      </c>
      <c r="V943">
        <v>0.13961899999999999</v>
      </c>
      <c r="W943">
        <v>6.9280000000000001E-3</v>
      </c>
      <c r="Y943" t="s">
        <v>1</v>
      </c>
      <c r="Z943">
        <v>5750</v>
      </c>
      <c r="AA943">
        <v>6</v>
      </c>
      <c r="AB943">
        <v>4699</v>
      </c>
      <c r="AC943">
        <v>0</v>
      </c>
      <c r="AD943">
        <v>200175909778</v>
      </c>
      <c r="AE943">
        <v>219252639.53999999</v>
      </c>
      <c r="AF943">
        <v>199416556873.92999</v>
      </c>
      <c r="AG943">
        <v>199895473763.39999</v>
      </c>
      <c r="AH943">
        <v>3.1900999999999999E-2</v>
      </c>
      <c r="AI943">
        <v>3.6619999999999999E-3</v>
      </c>
    </row>
    <row r="944" spans="13:35" x14ac:dyDescent="0.35">
      <c r="M944" t="s">
        <v>2</v>
      </c>
      <c r="N944">
        <v>6250</v>
      </c>
      <c r="O944">
        <v>8</v>
      </c>
      <c r="P944">
        <v>905</v>
      </c>
      <c r="Q944">
        <v>0</v>
      </c>
      <c r="R944">
        <v>19648704465</v>
      </c>
      <c r="S944">
        <v>19714808.050000001</v>
      </c>
      <c r="T944">
        <v>19583218610.240002</v>
      </c>
      <c r="U944">
        <v>19628989656.950001</v>
      </c>
      <c r="V944">
        <v>2.7598000000000001E-2</v>
      </c>
      <c r="W944">
        <v>0</v>
      </c>
      <c r="Y944" t="s">
        <v>1</v>
      </c>
      <c r="Z944">
        <v>5750</v>
      </c>
      <c r="AA944">
        <v>7</v>
      </c>
      <c r="AB944">
        <v>2741</v>
      </c>
      <c r="AC944">
        <v>0</v>
      </c>
      <c r="AD944">
        <v>115031365795</v>
      </c>
      <c r="AE944">
        <v>126410844.25</v>
      </c>
      <c r="AF944">
        <v>102611887615.61</v>
      </c>
      <c r="AG944">
        <v>114736495173.27</v>
      </c>
      <c r="AH944">
        <v>0.74237200000000003</v>
      </c>
      <c r="AI944">
        <v>1.7433000000000001E-2</v>
      </c>
    </row>
    <row r="945" spans="13:35" x14ac:dyDescent="0.35">
      <c r="M945" t="s">
        <v>1</v>
      </c>
      <c r="N945">
        <v>6250</v>
      </c>
      <c r="O945">
        <v>8</v>
      </c>
      <c r="P945">
        <v>9650</v>
      </c>
      <c r="Q945">
        <v>0</v>
      </c>
      <c r="R945">
        <v>388545637056</v>
      </c>
      <c r="S945">
        <v>391682884.19</v>
      </c>
      <c r="T945">
        <v>370345529313.13</v>
      </c>
      <c r="U945">
        <v>387864252153.67999</v>
      </c>
      <c r="V945">
        <v>0.43050500000000003</v>
      </c>
      <c r="W945">
        <v>8.9110000000000005E-3</v>
      </c>
      <c r="Y945" t="s">
        <v>1</v>
      </c>
      <c r="Z945">
        <v>5500</v>
      </c>
      <c r="AA945">
        <v>6</v>
      </c>
      <c r="AB945">
        <v>1384</v>
      </c>
      <c r="AC945">
        <v>0</v>
      </c>
      <c r="AD945">
        <v>58710845460</v>
      </c>
      <c r="AE945">
        <v>67017117.770000003</v>
      </c>
      <c r="AF945">
        <v>58372352431.800003</v>
      </c>
      <c r="AG945">
        <v>58643828342.230003</v>
      </c>
      <c r="AH945">
        <v>5.4098E-2</v>
      </c>
      <c r="AI945">
        <v>0</v>
      </c>
    </row>
    <row r="946" spans="13:35" x14ac:dyDescent="0.35">
      <c r="M946" t="s">
        <v>0</v>
      </c>
      <c r="N946">
        <v>6250</v>
      </c>
      <c r="O946">
        <v>10</v>
      </c>
      <c r="P946">
        <v>13785</v>
      </c>
      <c r="Q946">
        <v>0</v>
      </c>
      <c r="R946">
        <v>451025743463</v>
      </c>
      <c r="S946">
        <v>460208461.49000001</v>
      </c>
      <c r="T946">
        <v>445320230851.59998</v>
      </c>
      <c r="U946">
        <v>450389414244.39001</v>
      </c>
      <c r="V946">
        <v>0.130967</v>
      </c>
      <c r="W946">
        <v>4.6759999999999996E-3</v>
      </c>
      <c r="Y946" t="s">
        <v>0</v>
      </c>
      <c r="Z946">
        <v>8000</v>
      </c>
      <c r="AA946">
        <v>8</v>
      </c>
      <c r="AB946">
        <v>178</v>
      </c>
      <c r="AC946">
        <v>0</v>
      </c>
      <c r="AD946">
        <v>5206674331</v>
      </c>
      <c r="AE946">
        <v>3784293.11</v>
      </c>
      <c r="AF946">
        <v>5202890037.8900003</v>
      </c>
      <c r="AG946">
        <v>5202890037.8900003</v>
      </c>
      <c r="AH946">
        <v>0</v>
      </c>
      <c r="AI946">
        <v>0</v>
      </c>
    </row>
    <row r="947" spans="13:35" x14ac:dyDescent="0.35">
      <c r="M947" t="s">
        <v>2</v>
      </c>
      <c r="N947">
        <v>6250</v>
      </c>
      <c r="O947">
        <v>9</v>
      </c>
      <c r="P947">
        <v>715</v>
      </c>
      <c r="Q947">
        <v>0</v>
      </c>
      <c r="R947">
        <v>15541951320</v>
      </c>
      <c r="S947">
        <v>15704066.210000001</v>
      </c>
      <c r="T947">
        <v>15526247253.790001</v>
      </c>
      <c r="U947">
        <v>15526247253.790001</v>
      </c>
      <c r="V947">
        <v>0</v>
      </c>
      <c r="W947">
        <v>0</v>
      </c>
      <c r="Y947" t="s">
        <v>0</v>
      </c>
      <c r="Z947">
        <v>8000</v>
      </c>
      <c r="AA947">
        <v>7</v>
      </c>
      <c r="AB947">
        <v>158</v>
      </c>
      <c r="AC947">
        <v>0</v>
      </c>
      <c r="AD947">
        <v>4960404308</v>
      </c>
      <c r="AE947">
        <v>3580520.91</v>
      </c>
      <c r="AF947">
        <v>4921913361.0500002</v>
      </c>
      <c r="AG947">
        <v>4956823787.0900002</v>
      </c>
      <c r="AH947">
        <v>8.1259999999999999E-2</v>
      </c>
      <c r="AI947">
        <v>0</v>
      </c>
    </row>
    <row r="948" spans="13:35" x14ac:dyDescent="0.35">
      <c r="M948" t="s">
        <v>0</v>
      </c>
      <c r="N948">
        <v>5750</v>
      </c>
      <c r="O948">
        <v>9</v>
      </c>
      <c r="P948">
        <v>2823</v>
      </c>
      <c r="Q948">
        <v>0</v>
      </c>
      <c r="R948">
        <v>93367769262</v>
      </c>
      <c r="S948">
        <v>103845463.53</v>
      </c>
      <c r="T948">
        <v>92593807159.100006</v>
      </c>
      <c r="U948">
        <v>93214956533.369995</v>
      </c>
      <c r="V948">
        <v>8.2806000000000005E-2</v>
      </c>
      <c r="W948">
        <v>6.2750000000000002E-3</v>
      </c>
      <c r="Y948" t="s">
        <v>0</v>
      </c>
      <c r="Z948">
        <v>7500</v>
      </c>
      <c r="AA948">
        <v>7</v>
      </c>
      <c r="AB948">
        <v>901</v>
      </c>
      <c r="AC948">
        <v>0</v>
      </c>
      <c r="AD948">
        <v>24966797341</v>
      </c>
      <c r="AE948">
        <v>19684798.84</v>
      </c>
      <c r="AF948">
        <v>23307885092.189999</v>
      </c>
      <c r="AG948">
        <v>24914860919.77</v>
      </c>
      <c r="AH948">
        <v>0.55732999999999999</v>
      </c>
      <c r="AI948">
        <v>1.5391999999999999E-2</v>
      </c>
    </row>
    <row r="949" spans="13:35" x14ac:dyDescent="0.35">
      <c r="M949" t="s">
        <v>2</v>
      </c>
      <c r="N949">
        <v>5750</v>
      </c>
      <c r="O949">
        <v>8</v>
      </c>
      <c r="P949">
        <v>161</v>
      </c>
      <c r="Q949">
        <v>0</v>
      </c>
      <c r="R949">
        <v>3400780829</v>
      </c>
      <c r="S949">
        <v>3741791.57</v>
      </c>
      <c r="T949">
        <v>3397039037.4299998</v>
      </c>
      <c r="U949">
        <v>3397039037.4299998</v>
      </c>
      <c r="V949">
        <v>0</v>
      </c>
      <c r="W949">
        <v>0</v>
      </c>
      <c r="Y949" t="s">
        <v>0</v>
      </c>
      <c r="Z949">
        <v>7250</v>
      </c>
      <c r="AA949">
        <v>7</v>
      </c>
      <c r="AB949">
        <v>4760</v>
      </c>
      <c r="AC949">
        <v>0</v>
      </c>
      <c r="AD949">
        <v>128216446988</v>
      </c>
      <c r="AE949">
        <v>106253755.58</v>
      </c>
      <c r="AF949">
        <v>120559750179.99001</v>
      </c>
      <c r="AG949">
        <v>127744596820.67999</v>
      </c>
      <c r="AH949">
        <v>0.51728099999999999</v>
      </c>
      <c r="AI949">
        <v>3.3685E-2</v>
      </c>
    </row>
    <row r="950" spans="13:35" x14ac:dyDescent="0.35">
      <c r="M950" t="s">
        <v>1</v>
      </c>
      <c r="N950">
        <v>5750</v>
      </c>
      <c r="O950">
        <v>9</v>
      </c>
      <c r="P950">
        <v>2011</v>
      </c>
      <c r="Q950">
        <v>0</v>
      </c>
      <c r="R950">
        <v>83639884201</v>
      </c>
      <c r="S950">
        <v>92788047.319999993</v>
      </c>
      <c r="T950">
        <v>82128403543.75</v>
      </c>
      <c r="U950">
        <v>83547096153.679993</v>
      </c>
      <c r="V950">
        <v>0.185588</v>
      </c>
      <c r="W950">
        <v>0</v>
      </c>
      <c r="Y950" t="s">
        <v>0</v>
      </c>
      <c r="Z950">
        <v>7250</v>
      </c>
      <c r="AA950">
        <v>8</v>
      </c>
      <c r="AB950">
        <v>4792</v>
      </c>
      <c r="AC950">
        <v>0</v>
      </c>
      <c r="AD950">
        <v>129477962340</v>
      </c>
      <c r="AE950">
        <v>107993119.18000001</v>
      </c>
      <c r="AF950">
        <v>123911284225.63</v>
      </c>
      <c r="AG950">
        <v>129080103075.55</v>
      </c>
      <c r="AH950">
        <v>0.40362399999999998</v>
      </c>
      <c r="AI950">
        <v>2.6536000000000001E-2</v>
      </c>
    </row>
    <row r="951" spans="13:35" x14ac:dyDescent="0.35">
      <c r="M951" t="s">
        <v>2</v>
      </c>
      <c r="N951">
        <v>5750</v>
      </c>
      <c r="O951">
        <v>9</v>
      </c>
      <c r="P951">
        <v>131</v>
      </c>
      <c r="Q951">
        <v>0</v>
      </c>
      <c r="R951">
        <v>2919214307</v>
      </c>
      <c r="S951">
        <v>3232399.3</v>
      </c>
      <c r="T951">
        <v>2915981907.6999998</v>
      </c>
      <c r="U951">
        <v>2915981907.6999998</v>
      </c>
      <c r="V951">
        <v>0</v>
      </c>
      <c r="W951">
        <v>0</v>
      </c>
      <c r="Y951" t="s">
        <v>0</v>
      </c>
      <c r="Z951">
        <v>7250</v>
      </c>
      <c r="AA951">
        <v>6</v>
      </c>
      <c r="AB951">
        <v>3956</v>
      </c>
      <c r="AC951">
        <v>0</v>
      </c>
      <c r="AD951">
        <v>106721452743</v>
      </c>
      <c r="AE951">
        <v>87850833.629999995</v>
      </c>
      <c r="AF951">
        <v>100887557345.59</v>
      </c>
      <c r="AG951">
        <v>106486826683.28</v>
      </c>
      <c r="AH951">
        <v>0.48528500000000002</v>
      </c>
      <c r="AI951">
        <v>1.6379000000000001E-2</v>
      </c>
    </row>
    <row r="952" spans="13:35" x14ac:dyDescent="0.35">
      <c r="M952" t="s">
        <v>0</v>
      </c>
      <c r="N952">
        <v>8000</v>
      </c>
      <c r="O952">
        <v>10</v>
      </c>
      <c r="P952">
        <v>154</v>
      </c>
      <c r="Q952">
        <v>0</v>
      </c>
      <c r="R952">
        <v>4437073944</v>
      </c>
      <c r="S952">
        <v>3273328.89</v>
      </c>
      <c r="T952">
        <v>4416274265.5100002</v>
      </c>
      <c r="U952">
        <v>4433800615.1099997</v>
      </c>
      <c r="V952">
        <v>4.6383000000000001E-2</v>
      </c>
      <c r="W952">
        <v>0</v>
      </c>
      <c r="Y952" t="s">
        <v>0</v>
      </c>
      <c r="Z952">
        <v>7000</v>
      </c>
      <c r="AA952">
        <v>6</v>
      </c>
      <c r="AB952">
        <v>5121</v>
      </c>
      <c r="AC952">
        <v>0</v>
      </c>
      <c r="AD952">
        <v>144563664981</v>
      </c>
      <c r="AE952">
        <v>124895705.05</v>
      </c>
      <c r="AF952">
        <v>139013192486.01999</v>
      </c>
      <c r="AG952">
        <v>144125557499.26999</v>
      </c>
      <c r="AH952">
        <v>0.36810799999999999</v>
      </c>
      <c r="AI952">
        <v>2.5692E-2</v>
      </c>
    </row>
    <row r="953" spans="13:35" x14ac:dyDescent="0.35">
      <c r="M953" t="s">
        <v>0</v>
      </c>
      <c r="N953">
        <v>7750</v>
      </c>
      <c r="O953">
        <v>9</v>
      </c>
      <c r="P953">
        <v>1250</v>
      </c>
      <c r="Q953">
        <v>0</v>
      </c>
      <c r="R953">
        <v>32570809294</v>
      </c>
      <c r="S953">
        <v>24796801.350000001</v>
      </c>
      <c r="T953">
        <v>32063123923.810001</v>
      </c>
      <c r="U953">
        <v>32497946701.439999</v>
      </c>
      <c r="V953">
        <v>0.16409599999999999</v>
      </c>
      <c r="W953">
        <v>1.7565999999999998E-2</v>
      </c>
      <c r="Y953" t="s">
        <v>0</v>
      </c>
      <c r="Z953">
        <v>7000</v>
      </c>
      <c r="AA953">
        <v>7</v>
      </c>
      <c r="AB953">
        <v>6240</v>
      </c>
      <c r="AC953">
        <v>0</v>
      </c>
      <c r="AD953">
        <v>172245559631</v>
      </c>
      <c r="AE953">
        <v>149940270.16</v>
      </c>
      <c r="AF953">
        <v>164662469714.59</v>
      </c>
      <c r="AG953">
        <v>171706425466.13</v>
      </c>
      <c r="AH953">
        <v>0.41101700000000002</v>
      </c>
      <c r="AI953">
        <v>2.6780000000000002E-2</v>
      </c>
    </row>
    <row r="954" spans="13:35" x14ac:dyDescent="0.35">
      <c r="M954" t="s">
        <v>0</v>
      </c>
      <c r="N954">
        <v>7750</v>
      </c>
      <c r="O954">
        <v>8</v>
      </c>
      <c r="P954">
        <v>1077</v>
      </c>
      <c r="Q954">
        <v>0</v>
      </c>
      <c r="R954">
        <v>28794239554</v>
      </c>
      <c r="S954">
        <v>21730302.91</v>
      </c>
      <c r="T954">
        <v>28201039176.02</v>
      </c>
      <c r="U954">
        <v>28670120497.77</v>
      </c>
      <c r="V954">
        <v>0.213809</v>
      </c>
      <c r="W954">
        <v>4.1846000000000001E-2</v>
      </c>
      <c r="Y954" t="s">
        <v>0</v>
      </c>
      <c r="Z954">
        <v>6250</v>
      </c>
      <c r="AA954">
        <v>7</v>
      </c>
      <c r="AB954">
        <v>12969</v>
      </c>
      <c r="AC954">
        <v>0</v>
      </c>
      <c r="AD954">
        <v>429993138107</v>
      </c>
      <c r="AE954">
        <v>431408844.57999998</v>
      </c>
      <c r="AF954">
        <v>418976412634.31</v>
      </c>
      <c r="AG954">
        <v>429353791660.16998</v>
      </c>
      <c r="AH954">
        <v>0.258519</v>
      </c>
      <c r="AI954">
        <v>5.7879999999999997E-3</v>
      </c>
    </row>
    <row r="955" spans="13:35" x14ac:dyDescent="0.35">
      <c r="M955" t="s">
        <v>0</v>
      </c>
      <c r="N955">
        <v>7500</v>
      </c>
      <c r="O955">
        <v>9</v>
      </c>
      <c r="P955">
        <v>1040</v>
      </c>
      <c r="Q955">
        <v>0</v>
      </c>
      <c r="R955">
        <v>28739007521</v>
      </c>
      <c r="S955">
        <v>22980812.600000001</v>
      </c>
      <c r="T955">
        <v>27718547725.84</v>
      </c>
      <c r="U955">
        <v>28537417412.869999</v>
      </c>
      <c r="V955">
        <v>0.34550900000000001</v>
      </c>
      <c r="W955">
        <v>7.2081000000000006E-2</v>
      </c>
      <c r="Y955" t="s">
        <v>0</v>
      </c>
      <c r="Z955">
        <v>6250</v>
      </c>
      <c r="AA955">
        <v>8</v>
      </c>
      <c r="AB955">
        <v>12236</v>
      </c>
      <c r="AC955">
        <v>0</v>
      </c>
      <c r="AD955">
        <v>407367921702</v>
      </c>
      <c r="AE955">
        <v>410362906.41000003</v>
      </c>
      <c r="AF955">
        <v>399861655283.40997</v>
      </c>
      <c r="AG955">
        <v>406819657439.20001</v>
      </c>
      <c r="AH955">
        <v>0.19012000000000001</v>
      </c>
      <c r="AI955">
        <v>4.0549999999999996E-3</v>
      </c>
    </row>
    <row r="956" spans="13:35" x14ac:dyDescent="0.35">
      <c r="M956" t="s">
        <v>2</v>
      </c>
      <c r="N956">
        <v>5750</v>
      </c>
      <c r="O956">
        <v>10</v>
      </c>
      <c r="P956">
        <v>185</v>
      </c>
      <c r="Q956">
        <v>0</v>
      </c>
      <c r="R956">
        <v>3864545738</v>
      </c>
      <c r="S956">
        <v>4304745.53</v>
      </c>
      <c r="T956">
        <v>3860240992.4699998</v>
      </c>
      <c r="U956">
        <v>3860240992.4699998</v>
      </c>
      <c r="V956">
        <v>0</v>
      </c>
      <c r="W956">
        <v>0</v>
      </c>
      <c r="Y956" t="s">
        <v>0</v>
      </c>
      <c r="Z956">
        <v>7000</v>
      </c>
      <c r="AA956">
        <v>8</v>
      </c>
      <c r="AB956">
        <v>6977</v>
      </c>
      <c r="AC956">
        <v>0</v>
      </c>
      <c r="AD956">
        <v>192489206930</v>
      </c>
      <c r="AE956">
        <v>168891598.97999999</v>
      </c>
      <c r="AF956">
        <v>186499937150.25</v>
      </c>
      <c r="AG956">
        <v>191938208036.89999</v>
      </c>
      <c r="AH956">
        <v>0.30819299999999999</v>
      </c>
      <c r="AI956">
        <v>2.3563000000000001E-2</v>
      </c>
    </row>
    <row r="957" spans="13:35" x14ac:dyDescent="0.35">
      <c r="M957" t="s">
        <v>0</v>
      </c>
      <c r="N957">
        <v>7250</v>
      </c>
      <c r="O957">
        <v>10</v>
      </c>
      <c r="P957">
        <v>4134</v>
      </c>
      <c r="Q957">
        <v>0</v>
      </c>
      <c r="R957">
        <v>112450899175</v>
      </c>
      <c r="S957">
        <v>95113150.700000003</v>
      </c>
      <c r="T957">
        <v>109132103889.67999</v>
      </c>
      <c r="U957">
        <v>111939151170.02</v>
      </c>
      <c r="V957">
        <v>0.29463299999999998</v>
      </c>
      <c r="W957">
        <v>4.3566000000000001E-2</v>
      </c>
      <c r="Y957" t="s">
        <v>1</v>
      </c>
      <c r="Z957">
        <v>7000</v>
      </c>
      <c r="AA957">
        <v>7</v>
      </c>
      <c r="AB957">
        <v>1950</v>
      </c>
      <c r="AC957">
        <v>0</v>
      </c>
      <c r="AD957">
        <v>62839248640</v>
      </c>
      <c r="AE957">
        <v>54695977.530000001</v>
      </c>
      <c r="AF957">
        <v>40814529671.239998</v>
      </c>
      <c r="AG957">
        <v>62596292262.849998</v>
      </c>
      <c r="AH957">
        <v>0.99427200000000004</v>
      </c>
      <c r="AI957">
        <v>3.5364E-2</v>
      </c>
    </row>
    <row r="958" spans="13:35" x14ac:dyDescent="0.35">
      <c r="M958" t="s">
        <v>1</v>
      </c>
      <c r="N958">
        <v>7250</v>
      </c>
      <c r="O958">
        <v>10</v>
      </c>
      <c r="P958">
        <v>780</v>
      </c>
      <c r="Q958">
        <v>0</v>
      </c>
      <c r="R958">
        <v>22716998183</v>
      </c>
      <c r="S958">
        <v>19293152.120000001</v>
      </c>
      <c r="T958">
        <v>20743732652.970001</v>
      </c>
      <c r="U958">
        <v>22523279612.18</v>
      </c>
      <c r="V958">
        <v>0.66015900000000005</v>
      </c>
      <c r="W958">
        <v>8.8345000000000007E-2</v>
      </c>
      <c r="Y958" t="s">
        <v>0</v>
      </c>
      <c r="Z958">
        <v>6750</v>
      </c>
      <c r="AA958">
        <v>8</v>
      </c>
      <c r="AB958">
        <v>15415</v>
      </c>
      <c r="AC958">
        <v>0</v>
      </c>
      <c r="AD958">
        <v>469006137475</v>
      </c>
      <c r="AE958">
        <v>431726447.02999997</v>
      </c>
      <c r="AF958">
        <v>452863402140.35999</v>
      </c>
      <c r="AG958">
        <v>467821396296.52002</v>
      </c>
      <c r="AH958">
        <v>0.33559899999999998</v>
      </c>
      <c r="AI958">
        <v>1.9096999999999999E-2</v>
      </c>
    </row>
    <row r="959" spans="13:35" x14ac:dyDescent="0.35">
      <c r="M959" t="s">
        <v>0</v>
      </c>
      <c r="N959">
        <v>6750</v>
      </c>
      <c r="O959">
        <v>10</v>
      </c>
      <c r="P959">
        <v>13548</v>
      </c>
      <c r="Q959">
        <v>0</v>
      </c>
      <c r="R959">
        <v>402672254850</v>
      </c>
      <c r="S959">
        <v>375531009.91000003</v>
      </c>
      <c r="T959">
        <v>393554470860.53003</v>
      </c>
      <c r="U959">
        <v>401466002939.46002</v>
      </c>
      <c r="V959">
        <v>0.23156299999999999</v>
      </c>
      <c r="W959">
        <v>2.4476999999999999E-2</v>
      </c>
      <c r="Y959" t="s">
        <v>0</v>
      </c>
      <c r="Z959">
        <v>6750</v>
      </c>
      <c r="AA959">
        <v>7</v>
      </c>
      <c r="AB959">
        <v>15175</v>
      </c>
      <c r="AC959">
        <v>0</v>
      </c>
      <c r="AD959">
        <v>449326793760</v>
      </c>
      <c r="AE959">
        <v>411161647.48000002</v>
      </c>
      <c r="AF959">
        <v>430017747781.88</v>
      </c>
      <c r="AG959">
        <v>448293982372.73999</v>
      </c>
      <c r="AH959">
        <v>0.40286899999999998</v>
      </c>
      <c r="AI959">
        <v>1.6476000000000001E-2</v>
      </c>
    </row>
    <row r="960" spans="13:35" x14ac:dyDescent="0.35">
      <c r="M960" t="s">
        <v>1</v>
      </c>
      <c r="N960">
        <v>6750</v>
      </c>
      <c r="O960">
        <v>9</v>
      </c>
      <c r="P960">
        <v>5596</v>
      </c>
      <c r="Q960">
        <v>0</v>
      </c>
      <c r="R960">
        <v>194666755557</v>
      </c>
      <c r="S960">
        <v>180470562.13</v>
      </c>
      <c r="T960">
        <v>182536954041.59</v>
      </c>
      <c r="U960">
        <v>193844977292.82999</v>
      </c>
      <c r="V960">
        <v>0.53241799999999995</v>
      </c>
      <c r="W960">
        <v>3.8823999999999997E-2</v>
      </c>
      <c r="Y960" t="s">
        <v>2</v>
      </c>
      <c r="Z960">
        <v>6250</v>
      </c>
      <c r="AA960">
        <v>7</v>
      </c>
      <c r="AB960">
        <v>907</v>
      </c>
      <c r="AC960">
        <v>0</v>
      </c>
      <c r="AD960">
        <v>19721290645</v>
      </c>
      <c r="AE960">
        <v>19665750.300000001</v>
      </c>
      <c r="AF960">
        <v>19652977223.810001</v>
      </c>
      <c r="AG960">
        <v>19672271922.360001</v>
      </c>
      <c r="AH960">
        <v>2.9203E-2</v>
      </c>
      <c r="AI960">
        <v>1.7715000000000002E-2</v>
      </c>
    </row>
    <row r="961" spans="13:35" x14ac:dyDescent="0.35">
      <c r="M961" t="s">
        <v>2</v>
      </c>
      <c r="N961">
        <v>6250</v>
      </c>
      <c r="O961">
        <v>10</v>
      </c>
      <c r="P961">
        <v>804</v>
      </c>
      <c r="Q961">
        <v>0</v>
      </c>
      <c r="R961">
        <v>16823452173</v>
      </c>
      <c r="S961">
        <v>17148425.890000001</v>
      </c>
      <c r="T961">
        <v>16776811745.559999</v>
      </c>
      <c r="U961">
        <v>16776811745.559999</v>
      </c>
      <c r="V961">
        <v>2.0834999999999999E-2</v>
      </c>
      <c r="W961">
        <v>2.0834999999999999E-2</v>
      </c>
      <c r="Y961" t="s">
        <v>1</v>
      </c>
      <c r="Z961">
        <v>6250</v>
      </c>
      <c r="AA961">
        <v>7</v>
      </c>
      <c r="AB961">
        <v>11176</v>
      </c>
      <c r="AC961">
        <v>0</v>
      </c>
      <c r="AD961">
        <v>459136716388</v>
      </c>
      <c r="AE961">
        <v>460233201.54000002</v>
      </c>
      <c r="AF961">
        <v>388701357211.98999</v>
      </c>
      <c r="AG961">
        <v>458058002607.28998</v>
      </c>
      <c r="AH961">
        <v>0.86251500000000003</v>
      </c>
      <c r="AI961">
        <v>1.6045E-2</v>
      </c>
    </row>
    <row r="962" spans="13:35" x14ac:dyDescent="0.35">
      <c r="M962" t="s">
        <v>1</v>
      </c>
      <c r="N962">
        <v>6250</v>
      </c>
      <c r="O962">
        <v>10</v>
      </c>
      <c r="P962">
        <v>9160</v>
      </c>
      <c r="Q962">
        <v>0</v>
      </c>
      <c r="R962">
        <v>354347806645</v>
      </c>
      <c r="S962">
        <v>361553401.61000001</v>
      </c>
      <c r="T962">
        <v>342984729095.29999</v>
      </c>
      <c r="U962">
        <v>353627623078.26001</v>
      </c>
      <c r="V962">
        <v>0.31509399999999999</v>
      </c>
      <c r="W962">
        <v>1.2078E-2</v>
      </c>
      <c r="Y962" t="s">
        <v>0</v>
      </c>
      <c r="Z962">
        <v>6250</v>
      </c>
      <c r="AA962">
        <v>9</v>
      </c>
      <c r="AB962">
        <v>14011</v>
      </c>
      <c r="AC962">
        <v>0</v>
      </c>
      <c r="AD962">
        <v>459877781175</v>
      </c>
      <c r="AE962">
        <v>466363279.12</v>
      </c>
      <c r="AF962">
        <v>451126098381.12</v>
      </c>
      <c r="AG962">
        <v>459245232077.06</v>
      </c>
      <c r="AH962">
        <v>0.19600899999999999</v>
      </c>
      <c r="AI962">
        <v>4.3280000000000002E-3</v>
      </c>
    </row>
    <row r="963" spans="13:35" x14ac:dyDescent="0.35">
      <c r="M963" t="s">
        <v>0</v>
      </c>
      <c r="N963">
        <v>5750</v>
      </c>
      <c r="O963">
        <v>10</v>
      </c>
      <c r="P963">
        <v>4478</v>
      </c>
      <c r="Q963">
        <v>0</v>
      </c>
      <c r="R963">
        <v>152338349924</v>
      </c>
      <c r="S963">
        <v>170176988.55000001</v>
      </c>
      <c r="T963">
        <v>151621144158.48001</v>
      </c>
      <c r="U963">
        <v>152111666496.67999</v>
      </c>
      <c r="V963">
        <v>4.2250000000000003E-2</v>
      </c>
      <c r="W963">
        <v>4.4419999999999998E-3</v>
      </c>
      <c r="Y963" t="s">
        <v>2</v>
      </c>
      <c r="Z963">
        <v>6250</v>
      </c>
      <c r="AA963">
        <v>8</v>
      </c>
      <c r="AB963">
        <v>717</v>
      </c>
      <c r="AC963">
        <v>0</v>
      </c>
      <c r="AD963">
        <v>15593233889</v>
      </c>
      <c r="AE963">
        <v>15659156.189999999</v>
      </c>
      <c r="AF963">
        <v>15543760075.370001</v>
      </c>
      <c r="AG963">
        <v>15577574732.809999</v>
      </c>
      <c r="AH963">
        <v>2.5714000000000001E-2</v>
      </c>
      <c r="AI963">
        <v>0</v>
      </c>
    </row>
    <row r="964" spans="13:35" x14ac:dyDescent="0.35">
      <c r="M964" t="s">
        <v>0</v>
      </c>
      <c r="N964">
        <v>5750</v>
      </c>
      <c r="O964">
        <v>12</v>
      </c>
      <c r="P964">
        <v>10918</v>
      </c>
      <c r="Q964">
        <v>0</v>
      </c>
      <c r="R964">
        <v>376513852665</v>
      </c>
      <c r="S964">
        <v>424495832.44999999</v>
      </c>
      <c r="T964">
        <v>374564133127.84003</v>
      </c>
      <c r="U964">
        <v>376023989306.97998</v>
      </c>
      <c r="V964">
        <v>4.7542000000000001E-2</v>
      </c>
      <c r="W964">
        <v>2.081E-3</v>
      </c>
      <c r="Y964" t="s">
        <v>0</v>
      </c>
      <c r="Z964">
        <v>5750</v>
      </c>
      <c r="AA964">
        <v>8</v>
      </c>
      <c r="AB964">
        <v>2837</v>
      </c>
      <c r="AC964">
        <v>0</v>
      </c>
      <c r="AD964">
        <v>93816532565</v>
      </c>
      <c r="AE964">
        <v>103736455.51000001</v>
      </c>
      <c r="AF964">
        <v>93333117710.059998</v>
      </c>
      <c r="AG964">
        <v>93591777799.240005</v>
      </c>
      <c r="AH964">
        <v>4.7497999999999999E-2</v>
      </c>
      <c r="AI964">
        <v>1.537E-2</v>
      </c>
    </row>
    <row r="965" spans="13:35" x14ac:dyDescent="0.35">
      <c r="M965" t="s">
        <v>1</v>
      </c>
      <c r="N965">
        <v>5750</v>
      </c>
      <c r="O965">
        <v>10</v>
      </c>
      <c r="P965">
        <v>5006</v>
      </c>
      <c r="Q965">
        <v>0</v>
      </c>
      <c r="R965">
        <v>210726971908</v>
      </c>
      <c r="S965">
        <v>235435040.36000001</v>
      </c>
      <c r="T965">
        <v>206933952105.63</v>
      </c>
      <c r="U965">
        <v>210338662812.28</v>
      </c>
      <c r="V965">
        <v>0.18479799999999999</v>
      </c>
      <c r="W965">
        <v>8.6709999999999999E-3</v>
      </c>
      <c r="Y965" t="s">
        <v>2</v>
      </c>
      <c r="Z965">
        <v>5750</v>
      </c>
      <c r="AA965">
        <v>7</v>
      </c>
      <c r="AB965">
        <v>161</v>
      </c>
      <c r="AC965">
        <v>0</v>
      </c>
      <c r="AD965">
        <v>3405133025</v>
      </c>
      <c r="AE965">
        <v>3724730.18</v>
      </c>
      <c r="AF965">
        <v>3401408294.8200002</v>
      </c>
      <c r="AG965">
        <v>3401408294.8200002</v>
      </c>
      <c r="AH965">
        <v>0</v>
      </c>
      <c r="AI965">
        <v>0</v>
      </c>
    </row>
    <row r="966" spans="13:35" x14ac:dyDescent="0.35">
      <c r="M966" t="s">
        <v>0</v>
      </c>
      <c r="N966">
        <v>5500</v>
      </c>
      <c r="O966">
        <v>10</v>
      </c>
      <c r="P966">
        <v>2045</v>
      </c>
      <c r="Q966">
        <v>0</v>
      </c>
      <c r="R966">
        <v>69438687132</v>
      </c>
      <c r="S966">
        <v>81113673.310000002</v>
      </c>
      <c r="T966">
        <v>69087917975.169998</v>
      </c>
      <c r="U966">
        <v>69341693500.449997</v>
      </c>
      <c r="V966">
        <v>4.5617999999999999E-2</v>
      </c>
      <c r="W966">
        <v>2.7409999999999999E-3</v>
      </c>
      <c r="Y966" t="s">
        <v>1</v>
      </c>
      <c r="Z966">
        <v>5750</v>
      </c>
      <c r="AA966">
        <v>8</v>
      </c>
      <c r="AB966">
        <v>2072</v>
      </c>
      <c r="AC966">
        <v>0</v>
      </c>
      <c r="AD966">
        <v>86293435512</v>
      </c>
      <c r="AE966">
        <v>95164962.290000007</v>
      </c>
      <c r="AF966">
        <v>83661143835.080002</v>
      </c>
      <c r="AG966">
        <v>86070093534.369995</v>
      </c>
      <c r="AH966">
        <v>0.30099999999999999</v>
      </c>
      <c r="AI966">
        <v>1.7679E-2</v>
      </c>
    </row>
    <row r="967" spans="13:35" x14ac:dyDescent="0.35">
      <c r="M967" t="s">
        <v>1</v>
      </c>
      <c r="N967">
        <v>5500</v>
      </c>
      <c r="O967">
        <v>10</v>
      </c>
      <c r="P967">
        <v>1421</v>
      </c>
      <c r="Q967">
        <v>0</v>
      </c>
      <c r="R967">
        <v>60549532794</v>
      </c>
      <c r="S967">
        <v>70660332.560000002</v>
      </c>
      <c r="T967">
        <v>60125209150.279999</v>
      </c>
      <c r="U967">
        <v>60418172415.410004</v>
      </c>
      <c r="V967">
        <v>6.7881999999999998E-2</v>
      </c>
      <c r="W967">
        <v>1.1964000000000001E-2</v>
      </c>
      <c r="Y967" t="s">
        <v>2</v>
      </c>
      <c r="Z967">
        <v>5750</v>
      </c>
      <c r="AA967">
        <v>8</v>
      </c>
      <c r="AB967">
        <v>132</v>
      </c>
      <c r="AC967">
        <v>0</v>
      </c>
      <c r="AD967">
        <v>2992244414</v>
      </c>
      <c r="AE967">
        <v>3293452.45</v>
      </c>
      <c r="AF967">
        <v>2919421404.0100002</v>
      </c>
      <c r="AG967">
        <v>2988950961.5500002</v>
      </c>
      <c r="AH967">
        <v>0.24582399999999999</v>
      </c>
      <c r="AI967">
        <v>0</v>
      </c>
    </row>
    <row r="968" spans="13:35" x14ac:dyDescent="0.35">
      <c r="M968" t="s">
        <v>0</v>
      </c>
      <c r="N968">
        <v>7750</v>
      </c>
      <c r="O968">
        <v>10</v>
      </c>
      <c r="P968">
        <v>970</v>
      </c>
      <c r="Q968">
        <v>0</v>
      </c>
      <c r="R968">
        <v>25282161745</v>
      </c>
      <c r="S968">
        <v>19381606.010000002</v>
      </c>
      <c r="T968">
        <v>24731389135.110001</v>
      </c>
      <c r="U968">
        <v>25097991405.450001</v>
      </c>
      <c r="V968">
        <v>0.22501299999999999</v>
      </c>
      <c r="W968">
        <v>7.5471999999999997E-2</v>
      </c>
      <c r="Y968" t="s">
        <v>0</v>
      </c>
      <c r="Z968">
        <v>8000</v>
      </c>
      <c r="AA968">
        <v>9</v>
      </c>
      <c r="AB968">
        <v>154</v>
      </c>
      <c r="AC968">
        <v>0</v>
      </c>
      <c r="AD968">
        <v>4439885967</v>
      </c>
      <c r="AE968">
        <v>3251623.84</v>
      </c>
      <c r="AF968">
        <v>4436634343.1599998</v>
      </c>
      <c r="AG968">
        <v>4436634343.1599998</v>
      </c>
      <c r="AH968">
        <v>0</v>
      </c>
      <c r="AI968">
        <v>0</v>
      </c>
    </row>
    <row r="969" spans="13:35" x14ac:dyDescent="0.35">
      <c r="M969" t="s">
        <v>0</v>
      </c>
      <c r="N969">
        <v>7500</v>
      </c>
      <c r="O969">
        <v>10</v>
      </c>
      <c r="P969">
        <v>836</v>
      </c>
      <c r="Q969">
        <v>0</v>
      </c>
      <c r="R969">
        <v>22447952313</v>
      </c>
      <c r="S969">
        <v>18072437.039999999</v>
      </c>
      <c r="T969">
        <v>22085378361.139999</v>
      </c>
      <c r="U969">
        <v>22371698074.59</v>
      </c>
      <c r="V969">
        <v>0.16938400000000001</v>
      </c>
      <c r="W969">
        <v>3.0662999999999999E-2</v>
      </c>
      <c r="Y969" t="s">
        <v>0</v>
      </c>
      <c r="Z969">
        <v>7750</v>
      </c>
      <c r="AA969">
        <v>8</v>
      </c>
      <c r="AB969">
        <v>1272</v>
      </c>
      <c r="AC969">
        <v>0</v>
      </c>
      <c r="AD969">
        <v>33319944017</v>
      </c>
      <c r="AE969">
        <v>25184235.719999999</v>
      </c>
      <c r="AF969">
        <v>32571617816.73</v>
      </c>
      <c r="AG969">
        <v>33218112279.970001</v>
      </c>
      <c r="AH969">
        <v>0.231491</v>
      </c>
      <c r="AI969">
        <v>2.7258000000000001E-2</v>
      </c>
    </row>
    <row r="970" spans="13:35" x14ac:dyDescent="0.35">
      <c r="M970" t="s">
        <v>0</v>
      </c>
      <c r="N970">
        <v>7750</v>
      </c>
      <c r="O970">
        <v>12</v>
      </c>
      <c r="P970">
        <v>1431</v>
      </c>
      <c r="Q970">
        <v>0</v>
      </c>
      <c r="R970">
        <v>37569007532</v>
      </c>
      <c r="S970">
        <v>29028514.050000001</v>
      </c>
      <c r="T970">
        <v>36568161455.050003</v>
      </c>
      <c r="U970">
        <v>37482169547.470001</v>
      </c>
      <c r="V970">
        <v>0.269843</v>
      </c>
      <c r="W970">
        <v>1.831E-2</v>
      </c>
      <c r="Y970" t="s">
        <v>0</v>
      </c>
      <c r="Z970">
        <v>7750</v>
      </c>
      <c r="AA970">
        <v>7</v>
      </c>
      <c r="AB970">
        <v>1115</v>
      </c>
      <c r="AC970">
        <v>0</v>
      </c>
      <c r="AD970">
        <v>30219188827</v>
      </c>
      <c r="AE970">
        <v>22641904.670000002</v>
      </c>
      <c r="AF970">
        <v>28796271951.259998</v>
      </c>
      <c r="AG970">
        <v>30143758817.16</v>
      </c>
      <c r="AH970">
        <v>0.43410300000000002</v>
      </c>
      <c r="AI970">
        <v>2.0761999999999999E-2</v>
      </c>
    </row>
    <row r="971" spans="13:35" x14ac:dyDescent="0.35">
      <c r="M971" t="s">
        <v>0</v>
      </c>
      <c r="N971">
        <v>7500</v>
      </c>
      <c r="O971">
        <v>12</v>
      </c>
      <c r="P971">
        <v>1757</v>
      </c>
      <c r="Q971">
        <v>0</v>
      </c>
      <c r="R971">
        <v>42338451487</v>
      </c>
      <c r="S971">
        <v>34459300.859999999</v>
      </c>
      <c r="T971">
        <v>41333213915.910004</v>
      </c>
      <c r="U971">
        <v>42123104179.660004</v>
      </c>
      <c r="V971">
        <v>0.24296899999999999</v>
      </c>
      <c r="W971">
        <v>5.0081000000000001E-2</v>
      </c>
      <c r="Y971" t="s">
        <v>0</v>
      </c>
      <c r="Z971">
        <v>7500</v>
      </c>
      <c r="AA971">
        <v>8</v>
      </c>
      <c r="AB971">
        <v>1070</v>
      </c>
      <c r="AC971">
        <v>0</v>
      </c>
      <c r="AD971">
        <v>29665458461</v>
      </c>
      <c r="AE971">
        <v>23561014.739999998</v>
      </c>
      <c r="AF971">
        <v>28739005367.02</v>
      </c>
      <c r="AG971">
        <v>29641897446.259998</v>
      </c>
      <c r="AH971">
        <v>0.30988900000000003</v>
      </c>
      <c r="AI971">
        <v>0</v>
      </c>
    </row>
    <row r="972" spans="13:35" x14ac:dyDescent="0.35">
      <c r="M972" t="s">
        <v>1</v>
      </c>
      <c r="N972">
        <v>6750</v>
      </c>
      <c r="O972">
        <v>12</v>
      </c>
      <c r="P972">
        <v>7268</v>
      </c>
      <c r="Q972">
        <v>0</v>
      </c>
      <c r="R972">
        <v>230860234011</v>
      </c>
      <c r="S972">
        <v>217764426.91999999</v>
      </c>
      <c r="T972">
        <v>218739492976.95001</v>
      </c>
      <c r="U972">
        <v>229714976029.70001</v>
      </c>
      <c r="V972">
        <v>0.47018700000000002</v>
      </c>
      <c r="W972">
        <v>4.7160000000000001E-2</v>
      </c>
      <c r="Y972" t="s">
        <v>2</v>
      </c>
      <c r="Z972">
        <v>5750</v>
      </c>
      <c r="AA972">
        <v>9</v>
      </c>
      <c r="AB972">
        <v>185</v>
      </c>
      <c r="AC972">
        <v>0</v>
      </c>
      <c r="AD972">
        <v>3869513019</v>
      </c>
      <c r="AE972">
        <v>4285084.2699999996</v>
      </c>
      <c r="AF972">
        <v>3865227934.73</v>
      </c>
      <c r="AG972">
        <v>3865227934.73</v>
      </c>
      <c r="AH972">
        <v>0</v>
      </c>
      <c r="AI972">
        <v>0</v>
      </c>
    </row>
    <row r="973" spans="13:35" x14ac:dyDescent="0.35">
      <c r="M973" t="s">
        <v>2</v>
      </c>
      <c r="N973">
        <v>5750</v>
      </c>
      <c r="O973">
        <v>12</v>
      </c>
      <c r="P973">
        <v>348</v>
      </c>
      <c r="Q973">
        <v>0</v>
      </c>
      <c r="R973">
        <v>8047906938</v>
      </c>
      <c r="S973">
        <v>9047901.8399999999</v>
      </c>
      <c r="T973">
        <v>8027818517.0100002</v>
      </c>
      <c r="U973">
        <v>8038859036.1599998</v>
      </c>
      <c r="V973">
        <v>1.6338999999999999E-2</v>
      </c>
      <c r="W973">
        <v>0</v>
      </c>
      <c r="Y973" t="s">
        <v>0</v>
      </c>
      <c r="Z973">
        <v>7250</v>
      </c>
      <c r="AA973">
        <v>9</v>
      </c>
      <c r="AB973">
        <v>4278</v>
      </c>
      <c r="AC973">
        <v>0</v>
      </c>
      <c r="AD973">
        <v>116741804972</v>
      </c>
      <c r="AE973">
        <v>98073208.909999996</v>
      </c>
      <c r="AF973">
        <v>112443397708.84</v>
      </c>
      <c r="AG973">
        <v>116232246509.24001</v>
      </c>
      <c r="AH973">
        <v>0.35577999999999999</v>
      </c>
      <c r="AI973">
        <v>4.1487000000000003E-2</v>
      </c>
    </row>
    <row r="974" spans="13:35" x14ac:dyDescent="0.35">
      <c r="M974" t="s">
        <v>1</v>
      </c>
      <c r="N974">
        <v>5500</v>
      </c>
      <c r="O974">
        <v>12</v>
      </c>
      <c r="P974">
        <v>3892</v>
      </c>
      <c r="Q974">
        <v>0</v>
      </c>
      <c r="R974">
        <v>168858218059</v>
      </c>
      <c r="S974">
        <v>198685505.66</v>
      </c>
      <c r="T974">
        <v>166605286692.73999</v>
      </c>
      <c r="U974">
        <v>168487026187.98999</v>
      </c>
      <c r="V974">
        <v>0.136604</v>
      </c>
      <c r="W974">
        <v>1.2191E-2</v>
      </c>
      <c r="Y974" t="s">
        <v>1</v>
      </c>
      <c r="Z974">
        <v>7250</v>
      </c>
      <c r="AA974">
        <v>9</v>
      </c>
      <c r="AB974">
        <v>880</v>
      </c>
      <c r="AC974">
        <v>0</v>
      </c>
      <c r="AD974">
        <v>26055783645</v>
      </c>
      <c r="AE974">
        <v>21970771</v>
      </c>
      <c r="AF974">
        <v>22718012767.23</v>
      </c>
      <c r="AG974">
        <v>25561669692.490002</v>
      </c>
      <c r="AH974">
        <v>0.804732</v>
      </c>
      <c r="AI974">
        <v>0.19703200000000001</v>
      </c>
    </row>
    <row r="975" spans="13:35" x14ac:dyDescent="0.35">
      <c r="M975" t="s">
        <v>0</v>
      </c>
      <c r="N975">
        <v>5500</v>
      </c>
      <c r="O975">
        <v>12</v>
      </c>
      <c r="P975">
        <v>5499</v>
      </c>
      <c r="Q975">
        <v>0</v>
      </c>
      <c r="R975">
        <v>181891740651</v>
      </c>
      <c r="S975">
        <v>214387698.40000001</v>
      </c>
      <c r="T975">
        <v>181094338579.59</v>
      </c>
      <c r="U975">
        <v>181543979128.67999</v>
      </c>
      <c r="V975">
        <v>3.7793E-2</v>
      </c>
      <c r="W975">
        <v>8.7639999999999992E-3</v>
      </c>
      <c r="Y975" t="s">
        <v>0</v>
      </c>
      <c r="Z975">
        <v>6750</v>
      </c>
      <c r="AA975">
        <v>9</v>
      </c>
      <c r="AB975">
        <v>13853</v>
      </c>
      <c r="AC975">
        <v>0</v>
      </c>
      <c r="AD975">
        <v>413189499158</v>
      </c>
      <c r="AE975">
        <v>382847534.20999998</v>
      </c>
      <c r="AF975">
        <v>402635199652.82001</v>
      </c>
      <c r="AG975">
        <v>412341928681.25</v>
      </c>
      <c r="AH975">
        <v>0.25851499999999999</v>
      </c>
      <c r="AI975">
        <v>1.3413E-2</v>
      </c>
    </row>
    <row r="976" spans="13:35" x14ac:dyDescent="0.35">
      <c r="M976" t="s">
        <v>1</v>
      </c>
      <c r="N976">
        <v>5250</v>
      </c>
      <c r="O976">
        <v>10</v>
      </c>
      <c r="P976">
        <v>689</v>
      </c>
      <c r="Q976">
        <v>0</v>
      </c>
      <c r="R976">
        <v>28182932108</v>
      </c>
      <c r="S976">
        <v>34355917.450000003</v>
      </c>
      <c r="T976">
        <v>28100359445.650002</v>
      </c>
      <c r="U976">
        <v>28148576190.549999</v>
      </c>
      <c r="V976">
        <v>2.0337999999999998E-2</v>
      </c>
      <c r="W976">
        <v>0</v>
      </c>
      <c r="Y976" t="s">
        <v>1</v>
      </c>
      <c r="Z976">
        <v>6750</v>
      </c>
      <c r="AA976">
        <v>8</v>
      </c>
      <c r="AB976">
        <v>6276</v>
      </c>
      <c r="AC976">
        <v>0</v>
      </c>
      <c r="AD976">
        <v>221333394030</v>
      </c>
      <c r="AE976">
        <v>203851944.56</v>
      </c>
      <c r="AF976">
        <v>194893105229.54001</v>
      </c>
      <c r="AG976">
        <v>220570940885.84</v>
      </c>
      <c r="AH976">
        <v>0.77998999999999996</v>
      </c>
      <c r="AI976">
        <v>2.9869E-2</v>
      </c>
    </row>
    <row r="977" spans="13:35" x14ac:dyDescent="0.35">
      <c r="M977" t="s">
        <v>1</v>
      </c>
      <c r="N977">
        <v>5750</v>
      </c>
      <c r="O977">
        <v>12</v>
      </c>
      <c r="P977">
        <v>13148</v>
      </c>
      <c r="Q977">
        <v>0</v>
      </c>
      <c r="R977">
        <v>555897425553</v>
      </c>
      <c r="S977">
        <v>627468034.33000004</v>
      </c>
      <c r="T977">
        <v>547036735621.87</v>
      </c>
      <c r="U977">
        <v>554359832541.07996</v>
      </c>
      <c r="V977">
        <v>0.163942</v>
      </c>
      <c r="W977">
        <v>1.9470999999999999E-2</v>
      </c>
      <c r="Y977" t="s">
        <v>2</v>
      </c>
      <c r="Z977">
        <v>6250</v>
      </c>
      <c r="AA977">
        <v>9</v>
      </c>
      <c r="AB977">
        <v>809</v>
      </c>
      <c r="AC977">
        <v>0</v>
      </c>
      <c r="AD977">
        <v>16960569514</v>
      </c>
      <c r="AE977">
        <v>17182387.629999999</v>
      </c>
      <c r="AF977">
        <v>16823885122.129999</v>
      </c>
      <c r="AG977">
        <v>16943387126.370001</v>
      </c>
      <c r="AH977">
        <v>8.1350000000000006E-2</v>
      </c>
      <c r="AI977">
        <v>0</v>
      </c>
    </row>
    <row r="978" spans="13:35" x14ac:dyDescent="0.35">
      <c r="M978" t="s">
        <v>2</v>
      </c>
      <c r="N978">
        <v>7000</v>
      </c>
      <c r="O978">
        <v>12</v>
      </c>
      <c r="P978">
        <v>401</v>
      </c>
      <c r="Q978">
        <v>0</v>
      </c>
      <c r="R978">
        <v>6639122113</v>
      </c>
      <c r="S978">
        <v>5973988.6500000004</v>
      </c>
      <c r="T978">
        <v>6620950989.6199999</v>
      </c>
      <c r="U978">
        <v>6633148124.3500004</v>
      </c>
      <c r="V978">
        <v>2.1825000000000001E-2</v>
      </c>
      <c r="W978">
        <v>0</v>
      </c>
      <c r="Y978" t="s">
        <v>1</v>
      </c>
      <c r="Z978">
        <v>6250</v>
      </c>
      <c r="AA978">
        <v>9</v>
      </c>
      <c r="AB978">
        <v>9522</v>
      </c>
      <c r="AC978">
        <v>0</v>
      </c>
      <c r="AD978">
        <v>370100224756</v>
      </c>
      <c r="AE978">
        <v>375338932.31999999</v>
      </c>
      <c r="AF978">
        <v>354567561953.92999</v>
      </c>
      <c r="AG978">
        <v>369265345752.78003</v>
      </c>
      <c r="AH978">
        <v>0.39456200000000002</v>
      </c>
      <c r="AI978">
        <v>1.4799E-2</v>
      </c>
    </row>
    <row r="979" spans="13:35" x14ac:dyDescent="0.35">
      <c r="M979" t="s">
        <v>2</v>
      </c>
      <c r="N979">
        <v>6750</v>
      </c>
      <c r="O979">
        <v>12</v>
      </c>
      <c r="P979">
        <v>1316</v>
      </c>
      <c r="Q979">
        <v>0</v>
      </c>
      <c r="R979">
        <v>24072232696</v>
      </c>
      <c r="S979">
        <v>22668592.129999999</v>
      </c>
      <c r="T979">
        <v>24003819847.169998</v>
      </c>
      <c r="U979">
        <v>24031276088.490002</v>
      </c>
      <c r="V979">
        <v>2.2567E-2</v>
      </c>
      <c r="W979">
        <v>9.0790000000000003E-3</v>
      </c>
      <c r="Y979" t="s">
        <v>0</v>
      </c>
      <c r="Z979">
        <v>5750</v>
      </c>
      <c r="AA979">
        <v>9</v>
      </c>
      <c r="AB979">
        <v>4507</v>
      </c>
      <c r="AC979">
        <v>0</v>
      </c>
      <c r="AD979">
        <v>153617021970</v>
      </c>
      <c r="AE979">
        <v>170602889.44</v>
      </c>
      <c r="AF979">
        <v>152348927695.78</v>
      </c>
      <c r="AG979">
        <v>153291049018.45001</v>
      </c>
      <c r="AH979">
        <v>8.2442000000000001E-2</v>
      </c>
      <c r="AI979">
        <v>1.2070000000000001E-2</v>
      </c>
    </row>
    <row r="980" spans="13:35" x14ac:dyDescent="0.35">
      <c r="M980" t="s">
        <v>1</v>
      </c>
      <c r="N980">
        <v>6250</v>
      </c>
      <c r="O980">
        <v>12</v>
      </c>
      <c r="P980">
        <v>17042</v>
      </c>
      <c r="Q980">
        <v>0</v>
      </c>
      <c r="R980">
        <v>635294217265</v>
      </c>
      <c r="S980">
        <v>654726574.37</v>
      </c>
      <c r="T980">
        <v>614462400154.85999</v>
      </c>
      <c r="U980">
        <v>633444050556.41003</v>
      </c>
      <c r="V980">
        <v>0.32111699999999999</v>
      </c>
      <c r="W980">
        <v>2.2348E-2</v>
      </c>
      <c r="Y980" t="s">
        <v>0</v>
      </c>
      <c r="Z980">
        <v>5750</v>
      </c>
      <c r="AA980">
        <v>10</v>
      </c>
      <c r="AB980">
        <v>6320</v>
      </c>
      <c r="AC980">
        <v>0</v>
      </c>
      <c r="AD980">
        <v>218865954167</v>
      </c>
      <c r="AE980">
        <v>244710628.99000001</v>
      </c>
      <c r="AF980">
        <v>217607091571.95999</v>
      </c>
      <c r="AG980">
        <v>218601798623.56</v>
      </c>
      <c r="AH980">
        <v>5.4209E-2</v>
      </c>
      <c r="AI980">
        <v>1.0660000000000001E-3</v>
      </c>
    </row>
    <row r="981" spans="13:35" x14ac:dyDescent="0.35">
      <c r="M981" t="s">
        <v>2</v>
      </c>
      <c r="N981">
        <v>6250</v>
      </c>
      <c r="O981">
        <v>12</v>
      </c>
      <c r="P981">
        <v>1467</v>
      </c>
      <c r="Q981">
        <v>0</v>
      </c>
      <c r="R981">
        <v>31279086461</v>
      </c>
      <c r="S981">
        <v>32201897.989999998</v>
      </c>
      <c r="T981">
        <v>31170110069.77</v>
      </c>
      <c r="U981">
        <v>31198411798.529999</v>
      </c>
      <c r="V981">
        <v>2.9059999999999999E-2</v>
      </c>
      <c r="W981">
        <v>1.8439000000000001E-2</v>
      </c>
      <c r="Y981" t="s">
        <v>1</v>
      </c>
      <c r="Z981">
        <v>5750</v>
      </c>
      <c r="AA981">
        <v>9</v>
      </c>
      <c r="AB981">
        <v>5143</v>
      </c>
      <c r="AC981">
        <v>0</v>
      </c>
      <c r="AD981">
        <v>216542607030</v>
      </c>
      <c r="AE981">
        <v>240509551.55000001</v>
      </c>
      <c r="AF981">
        <v>210802157385.07001</v>
      </c>
      <c r="AG981">
        <v>216014059514.62</v>
      </c>
      <c r="AH981">
        <v>0.26561699999999999</v>
      </c>
      <c r="AI981">
        <v>1.5845999999999999E-2</v>
      </c>
    </row>
    <row r="982" spans="13:35" x14ac:dyDescent="0.35">
      <c r="M982" t="s">
        <v>1</v>
      </c>
      <c r="N982">
        <v>6500</v>
      </c>
      <c r="O982">
        <v>10</v>
      </c>
      <c r="P982">
        <v>3164</v>
      </c>
      <c r="Q982">
        <v>0</v>
      </c>
      <c r="R982">
        <v>109796526666</v>
      </c>
      <c r="S982">
        <v>106488914.95999999</v>
      </c>
      <c r="T982">
        <v>104562438632.61</v>
      </c>
      <c r="U982">
        <v>109402814914.53</v>
      </c>
      <c r="V982">
        <v>0.43668699999999999</v>
      </c>
      <c r="W982">
        <v>3.0943999999999999E-2</v>
      </c>
      <c r="Y982" t="s">
        <v>0</v>
      </c>
      <c r="Z982">
        <v>5500</v>
      </c>
      <c r="AA982">
        <v>9</v>
      </c>
      <c r="AB982">
        <v>2056</v>
      </c>
      <c r="AC982">
        <v>0</v>
      </c>
      <c r="AD982">
        <v>69849544687</v>
      </c>
      <c r="AE982">
        <v>81130383.829999998</v>
      </c>
      <c r="AF982">
        <v>69454118483</v>
      </c>
      <c r="AG982">
        <v>69711143298.440002</v>
      </c>
      <c r="AH982">
        <v>5.2678999999999997E-2</v>
      </c>
      <c r="AI982">
        <v>9.7949999999999999E-3</v>
      </c>
    </row>
    <row r="983" spans="13:35" x14ac:dyDescent="0.35">
      <c r="M983" t="s">
        <v>1</v>
      </c>
      <c r="N983">
        <v>6750</v>
      </c>
      <c r="O983">
        <v>10</v>
      </c>
      <c r="P983">
        <v>4532</v>
      </c>
      <c r="Q983">
        <v>0</v>
      </c>
      <c r="R983">
        <v>151262410705</v>
      </c>
      <c r="S983">
        <v>141160980.53</v>
      </c>
      <c r="T983">
        <v>141595748927.70001</v>
      </c>
      <c r="U983">
        <v>150674233821.07001</v>
      </c>
      <c r="V983">
        <v>0.54183400000000004</v>
      </c>
      <c r="W983">
        <v>3.4891999999999999E-2</v>
      </c>
      <c r="Y983" t="s">
        <v>1</v>
      </c>
      <c r="Z983">
        <v>5500</v>
      </c>
      <c r="AA983">
        <v>9</v>
      </c>
      <c r="AB983">
        <v>1435</v>
      </c>
      <c r="AC983">
        <v>0</v>
      </c>
      <c r="AD983">
        <v>61343305296</v>
      </c>
      <c r="AE983">
        <v>71177362.120000005</v>
      </c>
      <c r="AF983">
        <v>60575323655.970001</v>
      </c>
      <c r="AG983">
        <v>61002775219.889999</v>
      </c>
      <c r="AH983">
        <v>0.128108</v>
      </c>
      <c r="AI983">
        <v>5.1436999999999997E-2</v>
      </c>
    </row>
    <row r="984" spans="13:35" x14ac:dyDescent="0.35">
      <c r="M984" t="s">
        <v>2</v>
      </c>
      <c r="N984">
        <v>6750</v>
      </c>
      <c r="O984">
        <v>10</v>
      </c>
      <c r="P984">
        <v>684</v>
      </c>
      <c r="Q984">
        <v>0</v>
      </c>
      <c r="R984">
        <v>12606834031</v>
      </c>
      <c r="S984">
        <v>11734712.529999999</v>
      </c>
      <c r="T984">
        <v>12555739737.889999</v>
      </c>
      <c r="U984">
        <v>12570557025.700001</v>
      </c>
      <c r="V984">
        <v>3.6828E-2</v>
      </c>
      <c r="W984">
        <v>2.3112000000000001E-2</v>
      </c>
      <c r="Y984" t="s">
        <v>0</v>
      </c>
      <c r="Z984">
        <v>7750</v>
      </c>
      <c r="AA984">
        <v>9</v>
      </c>
      <c r="AB984">
        <v>979</v>
      </c>
      <c r="AC984">
        <v>0</v>
      </c>
      <c r="AD984">
        <v>25664455558</v>
      </c>
      <c r="AE984">
        <v>19532856.440000001</v>
      </c>
      <c r="AF984">
        <v>25246280297.279999</v>
      </c>
      <c r="AG984">
        <v>25567123723.459999</v>
      </c>
      <c r="AH984">
        <v>0.171267</v>
      </c>
      <c r="AI984">
        <v>3.5776000000000002E-2</v>
      </c>
    </row>
    <row r="985" spans="13:35" x14ac:dyDescent="0.35">
      <c r="M985" t="s">
        <v>2</v>
      </c>
      <c r="N985">
        <v>6750</v>
      </c>
      <c r="O985">
        <v>9</v>
      </c>
      <c r="P985">
        <v>676</v>
      </c>
      <c r="Q985">
        <v>0</v>
      </c>
      <c r="R985">
        <v>12597661438</v>
      </c>
      <c r="S985">
        <v>11644722.4</v>
      </c>
      <c r="T985">
        <v>12489573555.959999</v>
      </c>
      <c r="U985">
        <v>12556487973.950001</v>
      </c>
      <c r="V985">
        <v>8.8096999999999995E-2</v>
      </c>
      <c r="W985">
        <v>2.7768000000000001E-2</v>
      </c>
      <c r="Y985" t="s">
        <v>0</v>
      </c>
      <c r="Z985">
        <v>7500</v>
      </c>
      <c r="AA985">
        <v>9</v>
      </c>
      <c r="AB985">
        <v>847</v>
      </c>
      <c r="AC985">
        <v>0</v>
      </c>
      <c r="AD985">
        <v>22789175114</v>
      </c>
      <c r="AE985">
        <v>18219816.25</v>
      </c>
      <c r="AF985">
        <v>22397499375.400002</v>
      </c>
      <c r="AG985">
        <v>22737264553.59</v>
      </c>
      <c r="AH985">
        <v>0.17985799999999999</v>
      </c>
      <c r="AI985">
        <v>1.7597000000000002E-2</v>
      </c>
    </row>
    <row r="986" spans="13:35" x14ac:dyDescent="0.35">
      <c r="M986" t="s">
        <v>2</v>
      </c>
      <c r="N986">
        <v>7000</v>
      </c>
      <c r="O986">
        <v>9</v>
      </c>
      <c r="P986">
        <v>269</v>
      </c>
      <c r="Q986">
        <v>0</v>
      </c>
      <c r="R986">
        <v>4421908415</v>
      </c>
      <c r="S986">
        <v>3906965.19</v>
      </c>
      <c r="T986">
        <v>4399922584.8400002</v>
      </c>
      <c r="U986">
        <v>4418001449.8100004</v>
      </c>
      <c r="V986">
        <v>4.7973000000000002E-2</v>
      </c>
      <c r="W986">
        <v>0</v>
      </c>
      <c r="Y986" t="s">
        <v>0</v>
      </c>
      <c r="Z986">
        <v>7750</v>
      </c>
      <c r="AA986">
        <v>10</v>
      </c>
      <c r="AB986">
        <v>716</v>
      </c>
      <c r="AC986">
        <v>0</v>
      </c>
      <c r="AD986">
        <v>19086246587</v>
      </c>
      <c r="AE986">
        <v>14589443.210000001</v>
      </c>
      <c r="AF986">
        <v>18704810002.75</v>
      </c>
      <c r="AG986">
        <v>19058471335.240002</v>
      </c>
      <c r="AH986">
        <v>0.20776</v>
      </c>
      <c r="AI986">
        <v>8.2590000000000007E-3</v>
      </c>
    </row>
    <row r="987" spans="13:35" x14ac:dyDescent="0.35">
      <c r="M987" t="s">
        <v>0</v>
      </c>
      <c r="N987">
        <v>6500</v>
      </c>
      <c r="O987">
        <v>7</v>
      </c>
      <c r="P987">
        <v>11224</v>
      </c>
      <c r="Q987">
        <v>0</v>
      </c>
      <c r="R987">
        <v>337005468685</v>
      </c>
      <c r="S987">
        <v>321848078.62</v>
      </c>
      <c r="T987">
        <v>328569713768.81</v>
      </c>
      <c r="U987">
        <v>336010520631.40997</v>
      </c>
      <c r="V987">
        <v>0.25356899999999999</v>
      </c>
      <c r="W987">
        <v>2.3706000000000001E-2</v>
      </c>
      <c r="Y987" t="s">
        <v>0</v>
      </c>
      <c r="Z987">
        <v>7500</v>
      </c>
      <c r="AA987">
        <v>10</v>
      </c>
      <c r="AB987">
        <v>770</v>
      </c>
      <c r="AC987">
        <v>0</v>
      </c>
      <c r="AD987">
        <v>18478571504</v>
      </c>
      <c r="AE987">
        <v>14859686.140000001</v>
      </c>
      <c r="AF987">
        <v>18051770246.77</v>
      </c>
      <c r="AG987">
        <v>18463711817.860001</v>
      </c>
      <c r="AH987">
        <v>0.23703399999999999</v>
      </c>
      <c r="AI987">
        <v>0</v>
      </c>
    </row>
    <row r="988" spans="13:35" x14ac:dyDescent="0.35">
      <c r="M988" t="s">
        <v>2</v>
      </c>
      <c r="N988">
        <v>6500</v>
      </c>
      <c r="O988">
        <v>7</v>
      </c>
      <c r="P988">
        <v>746</v>
      </c>
      <c r="Q988">
        <v>0</v>
      </c>
      <c r="R988">
        <v>15438270846</v>
      </c>
      <c r="S988">
        <v>14762935.060000001</v>
      </c>
      <c r="T988">
        <v>15399653393.120001</v>
      </c>
      <c r="U988">
        <v>15423507910.940001</v>
      </c>
      <c r="V988">
        <v>1.8384999999999999E-2</v>
      </c>
      <c r="W988">
        <v>0</v>
      </c>
      <c r="Y988" t="s">
        <v>0</v>
      </c>
      <c r="Z988">
        <v>7250</v>
      </c>
      <c r="AA988">
        <v>10</v>
      </c>
      <c r="AB988">
        <v>3009</v>
      </c>
      <c r="AC988">
        <v>0</v>
      </c>
      <c r="AD988">
        <v>78121810004</v>
      </c>
      <c r="AE988">
        <v>66090776.530000001</v>
      </c>
      <c r="AF988">
        <v>75213274474.389999</v>
      </c>
      <c r="AG988">
        <v>77633386102.009995</v>
      </c>
      <c r="AH988">
        <v>0.35902099999999998</v>
      </c>
      <c r="AI988">
        <v>6.2978000000000006E-2</v>
      </c>
    </row>
    <row r="989" spans="13:35" x14ac:dyDescent="0.35">
      <c r="M989" t="s">
        <v>1</v>
      </c>
      <c r="N989">
        <v>6500</v>
      </c>
      <c r="O989">
        <v>8</v>
      </c>
      <c r="P989">
        <v>5116</v>
      </c>
      <c r="Q989">
        <v>0</v>
      </c>
      <c r="R989">
        <v>181931343976</v>
      </c>
      <c r="S989">
        <v>174351216.13999999</v>
      </c>
      <c r="T989">
        <v>170799906813.62</v>
      </c>
      <c r="U989">
        <v>181583466292.26001</v>
      </c>
      <c r="V989">
        <v>0.52545399999999998</v>
      </c>
      <c r="W989">
        <v>1.1386E-2</v>
      </c>
      <c r="Y989" t="s">
        <v>1</v>
      </c>
      <c r="Z989">
        <v>6750</v>
      </c>
      <c r="AA989">
        <v>10</v>
      </c>
      <c r="AB989">
        <v>3595</v>
      </c>
      <c r="AC989">
        <v>0</v>
      </c>
      <c r="AD989">
        <v>113652556464</v>
      </c>
      <c r="AE989">
        <v>106104660.39</v>
      </c>
      <c r="AF989">
        <v>106106589500.09</v>
      </c>
      <c r="AG989">
        <v>112878106342.08</v>
      </c>
      <c r="AH989">
        <v>0.55622099999999997</v>
      </c>
      <c r="AI989">
        <v>6.8329000000000001E-2</v>
      </c>
    </row>
    <row r="990" spans="13:35" x14ac:dyDescent="0.35">
      <c r="M990" t="s">
        <v>0</v>
      </c>
      <c r="N990">
        <v>6000</v>
      </c>
      <c r="O990">
        <v>6</v>
      </c>
      <c r="P990">
        <v>11147</v>
      </c>
      <c r="Q990">
        <v>0</v>
      </c>
      <c r="R990">
        <v>354409333608</v>
      </c>
      <c r="S990">
        <v>369060438</v>
      </c>
      <c r="T990">
        <v>352248875293.42999</v>
      </c>
      <c r="U990">
        <v>353882740085.65997</v>
      </c>
      <c r="V990">
        <v>5.8997000000000001E-2</v>
      </c>
      <c r="W990">
        <v>5.3210000000000002E-3</v>
      </c>
      <c r="Y990" t="s">
        <v>0</v>
      </c>
      <c r="Z990">
        <v>6250</v>
      </c>
      <c r="AA990">
        <v>10</v>
      </c>
      <c r="AB990">
        <v>15750</v>
      </c>
      <c r="AC990">
        <v>0</v>
      </c>
      <c r="AD990">
        <v>518326590120</v>
      </c>
      <c r="AE990">
        <v>529326829.88</v>
      </c>
      <c r="AF990">
        <v>509048412927.83002</v>
      </c>
      <c r="AG990">
        <v>517436729200.34003</v>
      </c>
      <c r="AH990">
        <v>0.18476400000000001</v>
      </c>
      <c r="AI990">
        <v>8.3149999999999995E-3</v>
      </c>
    </row>
    <row r="991" spans="13:35" x14ac:dyDescent="0.35">
      <c r="M991" t="s">
        <v>2</v>
      </c>
      <c r="N991">
        <v>6000</v>
      </c>
      <c r="O991">
        <v>6</v>
      </c>
      <c r="P991">
        <v>622</v>
      </c>
      <c r="Q991">
        <v>0</v>
      </c>
      <c r="R991">
        <v>13682314371</v>
      </c>
      <c r="S991">
        <v>14243623.630000001</v>
      </c>
      <c r="T991">
        <v>13668070747.370001</v>
      </c>
      <c r="U991">
        <v>13668070747.370001</v>
      </c>
      <c r="V991">
        <v>0</v>
      </c>
      <c r="W991">
        <v>0</v>
      </c>
      <c r="Y991" t="s">
        <v>2</v>
      </c>
      <c r="Z991">
        <v>5750</v>
      </c>
      <c r="AA991">
        <v>10</v>
      </c>
      <c r="AB991">
        <v>236</v>
      </c>
      <c r="AC991">
        <v>0</v>
      </c>
      <c r="AD991">
        <v>5435755061</v>
      </c>
      <c r="AE991">
        <v>6055890.5899999999</v>
      </c>
      <c r="AF991">
        <v>5413047469.1499996</v>
      </c>
      <c r="AG991">
        <v>5429699170.4099998</v>
      </c>
      <c r="AH991">
        <v>3.6146999999999999E-2</v>
      </c>
      <c r="AI991">
        <v>0</v>
      </c>
    </row>
    <row r="992" spans="13:35" x14ac:dyDescent="0.35">
      <c r="M992" t="s">
        <v>0</v>
      </c>
      <c r="N992">
        <v>6000</v>
      </c>
      <c r="O992">
        <v>5</v>
      </c>
      <c r="P992">
        <v>77505</v>
      </c>
      <c r="Q992">
        <v>0</v>
      </c>
      <c r="R992">
        <v>2428105100000</v>
      </c>
      <c r="S992">
        <v>2476879006.71</v>
      </c>
      <c r="T992">
        <v>2422284057136.4702</v>
      </c>
      <c r="U992">
        <v>2425276090601.0601</v>
      </c>
      <c r="V992">
        <v>1.6403000000000001E-2</v>
      </c>
      <c r="W992">
        <v>1.7390000000000001E-3</v>
      </c>
      <c r="Y992" t="s">
        <v>1</v>
      </c>
      <c r="Z992">
        <v>5500</v>
      </c>
      <c r="AA992">
        <v>10</v>
      </c>
      <c r="AB992">
        <v>2275</v>
      </c>
      <c r="AC992">
        <v>0</v>
      </c>
      <c r="AD992">
        <v>100537545119</v>
      </c>
      <c r="AE992">
        <v>117342703.87</v>
      </c>
      <c r="AF992">
        <v>99777125248.5</v>
      </c>
      <c r="AG992">
        <v>100363825738.63</v>
      </c>
      <c r="AH992">
        <v>7.4112999999999998E-2</v>
      </c>
      <c r="AI992">
        <v>6.7080000000000004E-3</v>
      </c>
    </row>
    <row r="993" spans="13:35" x14ac:dyDescent="0.35">
      <c r="M993" t="s">
        <v>1</v>
      </c>
      <c r="N993">
        <v>6000</v>
      </c>
      <c r="O993">
        <v>5</v>
      </c>
      <c r="P993">
        <v>33305</v>
      </c>
      <c r="Q993">
        <v>0</v>
      </c>
      <c r="R993">
        <v>1261921900000</v>
      </c>
      <c r="S993">
        <v>1285355524.01</v>
      </c>
      <c r="T993">
        <v>1257840197585.5801</v>
      </c>
      <c r="U993">
        <v>1260479904149.28</v>
      </c>
      <c r="V993">
        <v>2.6270000000000002E-2</v>
      </c>
      <c r="W993">
        <v>1.4890000000000001E-3</v>
      </c>
      <c r="Y993" t="s">
        <v>0</v>
      </c>
      <c r="Z993">
        <v>5500</v>
      </c>
      <c r="AA993">
        <v>10</v>
      </c>
      <c r="AB993">
        <v>2762</v>
      </c>
      <c r="AC993">
        <v>0</v>
      </c>
      <c r="AD993">
        <v>93043605395</v>
      </c>
      <c r="AE993">
        <v>108756548.94</v>
      </c>
      <c r="AF993">
        <v>92564159118.649994</v>
      </c>
      <c r="AG993">
        <v>92819656156.850006</v>
      </c>
      <c r="AH993">
        <v>4.6774999999999997E-2</v>
      </c>
      <c r="AI993">
        <v>1.4756E-2</v>
      </c>
    </row>
    <row r="994" spans="13:35" x14ac:dyDescent="0.35">
      <c r="M994" t="s">
        <v>2</v>
      </c>
      <c r="N994">
        <v>6000</v>
      </c>
      <c r="O994">
        <v>5</v>
      </c>
      <c r="P994">
        <v>3473</v>
      </c>
      <c r="Q994">
        <v>0</v>
      </c>
      <c r="R994">
        <v>72665200000</v>
      </c>
      <c r="S994">
        <v>73840032.909999996</v>
      </c>
      <c r="T994">
        <v>72591359967.089996</v>
      </c>
      <c r="U994">
        <v>72591359967.089996</v>
      </c>
      <c r="V994">
        <v>0</v>
      </c>
      <c r="W994">
        <v>0</v>
      </c>
      <c r="Y994" t="s">
        <v>1</v>
      </c>
      <c r="Z994">
        <v>5250</v>
      </c>
      <c r="AA994">
        <v>9</v>
      </c>
      <c r="AB994">
        <v>692</v>
      </c>
      <c r="AC994">
        <v>0</v>
      </c>
      <c r="AD994">
        <v>28366717044</v>
      </c>
      <c r="AE994">
        <v>34387682.509999998</v>
      </c>
      <c r="AF994">
        <v>28195322364.650002</v>
      </c>
      <c r="AG994">
        <v>28332329361.490002</v>
      </c>
      <c r="AH994">
        <v>5.6443E-2</v>
      </c>
      <c r="AI994">
        <v>0</v>
      </c>
    </row>
    <row r="995" spans="13:35" x14ac:dyDescent="0.35">
      <c r="M995" t="s">
        <v>0</v>
      </c>
      <c r="N995">
        <v>6500</v>
      </c>
      <c r="O995">
        <v>5</v>
      </c>
      <c r="P995">
        <v>33314</v>
      </c>
      <c r="Q995">
        <v>0</v>
      </c>
      <c r="R995">
        <v>912727300000</v>
      </c>
      <c r="S995">
        <v>848159940.67999995</v>
      </c>
      <c r="T995">
        <v>909883606718.31995</v>
      </c>
      <c r="U995">
        <v>911419869332.13</v>
      </c>
      <c r="V995">
        <v>2.5923000000000002E-2</v>
      </c>
      <c r="W995">
        <v>6.0219999999999996E-3</v>
      </c>
      <c r="Y995" t="s">
        <v>1</v>
      </c>
      <c r="Z995">
        <v>6750</v>
      </c>
      <c r="AA995">
        <v>12</v>
      </c>
      <c r="AB995">
        <v>7917</v>
      </c>
      <c r="AC995">
        <v>0</v>
      </c>
      <c r="AD995">
        <v>259725146220</v>
      </c>
      <c r="AE995">
        <v>244802005.12</v>
      </c>
      <c r="AF995">
        <v>243766946763.60999</v>
      </c>
      <c r="AG995">
        <v>258297846815.63</v>
      </c>
      <c r="AH995">
        <v>0.52710900000000005</v>
      </c>
      <c r="AI995">
        <v>5.3287000000000001E-2</v>
      </c>
    </row>
    <row r="996" spans="13:35" x14ac:dyDescent="0.35">
      <c r="M996" t="s">
        <v>1</v>
      </c>
      <c r="N996">
        <v>6500</v>
      </c>
      <c r="O996">
        <v>5</v>
      </c>
      <c r="P996">
        <v>8039</v>
      </c>
      <c r="Q996">
        <v>0</v>
      </c>
      <c r="R996">
        <v>267350300000</v>
      </c>
      <c r="S996">
        <v>248430819.30000001</v>
      </c>
      <c r="T996">
        <v>266500428809.87</v>
      </c>
      <c r="U996">
        <v>267067001537.89999</v>
      </c>
      <c r="V996">
        <v>2.6664E-2</v>
      </c>
      <c r="W996">
        <v>1.5640000000000001E-3</v>
      </c>
      <c r="Y996" t="s">
        <v>1</v>
      </c>
      <c r="Z996">
        <v>5750</v>
      </c>
      <c r="AA996">
        <v>10</v>
      </c>
      <c r="AB996">
        <v>8505</v>
      </c>
      <c r="AC996">
        <v>0</v>
      </c>
      <c r="AD996">
        <v>360394409917</v>
      </c>
      <c r="AE996">
        <v>403351535.08999997</v>
      </c>
      <c r="AF996">
        <v>352065975957.27002</v>
      </c>
      <c r="AG996">
        <v>359007891881.78998</v>
      </c>
      <c r="AH996">
        <v>0.23419300000000001</v>
      </c>
      <c r="AI996">
        <v>3.2250000000000001E-2</v>
      </c>
    </row>
    <row r="997" spans="13:35" x14ac:dyDescent="0.35">
      <c r="M997" t="s">
        <v>2</v>
      </c>
      <c r="N997">
        <v>6500</v>
      </c>
      <c r="O997">
        <v>5</v>
      </c>
      <c r="P997">
        <v>1245</v>
      </c>
      <c r="Q997">
        <v>0</v>
      </c>
      <c r="R997">
        <v>22129700000</v>
      </c>
      <c r="S997">
        <v>20540586.829999998</v>
      </c>
      <c r="T997">
        <v>22092574514.73</v>
      </c>
      <c r="U997">
        <v>22109159413.169998</v>
      </c>
      <c r="V997">
        <v>8.9560000000000004E-3</v>
      </c>
      <c r="W997">
        <v>0</v>
      </c>
      <c r="Y997" t="s">
        <v>2</v>
      </c>
      <c r="Z997">
        <v>7000</v>
      </c>
      <c r="AA997">
        <v>12</v>
      </c>
      <c r="AB997">
        <v>450</v>
      </c>
      <c r="AC997">
        <v>0</v>
      </c>
      <c r="AD997">
        <v>7598636442</v>
      </c>
      <c r="AE997">
        <v>6828400.8499999996</v>
      </c>
      <c r="AF997">
        <v>7451286603.9899998</v>
      </c>
      <c r="AG997">
        <v>7591808041.1499996</v>
      </c>
      <c r="AH997">
        <v>0.20068</v>
      </c>
      <c r="AI997">
        <v>0</v>
      </c>
    </row>
    <row r="998" spans="13:35" x14ac:dyDescent="0.35">
      <c r="M998" t="s">
        <v>0</v>
      </c>
      <c r="N998">
        <v>5500</v>
      </c>
      <c r="O998">
        <v>5</v>
      </c>
      <c r="P998">
        <v>36449</v>
      </c>
      <c r="Q998">
        <v>0</v>
      </c>
      <c r="R998">
        <v>1276761200000</v>
      </c>
      <c r="S998">
        <v>1427513592.2</v>
      </c>
      <c r="T998">
        <v>1274265391563.0601</v>
      </c>
      <c r="U998">
        <v>1275299424235.3401</v>
      </c>
      <c r="V998">
        <v>9.9950000000000004E-3</v>
      </c>
      <c r="W998">
        <v>3.2200000000000002E-4</v>
      </c>
      <c r="Y998" t="s">
        <v>2</v>
      </c>
      <c r="Z998">
        <v>6750</v>
      </c>
      <c r="AA998">
        <v>12</v>
      </c>
      <c r="AB998">
        <v>1286</v>
      </c>
      <c r="AC998">
        <v>0</v>
      </c>
      <c r="AD998">
        <v>24077341084</v>
      </c>
      <c r="AE998">
        <v>22631016.800000001</v>
      </c>
      <c r="AF998">
        <v>23751258959.540001</v>
      </c>
      <c r="AG998">
        <v>24008823171.599998</v>
      </c>
      <c r="AH998">
        <v>0.141183</v>
      </c>
      <c r="AI998">
        <v>2.2631999999999999E-2</v>
      </c>
    </row>
    <row r="999" spans="13:35" x14ac:dyDescent="0.35">
      <c r="M999" t="s">
        <v>1</v>
      </c>
      <c r="N999">
        <v>5500</v>
      </c>
      <c r="O999">
        <v>5</v>
      </c>
      <c r="P999">
        <v>63061</v>
      </c>
      <c r="Q999">
        <v>0</v>
      </c>
      <c r="R999">
        <v>2772238600000</v>
      </c>
      <c r="S999">
        <v>3104102396.7199998</v>
      </c>
      <c r="T999">
        <v>2765068160265.96</v>
      </c>
      <c r="U999">
        <v>2768548754183.3799</v>
      </c>
      <c r="V999">
        <v>1.746E-2</v>
      </c>
      <c r="W999">
        <v>2.5330000000000001E-3</v>
      </c>
      <c r="Y999" t="s">
        <v>0</v>
      </c>
      <c r="Z999">
        <v>5750</v>
      </c>
      <c r="AA999">
        <v>12</v>
      </c>
      <c r="AB999">
        <v>7194</v>
      </c>
      <c r="AC999">
        <v>0</v>
      </c>
      <c r="AD999">
        <v>243887017943</v>
      </c>
      <c r="AE999">
        <v>274770834.26999998</v>
      </c>
      <c r="AF999">
        <v>242089670902.67001</v>
      </c>
      <c r="AG999">
        <v>243522888149.5</v>
      </c>
      <c r="AH999">
        <v>7.2396000000000002E-2</v>
      </c>
      <c r="AI999">
        <v>4.3880000000000004E-3</v>
      </c>
    </row>
    <row r="1000" spans="13:35" x14ac:dyDescent="0.35">
      <c r="M1000" t="s">
        <v>2</v>
      </c>
      <c r="N1000">
        <v>5500</v>
      </c>
      <c r="O1000">
        <v>5</v>
      </c>
      <c r="P1000">
        <v>1504</v>
      </c>
      <c r="Q1000">
        <v>0</v>
      </c>
      <c r="R1000">
        <v>36128900000</v>
      </c>
      <c r="S1000">
        <v>40148309.039999999</v>
      </c>
      <c r="T1000">
        <v>36070172399.239998</v>
      </c>
      <c r="U1000">
        <v>36088751690.959999</v>
      </c>
      <c r="V1000">
        <v>6.1539999999999997E-3</v>
      </c>
      <c r="W1000">
        <v>0</v>
      </c>
      <c r="Y1000" t="s">
        <v>0</v>
      </c>
      <c r="Z1000">
        <v>5500</v>
      </c>
      <c r="AA1000">
        <v>12</v>
      </c>
      <c r="AB1000">
        <v>4063</v>
      </c>
      <c r="AC1000">
        <v>0</v>
      </c>
      <c r="AD1000">
        <v>132950191226</v>
      </c>
      <c r="AE1000">
        <v>156483095.81</v>
      </c>
      <c r="AF1000">
        <v>132188443094.73</v>
      </c>
      <c r="AG1000">
        <v>132736490921.78999</v>
      </c>
      <c r="AH1000">
        <v>5.3282999999999997E-2</v>
      </c>
      <c r="AI1000">
        <v>5.1520000000000003E-3</v>
      </c>
    </row>
    <row r="1001" spans="13:35" x14ac:dyDescent="0.35">
      <c r="M1001" t="s">
        <v>1</v>
      </c>
      <c r="N1001">
        <v>7000</v>
      </c>
      <c r="O1001">
        <v>10</v>
      </c>
      <c r="P1001">
        <v>1041</v>
      </c>
      <c r="Q1001">
        <v>0</v>
      </c>
      <c r="R1001">
        <v>30379373071</v>
      </c>
      <c r="S1001">
        <v>26936361.379999999</v>
      </c>
      <c r="T1001">
        <v>28180453834.82</v>
      </c>
      <c r="U1001">
        <v>30102829730.049999</v>
      </c>
      <c r="V1001">
        <v>0.58940899999999996</v>
      </c>
      <c r="W1001">
        <v>9.4259999999999997E-2</v>
      </c>
      <c r="Y1001" t="s">
        <v>0</v>
      </c>
      <c r="Z1001">
        <v>7750</v>
      </c>
      <c r="AA1001">
        <v>12</v>
      </c>
      <c r="AB1001">
        <v>1563</v>
      </c>
      <c r="AC1001">
        <v>0</v>
      </c>
      <c r="AD1001">
        <v>41021568388</v>
      </c>
      <c r="AE1001">
        <v>31748210.399999999</v>
      </c>
      <c r="AF1001">
        <v>39758292291.110001</v>
      </c>
      <c r="AG1001">
        <v>40805778901.580002</v>
      </c>
      <c r="AH1001">
        <v>0.306342</v>
      </c>
      <c r="AI1001">
        <v>5.2528999999999999E-2</v>
      </c>
    </row>
    <row r="1002" spans="13:35" x14ac:dyDescent="0.35">
      <c r="M1002" t="s">
        <v>1</v>
      </c>
      <c r="N1002">
        <v>7000</v>
      </c>
      <c r="O1002">
        <v>9</v>
      </c>
      <c r="P1002">
        <v>1330</v>
      </c>
      <c r="Q1002">
        <v>0</v>
      </c>
      <c r="R1002">
        <v>38783680673</v>
      </c>
      <c r="S1002">
        <v>34142728.420000002</v>
      </c>
      <c r="T1002">
        <v>35486327016.43</v>
      </c>
      <c r="U1002">
        <v>38560372783.360001</v>
      </c>
      <c r="V1002">
        <v>0.651698</v>
      </c>
      <c r="W1002">
        <v>5.6984E-2</v>
      </c>
      <c r="Y1002" t="s">
        <v>2</v>
      </c>
      <c r="Z1002">
        <v>6750</v>
      </c>
      <c r="AA1002">
        <v>10</v>
      </c>
      <c r="AB1002">
        <v>636</v>
      </c>
      <c r="AC1002">
        <v>0</v>
      </c>
      <c r="AD1002">
        <v>11502374052</v>
      </c>
      <c r="AE1002">
        <v>10734015.77</v>
      </c>
      <c r="AF1002">
        <v>11412253245.51</v>
      </c>
      <c r="AG1002">
        <v>11427756170.799999</v>
      </c>
      <c r="AH1002">
        <v>7.9749E-2</v>
      </c>
      <c r="AI1002">
        <v>6.4648999999999998E-2</v>
      </c>
    </row>
    <row r="1003" spans="13:35" x14ac:dyDescent="0.35">
      <c r="M1003" t="s">
        <v>1</v>
      </c>
      <c r="N1003">
        <v>7250</v>
      </c>
      <c r="O1003">
        <v>9</v>
      </c>
      <c r="P1003">
        <v>975</v>
      </c>
      <c r="Q1003">
        <v>0</v>
      </c>
      <c r="R1003">
        <v>27987266826</v>
      </c>
      <c r="S1003">
        <v>23623091.149999999</v>
      </c>
      <c r="T1003">
        <v>25341207279.23</v>
      </c>
      <c r="U1003">
        <v>27719451768.189999</v>
      </c>
      <c r="V1003">
        <v>0.69291599999999998</v>
      </c>
      <c r="W1003">
        <v>9.9820000000000006E-2</v>
      </c>
      <c r="Y1003" t="s">
        <v>1</v>
      </c>
      <c r="Z1003">
        <v>6500</v>
      </c>
      <c r="AA1003">
        <v>9</v>
      </c>
      <c r="AB1003">
        <v>3310</v>
      </c>
      <c r="AC1003">
        <v>0</v>
      </c>
      <c r="AD1003">
        <v>115540697603</v>
      </c>
      <c r="AE1003">
        <v>111336071.16</v>
      </c>
      <c r="AF1003">
        <v>109929886576.97</v>
      </c>
      <c r="AG1003">
        <v>115212385090.03999</v>
      </c>
      <c r="AH1003">
        <v>0.44301299999999999</v>
      </c>
      <c r="AI1003">
        <v>2.2304000000000001E-2</v>
      </c>
    </row>
    <row r="1004" spans="13:35" x14ac:dyDescent="0.35">
      <c r="M1004" t="s">
        <v>0</v>
      </c>
      <c r="N1004">
        <v>6750</v>
      </c>
      <c r="O1004">
        <v>7</v>
      </c>
      <c r="P1004">
        <v>13036</v>
      </c>
      <c r="Q1004">
        <v>0</v>
      </c>
      <c r="R1004">
        <v>373252452213</v>
      </c>
      <c r="S1004">
        <v>341720905.74000001</v>
      </c>
      <c r="T1004">
        <v>358880095509.84998</v>
      </c>
      <c r="U1004">
        <v>372428369406.66998</v>
      </c>
      <c r="V1004">
        <v>0.36857699999999999</v>
      </c>
      <c r="W1004">
        <v>1.5398E-2</v>
      </c>
      <c r="Y1004" t="s">
        <v>1</v>
      </c>
      <c r="Z1004">
        <v>6750</v>
      </c>
      <c r="AA1004">
        <v>9</v>
      </c>
      <c r="AB1004">
        <v>4887</v>
      </c>
      <c r="AC1004">
        <v>0</v>
      </c>
      <c r="AD1004">
        <v>164784196541</v>
      </c>
      <c r="AE1004">
        <v>152770168.30000001</v>
      </c>
      <c r="AF1004">
        <v>151383006157.60999</v>
      </c>
      <c r="AG1004">
        <v>163975237263.14999</v>
      </c>
      <c r="AH1004">
        <v>0.63424100000000005</v>
      </c>
      <c r="AI1004">
        <v>4.6753000000000003E-2</v>
      </c>
    </row>
    <row r="1005" spans="13:35" x14ac:dyDescent="0.35">
      <c r="M1005" t="s">
        <v>1</v>
      </c>
      <c r="N1005">
        <v>6000</v>
      </c>
      <c r="O1005">
        <v>7</v>
      </c>
      <c r="P1005">
        <v>6860</v>
      </c>
      <c r="Q1005">
        <v>0</v>
      </c>
      <c r="R1005">
        <v>288779105685</v>
      </c>
      <c r="S1005">
        <v>302598948.98000002</v>
      </c>
      <c r="T1005">
        <v>270841120488.57999</v>
      </c>
      <c r="U1005">
        <v>288248414836.12</v>
      </c>
      <c r="V1005">
        <v>0.53053300000000003</v>
      </c>
      <c r="W1005">
        <v>9.4369999999999992E-3</v>
      </c>
      <c r="Y1005" t="s">
        <v>2</v>
      </c>
      <c r="Z1005">
        <v>6750</v>
      </c>
      <c r="AA1005">
        <v>9</v>
      </c>
      <c r="AB1005">
        <v>686</v>
      </c>
      <c r="AC1005">
        <v>0</v>
      </c>
      <c r="AD1005">
        <v>12648032016</v>
      </c>
      <c r="AE1005">
        <v>11697096.33</v>
      </c>
      <c r="AF1005">
        <v>12607486805.450001</v>
      </c>
      <c r="AG1005">
        <v>12618399677.120001</v>
      </c>
      <c r="AH1005">
        <v>2.7029000000000001E-2</v>
      </c>
      <c r="AI1005">
        <v>1.6884E-2</v>
      </c>
    </row>
    <row r="1006" spans="13:35" x14ac:dyDescent="0.35">
      <c r="M1006" t="s">
        <v>2</v>
      </c>
      <c r="N1006">
        <v>6750</v>
      </c>
      <c r="O1006">
        <v>6</v>
      </c>
      <c r="P1006">
        <v>561</v>
      </c>
      <c r="Q1006">
        <v>0</v>
      </c>
      <c r="R1006">
        <v>9792652333</v>
      </c>
      <c r="S1006">
        <v>8903427.5800000001</v>
      </c>
      <c r="T1006">
        <v>9753098305.5699997</v>
      </c>
      <c r="U1006">
        <v>9783748905.4200001</v>
      </c>
      <c r="V1006">
        <v>3.6920000000000001E-2</v>
      </c>
      <c r="W1006">
        <v>0</v>
      </c>
      <c r="Y1006" t="s">
        <v>2</v>
      </c>
      <c r="Z1006">
        <v>6750</v>
      </c>
      <c r="AA1006">
        <v>8</v>
      </c>
      <c r="AB1006">
        <v>679</v>
      </c>
      <c r="AC1006">
        <v>0</v>
      </c>
      <c r="AD1006">
        <v>12683044881</v>
      </c>
      <c r="AE1006">
        <v>11647704.359999999</v>
      </c>
      <c r="AF1006">
        <v>12598640990.139999</v>
      </c>
      <c r="AG1006">
        <v>12654317943.66</v>
      </c>
      <c r="AH1006">
        <v>6.6707000000000002E-2</v>
      </c>
      <c r="AI1006">
        <v>1.6039999999999999E-2</v>
      </c>
    </row>
    <row r="1007" spans="13:35" x14ac:dyDescent="0.35">
      <c r="M1007" t="s">
        <v>0</v>
      </c>
      <c r="N1007">
        <v>6750</v>
      </c>
      <c r="O1007">
        <v>6</v>
      </c>
      <c r="P1007">
        <v>10054</v>
      </c>
      <c r="Q1007">
        <v>0</v>
      </c>
      <c r="R1007">
        <v>281277510914</v>
      </c>
      <c r="S1007">
        <v>256236054.62</v>
      </c>
      <c r="T1007">
        <v>273318907319.62</v>
      </c>
      <c r="U1007">
        <v>280468519950.07001</v>
      </c>
      <c r="V1007">
        <v>0.28336299999999998</v>
      </c>
      <c r="W1007">
        <v>2.3328999999999999E-2</v>
      </c>
      <c r="Y1007" t="s">
        <v>1</v>
      </c>
      <c r="Z1007">
        <v>6250</v>
      </c>
      <c r="AA1007">
        <v>10</v>
      </c>
      <c r="AB1007">
        <v>9582</v>
      </c>
      <c r="AC1007">
        <v>0</v>
      </c>
      <c r="AD1007">
        <v>358537692742</v>
      </c>
      <c r="AE1007">
        <v>366395501.69999999</v>
      </c>
      <c r="AF1007">
        <v>344153700257.09003</v>
      </c>
      <c r="AG1007">
        <v>356965911725.29999</v>
      </c>
      <c r="AH1007">
        <v>0.38033499999999998</v>
      </c>
      <c r="AI1007">
        <v>3.9606000000000002E-2</v>
      </c>
    </row>
    <row r="1008" spans="13:35" x14ac:dyDescent="0.35">
      <c r="M1008" t="s">
        <v>2</v>
      </c>
      <c r="N1008">
        <v>7500</v>
      </c>
      <c r="O1008">
        <v>9</v>
      </c>
      <c r="P1008">
        <v>46</v>
      </c>
      <c r="Q1008">
        <v>0</v>
      </c>
      <c r="R1008">
        <v>707233686</v>
      </c>
      <c r="S1008">
        <v>572627.30000000005</v>
      </c>
      <c r="T1008">
        <v>695115489.17999995</v>
      </c>
      <c r="U1008">
        <v>695115489.17999995</v>
      </c>
      <c r="V1008">
        <v>0.179233</v>
      </c>
      <c r="W1008">
        <v>0.179233</v>
      </c>
      <c r="Y1008" t="s">
        <v>2</v>
      </c>
      <c r="Z1008">
        <v>7000</v>
      </c>
      <c r="AA1008">
        <v>8</v>
      </c>
      <c r="AB1008">
        <v>272</v>
      </c>
      <c r="AC1008">
        <v>0</v>
      </c>
      <c r="AD1008">
        <v>4452521650</v>
      </c>
      <c r="AE1008">
        <v>3907734.39</v>
      </c>
      <c r="AF1008">
        <v>4448613915.6099997</v>
      </c>
      <c r="AG1008">
        <v>4448613915.6099997</v>
      </c>
      <c r="AH1008">
        <v>0</v>
      </c>
      <c r="AI1008">
        <v>0</v>
      </c>
    </row>
    <row r="1009" spans="13:35" x14ac:dyDescent="0.35">
      <c r="M1009" t="s">
        <v>2</v>
      </c>
      <c r="N1009">
        <v>6750</v>
      </c>
      <c r="O1009">
        <v>8</v>
      </c>
      <c r="P1009">
        <v>740</v>
      </c>
      <c r="Q1009">
        <v>0</v>
      </c>
      <c r="R1009">
        <v>13524431382</v>
      </c>
      <c r="S1009">
        <v>12435937.76</v>
      </c>
      <c r="T1009">
        <v>13438899801.370001</v>
      </c>
      <c r="U1009">
        <v>13464654160.379999</v>
      </c>
      <c r="V1009">
        <v>6.2963000000000005E-2</v>
      </c>
      <c r="W1009">
        <v>4.1206E-2</v>
      </c>
      <c r="Y1009" t="s">
        <v>0</v>
      </c>
      <c r="Z1009">
        <v>6500</v>
      </c>
      <c r="AA1009">
        <v>6</v>
      </c>
      <c r="AB1009">
        <v>11395</v>
      </c>
      <c r="AC1009">
        <v>0</v>
      </c>
      <c r="AD1009">
        <v>343149287874</v>
      </c>
      <c r="AE1009">
        <v>325639709.39999998</v>
      </c>
      <c r="AF1009">
        <v>337104650641.71997</v>
      </c>
      <c r="AG1009">
        <v>342199277927.97998</v>
      </c>
      <c r="AH1009">
        <v>0.182643</v>
      </c>
      <c r="AI1009">
        <v>2.1617000000000001E-2</v>
      </c>
    </row>
    <row r="1010" spans="13:35" x14ac:dyDescent="0.35">
      <c r="M1010" t="s">
        <v>2</v>
      </c>
      <c r="N1010">
        <v>7500</v>
      </c>
      <c r="O1010">
        <v>8</v>
      </c>
      <c r="P1010">
        <v>36</v>
      </c>
      <c r="Q1010">
        <v>0</v>
      </c>
      <c r="R1010">
        <v>569675815</v>
      </c>
      <c r="S1010">
        <v>454994.61</v>
      </c>
      <c r="T1010">
        <v>569220820.38999999</v>
      </c>
      <c r="U1010">
        <v>569220820.38999999</v>
      </c>
      <c r="V1010">
        <v>0</v>
      </c>
      <c r="W1010">
        <v>0</v>
      </c>
      <c r="Y1010" t="s">
        <v>2</v>
      </c>
      <c r="Z1010">
        <v>6500</v>
      </c>
      <c r="AA1010">
        <v>6</v>
      </c>
      <c r="AB1010">
        <v>747</v>
      </c>
      <c r="AC1010">
        <v>0</v>
      </c>
      <c r="AD1010">
        <v>15477281927</v>
      </c>
      <c r="AE1010">
        <v>14707090.93</v>
      </c>
      <c r="AF1010">
        <v>15446059557.780001</v>
      </c>
      <c r="AG1010">
        <v>15462574836.07</v>
      </c>
      <c r="AH1010">
        <v>1.273E-2</v>
      </c>
      <c r="AI1010">
        <v>0</v>
      </c>
    </row>
    <row r="1011" spans="13:35" x14ac:dyDescent="0.35">
      <c r="M1011" t="s">
        <v>2</v>
      </c>
      <c r="N1011">
        <v>6750</v>
      </c>
      <c r="O1011">
        <v>7</v>
      </c>
      <c r="P1011">
        <v>690</v>
      </c>
      <c r="Q1011">
        <v>0</v>
      </c>
      <c r="R1011">
        <v>12899391336</v>
      </c>
      <c r="S1011">
        <v>11800263.310000001</v>
      </c>
      <c r="T1011">
        <v>12834415462.49</v>
      </c>
      <c r="U1011">
        <v>12873025370.959999</v>
      </c>
      <c r="V1011">
        <v>4.8362000000000002E-2</v>
      </c>
      <c r="W1011">
        <v>1.3466000000000001E-2</v>
      </c>
      <c r="Y1011" t="s">
        <v>1</v>
      </c>
      <c r="Z1011">
        <v>6500</v>
      </c>
      <c r="AA1011">
        <v>7</v>
      </c>
      <c r="AB1011">
        <v>6196</v>
      </c>
      <c r="AC1011">
        <v>0</v>
      </c>
      <c r="AD1011">
        <v>228389164906</v>
      </c>
      <c r="AE1011">
        <v>217504213.19999999</v>
      </c>
      <c r="AF1011">
        <v>182089235576.06</v>
      </c>
      <c r="AG1011">
        <v>227952234848.10001</v>
      </c>
      <c r="AH1011">
        <v>0.93308400000000002</v>
      </c>
      <c r="AI1011">
        <v>1.1468000000000001E-2</v>
      </c>
    </row>
    <row r="1012" spans="13:35" x14ac:dyDescent="0.35">
      <c r="M1012" t="s">
        <v>1</v>
      </c>
      <c r="N1012">
        <v>6750</v>
      </c>
      <c r="O1012">
        <v>7</v>
      </c>
      <c r="P1012">
        <v>6225</v>
      </c>
      <c r="Q1012">
        <v>0</v>
      </c>
      <c r="R1012">
        <v>218904027203</v>
      </c>
      <c r="S1012">
        <v>200750872.31999999</v>
      </c>
      <c r="T1012">
        <v>164910769344.67999</v>
      </c>
      <c r="U1012">
        <v>217944739702.13</v>
      </c>
      <c r="V1012">
        <v>0.96609299999999998</v>
      </c>
      <c r="W1012">
        <v>4.0798000000000001E-2</v>
      </c>
      <c r="Y1012" t="s">
        <v>0</v>
      </c>
      <c r="Z1012">
        <v>6000</v>
      </c>
      <c r="AA1012">
        <v>5</v>
      </c>
      <c r="AB1012">
        <v>72892</v>
      </c>
      <c r="AC1012">
        <v>0</v>
      </c>
      <c r="AD1012">
        <v>2286442800000</v>
      </c>
      <c r="AE1012">
        <v>2333577183.8299999</v>
      </c>
      <c r="AF1012">
        <v>2281030485923.0098</v>
      </c>
      <c r="AG1012">
        <v>2283884153781.4399</v>
      </c>
      <c r="AH1012">
        <v>1.6039000000000001E-2</v>
      </c>
      <c r="AI1012">
        <v>1.181E-3</v>
      </c>
    </row>
    <row r="1013" spans="13:35" x14ac:dyDescent="0.35">
      <c r="M1013" t="s">
        <v>0</v>
      </c>
      <c r="N1013">
        <v>7500</v>
      </c>
      <c r="O1013">
        <v>7</v>
      </c>
      <c r="P1013">
        <v>658</v>
      </c>
      <c r="Q1013">
        <v>0</v>
      </c>
      <c r="R1013">
        <v>18761309231</v>
      </c>
      <c r="S1013">
        <v>14776658.310000001</v>
      </c>
      <c r="T1013">
        <v>17911536037.389999</v>
      </c>
      <c r="U1013">
        <v>18710777058.73</v>
      </c>
      <c r="V1013">
        <v>0.42092600000000002</v>
      </c>
      <c r="W1013">
        <v>2.2631999999999999E-2</v>
      </c>
      <c r="Y1013" t="s">
        <v>2</v>
      </c>
      <c r="Z1013">
        <v>6000</v>
      </c>
      <c r="AA1013">
        <v>5</v>
      </c>
      <c r="AB1013">
        <v>3360</v>
      </c>
      <c r="AC1013">
        <v>0</v>
      </c>
      <c r="AD1013">
        <v>71313900000</v>
      </c>
      <c r="AE1013">
        <v>72578669.530000001</v>
      </c>
      <c r="AF1013">
        <v>71241321330.470001</v>
      </c>
      <c r="AG1013">
        <v>71241321330.470001</v>
      </c>
      <c r="AH1013">
        <v>0</v>
      </c>
      <c r="AI1013">
        <v>0</v>
      </c>
    </row>
    <row r="1014" spans="13:35" x14ac:dyDescent="0.35">
      <c r="M1014" t="s">
        <v>0</v>
      </c>
      <c r="N1014">
        <v>6250</v>
      </c>
      <c r="O1014">
        <v>7</v>
      </c>
      <c r="P1014">
        <v>13305</v>
      </c>
      <c r="Q1014">
        <v>0</v>
      </c>
      <c r="R1014">
        <v>437539629469</v>
      </c>
      <c r="S1014">
        <v>439077347</v>
      </c>
      <c r="T1014">
        <v>430395686267.37</v>
      </c>
      <c r="U1014">
        <v>436981192180.44</v>
      </c>
      <c r="V1014">
        <v>0.169155</v>
      </c>
      <c r="W1014">
        <v>3.2690000000000002E-3</v>
      </c>
      <c r="Y1014" t="s">
        <v>1</v>
      </c>
      <c r="Z1014">
        <v>6000</v>
      </c>
      <c r="AA1014">
        <v>5</v>
      </c>
      <c r="AB1014">
        <v>36230</v>
      </c>
      <c r="AC1014">
        <v>0</v>
      </c>
      <c r="AD1014">
        <v>1382604900000</v>
      </c>
      <c r="AE1014">
        <v>1412445568.9300001</v>
      </c>
      <c r="AF1014">
        <v>1377945388929.0601</v>
      </c>
      <c r="AG1014">
        <v>1381019133637.76</v>
      </c>
      <c r="AH1014">
        <v>2.7820999999999999E-2</v>
      </c>
      <c r="AI1014">
        <v>1.503E-3</v>
      </c>
    </row>
    <row r="1015" spans="13:35" x14ac:dyDescent="0.35">
      <c r="M1015" t="s">
        <v>1</v>
      </c>
      <c r="N1015">
        <v>6250</v>
      </c>
      <c r="O1015">
        <v>7</v>
      </c>
      <c r="P1015">
        <v>10673</v>
      </c>
      <c r="Q1015">
        <v>0</v>
      </c>
      <c r="R1015">
        <v>425502277076</v>
      </c>
      <c r="S1015">
        <v>427013096.38999999</v>
      </c>
      <c r="T1015">
        <v>374630467012.89001</v>
      </c>
      <c r="U1015">
        <v>424895647174.08002</v>
      </c>
      <c r="V1015">
        <v>0.78003599999999995</v>
      </c>
      <c r="W1015">
        <v>5.0540000000000003E-3</v>
      </c>
      <c r="Y1015" t="s">
        <v>0</v>
      </c>
      <c r="Z1015">
        <v>6500</v>
      </c>
      <c r="AA1015">
        <v>5</v>
      </c>
      <c r="AB1015">
        <v>37184</v>
      </c>
      <c r="AC1015">
        <v>0</v>
      </c>
      <c r="AD1015">
        <v>1035218300000</v>
      </c>
      <c r="AE1015">
        <v>964067198.67999995</v>
      </c>
      <c r="AF1015">
        <v>1031329177185.12</v>
      </c>
      <c r="AG1015">
        <v>1033708642849.63</v>
      </c>
      <c r="AH1015">
        <v>3.3384999999999998E-2</v>
      </c>
      <c r="AI1015">
        <v>6.306E-3</v>
      </c>
    </row>
    <row r="1016" spans="13:35" x14ac:dyDescent="0.35">
      <c r="M1016" t="s">
        <v>0</v>
      </c>
      <c r="N1016">
        <v>5500</v>
      </c>
      <c r="O1016">
        <v>6</v>
      </c>
      <c r="P1016">
        <v>2933</v>
      </c>
      <c r="Q1016">
        <v>0</v>
      </c>
      <c r="R1016">
        <v>103574383639</v>
      </c>
      <c r="S1016">
        <v>118374406.7</v>
      </c>
      <c r="T1016">
        <v>103293672299.99001</v>
      </c>
      <c r="U1016">
        <v>103456009232.3</v>
      </c>
      <c r="V1016">
        <v>1.8647E-2</v>
      </c>
      <c r="W1016">
        <v>0</v>
      </c>
      <c r="Y1016" t="s">
        <v>1</v>
      </c>
      <c r="Z1016">
        <v>6500</v>
      </c>
      <c r="AA1016">
        <v>5</v>
      </c>
      <c r="AB1016">
        <v>9837</v>
      </c>
      <c r="AC1016">
        <v>0</v>
      </c>
      <c r="AD1016">
        <v>330850900000</v>
      </c>
      <c r="AE1016">
        <v>308457822.68000001</v>
      </c>
      <c r="AF1016">
        <v>329176617769.83002</v>
      </c>
      <c r="AG1016">
        <v>330374000756.15997</v>
      </c>
      <c r="AH1016">
        <v>4.8429E-2</v>
      </c>
      <c r="AI1016">
        <v>6.0920000000000002E-3</v>
      </c>
    </row>
    <row r="1017" spans="13:35" x14ac:dyDescent="0.35">
      <c r="M1017" t="s">
        <v>1</v>
      </c>
      <c r="N1017">
        <v>5500</v>
      </c>
      <c r="O1017">
        <v>6</v>
      </c>
      <c r="P1017">
        <v>4645</v>
      </c>
      <c r="Q1017">
        <v>0</v>
      </c>
      <c r="R1017">
        <v>207979013756</v>
      </c>
      <c r="S1017">
        <v>237799229.34999999</v>
      </c>
      <c r="T1017">
        <v>207170758671.75</v>
      </c>
      <c r="U1017">
        <v>207641384866.07001</v>
      </c>
      <c r="V1017">
        <v>3.2421999999999999E-2</v>
      </c>
      <c r="W1017">
        <v>5.7450000000000001E-3</v>
      </c>
      <c r="Y1017" t="s">
        <v>2</v>
      </c>
      <c r="Z1017">
        <v>6500</v>
      </c>
      <c r="AA1017">
        <v>5</v>
      </c>
      <c r="AB1017">
        <v>1708</v>
      </c>
      <c r="AC1017">
        <v>0</v>
      </c>
      <c r="AD1017">
        <v>31315500000</v>
      </c>
      <c r="AE1017">
        <v>29195487.120000001</v>
      </c>
      <c r="AF1017">
        <v>31250038135.52</v>
      </c>
      <c r="AG1017">
        <v>31286304512.880001</v>
      </c>
      <c r="AH1017">
        <v>1.3809E-2</v>
      </c>
      <c r="AI1017">
        <v>0</v>
      </c>
    </row>
    <row r="1018" spans="13:35" x14ac:dyDescent="0.35">
      <c r="M1018" t="s">
        <v>1</v>
      </c>
      <c r="N1018">
        <v>5750</v>
      </c>
      <c r="O1018">
        <v>6</v>
      </c>
      <c r="P1018">
        <v>11009</v>
      </c>
      <c r="Q1018">
        <v>0</v>
      </c>
      <c r="R1018">
        <v>471304255822</v>
      </c>
      <c r="S1018">
        <v>516903549.14999998</v>
      </c>
      <c r="T1018">
        <v>469558404079.78998</v>
      </c>
      <c r="U1018">
        <v>470692665411.71997</v>
      </c>
      <c r="V1018">
        <v>3.0845999999999998E-2</v>
      </c>
      <c r="W1018">
        <v>2.408E-3</v>
      </c>
      <c r="Y1018" t="s">
        <v>0</v>
      </c>
      <c r="Z1018">
        <v>5500</v>
      </c>
      <c r="AA1018">
        <v>5</v>
      </c>
      <c r="AB1018">
        <v>33592</v>
      </c>
      <c r="AC1018">
        <v>0</v>
      </c>
      <c r="AD1018">
        <v>1181183300000</v>
      </c>
      <c r="AE1018">
        <v>1319460841.3099999</v>
      </c>
      <c r="AF1018">
        <v>1178389898677.55</v>
      </c>
      <c r="AG1018">
        <v>1179863839158.6699</v>
      </c>
      <c r="AH1018">
        <v>1.4872E-2</v>
      </c>
      <c r="AI1018">
        <v>0</v>
      </c>
    </row>
    <row r="1019" spans="13:35" x14ac:dyDescent="0.35">
      <c r="M1019" t="s">
        <v>0</v>
      </c>
      <c r="N1019">
        <v>5750</v>
      </c>
      <c r="O1019">
        <v>6</v>
      </c>
      <c r="P1019">
        <v>7642</v>
      </c>
      <c r="Q1019">
        <v>0</v>
      </c>
      <c r="R1019">
        <v>271461262669</v>
      </c>
      <c r="S1019">
        <v>296970055.88</v>
      </c>
      <c r="T1019">
        <v>270242326854.75</v>
      </c>
      <c r="U1019">
        <v>271097265168.07999</v>
      </c>
      <c r="V1019">
        <v>4.0002999999999997E-2</v>
      </c>
      <c r="W1019">
        <v>2.9589999999999998E-3</v>
      </c>
      <c r="Y1019" t="s">
        <v>1</v>
      </c>
      <c r="Z1019">
        <v>5500</v>
      </c>
      <c r="AA1019">
        <v>5</v>
      </c>
      <c r="AB1019">
        <v>58995</v>
      </c>
      <c r="AC1019">
        <v>0</v>
      </c>
      <c r="AD1019">
        <v>2599670200000</v>
      </c>
      <c r="AE1019">
        <v>2907175558.4200001</v>
      </c>
      <c r="AF1019">
        <v>2594118998842.5898</v>
      </c>
      <c r="AG1019">
        <v>2596642658978.1899</v>
      </c>
      <c r="AH1019">
        <v>1.2137E-2</v>
      </c>
      <c r="AI1019">
        <v>5.5500000000000005E-4</v>
      </c>
    </row>
    <row r="1020" spans="13:35" x14ac:dyDescent="0.35">
      <c r="M1020" t="s">
        <v>2</v>
      </c>
      <c r="N1020">
        <v>5750</v>
      </c>
      <c r="O1020">
        <v>6</v>
      </c>
      <c r="P1020">
        <v>321</v>
      </c>
      <c r="Q1020">
        <v>0</v>
      </c>
      <c r="R1020">
        <v>7357580594</v>
      </c>
      <c r="S1020">
        <v>8017572.1600000001</v>
      </c>
      <c r="T1020">
        <v>7322851273.4099998</v>
      </c>
      <c r="U1020">
        <v>7349563021.8400002</v>
      </c>
      <c r="V1020">
        <v>4.2707000000000002E-2</v>
      </c>
      <c r="W1020">
        <v>0</v>
      </c>
      <c r="Y1020" t="s">
        <v>2</v>
      </c>
      <c r="Z1020">
        <v>5500</v>
      </c>
      <c r="AA1020">
        <v>5</v>
      </c>
      <c r="AB1020">
        <v>1239</v>
      </c>
      <c r="AC1020">
        <v>0</v>
      </c>
      <c r="AD1020">
        <v>30009200000</v>
      </c>
      <c r="AE1020">
        <v>33350640.649999999</v>
      </c>
      <c r="AF1020">
        <v>29975849359.349998</v>
      </c>
      <c r="AG1020">
        <v>29975849359.349998</v>
      </c>
      <c r="AH1020">
        <v>0</v>
      </c>
      <c r="AI1020">
        <v>0</v>
      </c>
    </row>
    <row r="1021" spans="13:35" x14ac:dyDescent="0.35">
      <c r="M1021" t="s">
        <v>0</v>
      </c>
      <c r="N1021">
        <v>6250</v>
      </c>
      <c r="O1021">
        <v>6</v>
      </c>
      <c r="P1021">
        <v>15056</v>
      </c>
      <c r="Q1021">
        <v>0</v>
      </c>
      <c r="R1021">
        <v>486251047410</v>
      </c>
      <c r="S1021">
        <v>486170146.43000001</v>
      </c>
      <c r="T1021">
        <v>481113945233.91998</v>
      </c>
      <c r="U1021">
        <v>485363788359.78003</v>
      </c>
      <c r="V1021">
        <v>0.108929</v>
      </c>
      <c r="W1021">
        <v>9.8539999999999999E-3</v>
      </c>
      <c r="Y1021" t="s">
        <v>1</v>
      </c>
      <c r="Z1021">
        <v>7000</v>
      </c>
      <c r="AA1021">
        <v>9</v>
      </c>
      <c r="AB1021">
        <v>1136</v>
      </c>
      <c r="AC1021">
        <v>0</v>
      </c>
      <c r="AD1021">
        <v>33305848209</v>
      </c>
      <c r="AE1021">
        <v>29329662.739999998</v>
      </c>
      <c r="AF1021">
        <v>30387491523.669998</v>
      </c>
      <c r="AG1021">
        <v>33090340440.220001</v>
      </c>
      <c r="AH1021">
        <v>0.66339599999999999</v>
      </c>
      <c r="AI1021">
        <v>6.5055000000000002E-2</v>
      </c>
    </row>
    <row r="1022" spans="13:35" x14ac:dyDescent="0.35">
      <c r="M1022" t="s">
        <v>2</v>
      </c>
      <c r="N1022">
        <v>6250</v>
      </c>
      <c r="O1022">
        <v>7</v>
      </c>
      <c r="P1022">
        <v>866</v>
      </c>
      <c r="Q1022">
        <v>0</v>
      </c>
      <c r="R1022">
        <v>19079317257</v>
      </c>
      <c r="S1022">
        <v>19061975.5</v>
      </c>
      <c r="T1022">
        <v>19044985503.669998</v>
      </c>
      <c r="U1022">
        <v>19060255281.5</v>
      </c>
      <c r="V1022">
        <v>9.5619999999999993E-3</v>
      </c>
      <c r="W1022">
        <v>0</v>
      </c>
      <c r="Y1022" t="s">
        <v>1</v>
      </c>
      <c r="Z1022">
        <v>7000</v>
      </c>
      <c r="AA1022">
        <v>8</v>
      </c>
      <c r="AB1022">
        <v>1514</v>
      </c>
      <c r="AC1022">
        <v>0</v>
      </c>
      <c r="AD1022">
        <v>45003480963</v>
      </c>
      <c r="AE1022">
        <v>39351975.43</v>
      </c>
      <c r="AF1022">
        <v>38791722678.849998</v>
      </c>
      <c r="AG1022">
        <v>44799060355.379997</v>
      </c>
      <c r="AH1022">
        <v>0.82970600000000005</v>
      </c>
      <c r="AI1022">
        <v>4.3138000000000003E-2</v>
      </c>
    </row>
    <row r="1023" spans="13:35" x14ac:dyDescent="0.35">
      <c r="M1023" t="s">
        <v>0</v>
      </c>
      <c r="N1023">
        <v>6500</v>
      </c>
      <c r="O1023">
        <v>6</v>
      </c>
      <c r="P1023">
        <v>9984</v>
      </c>
      <c r="Q1023">
        <v>0</v>
      </c>
      <c r="R1023">
        <v>284234644857</v>
      </c>
      <c r="S1023">
        <v>269776241.30000001</v>
      </c>
      <c r="T1023">
        <v>279432618968.45001</v>
      </c>
      <c r="U1023">
        <v>283581667014.14001</v>
      </c>
      <c r="V1023">
        <v>0.175425</v>
      </c>
      <c r="W1023">
        <v>1.6059E-2</v>
      </c>
      <c r="Y1023" t="s">
        <v>1</v>
      </c>
      <c r="Z1023">
        <v>7250</v>
      </c>
      <c r="AA1023">
        <v>8</v>
      </c>
      <c r="AB1023">
        <v>1158</v>
      </c>
      <c r="AC1023">
        <v>0</v>
      </c>
      <c r="AD1023">
        <v>33709768288</v>
      </c>
      <c r="AE1023">
        <v>28247036.649999999</v>
      </c>
      <c r="AF1023">
        <v>27935137219.57</v>
      </c>
      <c r="AG1023">
        <v>33427801807.599998</v>
      </c>
      <c r="AH1023">
        <v>0.89382899999999998</v>
      </c>
      <c r="AI1023">
        <v>8.6671999999999999E-2</v>
      </c>
    </row>
    <row r="1024" spans="13:35" x14ac:dyDescent="0.35">
      <c r="M1024" t="s">
        <v>0</v>
      </c>
      <c r="N1024">
        <v>7000</v>
      </c>
      <c r="O1024">
        <v>6</v>
      </c>
      <c r="P1024">
        <v>3279</v>
      </c>
      <c r="Q1024">
        <v>0</v>
      </c>
      <c r="R1024">
        <v>88058679306</v>
      </c>
      <c r="S1024">
        <v>76185180.150000006</v>
      </c>
      <c r="T1024">
        <v>84513894830.5</v>
      </c>
      <c r="U1024">
        <v>87603248364.080002</v>
      </c>
      <c r="V1024">
        <v>0.38259900000000002</v>
      </c>
      <c r="W1024">
        <v>5.0473999999999998E-2</v>
      </c>
      <c r="Y1024" t="s">
        <v>0</v>
      </c>
      <c r="Z1024">
        <v>6750</v>
      </c>
      <c r="AA1024">
        <v>6</v>
      </c>
      <c r="AB1024">
        <v>13369</v>
      </c>
      <c r="AC1024">
        <v>0</v>
      </c>
      <c r="AD1024">
        <v>385071478139</v>
      </c>
      <c r="AE1024">
        <v>350277763.75999999</v>
      </c>
      <c r="AF1024">
        <v>373479187572.52002</v>
      </c>
      <c r="AG1024">
        <v>383803298108.34003</v>
      </c>
      <c r="AH1024">
        <v>0.29921300000000001</v>
      </c>
      <c r="AI1024">
        <v>2.8233000000000001E-2</v>
      </c>
    </row>
    <row r="1025" spans="13:35" x14ac:dyDescent="0.35">
      <c r="M1025" t="s">
        <v>1</v>
      </c>
      <c r="N1025">
        <v>7000</v>
      </c>
      <c r="O1025">
        <v>6</v>
      </c>
      <c r="P1025">
        <v>882</v>
      </c>
      <c r="Q1025">
        <v>0</v>
      </c>
      <c r="R1025">
        <v>27148891299</v>
      </c>
      <c r="S1025">
        <v>23405250.760000002</v>
      </c>
      <c r="T1025">
        <v>27035563542.119999</v>
      </c>
      <c r="U1025">
        <v>27101406606.970001</v>
      </c>
      <c r="V1025">
        <v>3.9030000000000002E-2</v>
      </c>
      <c r="W1025">
        <v>1.0592000000000001E-2</v>
      </c>
      <c r="Y1025" t="s">
        <v>1</v>
      </c>
      <c r="Z1025">
        <v>6000</v>
      </c>
      <c r="AA1025">
        <v>6</v>
      </c>
      <c r="AB1025">
        <v>6880</v>
      </c>
      <c r="AC1025">
        <v>0</v>
      </c>
      <c r="AD1025">
        <v>290194595945</v>
      </c>
      <c r="AE1025">
        <v>302273545</v>
      </c>
      <c r="AF1025">
        <v>289212398617.12</v>
      </c>
      <c r="AG1025">
        <v>289757311579.44</v>
      </c>
      <c r="AH1025">
        <v>2.7755999999999999E-2</v>
      </c>
      <c r="AI1025">
        <v>5.5690000000000002E-3</v>
      </c>
    </row>
    <row r="1026" spans="13:35" x14ac:dyDescent="0.35">
      <c r="M1026" t="s">
        <v>0</v>
      </c>
      <c r="N1026">
        <v>7250</v>
      </c>
      <c r="O1026">
        <v>6</v>
      </c>
      <c r="P1026">
        <v>2850</v>
      </c>
      <c r="Q1026">
        <v>0</v>
      </c>
      <c r="R1026">
        <v>74393769895</v>
      </c>
      <c r="S1026">
        <v>61269586.210000001</v>
      </c>
      <c r="T1026">
        <v>69907307088.699997</v>
      </c>
      <c r="U1026">
        <v>74061532703.410004</v>
      </c>
      <c r="V1026">
        <v>0.52093100000000003</v>
      </c>
      <c r="W1026">
        <v>4.2842999999999999E-2</v>
      </c>
      <c r="Y1026" t="s">
        <v>2</v>
      </c>
      <c r="Z1026">
        <v>6750</v>
      </c>
      <c r="AA1026">
        <v>5</v>
      </c>
      <c r="AB1026">
        <v>1587</v>
      </c>
      <c r="AC1026">
        <v>0</v>
      </c>
      <c r="AD1026">
        <v>26431700000</v>
      </c>
      <c r="AE1026">
        <v>23614404.370000001</v>
      </c>
      <c r="AF1026">
        <v>26382908434.040001</v>
      </c>
      <c r="AG1026">
        <v>26389702357.380001</v>
      </c>
      <c r="AH1026">
        <v>1.1370999999999999E-2</v>
      </c>
      <c r="AI1026">
        <v>8.3140000000000002E-3</v>
      </c>
    </row>
    <row r="1027" spans="13:35" x14ac:dyDescent="0.35">
      <c r="M1027" t="s">
        <v>2</v>
      </c>
      <c r="N1027">
        <v>6250</v>
      </c>
      <c r="O1027">
        <v>6</v>
      </c>
      <c r="P1027">
        <v>960</v>
      </c>
      <c r="Q1027">
        <v>0</v>
      </c>
      <c r="R1027">
        <v>20294128006</v>
      </c>
      <c r="S1027">
        <v>20153574.309999999</v>
      </c>
      <c r="T1027">
        <v>20273974431.689999</v>
      </c>
      <c r="U1027">
        <v>20273974431.689999</v>
      </c>
      <c r="V1027">
        <v>0</v>
      </c>
      <c r="W1027">
        <v>0</v>
      </c>
      <c r="Y1027" t="s">
        <v>0</v>
      </c>
      <c r="Z1027">
        <v>6750</v>
      </c>
      <c r="AA1027">
        <v>5</v>
      </c>
      <c r="AB1027">
        <v>41754</v>
      </c>
      <c r="AC1027">
        <v>0</v>
      </c>
      <c r="AD1027">
        <v>1169121300000</v>
      </c>
      <c r="AE1027">
        <v>1043244327.3099999</v>
      </c>
      <c r="AF1027">
        <v>1164733768021.1001</v>
      </c>
      <c r="AG1027">
        <v>1167526451237.54</v>
      </c>
      <c r="AH1027">
        <v>3.3791000000000002E-2</v>
      </c>
      <c r="AI1027">
        <v>5.6470000000000001E-3</v>
      </c>
    </row>
    <row r="1028" spans="13:35" x14ac:dyDescent="0.35">
      <c r="M1028" t="s">
        <v>0</v>
      </c>
      <c r="N1028">
        <v>7500</v>
      </c>
      <c r="O1028">
        <v>6</v>
      </c>
      <c r="P1028">
        <v>443</v>
      </c>
      <c r="Q1028">
        <v>0</v>
      </c>
      <c r="R1028">
        <v>12953006045</v>
      </c>
      <c r="S1028">
        <v>10112034.619999999</v>
      </c>
      <c r="T1028">
        <v>12344911585.52</v>
      </c>
      <c r="U1028">
        <v>12897999591.9</v>
      </c>
      <c r="V1028">
        <v>0.43287799999999999</v>
      </c>
      <c r="W1028">
        <v>4.0807999999999997E-2</v>
      </c>
      <c r="Y1028" t="s">
        <v>2</v>
      </c>
      <c r="Z1028">
        <v>7500</v>
      </c>
      <c r="AA1028">
        <v>8</v>
      </c>
      <c r="AB1028">
        <v>47</v>
      </c>
      <c r="AC1028">
        <v>0</v>
      </c>
      <c r="AD1028">
        <v>718133854</v>
      </c>
      <c r="AE1028">
        <v>577227.71</v>
      </c>
      <c r="AF1028">
        <v>707423249.59000003</v>
      </c>
      <c r="AG1028">
        <v>717556626.28999996</v>
      </c>
      <c r="AH1028">
        <v>0.15678600000000001</v>
      </c>
      <c r="AI1028">
        <v>0</v>
      </c>
    </row>
    <row r="1029" spans="13:35" x14ac:dyDescent="0.35">
      <c r="M1029" t="s">
        <v>2</v>
      </c>
      <c r="N1029">
        <v>6500</v>
      </c>
      <c r="O1029">
        <v>6</v>
      </c>
      <c r="P1029">
        <v>621</v>
      </c>
      <c r="Q1029">
        <v>0</v>
      </c>
      <c r="R1029">
        <v>12028815656</v>
      </c>
      <c r="S1029">
        <v>11428808.199999999</v>
      </c>
      <c r="T1029">
        <v>11974813575.91</v>
      </c>
      <c r="U1029">
        <v>12017386847.799999</v>
      </c>
      <c r="V1029">
        <v>4.1653999999999997E-2</v>
      </c>
      <c r="W1029">
        <v>0</v>
      </c>
      <c r="Y1029" t="s">
        <v>2</v>
      </c>
      <c r="Z1029">
        <v>6750</v>
      </c>
      <c r="AA1029">
        <v>7</v>
      </c>
      <c r="AB1029">
        <v>747</v>
      </c>
      <c r="AC1029">
        <v>0</v>
      </c>
      <c r="AD1029">
        <v>13655368191</v>
      </c>
      <c r="AE1029">
        <v>12474956.74</v>
      </c>
      <c r="AF1029">
        <v>13524859300.290001</v>
      </c>
      <c r="AG1029">
        <v>13617761457.120001</v>
      </c>
      <c r="AH1029">
        <v>9.8932999999999993E-2</v>
      </c>
      <c r="AI1029">
        <v>2.1863E-2</v>
      </c>
    </row>
    <row r="1030" spans="13:35" x14ac:dyDescent="0.35">
      <c r="M1030" t="s">
        <v>0</v>
      </c>
      <c r="N1030">
        <v>6750</v>
      </c>
      <c r="O1030">
        <v>5</v>
      </c>
      <c r="P1030">
        <v>37314</v>
      </c>
      <c r="Q1030">
        <v>0</v>
      </c>
      <c r="R1030">
        <v>1043139000000</v>
      </c>
      <c r="S1030">
        <v>929195544.12</v>
      </c>
      <c r="T1030">
        <v>1039231885223.17</v>
      </c>
      <c r="U1030">
        <v>1041497443920.8199</v>
      </c>
      <c r="V1030">
        <v>3.3723999999999997E-2</v>
      </c>
      <c r="W1030">
        <v>8.1639999999999994E-3</v>
      </c>
      <c r="Y1030" t="s">
        <v>2</v>
      </c>
      <c r="Z1030">
        <v>6250</v>
      </c>
      <c r="AA1030">
        <v>10</v>
      </c>
      <c r="AB1030">
        <v>830</v>
      </c>
      <c r="AC1030">
        <v>0</v>
      </c>
      <c r="AD1030">
        <v>17882547046</v>
      </c>
      <c r="AE1030">
        <v>18244667.77</v>
      </c>
      <c r="AF1030">
        <v>17816894150.630001</v>
      </c>
      <c r="AG1030">
        <v>17840258469.709999</v>
      </c>
      <c r="AH1030">
        <v>3.1352999999999999E-2</v>
      </c>
      <c r="AI1030">
        <v>1.6015999999999999E-2</v>
      </c>
    </row>
    <row r="1031" spans="13:35" x14ac:dyDescent="0.35">
      <c r="M1031" t="s">
        <v>0</v>
      </c>
      <c r="N1031">
        <v>7000</v>
      </c>
      <c r="O1031">
        <v>5</v>
      </c>
      <c r="P1031">
        <v>13241</v>
      </c>
      <c r="Q1031">
        <v>0</v>
      </c>
      <c r="R1031">
        <v>371704500000</v>
      </c>
      <c r="S1031">
        <v>314487250.32999998</v>
      </c>
      <c r="T1031">
        <v>370120196161.37</v>
      </c>
      <c r="U1031">
        <v>370997147669.03003</v>
      </c>
      <c r="V1031">
        <v>4.0232999999999998E-2</v>
      </c>
      <c r="W1031">
        <v>1.261E-2</v>
      </c>
      <c r="Y1031" t="s">
        <v>2</v>
      </c>
      <c r="Z1031">
        <v>7500</v>
      </c>
      <c r="AA1031">
        <v>7</v>
      </c>
      <c r="AB1031">
        <v>37</v>
      </c>
      <c r="AC1031">
        <v>0</v>
      </c>
      <c r="AD1031">
        <v>595909945</v>
      </c>
      <c r="AE1031">
        <v>472792.45</v>
      </c>
      <c r="AF1031">
        <v>569767981.23000002</v>
      </c>
      <c r="AG1031">
        <v>595437152.54999995</v>
      </c>
      <c r="AH1031">
        <v>0.41043499999999999</v>
      </c>
      <c r="AI1031">
        <v>0</v>
      </c>
    </row>
    <row r="1032" spans="13:35" x14ac:dyDescent="0.35">
      <c r="M1032" t="s">
        <v>1</v>
      </c>
      <c r="N1032">
        <v>5250</v>
      </c>
      <c r="O1032">
        <v>5</v>
      </c>
      <c r="P1032">
        <v>46957</v>
      </c>
      <c r="Q1032">
        <v>0</v>
      </c>
      <c r="R1032">
        <v>2090376700000</v>
      </c>
      <c r="S1032">
        <v>2445540976.4899998</v>
      </c>
      <c r="T1032">
        <v>2084530264736.99</v>
      </c>
      <c r="U1032">
        <v>2087268736925.72</v>
      </c>
      <c r="V1032">
        <v>1.9349000000000002E-2</v>
      </c>
      <c r="W1032">
        <v>3.7959999999999999E-3</v>
      </c>
      <c r="Y1032" t="s">
        <v>2</v>
      </c>
      <c r="Z1032">
        <v>6750</v>
      </c>
      <c r="AA1032">
        <v>6</v>
      </c>
      <c r="AB1032">
        <v>692</v>
      </c>
      <c r="AC1032">
        <v>0</v>
      </c>
      <c r="AD1032">
        <v>12976747171</v>
      </c>
      <c r="AE1032">
        <v>11793869.529999999</v>
      </c>
      <c r="AF1032">
        <v>12907446204.52</v>
      </c>
      <c r="AG1032">
        <v>12964953301.469999</v>
      </c>
      <c r="AH1032">
        <v>5.1901000000000003E-2</v>
      </c>
      <c r="AI1032">
        <v>0</v>
      </c>
    </row>
    <row r="1033" spans="13:35" x14ac:dyDescent="0.35">
      <c r="M1033" t="s">
        <v>0</v>
      </c>
      <c r="N1033">
        <v>5750</v>
      </c>
      <c r="O1033">
        <v>5</v>
      </c>
      <c r="P1033">
        <v>100231</v>
      </c>
      <c r="Q1033">
        <v>0</v>
      </c>
      <c r="R1033">
        <v>3514606100000</v>
      </c>
      <c r="S1033">
        <v>3776592769.3499999</v>
      </c>
      <c r="T1033">
        <v>3507341285963.3599</v>
      </c>
      <c r="U1033">
        <v>3510501956813.5098</v>
      </c>
      <c r="V1033">
        <v>1.1845E-2</v>
      </c>
      <c r="W1033">
        <v>1.1180000000000001E-3</v>
      </c>
      <c r="Y1033" t="s">
        <v>1</v>
      </c>
      <c r="Z1033">
        <v>6750</v>
      </c>
      <c r="AA1033">
        <v>6</v>
      </c>
      <c r="AB1033">
        <v>6267</v>
      </c>
      <c r="AC1033">
        <v>0</v>
      </c>
      <c r="AD1033">
        <v>221319936571</v>
      </c>
      <c r="AE1033">
        <v>201653925.61000001</v>
      </c>
      <c r="AF1033">
        <v>219444120841.04001</v>
      </c>
      <c r="AG1033">
        <v>220494921717.20001</v>
      </c>
      <c r="AH1033">
        <v>8.7090000000000001E-2</v>
      </c>
      <c r="AI1033">
        <v>3.3279999999999997E-2</v>
      </c>
    </row>
    <row r="1034" spans="13:35" x14ac:dyDescent="0.35">
      <c r="M1034" t="s">
        <v>1</v>
      </c>
      <c r="N1034">
        <v>5750</v>
      </c>
      <c r="O1034">
        <v>5</v>
      </c>
      <c r="P1034">
        <v>116016</v>
      </c>
      <c r="Q1034">
        <v>0</v>
      </c>
      <c r="R1034">
        <v>4738833400000</v>
      </c>
      <c r="S1034">
        <v>5092278939.2399998</v>
      </c>
      <c r="T1034">
        <v>4725371150468.9297</v>
      </c>
      <c r="U1034">
        <v>4732522627519.0098</v>
      </c>
      <c r="V1034">
        <v>2.0990000000000002E-2</v>
      </c>
      <c r="W1034">
        <v>3.081E-3</v>
      </c>
      <c r="Y1034" t="s">
        <v>0</v>
      </c>
      <c r="Z1034">
        <v>7500</v>
      </c>
      <c r="AA1034">
        <v>6</v>
      </c>
      <c r="AB1034">
        <v>694</v>
      </c>
      <c r="AC1034">
        <v>0</v>
      </c>
      <c r="AD1034">
        <v>19956403212</v>
      </c>
      <c r="AE1034">
        <v>15603393.17</v>
      </c>
      <c r="AF1034">
        <v>18777490628.5</v>
      </c>
      <c r="AG1034">
        <v>19854253472.169998</v>
      </c>
      <c r="AH1034">
        <v>0.513602</v>
      </c>
      <c r="AI1034">
        <v>5.0818000000000002E-2</v>
      </c>
    </row>
    <row r="1035" spans="13:35" x14ac:dyDescent="0.35">
      <c r="M1035" t="s">
        <v>1</v>
      </c>
      <c r="N1035">
        <v>6000</v>
      </c>
      <c r="O1035">
        <v>6</v>
      </c>
      <c r="P1035">
        <v>8968</v>
      </c>
      <c r="Q1035">
        <v>0</v>
      </c>
      <c r="R1035">
        <v>354205067205</v>
      </c>
      <c r="S1035">
        <v>368960871.63999999</v>
      </c>
      <c r="T1035">
        <v>352407002869.54999</v>
      </c>
      <c r="U1035">
        <v>353374232662.21002</v>
      </c>
      <c r="V1035">
        <v>4.7356000000000002E-2</v>
      </c>
      <c r="W1035">
        <v>1.5535999999999999E-2</v>
      </c>
      <c r="Y1035" t="s">
        <v>0</v>
      </c>
      <c r="Z1035">
        <v>6250</v>
      </c>
      <c r="AA1035">
        <v>6</v>
      </c>
      <c r="AB1035">
        <v>13430</v>
      </c>
      <c r="AC1035">
        <v>0</v>
      </c>
      <c r="AD1035">
        <v>443180709807</v>
      </c>
      <c r="AE1035">
        <v>442021925.81999999</v>
      </c>
      <c r="AF1035">
        <v>437910081851.59998</v>
      </c>
      <c r="AG1035">
        <v>442703752887.57001</v>
      </c>
      <c r="AH1035">
        <v>0.123187</v>
      </c>
      <c r="AI1035">
        <v>9.4600000000000001E-4</v>
      </c>
    </row>
    <row r="1036" spans="13:35" x14ac:dyDescent="0.35">
      <c r="M1036" t="s">
        <v>0</v>
      </c>
      <c r="N1036">
        <v>6250</v>
      </c>
      <c r="O1036">
        <v>5</v>
      </c>
      <c r="P1036">
        <v>84117</v>
      </c>
      <c r="Q1036">
        <v>0</v>
      </c>
      <c r="R1036">
        <v>2618429200000</v>
      </c>
      <c r="S1036">
        <v>2574260645.4400001</v>
      </c>
      <c r="T1036">
        <v>2611805338912.8901</v>
      </c>
      <c r="U1036">
        <v>2615388897265.9199</v>
      </c>
      <c r="V1036">
        <v>1.8402000000000002E-2</v>
      </c>
      <c r="W1036">
        <v>2.134E-3</v>
      </c>
      <c r="Y1036" t="s">
        <v>1</v>
      </c>
      <c r="Z1036">
        <v>6250</v>
      </c>
      <c r="AA1036">
        <v>6</v>
      </c>
      <c r="AB1036">
        <v>10723</v>
      </c>
      <c r="AC1036">
        <v>0</v>
      </c>
      <c r="AD1036">
        <v>428812133707</v>
      </c>
      <c r="AE1036">
        <v>427693483.49000001</v>
      </c>
      <c r="AF1036">
        <v>426497263176.56</v>
      </c>
      <c r="AG1036">
        <v>427839898020.76001</v>
      </c>
      <c r="AH1036">
        <v>5.1552000000000001E-2</v>
      </c>
      <c r="AI1036">
        <v>1.5133000000000001E-2</v>
      </c>
    </row>
    <row r="1037" spans="13:35" x14ac:dyDescent="0.35">
      <c r="M1037" t="s">
        <v>0</v>
      </c>
      <c r="N1037">
        <v>7250</v>
      </c>
      <c r="O1037">
        <v>5</v>
      </c>
      <c r="P1037">
        <v>9369</v>
      </c>
      <c r="Q1037">
        <v>0</v>
      </c>
      <c r="R1037">
        <v>248196300000</v>
      </c>
      <c r="S1037">
        <v>199791422.66</v>
      </c>
      <c r="T1037">
        <v>247239524469.12</v>
      </c>
      <c r="U1037">
        <v>247839737071.31</v>
      </c>
      <c r="V1037">
        <v>3.5992000000000003E-2</v>
      </c>
      <c r="W1037">
        <v>7.5529999999999998E-3</v>
      </c>
      <c r="Y1037" t="s">
        <v>1</v>
      </c>
      <c r="Z1037">
        <v>5750</v>
      </c>
      <c r="AA1037">
        <v>5</v>
      </c>
      <c r="AB1037">
        <v>111341</v>
      </c>
      <c r="AC1037">
        <v>0</v>
      </c>
      <c r="AD1037">
        <v>4570080900000</v>
      </c>
      <c r="AE1037">
        <v>4906011654.46</v>
      </c>
      <c r="AF1037">
        <v>4557492474367.4199</v>
      </c>
      <c r="AG1037">
        <v>4564585429088.0703</v>
      </c>
      <c r="AH1037">
        <v>1.9987000000000001E-2</v>
      </c>
      <c r="AI1037">
        <v>1.547E-3</v>
      </c>
    </row>
    <row r="1038" spans="13:35" x14ac:dyDescent="0.35">
      <c r="M1038" t="s">
        <v>2</v>
      </c>
      <c r="N1038">
        <v>5750</v>
      </c>
      <c r="O1038">
        <v>5</v>
      </c>
      <c r="P1038">
        <v>4100</v>
      </c>
      <c r="Q1038">
        <v>0</v>
      </c>
      <c r="R1038">
        <v>93167100000</v>
      </c>
      <c r="S1038">
        <v>99092637.530000001</v>
      </c>
      <c r="T1038">
        <v>93068007362.470001</v>
      </c>
      <c r="U1038">
        <v>93068007362.470001</v>
      </c>
      <c r="V1038">
        <v>0</v>
      </c>
      <c r="W1038">
        <v>0</v>
      </c>
      <c r="Y1038" t="s">
        <v>0</v>
      </c>
      <c r="Z1038">
        <v>5750</v>
      </c>
      <c r="AA1038">
        <v>5</v>
      </c>
      <c r="AB1038">
        <v>92749</v>
      </c>
      <c r="AC1038">
        <v>0</v>
      </c>
      <c r="AD1038">
        <v>3268684900000</v>
      </c>
      <c r="AE1038">
        <v>3506600270.1999998</v>
      </c>
      <c r="AF1038">
        <v>3261141468589.0098</v>
      </c>
      <c r="AG1038">
        <v>3264938357652.3198</v>
      </c>
      <c r="AH1038">
        <v>1.472E-2</v>
      </c>
      <c r="AI1038">
        <v>8.8099999999999995E-4</v>
      </c>
    </row>
    <row r="1039" spans="13:35" x14ac:dyDescent="0.35">
      <c r="M1039" t="s">
        <v>1</v>
      </c>
      <c r="N1039">
        <v>6250</v>
      </c>
      <c r="O1039">
        <v>5</v>
      </c>
      <c r="P1039">
        <v>41642</v>
      </c>
      <c r="Q1039">
        <v>0</v>
      </c>
      <c r="R1039">
        <v>1492871300000</v>
      </c>
      <c r="S1039">
        <v>1463041792.99</v>
      </c>
      <c r="T1039">
        <v>1487982135404.02</v>
      </c>
      <c r="U1039">
        <v>1490441008137.6101</v>
      </c>
      <c r="V1039">
        <v>2.7195E-2</v>
      </c>
      <c r="W1039">
        <v>7.7470000000000004E-3</v>
      </c>
      <c r="Y1039" t="s">
        <v>2</v>
      </c>
      <c r="Z1039">
        <v>5750</v>
      </c>
      <c r="AA1039">
        <v>5</v>
      </c>
      <c r="AB1039">
        <v>3528</v>
      </c>
      <c r="AC1039">
        <v>0</v>
      </c>
      <c r="AD1039">
        <v>80146300000</v>
      </c>
      <c r="AE1039">
        <v>85229539.340000004</v>
      </c>
      <c r="AF1039">
        <v>80061070460.660004</v>
      </c>
      <c r="AG1039">
        <v>80061070460.660004</v>
      </c>
      <c r="AH1039">
        <v>0</v>
      </c>
      <c r="AI1039">
        <v>0</v>
      </c>
    </row>
    <row r="1040" spans="13:35" x14ac:dyDescent="0.35">
      <c r="M1040" t="s">
        <v>1</v>
      </c>
      <c r="N1040">
        <v>6750</v>
      </c>
      <c r="O1040">
        <v>6</v>
      </c>
      <c r="P1040">
        <v>4077</v>
      </c>
      <c r="Q1040">
        <v>0</v>
      </c>
      <c r="R1040">
        <v>133781296057</v>
      </c>
      <c r="S1040">
        <v>122039397.3</v>
      </c>
      <c r="T1040">
        <v>132979202974.35001</v>
      </c>
      <c r="U1040">
        <v>133523251758.14</v>
      </c>
      <c r="V1040">
        <v>5.9323000000000001E-2</v>
      </c>
      <c r="W1040">
        <v>1.2130999999999999E-2</v>
      </c>
      <c r="Y1040" t="s">
        <v>0</v>
      </c>
      <c r="Z1040">
        <v>6250</v>
      </c>
      <c r="AA1040">
        <v>5</v>
      </c>
      <c r="AB1040">
        <v>86556</v>
      </c>
      <c r="AC1040">
        <v>0</v>
      </c>
      <c r="AD1040">
        <v>2709531000000</v>
      </c>
      <c r="AE1040">
        <v>2662669477.1100001</v>
      </c>
      <c r="AF1040">
        <v>2702514936721.54</v>
      </c>
      <c r="AG1040">
        <v>2706672521119.27</v>
      </c>
      <c r="AH1040">
        <v>1.9111E-2</v>
      </c>
      <c r="AI1040">
        <v>8.6700000000000004E-4</v>
      </c>
    </row>
    <row r="1041" spans="13:35" x14ac:dyDescent="0.35">
      <c r="M1041" t="s">
        <v>0</v>
      </c>
      <c r="N1041">
        <v>5000</v>
      </c>
      <c r="O1041">
        <v>5</v>
      </c>
      <c r="P1041">
        <v>17226</v>
      </c>
      <c r="Q1041">
        <v>0</v>
      </c>
      <c r="R1041">
        <v>610610100000</v>
      </c>
      <c r="S1041">
        <v>748289654.32000005</v>
      </c>
      <c r="T1041">
        <v>609424853969.80005</v>
      </c>
      <c r="U1041">
        <v>609743657126.25</v>
      </c>
      <c r="V1041">
        <v>8.5540000000000008E-3</v>
      </c>
      <c r="W1041">
        <v>2.32E-3</v>
      </c>
      <c r="Y1041" t="s">
        <v>2</v>
      </c>
      <c r="Z1041">
        <v>6250</v>
      </c>
      <c r="AA1041">
        <v>6</v>
      </c>
      <c r="AB1041">
        <v>866</v>
      </c>
      <c r="AC1041">
        <v>0</v>
      </c>
      <c r="AD1041">
        <v>19110796928</v>
      </c>
      <c r="AE1041">
        <v>18976349.920000002</v>
      </c>
      <c r="AF1041">
        <v>19091820578.080002</v>
      </c>
      <c r="AG1041">
        <v>19091820578.080002</v>
      </c>
      <c r="AH1041">
        <v>0</v>
      </c>
      <c r="AI1041">
        <v>0</v>
      </c>
    </row>
    <row r="1042" spans="13:35" x14ac:dyDescent="0.35">
      <c r="M1042" t="s">
        <v>1</v>
      </c>
      <c r="N1042">
        <v>5000</v>
      </c>
      <c r="O1042">
        <v>5</v>
      </c>
      <c r="P1042">
        <v>15445</v>
      </c>
      <c r="Q1042">
        <v>0</v>
      </c>
      <c r="R1042">
        <v>665914100000</v>
      </c>
      <c r="S1042">
        <v>813264082.19000006</v>
      </c>
      <c r="T1042">
        <v>664541120412.27002</v>
      </c>
      <c r="U1042">
        <v>664875110914.20996</v>
      </c>
      <c r="V1042">
        <v>1.004E-2</v>
      </c>
      <c r="W1042">
        <v>4.0600000000000002E-3</v>
      </c>
      <c r="Y1042" t="s">
        <v>0</v>
      </c>
      <c r="Z1042">
        <v>7000</v>
      </c>
      <c r="AA1042">
        <v>5</v>
      </c>
      <c r="AB1042">
        <v>14013</v>
      </c>
      <c r="AC1042">
        <v>0</v>
      </c>
      <c r="AD1042">
        <v>387211300000</v>
      </c>
      <c r="AE1042">
        <v>328145875.61000001</v>
      </c>
      <c r="AF1042">
        <v>385504540136.88</v>
      </c>
      <c r="AG1042">
        <v>386790333203.03003</v>
      </c>
      <c r="AH1042">
        <v>4.1897999999999998E-2</v>
      </c>
      <c r="AI1042">
        <v>2.8730000000000001E-3</v>
      </c>
    </row>
    <row r="1043" spans="13:35" x14ac:dyDescent="0.35">
      <c r="M1043" t="s">
        <v>2</v>
      </c>
      <c r="N1043">
        <v>5000</v>
      </c>
      <c r="O1043">
        <v>5</v>
      </c>
      <c r="P1043">
        <v>434</v>
      </c>
      <c r="Q1043">
        <v>0</v>
      </c>
      <c r="R1043">
        <v>12340800000</v>
      </c>
      <c r="S1043">
        <v>15047738.18</v>
      </c>
      <c r="T1043">
        <v>12325752261.82</v>
      </c>
      <c r="U1043">
        <v>12325752261.82</v>
      </c>
      <c r="V1043">
        <v>0</v>
      </c>
      <c r="W1043">
        <v>0</v>
      </c>
      <c r="Y1043" t="s">
        <v>1</v>
      </c>
      <c r="Z1043">
        <v>7000</v>
      </c>
      <c r="AA1043">
        <v>5</v>
      </c>
      <c r="AB1043">
        <v>4455</v>
      </c>
      <c r="AC1043">
        <v>0</v>
      </c>
      <c r="AD1043">
        <v>135350000000</v>
      </c>
      <c r="AE1043">
        <v>114457187.98</v>
      </c>
      <c r="AF1043">
        <v>134662830207.73</v>
      </c>
      <c r="AG1043">
        <v>135034114553.45</v>
      </c>
      <c r="AH1043">
        <v>4.9611000000000002E-2</v>
      </c>
      <c r="AI1043">
        <v>1.7713E-2</v>
      </c>
    </row>
    <row r="1044" spans="13:35" x14ac:dyDescent="0.35">
      <c r="M1044" t="s">
        <v>2</v>
      </c>
      <c r="N1044">
        <v>6250</v>
      </c>
      <c r="O1044">
        <v>5</v>
      </c>
      <c r="P1044">
        <v>3290</v>
      </c>
      <c r="Q1044">
        <v>0</v>
      </c>
      <c r="R1044">
        <v>63881800000</v>
      </c>
      <c r="S1044">
        <v>62146316.140000001</v>
      </c>
      <c r="T1044">
        <v>63773998037.43</v>
      </c>
      <c r="U1044">
        <v>63819653683.860001</v>
      </c>
      <c r="V1044">
        <v>8.5430000000000002E-3</v>
      </c>
      <c r="W1044">
        <v>0</v>
      </c>
      <c r="Y1044" t="s">
        <v>0</v>
      </c>
      <c r="Z1044">
        <v>7250</v>
      </c>
      <c r="AA1044">
        <v>5</v>
      </c>
      <c r="AB1044">
        <v>11004</v>
      </c>
      <c r="AC1044">
        <v>0</v>
      </c>
      <c r="AD1044">
        <v>289643200000</v>
      </c>
      <c r="AE1044">
        <v>233574029.53</v>
      </c>
      <c r="AF1044">
        <v>288625561968.10999</v>
      </c>
      <c r="AG1044">
        <v>289224777103.25</v>
      </c>
      <c r="AH1044">
        <v>3.2004999999999999E-2</v>
      </c>
      <c r="AI1044">
        <v>7.6319999999999999E-3</v>
      </c>
    </row>
    <row r="1045" spans="13:35" x14ac:dyDescent="0.35">
      <c r="M1045" t="s">
        <v>1</v>
      </c>
      <c r="N1045">
        <v>6750</v>
      </c>
      <c r="O1045">
        <v>5</v>
      </c>
      <c r="P1045">
        <v>15233</v>
      </c>
      <c r="Q1045">
        <v>0</v>
      </c>
      <c r="R1045">
        <v>486152900000</v>
      </c>
      <c r="S1045">
        <v>433901876.22000003</v>
      </c>
      <c r="T1045">
        <v>484588409648.37</v>
      </c>
      <c r="U1045">
        <v>485408277169.78998</v>
      </c>
      <c r="V1045">
        <v>2.7553000000000001E-2</v>
      </c>
      <c r="W1045">
        <v>7.6429999999999996E-3</v>
      </c>
      <c r="Y1045" t="s">
        <v>2</v>
      </c>
      <c r="Z1045">
        <v>6250</v>
      </c>
      <c r="AA1045">
        <v>5</v>
      </c>
      <c r="AB1045">
        <v>3738</v>
      </c>
      <c r="AC1045">
        <v>0</v>
      </c>
      <c r="AD1045">
        <v>74458600000</v>
      </c>
      <c r="AE1045">
        <v>72537345.989999995</v>
      </c>
      <c r="AF1045">
        <v>74353294847.75</v>
      </c>
      <c r="AG1045">
        <v>74373474974.919998</v>
      </c>
      <c r="AH1045">
        <v>5.2680000000000001E-3</v>
      </c>
      <c r="AI1045">
        <v>2.0270000000000002E-3</v>
      </c>
    </row>
    <row r="1046" spans="13:35" x14ac:dyDescent="0.35">
      <c r="M1046" t="s">
        <v>0</v>
      </c>
      <c r="N1046">
        <v>5250</v>
      </c>
      <c r="O1046">
        <v>5</v>
      </c>
      <c r="P1046">
        <v>19079</v>
      </c>
      <c r="Q1046">
        <v>0</v>
      </c>
      <c r="R1046">
        <v>676536900000</v>
      </c>
      <c r="S1046">
        <v>793180242.50999999</v>
      </c>
      <c r="T1046">
        <v>675090386009.81995</v>
      </c>
      <c r="U1046">
        <v>675743719757.48999</v>
      </c>
      <c r="V1046">
        <v>1.1527000000000001E-2</v>
      </c>
      <c r="W1046">
        <v>0</v>
      </c>
      <c r="Y1046" t="s">
        <v>0</v>
      </c>
      <c r="Z1046">
        <v>7500</v>
      </c>
      <c r="AA1046">
        <v>5</v>
      </c>
      <c r="AB1046">
        <v>1084</v>
      </c>
      <c r="AC1046">
        <v>0</v>
      </c>
      <c r="AD1046">
        <v>34437600000</v>
      </c>
      <c r="AE1046">
        <v>26391297.600000001</v>
      </c>
      <c r="AF1046">
        <v>34248534209.990002</v>
      </c>
      <c r="AG1046">
        <v>34411208702.400002</v>
      </c>
      <c r="AH1046">
        <v>5.5234999999999999E-2</v>
      </c>
      <c r="AI1046">
        <v>0</v>
      </c>
    </row>
    <row r="1047" spans="13:35" x14ac:dyDescent="0.35">
      <c r="M1047" t="s">
        <v>2</v>
      </c>
      <c r="N1047">
        <v>5250</v>
      </c>
      <c r="O1047">
        <v>5</v>
      </c>
      <c r="P1047">
        <v>577</v>
      </c>
      <c r="Q1047">
        <v>0</v>
      </c>
      <c r="R1047">
        <v>14297600000</v>
      </c>
      <c r="S1047">
        <v>16632689.35</v>
      </c>
      <c r="T1047">
        <v>14280967310.65</v>
      </c>
      <c r="U1047">
        <v>14280967310.65</v>
      </c>
      <c r="V1047">
        <v>0</v>
      </c>
      <c r="W1047">
        <v>0</v>
      </c>
      <c r="Y1047" t="s">
        <v>1</v>
      </c>
      <c r="Z1047">
        <v>5250</v>
      </c>
      <c r="AA1047">
        <v>5</v>
      </c>
      <c r="AB1047">
        <v>42987</v>
      </c>
      <c r="AC1047">
        <v>0</v>
      </c>
      <c r="AD1047">
        <v>1927876400000</v>
      </c>
      <c r="AE1047">
        <v>2250464589.9200001</v>
      </c>
      <c r="AF1047">
        <v>1923507421130.1899</v>
      </c>
      <c r="AG1047">
        <v>1925493691265.1399</v>
      </c>
      <c r="AH1047">
        <v>1.3107000000000001E-2</v>
      </c>
      <c r="AI1047">
        <v>8.2299999999999995E-4</v>
      </c>
    </row>
    <row r="1048" spans="13:35" x14ac:dyDescent="0.35">
      <c r="M1048" t="s">
        <v>1</v>
      </c>
      <c r="N1048">
        <v>8250</v>
      </c>
      <c r="O1048">
        <v>360</v>
      </c>
      <c r="P1048">
        <v>29</v>
      </c>
      <c r="Q1048">
        <v>0</v>
      </c>
      <c r="R1048">
        <v>17425633</v>
      </c>
      <c r="S1048">
        <v>1083179.3</v>
      </c>
      <c r="T1048">
        <v>16342453.699999999</v>
      </c>
      <c r="U1048">
        <v>16342453.699999999</v>
      </c>
      <c r="V1048">
        <v>0</v>
      </c>
      <c r="W1048">
        <v>0</v>
      </c>
      <c r="Y1048" t="s">
        <v>1</v>
      </c>
      <c r="Z1048">
        <v>6250</v>
      </c>
      <c r="AA1048">
        <v>5</v>
      </c>
      <c r="AB1048">
        <v>45477</v>
      </c>
      <c r="AC1048">
        <v>0</v>
      </c>
      <c r="AD1048">
        <v>1648287200000</v>
      </c>
      <c r="AE1048">
        <v>1617212480.95</v>
      </c>
      <c r="AF1048">
        <v>1642891808786.97</v>
      </c>
      <c r="AG1048">
        <v>1646263688766.46</v>
      </c>
      <c r="AH1048">
        <v>2.7161999999999999E-2</v>
      </c>
      <c r="AI1048">
        <v>2.954E-3</v>
      </c>
    </row>
    <row r="1049" spans="13:35" x14ac:dyDescent="0.35">
      <c r="M1049" t="s">
        <v>2</v>
      </c>
      <c r="N1049">
        <v>20000</v>
      </c>
      <c r="O1049">
        <v>360</v>
      </c>
      <c r="P1049">
        <v>1</v>
      </c>
      <c r="Q1049">
        <v>0</v>
      </c>
      <c r="R1049">
        <v>341212</v>
      </c>
      <c r="S1049">
        <v>23174.57</v>
      </c>
      <c r="T1049">
        <v>318037.43</v>
      </c>
      <c r="U1049">
        <v>318037.43</v>
      </c>
      <c r="V1049">
        <v>0</v>
      </c>
      <c r="W1049">
        <v>0</v>
      </c>
      <c r="Y1049" t="s">
        <v>1</v>
      </c>
      <c r="Z1049">
        <v>6750</v>
      </c>
      <c r="AA1049">
        <v>5</v>
      </c>
      <c r="AB1049">
        <v>16547</v>
      </c>
      <c r="AC1049">
        <v>0</v>
      </c>
      <c r="AD1049">
        <v>531467200000</v>
      </c>
      <c r="AE1049">
        <v>475675960.5</v>
      </c>
      <c r="AF1049">
        <v>529518444308.23999</v>
      </c>
      <c r="AG1049">
        <v>530698285867.59003</v>
      </c>
      <c r="AH1049">
        <v>3.2758000000000002E-2</v>
      </c>
      <c r="AI1049">
        <v>6.6010000000000001E-3</v>
      </c>
    </row>
    <row r="1050" spans="13:35" x14ac:dyDescent="0.35">
      <c r="M1050" t="s">
        <v>1</v>
      </c>
      <c r="N1050">
        <v>20000</v>
      </c>
      <c r="O1050">
        <v>320</v>
      </c>
      <c r="P1050">
        <v>3</v>
      </c>
      <c r="Q1050">
        <v>0</v>
      </c>
      <c r="R1050">
        <v>4619461</v>
      </c>
      <c r="S1050">
        <v>71606.600000000006</v>
      </c>
      <c r="T1050">
        <v>4547854.4000000004</v>
      </c>
      <c r="U1050">
        <v>4547854.4000000004</v>
      </c>
      <c r="V1050">
        <v>0</v>
      </c>
      <c r="W1050">
        <v>0</v>
      </c>
      <c r="Y1050" t="s">
        <v>0</v>
      </c>
      <c r="Z1050">
        <v>5000</v>
      </c>
      <c r="AA1050">
        <v>5</v>
      </c>
      <c r="AB1050">
        <v>16637</v>
      </c>
      <c r="AC1050">
        <v>0</v>
      </c>
      <c r="AD1050">
        <v>591919900000</v>
      </c>
      <c r="AE1050">
        <v>725547088.23000002</v>
      </c>
      <c r="AF1050">
        <v>590995301373.12</v>
      </c>
      <c r="AG1050">
        <v>591194352911.77002</v>
      </c>
      <c r="AH1050">
        <v>4.0280000000000003E-3</v>
      </c>
      <c r="AI1050">
        <v>0</v>
      </c>
    </row>
    <row r="1051" spans="13:35" x14ac:dyDescent="0.35">
      <c r="M1051" t="s">
        <v>3</v>
      </c>
      <c r="N1051">
        <v>9000</v>
      </c>
      <c r="O1051">
        <v>320</v>
      </c>
      <c r="P1051">
        <v>1</v>
      </c>
      <c r="Q1051">
        <v>0</v>
      </c>
      <c r="R1051">
        <v>514239</v>
      </c>
      <c r="S1051">
        <v>8746.01</v>
      </c>
      <c r="T1051">
        <v>505492.99</v>
      </c>
      <c r="U1051">
        <v>505492.99</v>
      </c>
      <c r="V1051">
        <v>0</v>
      </c>
      <c r="W1051">
        <v>0</v>
      </c>
      <c r="Y1051" t="s">
        <v>1</v>
      </c>
      <c r="Z1051">
        <v>5000</v>
      </c>
      <c r="AA1051">
        <v>5</v>
      </c>
      <c r="AB1051">
        <v>14028</v>
      </c>
      <c r="AC1051">
        <v>0</v>
      </c>
      <c r="AD1051">
        <v>600384800000</v>
      </c>
      <c r="AE1051">
        <v>732840280.32000005</v>
      </c>
      <c r="AF1051">
        <v>599269833236.78003</v>
      </c>
      <c r="AG1051">
        <v>599519226843.59998</v>
      </c>
      <c r="AH1051">
        <v>7.6109999999999997E-3</v>
      </c>
      <c r="AI1051">
        <v>2.65E-3</v>
      </c>
    </row>
    <row r="1052" spans="13:35" x14ac:dyDescent="0.35">
      <c r="M1052" t="s">
        <v>3</v>
      </c>
      <c r="N1052">
        <v>7250</v>
      </c>
      <c r="O1052">
        <v>320</v>
      </c>
      <c r="P1052">
        <v>1</v>
      </c>
      <c r="Q1052">
        <v>0</v>
      </c>
      <c r="R1052">
        <v>3849304</v>
      </c>
      <c r="S1052">
        <v>43002.86</v>
      </c>
      <c r="T1052">
        <v>3806301.14</v>
      </c>
      <c r="U1052">
        <v>3806301.14</v>
      </c>
      <c r="V1052">
        <v>0</v>
      </c>
      <c r="W1052">
        <v>0</v>
      </c>
      <c r="Y1052" t="s">
        <v>2</v>
      </c>
      <c r="Z1052">
        <v>5000</v>
      </c>
      <c r="AA1052">
        <v>5</v>
      </c>
      <c r="AB1052">
        <v>396</v>
      </c>
      <c r="AC1052">
        <v>0</v>
      </c>
      <c r="AD1052">
        <v>11278700000</v>
      </c>
      <c r="AE1052">
        <v>13771123.59</v>
      </c>
      <c r="AF1052">
        <v>11264928876.41</v>
      </c>
      <c r="AG1052">
        <v>11264928876.41</v>
      </c>
      <c r="AH1052">
        <v>0</v>
      </c>
      <c r="AI1052">
        <v>0</v>
      </c>
    </row>
    <row r="1053" spans="13:35" x14ac:dyDescent="0.35">
      <c r="M1053" t="s">
        <v>3</v>
      </c>
      <c r="N1053">
        <v>6250</v>
      </c>
      <c r="O1053">
        <v>320</v>
      </c>
      <c r="P1053">
        <v>36</v>
      </c>
      <c r="Q1053">
        <v>0</v>
      </c>
      <c r="R1053">
        <v>170077980</v>
      </c>
      <c r="S1053">
        <v>1173767.22</v>
      </c>
      <c r="T1053">
        <v>168904212.78</v>
      </c>
      <c r="U1053">
        <v>168904212.78</v>
      </c>
      <c r="V1053">
        <v>0</v>
      </c>
      <c r="W1053">
        <v>0</v>
      </c>
      <c r="Y1053" t="s">
        <v>0</v>
      </c>
      <c r="Z1053">
        <v>5250</v>
      </c>
      <c r="AA1053">
        <v>5</v>
      </c>
      <c r="AB1053">
        <v>18124</v>
      </c>
      <c r="AC1053">
        <v>0</v>
      </c>
      <c r="AD1053">
        <v>644591700000</v>
      </c>
      <c r="AE1053">
        <v>754621596.14999998</v>
      </c>
      <c r="AF1053">
        <v>643261055705.13</v>
      </c>
      <c r="AG1053">
        <v>643769058304.44995</v>
      </c>
      <c r="AH1053">
        <v>1.0671E-2</v>
      </c>
      <c r="AI1053">
        <v>1.266E-3</v>
      </c>
    </row>
    <row r="1054" spans="13:35" x14ac:dyDescent="0.35">
      <c r="M1054" t="s">
        <v>1</v>
      </c>
      <c r="N1054">
        <v>4250</v>
      </c>
      <c r="O1054">
        <v>320</v>
      </c>
      <c r="P1054">
        <v>56</v>
      </c>
      <c r="Q1054">
        <v>0</v>
      </c>
      <c r="R1054">
        <v>272548883</v>
      </c>
      <c r="S1054">
        <v>2254145.1</v>
      </c>
      <c r="T1054">
        <v>269541178.45999998</v>
      </c>
      <c r="U1054">
        <v>270294737.89999998</v>
      </c>
      <c r="V1054">
        <v>3.2677999999999999E-2</v>
      </c>
      <c r="W1054">
        <v>0</v>
      </c>
      <c r="Y1054" t="s">
        <v>1</v>
      </c>
      <c r="Z1054">
        <v>8250</v>
      </c>
      <c r="AA1054">
        <v>360</v>
      </c>
      <c r="AB1054">
        <v>30</v>
      </c>
      <c r="AC1054">
        <v>0</v>
      </c>
      <c r="AD1054">
        <v>16071042</v>
      </c>
      <c r="AE1054">
        <v>1075183.2</v>
      </c>
      <c r="AF1054">
        <v>14317870.960000001</v>
      </c>
      <c r="AG1054">
        <v>14508365.85</v>
      </c>
      <c r="AH1054">
        <v>0.403831</v>
      </c>
      <c r="AI1054">
        <v>0.30901600000000001</v>
      </c>
    </row>
    <row r="1055" spans="13:35" x14ac:dyDescent="0.35">
      <c r="M1055" t="s">
        <v>3</v>
      </c>
      <c r="N1055">
        <v>6750</v>
      </c>
      <c r="O1055">
        <v>320</v>
      </c>
      <c r="P1055">
        <v>4</v>
      </c>
      <c r="Q1055">
        <v>0</v>
      </c>
      <c r="R1055">
        <v>14773816</v>
      </c>
      <c r="S1055">
        <v>101407.91</v>
      </c>
      <c r="T1055">
        <v>14672408.09</v>
      </c>
      <c r="U1055">
        <v>14672408.09</v>
      </c>
      <c r="V1055">
        <v>0</v>
      </c>
      <c r="W1055">
        <v>0</v>
      </c>
      <c r="Y1055" t="s">
        <v>2</v>
      </c>
      <c r="Z1055">
        <v>20000</v>
      </c>
      <c r="AA1055">
        <v>360</v>
      </c>
      <c r="AB1055">
        <v>1</v>
      </c>
      <c r="AC1055">
        <v>0</v>
      </c>
      <c r="AD1055">
        <v>379830</v>
      </c>
      <c r="AE1055">
        <v>23983.64</v>
      </c>
      <c r="AF1055">
        <v>355846.36</v>
      </c>
      <c r="AG1055">
        <v>355846.36</v>
      </c>
      <c r="AH1055">
        <v>0</v>
      </c>
      <c r="AI1055">
        <v>0</v>
      </c>
    </row>
    <row r="1056" spans="13:35" x14ac:dyDescent="0.35">
      <c r="M1056" t="s">
        <v>0</v>
      </c>
      <c r="N1056">
        <v>7250</v>
      </c>
      <c r="O1056">
        <v>240</v>
      </c>
      <c r="P1056">
        <v>1053</v>
      </c>
      <c r="Q1056">
        <v>0</v>
      </c>
      <c r="R1056">
        <v>5099354572</v>
      </c>
      <c r="S1056">
        <v>24923177.670000002</v>
      </c>
      <c r="T1056">
        <v>5054124466.7200003</v>
      </c>
      <c r="U1056">
        <v>5069323441.2799997</v>
      </c>
      <c r="V1056">
        <v>4.6753999999999997E-2</v>
      </c>
      <c r="W1056">
        <v>1.1953999999999999E-2</v>
      </c>
      <c r="Y1056" t="s">
        <v>1</v>
      </c>
      <c r="Z1056">
        <v>20000</v>
      </c>
      <c r="AA1056">
        <v>320</v>
      </c>
      <c r="AB1056">
        <v>3</v>
      </c>
      <c r="AC1056">
        <v>0</v>
      </c>
      <c r="AD1056">
        <v>4699816</v>
      </c>
      <c r="AE1056">
        <v>71187.3</v>
      </c>
      <c r="AF1056">
        <v>4628628.7</v>
      </c>
      <c r="AG1056">
        <v>4628628.7</v>
      </c>
      <c r="AH1056">
        <v>0</v>
      </c>
      <c r="AI1056">
        <v>0</v>
      </c>
    </row>
    <row r="1057" spans="13:35" x14ac:dyDescent="0.35">
      <c r="M1057" t="s">
        <v>3</v>
      </c>
      <c r="N1057">
        <v>6750</v>
      </c>
      <c r="O1057">
        <v>240</v>
      </c>
      <c r="P1057">
        <v>24</v>
      </c>
      <c r="Q1057">
        <v>0</v>
      </c>
      <c r="R1057">
        <v>124511436</v>
      </c>
      <c r="S1057">
        <v>626235.11</v>
      </c>
      <c r="T1057">
        <v>120597871.40000001</v>
      </c>
      <c r="U1057">
        <v>123885200.89</v>
      </c>
      <c r="V1057">
        <v>0.27463399999999999</v>
      </c>
      <c r="W1057">
        <v>0</v>
      </c>
      <c r="Y1057" t="s">
        <v>3</v>
      </c>
      <c r="Z1057">
        <v>9000</v>
      </c>
      <c r="AA1057">
        <v>320</v>
      </c>
      <c r="AB1057">
        <v>1</v>
      </c>
      <c r="AC1057">
        <v>0</v>
      </c>
      <c r="AD1057">
        <v>617430</v>
      </c>
      <c r="AE1057">
        <v>10250.89</v>
      </c>
      <c r="AF1057">
        <v>607179.11</v>
      </c>
      <c r="AG1057">
        <v>607179.11</v>
      </c>
      <c r="AH1057">
        <v>0</v>
      </c>
      <c r="AI1057">
        <v>0</v>
      </c>
    </row>
    <row r="1058" spans="13:35" x14ac:dyDescent="0.35">
      <c r="M1058" t="s">
        <v>2</v>
      </c>
      <c r="N1058">
        <v>7250</v>
      </c>
      <c r="O1058">
        <v>240</v>
      </c>
      <c r="P1058">
        <v>194</v>
      </c>
      <c r="Q1058">
        <v>0</v>
      </c>
      <c r="R1058">
        <v>747660385</v>
      </c>
      <c r="S1058">
        <v>3745131.76</v>
      </c>
      <c r="T1058">
        <v>740458375.95000005</v>
      </c>
      <c r="U1058">
        <v>743915253.24000001</v>
      </c>
      <c r="V1058">
        <v>5.4094000000000003E-2</v>
      </c>
      <c r="W1058">
        <v>0</v>
      </c>
      <c r="Y1058" t="s">
        <v>3</v>
      </c>
      <c r="Z1058">
        <v>7250</v>
      </c>
      <c r="AA1058">
        <v>320</v>
      </c>
      <c r="AB1058">
        <v>1</v>
      </c>
      <c r="AC1058">
        <v>0</v>
      </c>
      <c r="AD1058">
        <v>3949037</v>
      </c>
      <c r="AE1058">
        <v>43374.93</v>
      </c>
      <c r="AF1058">
        <v>3905662.07</v>
      </c>
      <c r="AG1058">
        <v>3905662.07</v>
      </c>
      <c r="AH1058">
        <v>0</v>
      </c>
      <c r="AI1058">
        <v>0</v>
      </c>
    </row>
    <row r="1059" spans="13:35" x14ac:dyDescent="0.35">
      <c r="M1059" t="s">
        <v>0</v>
      </c>
      <c r="N1059">
        <v>7750</v>
      </c>
      <c r="O1059">
        <v>240</v>
      </c>
      <c r="P1059">
        <v>63</v>
      </c>
      <c r="Q1059">
        <v>0</v>
      </c>
      <c r="R1059">
        <v>256833089</v>
      </c>
      <c r="S1059">
        <v>1215216.6499999999</v>
      </c>
      <c r="T1059">
        <v>255617872.34999999</v>
      </c>
      <c r="U1059">
        <v>255617872.34999999</v>
      </c>
      <c r="V1059">
        <v>0</v>
      </c>
      <c r="W1059">
        <v>0</v>
      </c>
      <c r="Y1059" t="s">
        <v>3</v>
      </c>
      <c r="Z1059">
        <v>6250</v>
      </c>
      <c r="AA1059">
        <v>320</v>
      </c>
      <c r="AB1059">
        <v>34</v>
      </c>
      <c r="AC1059">
        <v>0</v>
      </c>
      <c r="AD1059">
        <v>162236998</v>
      </c>
      <c r="AE1059">
        <v>1113699.99</v>
      </c>
      <c r="AF1059">
        <v>161123298.00999999</v>
      </c>
      <c r="AG1059">
        <v>161123298.00999999</v>
      </c>
      <c r="AH1059">
        <v>0</v>
      </c>
      <c r="AI1059">
        <v>0</v>
      </c>
    </row>
    <row r="1060" spans="13:35" x14ac:dyDescent="0.35">
      <c r="M1060" t="s">
        <v>1</v>
      </c>
      <c r="N1060">
        <v>7250</v>
      </c>
      <c r="O1060">
        <v>240</v>
      </c>
      <c r="P1060">
        <v>33</v>
      </c>
      <c r="Q1060">
        <v>0</v>
      </c>
      <c r="R1060">
        <v>158983064</v>
      </c>
      <c r="S1060">
        <v>794817.71</v>
      </c>
      <c r="T1060">
        <v>158188246.28999999</v>
      </c>
      <c r="U1060">
        <v>158188246.28999999</v>
      </c>
      <c r="V1060">
        <v>0</v>
      </c>
      <c r="W1060">
        <v>0</v>
      </c>
      <c r="Y1060" t="s">
        <v>3</v>
      </c>
      <c r="Z1060">
        <v>5750</v>
      </c>
      <c r="AA1060">
        <v>320</v>
      </c>
      <c r="AB1060">
        <v>14</v>
      </c>
      <c r="AC1060">
        <v>0</v>
      </c>
      <c r="AD1060">
        <v>58584378</v>
      </c>
      <c r="AE1060">
        <v>417051.78</v>
      </c>
      <c r="AF1060">
        <v>58167326.219999999</v>
      </c>
      <c r="AG1060">
        <v>58167326.219999999</v>
      </c>
      <c r="AH1060">
        <v>0</v>
      </c>
      <c r="AI1060">
        <v>0</v>
      </c>
    </row>
    <row r="1061" spans="13:35" x14ac:dyDescent="0.35">
      <c r="M1061" t="s">
        <v>1</v>
      </c>
      <c r="N1061">
        <v>7750</v>
      </c>
      <c r="O1061">
        <v>240</v>
      </c>
      <c r="P1061">
        <v>1</v>
      </c>
      <c r="Q1061">
        <v>0</v>
      </c>
      <c r="R1061">
        <v>7920907</v>
      </c>
      <c r="S1061">
        <v>42176.5</v>
      </c>
      <c r="T1061">
        <v>7878730.5</v>
      </c>
      <c r="U1061">
        <v>7878730.5</v>
      </c>
      <c r="V1061">
        <v>0</v>
      </c>
      <c r="W1061">
        <v>0</v>
      </c>
      <c r="Y1061" t="s">
        <v>1</v>
      </c>
      <c r="Z1061">
        <v>4250</v>
      </c>
      <c r="AA1061">
        <v>320</v>
      </c>
      <c r="AB1061">
        <v>56</v>
      </c>
      <c r="AC1061">
        <v>0</v>
      </c>
      <c r="AD1061">
        <v>276513553</v>
      </c>
      <c r="AE1061">
        <v>2261800.16</v>
      </c>
      <c r="AF1061">
        <v>274251752.83999997</v>
      </c>
      <c r="AG1061">
        <v>274251752.83999997</v>
      </c>
      <c r="AH1061">
        <v>0</v>
      </c>
      <c r="AI1061">
        <v>0</v>
      </c>
    </row>
    <row r="1062" spans="13:35" x14ac:dyDescent="0.35">
      <c r="M1062" t="s">
        <v>3</v>
      </c>
      <c r="N1062">
        <v>7250</v>
      </c>
      <c r="O1062">
        <v>240</v>
      </c>
      <c r="P1062">
        <v>3</v>
      </c>
      <c r="Q1062">
        <v>0</v>
      </c>
      <c r="R1062">
        <v>11532419</v>
      </c>
      <c r="S1062">
        <v>54437.82</v>
      </c>
      <c r="T1062">
        <v>11477981.18</v>
      </c>
      <c r="U1062">
        <v>11477981.18</v>
      </c>
      <c r="V1062">
        <v>0</v>
      </c>
      <c r="W1062">
        <v>0</v>
      </c>
      <c r="Y1062" t="s">
        <v>3</v>
      </c>
      <c r="Z1062">
        <v>6750</v>
      </c>
      <c r="AA1062">
        <v>320</v>
      </c>
      <c r="AB1062">
        <v>4</v>
      </c>
      <c r="AC1062">
        <v>0</v>
      </c>
      <c r="AD1062">
        <v>14859486</v>
      </c>
      <c r="AE1062">
        <v>100813.7</v>
      </c>
      <c r="AF1062">
        <v>14758672.300000001</v>
      </c>
      <c r="AG1062">
        <v>14758672.300000001</v>
      </c>
      <c r="AH1062">
        <v>0</v>
      </c>
      <c r="AI1062">
        <v>0</v>
      </c>
    </row>
    <row r="1063" spans="13:35" x14ac:dyDescent="0.35">
      <c r="M1063" t="s">
        <v>3</v>
      </c>
      <c r="N1063">
        <v>7500</v>
      </c>
      <c r="O1063">
        <v>240</v>
      </c>
      <c r="P1063">
        <v>2</v>
      </c>
      <c r="Q1063">
        <v>0</v>
      </c>
      <c r="R1063">
        <v>10735169</v>
      </c>
      <c r="S1063">
        <v>50172.93</v>
      </c>
      <c r="T1063">
        <v>10684996.07</v>
      </c>
      <c r="U1063">
        <v>10684996.07</v>
      </c>
      <c r="V1063">
        <v>0</v>
      </c>
      <c r="W1063">
        <v>0</v>
      </c>
      <c r="Y1063" t="s">
        <v>0</v>
      </c>
      <c r="Z1063">
        <v>7250</v>
      </c>
      <c r="AA1063">
        <v>240</v>
      </c>
      <c r="AB1063">
        <v>1044</v>
      </c>
      <c r="AC1063">
        <v>0</v>
      </c>
      <c r="AD1063">
        <v>5066138821</v>
      </c>
      <c r="AE1063">
        <v>24551050.379999999</v>
      </c>
      <c r="AF1063">
        <v>4989484619.4099998</v>
      </c>
      <c r="AG1063">
        <v>5030707717.3500004</v>
      </c>
      <c r="AH1063">
        <v>0.11666799999999999</v>
      </c>
      <c r="AI1063">
        <v>2.5468999999999999E-2</v>
      </c>
    </row>
    <row r="1064" spans="13:35" x14ac:dyDescent="0.35">
      <c r="M1064" t="s">
        <v>0</v>
      </c>
      <c r="N1064">
        <v>8250</v>
      </c>
      <c r="O1064">
        <v>240</v>
      </c>
      <c r="P1064">
        <v>8</v>
      </c>
      <c r="Q1064">
        <v>0</v>
      </c>
      <c r="R1064">
        <v>29221543</v>
      </c>
      <c r="S1064">
        <v>125318.68</v>
      </c>
      <c r="T1064">
        <v>29096224.32</v>
      </c>
      <c r="U1064">
        <v>29096224.32</v>
      </c>
      <c r="V1064">
        <v>0</v>
      </c>
      <c r="W1064">
        <v>0</v>
      </c>
      <c r="Y1064" t="s">
        <v>3</v>
      </c>
      <c r="Z1064">
        <v>6750</v>
      </c>
      <c r="AA1064">
        <v>240</v>
      </c>
      <c r="AB1064">
        <v>23</v>
      </c>
      <c r="AC1064">
        <v>0</v>
      </c>
      <c r="AD1064">
        <v>114871662</v>
      </c>
      <c r="AE1064">
        <v>576538.74</v>
      </c>
      <c r="AF1064">
        <v>114295123.26000001</v>
      </c>
      <c r="AG1064">
        <v>114295123.26000001</v>
      </c>
      <c r="AH1064">
        <v>0</v>
      </c>
      <c r="AI1064">
        <v>0</v>
      </c>
    </row>
    <row r="1065" spans="13:35" x14ac:dyDescent="0.35">
      <c r="M1065" t="s">
        <v>3</v>
      </c>
      <c r="N1065">
        <v>5750</v>
      </c>
      <c r="O1065">
        <v>216</v>
      </c>
      <c r="P1065">
        <v>27</v>
      </c>
      <c r="Q1065">
        <v>0</v>
      </c>
      <c r="R1065">
        <v>197202224</v>
      </c>
      <c r="S1065">
        <v>836050.1</v>
      </c>
      <c r="T1065">
        <v>196366173.90000001</v>
      </c>
      <c r="U1065">
        <v>196366173.90000001</v>
      </c>
      <c r="V1065">
        <v>0</v>
      </c>
      <c r="W1065">
        <v>0</v>
      </c>
      <c r="Y1065" t="s">
        <v>2</v>
      </c>
      <c r="Z1065">
        <v>7250</v>
      </c>
      <c r="AA1065">
        <v>240</v>
      </c>
      <c r="AB1065">
        <v>196</v>
      </c>
      <c r="AC1065">
        <v>0</v>
      </c>
      <c r="AD1065">
        <v>764769681</v>
      </c>
      <c r="AE1065">
        <v>3794493.8</v>
      </c>
      <c r="AF1065">
        <v>748480090.66999996</v>
      </c>
      <c r="AG1065">
        <v>760975187.20000005</v>
      </c>
      <c r="AH1065">
        <v>0.179367</v>
      </c>
      <c r="AI1065">
        <v>0</v>
      </c>
    </row>
    <row r="1066" spans="13:35" x14ac:dyDescent="0.35">
      <c r="M1066" t="s">
        <v>3</v>
      </c>
      <c r="N1066">
        <v>6250</v>
      </c>
      <c r="O1066">
        <v>216</v>
      </c>
      <c r="P1066">
        <v>13</v>
      </c>
      <c r="Q1066">
        <v>0</v>
      </c>
      <c r="R1066">
        <v>99488464</v>
      </c>
      <c r="S1066">
        <v>442410.8</v>
      </c>
      <c r="T1066">
        <v>99046053.200000003</v>
      </c>
      <c r="U1066">
        <v>99046053.200000003</v>
      </c>
      <c r="V1066">
        <v>0</v>
      </c>
      <c r="W1066">
        <v>0</v>
      </c>
      <c r="Y1066" t="s">
        <v>0</v>
      </c>
      <c r="Z1066">
        <v>7750</v>
      </c>
      <c r="AA1066">
        <v>240</v>
      </c>
      <c r="AB1066">
        <v>61</v>
      </c>
      <c r="AC1066">
        <v>0</v>
      </c>
      <c r="AD1066">
        <v>243124636</v>
      </c>
      <c r="AE1066">
        <v>1146262.47</v>
      </c>
      <c r="AF1066">
        <v>236267970.13</v>
      </c>
      <c r="AG1066">
        <v>236267970.13</v>
      </c>
      <c r="AH1066">
        <v>0.24814600000000001</v>
      </c>
      <c r="AI1066">
        <v>0.24814600000000001</v>
      </c>
    </row>
    <row r="1067" spans="13:35" x14ac:dyDescent="0.35">
      <c r="M1067" t="s">
        <v>0</v>
      </c>
      <c r="N1067">
        <v>8250</v>
      </c>
      <c r="O1067">
        <v>216</v>
      </c>
      <c r="P1067">
        <v>3</v>
      </c>
      <c r="Q1067">
        <v>0</v>
      </c>
      <c r="R1067">
        <v>13521626</v>
      </c>
      <c r="S1067">
        <v>51635.46</v>
      </c>
      <c r="T1067">
        <v>13469990.539999999</v>
      </c>
      <c r="U1067">
        <v>13469990.539999999</v>
      </c>
      <c r="V1067">
        <v>0</v>
      </c>
      <c r="W1067">
        <v>0</v>
      </c>
      <c r="Y1067" t="s">
        <v>1</v>
      </c>
      <c r="Z1067">
        <v>7250</v>
      </c>
      <c r="AA1067">
        <v>240</v>
      </c>
      <c r="AB1067">
        <v>33</v>
      </c>
      <c r="AC1067">
        <v>0</v>
      </c>
      <c r="AD1067">
        <v>159809450</v>
      </c>
      <c r="AE1067">
        <v>791131.64</v>
      </c>
      <c r="AF1067">
        <v>156407740.71000001</v>
      </c>
      <c r="AG1067">
        <v>159018318.36000001</v>
      </c>
      <c r="AH1067">
        <v>0.179339</v>
      </c>
      <c r="AI1067">
        <v>0</v>
      </c>
    </row>
    <row r="1068" spans="13:35" x14ac:dyDescent="0.35">
      <c r="M1068" t="s">
        <v>1</v>
      </c>
      <c r="N1068">
        <v>4500</v>
      </c>
      <c r="O1068">
        <v>240</v>
      </c>
      <c r="P1068">
        <v>28</v>
      </c>
      <c r="Q1068">
        <v>0</v>
      </c>
      <c r="R1068">
        <v>174668420</v>
      </c>
      <c r="S1068">
        <v>1071041.57</v>
      </c>
      <c r="T1068">
        <v>173597378.43000001</v>
      </c>
      <c r="U1068">
        <v>173597378.43000001</v>
      </c>
      <c r="V1068">
        <v>0</v>
      </c>
      <c r="W1068">
        <v>0</v>
      </c>
      <c r="Y1068" t="s">
        <v>1</v>
      </c>
      <c r="Z1068">
        <v>7750</v>
      </c>
      <c r="AA1068">
        <v>240</v>
      </c>
      <c r="AB1068">
        <v>1</v>
      </c>
      <c r="AC1068">
        <v>0</v>
      </c>
      <c r="AD1068">
        <v>7964220</v>
      </c>
      <c r="AE1068">
        <v>41917.58</v>
      </c>
      <c r="AF1068">
        <v>7922302.4199999999</v>
      </c>
      <c r="AG1068">
        <v>7922302.4199999999</v>
      </c>
      <c r="AH1068">
        <v>0</v>
      </c>
      <c r="AI1068">
        <v>0</v>
      </c>
    </row>
    <row r="1069" spans="13:35" x14ac:dyDescent="0.35">
      <c r="M1069" t="s">
        <v>0</v>
      </c>
      <c r="N1069">
        <v>7750</v>
      </c>
      <c r="O1069">
        <v>216</v>
      </c>
      <c r="P1069">
        <v>26</v>
      </c>
      <c r="Q1069">
        <v>0</v>
      </c>
      <c r="R1069">
        <v>94394853</v>
      </c>
      <c r="S1069">
        <v>374216.5</v>
      </c>
      <c r="T1069">
        <v>94020636.5</v>
      </c>
      <c r="U1069">
        <v>94020636.5</v>
      </c>
      <c r="V1069">
        <v>0</v>
      </c>
      <c r="W1069">
        <v>0</v>
      </c>
      <c r="Y1069" t="s">
        <v>3</v>
      </c>
      <c r="Z1069">
        <v>7250</v>
      </c>
      <c r="AA1069">
        <v>240</v>
      </c>
      <c r="AB1069">
        <v>3</v>
      </c>
      <c r="AC1069">
        <v>0</v>
      </c>
      <c r="AD1069">
        <v>11595003</v>
      </c>
      <c r="AE1069">
        <v>54154.48</v>
      </c>
      <c r="AF1069">
        <v>11540848.52</v>
      </c>
      <c r="AG1069">
        <v>11540848.52</v>
      </c>
      <c r="AH1069">
        <v>0</v>
      </c>
      <c r="AI1069">
        <v>0</v>
      </c>
    </row>
    <row r="1070" spans="13:35" x14ac:dyDescent="0.35">
      <c r="M1070" t="s">
        <v>2</v>
      </c>
      <c r="N1070">
        <v>4750</v>
      </c>
      <c r="O1070">
        <v>216</v>
      </c>
      <c r="P1070">
        <v>353</v>
      </c>
      <c r="Q1070">
        <v>0</v>
      </c>
      <c r="R1070">
        <v>2649205806</v>
      </c>
      <c r="S1070">
        <v>11821197.34</v>
      </c>
      <c r="T1070">
        <v>2617838178.9699998</v>
      </c>
      <c r="U1070">
        <v>2637384608.6599998</v>
      </c>
      <c r="V1070">
        <v>8.5032999999999997E-2</v>
      </c>
      <c r="W1070">
        <v>0</v>
      </c>
      <c r="Y1070" t="s">
        <v>3</v>
      </c>
      <c r="Z1070">
        <v>7500</v>
      </c>
      <c r="AA1070">
        <v>240</v>
      </c>
      <c r="AB1070">
        <v>2</v>
      </c>
      <c r="AC1070">
        <v>0</v>
      </c>
      <c r="AD1070">
        <v>13232839</v>
      </c>
      <c r="AE1070">
        <v>61184.3</v>
      </c>
      <c r="AF1070">
        <v>13171654.699999999</v>
      </c>
      <c r="AG1070">
        <v>13171654.699999999</v>
      </c>
      <c r="AH1070">
        <v>0</v>
      </c>
      <c r="AI1070">
        <v>0</v>
      </c>
    </row>
    <row r="1071" spans="13:35" x14ac:dyDescent="0.35">
      <c r="M1071" t="s">
        <v>0</v>
      </c>
      <c r="N1071">
        <v>8500</v>
      </c>
      <c r="O1071">
        <v>216</v>
      </c>
      <c r="P1071">
        <v>1</v>
      </c>
      <c r="Q1071">
        <v>0</v>
      </c>
      <c r="R1071">
        <v>3920346</v>
      </c>
      <c r="S1071">
        <v>15043.94</v>
      </c>
      <c r="T1071">
        <v>3905302.06</v>
      </c>
      <c r="U1071">
        <v>3905302.06</v>
      </c>
      <c r="V1071">
        <v>0</v>
      </c>
      <c r="W1071">
        <v>0</v>
      </c>
      <c r="Y1071" t="s">
        <v>0</v>
      </c>
      <c r="Z1071">
        <v>8250</v>
      </c>
      <c r="AA1071">
        <v>240</v>
      </c>
      <c r="AB1071">
        <v>7</v>
      </c>
      <c r="AC1071">
        <v>0</v>
      </c>
      <c r="AD1071">
        <v>28541181</v>
      </c>
      <c r="AE1071">
        <v>121177.05</v>
      </c>
      <c r="AF1071">
        <v>28420003.949999999</v>
      </c>
      <c r="AG1071">
        <v>28420003.949999999</v>
      </c>
      <c r="AH1071">
        <v>0</v>
      </c>
      <c r="AI1071">
        <v>0</v>
      </c>
    </row>
    <row r="1072" spans="13:35" x14ac:dyDescent="0.35">
      <c r="M1072" t="s">
        <v>1</v>
      </c>
      <c r="N1072">
        <v>4750</v>
      </c>
      <c r="O1072">
        <v>240</v>
      </c>
      <c r="P1072">
        <v>24</v>
      </c>
      <c r="Q1072">
        <v>0</v>
      </c>
      <c r="R1072">
        <v>133403922</v>
      </c>
      <c r="S1072">
        <v>829183.36</v>
      </c>
      <c r="T1072">
        <v>132574738.64</v>
      </c>
      <c r="U1072">
        <v>132574738.64</v>
      </c>
      <c r="V1072">
        <v>0</v>
      </c>
      <c r="W1072">
        <v>0</v>
      </c>
      <c r="Y1072" t="s">
        <v>0</v>
      </c>
      <c r="Z1072">
        <v>7750</v>
      </c>
      <c r="AA1072">
        <v>216</v>
      </c>
      <c r="AB1072">
        <v>29</v>
      </c>
      <c r="AC1072">
        <v>0</v>
      </c>
      <c r="AD1072">
        <v>116139098</v>
      </c>
      <c r="AE1072">
        <v>462195.51</v>
      </c>
      <c r="AF1072">
        <v>115676902.48999999</v>
      </c>
      <c r="AG1072">
        <v>115676902.48999999</v>
      </c>
      <c r="AH1072">
        <v>0</v>
      </c>
      <c r="AI1072">
        <v>0</v>
      </c>
    </row>
    <row r="1073" spans="13:35" x14ac:dyDescent="0.35">
      <c r="M1073" t="s">
        <v>1</v>
      </c>
      <c r="N1073">
        <v>4250</v>
      </c>
      <c r="O1073">
        <v>216</v>
      </c>
      <c r="P1073">
        <v>71</v>
      </c>
      <c r="Q1073">
        <v>0</v>
      </c>
      <c r="R1073">
        <v>817635087</v>
      </c>
      <c r="S1073">
        <v>3831258.36</v>
      </c>
      <c r="T1073">
        <v>813803828.63999999</v>
      </c>
      <c r="U1073">
        <v>813803828.63999999</v>
      </c>
      <c r="V1073">
        <v>0</v>
      </c>
      <c r="W1073">
        <v>0</v>
      </c>
      <c r="Y1073" t="s">
        <v>1</v>
      </c>
      <c r="Z1073">
        <v>4750</v>
      </c>
      <c r="AA1073">
        <v>216</v>
      </c>
      <c r="AB1073">
        <v>983</v>
      </c>
      <c r="AC1073">
        <v>0</v>
      </c>
      <c r="AD1073">
        <v>9900757369</v>
      </c>
      <c r="AE1073">
        <v>43826971.299999997</v>
      </c>
      <c r="AF1073">
        <v>9811131626.0900002</v>
      </c>
      <c r="AG1073">
        <v>9856930397.7000008</v>
      </c>
      <c r="AH1073">
        <v>5.4119E-2</v>
      </c>
      <c r="AI1073">
        <v>0</v>
      </c>
    </row>
    <row r="1074" spans="13:35" x14ac:dyDescent="0.35">
      <c r="M1074" t="s">
        <v>3</v>
      </c>
      <c r="N1074">
        <v>5250</v>
      </c>
      <c r="O1074">
        <v>216</v>
      </c>
      <c r="P1074">
        <v>65</v>
      </c>
      <c r="Q1074">
        <v>0</v>
      </c>
      <c r="R1074">
        <v>620353684</v>
      </c>
      <c r="S1074">
        <v>2615071.27</v>
      </c>
      <c r="T1074">
        <v>617738612.73000002</v>
      </c>
      <c r="U1074">
        <v>617738612.73000002</v>
      </c>
      <c r="V1074">
        <v>0</v>
      </c>
      <c r="W1074">
        <v>0</v>
      </c>
      <c r="Y1074" t="s">
        <v>3</v>
      </c>
      <c r="Z1074">
        <v>5750</v>
      </c>
      <c r="AA1074">
        <v>216</v>
      </c>
      <c r="AB1074">
        <v>26</v>
      </c>
      <c r="AC1074">
        <v>0</v>
      </c>
      <c r="AD1074">
        <v>195817420</v>
      </c>
      <c r="AE1074">
        <v>823594.94</v>
      </c>
      <c r="AF1074">
        <v>194993825.06</v>
      </c>
      <c r="AG1074">
        <v>194993825.06</v>
      </c>
      <c r="AH1074">
        <v>0</v>
      </c>
      <c r="AI1074">
        <v>0</v>
      </c>
    </row>
    <row r="1075" spans="13:35" x14ac:dyDescent="0.35">
      <c r="M1075" t="s">
        <v>3</v>
      </c>
      <c r="N1075">
        <v>4750</v>
      </c>
      <c r="O1075">
        <v>216</v>
      </c>
      <c r="P1075">
        <v>11</v>
      </c>
      <c r="Q1075">
        <v>0</v>
      </c>
      <c r="R1075">
        <v>95899200</v>
      </c>
      <c r="S1075">
        <v>428608.36</v>
      </c>
      <c r="T1075">
        <v>95470591.640000001</v>
      </c>
      <c r="U1075">
        <v>95470591.640000001</v>
      </c>
      <c r="V1075">
        <v>0</v>
      </c>
      <c r="W1075">
        <v>0</v>
      </c>
      <c r="Y1075" t="s">
        <v>3</v>
      </c>
      <c r="Z1075">
        <v>6250</v>
      </c>
      <c r="AA1075">
        <v>216</v>
      </c>
      <c r="AB1075">
        <v>13</v>
      </c>
      <c r="AC1075">
        <v>0</v>
      </c>
      <c r="AD1075">
        <v>100158872</v>
      </c>
      <c r="AE1075">
        <v>441126.31</v>
      </c>
      <c r="AF1075">
        <v>99717745.689999998</v>
      </c>
      <c r="AG1075">
        <v>99717745.689999998</v>
      </c>
      <c r="AH1075">
        <v>0</v>
      </c>
      <c r="AI1075">
        <v>0</v>
      </c>
    </row>
    <row r="1076" spans="13:35" x14ac:dyDescent="0.35">
      <c r="M1076" t="s">
        <v>1</v>
      </c>
      <c r="N1076">
        <v>4250</v>
      </c>
      <c r="O1076">
        <v>240</v>
      </c>
      <c r="P1076">
        <v>5</v>
      </c>
      <c r="Q1076">
        <v>0</v>
      </c>
      <c r="R1076">
        <v>16969064</v>
      </c>
      <c r="S1076">
        <v>151869.70000000001</v>
      </c>
      <c r="T1076">
        <v>16817194.300000001</v>
      </c>
      <c r="U1076">
        <v>16817194.300000001</v>
      </c>
      <c r="V1076">
        <v>0</v>
      </c>
      <c r="W1076">
        <v>0</v>
      </c>
      <c r="Y1076" t="s">
        <v>0</v>
      </c>
      <c r="Z1076">
        <v>8250</v>
      </c>
      <c r="AA1076">
        <v>216</v>
      </c>
      <c r="AB1076">
        <v>4</v>
      </c>
      <c r="AC1076">
        <v>0</v>
      </c>
      <c r="AD1076">
        <v>14425876</v>
      </c>
      <c r="AE1076">
        <v>54766.68</v>
      </c>
      <c r="AF1076">
        <v>14371109.32</v>
      </c>
      <c r="AG1076">
        <v>14371109.32</v>
      </c>
      <c r="AH1076">
        <v>0</v>
      </c>
      <c r="AI1076">
        <v>0</v>
      </c>
    </row>
    <row r="1077" spans="13:35" x14ac:dyDescent="0.35">
      <c r="M1077" t="s">
        <v>2</v>
      </c>
      <c r="N1077">
        <v>4250</v>
      </c>
      <c r="O1077">
        <v>216</v>
      </c>
      <c r="P1077">
        <v>15</v>
      </c>
      <c r="Q1077">
        <v>0</v>
      </c>
      <c r="R1077">
        <v>156943390</v>
      </c>
      <c r="S1077">
        <v>727684.75</v>
      </c>
      <c r="T1077">
        <v>156215705.25</v>
      </c>
      <c r="U1077">
        <v>156215705.25</v>
      </c>
      <c r="V1077">
        <v>0</v>
      </c>
      <c r="W1077">
        <v>0</v>
      </c>
      <c r="Y1077" t="s">
        <v>1</v>
      </c>
      <c r="Z1077">
        <v>4500</v>
      </c>
      <c r="AA1077">
        <v>240</v>
      </c>
      <c r="AB1077">
        <v>29</v>
      </c>
      <c r="AC1077">
        <v>0</v>
      </c>
      <c r="AD1077">
        <v>176917080</v>
      </c>
      <c r="AE1077">
        <v>1080938.24</v>
      </c>
      <c r="AF1077">
        <v>173376359.75999999</v>
      </c>
      <c r="AG1077">
        <v>175836141.75999999</v>
      </c>
      <c r="AH1077">
        <v>0.15465799999999999</v>
      </c>
      <c r="AI1077">
        <v>0</v>
      </c>
    </row>
    <row r="1078" spans="13:35" x14ac:dyDescent="0.35">
      <c r="M1078" t="s">
        <v>0</v>
      </c>
      <c r="N1078">
        <v>3750</v>
      </c>
      <c r="O1078">
        <v>216</v>
      </c>
      <c r="P1078">
        <v>2</v>
      </c>
      <c r="Q1078">
        <v>0</v>
      </c>
      <c r="R1078">
        <v>17389780</v>
      </c>
      <c r="S1078">
        <v>80412.710000000006</v>
      </c>
      <c r="T1078">
        <v>17309367.289999999</v>
      </c>
      <c r="U1078">
        <v>17309367.289999999</v>
      </c>
      <c r="V1078">
        <v>0</v>
      </c>
      <c r="W1078">
        <v>0</v>
      </c>
      <c r="Y1078" t="s">
        <v>2</v>
      </c>
      <c r="Z1078">
        <v>4750</v>
      </c>
      <c r="AA1078">
        <v>216</v>
      </c>
      <c r="AB1078">
        <v>338</v>
      </c>
      <c r="AC1078">
        <v>0</v>
      </c>
      <c r="AD1078">
        <v>2568448308</v>
      </c>
      <c r="AE1078">
        <v>11393069.41</v>
      </c>
      <c r="AF1078">
        <v>2532683058.8400002</v>
      </c>
      <c r="AG1078">
        <v>2557055238.5900002</v>
      </c>
      <c r="AH1078">
        <v>0.10811</v>
      </c>
      <c r="AI1078">
        <v>0</v>
      </c>
    </row>
    <row r="1079" spans="13:35" x14ac:dyDescent="0.35">
      <c r="M1079" t="s">
        <v>3</v>
      </c>
      <c r="N1079">
        <v>5250</v>
      </c>
      <c r="O1079">
        <v>192</v>
      </c>
      <c r="P1079">
        <v>120</v>
      </c>
      <c r="Q1079">
        <v>0</v>
      </c>
      <c r="R1079">
        <v>1026790920</v>
      </c>
      <c r="S1079">
        <v>3963275.45</v>
      </c>
      <c r="T1079">
        <v>1022827644.55</v>
      </c>
      <c r="U1079">
        <v>1022827644.55</v>
      </c>
      <c r="V1079">
        <v>0</v>
      </c>
      <c r="W1079">
        <v>0</v>
      </c>
      <c r="Y1079" t="s">
        <v>0</v>
      </c>
      <c r="Z1079">
        <v>8500</v>
      </c>
      <c r="AA1079">
        <v>216</v>
      </c>
      <c r="AB1079">
        <v>1</v>
      </c>
      <c r="AC1079">
        <v>0</v>
      </c>
      <c r="AD1079">
        <v>3938334</v>
      </c>
      <c r="AE1079">
        <v>14951.24</v>
      </c>
      <c r="AF1079">
        <v>3923382.76</v>
      </c>
      <c r="AG1079">
        <v>3923382.76</v>
      </c>
      <c r="AH1079">
        <v>0</v>
      </c>
      <c r="AI1079">
        <v>0</v>
      </c>
    </row>
    <row r="1080" spans="13:35" x14ac:dyDescent="0.35">
      <c r="M1080" t="s">
        <v>3</v>
      </c>
      <c r="N1080">
        <v>5750</v>
      </c>
      <c r="O1080">
        <v>192</v>
      </c>
      <c r="P1080">
        <v>13</v>
      </c>
      <c r="Q1080">
        <v>0</v>
      </c>
      <c r="R1080">
        <v>81575326</v>
      </c>
      <c r="S1080">
        <v>310615.48</v>
      </c>
      <c r="T1080">
        <v>81264710.519999996</v>
      </c>
      <c r="U1080">
        <v>81264710.519999996</v>
      </c>
      <c r="V1080">
        <v>0</v>
      </c>
      <c r="W1080">
        <v>0</v>
      </c>
      <c r="Y1080" t="s">
        <v>1</v>
      </c>
      <c r="Z1080">
        <v>4750</v>
      </c>
      <c r="AA1080">
        <v>240</v>
      </c>
      <c r="AB1080">
        <v>27</v>
      </c>
      <c r="AC1080">
        <v>0</v>
      </c>
      <c r="AD1080">
        <v>146336458</v>
      </c>
      <c r="AE1080">
        <v>905226.75</v>
      </c>
      <c r="AF1080">
        <v>145431231.25</v>
      </c>
      <c r="AG1080">
        <v>145431231.25</v>
      </c>
      <c r="AH1080">
        <v>0</v>
      </c>
      <c r="AI1080">
        <v>0</v>
      </c>
    </row>
    <row r="1081" spans="13:35" x14ac:dyDescent="0.35">
      <c r="M1081" t="s">
        <v>1</v>
      </c>
      <c r="N1081">
        <v>5750</v>
      </c>
      <c r="O1081">
        <v>192</v>
      </c>
      <c r="P1081">
        <v>32</v>
      </c>
      <c r="Q1081">
        <v>0</v>
      </c>
      <c r="R1081">
        <v>182061184</v>
      </c>
      <c r="S1081">
        <v>689366.01</v>
      </c>
      <c r="T1081">
        <v>181371817.99000001</v>
      </c>
      <c r="U1081">
        <v>181371817.99000001</v>
      </c>
      <c r="V1081">
        <v>0</v>
      </c>
      <c r="W1081">
        <v>0</v>
      </c>
      <c r="Y1081" t="s">
        <v>1</v>
      </c>
      <c r="Z1081">
        <v>4250</v>
      </c>
      <c r="AA1081">
        <v>216</v>
      </c>
      <c r="AB1081">
        <v>73</v>
      </c>
      <c r="AC1081">
        <v>0</v>
      </c>
      <c r="AD1081">
        <v>832219854</v>
      </c>
      <c r="AE1081">
        <v>3868159.2</v>
      </c>
      <c r="AF1081">
        <v>820328262.72000003</v>
      </c>
      <c r="AG1081">
        <v>828351694.79999995</v>
      </c>
      <c r="AH1081">
        <v>0.10975</v>
      </c>
      <c r="AI1081">
        <v>0</v>
      </c>
    </row>
    <row r="1082" spans="13:35" x14ac:dyDescent="0.35">
      <c r="M1082" t="s">
        <v>0</v>
      </c>
      <c r="N1082">
        <v>6250</v>
      </c>
      <c r="O1082">
        <v>192</v>
      </c>
      <c r="P1082">
        <v>117</v>
      </c>
      <c r="Q1082">
        <v>0</v>
      </c>
      <c r="R1082">
        <v>769655406</v>
      </c>
      <c r="S1082">
        <v>2738380.53</v>
      </c>
      <c r="T1082">
        <v>766917025.47000003</v>
      </c>
      <c r="U1082">
        <v>766917025.47000003</v>
      </c>
      <c r="V1082">
        <v>0</v>
      </c>
      <c r="W1082">
        <v>0</v>
      </c>
      <c r="Y1082" t="s">
        <v>3</v>
      </c>
      <c r="Z1082">
        <v>5250</v>
      </c>
      <c r="AA1082">
        <v>216</v>
      </c>
      <c r="AB1082">
        <v>56</v>
      </c>
      <c r="AC1082">
        <v>0</v>
      </c>
      <c r="AD1082">
        <v>503060156</v>
      </c>
      <c r="AE1082">
        <v>2117922.15</v>
      </c>
      <c r="AF1082">
        <v>500524075.06</v>
      </c>
      <c r="AG1082">
        <v>500942233.85000002</v>
      </c>
      <c r="AH1082">
        <v>9.9290000000000003E-3</v>
      </c>
      <c r="AI1082">
        <v>0</v>
      </c>
    </row>
    <row r="1083" spans="13:35" x14ac:dyDescent="0.35">
      <c r="M1083" t="s">
        <v>0</v>
      </c>
      <c r="N1083">
        <v>6750</v>
      </c>
      <c r="O1083">
        <v>192</v>
      </c>
      <c r="P1083">
        <v>20</v>
      </c>
      <c r="Q1083">
        <v>0</v>
      </c>
      <c r="R1083">
        <v>108183632</v>
      </c>
      <c r="S1083">
        <v>374142.19</v>
      </c>
      <c r="T1083">
        <v>107809489.81</v>
      </c>
      <c r="U1083">
        <v>107809489.81</v>
      </c>
      <c r="V1083">
        <v>0</v>
      </c>
      <c r="W1083">
        <v>0</v>
      </c>
      <c r="Y1083" t="s">
        <v>3</v>
      </c>
      <c r="Z1083">
        <v>4750</v>
      </c>
      <c r="AA1083">
        <v>216</v>
      </c>
      <c r="AB1083">
        <v>11</v>
      </c>
      <c r="AC1083">
        <v>0</v>
      </c>
      <c r="AD1083">
        <v>96633462</v>
      </c>
      <c r="AE1083">
        <v>428257.04</v>
      </c>
      <c r="AF1083">
        <v>96205204.959999993</v>
      </c>
      <c r="AG1083">
        <v>96205204.959999993</v>
      </c>
      <c r="AH1083">
        <v>0</v>
      </c>
      <c r="AI1083">
        <v>0</v>
      </c>
    </row>
    <row r="1084" spans="13:35" x14ac:dyDescent="0.35">
      <c r="M1084" t="s">
        <v>3</v>
      </c>
      <c r="N1084">
        <v>6000</v>
      </c>
      <c r="O1084">
        <v>192</v>
      </c>
      <c r="P1084">
        <v>7</v>
      </c>
      <c r="Q1084">
        <v>0</v>
      </c>
      <c r="R1084">
        <v>34927385</v>
      </c>
      <c r="S1084">
        <v>130122.4</v>
      </c>
      <c r="T1084">
        <v>34797262.600000001</v>
      </c>
      <c r="U1084">
        <v>34797262.600000001</v>
      </c>
      <c r="V1084">
        <v>0</v>
      </c>
      <c r="W1084">
        <v>0</v>
      </c>
      <c r="Y1084" t="s">
        <v>1</v>
      </c>
      <c r="Z1084">
        <v>4250</v>
      </c>
      <c r="AA1084">
        <v>240</v>
      </c>
      <c r="AB1084">
        <v>5</v>
      </c>
      <c r="AC1084">
        <v>0</v>
      </c>
      <c r="AD1084">
        <v>17083331</v>
      </c>
      <c r="AE1084">
        <v>151013.76999999999</v>
      </c>
      <c r="AF1084">
        <v>16932317.23</v>
      </c>
      <c r="AG1084">
        <v>16932317.23</v>
      </c>
      <c r="AH1084">
        <v>0</v>
      </c>
      <c r="AI1084">
        <v>0</v>
      </c>
    </row>
    <row r="1085" spans="13:35" x14ac:dyDescent="0.35">
      <c r="M1085" t="s">
        <v>0</v>
      </c>
      <c r="N1085">
        <v>7250</v>
      </c>
      <c r="O1085">
        <v>192</v>
      </c>
      <c r="P1085">
        <v>15</v>
      </c>
      <c r="Q1085">
        <v>0</v>
      </c>
      <c r="R1085">
        <v>106369323</v>
      </c>
      <c r="S1085">
        <v>322947</v>
      </c>
      <c r="T1085">
        <v>106046376</v>
      </c>
      <c r="U1085">
        <v>106046376</v>
      </c>
      <c r="V1085">
        <v>0</v>
      </c>
      <c r="W1085">
        <v>0</v>
      </c>
      <c r="Y1085" t="s">
        <v>2</v>
      </c>
      <c r="Z1085">
        <v>4250</v>
      </c>
      <c r="AA1085">
        <v>216</v>
      </c>
      <c r="AB1085">
        <v>14</v>
      </c>
      <c r="AC1085">
        <v>0</v>
      </c>
      <c r="AD1085">
        <v>153364539</v>
      </c>
      <c r="AE1085">
        <v>706157.37</v>
      </c>
      <c r="AF1085">
        <v>152658381.63</v>
      </c>
      <c r="AG1085">
        <v>152658381.63</v>
      </c>
      <c r="AH1085">
        <v>0</v>
      </c>
      <c r="AI1085">
        <v>0</v>
      </c>
    </row>
    <row r="1086" spans="13:35" x14ac:dyDescent="0.35">
      <c r="M1086" t="s">
        <v>3</v>
      </c>
      <c r="N1086">
        <v>3750</v>
      </c>
      <c r="O1086">
        <v>192</v>
      </c>
      <c r="P1086">
        <v>98</v>
      </c>
      <c r="Q1086">
        <v>0</v>
      </c>
      <c r="R1086">
        <v>1275556574</v>
      </c>
      <c r="S1086">
        <v>4967602.55</v>
      </c>
      <c r="T1086">
        <v>1269323758.6500001</v>
      </c>
      <c r="U1086">
        <v>1270588971.45</v>
      </c>
      <c r="V1086">
        <v>1.1838E-2</v>
      </c>
      <c r="W1086">
        <v>0</v>
      </c>
      <c r="Y1086" t="s">
        <v>3</v>
      </c>
      <c r="Z1086">
        <v>5250</v>
      </c>
      <c r="AA1086">
        <v>192</v>
      </c>
      <c r="AB1086">
        <v>131</v>
      </c>
      <c r="AC1086">
        <v>0</v>
      </c>
      <c r="AD1086">
        <v>1159187575</v>
      </c>
      <c r="AE1086">
        <v>4463137.01</v>
      </c>
      <c r="AF1086">
        <v>1148380453.1500001</v>
      </c>
      <c r="AG1086">
        <v>1148380453.1500001</v>
      </c>
      <c r="AH1086">
        <v>6.3731999999999997E-2</v>
      </c>
      <c r="AI1086">
        <v>6.3731999999999997E-2</v>
      </c>
    </row>
    <row r="1087" spans="13:35" x14ac:dyDescent="0.35">
      <c r="M1087" t="s">
        <v>2</v>
      </c>
      <c r="N1087">
        <v>3500</v>
      </c>
      <c r="O1087">
        <v>216</v>
      </c>
      <c r="P1087">
        <v>1</v>
      </c>
      <c r="Q1087">
        <v>0</v>
      </c>
      <c r="R1087">
        <v>12933242</v>
      </c>
      <c r="S1087">
        <v>68855.240000000005</v>
      </c>
      <c r="T1087">
        <v>12864386.76</v>
      </c>
      <c r="U1087">
        <v>12864386.76</v>
      </c>
      <c r="V1087">
        <v>0</v>
      </c>
      <c r="W1087">
        <v>0</v>
      </c>
      <c r="Y1087" t="s">
        <v>1</v>
      </c>
      <c r="Z1087">
        <v>5750</v>
      </c>
      <c r="AA1087">
        <v>192</v>
      </c>
      <c r="AB1087">
        <v>41</v>
      </c>
      <c r="AC1087">
        <v>0</v>
      </c>
      <c r="AD1087">
        <v>220681674</v>
      </c>
      <c r="AE1087">
        <v>836946.27</v>
      </c>
      <c r="AF1087">
        <v>219844727.72999999</v>
      </c>
      <c r="AG1087">
        <v>219844727.72999999</v>
      </c>
      <c r="AH1087">
        <v>0</v>
      </c>
      <c r="AI1087">
        <v>0</v>
      </c>
    </row>
    <row r="1088" spans="13:35" x14ac:dyDescent="0.35">
      <c r="M1088" t="s">
        <v>0</v>
      </c>
      <c r="N1088">
        <v>3500</v>
      </c>
      <c r="O1088">
        <v>216</v>
      </c>
      <c r="P1088">
        <v>1</v>
      </c>
      <c r="Q1088">
        <v>0</v>
      </c>
      <c r="R1088">
        <v>10895665</v>
      </c>
      <c r="S1088">
        <v>51984.31</v>
      </c>
      <c r="T1088">
        <v>10843680.689999999</v>
      </c>
      <c r="U1088">
        <v>10843680.689999999</v>
      </c>
      <c r="V1088">
        <v>0</v>
      </c>
      <c r="W1088">
        <v>0</v>
      </c>
      <c r="Y1088" t="s">
        <v>3</v>
      </c>
      <c r="Z1088">
        <v>5750</v>
      </c>
      <c r="AA1088">
        <v>192</v>
      </c>
      <c r="AB1088">
        <v>14</v>
      </c>
      <c r="AC1088">
        <v>0</v>
      </c>
      <c r="AD1088">
        <v>84426832</v>
      </c>
      <c r="AE1088">
        <v>319009.19</v>
      </c>
      <c r="AF1088">
        <v>84107822.810000002</v>
      </c>
      <c r="AG1088">
        <v>84107822.810000002</v>
      </c>
      <c r="AH1088">
        <v>0</v>
      </c>
      <c r="AI1088">
        <v>0</v>
      </c>
    </row>
    <row r="1089" spans="13:35" x14ac:dyDescent="0.35">
      <c r="M1089" t="s">
        <v>3</v>
      </c>
      <c r="N1089">
        <v>6750</v>
      </c>
      <c r="O1089">
        <v>24</v>
      </c>
      <c r="P1089">
        <v>158</v>
      </c>
      <c r="Q1089">
        <v>0</v>
      </c>
      <c r="R1089">
        <v>4365538045</v>
      </c>
      <c r="S1089">
        <v>4374728.34</v>
      </c>
      <c r="T1089">
        <v>4305512611</v>
      </c>
      <c r="U1089">
        <v>4337434816.5100002</v>
      </c>
      <c r="V1089">
        <v>0.14269000000000001</v>
      </c>
      <c r="W1089">
        <v>6.3310000000000005E-2</v>
      </c>
      <c r="Y1089" t="s">
        <v>0</v>
      </c>
      <c r="Z1089">
        <v>6250</v>
      </c>
      <c r="AA1089">
        <v>192</v>
      </c>
      <c r="AB1089">
        <v>127</v>
      </c>
      <c r="AC1089">
        <v>0</v>
      </c>
      <c r="AD1089">
        <v>851463656</v>
      </c>
      <c r="AE1089">
        <v>3015222.09</v>
      </c>
      <c r="AF1089">
        <v>832416557.46000004</v>
      </c>
      <c r="AG1089">
        <v>839477765.33000004</v>
      </c>
      <c r="AH1089">
        <v>0.203953</v>
      </c>
      <c r="AI1089">
        <v>0.119352</v>
      </c>
    </row>
    <row r="1090" spans="13:35" x14ac:dyDescent="0.35">
      <c r="M1090" t="s">
        <v>2</v>
      </c>
      <c r="N1090">
        <v>8000</v>
      </c>
      <c r="O1090">
        <v>240</v>
      </c>
      <c r="P1090">
        <v>1</v>
      </c>
      <c r="Q1090">
        <v>0</v>
      </c>
      <c r="R1090">
        <v>2381243</v>
      </c>
      <c r="S1090">
        <v>12866.36</v>
      </c>
      <c r="T1090">
        <v>2368376.64</v>
      </c>
      <c r="U1090">
        <v>2368376.64</v>
      </c>
      <c r="V1090">
        <v>0</v>
      </c>
      <c r="W1090">
        <v>0</v>
      </c>
      <c r="Y1090" t="s">
        <v>0</v>
      </c>
      <c r="Z1090">
        <v>3750</v>
      </c>
      <c r="AA1090">
        <v>216</v>
      </c>
      <c r="AB1090">
        <v>2</v>
      </c>
      <c r="AC1090">
        <v>0</v>
      </c>
      <c r="AD1090">
        <v>17489947</v>
      </c>
      <c r="AE1090">
        <v>80253.679999999993</v>
      </c>
      <c r="AF1090">
        <v>17409693.32</v>
      </c>
      <c r="AG1090">
        <v>17409693.32</v>
      </c>
      <c r="AH1090">
        <v>0</v>
      </c>
      <c r="AI1090">
        <v>0</v>
      </c>
    </row>
    <row r="1091" spans="13:35" x14ac:dyDescent="0.35">
      <c r="M1091" t="s">
        <v>1</v>
      </c>
      <c r="N1091">
        <v>4250</v>
      </c>
      <c r="O1091">
        <v>144</v>
      </c>
      <c r="P1091">
        <v>14737</v>
      </c>
      <c r="Q1091">
        <v>0</v>
      </c>
      <c r="R1091">
        <v>176414068617</v>
      </c>
      <c r="S1091">
        <v>518183891.24000001</v>
      </c>
      <c r="T1091">
        <v>174769803152.23001</v>
      </c>
      <c r="U1091">
        <v>175760547336.34</v>
      </c>
      <c r="V1091">
        <v>7.3965000000000003E-2</v>
      </c>
      <c r="W1091">
        <v>9.1669999999999998E-3</v>
      </c>
      <c r="Y1091" t="s">
        <v>0</v>
      </c>
      <c r="Z1091">
        <v>6750</v>
      </c>
      <c r="AA1091">
        <v>192</v>
      </c>
      <c r="AB1091">
        <v>20</v>
      </c>
      <c r="AC1091">
        <v>0</v>
      </c>
      <c r="AD1091">
        <v>108565132</v>
      </c>
      <c r="AE1091">
        <v>372095.22</v>
      </c>
      <c r="AF1091">
        <v>108193036.78</v>
      </c>
      <c r="AG1091">
        <v>108193036.78</v>
      </c>
      <c r="AH1091">
        <v>0</v>
      </c>
      <c r="AI1091">
        <v>0</v>
      </c>
    </row>
    <row r="1092" spans="13:35" x14ac:dyDescent="0.35">
      <c r="M1092" t="s">
        <v>1</v>
      </c>
      <c r="N1092">
        <v>4750</v>
      </c>
      <c r="O1092">
        <v>144</v>
      </c>
      <c r="P1092">
        <v>1872</v>
      </c>
      <c r="Q1092">
        <v>0</v>
      </c>
      <c r="R1092">
        <v>18615347726</v>
      </c>
      <c r="S1092">
        <v>51784801.939999998</v>
      </c>
      <c r="T1092">
        <v>18456108489.110001</v>
      </c>
      <c r="U1092">
        <v>18528492024.220001</v>
      </c>
      <c r="V1092">
        <v>6.7111000000000004E-2</v>
      </c>
      <c r="W1092">
        <v>2.2374999999999999E-2</v>
      </c>
      <c r="Y1092" t="s">
        <v>3</v>
      </c>
      <c r="Z1092">
        <v>6000</v>
      </c>
      <c r="AA1092">
        <v>192</v>
      </c>
      <c r="AB1092">
        <v>7</v>
      </c>
      <c r="AC1092">
        <v>0</v>
      </c>
      <c r="AD1092">
        <v>35132052</v>
      </c>
      <c r="AE1092">
        <v>129739.41</v>
      </c>
      <c r="AF1092">
        <v>35002312.590000004</v>
      </c>
      <c r="AG1092">
        <v>35002312.590000004</v>
      </c>
      <c r="AH1092">
        <v>0</v>
      </c>
      <c r="AI1092">
        <v>0</v>
      </c>
    </row>
    <row r="1093" spans="13:35" x14ac:dyDescent="0.35">
      <c r="M1093" t="s">
        <v>3</v>
      </c>
      <c r="N1093">
        <v>6250</v>
      </c>
      <c r="O1093">
        <v>20</v>
      </c>
      <c r="P1093">
        <v>36</v>
      </c>
      <c r="Q1093">
        <v>0</v>
      </c>
      <c r="R1093">
        <v>942476213</v>
      </c>
      <c r="S1093">
        <v>1017789.4399999999</v>
      </c>
      <c r="T1093">
        <v>941458423.55999994</v>
      </c>
      <c r="U1093">
        <v>941458423.55999994</v>
      </c>
      <c r="V1093">
        <v>0</v>
      </c>
      <c r="W1093">
        <v>0</v>
      </c>
      <c r="Y1093" t="s">
        <v>0</v>
      </c>
      <c r="Z1093">
        <v>7250</v>
      </c>
      <c r="AA1093">
        <v>192</v>
      </c>
      <c r="AB1093">
        <v>15</v>
      </c>
      <c r="AC1093">
        <v>0</v>
      </c>
      <c r="AD1093">
        <v>106735099</v>
      </c>
      <c r="AE1093">
        <v>321147.13</v>
      </c>
      <c r="AF1093">
        <v>106413951.87</v>
      </c>
      <c r="AG1093">
        <v>106413951.87</v>
      </c>
      <c r="AH1093">
        <v>0</v>
      </c>
      <c r="AI1093">
        <v>0</v>
      </c>
    </row>
    <row r="1094" spans="13:35" x14ac:dyDescent="0.35">
      <c r="M1094" t="s">
        <v>3</v>
      </c>
      <c r="N1094">
        <v>6750</v>
      </c>
      <c r="O1094">
        <v>20</v>
      </c>
      <c r="P1094">
        <v>80</v>
      </c>
      <c r="Q1094">
        <v>0</v>
      </c>
      <c r="R1094">
        <v>2513376679</v>
      </c>
      <c r="S1094">
        <v>2481387.89</v>
      </c>
      <c r="T1094">
        <v>2448054194.77</v>
      </c>
      <c r="U1094">
        <v>2510895291.1100001</v>
      </c>
      <c r="V1094">
        <v>0.26202599999999998</v>
      </c>
      <c r="W1094">
        <v>0</v>
      </c>
      <c r="Y1094" t="s">
        <v>3</v>
      </c>
      <c r="Z1094">
        <v>3750</v>
      </c>
      <c r="AA1094">
        <v>192</v>
      </c>
      <c r="AB1094">
        <v>65</v>
      </c>
      <c r="AC1094">
        <v>0</v>
      </c>
      <c r="AD1094">
        <v>864038897</v>
      </c>
      <c r="AE1094">
        <v>3366414.92</v>
      </c>
      <c r="AF1094">
        <v>860672482.08000004</v>
      </c>
      <c r="AG1094">
        <v>860672482.08000004</v>
      </c>
      <c r="AH1094">
        <v>0</v>
      </c>
      <c r="AI1094">
        <v>0</v>
      </c>
    </row>
    <row r="1095" spans="13:35" x14ac:dyDescent="0.35">
      <c r="M1095" t="s">
        <v>3</v>
      </c>
      <c r="N1095">
        <v>5750</v>
      </c>
      <c r="O1095">
        <v>18</v>
      </c>
      <c r="P1095">
        <v>32</v>
      </c>
      <c r="Q1095">
        <v>0</v>
      </c>
      <c r="R1095">
        <v>933960598</v>
      </c>
      <c r="S1095">
        <v>1091781.3899999999</v>
      </c>
      <c r="T1095">
        <v>932868816.61000001</v>
      </c>
      <c r="U1095">
        <v>932868816.61000001</v>
      </c>
      <c r="V1095">
        <v>0</v>
      </c>
      <c r="W1095">
        <v>0</v>
      </c>
      <c r="Y1095" t="s">
        <v>2</v>
      </c>
      <c r="Z1095">
        <v>3500</v>
      </c>
      <c r="AA1095">
        <v>216</v>
      </c>
      <c r="AB1095">
        <v>1</v>
      </c>
      <c r="AC1095">
        <v>0</v>
      </c>
      <c r="AD1095">
        <v>13002464</v>
      </c>
      <c r="AE1095">
        <v>68657.990000000005</v>
      </c>
      <c r="AF1095">
        <v>12933806.01</v>
      </c>
      <c r="AG1095">
        <v>12933806.01</v>
      </c>
      <c r="AH1095">
        <v>0</v>
      </c>
      <c r="AI1095">
        <v>0</v>
      </c>
    </row>
    <row r="1096" spans="13:35" x14ac:dyDescent="0.35">
      <c r="M1096" t="s">
        <v>3</v>
      </c>
      <c r="N1096">
        <v>5500</v>
      </c>
      <c r="O1096">
        <v>18</v>
      </c>
      <c r="P1096">
        <v>11</v>
      </c>
      <c r="Q1096">
        <v>0</v>
      </c>
      <c r="R1096">
        <v>385626346</v>
      </c>
      <c r="S1096">
        <v>471227.4</v>
      </c>
      <c r="T1096">
        <v>385155118.60000002</v>
      </c>
      <c r="U1096">
        <v>385155118.60000002</v>
      </c>
      <c r="V1096">
        <v>0</v>
      </c>
      <c r="W1096">
        <v>0</v>
      </c>
      <c r="Y1096" t="s">
        <v>0</v>
      </c>
      <c r="Z1096">
        <v>3500</v>
      </c>
      <c r="AA1096">
        <v>216</v>
      </c>
      <c r="AB1096">
        <v>1</v>
      </c>
      <c r="AC1096">
        <v>0</v>
      </c>
      <c r="AD1096">
        <v>10955577</v>
      </c>
      <c r="AE1096">
        <v>51876.74</v>
      </c>
      <c r="AF1096">
        <v>10903700.26</v>
      </c>
      <c r="AG1096">
        <v>10903700.26</v>
      </c>
      <c r="AH1096">
        <v>0</v>
      </c>
      <c r="AI1096">
        <v>0</v>
      </c>
    </row>
    <row r="1097" spans="13:35" x14ac:dyDescent="0.35">
      <c r="M1097" t="s">
        <v>0</v>
      </c>
      <c r="N1097">
        <v>5250</v>
      </c>
      <c r="O1097">
        <v>144</v>
      </c>
      <c r="P1097">
        <v>1887</v>
      </c>
      <c r="Q1097">
        <v>0</v>
      </c>
      <c r="R1097">
        <v>13697642043</v>
      </c>
      <c r="S1097">
        <v>35676061.060000002</v>
      </c>
      <c r="T1097">
        <v>13489506658.5</v>
      </c>
      <c r="U1097">
        <v>13630895319.4</v>
      </c>
      <c r="V1097">
        <v>0.14105000000000001</v>
      </c>
      <c r="W1097">
        <v>2.6883000000000001E-2</v>
      </c>
      <c r="Y1097" t="s">
        <v>1</v>
      </c>
      <c r="Z1097">
        <v>4750</v>
      </c>
      <c r="AA1097">
        <v>168</v>
      </c>
      <c r="AB1097">
        <v>1719</v>
      </c>
      <c r="AC1097">
        <v>0</v>
      </c>
      <c r="AD1097">
        <v>16755591831</v>
      </c>
      <c r="AE1097">
        <v>51195163.469999999</v>
      </c>
      <c r="AF1097">
        <v>16611332617.700001</v>
      </c>
      <c r="AG1097">
        <v>16704396667.530001</v>
      </c>
      <c r="AH1097">
        <v>6.4652000000000001E-2</v>
      </c>
      <c r="AI1097">
        <v>0</v>
      </c>
    </row>
    <row r="1098" spans="13:35" x14ac:dyDescent="0.35">
      <c r="M1098" t="s">
        <v>1</v>
      </c>
      <c r="N1098">
        <v>4750</v>
      </c>
      <c r="O1098">
        <v>168</v>
      </c>
      <c r="P1098">
        <v>1864</v>
      </c>
      <c r="Q1098">
        <v>0</v>
      </c>
      <c r="R1098">
        <v>18164213413</v>
      </c>
      <c r="S1098">
        <v>55718481.579999998</v>
      </c>
      <c r="T1098">
        <v>18029865359.490002</v>
      </c>
      <c r="U1098">
        <v>18086087755.759998</v>
      </c>
      <c r="V1098">
        <v>5.0727000000000001E-2</v>
      </c>
      <c r="W1098">
        <v>1.4703000000000001E-2</v>
      </c>
      <c r="Y1098" t="s">
        <v>0</v>
      </c>
      <c r="Z1098">
        <v>5250</v>
      </c>
      <c r="AA1098">
        <v>168</v>
      </c>
      <c r="AB1098">
        <v>1584</v>
      </c>
      <c r="AC1098">
        <v>0</v>
      </c>
      <c r="AD1098">
        <v>11931630928</v>
      </c>
      <c r="AE1098">
        <v>34838782.5</v>
      </c>
      <c r="AF1098">
        <v>11853958688.969999</v>
      </c>
      <c r="AG1098">
        <v>11896792145.5</v>
      </c>
      <c r="AH1098">
        <v>4.2237999999999998E-2</v>
      </c>
      <c r="AI1098">
        <v>0</v>
      </c>
    </row>
    <row r="1099" spans="13:35" x14ac:dyDescent="0.35">
      <c r="M1099" t="s">
        <v>1</v>
      </c>
      <c r="N1099">
        <v>5250</v>
      </c>
      <c r="O1099">
        <v>144</v>
      </c>
      <c r="P1099">
        <v>117</v>
      </c>
      <c r="Q1099">
        <v>0</v>
      </c>
      <c r="R1099">
        <v>993936202</v>
      </c>
      <c r="S1099">
        <v>2592539.39</v>
      </c>
      <c r="T1099">
        <v>983295055.00999999</v>
      </c>
      <c r="U1099">
        <v>991343662.61000001</v>
      </c>
      <c r="V1099">
        <v>9.2959E-2</v>
      </c>
      <c r="W1099">
        <v>0</v>
      </c>
      <c r="Y1099" t="s">
        <v>0</v>
      </c>
      <c r="Z1099">
        <v>5750</v>
      </c>
      <c r="AA1099">
        <v>168</v>
      </c>
      <c r="AB1099">
        <v>114</v>
      </c>
      <c r="AC1099">
        <v>0</v>
      </c>
      <c r="AD1099">
        <v>750700352</v>
      </c>
      <c r="AE1099">
        <v>2072469.56</v>
      </c>
      <c r="AF1099">
        <v>743206558.89999998</v>
      </c>
      <c r="AG1099">
        <v>748627882.44000006</v>
      </c>
      <c r="AH1099">
        <v>8.3299999999999999E-2</v>
      </c>
      <c r="AI1099">
        <v>0</v>
      </c>
    </row>
    <row r="1100" spans="13:35" x14ac:dyDescent="0.35">
      <c r="M1100" t="s">
        <v>2</v>
      </c>
      <c r="N1100">
        <v>4250</v>
      </c>
      <c r="O1100">
        <v>120</v>
      </c>
      <c r="P1100">
        <v>4093</v>
      </c>
      <c r="Q1100">
        <v>0</v>
      </c>
      <c r="R1100">
        <v>36349416444</v>
      </c>
      <c r="S1100">
        <v>93600229</v>
      </c>
      <c r="T1100">
        <v>35993119349.870003</v>
      </c>
      <c r="U1100">
        <v>36239869058.550003</v>
      </c>
      <c r="V1100">
        <v>8.3358000000000002E-2</v>
      </c>
      <c r="W1100">
        <v>5.2519999999999997E-3</v>
      </c>
      <c r="Y1100" t="s">
        <v>0</v>
      </c>
      <c r="Z1100">
        <v>6500</v>
      </c>
      <c r="AA1100">
        <v>168</v>
      </c>
      <c r="AB1100">
        <v>112</v>
      </c>
      <c r="AC1100">
        <v>0</v>
      </c>
      <c r="AD1100">
        <v>811567951</v>
      </c>
      <c r="AE1100">
        <v>2225541.5</v>
      </c>
      <c r="AF1100">
        <v>809342409.5</v>
      </c>
      <c r="AG1100">
        <v>809342409.5</v>
      </c>
      <c r="AH1100">
        <v>0</v>
      </c>
      <c r="AI1100">
        <v>0</v>
      </c>
    </row>
    <row r="1101" spans="13:35" x14ac:dyDescent="0.35">
      <c r="M1101" t="s">
        <v>0</v>
      </c>
      <c r="N1101">
        <v>5250</v>
      </c>
      <c r="O1101">
        <v>120</v>
      </c>
      <c r="P1101">
        <v>671</v>
      </c>
      <c r="Q1101">
        <v>0</v>
      </c>
      <c r="R1101">
        <v>5727872250</v>
      </c>
      <c r="S1101">
        <v>13123611.789999999</v>
      </c>
      <c r="T1101">
        <v>5683548692.4300003</v>
      </c>
      <c r="U1101">
        <v>5697016065.1899996</v>
      </c>
      <c r="V1101">
        <v>6.3440999999999997E-2</v>
      </c>
      <c r="W1101">
        <v>3.6524000000000001E-2</v>
      </c>
      <c r="Y1101" t="s">
        <v>3</v>
      </c>
      <c r="Z1101">
        <v>6750</v>
      </c>
      <c r="AA1101">
        <v>20</v>
      </c>
      <c r="AB1101">
        <v>95</v>
      </c>
      <c r="AC1101">
        <v>0</v>
      </c>
      <c r="AD1101">
        <v>2750707385</v>
      </c>
      <c r="AE1101">
        <v>2707081.11</v>
      </c>
      <c r="AF1101">
        <v>2748000303.8899999</v>
      </c>
      <c r="AG1101">
        <v>2748000303.8899999</v>
      </c>
      <c r="AH1101">
        <v>0</v>
      </c>
      <c r="AI1101">
        <v>0</v>
      </c>
    </row>
    <row r="1102" spans="13:35" x14ac:dyDescent="0.35">
      <c r="M1102" t="s">
        <v>0</v>
      </c>
      <c r="N1102">
        <v>2750</v>
      </c>
      <c r="O1102">
        <v>120</v>
      </c>
      <c r="P1102">
        <v>492</v>
      </c>
      <c r="Q1102">
        <v>0</v>
      </c>
      <c r="R1102">
        <v>6932224153</v>
      </c>
      <c r="S1102">
        <v>21056140.879999999</v>
      </c>
      <c r="T1102">
        <v>6886001319.1300001</v>
      </c>
      <c r="U1102">
        <v>6911168012.1199999</v>
      </c>
      <c r="V1102">
        <v>4.2705E-2</v>
      </c>
      <c r="W1102">
        <v>0</v>
      </c>
      <c r="Y1102" t="s">
        <v>2</v>
      </c>
      <c r="Z1102">
        <v>8000</v>
      </c>
      <c r="AA1102">
        <v>240</v>
      </c>
      <c r="AB1102">
        <v>1</v>
      </c>
      <c r="AC1102">
        <v>0</v>
      </c>
      <c r="AD1102">
        <v>2381243</v>
      </c>
      <c r="AE1102">
        <v>12715.22</v>
      </c>
      <c r="AF1102">
        <v>2368527.7799999998</v>
      </c>
      <c r="AG1102">
        <v>2368527.7799999998</v>
      </c>
      <c r="AH1102">
        <v>0</v>
      </c>
      <c r="AI1102">
        <v>0</v>
      </c>
    </row>
    <row r="1103" spans="13:35" x14ac:dyDescent="0.35">
      <c r="M1103" t="s">
        <v>2</v>
      </c>
      <c r="N1103">
        <v>4750</v>
      </c>
      <c r="O1103">
        <v>120</v>
      </c>
      <c r="P1103">
        <v>408</v>
      </c>
      <c r="Q1103">
        <v>0</v>
      </c>
      <c r="R1103">
        <v>3226432497</v>
      </c>
      <c r="S1103">
        <v>7671062.2999999998</v>
      </c>
      <c r="T1103">
        <v>3211844010.5100002</v>
      </c>
      <c r="U1103">
        <v>3216418168.8099999</v>
      </c>
      <c r="V1103">
        <v>2.5427000000000002E-2</v>
      </c>
      <c r="W1103">
        <v>8.6809999999999995E-3</v>
      </c>
      <c r="Y1103" t="s">
        <v>1</v>
      </c>
      <c r="Z1103">
        <v>4250</v>
      </c>
      <c r="AA1103">
        <v>144</v>
      </c>
      <c r="AB1103">
        <v>15335</v>
      </c>
      <c r="AC1103">
        <v>0</v>
      </c>
      <c r="AD1103">
        <v>184591219945</v>
      </c>
      <c r="AE1103">
        <v>541645979.21000004</v>
      </c>
      <c r="AF1103">
        <v>182866665565.70001</v>
      </c>
      <c r="AG1103">
        <v>183981787437.17999</v>
      </c>
      <c r="AH1103">
        <v>7.4246000000000006E-2</v>
      </c>
      <c r="AI1103">
        <v>4.398E-3</v>
      </c>
    </row>
    <row r="1104" spans="13:35" x14ac:dyDescent="0.35">
      <c r="M1104" t="s">
        <v>0</v>
      </c>
      <c r="N1104">
        <v>3250</v>
      </c>
      <c r="O1104">
        <v>108</v>
      </c>
      <c r="P1104">
        <v>2137</v>
      </c>
      <c r="Q1104">
        <v>0</v>
      </c>
      <c r="R1104">
        <v>32748082118</v>
      </c>
      <c r="S1104">
        <v>88568967.459999993</v>
      </c>
      <c r="T1104">
        <v>32506722956.869999</v>
      </c>
      <c r="U1104">
        <v>32632148472.200001</v>
      </c>
      <c r="V1104">
        <v>5.4573000000000003E-2</v>
      </c>
      <c r="W1104">
        <v>9.9810000000000003E-3</v>
      </c>
      <c r="Y1104" t="s">
        <v>1</v>
      </c>
      <c r="Z1104">
        <v>4750</v>
      </c>
      <c r="AA1104">
        <v>144</v>
      </c>
      <c r="AB1104">
        <v>1992</v>
      </c>
      <c r="AC1104">
        <v>0</v>
      </c>
      <c r="AD1104">
        <v>19764686772</v>
      </c>
      <c r="AE1104">
        <v>55149051.200000003</v>
      </c>
      <c r="AF1104">
        <v>19582893129.799999</v>
      </c>
      <c r="AG1104">
        <v>19658974791.540001</v>
      </c>
      <c r="AH1104">
        <v>7.4238999999999999E-2</v>
      </c>
      <c r="AI1104">
        <v>3.0270999999999999E-2</v>
      </c>
    </row>
    <row r="1105" spans="13:35" x14ac:dyDescent="0.35">
      <c r="M1105" t="s">
        <v>1</v>
      </c>
      <c r="N1105">
        <v>5750</v>
      </c>
      <c r="O1105">
        <v>96</v>
      </c>
      <c r="P1105">
        <v>1112</v>
      </c>
      <c r="Q1105">
        <v>0</v>
      </c>
      <c r="R1105">
        <v>13666799478</v>
      </c>
      <c r="S1105">
        <v>25019260.120000001</v>
      </c>
      <c r="T1105">
        <v>13493866120.190001</v>
      </c>
      <c r="U1105">
        <v>13641780217.879999</v>
      </c>
      <c r="V1105">
        <v>0.122416</v>
      </c>
      <c r="W1105">
        <v>0</v>
      </c>
      <c r="Y1105" t="s">
        <v>3</v>
      </c>
      <c r="Z1105">
        <v>6250</v>
      </c>
      <c r="AA1105">
        <v>20</v>
      </c>
      <c r="AB1105">
        <v>25</v>
      </c>
      <c r="AC1105">
        <v>0</v>
      </c>
      <c r="AD1105">
        <v>631177805</v>
      </c>
      <c r="AE1105">
        <v>680686.43</v>
      </c>
      <c r="AF1105">
        <v>630497118.57000005</v>
      </c>
      <c r="AG1105">
        <v>630497118.57000005</v>
      </c>
      <c r="AH1105">
        <v>0</v>
      </c>
      <c r="AI1105">
        <v>0</v>
      </c>
    </row>
    <row r="1106" spans="13:35" x14ac:dyDescent="0.35">
      <c r="M1106" t="s">
        <v>0</v>
      </c>
      <c r="N1106">
        <v>5250</v>
      </c>
      <c r="O1106">
        <v>108</v>
      </c>
      <c r="P1106">
        <v>5262</v>
      </c>
      <c r="Q1106">
        <v>0</v>
      </c>
      <c r="R1106">
        <v>60555245803</v>
      </c>
      <c r="S1106">
        <v>127644614.81</v>
      </c>
      <c r="T1106">
        <v>59912867912.379997</v>
      </c>
      <c r="U1106">
        <v>60320110411.080002</v>
      </c>
      <c r="V1106">
        <v>9.7366999999999995E-2</v>
      </c>
      <c r="W1106">
        <v>2.1094000000000002E-2</v>
      </c>
      <c r="Y1106" t="s">
        <v>3</v>
      </c>
      <c r="Z1106">
        <v>6250</v>
      </c>
      <c r="AA1106">
        <v>18</v>
      </c>
      <c r="AB1106">
        <v>56</v>
      </c>
      <c r="AC1106">
        <v>0</v>
      </c>
      <c r="AD1106">
        <v>1534889532</v>
      </c>
      <c r="AE1106">
        <v>1642741</v>
      </c>
      <c r="AF1106">
        <v>1533246791</v>
      </c>
      <c r="AG1106">
        <v>1533246791</v>
      </c>
      <c r="AH1106">
        <v>0</v>
      </c>
      <c r="AI1106">
        <v>0</v>
      </c>
    </row>
    <row r="1107" spans="13:35" x14ac:dyDescent="0.35">
      <c r="M1107" t="s">
        <v>0</v>
      </c>
      <c r="N1107">
        <v>4250</v>
      </c>
      <c r="O1107">
        <v>240</v>
      </c>
      <c r="P1107">
        <v>2</v>
      </c>
      <c r="Q1107">
        <v>0</v>
      </c>
      <c r="R1107">
        <v>13362819</v>
      </c>
      <c r="S1107">
        <v>77511.19</v>
      </c>
      <c r="T1107">
        <v>13285307.810000001</v>
      </c>
      <c r="U1107">
        <v>13285307.810000001</v>
      </c>
      <c r="V1107">
        <v>0</v>
      </c>
      <c r="W1107">
        <v>0</v>
      </c>
      <c r="Y1107" t="s">
        <v>3</v>
      </c>
      <c r="Z1107">
        <v>5750</v>
      </c>
      <c r="AA1107">
        <v>18</v>
      </c>
      <c r="AB1107">
        <v>25</v>
      </c>
      <c r="AC1107">
        <v>0</v>
      </c>
      <c r="AD1107">
        <v>689823000</v>
      </c>
      <c r="AE1107">
        <v>802971.43</v>
      </c>
      <c r="AF1107">
        <v>689020028.57000005</v>
      </c>
      <c r="AG1107">
        <v>689020028.57000005</v>
      </c>
      <c r="AH1107">
        <v>0</v>
      </c>
      <c r="AI1107">
        <v>0</v>
      </c>
    </row>
    <row r="1108" spans="13:35" x14ac:dyDescent="0.35">
      <c r="M1108" t="s">
        <v>2</v>
      </c>
      <c r="N1108">
        <v>4500</v>
      </c>
      <c r="O1108">
        <v>240</v>
      </c>
      <c r="P1108">
        <v>7</v>
      </c>
      <c r="Q1108">
        <v>0</v>
      </c>
      <c r="R1108">
        <v>39606173</v>
      </c>
      <c r="S1108">
        <v>237369.68</v>
      </c>
      <c r="T1108">
        <v>39368803.32</v>
      </c>
      <c r="U1108">
        <v>39368803.32</v>
      </c>
      <c r="V1108">
        <v>0</v>
      </c>
      <c r="W1108">
        <v>0</v>
      </c>
      <c r="Y1108" t="s">
        <v>3</v>
      </c>
      <c r="Z1108">
        <v>5500</v>
      </c>
      <c r="AA1108">
        <v>18</v>
      </c>
      <c r="AB1108">
        <v>7</v>
      </c>
      <c r="AC1108">
        <v>0</v>
      </c>
      <c r="AD1108">
        <v>269351557</v>
      </c>
      <c r="AE1108">
        <v>329244.65000000002</v>
      </c>
      <c r="AF1108">
        <v>269022312.35000002</v>
      </c>
      <c r="AG1108">
        <v>269022312.35000002</v>
      </c>
      <c r="AH1108">
        <v>0</v>
      </c>
      <c r="AI1108">
        <v>0</v>
      </c>
    </row>
    <row r="1109" spans="13:35" x14ac:dyDescent="0.35">
      <c r="M1109" t="s">
        <v>2</v>
      </c>
      <c r="N1109">
        <v>4250</v>
      </c>
      <c r="O1109">
        <v>320</v>
      </c>
      <c r="P1109">
        <v>1</v>
      </c>
      <c r="Q1109">
        <v>0</v>
      </c>
      <c r="R1109">
        <v>4171839</v>
      </c>
      <c r="S1109">
        <v>31427.17</v>
      </c>
      <c r="T1109">
        <v>4140411.83</v>
      </c>
      <c r="U1109">
        <v>4140411.83</v>
      </c>
      <c r="V1109">
        <v>0</v>
      </c>
      <c r="W1109">
        <v>0</v>
      </c>
      <c r="Y1109" t="s">
        <v>0</v>
      </c>
      <c r="Z1109">
        <v>5250</v>
      </c>
      <c r="AA1109">
        <v>144</v>
      </c>
      <c r="AB1109">
        <v>1981</v>
      </c>
      <c r="AC1109">
        <v>0</v>
      </c>
      <c r="AD1109">
        <v>14302552739</v>
      </c>
      <c r="AE1109">
        <v>37344703.990000002</v>
      </c>
      <c r="AF1109">
        <v>14126162504.65</v>
      </c>
      <c r="AG1109">
        <v>14211029157.440001</v>
      </c>
      <c r="AH1109">
        <v>0.110621</v>
      </c>
      <c r="AI1109">
        <v>4.4520999999999998E-2</v>
      </c>
    </row>
    <row r="1110" spans="13:35" x14ac:dyDescent="0.35">
      <c r="M1110" t="s">
        <v>0</v>
      </c>
      <c r="N1110">
        <v>5250</v>
      </c>
      <c r="O1110">
        <v>168</v>
      </c>
      <c r="P1110">
        <v>1711</v>
      </c>
      <c r="Q1110">
        <v>0</v>
      </c>
      <c r="R1110">
        <v>12761812226</v>
      </c>
      <c r="S1110">
        <v>37420515.700000003</v>
      </c>
      <c r="T1110">
        <v>12662845521.17</v>
      </c>
      <c r="U1110">
        <v>12724391710.299999</v>
      </c>
      <c r="V1110">
        <v>5.6362000000000002E-2</v>
      </c>
      <c r="W1110">
        <v>0</v>
      </c>
      <c r="Y1110" t="s">
        <v>2</v>
      </c>
      <c r="Z1110">
        <v>4250</v>
      </c>
      <c r="AA1110">
        <v>120</v>
      </c>
      <c r="AB1110">
        <v>3853</v>
      </c>
      <c r="AC1110">
        <v>0</v>
      </c>
      <c r="AD1110">
        <v>33505503935</v>
      </c>
      <c r="AE1110">
        <v>86639024.719999999</v>
      </c>
      <c r="AF1110">
        <v>33153750068.91</v>
      </c>
      <c r="AG1110">
        <v>33353033225.549999</v>
      </c>
      <c r="AH1110">
        <v>9.0926000000000007E-2</v>
      </c>
      <c r="AI1110">
        <v>2.3324000000000001E-2</v>
      </c>
    </row>
    <row r="1111" spans="13:35" x14ac:dyDescent="0.35">
      <c r="M1111" t="s">
        <v>1</v>
      </c>
      <c r="N1111">
        <v>5250</v>
      </c>
      <c r="O1111">
        <v>168</v>
      </c>
      <c r="P1111">
        <v>130</v>
      </c>
      <c r="Q1111">
        <v>0</v>
      </c>
      <c r="R1111">
        <v>991191919</v>
      </c>
      <c r="S1111">
        <v>2901840.68</v>
      </c>
      <c r="T1111">
        <v>970288063.48000002</v>
      </c>
      <c r="U1111">
        <v>988290078.32000005</v>
      </c>
      <c r="V1111">
        <v>0.197439</v>
      </c>
      <c r="W1111">
        <v>0</v>
      </c>
      <c r="Y1111" t="s">
        <v>2</v>
      </c>
      <c r="Z1111">
        <v>4750</v>
      </c>
      <c r="AA1111">
        <v>120</v>
      </c>
      <c r="AB1111">
        <v>286</v>
      </c>
      <c r="AC1111">
        <v>0</v>
      </c>
      <c r="AD1111">
        <v>2210685560</v>
      </c>
      <c r="AE1111">
        <v>5289274.05</v>
      </c>
      <c r="AF1111">
        <v>2203466998.3299999</v>
      </c>
      <c r="AG1111">
        <v>2205396285.9499998</v>
      </c>
      <c r="AH1111">
        <v>1.0422000000000001E-2</v>
      </c>
      <c r="AI1111">
        <v>0</v>
      </c>
    </row>
    <row r="1112" spans="13:35" x14ac:dyDescent="0.35">
      <c r="M1112" t="s">
        <v>3</v>
      </c>
      <c r="N1112">
        <v>6250</v>
      </c>
      <c r="O1112">
        <v>16</v>
      </c>
      <c r="P1112">
        <v>62</v>
      </c>
      <c r="Q1112">
        <v>0</v>
      </c>
      <c r="R1112">
        <v>1794331772</v>
      </c>
      <c r="S1112">
        <v>1888396.22</v>
      </c>
      <c r="T1112">
        <v>1792443375.78</v>
      </c>
      <c r="U1112">
        <v>1792443375.78</v>
      </c>
      <c r="V1112">
        <v>0</v>
      </c>
      <c r="W1112">
        <v>0</v>
      </c>
      <c r="Y1112" t="s">
        <v>1</v>
      </c>
      <c r="Z1112">
        <v>5250</v>
      </c>
      <c r="AA1112">
        <v>144</v>
      </c>
      <c r="AB1112">
        <v>119</v>
      </c>
      <c r="AC1112">
        <v>0</v>
      </c>
      <c r="AD1112">
        <v>995579853</v>
      </c>
      <c r="AE1112">
        <v>2591954.94</v>
      </c>
      <c r="AF1112">
        <v>992987898.05999994</v>
      </c>
      <c r="AG1112">
        <v>992987898.05999994</v>
      </c>
      <c r="AH1112">
        <v>0</v>
      </c>
      <c r="AI1112">
        <v>0</v>
      </c>
    </row>
    <row r="1113" spans="13:35" x14ac:dyDescent="0.35">
      <c r="M1113" t="s">
        <v>3</v>
      </c>
      <c r="N1113">
        <v>6250</v>
      </c>
      <c r="O1113">
        <v>18</v>
      </c>
      <c r="P1113">
        <v>63</v>
      </c>
      <c r="Q1113">
        <v>0</v>
      </c>
      <c r="R1113">
        <v>1655698010</v>
      </c>
      <c r="S1113">
        <v>1774142.43</v>
      </c>
      <c r="T1113">
        <v>1653923867.5699999</v>
      </c>
      <c r="U1113">
        <v>1653923867.5699999</v>
      </c>
      <c r="V1113">
        <v>0</v>
      </c>
      <c r="W1113">
        <v>0</v>
      </c>
      <c r="Y1113" t="s">
        <v>0</v>
      </c>
      <c r="Z1113">
        <v>5250</v>
      </c>
      <c r="AA1113">
        <v>120</v>
      </c>
      <c r="AB1113">
        <v>618</v>
      </c>
      <c r="AC1113">
        <v>0</v>
      </c>
      <c r="AD1113">
        <v>5198391483</v>
      </c>
      <c r="AE1113">
        <v>11976963.050000001</v>
      </c>
      <c r="AF1113">
        <v>5181670354.8999996</v>
      </c>
      <c r="AG1113">
        <v>5186414519.9499998</v>
      </c>
      <c r="AH1113">
        <v>1.0897E-2</v>
      </c>
      <c r="AI1113">
        <v>0</v>
      </c>
    </row>
    <row r="1114" spans="13:35" x14ac:dyDescent="0.35">
      <c r="M1114" t="s">
        <v>3</v>
      </c>
      <c r="N1114">
        <v>6750</v>
      </c>
      <c r="O1114">
        <v>16</v>
      </c>
      <c r="P1114">
        <v>34</v>
      </c>
      <c r="Q1114">
        <v>0</v>
      </c>
      <c r="R1114">
        <v>985480835</v>
      </c>
      <c r="S1114">
        <v>954422.17</v>
      </c>
      <c r="T1114">
        <v>984526412.83000004</v>
      </c>
      <c r="U1114">
        <v>984526412.83000004</v>
      </c>
      <c r="V1114">
        <v>0</v>
      </c>
      <c r="W1114">
        <v>0</v>
      </c>
      <c r="Y1114" t="s">
        <v>1</v>
      </c>
      <c r="Z1114">
        <v>4750</v>
      </c>
      <c r="AA1114">
        <v>120</v>
      </c>
      <c r="AB1114">
        <v>643</v>
      </c>
      <c r="AC1114">
        <v>0</v>
      </c>
      <c r="AD1114">
        <v>7105746535</v>
      </c>
      <c r="AE1114">
        <v>17294862.890000001</v>
      </c>
      <c r="AF1114">
        <v>6992903810.8299999</v>
      </c>
      <c r="AG1114">
        <v>7058430203.3800001</v>
      </c>
      <c r="AH1114">
        <v>0.14994399999999999</v>
      </c>
      <c r="AI1114">
        <v>4.9537999999999999E-2</v>
      </c>
    </row>
    <row r="1115" spans="13:35" x14ac:dyDescent="0.35">
      <c r="M1115" t="s">
        <v>3</v>
      </c>
      <c r="N1115">
        <v>6250</v>
      </c>
      <c r="O1115">
        <v>14</v>
      </c>
      <c r="P1115">
        <v>36</v>
      </c>
      <c r="Q1115">
        <v>0</v>
      </c>
      <c r="R1115">
        <v>937618460</v>
      </c>
      <c r="S1115">
        <v>975312.43</v>
      </c>
      <c r="T1115">
        <v>936643147.57000005</v>
      </c>
      <c r="U1115">
        <v>936643147.57000005</v>
      </c>
      <c r="V1115">
        <v>0</v>
      </c>
      <c r="W1115">
        <v>0</v>
      </c>
      <c r="Y1115" t="s">
        <v>0</v>
      </c>
      <c r="Z1115">
        <v>2750</v>
      </c>
      <c r="AA1115">
        <v>120</v>
      </c>
      <c r="AB1115">
        <v>491</v>
      </c>
      <c r="AC1115">
        <v>0</v>
      </c>
      <c r="AD1115">
        <v>6952715091</v>
      </c>
      <c r="AE1115">
        <v>21011382.739999998</v>
      </c>
      <c r="AF1115">
        <v>6876947847.1499996</v>
      </c>
      <c r="AG1115">
        <v>6910426620.1899996</v>
      </c>
      <c r="AH1115">
        <v>9.0518000000000001E-2</v>
      </c>
      <c r="AI1115">
        <v>3.6110999999999997E-2</v>
      </c>
    </row>
    <row r="1116" spans="13:35" x14ac:dyDescent="0.35">
      <c r="M1116" t="s">
        <v>3</v>
      </c>
      <c r="N1116">
        <v>5750</v>
      </c>
      <c r="O1116">
        <v>14</v>
      </c>
      <c r="P1116">
        <v>13</v>
      </c>
      <c r="Q1116">
        <v>0</v>
      </c>
      <c r="R1116">
        <v>348615908</v>
      </c>
      <c r="S1116">
        <v>394520.15</v>
      </c>
      <c r="T1116">
        <v>348221387.85000002</v>
      </c>
      <c r="U1116">
        <v>348221387.85000002</v>
      </c>
      <c r="V1116">
        <v>0</v>
      </c>
      <c r="W1116">
        <v>0</v>
      </c>
      <c r="Y1116" t="s">
        <v>0</v>
      </c>
      <c r="Z1116">
        <v>3250</v>
      </c>
      <c r="AA1116">
        <v>108</v>
      </c>
      <c r="AB1116">
        <v>2324</v>
      </c>
      <c r="AC1116">
        <v>0</v>
      </c>
      <c r="AD1116">
        <v>35743804885</v>
      </c>
      <c r="AE1116">
        <v>96555202.099999994</v>
      </c>
      <c r="AF1116">
        <v>35453076800.779999</v>
      </c>
      <c r="AG1116">
        <v>35647249682.900002</v>
      </c>
      <c r="AH1116">
        <v>6.3274999999999998E-2</v>
      </c>
      <c r="AI1116">
        <v>0</v>
      </c>
    </row>
    <row r="1117" spans="13:35" x14ac:dyDescent="0.35">
      <c r="M1117" t="s">
        <v>3</v>
      </c>
      <c r="N1117">
        <v>6750</v>
      </c>
      <c r="O1117">
        <v>14</v>
      </c>
      <c r="P1117">
        <v>62</v>
      </c>
      <c r="Q1117">
        <v>0</v>
      </c>
      <c r="R1117">
        <v>1924423266</v>
      </c>
      <c r="S1117">
        <v>1829230.62</v>
      </c>
      <c r="T1117">
        <v>1906035831.27</v>
      </c>
      <c r="U1117">
        <v>1922594035.3800001</v>
      </c>
      <c r="V1117">
        <v>9.8502000000000006E-2</v>
      </c>
      <c r="W1117">
        <v>0</v>
      </c>
      <c r="Y1117" t="s">
        <v>1</v>
      </c>
      <c r="Z1117">
        <v>5750</v>
      </c>
      <c r="AA1117">
        <v>96</v>
      </c>
      <c r="AB1117">
        <v>1036</v>
      </c>
      <c r="AC1117">
        <v>0</v>
      </c>
      <c r="AD1117">
        <v>12749186875</v>
      </c>
      <c r="AE1117">
        <v>23261401.5</v>
      </c>
      <c r="AF1117">
        <v>12549081566.07</v>
      </c>
      <c r="AG1117">
        <v>12672120374.07</v>
      </c>
      <c r="AH1117">
        <v>0.15432199999999999</v>
      </c>
      <c r="AI1117">
        <v>4.9484E-2</v>
      </c>
    </row>
    <row r="1118" spans="13:35" x14ac:dyDescent="0.35">
      <c r="M1118" t="s">
        <v>3</v>
      </c>
      <c r="N1118">
        <v>6750</v>
      </c>
      <c r="O1118">
        <v>12</v>
      </c>
      <c r="P1118">
        <v>56</v>
      </c>
      <c r="Q1118">
        <v>0</v>
      </c>
      <c r="R1118">
        <v>1710379941</v>
      </c>
      <c r="S1118">
        <v>1603093.29</v>
      </c>
      <c r="T1118">
        <v>1708776847.71</v>
      </c>
      <c r="U1118">
        <v>1708776847.71</v>
      </c>
      <c r="V1118">
        <v>0</v>
      </c>
      <c r="W1118">
        <v>0</v>
      </c>
      <c r="Y1118" t="s">
        <v>0</v>
      </c>
      <c r="Z1118">
        <v>5250</v>
      </c>
      <c r="AA1118">
        <v>108</v>
      </c>
      <c r="AB1118">
        <v>4683</v>
      </c>
      <c r="AC1118">
        <v>0</v>
      </c>
      <c r="AD1118">
        <v>52904108510</v>
      </c>
      <c r="AE1118">
        <v>111486350.03</v>
      </c>
      <c r="AF1118">
        <v>52270385769.129997</v>
      </c>
      <c r="AG1118">
        <v>52727633852.940002</v>
      </c>
      <c r="AH1118">
        <v>0.112232</v>
      </c>
      <c r="AI1118">
        <v>1.4642000000000001E-2</v>
      </c>
    </row>
    <row r="1119" spans="13:35" x14ac:dyDescent="0.35">
      <c r="M1119" t="s">
        <v>3</v>
      </c>
      <c r="N1119">
        <v>6000</v>
      </c>
      <c r="O1119">
        <v>12</v>
      </c>
      <c r="P1119">
        <v>21</v>
      </c>
      <c r="Q1119">
        <v>0</v>
      </c>
      <c r="R1119">
        <v>580424837</v>
      </c>
      <c r="S1119">
        <v>624591.27</v>
      </c>
      <c r="T1119">
        <v>579800245.73000002</v>
      </c>
      <c r="U1119">
        <v>579800245.73000002</v>
      </c>
      <c r="V1119">
        <v>0</v>
      </c>
      <c r="W1119">
        <v>0</v>
      </c>
      <c r="Y1119" t="s">
        <v>0</v>
      </c>
      <c r="Z1119">
        <v>4250</v>
      </c>
      <c r="AA1119">
        <v>240</v>
      </c>
      <c r="AB1119">
        <v>4</v>
      </c>
      <c r="AC1119">
        <v>0</v>
      </c>
      <c r="AD1119">
        <v>25401300</v>
      </c>
      <c r="AE1119">
        <v>157397</v>
      </c>
      <c r="AF1119">
        <v>25243903</v>
      </c>
      <c r="AG1119">
        <v>25243903</v>
      </c>
      <c r="AH1119">
        <v>0</v>
      </c>
      <c r="AI1119">
        <v>0</v>
      </c>
    </row>
    <row r="1120" spans="13:35" x14ac:dyDescent="0.35">
      <c r="M1120" t="s">
        <v>3</v>
      </c>
      <c r="N1120">
        <v>6250</v>
      </c>
      <c r="O1120">
        <v>10</v>
      </c>
      <c r="P1120">
        <v>41</v>
      </c>
      <c r="Q1120">
        <v>0</v>
      </c>
      <c r="R1120">
        <v>1281566287</v>
      </c>
      <c r="S1120">
        <v>1300786.99</v>
      </c>
      <c r="T1120">
        <v>1280265500.01</v>
      </c>
      <c r="U1120">
        <v>1280265500.01</v>
      </c>
      <c r="V1120">
        <v>0</v>
      </c>
      <c r="W1120">
        <v>0</v>
      </c>
      <c r="Y1120" t="s">
        <v>2</v>
      </c>
      <c r="Z1120">
        <v>4500</v>
      </c>
      <c r="AA1120">
        <v>240</v>
      </c>
      <c r="AB1120">
        <v>7</v>
      </c>
      <c r="AC1120">
        <v>0</v>
      </c>
      <c r="AD1120">
        <v>39914245</v>
      </c>
      <c r="AE1120">
        <v>236911.31</v>
      </c>
      <c r="AF1120">
        <v>39677333.689999998</v>
      </c>
      <c r="AG1120">
        <v>39677333.689999998</v>
      </c>
      <c r="AH1120">
        <v>0</v>
      </c>
      <c r="AI1120">
        <v>0</v>
      </c>
    </row>
    <row r="1121" spans="13:35" x14ac:dyDescent="0.35">
      <c r="M1121" t="s">
        <v>3</v>
      </c>
      <c r="N1121">
        <v>6250</v>
      </c>
      <c r="O1121">
        <v>9</v>
      </c>
      <c r="P1121">
        <v>39</v>
      </c>
      <c r="Q1121">
        <v>0</v>
      </c>
      <c r="R1121">
        <v>1157777601</v>
      </c>
      <c r="S1121">
        <v>1167401.95</v>
      </c>
      <c r="T1121">
        <v>1156610199.05</v>
      </c>
      <c r="U1121">
        <v>1156610199.05</v>
      </c>
      <c r="V1121">
        <v>0</v>
      </c>
      <c r="W1121">
        <v>0</v>
      </c>
      <c r="Y1121" t="s">
        <v>2</v>
      </c>
      <c r="Z1121">
        <v>4250</v>
      </c>
      <c r="AA1121">
        <v>320</v>
      </c>
      <c r="AB1121">
        <v>1</v>
      </c>
      <c r="AC1121">
        <v>0</v>
      </c>
      <c r="AD1121">
        <v>4204789</v>
      </c>
      <c r="AE1121">
        <v>31328.43</v>
      </c>
      <c r="AF1121">
        <v>4173460.57</v>
      </c>
      <c r="AG1121">
        <v>4173460.57</v>
      </c>
      <c r="AH1121">
        <v>0</v>
      </c>
      <c r="AI1121">
        <v>0</v>
      </c>
    </row>
    <row r="1122" spans="13:35" x14ac:dyDescent="0.35">
      <c r="M1122" t="s">
        <v>3</v>
      </c>
      <c r="N1122">
        <v>6750</v>
      </c>
      <c r="O1122">
        <v>8</v>
      </c>
      <c r="P1122">
        <v>34</v>
      </c>
      <c r="Q1122">
        <v>0</v>
      </c>
      <c r="R1122">
        <v>924164772</v>
      </c>
      <c r="S1122">
        <v>847364.13</v>
      </c>
      <c r="T1122">
        <v>923317407.87</v>
      </c>
      <c r="U1122">
        <v>923317407.87</v>
      </c>
      <c r="V1122">
        <v>0</v>
      </c>
      <c r="W1122">
        <v>0</v>
      </c>
      <c r="Y1122" t="s">
        <v>0</v>
      </c>
      <c r="Z1122">
        <v>3250</v>
      </c>
      <c r="AA1122">
        <v>96</v>
      </c>
      <c r="AB1122">
        <v>454</v>
      </c>
      <c r="AC1122">
        <v>0</v>
      </c>
      <c r="AD1122">
        <v>5866675924</v>
      </c>
      <c r="AE1122">
        <v>15112391.449999999</v>
      </c>
      <c r="AF1122">
        <v>5822876503.3500004</v>
      </c>
      <c r="AG1122">
        <v>5851563532.5500002</v>
      </c>
      <c r="AH1122">
        <v>5.7125000000000002E-2</v>
      </c>
      <c r="AI1122">
        <v>0</v>
      </c>
    </row>
    <row r="1123" spans="13:35" x14ac:dyDescent="0.35">
      <c r="M1123" t="s">
        <v>3</v>
      </c>
      <c r="N1123">
        <v>6500</v>
      </c>
      <c r="O1123">
        <v>9</v>
      </c>
      <c r="P1123">
        <v>45</v>
      </c>
      <c r="Q1123">
        <v>0</v>
      </c>
      <c r="R1123">
        <v>1256092475</v>
      </c>
      <c r="S1123">
        <v>1211560.47</v>
      </c>
      <c r="T1123">
        <v>1213818585.98</v>
      </c>
      <c r="U1123">
        <v>1254880914.53</v>
      </c>
      <c r="V1123">
        <v>0.328903</v>
      </c>
      <c r="W1123">
        <v>0</v>
      </c>
      <c r="Y1123" t="s">
        <v>1</v>
      </c>
      <c r="Z1123">
        <v>5250</v>
      </c>
      <c r="AA1123">
        <v>168</v>
      </c>
      <c r="AB1123">
        <v>126</v>
      </c>
      <c r="AC1123">
        <v>0</v>
      </c>
      <c r="AD1123">
        <v>978668846</v>
      </c>
      <c r="AE1123">
        <v>2847176.5</v>
      </c>
      <c r="AF1123">
        <v>962428817.38</v>
      </c>
      <c r="AG1123">
        <v>975821669.5</v>
      </c>
      <c r="AH1123">
        <v>0.15240400000000001</v>
      </c>
      <c r="AI1123">
        <v>0</v>
      </c>
    </row>
    <row r="1124" spans="13:35" x14ac:dyDescent="0.35">
      <c r="M1124" t="s">
        <v>3</v>
      </c>
      <c r="N1124">
        <v>6250</v>
      </c>
      <c r="O1124">
        <v>8</v>
      </c>
      <c r="P1124">
        <v>46</v>
      </c>
      <c r="Q1124">
        <v>0</v>
      </c>
      <c r="R1124">
        <v>1345622736</v>
      </c>
      <c r="S1124">
        <v>1345388.51</v>
      </c>
      <c r="T1124">
        <v>1344277347.49</v>
      </c>
      <c r="U1124">
        <v>1344277347.49</v>
      </c>
      <c r="V1124">
        <v>0</v>
      </c>
      <c r="W1124">
        <v>0</v>
      </c>
      <c r="Y1124" t="s">
        <v>3</v>
      </c>
      <c r="Z1124">
        <v>6250</v>
      </c>
      <c r="AA1124">
        <v>16</v>
      </c>
      <c r="AB1124">
        <v>61</v>
      </c>
      <c r="AC1124">
        <v>0</v>
      </c>
      <c r="AD1124">
        <v>1633264107</v>
      </c>
      <c r="AE1124">
        <v>1723949.03</v>
      </c>
      <c r="AF1124">
        <v>1631540157.97</v>
      </c>
      <c r="AG1124">
        <v>1631540157.97</v>
      </c>
      <c r="AH1124">
        <v>0</v>
      </c>
      <c r="AI1124">
        <v>0</v>
      </c>
    </row>
    <row r="1125" spans="13:35" x14ac:dyDescent="0.35">
      <c r="M1125" t="s">
        <v>3</v>
      </c>
      <c r="N1125">
        <v>6750</v>
      </c>
      <c r="O1125">
        <v>9</v>
      </c>
      <c r="P1125">
        <v>34</v>
      </c>
      <c r="Q1125">
        <v>0</v>
      </c>
      <c r="R1125">
        <v>1093960221</v>
      </c>
      <c r="S1125">
        <v>1009728.15</v>
      </c>
      <c r="T1125">
        <v>1092950492.8499999</v>
      </c>
      <c r="U1125">
        <v>1092950492.8499999</v>
      </c>
      <c r="V1125">
        <v>0</v>
      </c>
      <c r="W1125">
        <v>0</v>
      </c>
      <c r="Y1125" t="s">
        <v>3</v>
      </c>
      <c r="Z1125">
        <v>6250</v>
      </c>
      <c r="AA1125">
        <v>14</v>
      </c>
      <c r="AB1125">
        <v>49</v>
      </c>
      <c r="AC1125">
        <v>0</v>
      </c>
      <c r="AD1125">
        <v>1408903489</v>
      </c>
      <c r="AE1125">
        <v>1465563.89</v>
      </c>
      <c r="AF1125">
        <v>1407437925.1099999</v>
      </c>
      <c r="AG1125">
        <v>1407437925.1099999</v>
      </c>
      <c r="AH1125">
        <v>0</v>
      </c>
      <c r="AI1125">
        <v>0</v>
      </c>
    </row>
    <row r="1126" spans="13:35" x14ac:dyDescent="0.35">
      <c r="M1126" t="s">
        <v>3</v>
      </c>
      <c r="N1126">
        <v>3250</v>
      </c>
      <c r="O1126">
        <v>168</v>
      </c>
      <c r="P1126">
        <v>482</v>
      </c>
      <c r="Q1126">
        <v>0</v>
      </c>
      <c r="R1126">
        <v>5945329676</v>
      </c>
      <c r="S1126">
        <v>22194102.75</v>
      </c>
      <c r="T1126">
        <v>5913924645.96</v>
      </c>
      <c r="U1126">
        <v>5923135573.25</v>
      </c>
      <c r="V1126">
        <v>1.8433999999999999E-2</v>
      </c>
      <c r="W1126">
        <v>0</v>
      </c>
      <c r="Y1126" t="s">
        <v>3</v>
      </c>
      <c r="Z1126">
        <v>6750</v>
      </c>
      <c r="AA1126">
        <v>16</v>
      </c>
      <c r="AB1126">
        <v>30</v>
      </c>
      <c r="AC1126">
        <v>0</v>
      </c>
      <c r="AD1126">
        <v>883342787</v>
      </c>
      <c r="AE1126">
        <v>850694.26</v>
      </c>
      <c r="AF1126">
        <v>882492092.74000001</v>
      </c>
      <c r="AG1126">
        <v>882492092.74000001</v>
      </c>
      <c r="AH1126">
        <v>0</v>
      </c>
      <c r="AI1126">
        <v>0</v>
      </c>
    </row>
    <row r="1127" spans="13:35" x14ac:dyDescent="0.35">
      <c r="M1127" t="s">
        <v>0</v>
      </c>
      <c r="N1127">
        <v>5750</v>
      </c>
      <c r="O1127">
        <v>168</v>
      </c>
      <c r="P1127">
        <v>109</v>
      </c>
      <c r="Q1127">
        <v>0</v>
      </c>
      <c r="R1127">
        <v>743379182</v>
      </c>
      <c r="S1127">
        <v>2051677.66</v>
      </c>
      <c r="T1127">
        <v>741327504.34000003</v>
      </c>
      <c r="U1127">
        <v>741327504.34000003</v>
      </c>
      <c r="V1127">
        <v>0</v>
      </c>
      <c r="W1127">
        <v>0</v>
      </c>
      <c r="Y1127" t="s">
        <v>3</v>
      </c>
      <c r="Z1127">
        <v>5750</v>
      </c>
      <c r="AA1127">
        <v>14</v>
      </c>
      <c r="AB1127">
        <v>19</v>
      </c>
      <c r="AC1127">
        <v>0</v>
      </c>
      <c r="AD1127">
        <v>513990541</v>
      </c>
      <c r="AE1127">
        <v>586914.64</v>
      </c>
      <c r="AF1127">
        <v>513403626.36000001</v>
      </c>
      <c r="AG1127">
        <v>513403626.36000001</v>
      </c>
      <c r="AH1127">
        <v>0</v>
      </c>
      <c r="AI1127">
        <v>0</v>
      </c>
    </row>
    <row r="1128" spans="13:35" x14ac:dyDescent="0.35">
      <c r="M1128" t="s">
        <v>1</v>
      </c>
      <c r="N1128">
        <v>3250</v>
      </c>
      <c r="O1128">
        <v>60</v>
      </c>
      <c r="P1128">
        <v>36192</v>
      </c>
      <c r="Q1128">
        <v>0</v>
      </c>
      <c r="R1128">
        <v>928749644537</v>
      </c>
      <c r="S1128">
        <v>2010555479.6500001</v>
      </c>
      <c r="T1128">
        <v>919648741729.23999</v>
      </c>
      <c r="U1128">
        <v>925480167033.44995</v>
      </c>
      <c r="V1128">
        <v>8.7860999999999995E-2</v>
      </c>
      <c r="W1128">
        <v>1.6145E-2</v>
      </c>
      <c r="Y1128" t="s">
        <v>3</v>
      </c>
      <c r="Z1128">
        <v>6750</v>
      </c>
      <c r="AA1128">
        <v>12</v>
      </c>
      <c r="AB1128">
        <v>69</v>
      </c>
      <c r="AC1128">
        <v>0</v>
      </c>
      <c r="AD1128">
        <v>2171860412</v>
      </c>
      <c r="AE1128">
        <v>2039190.93</v>
      </c>
      <c r="AF1128">
        <v>2169821221.0700002</v>
      </c>
      <c r="AG1128">
        <v>2169821221.0700002</v>
      </c>
      <c r="AH1128">
        <v>0</v>
      </c>
      <c r="AI1128">
        <v>0</v>
      </c>
    </row>
    <row r="1129" spans="13:35" x14ac:dyDescent="0.35">
      <c r="M1129" t="s">
        <v>1</v>
      </c>
      <c r="N1129">
        <v>4250</v>
      </c>
      <c r="O1129">
        <v>72</v>
      </c>
      <c r="P1129">
        <v>1550</v>
      </c>
      <c r="Q1129">
        <v>0</v>
      </c>
      <c r="R1129">
        <v>28496347328</v>
      </c>
      <c r="S1129">
        <v>56367724.600000001</v>
      </c>
      <c r="T1129">
        <v>28111660565.599998</v>
      </c>
      <c r="U1129">
        <v>28343231194.599998</v>
      </c>
      <c r="V1129">
        <v>0.12982399999999999</v>
      </c>
      <c r="W1129">
        <v>3.9988999999999997E-2</v>
      </c>
      <c r="Y1129" t="s">
        <v>3</v>
      </c>
      <c r="Z1129">
        <v>6000</v>
      </c>
      <c r="AA1129">
        <v>10</v>
      </c>
      <c r="AB1129">
        <v>12</v>
      </c>
      <c r="AC1129">
        <v>0</v>
      </c>
      <c r="AD1129">
        <v>351345656</v>
      </c>
      <c r="AE1129">
        <v>375653.26</v>
      </c>
      <c r="AF1129">
        <v>329896754.51999998</v>
      </c>
      <c r="AG1129">
        <v>350970002.74000001</v>
      </c>
      <c r="AH1129">
        <v>0.52395000000000003</v>
      </c>
      <c r="AI1129">
        <v>0</v>
      </c>
    </row>
    <row r="1130" spans="13:35" x14ac:dyDescent="0.35">
      <c r="M1130" t="s">
        <v>1</v>
      </c>
      <c r="N1130">
        <v>4750</v>
      </c>
      <c r="O1130">
        <v>72</v>
      </c>
      <c r="P1130">
        <v>502</v>
      </c>
      <c r="Q1130">
        <v>0</v>
      </c>
      <c r="R1130">
        <v>8388946308</v>
      </c>
      <c r="S1130">
        <v>15553122.359999999</v>
      </c>
      <c r="T1130">
        <v>8299869924.0500002</v>
      </c>
      <c r="U1130">
        <v>8373393185.6400003</v>
      </c>
      <c r="V1130">
        <v>0.100247</v>
      </c>
      <c r="W1130">
        <v>0</v>
      </c>
      <c r="Y1130" t="s">
        <v>3</v>
      </c>
      <c r="Z1130">
        <v>6250</v>
      </c>
      <c r="AA1130">
        <v>9</v>
      </c>
      <c r="AB1130">
        <v>41</v>
      </c>
      <c r="AC1130">
        <v>0</v>
      </c>
      <c r="AD1130">
        <v>1283141477</v>
      </c>
      <c r="AE1130">
        <v>1294362.54</v>
      </c>
      <c r="AF1130">
        <v>1281847114.46</v>
      </c>
      <c r="AG1130">
        <v>1281847114.46</v>
      </c>
      <c r="AH1130">
        <v>0</v>
      </c>
      <c r="AI1130">
        <v>0</v>
      </c>
    </row>
    <row r="1131" spans="13:35" x14ac:dyDescent="0.35">
      <c r="M1131" t="s">
        <v>1</v>
      </c>
      <c r="N1131">
        <v>3250</v>
      </c>
      <c r="O1131">
        <v>96</v>
      </c>
      <c r="P1131">
        <v>154</v>
      </c>
      <c r="Q1131">
        <v>0</v>
      </c>
      <c r="R1131">
        <v>2624973657</v>
      </c>
      <c r="S1131">
        <v>6760578.6299999999</v>
      </c>
      <c r="T1131">
        <v>2600759288.9200001</v>
      </c>
      <c r="U1131">
        <v>2618213078.3699999</v>
      </c>
      <c r="V1131">
        <v>7.6935000000000003E-2</v>
      </c>
      <c r="W1131">
        <v>0</v>
      </c>
      <c r="Y1131" t="s">
        <v>3</v>
      </c>
      <c r="Z1131">
        <v>6250</v>
      </c>
      <c r="AA1131">
        <v>8</v>
      </c>
      <c r="AB1131">
        <v>41</v>
      </c>
      <c r="AC1131">
        <v>0</v>
      </c>
      <c r="AD1131">
        <v>1224063243</v>
      </c>
      <c r="AE1131">
        <v>1226289.52</v>
      </c>
      <c r="AF1131">
        <v>1158037620.4100001</v>
      </c>
      <c r="AG1131">
        <v>1222836953.48</v>
      </c>
      <c r="AH1131">
        <v>0.47935499999999998</v>
      </c>
      <c r="AI1131">
        <v>0</v>
      </c>
    </row>
    <row r="1132" spans="13:35" x14ac:dyDescent="0.35">
      <c r="M1132" t="s">
        <v>2</v>
      </c>
      <c r="N1132">
        <v>3250</v>
      </c>
      <c r="O1132">
        <v>96</v>
      </c>
      <c r="P1132">
        <v>50</v>
      </c>
      <c r="Q1132">
        <v>0</v>
      </c>
      <c r="R1132">
        <v>565672090</v>
      </c>
      <c r="S1132">
        <v>1464063.85</v>
      </c>
      <c r="T1132">
        <v>545999487.65999997</v>
      </c>
      <c r="U1132">
        <v>564208026.14999998</v>
      </c>
      <c r="V1132">
        <v>0.32471699999999998</v>
      </c>
      <c r="W1132">
        <v>0</v>
      </c>
      <c r="Y1132" t="s">
        <v>3</v>
      </c>
      <c r="Z1132">
        <v>6750</v>
      </c>
      <c r="AA1132">
        <v>7</v>
      </c>
      <c r="AB1132">
        <v>34</v>
      </c>
      <c r="AC1132">
        <v>0</v>
      </c>
      <c r="AD1132">
        <v>924895342</v>
      </c>
      <c r="AE1132">
        <v>842563.54</v>
      </c>
      <c r="AF1132">
        <v>924052778.46000004</v>
      </c>
      <c r="AG1132">
        <v>924052778.46000004</v>
      </c>
      <c r="AH1132">
        <v>0</v>
      </c>
      <c r="AI1132">
        <v>0</v>
      </c>
    </row>
    <row r="1133" spans="13:35" x14ac:dyDescent="0.35">
      <c r="M1133" t="s">
        <v>0</v>
      </c>
      <c r="N1133">
        <v>3250</v>
      </c>
      <c r="O1133">
        <v>96</v>
      </c>
      <c r="P1133">
        <v>431</v>
      </c>
      <c r="Q1133">
        <v>0</v>
      </c>
      <c r="R1133">
        <v>5441654023</v>
      </c>
      <c r="S1133">
        <v>14026098.41</v>
      </c>
      <c r="T1133">
        <v>5415929202.1899996</v>
      </c>
      <c r="U1133">
        <v>5427627924.5900002</v>
      </c>
      <c r="V1133">
        <v>2.5495E-2</v>
      </c>
      <c r="W1133">
        <v>0</v>
      </c>
      <c r="Y1133" t="s">
        <v>3</v>
      </c>
      <c r="Z1133">
        <v>6500</v>
      </c>
      <c r="AA1133">
        <v>8</v>
      </c>
      <c r="AB1133">
        <v>45</v>
      </c>
      <c r="AC1133">
        <v>0</v>
      </c>
      <c r="AD1133">
        <v>1257441781</v>
      </c>
      <c r="AE1133">
        <v>1205212.71</v>
      </c>
      <c r="AF1133">
        <v>1256236568.29</v>
      </c>
      <c r="AG1133">
        <v>1256236568.29</v>
      </c>
      <c r="AH1133">
        <v>0</v>
      </c>
      <c r="AI1133">
        <v>0</v>
      </c>
    </row>
    <row r="1134" spans="13:35" x14ac:dyDescent="0.35">
      <c r="M1134" t="s">
        <v>3</v>
      </c>
      <c r="N1134">
        <v>5250</v>
      </c>
      <c r="O1134">
        <v>144</v>
      </c>
      <c r="P1134">
        <v>2</v>
      </c>
      <c r="Q1134">
        <v>0</v>
      </c>
      <c r="R1134">
        <v>12026498</v>
      </c>
      <c r="S1134">
        <v>30731.96</v>
      </c>
      <c r="T1134">
        <v>11995766.039999999</v>
      </c>
      <c r="U1134">
        <v>11995766.039999999</v>
      </c>
      <c r="V1134">
        <v>0</v>
      </c>
      <c r="W1134">
        <v>0</v>
      </c>
      <c r="Y1134" t="s">
        <v>3</v>
      </c>
      <c r="Z1134">
        <v>6250</v>
      </c>
      <c r="AA1134">
        <v>7</v>
      </c>
      <c r="AB1134">
        <v>46</v>
      </c>
      <c r="AC1134">
        <v>0</v>
      </c>
      <c r="AD1134">
        <v>1347860629</v>
      </c>
      <c r="AE1134">
        <v>1339334.92</v>
      </c>
      <c r="AF1134">
        <v>1346521294.0799999</v>
      </c>
      <c r="AG1134">
        <v>1346521294.0799999</v>
      </c>
      <c r="AH1134">
        <v>0</v>
      </c>
      <c r="AI1134">
        <v>0</v>
      </c>
    </row>
    <row r="1135" spans="13:35" x14ac:dyDescent="0.35">
      <c r="M1135" t="s">
        <v>0</v>
      </c>
      <c r="N1135">
        <v>5750</v>
      </c>
      <c r="O1135">
        <v>96</v>
      </c>
      <c r="P1135">
        <v>12783</v>
      </c>
      <c r="Q1135">
        <v>0</v>
      </c>
      <c r="R1135">
        <v>162535987452</v>
      </c>
      <c r="S1135">
        <v>297890308.88999999</v>
      </c>
      <c r="T1135">
        <v>161024503276.12</v>
      </c>
      <c r="U1135">
        <v>161938891249.63</v>
      </c>
      <c r="V1135">
        <v>8.6010000000000003E-2</v>
      </c>
      <c r="W1135">
        <v>2.1867999999999999E-2</v>
      </c>
      <c r="Y1135" t="s">
        <v>3</v>
      </c>
      <c r="Z1135">
        <v>6750</v>
      </c>
      <c r="AA1135">
        <v>8</v>
      </c>
      <c r="AB1135">
        <v>34</v>
      </c>
      <c r="AC1135">
        <v>0</v>
      </c>
      <c r="AD1135">
        <v>1095214492</v>
      </c>
      <c r="AE1135">
        <v>1004359.12</v>
      </c>
      <c r="AF1135">
        <v>1094210132.8800001</v>
      </c>
      <c r="AG1135">
        <v>1094210132.8800001</v>
      </c>
      <c r="AH1135">
        <v>0</v>
      </c>
      <c r="AI1135">
        <v>0</v>
      </c>
    </row>
    <row r="1136" spans="13:35" x14ac:dyDescent="0.35">
      <c r="M1136" t="s">
        <v>2</v>
      </c>
      <c r="N1136">
        <v>5250</v>
      </c>
      <c r="O1136">
        <v>168</v>
      </c>
      <c r="P1136">
        <v>14</v>
      </c>
      <c r="Q1136">
        <v>0</v>
      </c>
      <c r="R1136">
        <v>79174128</v>
      </c>
      <c r="S1136">
        <v>230701.09</v>
      </c>
      <c r="T1136">
        <v>78919423.950000003</v>
      </c>
      <c r="U1136">
        <v>78943426.909999996</v>
      </c>
      <c r="V1136">
        <v>3.6319999999999998E-3</v>
      </c>
      <c r="W1136">
        <v>0</v>
      </c>
      <c r="Y1136" t="s">
        <v>3</v>
      </c>
      <c r="Z1136">
        <v>3250</v>
      </c>
      <c r="AA1136">
        <v>168</v>
      </c>
      <c r="AB1136">
        <v>485</v>
      </c>
      <c r="AC1136">
        <v>0</v>
      </c>
      <c r="AD1136">
        <v>5994851638</v>
      </c>
      <c r="AE1136">
        <v>22235677.780000001</v>
      </c>
      <c r="AF1136">
        <v>5953962898.9300003</v>
      </c>
      <c r="AG1136">
        <v>5972615960.2200003</v>
      </c>
      <c r="AH1136">
        <v>3.6706000000000003E-2</v>
      </c>
      <c r="AI1136">
        <v>0</v>
      </c>
    </row>
    <row r="1137" spans="13:35" x14ac:dyDescent="0.35">
      <c r="M1137" t="s">
        <v>0</v>
      </c>
      <c r="N1137">
        <v>7500</v>
      </c>
      <c r="O1137">
        <v>18</v>
      </c>
      <c r="P1137">
        <v>923</v>
      </c>
      <c r="Q1137">
        <v>0</v>
      </c>
      <c r="R1137">
        <v>22610625397</v>
      </c>
      <c r="S1137">
        <v>19261266.940000001</v>
      </c>
      <c r="T1137">
        <v>22288036741.900002</v>
      </c>
      <c r="U1137">
        <v>22571416659.299999</v>
      </c>
      <c r="V1137">
        <v>0.149621</v>
      </c>
      <c r="W1137">
        <v>1.0534999999999999E-2</v>
      </c>
      <c r="Y1137" t="s">
        <v>1</v>
      </c>
      <c r="Z1137">
        <v>4250</v>
      </c>
      <c r="AA1137">
        <v>72</v>
      </c>
      <c r="AB1137">
        <v>1908</v>
      </c>
      <c r="AC1137">
        <v>0</v>
      </c>
      <c r="AD1137">
        <v>34537484421</v>
      </c>
      <c r="AE1137">
        <v>68390129.680000007</v>
      </c>
      <c r="AF1137">
        <v>34091233766</v>
      </c>
      <c r="AG1137">
        <v>34391927125.860001</v>
      </c>
      <c r="AH1137">
        <v>0.123668</v>
      </c>
      <c r="AI1137">
        <v>2.6485000000000002E-2</v>
      </c>
    </row>
    <row r="1138" spans="13:35" x14ac:dyDescent="0.35">
      <c r="M1138" t="s">
        <v>0</v>
      </c>
      <c r="N1138">
        <v>7750</v>
      </c>
      <c r="O1138">
        <v>18</v>
      </c>
      <c r="P1138">
        <v>1264</v>
      </c>
      <c r="Q1138">
        <v>0</v>
      </c>
      <c r="R1138">
        <v>32947358003</v>
      </c>
      <c r="S1138">
        <v>26590507.190000001</v>
      </c>
      <c r="T1138">
        <v>32356094388.540001</v>
      </c>
      <c r="U1138">
        <v>32654160118.32</v>
      </c>
      <c r="V1138">
        <v>0.18734300000000001</v>
      </c>
      <c r="W1138">
        <v>9.2896000000000006E-2</v>
      </c>
      <c r="Y1138" t="s">
        <v>1</v>
      </c>
      <c r="Z1138">
        <v>4750</v>
      </c>
      <c r="AA1138">
        <v>72</v>
      </c>
      <c r="AB1138">
        <v>602</v>
      </c>
      <c r="AC1138">
        <v>0</v>
      </c>
      <c r="AD1138">
        <v>9870140643</v>
      </c>
      <c r="AE1138">
        <v>18309346.739999998</v>
      </c>
      <c r="AF1138">
        <v>9713155568.2800007</v>
      </c>
      <c r="AG1138">
        <v>9818939366.6299992</v>
      </c>
      <c r="AH1138">
        <v>0.156163</v>
      </c>
      <c r="AI1138">
        <v>3.9265000000000001E-2</v>
      </c>
    </row>
    <row r="1139" spans="13:35" x14ac:dyDescent="0.35">
      <c r="M1139" t="s">
        <v>3</v>
      </c>
      <c r="N1139">
        <v>3750</v>
      </c>
      <c r="O1139">
        <v>144</v>
      </c>
      <c r="P1139">
        <v>731</v>
      </c>
      <c r="Q1139">
        <v>0</v>
      </c>
      <c r="R1139">
        <v>10331359780</v>
      </c>
      <c r="S1139">
        <v>30870286.239999998</v>
      </c>
      <c r="T1139">
        <v>10209928305.700001</v>
      </c>
      <c r="U1139">
        <v>10300489493.76</v>
      </c>
      <c r="V1139">
        <v>0.100262</v>
      </c>
      <c r="W1139">
        <v>0</v>
      </c>
      <c r="Y1139" t="s">
        <v>3</v>
      </c>
      <c r="Z1139">
        <v>4250</v>
      </c>
      <c r="AA1139">
        <v>144</v>
      </c>
      <c r="AB1139">
        <v>971</v>
      </c>
      <c r="AC1139">
        <v>0</v>
      </c>
      <c r="AD1139">
        <v>9990820819</v>
      </c>
      <c r="AE1139">
        <v>28955754.25</v>
      </c>
      <c r="AF1139">
        <v>9865381133.1399994</v>
      </c>
      <c r="AG1139">
        <v>9961865064.75</v>
      </c>
      <c r="AH1139">
        <v>0.109926</v>
      </c>
      <c r="AI1139">
        <v>0</v>
      </c>
    </row>
    <row r="1140" spans="13:35" x14ac:dyDescent="0.35">
      <c r="M1140" t="s">
        <v>3</v>
      </c>
      <c r="N1140">
        <v>6000</v>
      </c>
      <c r="O1140">
        <v>8</v>
      </c>
      <c r="P1140">
        <v>8</v>
      </c>
      <c r="Q1140">
        <v>0</v>
      </c>
      <c r="R1140">
        <v>210425400</v>
      </c>
      <c r="S1140">
        <v>223170.89</v>
      </c>
      <c r="T1140">
        <v>210202229.11000001</v>
      </c>
      <c r="U1140">
        <v>210202229.11000001</v>
      </c>
      <c r="V1140">
        <v>0</v>
      </c>
      <c r="W1140">
        <v>0</v>
      </c>
      <c r="Y1140" t="s">
        <v>3</v>
      </c>
      <c r="Z1140">
        <v>5250</v>
      </c>
      <c r="AA1140">
        <v>144</v>
      </c>
      <c r="AB1140">
        <v>2</v>
      </c>
      <c r="AC1140">
        <v>0</v>
      </c>
      <c r="AD1140">
        <v>12064931</v>
      </c>
      <c r="AE1140">
        <v>30620.37</v>
      </c>
      <c r="AF1140">
        <v>12034310.630000001</v>
      </c>
      <c r="AG1140">
        <v>12034310.630000001</v>
      </c>
      <c r="AH1140">
        <v>0</v>
      </c>
      <c r="AI1140">
        <v>0</v>
      </c>
    </row>
    <row r="1141" spans="13:35" x14ac:dyDescent="0.35">
      <c r="M1141" t="s">
        <v>3</v>
      </c>
      <c r="N1141">
        <v>6250</v>
      </c>
      <c r="O1141">
        <v>7</v>
      </c>
      <c r="P1141">
        <v>48</v>
      </c>
      <c r="Q1141">
        <v>0</v>
      </c>
      <c r="R1141">
        <v>1388434446</v>
      </c>
      <c r="S1141">
        <v>1381401.6000000001</v>
      </c>
      <c r="T1141">
        <v>1387053044.4000001</v>
      </c>
      <c r="U1141">
        <v>1387053044.4000001</v>
      </c>
      <c r="V1141">
        <v>0</v>
      </c>
      <c r="W1141">
        <v>0</v>
      </c>
      <c r="Y1141" t="s">
        <v>0</v>
      </c>
      <c r="Z1141">
        <v>5750</v>
      </c>
      <c r="AA1141">
        <v>96</v>
      </c>
      <c r="AB1141">
        <v>11886</v>
      </c>
      <c r="AC1141">
        <v>0</v>
      </c>
      <c r="AD1141">
        <v>151045091079</v>
      </c>
      <c r="AE1141">
        <v>275972165.47000003</v>
      </c>
      <c r="AF1141">
        <v>149637276573.88</v>
      </c>
      <c r="AG1141">
        <v>150423687763.92001</v>
      </c>
      <c r="AH1141">
        <v>8.6305999999999994E-2</v>
      </c>
      <c r="AI1141">
        <v>2.7101E-2</v>
      </c>
    </row>
    <row r="1142" spans="13:35" x14ac:dyDescent="0.35">
      <c r="M1142" t="s">
        <v>3</v>
      </c>
      <c r="N1142">
        <v>5750</v>
      </c>
      <c r="O1142">
        <v>7</v>
      </c>
      <c r="P1142">
        <v>11</v>
      </c>
      <c r="Q1142">
        <v>0</v>
      </c>
      <c r="R1142">
        <v>301410020</v>
      </c>
      <c r="S1142">
        <v>328242.68</v>
      </c>
      <c r="T1142">
        <v>301081777.31999999</v>
      </c>
      <c r="U1142">
        <v>301081777.31999999</v>
      </c>
      <c r="V1142">
        <v>0</v>
      </c>
      <c r="W1142">
        <v>0</v>
      </c>
      <c r="Y1142" t="s">
        <v>2</v>
      </c>
      <c r="Z1142">
        <v>5250</v>
      </c>
      <c r="AA1142">
        <v>168</v>
      </c>
      <c r="AB1142">
        <v>14</v>
      </c>
      <c r="AC1142">
        <v>0</v>
      </c>
      <c r="AD1142">
        <v>79479239</v>
      </c>
      <c r="AE1142">
        <v>229927.04000000001</v>
      </c>
      <c r="AF1142">
        <v>79249311.959999993</v>
      </c>
      <c r="AG1142">
        <v>79249311.959999993</v>
      </c>
      <c r="AH1142">
        <v>0</v>
      </c>
      <c r="AI1142">
        <v>0</v>
      </c>
    </row>
    <row r="1143" spans="13:35" x14ac:dyDescent="0.35">
      <c r="M1143" t="s">
        <v>3</v>
      </c>
      <c r="N1143">
        <v>4750</v>
      </c>
      <c r="O1143">
        <v>168</v>
      </c>
      <c r="P1143">
        <v>80</v>
      </c>
      <c r="Q1143">
        <v>0</v>
      </c>
      <c r="R1143">
        <v>755144576</v>
      </c>
      <c r="S1143">
        <v>2294510.39</v>
      </c>
      <c r="T1143">
        <v>752850065.61000001</v>
      </c>
      <c r="U1143">
        <v>752850065.61000001</v>
      </c>
      <c r="V1143">
        <v>0</v>
      </c>
      <c r="W1143">
        <v>0</v>
      </c>
      <c r="Y1143" t="s">
        <v>0</v>
      </c>
      <c r="Z1143">
        <v>5750</v>
      </c>
      <c r="AA1143">
        <v>84</v>
      </c>
      <c r="AB1143">
        <v>6487</v>
      </c>
      <c r="AC1143">
        <v>0</v>
      </c>
      <c r="AD1143">
        <v>83759035095</v>
      </c>
      <c r="AE1143">
        <v>145202431.87</v>
      </c>
      <c r="AF1143">
        <v>82977449932.059998</v>
      </c>
      <c r="AG1143">
        <v>83457176381.240005</v>
      </c>
      <c r="AH1143">
        <v>8.7457999999999994E-2</v>
      </c>
      <c r="AI1143">
        <v>2.2214000000000001E-2</v>
      </c>
    </row>
    <row r="1144" spans="13:35" x14ac:dyDescent="0.35">
      <c r="M1144" t="s">
        <v>3</v>
      </c>
      <c r="N1144">
        <v>4250</v>
      </c>
      <c r="O1144">
        <v>144</v>
      </c>
      <c r="P1144">
        <v>978</v>
      </c>
      <c r="Q1144">
        <v>0</v>
      </c>
      <c r="R1144">
        <v>9978994944</v>
      </c>
      <c r="S1144">
        <v>29001489.440000001</v>
      </c>
      <c r="T1144">
        <v>9872969826.8899994</v>
      </c>
      <c r="U1144">
        <v>9942669377.8199997</v>
      </c>
      <c r="V1144">
        <v>8.8789999999999994E-2</v>
      </c>
      <c r="W1144">
        <v>8.7720000000000003E-3</v>
      </c>
      <c r="Y1144" t="s">
        <v>0</v>
      </c>
      <c r="Z1144">
        <v>7750</v>
      </c>
      <c r="AA1144">
        <v>18</v>
      </c>
      <c r="AB1144">
        <v>2057</v>
      </c>
      <c r="AC1144">
        <v>0</v>
      </c>
      <c r="AD1144">
        <v>52586541787</v>
      </c>
      <c r="AE1144">
        <v>42512538.280000001</v>
      </c>
      <c r="AF1144">
        <v>51273671785.93</v>
      </c>
      <c r="AG1144">
        <v>52001157102.68</v>
      </c>
      <c r="AH1144">
        <v>0.25431199999999998</v>
      </c>
      <c r="AI1144">
        <v>0.11708399999999999</v>
      </c>
    </row>
    <row r="1145" spans="13:35" x14ac:dyDescent="0.35">
      <c r="M1145" t="s">
        <v>3</v>
      </c>
      <c r="N1145">
        <v>4750</v>
      </c>
      <c r="O1145">
        <v>144</v>
      </c>
      <c r="P1145">
        <v>120</v>
      </c>
      <c r="Q1145">
        <v>0</v>
      </c>
      <c r="R1145">
        <v>1127144382</v>
      </c>
      <c r="S1145">
        <v>3144015.65</v>
      </c>
      <c r="T1145">
        <v>1124000366.3499999</v>
      </c>
      <c r="U1145">
        <v>1124000366.3499999</v>
      </c>
      <c r="V1145">
        <v>0</v>
      </c>
      <c r="W1145">
        <v>0</v>
      </c>
      <c r="Y1145" t="s">
        <v>3</v>
      </c>
      <c r="Z1145">
        <v>3750</v>
      </c>
      <c r="AA1145">
        <v>144</v>
      </c>
      <c r="AB1145">
        <v>683</v>
      </c>
      <c r="AC1145">
        <v>0</v>
      </c>
      <c r="AD1145">
        <v>9706704241</v>
      </c>
      <c r="AE1145">
        <v>28936099.27</v>
      </c>
      <c r="AF1145">
        <v>9639791108.2199993</v>
      </c>
      <c r="AG1145">
        <v>9677768141.7299995</v>
      </c>
      <c r="AH1145">
        <v>4.5952E-2</v>
      </c>
      <c r="AI1145">
        <v>0</v>
      </c>
    </row>
    <row r="1146" spans="13:35" x14ac:dyDescent="0.35">
      <c r="M1146" t="s">
        <v>3</v>
      </c>
      <c r="N1146">
        <v>5000</v>
      </c>
      <c r="O1146">
        <v>144</v>
      </c>
      <c r="P1146">
        <v>9</v>
      </c>
      <c r="Q1146">
        <v>0</v>
      </c>
      <c r="R1146">
        <v>99697238</v>
      </c>
      <c r="S1146">
        <v>277957.78000000003</v>
      </c>
      <c r="T1146">
        <v>99419280.219999999</v>
      </c>
      <c r="U1146">
        <v>99419280.219999999</v>
      </c>
      <c r="V1146">
        <v>0</v>
      </c>
      <c r="W1146">
        <v>0</v>
      </c>
      <c r="Y1146" t="s">
        <v>3</v>
      </c>
      <c r="Z1146">
        <v>6000</v>
      </c>
      <c r="AA1146">
        <v>7</v>
      </c>
      <c r="AB1146">
        <v>8</v>
      </c>
      <c r="AC1146">
        <v>0</v>
      </c>
      <c r="AD1146">
        <v>210925605</v>
      </c>
      <c r="AE1146">
        <v>222372.35</v>
      </c>
      <c r="AF1146">
        <v>210703232.65000001</v>
      </c>
      <c r="AG1146">
        <v>210703232.65000001</v>
      </c>
      <c r="AH1146">
        <v>0</v>
      </c>
      <c r="AI1146">
        <v>0</v>
      </c>
    </row>
    <row r="1147" spans="13:35" x14ac:dyDescent="0.35">
      <c r="M1147" t="s">
        <v>3</v>
      </c>
      <c r="N1147">
        <v>4750</v>
      </c>
      <c r="O1147">
        <v>96</v>
      </c>
      <c r="P1147">
        <v>204</v>
      </c>
      <c r="Q1147">
        <v>0</v>
      </c>
      <c r="R1147">
        <v>2695794924</v>
      </c>
      <c r="S1147">
        <v>5677717.25</v>
      </c>
      <c r="T1147">
        <v>2690117206.75</v>
      </c>
      <c r="U1147">
        <v>2690117206.75</v>
      </c>
      <c r="V1147">
        <v>0</v>
      </c>
      <c r="W1147">
        <v>0</v>
      </c>
      <c r="Y1147" t="s">
        <v>3</v>
      </c>
      <c r="Z1147">
        <v>6250</v>
      </c>
      <c r="AA1147">
        <v>6</v>
      </c>
      <c r="AB1147">
        <v>48</v>
      </c>
      <c r="AC1147">
        <v>0</v>
      </c>
      <c r="AD1147">
        <v>1391970902</v>
      </c>
      <c r="AE1147">
        <v>1376409.79</v>
      </c>
      <c r="AF1147">
        <v>1390594492.21</v>
      </c>
      <c r="AG1147">
        <v>1390594492.21</v>
      </c>
      <c r="AH1147">
        <v>0</v>
      </c>
      <c r="AI1147">
        <v>0</v>
      </c>
    </row>
    <row r="1148" spans="13:35" x14ac:dyDescent="0.35">
      <c r="M1148" t="s">
        <v>1</v>
      </c>
      <c r="N1148">
        <v>4750</v>
      </c>
      <c r="O1148">
        <v>120</v>
      </c>
      <c r="P1148">
        <v>703</v>
      </c>
      <c r="Q1148">
        <v>0</v>
      </c>
      <c r="R1148">
        <v>8001852831</v>
      </c>
      <c r="S1148">
        <v>19388709.609999999</v>
      </c>
      <c r="T1148">
        <v>7916535840.3999996</v>
      </c>
      <c r="U1148">
        <v>7974127009.71</v>
      </c>
      <c r="V1148">
        <v>9.4509999999999997E-2</v>
      </c>
      <c r="W1148">
        <v>1.2430999999999999E-2</v>
      </c>
      <c r="Y1148" t="s">
        <v>3</v>
      </c>
      <c r="Z1148">
        <v>5750</v>
      </c>
      <c r="AA1148">
        <v>6</v>
      </c>
      <c r="AB1148">
        <v>11</v>
      </c>
      <c r="AC1148">
        <v>0</v>
      </c>
      <c r="AD1148">
        <v>302874017</v>
      </c>
      <c r="AE1148">
        <v>327912.53000000003</v>
      </c>
      <c r="AF1148">
        <v>302546104.47000003</v>
      </c>
      <c r="AG1148">
        <v>302546104.47000003</v>
      </c>
      <c r="AH1148">
        <v>0</v>
      </c>
      <c r="AI1148">
        <v>0</v>
      </c>
    </row>
    <row r="1149" spans="13:35" x14ac:dyDescent="0.35">
      <c r="M1149" t="s">
        <v>3</v>
      </c>
      <c r="N1149">
        <v>4250</v>
      </c>
      <c r="O1149">
        <v>120</v>
      </c>
      <c r="P1149">
        <v>258</v>
      </c>
      <c r="Q1149">
        <v>0</v>
      </c>
      <c r="R1149">
        <v>2538819516</v>
      </c>
      <c r="S1149">
        <v>6493597.3300000001</v>
      </c>
      <c r="T1149">
        <v>2532325918.6700001</v>
      </c>
      <c r="U1149">
        <v>2532325918.6700001</v>
      </c>
      <c r="V1149">
        <v>0</v>
      </c>
      <c r="W1149">
        <v>0</v>
      </c>
      <c r="Y1149" t="s">
        <v>3</v>
      </c>
      <c r="Z1149">
        <v>4750</v>
      </c>
      <c r="AA1149">
        <v>168</v>
      </c>
      <c r="AB1149">
        <v>74</v>
      </c>
      <c r="AC1149">
        <v>0</v>
      </c>
      <c r="AD1149">
        <v>676308106</v>
      </c>
      <c r="AE1149">
        <v>2046493.14</v>
      </c>
      <c r="AF1149">
        <v>670392716.96000004</v>
      </c>
      <c r="AG1149">
        <v>674261612.86000001</v>
      </c>
      <c r="AH1149">
        <v>6.6528000000000004E-2</v>
      </c>
      <c r="AI1149">
        <v>0</v>
      </c>
    </row>
    <row r="1150" spans="13:35" x14ac:dyDescent="0.35">
      <c r="M1150" t="s">
        <v>2</v>
      </c>
      <c r="N1150">
        <v>5750</v>
      </c>
      <c r="O1150">
        <v>96</v>
      </c>
      <c r="P1150">
        <v>438</v>
      </c>
      <c r="Q1150">
        <v>0</v>
      </c>
      <c r="R1150">
        <v>4004937397</v>
      </c>
      <c r="S1150">
        <v>7239411.5700000003</v>
      </c>
      <c r="T1150">
        <v>3946581489.3899999</v>
      </c>
      <c r="U1150">
        <v>3997697985.4299998</v>
      </c>
      <c r="V1150">
        <v>0.14285300000000001</v>
      </c>
      <c r="W1150">
        <v>0</v>
      </c>
      <c r="Y1150" t="s">
        <v>3</v>
      </c>
      <c r="Z1150">
        <v>4750</v>
      </c>
      <c r="AA1150">
        <v>144</v>
      </c>
      <c r="AB1150">
        <v>125</v>
      </c>
      <c r="AC1150">
        <v>0</v>
      </c>
      <c r="AD1150">
        <v>1187395714</v>
      </c>
      <c r="AE1150">
        <v>3312733.06</v>
      </c>
      <c r="AF1150">
        <v>1184082980.9400001</v>
      </c>
      <c r="AG1150">
        <v>1184082980.9400001</v>
      </c>
      <c r="AH1150">
        <v>0</v>
      </c>
      <c r="AI1150">
        <v>0</v>
      </c>
    </row>
    <row r="1151" spans="13:35" x14ac:dyDescent="0.35">
      <c r="M1151" t="s">
        <v>3</v>
      </c>
      <c r="N1151">
        <v>4500</v>
      </c>
      <c r="O1151">
        <v>120</v>
      </c>
      <c r="P1151">
        <v>137</v>
      </c>
      <c r="Q1151">
        <v>0</v>
      </c>
      <c r="R1151">
        <v>1360585968</v>
      </c>
      <c r="S1151">
        <v>3372568.31</v>
      </c>
      <c r="T1151">
        <v>1357213399.6900001</v>
      </c>
      <c r="U1151">
        <v>1357213399.6900001</v>
      </c>
      <c r="V1151">
        <v>0</v>
      </c>
      <c r="W1151">
        <v>0</v>
      </c>
      <c r="Y1151" t="s">
        <v>3</v>
      </c>
      <c r="Z1151">
        <v>5000</v>
      </c>
      <c r="AA1151">
        <v>144</v>
      </c>
      <c r="AB1151">
        <v>10</v>
      </c>
      <c r="AC1151">
        <v>0</v>
      </c>
      <c r="AD1151">
        <v>110305780</v>
      </c>
      <c r="AE1151">
        <v>306792.17</v>
      </c>
      <c r="AF1151">
        <v>109998987.83</v>
      </c>
      <c r="AG1151">
        <v>109998987.83</v>
      </c>
      <c r="AH1151">
        <v>0</v>
      </c>
      <c r="AI1151">
        <v>0</v>
      </c>
    </row>
    <row r="1152" spans="13:35" x14ac:dyDescent="0.35">
      <c r="M1152" t="s">
        <v>3</v>
      </c>
      <c r="N1152">
        <v>3750</v>
      </c>
      <c r="O1152">
        <v>120</v>
      </c>
      <c r="P1152">
        <v>459</v>
      </c>
      <c r="Q1152">
        <v>0</v>
      </c>
      <c r="R1152">
        <v>6145361790</v>
      </c>
      <c r="S1152">
        <v>16792246.390000001</v>
      </c>
      <c r="T1152">
        <v>6128569543.6099997</v>
      </c>
      <c r="U1152">
        <v>6128569543.6099997</v>
      </c>
      <c r="V1152">
        <v>0</v>
      </c>
      <c r="W1152">
        <v>0</v>
      </c>
      <c r="Y1152" t="s">
        <v>3</v>
      </c>
      <c r="Z1152">
        <v>4750</v>
      </c>
      <c r="AA1152">
        <v>96</v>
      </c>
      <c r="AB1152">
        <v>205</v>
      </c>
      <c r="AC1152">
        <v>0</v>
      </c>
      <c r="AD1152">
        <v>2741396065</v>
      </c>
      <c r="AE1152">
        <v>5761905.2300000004</v>
      </c>
      <c r="AF1152">
        <v>2723331872.7399998</v>
      </c>
      <c r="AG1152">
        <v>2735634159.77</v>
      </c>
      <c r="AH1152">
        <v>5.2541999999999998E-2</v>
      </c>
      <c r="AI1152">
        <v>0</v>
      </c>
    </row>
    <row r="1153" spans="13:35" x14ac:dyDescent="0.35">
      <c r="M1153" t="s">
        <v>2</v>
      </c>
      <c r="N1153">
        <v>5250</v>
      </c>
      <c r="O1153">
        <v>144</v>
      </c>
      <c r="P1153">
        <v>7</v>
      </c>
      <c r="Q1153">
        <v>0</v>
      </c>
      <c r="R1153">
        <v>54433631</v>
      </c>
      <c r="S1153">
        <v>141104.57999999999</v>
      </c>
      <c r="T1153">
        <v>54292526.420000002</v>
      </c>
      <c r="U1153">
        <v>54292526.420000002</v>
      </c>
      <c r="V1153">
        <v>0</v>
      </c>
      <c r="W1153">
        <v>0</v>
      </c>
      <c r="Y1153" t="s">
        <v>3</v>
      </c>
      <c r="Z1153">
        <v>4250</v>
      </c>
      <c r="AA1153">
        <v>120</v>
      </c>
      <c r="AB1153">
        <v>263</v>
      </c>
      <c r="AC1153">
        <v>0</v>
      </c>
      <c r="AD1153">
        <v>2483325942</v>
      </c>
      <c r="AE1153">
        <v>6380526.96</v>
      </c>
      <c r="AF1153">
        <v>2476945415.04</v>
      </c>
      <c r="AG1153">
        <v>2476945415.04</v>
      </c>
      <c r="AH1153">
        <v>0</v>
      </c>
      <c r="AI1153">
        <v>0</v>
      </c>
    </row>
    <row r="1154" spans="13:35" x14ac:dyDescent="0.35">
      <c r="M1154" t="s">
        <v>1</v>
      </c>
      <c r="N1154">
        <v>5250</v>
      </c>
      <c r="O1154">
        <v>120</v>
      </c>
      <c r="P1154">
        <v>54</v>
      </c>
      <c r="Q1154">
        <v>0</v>
      </c>
      <c r="R1154">
        <v>466788127</v>
      </c>
      <c r="S1154">
        <v>1068908.6299999999</v>
      </c>
      <c r="T1154">
        <v>459078553.87</v>
      </c>
      <c r="U1154">
        <v>459078553.87</v>
      </c>
      <c r="V1154">
        <v>0.157972</v>
      </c>
      <c r="W1154">
        <v>0.157972</v>
      </c>
      <c r="Y1154" t="s">
        <v>3</v>
      </c>
      <c r="Z1154">
        <v>3750</v>
      </c>
      <c r="AA1154">
        <v>120</v>
      </c>
      <c r="AB1154">
        <v>484</v>
      </c>
      <c r="AC1154">
        <v>0</v>
      </c>
      <c r="AD1154">
        <v>6423834704</v>
      </c>
      <c r="AE1154">
        <v>17562351.719999999</v>
      </c>
      <c r="AF1154">
        <v>6388815528.1300001</v>
      </c>
      <c r="AG1154">
        <v>6406272352.2799997</v>
      </c>
      <c r="AH1154">
        <v>3.2127000000000003E-2</v>
      </c>
      <c r="AI1154">
        <v>0</v>
      </c>
    </row>
    <row r="1155" spans="13:35" x14ac:dyDescent="0.35">
      <c r="M1155" t="s">
        <v>3</v>
      </c>
      <c r="N1155">
        <v>3250</v>
      </c>
      <c r="O1155">
        <v>120</v>
      </c>
      <c r="P1155">
        <v>367</v>
      </c>
      <c r="Q1155">
        <v>0</v>
      </c>
      <c r="R1155">
        <v>5639017560</v>
      </c>
      <c r="S1155">
        <v>16204223.060000001</v>
      </c>
      <c r="T1155">
        <v>5608254026.29</v>
      </c>
      <c r="U1155">
        <v>5622813336.9399996</v>
      </c>
      <c r="V1155">
        <v>3.0546E-2</v>
      </c>
      <c r="W1155">
        <v>0</v>
      </c>
      <c r="Y1155" t="s">
        <v>3</v>
      </c>
      <c r="Z1155">
        <v>4500</v>
      </c>
      <c r="AA1155">
        <v>120</v>
      </c>
      <c r="AB1155">
        <v>127</v>
      </c>
      <c r="AC1155">
        <v>0</v>
      </c>
      <c r="AD1155">
        <v>1241808629</v>
      </c>
      <c r="AE1155">
        <v>3088768.35</v>
      </c>
      <c r="AF1155">
        <v>1238719860.6500001</v>
      </c>
      <c r="AG1155">
        <v>1238719860.6500001</v>
      </c>
      <c r="AH1155">
        <v>0</v>
      </c>
      <c r="AI1155">
        <v>0</v>
      </c>
    </row>
    <row r="1156" spans="13:35" x14ac:dyDescent="0.35">
      <c r="M1156" t="s">
        <v>3</v>
      </c>
      <c r="N1156">
        <v>3500</v>
      </c>
      <c r="O1156">
        <v>120</v>
      </c>
      <c r="P1156">
        <v>325</v>
      </c>
      <c r="Q1156">
        <v>0</v>
      </c>
      <c r="R1156">
        <v>4603446483</v>
      </c>
      <c r="S1156">
        <v>13017989.939999999</v>
      </c>
      <c r="T1156">
        <v>4560027558.7200003</v>
      </c>
      <c r="U1156">
        <v>4590428493.0600004</v>
      </c>
      <c r="V1156">
        <v>7.6430999999999999E-2</v>
      </c>
      <c r="W1156">
        <v>0</v>
      </c>
      <c r="Y1156" t="s">
        <v>2</v>
      </c>
      <c r="Z1156">
        <v>5750</v>
      </c>
      <c r="AA1156">
        <v>96</v>
      </c>
      <c r="AB1156">
        <v>420</v>
      </c>
      <c r="AC1156">
        <v>0</v>
      </c>
      <c r="AD1156">
        <v>3852580053</v>
      </c>
      <c r="AE1156">
        <v>6924016.8399999999</v>
      </c>
      <c r="AF1156">
        <v>3827912024.8699999</v>
      </c>
      <c r="AG1156">
        <v>3845656036.1599998</v>
      </c>
      <c r="AH1156">
        <v>5.389E-2</v>
      </c>
      <c r="AI1156">
        <v>0</v>
      </c>
    </row>
    <row r="1157" spans="13:35" x14ac:dyDescent="0.35">
      <c r="M1157" t="s">
        <v>3</v>
      </c>
      <c r="N1157">
        <v>4750</v>
      </c>
      <c r="O1157">
        <v>120</v>
      </c>
      <c r="P1157">
        <v>14</v>
      </c>
      <c r="Q1157">
        <v>0</v>
      </c>
      <c r="R1157">
        <v>150635147</v>
      </c>
      <c r="S1157">
        <v>366964.87</v>
      </c>
      <c r="T1157">
        <v>150268182.13</v>
      </c>
      <c r="U1157">
        <v>150268182.13</v>
      </c>
      <c r="V1157">
        <v>0</v>
      </c>
      <c r="W1157">
        <v>0</v>
      </c>
      <c r="Y1157" t="s">
        <v>1</v>
      </c>
      <c r="Z1157">
        <v>5250</v>
      </c>
      <c r="AA1157">
        <v>120</v>
      </c>
      <c r="AB1157">
        <v>48</v>
      </c>
      <c r="AC1157">
        <v>0</v>
      </c>
      <c r="AD1157">
        <v>418396819</v>
      </c>
      <c r="AE1157">
        <v>961796.91</v>
      </c>
      <c r="AF1157">
        <v>417435022.08999997</v>
      </c>
      <c r="AG1157">
        <v>417435022.08999997</v>
      </c>
      <c r="AH1157">
        <v>0</v>
      </c>
      <c r="AI1157">
        <v>0</v>
      </c>
    </row>
    <row r="1158" spans="13:35" x14ac:dyDescent="0.35">
      <c r="M1158" t="s">
        <v>3</v>
      </c>
      <c r="N1158">
        <v>4500</v>
      </c>
      <c r="O1158">
        <v>108</v>
      </c>
      <c r="P1158">
        <v>230</v>
      </c>
      <c r="Q1158">
        <v>0</v>
      </c>
      <c r="R1158">
        <v>2899091435</v>
      </c>
      <c r="S1158">
        <v>6743224.1500000004</v>
      </c>
      <c r="T1158">
        <v>2871129604.3699999</v>
      </c>
      <c r="U1158">
        <v>2892348210.8499999</v>
      </c>
      <c r="V1158">
        <v>8.4377999999999995E-2</v>
      </c>
      <c r="W1158">
        <v>0</v>
      </c>
      <c r="Y1158" t="s">
        <v>3</v>
      </c>
      <c r="Z1158">
        <v>4750</v>
      </c>
      <c r="AA1158">
        <v>120</v>
      </c>
      <c r="AB1158">
        <v>14</v>
      </c>
      <c r="AC1158">
        <v>0</v>
      </c>
      <c r="AD1158">
        <v>160340941</v>
      </c>
      <c r="AE1158">
        <v>393073.51</v>
      </c>
      <c r="AF1158">
        <v>159947867.49000001</v>
      </c>
      <c r="AG1158">
        <v>159947867.49000001</v>
      </c>
      <c r="AH1158">
        <v>0</v>
      </c>
      <c r="AI1158">
        <v>0</v>
      </c>
    </row>
    <row r="1159" spans="13:35" x14ac:dyDescent="0.35">
      <c r="M1159" t="s">
        <v>1</v>
      </c>
      <c r="N1159">
        <v>2500</v>
      </c>
      <c r="O1159">
        <v>120</v>
      </c>
      <c r="P1159">
        <v>4</v>
      </c>
      <c r="Q1159">
        <v>0</v>
      </c>
      <c r="R1159">
        <v>54204990</v>
      </c>
      <c r="S1159">
        <v>168992.48</v>
      </c>
      <c r="T1159">
        <v>54035997.520000003</v>
      </c>
      <c r="U1159">
        <v>54035997.520000003</v>
      </c>
      <c r="V1159">
        <v>0</v>
      </c>
      <c r="W1159">
        <v>0</v>
      </c>
      <c r="Y1159" t="s">
        <v>2</v>
      </c>
      <c r="Z1159">
        <v>5250</v>
      </c>
      <c r="AA1159">
        <v>120</v>
      </c>
      <c r="AB1159">
        <v>1</v>
      </c>
      <c r="AC1159">
        <v>0</v>
      </c>
      <c r="AD1159">
        <v>10830143</v>
      </c>
      <c r="AE1159">
        <v>25970.38</v>
      </c>
      <c r="AF1159">
        <v>10804172.619999999</v>
      </c>
      <c r="AG1159">
        <v>10804172.619999999</v>
      </c>
      <c r="AH1159">
        <v>0</v>
      </c>
      <c r="AI1159">
        <v>0</v>
      </c>
    </row>
    <row r="1160" spans="13:35" x14ac:dyDescent="0.35">
      <c r="M1160" t="s">
        <v>3</v>
      </c>
      <c r="N1160">
        <v>4250</v>
      </c>
      <c r="O1160">
        <v>108</v>
      </c>
      <c r="P1160">
        <v>317</v>
      </c>
      <c r="Q1160">
        <v>0</v>
      </c>
      <c r="R1160">
        <v>4146756529</v>
      </c>
      <c r="S1160">
        <v>10022829.619999999</v>
      </c>
      <c r="T1160">
        <v>4121006061.9200001</v>
      </c>
      <c r="U1160">
        <v>4136733699.3800001</v>
      </c>
      <c r="V1160">
        <v>4.4575999999999998E-2</v>
      </c>
      <c r="W1160">
        <v>0</v>
      </c>
      <c r="Y1160" t="s">
        <v>3</v>
      </c>
      <c r="Z1160">
        <v>3250</v>
      </c>
      <c r="AA1160">
        <v>120</v>
      </c>
      <c r="AB1160">
        <v>370</v>
      </c>
      <c r="AC1160">
        <v>0</v>
      </c>
      <c r="AD1160">
        <v>5686362192</v>
      </c>
      <c r="AE1160">
        <v>16253163.939999999</v>
      </c>
      <c r="AF1160">
        <v>5630496777.6000004</v>
      </c>
      <c r="AG1160">
        <v>5670109028.0600004</v>
      </c>
      <c r="AH1160">
        <v>8.0464999999999995E-2</v>
      </c>
      <c r="AI1160">
        <v>0</v>
      </c>
    </row>
    <row r="1161" spans="13:35" x14ac:dyDescent="0.35">
      <c r="M1161" t="s">
        <v>1</v>
      </c>
      <c r="N1161">
        <v>6750</v>
      </c>
      <c r="O1161">
        <v>8</v>
      </c>
      <c r="P1161">
        <v>6025</v>
      </c>
      <c r="Q1161">
        <v>0</v>
      </c>
      <c r="R1161">
        <v>207315644930</v>
      </c>
      <c r="S1161">
        <v>191059936.81999999</v>
      </c>
      <c r="T1161">
        <v>186568888083.73999</v>
      </c>
      <c r="U1161">
        <v>206772019719.44</v>
      </c>
      <c r="V1161">
        <v>0.71435899999999997</v>
      </c>
      <c r="W1161">
        <v>2.0218E-2</v>
      </c>
      <c r="Y1161" t="s">
        <v>3</v>
      </c>
      <c r="Z1161">
        <v>3500</v>
      </c>
      <c r="AA1161">
        <v>120</v>
      </c>
      <c r="AB1161">
        <v>331</v>
      </c>
      <c r="AC1161">
        <v>0</v>
      </c>
      <c r="AD1161">
        <v>4713251607</v>
      </c>
      <c r="AE1161">
        <v>13270722.76</v>
      </c>
      <c r="AF1161">
        <v>4684477989.6000004</v>
      </c>
      <c r="AG1161">
        <v>4699980884.2399998</v>
      </c>
      <c r="AH1161">
        <v>3.8764E-2</v>
      </c>
      <c r="AI1161">
        <v>0</v>
      </c>
    </row>
    <row r="1162" spans="13:35" x14ac:dyDescent="0.35">
      <c r="M1162" t="s">
        <v>1</v>
      </c>
      <c r="N1162">
        <v>6500</v>
      </c>
      <c r="O1162">
        <v>6</v>
      </c>
      <c r="P1162">
        <v>3440</v>
      </c>
      <c r="Q1162">
        <v>0</v>
      </c>
      <c r="R1162">
        <v>118112154717</v>
      </c>
      <c r="S1162">
        <v>111813248.28</v>
      </c>
      <c r="T1162">
        <v>117621530342.78</v>
      </c>
      <c r="U1162">
        <v>117894388660.37</v>
      </c>
      <c r="V1162">
        <v>3.7815000000000001E-2</v>
      </c>
      <c r="W1162">
        <v>1.0711999999999999E-2</v>
      </c>
      <c r="Y1162" t="s">
        <v>3</v>
      </c>
      <c r="Z1162">
        <v>4500</v>
      </c>
      <c r="AA1162">
        <v>108</v>
      </c>
      <c r="AB1162">
        <v>239</v>
      </c>
      <c r="AC1162">
        <v>0</v>
      </c>
      <c r="AD1162">
        <v>2844950118</v>
      </c>
      <c r="AE1162">
        <v>6626882.1799999997</v>
      </c>
      <c r="AF1162">
        <v>2838323235.8200002</v>
      </c>
      <c r="AG1162">
        <v>2838323235.8200002</v>
      </c>
      <c r="AH1162">
        <v>0</v>
      </c>
      <c r="AI1162">
        <v>0</v>
      </c>
    </row>
    <row r="1163" spans="13:35" x14ac:dyDescent="0.35">
      <c r="M1163" t="s">
        <v>1</v>
      </c>
      <c r="N1163">
        <v>5250</v>
      </c>
      <c r="O1163">
        <v>108</v>
      </c>
      <c r="P1163">
        <v>454</v>
      </c>
      <c r="Q1163">
        <v>0</v>
      </c>
      <c r="R1163">
        <v>5253826566</v>
      </c>
      <c r="S1163">
        <v>11085626.380000001</v>
      </c>
      <c r="T1163">
        <v>5130357612.3599997</v>
      </c>
      <c r="U1163">
        <v>5214441928.5900002</v>
      </c>
      <c r="V1163">
        <v>0.228543</v>
      </c>
      <c r="W1163">
        <v>6.2755000000000005E-2</v>
      </c>
      <c r="Y1163" t="s">
        <v>1</v>
      </c>
      <c r="Z1163">
        <v>2500</v>
      </c>
      <c r="AA1163">
        <v>120</v>
      </c>
      <c r="AB1163">
        <v>3</v>
      </c>
      <c r="AC1163">
        <v>0</v>
      </c>
      <c r="AD1163">
        <v>42239630</v>
      </c>
      <c r="AE1163">
        <v>131980.01</v>
      </c>
      <c r="AF1163">
        <v>42107649.990000002</v>
      </c>
      <c r="AG1163">
        <v>42107649.990000002</v>
      </c>
      <c r="AH1163">
        <v>0</v>
      </c>
      <c r="AI1163">
        <v>0</v>
      </c>
    </row>
    <row r="1164" spans="13:35" x14ac:dyDescent="0.35">
      <c r="M1164" t="s">
        <v>3</v>
      </c>
      <c r="N1164">
        <v>5250</v>
      </c>
      <c r="O1164">
        <v>108</v>
      </c>
      <c r="P1164">
        <v>11</v>
      </c>
      <c r="Q1164">
        <v>0</v>
      </c>
      <c r="R1164">
        <v>118570049</v>
      </c>
      <c r="S1164">
        <v>251288.78</v>
      </c>
      <c r="T1164">
        <v>118318760.22</v>
      </c>
      <c r="U1164">
        <v>118318760.22</v>
      </c>
      <c r="V1164">
        <v>0</v>
      </c>
      <c r="W1164">
        <v>0</v>
      </c>
      <c r="Y1164" t="s">
        <v>3</v>
      </c>
      <c r="Z1164">
        <v>4250</v>
      </c>
      <c r="AA1164">
        <v>108</v>
      </c>
      <c r="AB1164">
        <v>333</v>
      </c>
      <c r="AC1164">
        <v>0</v>
      </c>
      <c r="AD1164">
        <v>4355117514</v>
      </c>
      <c r="AE1164">
        <v>10510585.49</v>
      </c>
      <c r="AF1164">
        <v>4344606928.5100002</v>
      </c>
      <c r="AG1164">
        <v>4344606928.5100002</v>
      </c>
      <c r="AH1164">
        <v>0</v>
      </c>
      <c r="AI1164">
        <v>0</v>
      </c>
    </row>
    <row r="1165" spans="13:35" x14ac:dyDescent="0.35">
      <c r="M1165" t="s">
        <v>0</v>
      </c>
      <c r="N1165">
        <v>5750</v>
      </c>
      <c r="O1165">
        <v>108</v>
      </c>
      <c r="P1165">
        <v>301</v>
      </c>
      <c r="Q1165">
        <v>0</v>
      </c>
      <c r="R1165">
        <v>3408512950</v>
      </c>
      <c r="S1165">
        <v>6652352.8899999997</v>
      </c>
      <c r="T1165">
        <v>3375754943.5599999</v>
      </c>
      <c r="U1165">
        <v>3401860597.1100001</v>
      </c>
      <c r="V1165">
        <v>8.8133000000000003E-2</v>
      </c>
      <c r="W1165">
        <v>0</v>
      </c>
      <c r="Y1165" t="s">
        <v>1</v>
      </c>
      <c r="Z1165">
        <v>5250</v>
      </c>
      <c r="AA1165">
        <v>108</v>
      </c>
      <c r="AB1165">
        <v>401</v>
      </c>
      <c r="AC1165">
        <v>0</v>
      </c>
      <c r="AD1165">
        <v>4587122252</v>
      </c>
      <c r="AE1165">
        <v>9672487.6799999997</v>
      </c>
      <c r="AF1165">
        <v>4503303588.9700003</v>
      </c>
      <c r="AG1165">
        <v>4533758231.21</v>
      </c>
      <c r="AH1165">
        <v>0.17762</v>
      </c>
      <c r="AI1165">
        <v>0.108496</v>
      </c>
    </row>
    <row r="1166" spans="13:35" x14ac:dyDescent="0.35">
      <c r="M1166" t="s">
        <v>3</v>
      </c>
      <c r="N1166">
        <v>4750</v>
      </c>
      <c r="O1166">
        <v>108</v>
      </c>
      <c r="P1166">
        <v>74</v>
      </c>
      <c r="Q1166">
        <v>0</v>
      </c>
      <c r="R1166">
        <v>778569825</v>
      </c>
      <c r="S1166">
        <v>1747614.54</v>
      </c>
      <c r="T1166">
        <v>776822210.46000004</v>
      </c>
      <c r="U1166">
        <v>776822210.46000004</v>
      </c>
      <c r="V1166">
        <v>0</v>
      </c>
      <c r="W1166">
        <v>0</v>
      </c>
      <c r="Y1166" t="s">
        <v>0</v>
      </c>
      <c r="Z1166">
        <v>2750</v>
      </c>
      <c r="AA1166">
        <v>108</v>
      </c>
      <c r="AB1166">
        <v>29</v>
      </c>
      <c r="AC1166">
        <v>0</v>
      </c>
      <c r="AD1166">
        <v>369602628</v>
      </c>
      <c r="AE1166">
        <v>1059406.03</v>
      </c>
      <c r="AF1166">
        <v>368543221.97000003</v>
      </c>
      <c r="AG1166">
        <v>368543221.97000003</v>
      </c>
      <c r="AH1166">
        <v>0</v>
      </c>
      <c r="AI1166">
        <v>0</v>
      </c>
    </row>
    <row r="1167" spans="13:35" x14ac:dyDescent="0.35">
      <c r="M1167" t="s">
        <v>1</v>
      </c>
      <c r="N1167">
        <v>5250</v>
      </c>
      <c r="O1167">
        <v>8</v>
      </c>
      <c r="P1167">
        <v>387</v>
      </c>
      <c r="Q1167">
        <v>0</v>
      </c>
      <c r="R1167">
        <v>16695507434</v>
      </c>
      <c r="S1167">
        <v>20118485.539999999</v>
      </c>
      <c r="T1167">
        <v>16648475498.76</v>
      </c>
      <c r="U1167">
        <v>16675388948.459999</v>
      </c>
      <c r="V1167">
        <v>1.9174E-2</v>
      </c>
      <c r="W1167">
        <v>0</v>
      </c>
      <c r="Y1167" t="s">
        <v>1</v>
      </c>
      <c r="Z1167">
        <v>6750</v>
      </c>
      <c r="AA1167">
        <v>7</v>
      </c>
      <c r="AB1167">
        <v>7837</v>
      </c>
      <c r="AC1167">
        <v>0</v>
      </c>
      <c r="AD1167">
        <v>281916671158</v>
      </c>
      <c r="AE1167">
        <v>258320806.06999999</v>
      </c>
      <c r="AF1167">
        <v>207382597576.17999</v>
      </c>
      <c r="AG1167">
        <v>281001217767.60999</v>
      </c>
      <c r="AH1167">
        <v>0.97451399999999999</v>
      </c>
      <c r="AI1167">
        <v>2.7616000000000002E-2</v>
      </c>
    </row>
    <row r="1168" spans="13:35" x14ac:dyDescent="0.35">
      <c r="M1168" t="s">
        <v>1</v>
      </c>
      <c r="N1168">
        <v>5250</v>
      </c>
      <c r="O1168">
        <v>9</v>
      </c>
      <c r="P1168">
        <v>389</v>
      </c>
      <c r="Q1168">
        <v>0</v>
      </c>
      <c r="R1168">
        <v>15406285823</v>
      </c>
      <c r="S1168">
        <v>18682248.350000001</v>
      </c>
      <c r="T1168">
        <v>15334906162.85</v>
      </c>
      <c r="U1168">
        <v>15387603574.65</v>
      </c>
      <c r="V1168">
        <v>4.0282999999999999E-2</v>
      </c>
      <c r="W1168">
        <v>0</v>
      </c>
      <c r="Y1168" t="s">
        <v>3</v>
      </c>
      <c r="Z1168">
        <v>5250</v>
      </c>
      <c r="AA1168">
        <v>108</v>
      </c>
      <c r="AB1168">
        <v>7</v>
      </c>
      <c r="AC1168">
        <v>0</v>
      </c>
      <c r="AD1168">
        <v>86422605</v>
      </c>
      <c r="AE1168">
        <v>183723.66</v>
      </c>
      <c r="AF1168">
        <v>86238881.340000004</v>
      </c>
      <c r="AG1168">
        <v>86238881.340000004</v>
      </c>
      <c r="AH1168">
        <v>0</v>
      </c>
      <c r="AI1168">
        <v>0</v>
      </c>
    </row>
    <row r="1169" spans="13:35" x14ac:dyDescent="0.35">
      <c r="M1169" t="s">
        <v>2</v>
      </c>
      <c r="N1169">
        <v>7250</v>
      </c>
      <c r="O1169">
        <v>42</v>
      </c>
      <c r="P1169">
        <v>924</v>
      </c>
      <c r="Q1169">
        <v>0</v>
      </c>
      <c r="R1169">
        <v>12303560948</v>
      </c>
      <c r="S1169">
        <v>12753219.74</v>
      </c>
      <c r="T1169">
        <v>12056324817.84</v>
      </c>
      <c r="U1169">
        <v>12182189909</v>
      </c>
      <c r="V1169">
        <v>0.20618500000000001</v>
      </c>
      <c r="W1169">
        <v>0.100943</v>
      </c>
      <c r="Y1169" t="s">
        <v>0</v>
      </c>
      <c r="Z1169">
        <v>5750</v>
      </c>
      <c r="AA1169">
        <v>108</v>
      </c>
      <c r="AB1169">
        <v>193</v>
      </c>
      <c r="AC1169">
        <v>0</v>
      </c>
      <c r="AD1169">
        <v>1954691642</v>
      </c>
      <c r="AE1169">
        <v>3844483.02</v>
      </c>
      <c r="AF1169">
        <v>1913080284.45</v>
      </c>
      <c r="AG1169">
        <v>1935895539.3499999</v>
      </c>
      <c r="AH1169">
        <v>0.208735</v>
      </c>
      <c r="AI1169">
        <v>8.8024000000000005E-2</v>
      </c>
    </row>
    <row r="1170" spans="13:35" x14ac:dyDescent="0.35">
      <c r="M1170" t="s">
        <v>1</v>
      </c>
      <c r="N1170">
        <v>7250</v>
      </c>
      <c r="O1170">
        <v>42</v>
      </c>
      <c r="P1170">
        <v>1881</v>
      </c>
      <c r="Q1170">
        <v>0</v>
      </c>
      <c r="R1170">
        <v>41618192514</v>
      </c>
      <c r="S1170">
        <v>43225676.450000003</v>
      </c>
      <c r="T1170">
        <v>39896031860.440002</v>
      </c>
      <c r="U1170">
        <v>41086412123.879997</v>
      </c>
      <c r="V1170">
        <v>0.38990000000000002</v>
      </c>
      <c r="W1170">
        <v>0.13211899999999999</v>
      </c>
      <c r="Y1170" t="s">
        <v>3</v>
      </c>
      <c r="Z1170">
        <v>4750</v>
      </c>
      <c r="AA1170">
        <v>108</v>
      </c>
      <c r="AB1170">
        <v>66</v>
      </c>
      <c r="AC1170">
        <v>0</v>
      </c>
      <c r="AD1170">
        <v>643173537</v>
      </c>
      <c r="AE1170">
        <v>1445747.8</v>
      </c>
      <c r="AF1170">
        <v>632884138.02999997</v>
      </c>
      <c r="AG1170">
        <v>641727789.20000005</v>
      </c>
      <c r="AH1170">
        <v>0.15307699999999999</v>
      </c>
      <c r="AI1170">
        <v>0</v>
      </c>
    </row>
    <row r="1171" spans="13:35" x14ac:dyDescent="0.35">
      <c r="M1171" t="s">
        <v>3</v>
      </c>
      <c r="N1171">
        <v>3750</v>
      </c>
      <c r="O1171">
        <v>108</v>
      </c>
      <c r="P1171">
        <v>336</v>
      </c>
      <c r="Q1171">
        <v>0</v>
      </c>
      <c r="R1171">
        <v>4835981689</v>
      </c>
      <c r="S1171">
        <v>12300019.199999999</v>
      </c>
      <c r="T1171">
        <v>4799010584.3999996</v>
      </c>
      <c r="U1171">
        <v>4823681669.8000002</v>
      </c>
      <c r="V1171">
        <v>5.953E-2</v>
      </c>
      <c r="W1171">
        <v>0</v>
      </c>
      <c r="Y1171" t="s">
        <v>1</v>
      </c>
      <c r="Z1171">
        <v>5250</v>
      </c>
      <c r="AA1171">
        <v>7</v>
      </c>
      <c r="AB1171">
        <v>388</v>
      </c>
      <c r="AC1171">
        <v>0</v>
      </c>
      <c r="AD1171">
        <v>16767443682</v>
      </c>
      <c r="AE1171">
        <v>20093205</v>
      </c>
      <c r="AF1171">
        <v>16670208962.91</v>
      </c>
      <c r="AG1171">
        <v>16747350477</v>
      </c>
      <c r="AH1171">
        <v>5.3831999999999998E-2</v>
      </c>
      <c r="AI1171">
        <v>0</v>
      </c>
    </row>
    <row r="1172" spans="13:35" x14ac:dyDescent="0.35">
      <c r="M1172" t="s">
        <v>0</v>
      </c>
      <c r="N1172">
        <v>2750</v>
      </c>
      <c r="O1172">
        <v>108</v>
      </c>
      <c r="P1172">
        <v>24</v>
      </c>
      <c r="Q1172">
        <v>0</v>
      </c>
      <c r="R1172">
        <v>316344789</v>
      </c>
      <c r="S1172">
        <v>906390.05</v>
      </c>
      <c r="T1172">
        <v>315438398.94999999</v>
      </c>
      <c r="U1172">
        <v>315438398.94999999</v>
      </c>
      <c r="V1172">
        <v>0</v>
      </c>
      <c r="W1172">
        <v>0</v>
      </c>
      <c r="Y1172" t="s">
        <v>1</v>
      </c>
      <c r="Z1172">
        <v>5250</v>
      </c>
      <c r="AA1172">
        <v>8</v>
      </c>
      <c r="AB1172">
        <v>392</v>
      </c>
      <c r="AC1172">
        <v>0</v>
      </c>
      <c r="AD1172">
        <v>15652475406</v>
      </c>
      <c r="AE1172">
        <v>18874962.699999999</v>
      </c>
      <c r="AF1172">
        <v>15442742853.690001</v>
      </c>
      <c r="AG1172">
        <v>15633600443.299999</v>
      </c>
      <c r="AH1172">
        <v>0.13689699999999999</v>
      </c>
      <c r="AI1172">
        <v>0</v>
      </c>
    </row>
    <row r="1173" spans="13:35" x14ac:dyDescent="0.35">
      <c r="M1173" t="s">
        <v>3</v>
      </c>
      <c r="N1173">
        <v>5000</v>
      </c>
      <c r="O1173">
        <v>96</v>
      </c>
      <c r="P1173">
        <v>197</v>
      </c>
      <c r="Q1173">
        <v>0</v>
      </c>
      <c r="R1173">
        <v>2815054530</v>
      </c>
      <c r="S1173">
        <v>5734571.7300000004</v>
      </c>
      <c r="T1173">
        <v>2809319958.27</v>
      </c>
      <c r="U1173">
        <v>2809319958.27</v>
      </c>
      <c r="V1173">
        <v>0</v>
      </c>
      <c r="W1173">
        <v>0</v>
      </c>
      <c r="Y1173" t="s">
        <v>2</v>
      </c>
      <c r="Z1173">
        <v>7250</v>
      </c>
      <c r="AA1173">
        <v>42</v>
      </c>
      <c r="AB1173">
        <v>825</v>
      </c>
      <c r="AC1173">
        <v>0</v>
      </c>
      <c r="AD1173">
        <v>11090314084</v>
      </c>
      <c r="AE1173">
        <v>11438957.51</v>
      </c>
      <c r="AF1173">
        <v>10970129013.969999</v>
      </c>
      <c r="AG1173">
        <v>11023113873.23</v>
      </c>
      <c r="AH1173">
        <v>0.111523</v>
      </c>
      <c r="AI1173">
        <v>5.8694000000000003E-2</v>
      </c>
    </row>
    <row r="1174" spans="13:35" x14ac:dyDescent="0.35">
      <c r="M1174" t="s">
        <v>3</v>
      </c>
      <c r="N1174">
        <v>4250</v>
      </c>
      <c r="O1174">
        <v>96</v>
      </c>
      <c r="P1174">
        <v>121</v>
      </c>
      <c r="Q1174">
        <v>0</v>
      </c>
      <c r="R1174">
        <v>2017809192</v>
      </c>
      <c r="S1174">
        <v>4538216.8</v>
      </c>
      <c r="T1174">
        <v>2013270975.2</v>
      </c>
      <c r="U1174">
        <v>2013270975.2</v>
      </c>
      <c r="V1174">
        <v>0</v>
      </c>
      <c r="W1174">
        <v>0</v>
      </c>
      <c r="Y1174" t="s">
        <v>1</v>
      </c>
      <c r="Z1174">
        <v>7250</v>
      </c>
      <c r="AA1174">
        <v>42</v>
      </c>
      <c r="AB1174">
        <v>1808</v>
      </c>
      <c r="AC1174">
        <v>0</v>
      </c>
      <c r="AD1174">
        <v>40075727623</v>
      </c>
      <c r="AE1174">
        <v>41407202.07</v>
      </c>
      <c r="AF1174">
        <v>37990288504.129997</v>
      </c>
      <c r="AG1174">
        <v>39378858592.760002</v>
      </c>
      <c r="AH1174">
        <v>0.46645500000000001</v>
      </c>
      <c r="AI1174">
        <v>0.17954000000000001</v>
      </c>
    </row>
    <row r="1175" spans="13:35" x14ac:dyDescent="0.35">
      <c r="M1175" t="s">
        <v>3</v>
      </c>
      <c r="N1175">
        <v>4500</v>
      </c>
      <c r="O1175">
        <v>96</v>
      </c>
      <c r="P1175">
        <v>163</v>
      </c>
      <c r="Q1175">
        <v>0</v>
      </c>
      <c r="R1175">
        <v>2549716707</v>
      </c>
      <c r="S1175">
        <v>5573501.4000000004</v>
      </c>
      <c r="T1175">
        <v>2513152182.77</v>
      </c>
      <c r="U1175">
        <v>2544143205.5999999</v>
      </c>
      <c r="V1175">
        <v>0.13649</v>
      </c>
      <c r="W1175">
        <v>0</v>
      </c>
      <c r="Y1175" t="s">
        <v>3</v>
      </c>
      <c r="Z1175">
        <v>3750</v>
      </c>
      <c r="AA1175">
        <v>108</v>
      </c>
      <c r="AB1175">
        <v>352</v>
      </c>
      <c r="AC1175">
        <v>0</v>
      </c>
      <c r="AD1175">
        <v>5163382476</v>
      </c>
      <c r="AE1175">
        <v>13110895.310000001</v>
      </c>
      <c r="AF1175">
        <v>5132476556.7399998</v>
      </c>
      <c r="AG1175">
        <v>5150271580.6899996</v>
      </c>
      <c r="AH1175">
        <v>4.0582E-2</v>
      </c>
      <c r="AI1175">
        <v>0</v>
      </c>
    </row>
    <row r="1176" spans="13:35" x14ac:dyDescent="0.35">
      <c r="M1176" t="s">
        <v>3</v>
      </c>
      <c r="N1176">
        <v>5250</v>
      </c>
      <c r="O1176">
        <v>96</v>
      </c>
      <c r="P1176">
        <v>105</v>
      </c>
      <c r="Q1176">
        <v>0</v>
      </c>
      <c r="R1176">
        <v>1453407888</v>
      </c>
      <c r="S1176">
        <v>2867365.53</v>
      </c>
      <c r="T1176">
        <v>1450540522.47</v>
      </c>
      <c r="U1176">
        <v>1450540522.47</v>
      </c>
      <c r="V1176">
        <v>0</v>
      </c>
      <c r="W1176">
        <v>0</v>
      </c>
      <c r="Y1176" t="s">
        <v>3</v>
      </c>
      <c r="Z1176">
        <v>4500</v>
      </c>
      <c r="AA1176">
        <v>96</v>
      </c>
      <c r="AB1176">
        <v>175</v>
      </c>
      <c r="AC1176">
        <v>0</v>
      </c>
      <c r="AD1176">
        <v>2718596122</v>
      </c>
      <c r="AE1176">
        <v>5945215.1900000004</v>
      </c>
      <c r="AF1176">
        <v>2712650906.8099999</v>
      </c>
      <c r="AG1176">
        <v>2712650906.8099999</v>
      </c>
      <c r="AH1176">
        <v>0</v>
      </c>
      <c r="AI1176">
        <v>0</v>
      </c>
    </row>
    <row r="1177" spans="13:35" x14ac:dyDescent="0.35">
      <c r="M1177" t="s">
        <v>2</v>
      </c>
      <c r="N1177">
        <v>2250</v>
      </c>
      <c r="O1177">
        <v>72</v>
      </c>
      <c r="P1177">
        <v>4465</v>
      </c>
      <c r="Q1177">
        <v>0</v>
      </c>
      <c r="R1177">
        <v>79339967693</v>
      </c>
      <c r="S1177">
        <v>199943539.02000001</v>
      </c>
      <c r="T1177">
        <v>78747724361.699997</v>
      </c>
      <c r="U1177">
        <v>79082660936.949997</v>
      </c>
      <c r="V1177">
        <v>5.7747E-2</v>
      </c>
      <c r="W1177">
        <v>8.6420000000000004E-3</v>
      </c>
      <c r="Y1177" t="s">
        <v>3</v>
      </c>
      <c r="Z1177">
        <v>5250</v>
      </c>
      <c r="AA1177">
        <v>96</v>
      </c>
      <c r="AB1177">
        <v>98</v>
      </c>
      <c r="AC1177">
        <v>0</v>
      </c>
      <c r="AD1177">
        <v>1338442550</v>
      </c>
      <c r="AE1177">
        <v>2636509.37</v>
      </c>
      <c r="AF1177">
        <v>1328343278.01</v>
      </c>
      <c r="AG1177">
        <v>1335806040.6300001</v>
      </c>
      <c r="AH1177">
        <v>6.4893999999999993E-2</v>
      </c>
      <c r="AI1177">
        <v>0</v>
      </c>
    </row>
    <row r="1178" spans="13:35" x14ac:dyDescent="0.35">
      <c r="M1178" t="s">
        <v>3</v>
      </c>
      <c r="N1178">
        <v>5750</v>
      </c>
      <c r="O1178">
        <v>96</v>
      </c>
      <c r="P1178">
        <v>44</v>
      </c>
      <c r="Q1178">
        <v>0</v>
      </c>
      <c r="R1178">
        <v>547235760</v>
      </c>
      <c r="S1178">
        <v>1007303.97</v>
      </c>
      <c r="T1178">
        <v>546228456.02999997</v>
      </c>
      <c r="U1178">
        <v>546228456.02999997</v>
      </c>
      <c r="V1178">
        <v>0</v>
      </c>
      <c r="W1178">
        <v>0</v>
      </c>
      <c r="Y1178" t="s">
        <v>3</v>
      </c>
      <c r="Z1178">
        <v>5000</v>
      </c>
      <c r="AA1178">
        <v>96</v>
      </c>
      <c r="AB1178">
        <v>195</v>
      </c>
      <c r="AC1178">
        <v>0</v>
      </c>
      <c r="AD1178">
        <v>2751594647</v>
      </c>
      <c r="AE1178">
        <v>5586470.5</v>
      </c>
      <c r="AF1178">
        <v>2733688529.3200002</v>
      </c>
      <c r="AG1178">
        <v>2746008176.5</v>
      </c>
      <c r="AH1178">
        <v>5.2423999999999998E-2</v>
      </c>
      <c r="AI1178">
        <v>0</v>
      </c>
    </row>
    <row r="1179" spans="13:35" x14ac:dyDescent="0.35">
      <c r="M1179" t="s">
        <v>0</v>
      </c>
      <c r="N1179">
        <v>6250</v>
      </c>
      <c r="O1179">
        <v>108</v>
      </c>
      <c r="P1179">
        <v>91</v>
      </c>
      <c r="Q1179">
        <v>0</v>
      </c>
      <c r="R1179">
        <v>1011935253</v>
      </c>
      <c r="S1179">
        <v>1861199.39</v>
      </c>
      <c r="T1179">
        <v>992303463.51999998</v>
      </c>
      <c r="U1179">
        <v>1010074053.61</v>
      </c>
      <c r="V1179">
        <v>0.191524</v>
      </c>
      <c r="W1179">
        <v>0</v>
      </c>
      <c r="Y1179" t="s">
        <v>3</v>
      </c>
      <c r="Z1179">
        <v>4250</v>
      </c>
      <c r="AA1179">
        <v>96</v>
      </c>
      <c r="AB1179">
        <v>119</v>
      </c>
      <c r="AC1179">
        <v>0</v>
      </c>
      <c r="AD1179">
        <v>1992207059</v>
      </c>
      <c r="AE1179">
        <v>4487554.3899999997</v>
      </c>
      <c r="AF1179">
        <v>1987719504.6099999</v>
      </c>
      <c r="AG1179">
        <v>1987719504.6099999</v>
      </c>
      <c r="AH1179">
        <v>0</v>
      </c>
      <c r="AI1179">
        <v>0</v>
      </c>
    </row>
    <row r="1180" spans="13:35" x14ac:dyDescent="0.35">
      <c r="M1180" t="s">
        <v>2</v>
      </c>
      <c r="N1180">
        <v>5250</v>
      </c>
      <c r="O1180">
        <v>108</v>
      </c>
      <c r="P1180">
        <v>13</v>
      </c>
      <c r="Q1180">
        <v>0</v>
      </c>
      <c r="R1180">
        <v>131735958</v>
      </c>
      <c r="S1180">
        <v>271226.40000000002</v>
      </c>
      <c r="T1180">
        <v>131464731.59999999</v>
      </c>
      <c r="U1180">
        <v>131464731.59999999</v>
      </c>
      <c r="V1180">
        <v>0</v>
      </c>
      <c r="W1180">
        <v>0</v>
      </c>
      <c r="Y1180" t="s">
        <v>0</v>
      </c>
      <c r="Z1180">
        <v>3000</v>
      </c>
      <c r="AA1180">
        <v>96</v>
      </c>
      <c r="AB1180">
        <v>35</v>
      </c>
      <c r="AC1180">
        <v>0</v>
      </c>
      <c r="AD1180">
        <v>392007230</v>
      </c>
      <c r="AE1180">
        <v>1035565.67</v>
      </c>
      <c r="AF1180">
        <v>390971664.32999998</v>
      </c>
      <c r="AG1180">
        <v>390971664.32999998</v>
      </c>
      <c r="AH1180">
        <v>0</v>
      </c>
      <c r="AI1180">
        <v>0</v>
      </c>
    </row>
    <row r="1181" spans="13:35" x14ac:dyDescent="0.35">
      <c r="M1181" t="s">
        <v>0</v>
      </c>
      <c r="N1181">
        <v>6250</v>
      </c>
      <c r="O1181">
        <v>96</v>
      </c>
      <c r="P1181">
        <v>1307</v>
      </c>
      <c r="Q1181">
        <v>0</v>
      </c>
      <c r="R1181">
        <v>16146718256</v>
      </c>
      <c r="S1181">
        <v>27614908.440000001</v>
      </c>
      <c r="T1181">
        <v>15963922046.66</v>
      </c>
      <c r="U1181">
        <v>16032958944.91</v>
      </c>
      <c r="V1181">
        <v>0.10942300000000001</v>
      </c>
      <c r="W1181">
        <v>6.2176000000000002E-2</v>
      </c>
      <c r="Y1181" t="s">
        <v>2</v>
      </c>
      <c r="Z1181">
        <v>2250</v>
      </c>
      <c r="AA1181">
        <v>72</v>
      </c>
      <c r="AB1181">
        <v>3347</v>
      </c>
      <c r="AC1181">
        <v>0</v>
      </c>
      <c r="AD1181">
        <v>59599638447</v>
      </c>
      <c r="AE1181">
        <v>149988094.37</v>
      </c>
      <c r="AF1181">
        <v>59295811882.349998</v>
      </c>
      <c r="AG1181">
        <v>59418250282.410004</v>
      </c>
      <c r="AH1181">
        <v>3.0537999999999999E-2</v>
      </c>
      <c r="AI1181">
        <v>6.3039999999999997E-3</v>
      </c>
    </row>
    <row r="1182" spans="13:35" x14ac:dyDescent="0.35">
      <c r="M1182" t="s">
        <v>1</v>
      </c>
      <c r="N1182">
        <v>3750</v>
      </c>
      <c r="O1182">
        <v>320</v>
      </c>
      <c r="P1182">
        <v>10</v>
      </c>
      <c r="Q1182">
        <v>0</v>
      </c>
      <c r="R1182">
        <v>57337478</v>
      </c>
      <c r="S1182">
        <v>466207.79</v>
      </c>
      <c r="T1182">
        <v>56871270.210000001</v>
      </c>
      <c r="U1182">
        <v>56871270.210000001</v>
      </c>
      <c r="V1182">
        <v>0</v>
      </c>
      <c r="W1182">
        <v>0</v>
      </c>
      <c r="Y1182" t="s">
        <v>1</v>
      </c>
      <c r="Z1182">
        <v>2250</v>
      </c>
      <c r="AA1182">
        <v>72</v>
      </c>
      <c r="AB1182">
        <v>168198</v>
      </c>
      <c r="AC1182">
        <v>0</v>
      </c>
      <c r="AD1182">
        <v>4836551195358</v>
      </c>
      <c r="AE1182">
        <v>12202060117.98</v>
      </c>
      <c r="AF1182">
        <v>4801814095621.4502</v>
      </c>
      <c r="AG1182">
        <v>4823504144991.2598</v>
      </c>
      <c r="AH1182">
        <v>5.4501000000000001E-2</v>
      </c>
      <c r="AI1182">
        <v>2.0939999999999999E-3</v>
      </c>
    </row>
    <row r="1183" spans="13:35" x14ac:dyDescent="0.35">
      <c r="M1183" t="s">
        <v>1</v>
      </c>
      <c r="N1183">
        <v>3750</v>
      </c>
      <c r="O1183">
        <v>216</v>
      </c>
      <c r="P1183">
        <v>4</v>
      </c>
      <c r="Q1183">
        <v>0</v>
      </c>
      <c r="R1183">
        <v>35119283</v>
      </c>
      <c r="S1183">
        <v>175260.57</v>
      </c>
      <c r="T1183">
        <v>34944022.43</v>
      </c>
      <c r="U1183">
        <v>34944022.43</v>
      </c>
      <c r="V1183">
        <v>0</v>
      </c>
      <c r="W1183">
        <v>0</v>
      </c>
      <c r="Y1183" t="s">
        <v>3</v>
      </c>
      <c r="Z1183">
        <v>5750</v>
      </c>
      <c r="AA1183">
        <v>96</v>
      </c>
      <c r="AB1183">
        <v>37</v>
      </c>
      <c r="AC1183">
        <v>0</v>
      </c>
      <c r="AD1183">
        <v>465595536</v>
      </c>
      <c r="AE1183">
        <v>855610.15</v>
      </c>
      <c r="AF1183">
        <v>464739925.85000002</v>
      </c>
      <c r="AG1183">
        <v>464739925.85000002</v>
      </c>
      <c r="AH1183">
        <v>0</v>
      </c>
      <c r="AI1183">
        <v>0</v>
      </c>
    </row>
    <row r="1184" spans="13:35" x14ac:dyDescent="0.35">
      <c r="M1184" t="s">
        <v>3</v>
      </c>
      <c r="N1184">
        <v>5500</v>
      </c>
      <c r="O1184">
        <v>96</v>
      </c>
      <c r="P1184">
        <v>37</v>
      </c>
      <c r="Q1184">
        <v>0</v>
      </c>
      <c r="R1184">
        <v>442747137</v>
      </c>
      <c r="S1184">
        <v>839011.4</v>
      </c>
      <c r="T1184">
        <v>441908125.60000002</v>
      </c>
      <c r="U1184">
        <v>441908125.60000002</v>
      </c>
      <c r="V1184">
        <v>0</v>
      </c>
      <c r="W1184">
        <v>0</v>
      </c>
      <c r="Y1184" t="s">
        <v>0</v>
      </c>
      <c r="Z1184">
        <v>6250</v>
      </c>
      <c r="AA1184">
        <v>96</v>
      </c>
      <c r="AB1184">
        <v>1247</v>
      </c>
      <c r="AC1184">
        <v>0</v>
      </c>
      <c r="AD1184">
        <v>15442515056</v>
      </c>
      <c r="AE1184">
        <v>26304452.550000001</v>
      </c>
      <c r="AF1184">
        <v>15296429261.049999</v>
      </c>
      <c r="AG1184">
        <v>15396146763.43</v>
      </c>
      <c r="AH1184">
        <v>8.9208999999999997E-2</v>
      </c>
      <c r="AI1184">
        <v>1.5480000000000001E-2</v>
      </c>
    </row>
    <row r="1185" spans="13:35" x14ac:dyDescent="0.35">
      <c r="M1185" t="s">
        <v>1</v>
      </c>
      <c r="N1185">
        <v>5750</v>
      </c>
      <c r="O1185">
        <v>108</v>
      </c>
      <c r="P1185">
        <v>13</v>
      </c>
      <c r="Q1185">
        <v>0</v>
      </c>
      <c r="R1185">
        <v>167221431</v>
      </c>
      <c r="S1185">
        <v>324805.78999999998</v>
      </c>
      <c r="T1185">
        <v>166896625.21000001</v>
      </c>
      <c r="U1185">
        <v>166896625.21000001</v>
      </c>
      <c r="V1185">
        <v>0</v>
      </c>
      <c r="W1185">
        <v>0</v>
      </c>
      <c r="Y1185" t="s">
        <v>1</v>
      </c>
      <c r="Z1185">
        <v>3750</v>
      </c>
      <c r="AA1185">
        <v>320</v>
      </c>
      <c r="AB1185">
        <v>10</v>
      </c>
      <c r="AC1185">
        <v>0</v>
      </c>
      <c r="AD1185">
        <v>57829132</v>
      </c>
      <c r="AE1185">
        <v>465056.92</v>
      </c>
      <c r="AF1185">
        <v>57364075.079999998</v>
      </c>
      <c r="AG1185">
        <v>57364075.079999998</v>
      </c>
      <c r="AH1185">
        <v>0</v>
      </c>
      <c r="AI1185">
        <v>0</v>
      </c>
    </row>
    <row r="1186" spans="13:35" x14ac:dyDescent="0.35">
      <c r="M1186" t="s">
        <v>1</v>
      </c>
      <c r="N1186">
        <v>6250</v>
      </c>
      <c r="O1186">
        <v>96</v>
      </c>
      <c r="P1186">
        <v>67</v>
      </c>
      <c r="Q1186">
        <v>0</v>
      </c>
      <c r="R1186">
        <v>725429135</v>
      </c>
      <c r="S1186">
        <v>1232095.28</v>
      </c>
      <c r="T1186">
        <v>700684368.38999999</v>
      </c>
      <c r="U1186">
        <v>724197039.72000003</v>
      </c>
      <c r="V1186">
        <v>0.32658100000000001</v>
      </c>
      <c r="W1186">
        <v>0</v>
      </c>
      <c r="Y1186" t="s">
        <v>1</v>
      </c>
      <c r="Z1186">
        <v>3750</v>
      </c>
      <c r="AA1186">
        <v>216</v>
      </c>
      <c r="AB1186">
        <v>4</v>
      </c>
      <c r="AC1186">
        <v>0</v>
      </c>
      <c r="AD1186">
        <v>35364864</v>
      </c>
      <c r="AE1186">
        <v>175088.49</v>
      </c>
      <c r="AF1186">
        <v>35189775.509999998</v>
      </c>
      <c r="AG1186">
        <v>35189775.509999998</v>
      </c>
      <c r="AH1186">
        <v>0</v>
      </c>
      <c r="AI1186">
        <v>0</v>
      </c>
    </row>
    <row r="1187" spans="13:35" x14ac:dyDescent="0.35">
      <c r="M1187" t="s">
        <v>0</v>
      </c>
      <c r="N1187">
        <v>6500</v>
      </c>
      <c r="O1187">
        <v>96</v>
      </c>
      <c r="P1187">
        <v>92</v>
      </c>
      <c r="Q1187">
        <v>0</v>
      </c>
      <c r="R1187">
        <v>1060385853</v>
      </c>
      <c r="S1187">
        <v>1738123.78</v>
      </c>
      <c r="T1187">
        <v>1040197921.26</v>
      </c>
      <c r="U1187">
        <v>1058647729.22</v>
      </c>
      <c r="V1187">
        <v>0.18992400000000001</v>
      </c>
      <c r="W1187">
        <v>0</v>
      </c>
      <c r="Y1187" t="s">
        <v>2</v>
      </c>
      <c r="Z1187">
        <v>5250</v>
      </c>
      <c r="AA1187">
        <v>108</v>
      </c>
      <c r="AB1187">
        <v>1</v>
      </c>
      <c r="AC1187">
        <v>0</v>
      </c>
      <c r="AD1187">
        <v>12912324</v>
      </c>
      <c r="AE1187">
        <v>26843.360000000001</v>
      </c>
      <c r="AF1187">
        <v>12885480.640000001</v>
      </c>
      <c r="AG1187">
        <v>12885480.640000001</v>
      </c>
      <c r="AH1187">
        <v>0</v>
      </c>
      <c r="AI1187">
        <v>0</v>
      </c>
    </row>
    <row r="1188" spans="13:35" x14ac:dyDescent="0.35">
      <c r="M1188" t="s">
        <v>1</v>
      </c>
      <c r="N1188">
        <v>7750</v>
      </c>
      <c r="O1188">
        <v>42</v>
      </c>
      <c r="P1188">
        <v>218</v>
      </c>
      <c r="Q1188">
        <v>0</v>
      </c>
      <c r="R1188">
        <v>4346870548</v>
      </c>
      <c r="S1188">
        <v>4126037.79</v>
      </c>
      <c r="T1188">
        <v>4183214748.5300002</v>
      </c>
      <c r="U1188">
        <v>4257878519.1599998</v>
      </c>
      <c r="V1188">
        <v>0.36153200000000002</v>
      </c>
      <c r="W1188">
        <v>0.21069199999999999</v>
      </c>
      <c r="Y1188" t="s">
        <v>3</v>
      </c>
      <c r="Z1188">
        <v>5500</v>
      </c>
      <c r="AA1188">
        <v>96</v>
      </c>
      <c r="AB1188">
        <v>37</v>
      </c>
      <c r="AC1188">
        <v>0</v>
      </c>
      <c r="AD1188">
        <v>443671698</v>
      </c>
      <c r="AE1188">
        <v>835387.74</v>
      </c>
      <c r="AF1188">
        <v>442836310.25999999</v>
      </c>
      <c r="AG1188">
        <v>442836310.25999999</v>
      </c>
      <c r="AH1188">
        <v>0</v>
      </c>
      <c r="AI1188">
        <v>0</v>
      </c>
    </row>
    <row r="1189" spans="13:35" x14ac:dyDescent="0.35">
      <c r="M1189" t="s">
        <v>0</v>
      </c>
      <c r="N1189">
        <v>5750</v>
      </c>
      <c r="O1189">
        <v>84</v>
      </c>
      <c r="P1189">
        <v>5363</v>
      </c>
      <c r="Q1189">
        <v>0</v>
      </c>
      <c r="R1189">
        <v>68835339044</v>
      </c>
      <c r="S1189">
        <v>119610181.88</v>
      </c>
      <c r="T1189">
        <v>68177668346.370003</v>
      </c>
      <c r="U1189">
        <v>68608964157.540001</v>
      </c>
      <c r="V1189">
        <v>8.9870000000000005E-2</v>
      </c>
      <c r="W1189">
        <v>1.8454000000000002E-2</v>
      </c>
      <c r="Y1189" t="s">
        <v>1</v>
      </c>
      <c r="Z1189">
        <v>6250</v>
      </c>
      <c r="AA1189">
        <v>96</v>
      </c>
      <c r="AB1189">
        <v>66</v>
      </c>
      <c r="AC1189">
        <v>0</v>
      </c>
      <c r="AD1189">
        <v>698612523</v>
      </c>
      <c r="AE1189">
        <v>1182317.17</v>
      </c>
      <c r="AF1189">
        <v>677181781.10000002</v>
      </c>
      <c r="AG1189">
        <v>682686091.22000003</v>
      </c>
      <c r="AH1189">
        <v>0.29738399999999998</v>
      </c>
      <c r="AI1189">
        <v>0.22583400000000001</v>
      </c>
    </row>
    <row r="1190" spans="13:35" x14ac:dyDescent="0.35">
      <c r="M1190" t="s">
        <v>0</v>
      </c>
      <c r="N1190">
        <v>6750</v>
      </c>
      <c r="O1190">
        <v>96</v>
      </c>
      <c r="P1190">
        <v>29</v>
      </c>
      <c r="Q1190">
        <v>0</v>
      </c>
      <c r="R1190">
        <v>322506973</v>
      </c>
      <c r="S1190">
        <v>516033.07</v>
      </c>
      <c r="T1190">
        <v>321990939.93000001</v>
      </c>
      <c r="U1190">
        <v>321990939.93000001</v>
      </c>
      <c r="V1190">
        <v>0</v>
      </c>
      <c r="W1190">
        <v>0</v>
      </c>
      <c r="Y1190" t="s">
        <v>0</v>
      </c>
      <c r="Z1190">
        <v>6500</v>
      </c>
      <c r="AA1190">
        <v>96</v>
      </c>
      <c r="AB1190">
        <v>81</v>
      </c>
      <c r="AC1190">
        <v>0</v>
      </c>
      <c r="AD1190">
        <v>919824312</v>
      </c>
      <c r="AE1190">
        <v>1502574.54</v>
      </c>
      <c r="AF1190">
        <v>905111784.84000003</v>
      </c>
      <c r="AG1190">
        <v>918321737.46000004</v>
      </c>
      <c r="AH1190">
        <v>0.159355</v>
      </c>
      <c r="AI1190">
        <v>0</v>
      </c>
    </row>
    <row r="1191" spans="13:35" x14ac:dyDescent="0.35">
      <c r="M1191" t="s">
        <v>1</v>
      </c>
      <c r="N1191">
        <v>6500</v>
      </c>
      <c r="O1191">
        <v>96</v>
      </c>
      <c r="P1191">
        <v>2</v>
      </c>
      <c r="Q1191">
        <v>0</v>
      </c>
      <c r="R1191">
        <v>16848601</v>
      </c>
      <c r="S1191">
        <v>27627.93</v>
      </c>
      <c r="T1191">
        <v>16820973.07</v>
      </c>
      <c r="U1191">
        <v>16820973.07</v>
      </c>
      <c r="V1191">
        <v>0</v>
      </c>
      <c r="W1191">
        <v>0</v>
      </c>
      <c r="Y1191" t="s">
        <v>1</v>
      </c>
      <c r="Z1191">
        <v>7750</v>
      </c>
      <c r="AA1191">
        <v>42</v>
      </c>
      <c r="AB1191">
        <v>214</v>
      </c>
      <c r="AC1191">
        <v>0</v>
      </c>
      <c r="AD1191">
        <v>4302017513</v>
      </c>
      <c r="AE1191">
        <v>4061444.18</v>
      </c>
      <c r="AF1191">
        <v>4024336652.6999998</v>
      </c>
      <c r="AG1191">
        <v>4191151434.23</v>
      </c>
      <c r="AH1191">
        <v>0.545512</v>
      </c>
      <c r="AI1191">
        <v>0.26042500000000002</v>
      </c>
    </row>
    <row r="1192" spans="13:35" x14ac:dyDescent="0.35">
      <c r="M1192" t="s">
        <v>3</v>
      </c>
      <c r="N1192">
        <v>6000</v>
      </c>
      <c r="O1192">
        <v>96</v>
      </c>
      <c r="P1192">
        <v>5</v>
      </c>
      <c r="Q1192">
        <v>0</v>
      </c>
      <c r="R1192">
        <v>50690916</v>
      </c>
      <c r="S1192">
        <v>87673.77</v>
      </c>
      <c r="T1192">
        <v>50603242.229999997</v>
      </c>
      <c r="U1192">
        <v>50603242.229999997</v>
      </c>
      <c r="V1192">
        <v>0</v>
      </c>
      <c r="W1192">
        <v>0</v>
      </c>
      <c r="Y1192" t="s">
        <v>3</v>
      </c>
      <c r="Z1192">
        <v>5250</v>
      </c>
      <c r="AA1192">
        <v>84</v>
      </c>
      <c r="AB1192">
        <v>43</v>
      </c>
      <c r="AC1192">
        <v>0</v>
      </c>
      <c r="AD1192">
        <v>582400177</v>
      </c>
      <c r="AE1192">
        <v>1086739.23</v>
      </c>
      <c r="AF1192">
        <v>581313437.76999998</v>
      </c>
      <c r="AG1192">
        <v>581313437.76999998</v>
      </c>
      <c r="AH1192">
        <v>0</v>
      </c>
      <c r="AI1192">
        <v>0</v>
      </c>
    </row>
    <row r="1193" spans="13:35" x14ac:dyDescent="0.35">
      <c r="M1193" t="s">
        <v>1</v>
      </c>
      <c r="N1193">
        <v>5750</v>
      </c>
      <c r="O1193">
        <v>84</v>
      </c>
      <c r="P1193">
        <v>360</v>
      </c>
      <c r="Q1193">
        <v>0</v>
      </c>
      <c r="R1193">
        <v>4721383182</v>
      </c>
      <c r="S1193">
        <v>8204674.1299999999</v>
      </c>
      <c r="T1193">
        <v>4661002105.4899998</v>
      </c>
      <c r="U1193">
        <v>4696334220.3100004</v>
      </c>
      <c r="V1193">
        <v>0.12484199999999999</v>
      </c>
      <c r="W1193">
        <v>4.1981999999999998E-2</v>
      </c>
      <c r="Y1193" t="s">
        <v>0</v>
      </c>
      <c r="Z1193">
        <v>6750</v>
      </c>
      <c r="AA1193">
        <v>96</v>
      </c>
      <c r="AB1193">
        <v>28</v>
      </c>
      <c r="AC1193">
        <v>0</v>
      </c>
      <c r="AD1193">
        <v>333580608</v>
      </c>
      <c r="AE1193">
        <v>532392.34</v>
      </c>
      <c r="AF1193">
        <v>333048215.66000003</v>
      </c>
      <c r="AG1193">
        <v>333048215.66000003</v>
      </c>
      <c r="AH1193">
        <v>0</v>
      </c>
      <c r="AI1193">
        <v>0</v>
      </c>
    </row>
    <row r="1194" spans="13:35" x14ac:dyDescent="0.35">
      <c r="M1194" t="s">
        <v>2</v>
      </c>
      <c r="N1194">
        <v>4250</v>
      </c>
      <c r="O1194">
        <v>72</v>
      </c>
      <c r="P1194">
        <v>1617</v>
      </c>
      <c r="Q1194">
        <v>0</v>
      </c>
      <c r="R1194">
        <v>19237126643</v>
      </c>
      <c r="S1194">
        <v>38536909.960000001</v>
      </c>
      <c r="T1194">
        <v>19029766493.66</v>
      </c>
      <c r="U1194">
        <v>19187510126.259998</v>
      </c>
      <c r="V1194">
        <v>0.100374</v>
      </c>
      <c r="W1194">
        <v>6.8900000000000003E-3</v>
      </c>
      <c r="Y1194" t="s">
        <v>1</v>
      </c>
      <c r="Z1194">
        <v>5750</v>
      </c>
      <c r="AA1194">
        <v>84</v>
      </c>
      <c r="AB1194">
        <v>457</v>
      </c>
      <c r="AC1194">
        <v>0</v>
      </c>
      <c r="AD1194">
        <v>5937497128</v>
      </c>
      <c r="AE1194">
        <v>10303629.109999999</v>
      </c>
      <c r="AF1194">
        <v>5869297350.4799995</v>
      </c>
      <c r="AG1194">
        <v>5908817296.8500004</v>
      </c>
      <c r="AH1194">
        <v>0.11093500000000001</v>
      </c>
      <c r="AI1194">
        <v>3.6513999999999998E-2</v>
      </c>
    </row>
    <row r="1195" spans="13:35" x14ac:dyDescent="0.35">
      <c r="M1195" t="s">
        <v>3</v>
      </c>
      <c r="N1195">
        <v>4500</v>
      </c>
      <c r="O1195">
        <v>84</v>
      </c>
      <c r="P1195">
        <v>123</v>
      </c>
      <c r="Q1195">
        <v>0</v>
      </c>
      <c r="R1195">
        <v>1769347189</v>
      </c>
      <c r="S1195">
        <v>3629347.55</v>
      </c>
      <c r="T1195">
        <v>1747141772.49</v>
      </c>
      <c r="U1195">
        <v>1765717841.45</v>
      </c>
      <c r="V1195">
        <v>0.11896</v>
      </c>
      <c r="W1195">
        <v>0</v>
      </c>
      <c r="Y1195" t="s">
        <v>1</v>
      </c>
      <c r="Z1195">
        <v>6500</v>
      </c>
      <c r="AA1195">
        <v>96</v>
      </c>
      <c r="AB1195">
        <v>2</v>
      </c>
      <c r="AC1195">
        <v>0</v>
      </c>
      <c r="AD1195">
        <v>16938091</v>
      </c>
      <c r="AE1195">
        <v>27581.95</v>
      </c>
      <c r="AF1195">
        <v>16910509.050000001</v>
      </c>
      <c r="AG1195">
        <v>16910509.050000001</v>
      </c>
      <c r="AH1195">
        <v>0</v>
      </c>
      <c r="AI1195">
        <v>0</v>
      </c>
    </row>
    <row r="1196" spans="13:35" x14ac:dyDescent="0.35">
      <c r="M1196" t="s">
        <v>0</v>
      </c>
      <c r="N1196">
        <v>6500</v>
      </c>
      <c r="O1196">
        <v>84</v>
      </c>
      <c r="P1196">
        <v>34</v>
      </c>
      <c r="Q1196">
        <v>0</v>
      </c>
      <c r="R1196">
        <v>293472613</v>
      </c>
      <c r="S1196">
        <v>456163.85</v>
      </c>
      <c r="T1196">
        <v>293016449.14999998</v>
      </c>
      <c r="U1196">
        <v>293016449.14999998</v>
      </c>
      <c r="V1196">
        <v>0</v>
      </c>
      <c r="W1196">
        <v>0</v>
      </c>
      <c r="Y1196" t="s">
        <v>0</v>
      </c>
      <c r="Z1196">
        <v>6250</v>
      </c>
      <c r="AA1196">
        <v>84</v>
      </c>
      <c r="AB1196">
        <v>458</v>
      </c>
      <c r="AC1196">
        <v>0</v>
      </c>
      <c r="AD1196">
        <v>5437794119</v>
      </c>
      <c r="AE1196">
        <v>8818382.1500000004</v>
      </c>
      <c r="AF1196">
        <v>5400462897.9899998</v>
      </c>
      <c r="AG1196">
        <v>5411940909.9300003</v>
      </c>
      <c r="AH1196">
        <v>6.1137999999999998E-2</v>
      </c>
      <c r="AI1196">
        <v>3.6950999999999998E-2</v>
      </c>
    </row>
    <row r="1197" spans="13:35" x14ac:dyDescent="0.35">
      <c r="M1197" t="s">
        <v>0</v>
      </c>
      <c r="N1197">
        <v>6250</v>
      </c>
      <c r="O1197">
        <v>84</v>
      </c>
      <c r="P1197">
        <v>373</v>
      </c>
      <c r="Q1197">
        <v>0</v>
      </c>
      <c r="R1197">
        <v>4422707292</v>
      </c>
      <c r="S1197">
        <v>7189073.1399999997</v>
      </c>
      <c r="T1197">
        <v>4390333524.6000004</v>
      </c>
      <c r="U1197">
        <v>4402848406.0699997</v>
      </c>
      <c r="V1197">
        <v>6.6233E-2</v>
      </c>
      <c r="W1197">
        <v>3.3840000000000002E-2</v>
      </c>
      <c r="Y1197" t="s">
        <v>3</v>
      </c>
      <c r="Z1197">
        <v>6000</v>
      </c>
      <c r="AA1197">
        <v>96</v>
      </c>
      <c r="AB1197">
        <v>4</v>
      </c>
      <c r="AC1197">
        <v>0</v>
      </c>
      <c r="AD1197">
        <v>37610638</v>
      </c>
      <c r="AE1197">
        <v>65006.51</v>
      </c>
      <c r="AF1197">
        <v>37545631.490000002</v>
      </c>
      <c r="AG1197">
        <v>37545631.490000002</v>
      </c>
      <c r="AH1197">
        <v>0</v>
      </c>
      <c r="AI1197">
        <v>0</v>
      </c>
    </row>
    <row r="1198" spans="13:35" x14ac:dyDescent="0.35">
      <c r="M1198" t="s">
        <v>3</v>
      </c>
      <c r="N1198">
        <v>4750</v>
      </c>
      <c r="O1198">
        <v>84</v>
      </c>
      <c r="P1198">
        <v>171</v>
      </c>
      <c r="Q1198">
        <v>0</v>
      </c>
      <c r="R1198">
        <v>2363686597</v>
      </c>
      <c r="S1198">
        <v>4695190.12</v>
      </c>
      <c r="T1198">
        <v>2343793346.4200001</v>
      </c>
      <c r="U1198">
        <v>2358991406.8800001</v>
      </c>
      <c r="V1198">
        <v>7.4486999999999998E-2</v>
      </c>
      <c r="W1198">
        <v>0</v>
      </c>
      <c r="Y1198" t="s">
        <v>2</v>
      </c>
      <c r="Z1198">
        <v>5750</v>
      </c>
      <c r="AA1198">
        <v>84</v>
      </c>
      <c r="AB1198">
        <v>30</v>
      </c>
      <c r="AC1198">
        <v>0</v>
      </c>
      <c r="AD1198">
        <v>251771316</v>
      </c>
      <c r="AE1198">
        <v>439191.95</v>
      </c>
      <c r="AF1198">
        <v>251332124.05000001</v>
      </c>
      <c r="AG1198">
        <v>251332124.05000001</v>
      </c>
      <c r="AH1198">
        <v>0</v>
      </c>
      <c r="AI1198">
        <v>0</v>
      </c>
    </row>
    <row r="1199" spans="13:35" x14ac:dyDescent="0.35">
      <c r="M1199" t="s">
        <v>1</v>
      </c>
      <c r="N1199">
        <v>6250</v>
      </c>
      <c r="O1199">
        <v>84</v>
      </c>
      <c r="P1199">
        <v>19</v>
      </c>
      <c r="Q1199">
        <v>0</v>
      </c>
      <c r="R1199">
        <v>226878450</v>
      </c>
      <c r="S1199">
        <v>367822.91</v>
      </c>
      <c r="T1199">
        <v>226510627.09</v>
      </c>
      <c r="U1199">
        <v>226510627.09</v>
      </c>
      <c r="V1199">
        <v>0</v>
      </c>
      <c r="W1199">
        <v>0</v>
      </c>
      <c r="Y1199" t="s">
        <v>2</v>
      </c>
      <c r="Z1199">
        <v>4250</v>
      </c>
      <c r="AA1199">
        <v>72</v>
      </c>
      <c r="AB1199">
        <v>1987</v>
      </c>
      <c r="AC1199">
        <v>0</v>
      </c>
      <c r="AD1199">
        <v>23486574781</v>
      </c>
      <c r="AE1199">
        <v>46998240.539999999</v>
      </c>
      <c r="AF1199">
        <v>23239839207.740002</v>
      </c>
      <c r="AG1199">
        <v>23423710416.259998</v>
      </c>
      <c r="AH1199">
        <v>9.7410999999999998E-2</v>
      </c>
      <c r="AI1199">
        <v>8.0759999999999998E-3</v>
      </c>
    </row>
    <row r="1200" spans="13:35" x14ac:dyDescent="0.35">
      <c r="M1200" t="s">
        <v>3</v>
      </c>
      <c r="N1200">
        <v>5000</v>
      </c>
      <c r="O1200">
        <v>84</v>
      </c>
      <c r="P1200">
        <v>24</v>
      </c>
      <c r="Q1200">
        <v>0</v>
      </c>
      <c r="R1200">
        <v>284075517</v>
      </c>
      <c r="S1200">
        <v>546579.86</v>
      </c>
      <c r="T1200">
        <v>283528937.13999999</v>
      </c>
      <c r="U1200">
        <v>283528937.13999999</v>
      </c>
      <c r="V1200">
        <v>0</v>
      </c>
      <c r="W1200">
        <v>0</v>
      </c>
      <c r="Y1200" t="s">
        <v>3</v>
      </c>
      <c r="Z1200">
        <v>5750</v>
      </c>
      <c r="AA1200">
        <v>84</v>
      </c>
      <c r="AB1200">
        <v>20</v>
      </c>
      <c r="AC1200">
        <v>0</v>
      </c>
      <c r="AD1200">
        <v>203239249</v>
      </c>
      <c r="AE1200">
        <v>355513.86</v>
      </c>
      <c r="AF1200">
        <v>202883735.13999999</v>
      </c>
      <c r="AG1200">
        <v>202883735.13999999</v>
      </c>
      <c r="AH1200">
        <v>0</v>
      </c>
      <c r="AI1200">
        <v>0</v>
      </c>
    </row>
    <row r="1201" spans="13:35" x14ac:dyDescent="0.35">
      <c r="M1201" t="s">
        <v>0</v>
      </c>
      <c r="N1201">
        <v>6750</v>
      </c>
      <c r="O1201">
        <v>84</v>
      </c>
      <c r="P1201">
        <v>4</v>
      </c>
      <c r="Q1201">
        <v>0</v>
      </c>
      <c r="R1201">
        <v>29245481</v>
      </c>
      <c r="S1201">
        <v>43486.03</v>
      </c>
      <c r="T1201">
        <v>29201994.969999999</v>
      </c>
      <c r="U1201">
        <v>29201994.969999999</v>
      </c>
      <c r="V1201">
        <v>0</v>
      </c>
      <c r="W1201">
        <v>0</v>
      </c>
      <c r="Y1201" t="s">
        <v>3</v>
      </c>
      <c r="Z1201">
        <v>4750</v>
      </c>
      <c r="AA1201">
        <v>84</v>
      </c>
      <c r="AB1201">
        <v>178</v>
      </c>
      <c r="AC1201">
        <v>0</v>
      </c>
      <c r="AD1201">
        <v>2454632528</v>
      </c>
      <c r="AE1201">
        <v>4858618.8</v>
      </c>
      <c r="AF1201">
        <v>2449773909.1999998</v>
      </c>
      <c r="AG1201">
        <v>2449773909.1999998</v>
      </c>
      <c r="AH1201">
        <v>0</v>
      </c>
      <c r="AI1201">
        <v>0</v>
      </c>
    </row>
    <row r="1202" spans="13:35" x14ac:dyDescent="0.35">
      <c r="M1202" t="s">
        <v>2</v>
      </c>
      <c r="N1202">
        <v>5750</v>
      </c>
      <c r="O1202">
        <v>84</v>
      </c>
      <c r="P1202">
        <v>10</v>
      </c>
      <c r="Q1202">
        <v>0</v>
      </c>
      <c r="R1202">
        <v>73164804</v>
      </c>
      <c r="S1202">
        <v>124829.04</v>
      </c>
      <c r="T1202">
        <v>73039974.959999993</v>
      </c>
      <c r="U1202">
        <v>73039974.959999993</v>
      </c>
      <c r="V1202">
        <v>0</v>
      </c>
      <c r="W1202">
        <v>0</v>
      </c>
      <c r="Y1202" t="s">
        <v>3</v>
      </c>
      <c r="Z1202">
        <v>5000</v>
      </c>
      <c r="AA1202">
        <v>84</v>
      </c>
      <c r="AB1202">
        <v>31</v>
      </c>
      <c r="AC1202">
        <v>0</v>
      </c>
      <c r="AD1202">
        <v>420710368</v>
      </c>
      <c r="AE1202">
        <v>809391.47</v>
      </c>
      <c r="AF1202">
        <v>419900976.52999997</v>
      </c>
      <c r="AG1202">
        <v>419900976.52999997</v>
      </c>
      <c r="AH1202">
        <v>0</v>
      </c>
      <c r="AI1202">
        <v>0</v>
      </c>
    </row>
    <row r="1203" spans="13:35" x14ac:dyDescent="0.35">
      <c r="M1203" t="s">
        <v>3</v>
      </c>
      <c r="N1203">
        <v>4250</v>
      </c>
      <c r="O1203">
        <v>84</v>
      </c>
      <c r="P1203">
        <v>214</v>
      </c>
      <c r="Q1203">
        <v>0</v>
      </c>
      <c r="R1203">
        <v>3452896310</v>
      </c>
      <c r="S1203">
        <v>7306505.9100000001</v>
      </c>
      <c r="T1203">
        <v>3424022698.1100001</v>
      </c>
      <c r="U1203">
        <v>3445589804.0900002</v>
      </c>
      <c r="V1203">
        <v>7.2430999999999995E-2</v>
      </c>
      <c r="W1203">
        <v>0</v>
      </c>
      <c r="Y1203" t="s">
        <v>3</v>
      </c>
      <c r="Z1203">
        <v>4500</v>
      </c>
      <c r="AA1203">
        <v>84</v>
      </c>
      <c r="AB1203">
        <v>132</v>
      </c>
      <c r="AC1203">
        <v>0</v>
      </c>
      <c r="AD1203">
        <v>1902830654</v>
      </c>
      <c r="AE1203">
        <v>3892348.67</v>
      </c>
      <c r="AF1203">
        <v>1898938305.3299999</v>
      </c>
      <c r="AG1203">
        <v>1898938305.3299999</v>
      </c>
      <c r="AH1203">
        <v>0</v>
      </c>
      <c r="AI1203">
        <v>0</v>
      </c>
    </row>
    <row r="1204" spans="13:35" x14ac:dyDescent="0.35">
      <c r="M1204" t="s">
        <v>3</v>
      </c>
      <c r="N1204">
        <v>5250</v>
      </c>
      <c r="O1204">
        <v>84</v>
      </c>
      <c r="P1204">
        <v>31</v>
      </c>
      <c r="Q1204">
        <v>0</v>
      </c>
      <c r="R1204">
        <v>422597339</v>
      </c>
      <c r="S1204">
        <v>787960</v>
      </c>
      <c r="T1204">
        <v>421809379</v>
      </c>
      <c r="U1204">
        <v>421809379</v>
      </c>
      <c r="V1204">
        <v>0</v>
      </c>
      <c r="W1204">
        <v>0</v>
      </c>
      <c r="Y1204" t="s">
        <v>0</v>
      </c>
      <c r="Z1204">
        <v>6500</v>
      </c>
      <c r="AA1204">
        <v>84</v>
      </c>
      <c r="AB1204">
        <v>45</v>
      </c>
      <c r="AC1204">
        <v>0</v>
      </c>
      <c r="AD1204">
        <v>416250331</v>
      </c>
      <c r="AE1204">
        <v>649518.54</v>
      </c>
      <c r="AF1204">
        <v>415600812.45999998</v>
      </c>
      <c r="AG1204">
        <v>415600812.45999998</v>
      </c>
      <c r="AH1204">
        <v>0</v>
      </c>
      <c r="AI1204">
        <v>0</v>
      </c>
    </row>
    <row r="1205" spans="13:35" x14ac:dyDescent="0.35">
      <c r="M1205" t="s">
        <v>3</v>
      </c>
      <c r="N1205">
        <v>4000</v>
      </c>
      <c r="O1205">
        <v>84</v>
      </c>
      <c r="P1205">
        <v>187</v>
      </c>
      <c r="Q1205">
        <v>0</v>
      </c>
      <c r="R1205">
        <v>3108175857</v>
      </c>
      <c r="S1205">
        <v>6745626.5700000003</v>
      </c>
      <c r="T1205">
        <v>3101430230.4299998</v>
      </c>
      <c r="U1205">
        <v>3101430230.4299998</v>
      </c>
      <c r="V1205">
        <v>0</v>
      </c>
      <c r="W1205">
        <v>0</v>
      </c>
      <c r="Y1205" t="s">
        <v>1</v>
      </c>
      <c r="Z1205">
        <v>6250</v>
      </c>
      <c r="AA1205">
        <v>84</v>
      </c>
      <c r="AB1205">
        <v>22</v>
      </c>
      <c r="AC1205">
        <v>0</v>
      </c>
      <c r="AD1205">
        <v>266191779</v>
      </c>
      <c r="AE1205">
        <v>431662.04</v>
      </c>
      <c r="AF1205">
        <v>265760116.96000001</v>
      </c>
      <c r="AG1205">
        <v>265760116.96000001</v>
      </c>
      <c r="AH1205">
        <v>0</v>
      </c>
      <c r="AI1205">
        <v>0</v>
      </c>
    </row>
    <row r="1206" spans="13:35" x14ac:dyDescent="0.35">
      <c r="M1206" t="s">
        <v>3</v>
      </c>
      <c r="N1206">
        <v>3750</v>
      </c>
      <c r="O1206">
        <v>84</v>
      </c>
      <c r="P1206">
        <v>279</v>
      </c>
      <c r="Q1206">
        <v>0</v>
      </c>
      <c r="R1206">
        <v>5075631910</v>
      </c>
      <c r="S1206">
        <v>11311406.699999999</v>
      </c>
      <c r="T1206">
        <v>5037223387.6899996</v>
      </c>
      <c r="U1206">
        <v>5064320503.3000002</v>
      </c>
      <c r="V1206">
        <v>6.2216E-2</v>
      </c>
      <c r="W1206">
        <v>0</v>
      </c>
      <c r="Y1206" t="s">
        <v>3</v>
      </c>
      <c r="Z1206">
        <v>4250</v>
      </c>
      <c r="AA1206">
        <v>84</v>
      </c>
      <c r="AB1206">
        <v>223</v>
      </c>
      <c r="AC1206">
        <v>0</v>
      </c>
      <c r="AD1206">
        <v>3584639852</v>
      </c>
      <c r="AE1206">
        <v>7560356.21</v>
      </c>
      <c r="AF1206">
        <v>3553955044.6799998</v>
      </c>
      <c r="AG1206">
        <v>3577079495.79</v>
      </c>
      <c r="AH1206">
        <v>7.4722999999999998E-2</v>
      </c>
      <c r="AI1206">
        <v>0</v>
      </c>
    </row>
    <row r="1207" spans="13:35" x14ac:dyDescent="0.35">
      <c r="M1207" t="s">
        <v>3</v>
      </c>
      <c r="N1207">
        <v>5750</v>
      </c>
      <c r="O1207">
        <v>84</v>
      </c>
      <c r="P1207">
        <v>13</v>
      </c>
      <c r="Q1207">
        <v>0</v>
      </c>
      <c r="R1207">
        <v>120367120</v>
      </c>
      <c r="S1207">
        <v>209462.73</v>
      </c>
      <c r="T1207">
        <v>120157657.27</v>
      </c>
      <c r="U1207">
        <v>120157657.27</v>
      </c>
      <c r="V1207">
        <v>0</v>
      </c>
      <c r="W1207">
        <v>0</v>
      </c>
      <c r="Y1207" t="s">
        <v>0</v>
      </c>
      <c r="Z1207">
        <v>6750</v>
      </c>
      <c r="AA1207">
        <v>84</v>
      </c>
      <c r="AB1207">
        <v>6</v>
      </c>
      <c r="AC1207">
        <v>0</v>
      </c>
      <c r="AD1207">
        <v>45052099</v>
      </c>
      <c r="AE1207">
        <v>67620.75</v>
      </c>
      <c r="AF1207">
        <v>44984478.25</v>
      </c>
      <c r="AG1207">
        <v>44984478.25</v>
      </c>
      <c r="AH1207">
        <v>0</v>
      </c>
      <c r="AI1207">
        <v>0</v>
      </c>
    </row>
    <row r="1208" spans="13:35" x14ac:dyDescent="0.35">
      <c r="M1208" t="s">
        <v>0</v>
      </c>
      <c r="N1208">
        <v>4750</v>
      </c>
      <c r="O1208">
        <v>54</v>
      </c>
      <c r="P1208">
        <v>4658</v>
      </c>
      <c r="Q1208">
        <v>0</v>
      </c>
      <c r="R1208">
        <v>105899291207</v>
      </c>
      <c r="S1208">
        <v>176423184.24000001</v>
      </c>
      <c r="T1208">
        <v>105129549892.13</v>
      </c>
      <c r="U1208">
        <v>105526063242.47</v>
      </c>
      <c r="V1208">
        <v>6.5198000000000006E-2</v>
      </c>
      <c r="W1208">
        <v>2.2074E-2</v>
      </c>
      <c r="Y1208" t="s">
        <v>3</v>
      </c>
      <c r="Z1208">
        <v>4000</v>
      </c>
      <c r="AA1208">
        <v>84</v>
      </c>
      <c r="AB1208">
        <v>178</v>
      </c>
      <c r="AC1208">
        <v>0</v>
      </c>
      <c r="AD1208">
        <v>2939450412</v>
      </c>
      <c r="AE1208">
        <v>6358295.7599999998</v>
      </c>
      <c r="AF1208">
        <v>2933092116.2399998</v>
      </c>
      <c r="AG1208">
        <v>2933092116.2399998</v>
      </c>
      <c r="AH1208">
        <v>0</v>
      </c>
      <c r="AI1208">
        <v>0</v>
      </c>
    </row>
    <row r="1209" spans="13:35" x14ac:dyDescent="0.35">
      <c r="M1209" t="s">
        <v>1</v>
      </c>
      <c r="N1209">
        <v>4250</v>
      </c>
      <c r="O1209">
        <v>54</v>
      </c>
      <c r="P1209">
        <v>2562</v>
      </c>
      <c r="Q1209">
        <v>0</v>
      </c>
      <c r="R1209">
        <v>67380411765</v>
      </c>
      <c r="S1209">
        <v>121289471.08</v>
      </c>
      <c r="T1209">
        <v>66681705990.779999</v>
      </c>
      <c r="U1209">
        <v>67158766560.279999</v>
      </c>
      <c r="V1209">
        <v>9.8123000000000002E-2</v>
      </c>
      <c r="W1209">
        <v>1.7727E-2</v>
      </c>
      <c r="Y1209" t="s">
        <v>3</v>
      </c>
      <c r="Z1209">
        <v>3750</v>
      </c>
      <c r="AA1209">
        <v>84</v>
      </c>
      <c r="AB1209">
        <v>252</v>
      </c>
      <c r="AC1209">
        <v>0</v>
      </c>
      <c r="AD1209">
        <v>4561333384</v>
      </c>
      <c r="AE1209">
        <v>10132136.5</v>
      </c>
      <c r="AF1209">
        <v>4524822612.71</v>
      </c>
      <c r="AG1209">
        <v>4551201247.5</v>
      </c>
      <c r="AH1209">
        <v>6.7232E-2</v>
      </c>
      <c r="AI1209">
        <v>0</v>
      </c>
    </row>
    <row r="1210" spans="13:35" x14ac:dyDescent="0.35">
      <c r="M1210" t="s">
        <v>3</v>
      </c>
      <c r="N1210">
        <v>5500</v>
      </c>
      <c r="O1210">
        <v>84</v>
      </c>
      <c r="P1210">
        <v>8</v>
      </c>
      <c r="Q1210">
        <v>0</v>
      </c>
      <c r="R1210">
        <v>103188852</v>
      </c>
      <c r="S1210">
        <v>185069.86</v>
      </c>
      <c r="T1210">
        <v>103003782.14</v>
      </c>
      <c r="U1210">
        <v>103003782.14</v>
      </c>
      <c r="V1210">
        <v>0</v>
      </c>
      <c r="W1210">
        <v>0</v>
      </c>
      <c r="Y1210" t="s">
        <v>0</v>
      </c>
      <c r="Z1210">
        <v>4750</v>
      </c>
      <c r="AA1210">
        <v>54</v>
      </c>
      <c r="AB1210">
        <v>3305</v>
      </c>
      <c r="AC1210">
        <v>0</v>
      </c>
      <c r="AD1210">
        <v>75050111371</v>
      </c>
      <c r="AE1210">
        <v>125040087.45999999</v>
      </c>
      <c r="AF1210">
        <v>74453309792.770004</v>
      </c>
      <c r="AG1210">
        <v>74849880139.509995</v>
      </c>
      <c r="AH1210">
        <v>7.2876999999999997E-2</v>
      </c>
      <c r="AI1210">
        <v>1.1957000000000001E-2</v>
      </c>
    </row>
    <row r="1211" spans="13:35" x14ac:dyDescent="0.35">
      <c r="M1211" t="s">
        <v>2</v>
      </c>
      <c r="N1211">
        <v>2750</v>
      </c>
      <c r="O1211">
        <v>84</v>
      </c>
      <c r="P1211">
        <v>202</v>
      </c>
      <c r="Q1211">
        <v>0</v>
      </c>
      <c r="R1211">
        <v>2761733372</v>
      </c>
      <c r="S1211">
        <v>6904303.2199999997</v>
      </c>
      <c r="T1211">
        <v>2744955149.71</v>
      </c>
      <c r="U1211">
        <v>2754829068.7800002</v>
      </c>
      <c r="V1211">
        <v>4.2069000000000002E-2</v>
      </c>
      <c r="W1211">
        <v>0</v>
      </c>
      <c r="Y1211" t="s">
        <v>0</v>
      </c>
      <c r="Z1211">
        <v>4250</v>
      </c>
      <c r="AA1211">
        <v>54</v>
      </c>
      <c r="AB1211">
        <v>11954</v>
      </c>
      <c r="AC1211">
        <v>0</v>
      </c>
      <c r="AD1211">
        <v>256980971070</v>
      </c>
      <c r="AE1211">
        <v>463392075.98000002</v>
      </c>
      <c r="AF1211">
        <v>254941438963.31</v>
      </c>
      <c r="AG1211">
        <v>255953758832.48999</v>
      </c>
      <c r="AH1211">
        <v>7.1166999999999994E-2</v>
      </c>
      <c r="AI1211">
        <v>2.6013000000000001E-2</v>
      </c>
    </row>
    <row r="1212" spans="13:35" x14ac:dyDescent="0.35">
      <c r="M1212" t="s">
        <v>1</v>
      </c>
      <c r="N1212">
        <v>2750</v>
      </c>
      <c r="O1212">
        <v>84</v>
      </c>
      <c r="P1212">
        <v>3603</v>
      </c>
      <c r="Q1212">
        <v>0</v>
      </c>
      <c r="R1212">
        <v>93142634422</v>
      </c>
      <c r="S1212">
        <v>231968690.72999999</v>
      </c>
      <c r="T1212">
        <v>92533489608.960007</v>
      </c>
      <c r="U1212">
        <v>92910665731.270004</v>
      </c>
      <c r="V1212">
        <v>4.7525999999999999E-2</v>
      </c>
      <c r="W1212">
        <v>0</v>
      </c>
      <c r="Y1212" t="s">
        <v>1</v>
      </c>
      <c r="Z1212">
        <v>4250</v>
      </c>
      <c r="AA1212">
        <v>54</v>
      </c>
      <c r="AB1212">
        <v>1598</v>
      </c>
      <c r="AC1212">
        <v>0</v>
      </c>
      <c r="AD1212">
        <v>40344186731</v>
      </c>
      <c r="AE1212">
        <v>72856968.170000002</v>
      </c>
      <c r="AF1212">
        <v>39578770017.160004</v>
      </c>
      <c r="AG1212">
        <v>40075232820.580002</v>
      </c>
      <c r="AH1212">
        <v>0.18761700000000001</v>
      </c>
      <c r="AI1212">
        <v>5.6793000000000003E-2</v>
      </c>
    </row>
    <row r="1213" spans="13:35" x14ac:dyDescent="0.35">
      <c r="M1213" t="s">
        <v>0</v>
      </c>
      <c r="N1213">
        <v>2750</v>
      </c>
      <c r="O1213">
        <v>84</v>
      </c>
      <c r="P1213">
        <v>915</v>
      </c>
      <c r="Q1213">
        <v>0</v>
      </c>
      <c r="R1213">
        <v>18734959994</v>
      </c>
      <c r="S1213">
        <v>46718430.93</v>
      </c>
      <c r="T1213">
        <v>18648104304.810001</v>
      </c>
      <c r="U1213">
        <v>18688241563.07</v>
      </c>
      <c r="V1213">
        <v>2.5408E-2</v>
      </c>
      <c r="W1213">
        <v>0</v>
      </c>
      <c r="Y1213" t="s">
        <v>3</v>
      </c>
      <c r="Z1213">
        <v>5500</v>
      </c>
      <c r="AA1213">
        <v>84</v>
      </c>
      <c r="AB1213">
        <v>8</v>
      </c>
      <c r="AC1213">
        <v>0</v>
      </c>
      <c r="AD1213">
        <v>103341591</v>
      </c>
      <c r="AE1213">
        <v>184174.6</v>
      </c>
      <c r="AF1213">
        <v>103157416.40000001</v>
      </c>
      <c r="AG1213">
        <v>103157416.40000001</v>
      </c>
      <c r="AH1213">
        <v>0</v>
      </c>
      <c r="AI1213">
        <v>0</v>
      </c>
    </row>
    <row r="1214" spans="13:35" x14ac:dyDescent="0.35">
      <c r="M1214" t="s">
        <v>0</v>
      </c>
      <c r="N1214">
        <v>5750</v>
      </c>
      <c r="O1214">
        <v>144</v>
      </c>
      <c r="P1214">
        <v>563</v>
      </c>
      <c r="Q1214">
        <v>0</v>
      </c>
      <c r="R1214">
        <v>3553175326</v>
      </c>
      <c r="S1214">
        <v>8694722.6899999995</v>
      </c>
      <c r="T1214">
        <v>3521050842.21</v>
      </c>
      <c r="U1214">
        <v>3538453143.1300001</v>
      </c>
      <c r="V1214">
        <v>7.6321E-2</v>
      </c>
      <c r="W1214">
        <v>2.0167000000000001E-2</v>
      </c>
      <c r="Y1214" t="s">
        <v>2</v>
      </c>
      <c r="Z1214">
        <v>2750</v>
      </c>
      <c r="AA1214">
        <v>84</v>
      </c>
      <c r="AB1214">
        <v>165</v>
      </c>
      <c r="AC1214">
        <v>0</v>
      </c>
      <c r="AD1214">
        <v>2262936136</v>
      </c>
      <c r="AE1214">
        <v>5644640.3300000001</v>
      </c>
      <c r="AF1214">
        <v>2257291495.6700001</v>
      </c>
      <c r="AG1214">
        <v>2257291495.6700001</v>
      </c>
      <c r="AH1214">
        <v>0</v>
      </c>
      <c r="AI1214">
        <v>0</v>
      </c>
    </row>
    <row r="1215" spans="13:35" x14ac:dyDescent="0.35">
      <c r="M1215" t="s">
        <v>3</v>
      </c>
      <c r="N1215">
        <v>3500</v>
      </c>
      <c r="O1215">
        <v>84</v>
      </c>
      <c r="P1215">
        <v>284</v>
      </c>
      <c r="Q1215">
        <v>0</v>
      </c>
      <c r="R1215">
        <v>5361104172</v>
      </c>
      <c r="S1215">
        <v>12247973.380000001</v>
      </c>
      <c r="T1215">
        <v>5348856198.6199999</v>
      </c>
      <c r="U1215">
        <v>5348856198.6199999</v>
      </c>
      <c r="V1215">
        <v>0</v>
      </c>
      <c r="W1215">
        <v>0</v>
      </c>
      <c r="Y1215" t="s">
        <v>1</v>
      </c>
      <c r="Z1215">
        <v>2750</v>
      </c>
      <c r="AA1215">
        <v>84</v>
      </c>
      <c r="AB1215">
        <v>2566</v>
      </c>
      <c r="AC1215">
        <v>0</v>
      </c>
      <c r="AD1215">
        <v>65725569420</v>
      </c>
      <c r="AE1215">
        <v>163519403.03999999</v>
      </c>
      <c r="AF1215">
        <v>65362571078.209999</v>
      </c>
      <c r="AG1215">
        <v>65562050016.959999</v>
      </c>
      <c r="AH1215">
        <v>3.5818000000000003E-2</v>
      </c>
      <c r="AI1215">
        <v>0</v>
      </c>
    </row>
    <row r="1216" spans="13:35" x14ac:dyDescent="0.35">
      <c r="M1216" t="s">
        <v>3</v>
      </c>
      <c r="N1216">
        <v>3250</v>
      </c>
      <c r="O1216">
        <v>84</v>
      </c>
      <c r="P1216">
        <v>182</v>
      </c>
      <c r="Q1216">
        <v>0</v>
      </c>
      <c r="R1216">
        <v>3727590741</v>
      </c>
      <c r="S1216">
        <v>8740644.5199999996</v>
      </c>
      <c r="T1216">
        <v>3718850096.48</v>
      </c>
      <c r="U1216">
        <v>3718850096.48</v>
      </c>
      <c r="V1216">
        <v>0</v>
      </c>
      <c r="W1216">
        <v>0</v>
      </c>
      <c r="Y1216" t="s">
        <v>0</v>
      </c>
      <c r="Z1216">
        <v>2750</v>
      </c>
      <c r="AA1216">
        <v>84</v>
      </c>
      <c r="AB1216">
        <v>700</v>
      </c>
      <c r="AC1216">
        <v>0</v>
      </c>
      <c r="AD1216">
        <v>13998223336</v>
      </c>
      <c r="AE1216">
        <v>34866505.759999998</v>
      </c>
      <c r="AF1216">
        <v>13963356830.24</v>
      </c>
      <c r="AG1216">
        <v>13963356830.24</v>
      </c>
      <c r="AH1216">
        <v>0</v>
      </c>
      <c r="AI1216">
        <v>0</v>
      </c>
    </row>
    <row r="1217" spans="13:35" x14ac:dyDescent="0.35">
      <c r="M1217" t="s">
        <v>2</v>
      </c>
      <c r="N1217">
        <v>4750</v>
      </c>
      <c r="O1217">
        <v>72</v>
      </c>
      <c r="P1217">
        <v>446</v>
      </c>
      <c r="Q1217">
        <v>0</v>
      </c>
      <c r="R1217">
        <v>4962952002</v>
      </c>
      <c r="S1217">
        <v>9273860.9499999993</v>
      </c>
      <c r="T1217">
        <v>4887605964</v>
      </c>
      <c r="U1217">
        <v>4925352300.25</v>
      </c>
      <c r="V1217">
        <v>0.148563</v>
      </c>
      <c r="W1217">
        <v>6.6379999999999995E-2</v>
      </c>
      <c r="Y1217" t="s">
        <v>0</v>
      </c>
      <c r="Z1217">
        <v>5750</v>
      </c>
      <c r="AA1217">
        <v>144</v>
      </c>
      <c r="AB1217">
        <v>565</v>
      </c>
      <c r="AC1217">
        <v>0</v>
      </c>
      <c r="AD1217">
        <v>3585310367</v>
      </c>
      <c r="AE1217">
        <v>8719903.2300000004</v>
      </c>
      <c r="AF1217">
        <v>3567844906.8899999</v>
      </c>
      <c r="AG1217">
        <v>3576590463.77</v>
      </c>
      <c r="AH1217">
        <v>2.8882000000000001E-2</v>
      </c>
      <c r="AI1217">
        <v>0</v>
      </c>
    </row>
    <row r="1218" spans="13:35" x14ac:dyDescent="0.35">
      <c r="M1218" t="s">
        <v>1</v>
      </c>
      <c r="N1218">
        <v>5000</v>
      </c>
      <c r="O1218">
        <v>72</v>
      </c>
      <c r="P1218">
        <v>115</v>
      </c>
      <c r="Q1218">
        <v>0</v>
      </c>
      <c r="R1218">
        <v>2052053582</v>
      </c>
      <c r="S1218">
        <v>3693960.46</v>
      </c>
      <c r="T1218">
        <v>1967638346.1900001</v>
      </c>
      <c r="U1218">
        <v>2020719843.9300001</v>
      </c>
      <c r="V1218">
        <v>0.38219199999999998</v>
      </c>
      <c r="W1218">
        <v>0.15018000000000001</v>
      </c>
      <c r="Y1218" t="s">
        <v>3</v>
      </c>
      <c r="Z1218">
        <v>3500</v>
      </c>
      <c r="AA1218">
        <v>84</v>
      </c>
      <c r="AB1218">
        <v>241</v>
      </c>
      <c r="AC1218">
        <v>0</v>
      </c>
      <c r="AD1218">
        <v>4497333708</v>
      </c>
      <c r="AE1218">
        <v>10251797.289999999</v>
      </c>
      <c r="AF1218">
        <v>4487081910.71</v>
      </c>
      <c r="AG1218">
        <v>4487081910.71</v>
      </c>
      <c r="AH1218">
        <v>0</v>
      </c>
      <c r="AI1218">
        <v>0</v>
      </c>
    </row>
    <row r="1219" spans="13:35" x14ac:dyDescent="0.35">
      <c r="M1219" t="s">
        <v>0</v>
      </c>
      <c r="N1219">
        <v>3750</v>
      </c>
      <c r="O1219">
        <v>60</v>
      </c>
      <c r="P1219">
        <v>43436</v>
      </c>
      <c r="Q1219">
        <v>0</v>
      </c>
      <c r="R1219">
        <v>862202008039</v>
      </c>
      <c r="S1219">
        <v>1735017870.9300001</v>
      </c>
      <c r="T1219">
        <v>855975894785.85999</v>
      </c>
      <c r="U1219">
        <v>859705236199.72998</v>
      </c>
      <c r="V1219">
        <v>6.0746000000000001E-2</v>
      </c>
      <c r="W1219">
        <v>1.0551E-2</v>
      </c>
      <c r="Y1219" t="s">
        <v>3</v>
      </c>
      <c r="Z1219">
        <v>3250</v>
      </c>
      <c r="AA1219">
        <v>84</v>
      </c>
      <c r="AB1219">
        <v>159</v>
      </c>
      <c r="AC1219">
        <v>0</v>
      </c>
      <c r="AD1219">
        <v>3278460005</v>
      </c>
      <c r="AE1219">
        <v>7663325.25</v>
      </c>
      <c r="AF1219">
        <v>3270796679.75</v>
      </c>
      <c r="AG1219">
        <v>3270796679.75</v>
      </c>
      <c r="AH1219">
        <v>0</v>
      </c>
      <c r="AI1219">
        <v>0</v>
      </c>
    </row>
    <row r="1220" spans="13:35" x14ac:dyDescent="0.35">
      <c r="M1220" t="s">
        <v>0</v>
      </c>
      <c r="N1220">
        <v>4250</v>
      </c>
      <c r="O1220">
        <v>60</v>
      </c>
      <c r="P1220">
        <v>8288</v>
      </c>
      <c r="Q1220">
        <v>0</v>
      </c>
      <c r="R1220">
        <v>162810266997</v>
      </c>
      <c r="S1220">
        <v>302999452.58999997</v>
      </c>
      <c r="T1220">
        <v>161413311345.04999</v>
      </c>
      <c r="U1220">
        <v>162171787628.88</v>
      </c>
      <c r="V1220">
        <v>7.7715999999999993E-2</v>
      </c>
      <c r="W1220">
        <v>2.4448000000000001E-2</v>
      </c>
      <c r="Y1220" t="s">
        <v>0</v>
      </c>
      <c r="Z1220">
        <v>5250</v>
      </c>
      <c r="AA1220">
        <v>72</v>
      </c>
      <c r="AB1220">
        <v>1698</v>
      </c>
      <c r="AC1220">
        <v>0</v>
      </c>
      <c r="AD1220">
        <v>25125932476</v>
      </c>
      <c r="AE1220">
        <v>43345954.200000003</v>
      </c>
      <c r="AF1220">
        <v>24871297994.48</v>
      </c>
      <c r="AG1220">
        <v>25051878682.25</v>
      </c>
      <c r="AH1220">
        <v>9.6370999999999998E-2</v>
      </c>
      <c r="AI1220">
        <v>1.4567999999999999E-2</v>
      </c>
    </row>
    <row r="1221" spans="13:35" x14ac:dyDescent="0.35">
      <c r="M1221" t="s">
        <v>2</v>
      </c>
      <c r="N1221">
        <v>4500</v>
      </c>
      <c r="O1221">
        <v>60</v>
      </c>
      <c r="P1221">
        <v>103</v>
      </c>
      <c r="Q1221">
        <v>0</v>
      </c>
      <c r="R1221">
        <v>1215892170</v>
      </c>
      <c r="S1221">
        <v>2279871.37</v>
      </c>
      <c r="T1221">
        <v>1213612298.6300001</v>
      </c>
      <c r="U1221">
        <v>1213612298.6300001</v>
      </c>
      <c r="V1221">
        <v>0</v>
      </c>
      <c r="W1221">
        <v>0</v>
      </c>
      <c r="Y1221" t="s">
        <v>2</v>
      </c>
      <c r="Z1221">
        <v>4750</v>
      </c>
      <c r="AA1221">
        <v>72</v>
      </c>
      <c r="AB1221">
        <v>515</v>
      </c>
      <c r="AC1221">
        <v>0</v>
      </c>
      <c r="AD1221">
        <v>5578508079</v>
      </c>
      <c r="AE1221">
        <v>10379071.890000001</v>
      </c>
      <c r="AF1221">
        <v>5529613745.04</v>
      </c>
      <c r="AG1221">
        <v>5568129007.1099997</v>
      </c>
      <c r="AH1221">
        <v>7.9776E-2</v>
      </c>
      <c r="AI1221">
        <v>0</v>
      </c>
    </row>
    <row r="1222" spans="13:35" x14ac:dyDescent="0.35">
      <c r="M1222" t="s">
        <v>2</v>
      </c>
      <c r="N1222">
        <v>3750</v>
      </c>
      <c r="O1222">
        <v>60</v>
      </c>
      <c r="P1222">
        <v>3396</v>
      </c>
      <c r="Q1222">
        <v>0</v>
      </c>
      <c r="R1222">
        <v>47646624065</v>
      </c>
      <c r="S1222">
        <v>96791310.030000001</v>
      </c>
      <c r="T1222">
        <v>47195341567.57</v>
      </c>
      <c r="U1222">
        <v>47478597251.559998</v>
      </c>
      <c r="V1222">
        <v>8.5716000000000001E-2</v>
      </c>
      <c r="W1222">
        <v>1.7794000000000001E-2</v>
      </c>
      <c r="Y1222" t="s">
        <v>1</v>
      </c>
      <c r="Z1222">
        <v>3250</v>
      </c>
      <c r="AA1222">
        <v>60</v>
      </c>
      <c r="AB1222">
        <v>33593</v>
      </c>
      <c r="AC1222">
        <v>0</v>
      </c>
      <c r="AD1222">
        <v>847293582185</v>
      </c>
      <c r="AE1222">
        <v>1833113529.49</v>
      </c>
      <c r="AF1222">
        <v>838544779266.01001</v>
      </c>
      <c r="AG1222">
        <v>844058310788.18994</v>
      </c>
      <c r="AH1222">
        <v>9.3665999999999999E-2</v>
      </c>
      <c r="AI1222">
        <v>1.9678999999999999E-2</v>
      </c>
    </row>
    <row r="1223" spans="13:35" x14ac:dyDescent="0.35">
      <c r="M1223" t="s">
        <v>1</v>
      </c>
      <c r="N1223">
        <v>3750</v>
      </c>
      <c r="O1223">
        <v>60</v>
      </c>
      <c r="P1223">
        <v>8136</v>
      </c>
      <c r="Q1223">
        <v>0</v>
      </c>
      <c r="R1223">
        <v>192612028874</v>
      </c>
      <c r="S1223">
        <v>388435125.81</v>
      </c>
      <c r="T1223">
        <v>190359366171.92001</v>
      </c>
      <c r="U1223">
        <v>191687904184.14001</v>
      </c>
      <c r="V1223">
        <v>0.110157</v>
      </c>
      <c r="W1223">
        <v>3.2868000000000001E-2</v>
      </c>
      <c r="Y1223" t="s">
        <v>0</v>
      </c>
      <c r="Z1223">
        <v>3750</v>
      </c>
      <c r="AA1223">
        <v>60</v>
      </c>
      <c r="AB1223">
        <v>36549</v>
      </c>
      <c r="AC1223">
        <v>0</v>
      </c>
      <c r="AD1223">
        <v>718519856045</v>
      </c>
      <c r="AE1223">
        <v>1443163463.1700001</v>
      </c>
      <c r="AF1223">
        <v>713487014223.06006</v>
      </c>
      <c r="AG1223">
        <v>716520822636.39001</v>
      </c>
      <c r="AH1223">
        <v>5.8331000000000001E-2</v>
      </c>
      <c r="AI1223">
        <v>9.2440000000000005E-3</v>
      </c>
    </row>
    <row r="1224" spans="13:35" x14ac:dyDescent="0.35">
      <c r="M1224" t="s">
        <v>1</v>
      </c>
      <c r="N1224">
        <v>7750</v>
      </c>
      <c r="O1224">
        <v>24</v>
      </c>
      <c r="P1224">
        <v>702</v>
      </c>
      <c r="Q1224">
        <v>0</v>
      </c>
      <c r="R1224">
        <v>16616746979</v>
      </c>
      <c r="S1224">
        <v>14141128.880000001</v>
      </c>
      <c r="T1224">
        <v>15809893448.559999</v>
      </c>
      <c r="U1224">
        <v>16360932840.950001</v>
      </c>
      <c r="V1224">
        <v>0.44377</v>
      </c>
      <c r="W1224">
        <v>0.161222</v>
      </c>
      <c r="Y1224" t="s">
        <v>2</v>
      </c>
      <c r="Z1224">
        <v>4500</v>
      </c>
      <c r="AA1224">
        <v>60</v>
      </c>
      <c r="AB1224">
        <v>99</v>
      </c>
      <c r="AC1224">
        <v>0</v>
      </c>
      <c r="AD1224">
        <v>1189163306</v>
      </c>
      <c r="AE1224">
        <v>2252509.77</v>
      </c>
      <c r="AF1224">
        <v>1186910796.23</v>
      </c>
      <c r="AG1224">
        <v>1186910796.23</v>
      </c>
      <c r="AH1224">
        <v>0</v>
      </c>
      <c r="AI1224">
        <v>0</v>
      </c>
    </row>
    <row r="1225" spans="13:35" x14ac:dyDescent="0.35">
      <c r="M1225" t="s">
        <v>2</v>
      </c>
      <c r="N1225">
        <v>7750</v>
      </c>
      <c r="O1225">
        <v>24</v>
      </c>
      <c r="P1225">
        <v>248</v>
      </c>
      <c r="Q1225">
        <v>0</v>
      </c>
      <c r="R1225">
        <v>3651608774</v>
      </c>
      <c r="S1225">
        <v>3073572.78</v>
      </c>
      <c r="T1225">
        <v>3607494230.8800001</v>
      </c>
      <c r="U1225">
        <v>3636732132.7199998</v>
      </c>
      <c r="V1225">
        <v>0.12683700000000001</v>
      </c>
      <c r="W1225">
        <v>3.8105E-2</v>
      </c>
      <c r="Y1225" t="s">
        <v>2</v>
      </c>
      <c r="Z1225">
        <v>4250</v>
      </c>
      <c r="AA1225">
        <v>60</v>
      </c>
      <c r="AB1225">
        <v>406</v>
      </c>
      <c r="AC1225">
        <v>0</v>
      </c>
      <c r="AD1225">
        <v>4906601037</v>
      </c>
      <c r="AE1225">
        <v>9340449.0700000003</v>
      </c>
      <c r="AF1225">
        <v>4856146197.4700003</v>
      </c>
      <c r="AG1225">
        <v>4897260587.9300003</v>
      </c>
      <c r="AH1225">
        <v>9.6046000000000006E-2</v>
      </c>
      <c r="AI1225">
        <v>0</v>
      </c>
    </row>
    <row r="1226" spans="13:35" x14ac:dyDescent="0.35">
      <c r="M1226" t="s">
        <v>0</v>
      </c>
      <c r="N1226">
        <v>5250</v>
      </c>
      <c r="O1226">
        <v>72</v>
      </c>
      <c r="P1226">
        <v>1339</v>
      </c>
      <c r="Q1226">
        <v>0</v>
      </c>
      <c r="R1226">
        <v>19785726665</v>
      </c>
      <c r="S1226">
        <v>34080164.020000003</v>
      </c>
      <c r="T1226">
        <v>19658656841.360001</v>
      </c>
      <c r="U1226">
        <v>19751646500.98</v>
      </c>
      <c r="V1226">
        <v>5.4962999999999998E-2</v>
      </c>
      <c r="W1226">
        <v>0</v>
      </c>
      <c r="Y1226" t="s">
        <v>0</v>
      </c>
      <c r="Z1226">
        <v>4250</v>
      </c>
      <c r="AA1226">
        <v>60</v>
      </c>
      <c r="AB1226">
        <v>6996</v>
      </c>
      <c r="AC1226">
        <v>0</v>
      </c>
      <c r="AD1226">
        <v>135327868912</v>
      </c>
      <c r="AE1226">
        <v>251439417.28</v>
      </c>
      <c r="AF1226">
        <v>134231212065.03</v>
      </c>
      <c r="AG1226">
        <v>134832331879.17</v>
      </c>
      <c r="AH1226">
        <v>7.2427000000000005E-2</v>
      </c>
      <c r="AI1226">
        <v>2.1432E-2</v>
      </c>
    </row>
    <row r="1227" spans="13:35" x14ac:dyDescent="0.35">
      <c r="M1227" t="s">
        <v>0</v>
      </c>
      <c r="N1227">
        <v>5750</v>
      </c>
      <c r="O1227">
        <v>72</v>
      </c>
      <c r="P1227">
        <v>149</v>
      </c>
      <c r="Q1227">
        <v>0</v>
      </c>
      <c r="R1227">
        <v>1916672706</v>
      </c>
      <c r="S1227">
        <v>3072597.35</v>
      </c>
      <c r="T1227">
        <v>1913600108.6500001</v>
      </c>
      <c r="U1227">
        <v>1913600108.6500001</v>
      </c>
      <c r="V1227">
        <v>0</v>
      </c>
      <c r="W1227">
        <v>0</v>
      </c>
      <c r="Y1227" t="s">
        <v>2</v>
      </c>
      <c r="Z1227">
        <v>3750</v>
      </c>
      <c r="AA1227">
        <v>60</v>
      </c>
      <c r="AB1227">
        <v>2932</v>
      </c>
      <c r="AC1227">
        <v>0</v>
      </c>
      <c r="AD1227">
        <v>40899838699</v>
      </c>
      <c r="AE1227">
        <v>82949485.25</v>
      </c>
      <c r="AF1227">
        <v>40646490414.629997</v>
      </c>
      <c r="AG1227">
        <v>40802646436.199997</v>
      </c>
      <c r="AH1227">
        <v>4.8864999999999999E-2</v>
      </c>
      <c r="AI1227">
        <v>4.1710000000000002E-3</v>
      </c>
    </row>
    <row r="1228" spans="13:35" x14ac:dyDescent="0.35">
      <c r="M1228" t="s">
        <v>3</v>
      </c>
      <c r="N1228">
        <v>3750</v>
      </c>
      <c r="O1228">
        <v>72</v>
      </c>
      <c r="P1228">
        <v>111</v>
      </c>
      <c r="Q1228">
        <v>0</v>
      </c>
      <c r="R1228">
        <v>1847761923</v>
      </c>
      <c r="S1228">
        <v>3981101.24</v>
      </c>
      <c r="T1228">
        <v>1808475088.1900001</v>
      </c>
      <c r="U1228">
        <v>1843780821.76</v>
      </c>
      <c r="V1228">
        <v>0.20666200000000001</v>
      </c>
      <c r="W1228">
        <v>0</v>
      </c>
      <c r="Y1228" t="s">
        <v>1</v>
      </c>
      <c r="Z1228">
        <v>3750</v>
      </c>
      <c r="AA1228">
        <v>60</v>
      </c>
      <c r="AB1228">
        <v>6719</v>
      </c>
      <c r="AC1228">
        <v>0</v>
      </c>
      <c r="AD1228">
        <v>157380989135</v>
      </c>
      <c r="AE1228">
        <v>316674365.19</v>
      </c>
      <c r="AF1228">
        <v>155326274767.23001</v>
      </c>
      <c r="AG1228">
        <v>156656812815.19</v>
      </c>
      <c r="AH1228">
        <v>0.124762</v>
      </c>
      <c r="AI1228">
        <v>3.0633000000000001E-2</v>
      </c>
    </row>
    <row r="1229" spans="13:35" x14ac:dyDescent="0.35">
      <c r="M1229" t="s">
        <v>3</v>
      </c>
      <c r="N1229">
        <v>3500</v>
      </c>
      <c r="O1229">
        <v>72</v>
      </c>
      <c r="P1229">
        <v>163</v>
      </c>
      <c r="Q1229">
        <v>0</v>
      </c>
      <c r="R1229">
        <v>2773993693</v>
      </c>
      <c r="S1229">
        <v>6137789.4199999999</v>
      </c>
      <c r="T1229">
        <v>2727202116.9400001</v>
      </c>
      <c r="U1229">
        <v>2767855903.5799999</v>
      </c>
      <c r="V1229">
        <v>0.162359</v>
      </c>
      <c r="W1229">
        <v>0</v>
      </c>
      <c r="Y1229" t="s">
        <v>1</v>
      </c>
      <c r="Z1229">
        <v>3750</v>
      </c>
      <c r="AA1229">
        <v>54</v>
      </c>
      <c r="AB1229">
        <v>12159</v>
      </c>
      <c r="AC1229">
        <v>0</v>
      </c>
      <c r="AD1229">
        <v>306917824599</v>
      </c>
      <c r="AE1229">
        <v>600451935.23000002</v>
      </c>
      <c r="AF1229">
        <v>302768506991.84003</v>
      </c>
      <c r="AG1229">
        <v>305229637993.39001</v>
      </c>
      <c r="AH1229">
        <v>0.13026199999999999</v>
      </c>
      <c r="AI1229">
        <v>4.1709000000000003E-2</v>
      </c>
    </row>
    <row r="1230" spans="13:35" x14ac:dyDescent="0.35">
      <c r="M1230" t="s">
        <v>3</v>
      </c>
      <c r="N1230">
        <v>3250</v>
      </c>
      <c r="O1230">
        <v>72</v>
      </c>
      <c r="P1230">
        <v>406</v>
      </c>
      <c r="Q1230">
        <v>0</v>
      </c>
      <c r="R1230">
        <v>7765703134</v>
      </c>
      <c r="S1230">
        <v>17694599.710000001</v>
      </c>
      <c r="T1230">
        <v>7654478185.3900003</v>
      </c>
      <c r="U1230">
        <v>7748008534.29</v>
      </c>
      <c r="V1230">
        <v>0.135329</v>
      </c>
      <c r="W1230">
        <v>0</v>
      </c>
      <c r="Y1230" t="s">
        <v>2</v>
      </c>
      <c r="Z1230">
        <v>3750</v>
      </c>
      <c r="AA1230">
        <v>54</v>
      </c>
      <c r="AB1230">
        <v>4198</v>
      </c>
      <c r="AC1230">
        <v>0</v>
      </c>
      <c r="AD1230">
        <v>61420708118</v>
      </c>
      <c r="AE1230">
        <v>120957743.22</v>
      </c>
      <c r="AF1230">
        <v>60871244598.660004</v>
      </c>
      <c r="AG1230">
        <v>61238186221.330002</v>
      </c>
      <c r="AH1230">
        <v>8.0579999999999999E-2</v>
      </c>
      <c r="AI1230">
        <v>1.1962E-2</v>
      </c>
    </row>
    <row r="1231" spans="13:35" x14ac:dyDescent="0.35">
      <c r="M1231" t="s">
        <v>3</v>
      </c>
      <c r="N1231">
        <v>2750</v>
      </c>
      <c r="O1231">
        <v>72</v>
      </c>
      <c r="P1231">
        <v>1370</v>
      </c>
      <c r="Q1231">
        <v>0</v>
      </c>
      <c r="R1231">
        <v>30087343582</v>
      </c>
      <c r="S1231">
        <v>71837235.730000004</v>
      </c>
      <c r="T1231">
        <v>29839043274.029999</v>
      </c>
      <c r="U1231">
        <v>30015506346.27</v>
      </c>
      <c r="V1231">
        <v>6.8154000000000006E-2</v>
      </c>
      <c r="W1231">
        <v>0</v>
      </c>
      <c r="Y1231" t="s">
        <v>1</v>
      </c>
      <c r="Z1231">
        <v>7750</v>
      </c>
      <c r="AA1231">
        <v>24</v>
      </c>
      <c r="AB1231">
        <v>783</v>
      </c>
      <c r="AC1231">
        <v>0</v>
      </c>
      <c r="AD1231">
        <v>18406201061</v>
      </c>
      <c r="AE1231">
        <v>15613979.880000001</v>
      </c>
      <c r="AF1231">
        <v>17242463386.82</v>
      </c>
      <c r="AG1231">
        <v>17825658952.07</v>
      </c>
      <c r="AH1231">
        <v>0.53832199999999997</v>
      </c>
      <c r="AI1231">
        <v>0.31207699999999999</v>
      </c>
    </row>
    <row r="1232" spans="13:35" x14ac:dyDescent="0.35">
      <c r="M1232" t="s">
        <v>1</v>
      </c>
      <c r="N1232">
        <v>5250</v>
      </c>
      <c r="O1232">
        <v>72</v>
      </c>
      <c r="P1232">
        <v>138</v>
      </c>
      <c r="Q1232">
        <v>0</v>
      </c>
      <c r="R1232">
        <v>2073639964</v>
      </c>
      <c r="S1232">
        <v>3567533.66</v>
      </c>
      <c r="T1232">
        <v>2008251477.0999999</v>
      </c>
      <c r="U1232">
        <v>2027713611.0899999</v>
      </c>
      <c r="V1232">
        <v>0.30454900000000001</v>
      </c>
      <c r="W1232">
        <v>0.21937899999999999</v>
      </c>
      <c r="Y1232" t="s">
        <v>2</v>
      </c>
      <c r="Z1232">
        <v>7750</v>
      </c>
      <c r="AA1232">
        <v>24</v>
      </c>
      <c r="AB1232">
        <v>266</v>
      </c>
      <c r="AC1232">
        <v>0</v>
      </c>
      <c r="AD1232">
        <v>3837072399</v>
      </c>
      <c r="AE1232">
        <v>3230326.87</v>
      </c>
      <c r="AF1232">
        <v>3772502091.7600002</v>
      </c>
      <c r="AG1232">
        <v>3788757907.71</v>
      </c>
      <c r="AH1232">
        <v>0.17583399999999999</v>
      </c>
      <c r="AI1232">
        <v>0.13223199999999999</v>
      </c>
    </row>
    <row r="1233" spans="13:35" x14ac:dyDescent="0.35">
      <c r="M1233" t="s">
        <v>3</v>
      </c>
      <c r="N1233">
        <v>4000</v>
      </c>
      <c r="O1233">
        <v>72</v>
      </c>
      <c r="P1233">
        <v>39</v>
      </c>
      <c r="Q1233">
        <v>0</v>
      </c>
      <c r="R1233">
        <v>665611339</v>
      </c>
      <c r="S1233">
        <v>1379472.13</v>
      </c>
      <c r="T1233">
        <v>664231866.87</v>
      </c>
      <c r="U1233">
        <v>664231866.87</v>
      </c>
      <c r="V1233">
        <v>0</v>
      </c>
      <c r="W1233">
        <v>0</v>
      </c>
      <c r="Y1233" t="s">
        <v>0</v>
      </c>
      <c r="Z1233">
        <v>5750</v>
      </c>
      <c r="AA1233">
        <v>72</v>
      </c>
      <c r="AB1233">
        <v>176</v>
      </c>
      <c r="AC1233">
        <v>0</v>
      </c>
      <c r="AD1233">
        <v>2279413286</v>
      </c>
      <c r="AE1233">
        <v>3653485.11</v>
      </c>
      <c r="AF1233">
        <v>2203091896.0700002</v>
      </c>
      <c r="AG1233">
        <v>2256541828.5799999</v>
      </c>
      <c r="AH1233">
        <v>0.32212499999999999</v>
      </c>
      <c r="AI1233">
        <v>9.6611000000000002E-2</v>
      </c>
    </row>
    <row r="1234" spans="13:35" x14ac:dyDescent="0.35">
      <c r="M1234" t="s">
        <v>2</v>
      </c>
      <c r="N1234">
        <v>5750</v>
      </c>
      <c r="O1234">
        <v>72</v>
      </c>
      <c r="P1234">
        <v>17</v>
      </c>
      <c r="Q1234">
        <v>0</v>
      </c>
      <c r="R1234">
        <v>152185174</v>
      </c>
      <c r="S1234">
        <v>245285.16</v>
      </c>
      <c r="T1234">
        <v>151939888.84</v>
      </c>
      <c r="U1234">
        <v>151939888.84</v>
      </c>
      <c r="V1234">
        <v>0</v>
      </c>
      <c r="W1234">
        <v>0</v>
      </c>
      <c r="Y1234" t="s">
        <v>3</v>
      </c>
      <c r="Z1234">
        <v>3750</v>
      </c>
      <c r="AA1234">
        <v>72</v>
      </c>
      <c r="AB1234">
        <v>140</v>
      </c>
      <c r="AC1234">
        <v>0</v>
      </c>
      <c r="AD1234">
        <v>2409029750</v>
      </c>
      <c r="AE1234">
        <v>5186695.67</v>
      </c>
      <c r="AF1234">
        <v>2389582338.4000001</v>
      </c>
      <c r="AG1234">
        <v>2403843054.3299999</v>
      </c>
      <c r="AH1234">
        <v>6.8768999999999997E-2</v>
      </c>
      <c r="AI1234">
        <v>0</v>
      </c>
    </row>
    <row r="1235" spans="13:35" x14ac:dyDescent="0.35">
      <c r="M1235" t="s">
        <v>2</v>
      </c>
      <c r="N1235">
        <v>5250</v>
      </c>
      <c r="O1235">
        <v>72</v>
      </c>
      <c r="P1235">
        <v>130</v>
      </c>
      <c r="Q1235">
        <v>0</v>
      </c>
      <c r="R1235">
        <v>1352997776</v>
      </c>
      <c r="S1235">
        <v>2337816.0499999998</v>
      </c>
      <c r="T1235">
        <v>1345565564.7</v>
      </c>
      <c r="U1235">
        <v>1345565564.7</v>
      </c>
      <c r="V1235">
        <v>4.4259E-2</v>
      </c>
      <c r="W1235">
        <v>4.4259E-2</v>
      </c>
      <c r="Y1235" t="s">
        <v>3</v>
      </c>
      <c r="Z1235">
        <v>3500</v>
      </c>
      <c r="AA1235">
        <v>72</v>
      </c>
      <c r="AB1235">
        <v>205</v>
      </c>
      <c r="AC1235">
        <v>0</v>
      </c>
      <c r="AD1235">
        <v>3632562596</v>
      </c>
      <c r="AE1235">
        <v>8035387.5</v>
      </c>
      <c r="AF1235">
        <v>3599786614.5500002</v>
      </c>
      <c r="AG1235">
        <v>3624527208.5</v>
      </c>
      <c r="AH1235">
        <v>7.8736E-2</v>
      </c>
      <c r="AI1235">
        <v>0</v>
      </c>
    </row>
    <row r="1236" spans="13:35" x14ac:dyDescent="0.35">
      <c r="M1236" t="s">
        <v>0</v>
      </c>
      <c r="N1236">
        <v>6000</v>
      </c>
      <c r="O1236">
        <v>72</v>
      </c>
      <c r="P1236">
        <v>31</v>
      </c>
      <c r="Q1236">
        <v>0</v>
      </c>
      <c r="R1236">
        <v>462033221</v>
      </c>
      <c r="S1236">
        <v>720407.45</v>
      </c>
      <c r="T1236">
        <v>461312813.55000001</v>
      </c>
      <c r="U1236">
        <v>461312813.55000001</v>
      </c>
      <c r="V1236">
        <v>0</v>
      </c>
      <c r="W1236">
        <v>0</v>
      </c>
      <c r="Y1236" t="s">
        <v>2</v>
      </c>
      <c r="Z1236">
        <v>5250</v>
      </c>
      <c r="AA1236">
        <v>72</v>
      </c>
      <c r="AB1236">
        <v>128</v>
      </c>
      <c r="AC1236">
        <v>0</v>
      </c>
      <c r="AD1236">
        <v>1311367356</v>
      </c>
      <c r="AE1236">
        <v>2257463.1</v>
      </c>
      <c r="AF1236">
        <v>1309109892.9000001</v>
      </c>
      <c r="AG1236">
        <v>1309109892.9000001</v>
      </c>
      <c r="AH1236">
        <v>0</v>
      </c>
      <c r="AI1236">
        <v>0</v>
      </c>
    </row>
    <row r="1237" spans="13:35" x14ac:dyDescent="0.35">
      <c r="M1237" t="s">
        <v>3</v>
      </c>
      <c r="N1237">
        <v>5000</v>
      </c>
      <c r="O1237">
        <v>72</v>
      </c>
      <c r="P1237">
        <v>2</v>
      </c>
      <c r="Q1237">
        <v>0</v>
      </c>
      <c r="R1237">
        <v>21978877</v>
      </c>
      <c r="S1237">
        <v>38557.18</v>
      </c>
      <c r="T1237">
        <v>21940319.82</v>
      </c>
      <c r="U1237">
        <v>21940319.82</v>
      </c>
      <c r="V1237">
        <v>0</v>
      </c>
      <c r="W1237">
        <v>0</v>
      </c>
      <c r="Y1237" t="s">
        <v>1</v>
      </c>
      <c r="Z1237">
        <v>5250</v>
      </c>
      <c r="AA1237">
        <v>72</v>
      </c>
      <c r="AB1237">
        <v>166</v>
      </c>
      <c r="AC1237">
        <v>0</v>
      </c>
      <c r="AD1237">
        <v>2459257468</v>
      </c>
      <c r="AE1237">
        <v>4239050.22</v>
      </c>
      <c r="AF1237">
        <v>2382235033.54</v>
      </c>
      <c r="AG1237">
        <v>2416879935.4699998</v>
      </c>
      <c r="AH1237">
        <v>0.30267899999999998</v>
      </c>
      <c r="AI1237">
        <v>0.171017</v>
      </c>
    </row>
    <row r="1238" spans="13:35" x14ac:dyDescent="0.35">
      <c r="M1238" t="s">
        <v>3</v>
      </c>
      <c r="N1238">
        <v>4250</v>
      </c>
      <c r="O1238">
        <v>72</v>
      </c>
      <c r="P1238">
        <v>23</v>
      </c>
      <c r="Q1238">
        <v>0</v>
      </c>
      <c r="R1238">
        <v>305211329</v>
      </c>
      <c r="S1238">
        <v>603397.66</v>
      </c>
      <c r="T1238">
        <v>299402988.56999999</v>
      </c>
      <c r="U1238">
        <v>304607931.33999997</v>
      </c>
      <c r="V1238">
        <v>0.186499</v>
      </c>
      <c r="W1238">
        <v>0</v>
      </c>
      <c r="Y1238" t="s">
        <v>3</v>
      </c>
      <c r="Z1238">
        <v>3250</v>
      </c>
      <c r="AA1238">
        <v>72</v>
      </c>
      <c r="AB1238">
        <v>416</v>
      </c>
      <c r="AC1238">
        <v>0</v>
      </c>
      <c r="AD1238">
        <v>8052499549</v>
      </c>
      <c r="AE1238">
        <v>18288116.440000001</v>
      </c>
      <c r="AF1238">
        <v>8008361762.96</v>
      </c>
      <c r="AG1238">
        <v>8034211432.5600004</v>
      </c>
      <c r="AH1238">
        <v>3.7849000000000001E-2</v>
      </c>
      <c r="AI1238">
        <v>0</v>
      </c>
    </row>
    <row r="1239" spans="13:35" x14ac:dyDescent="0.35">
      <c r="M1239" t="s">
        <v>3</v>
      </c>
      <c r="N1239">
        <v>4500</v>
      </c>
      <c r="O1239">
        <v>72</v>
      </c>
      <c r="P1239">
        <v>9</v>
      </c>
      <c r="Q1239">
        <v>0</v>
      </c>
      <c r="R1239">
        <v>196920992</v>
      </c>
      <c r="S1239">
        <v>379241.43</v>
      </c>
      <c r="T1239">
        <v>196541750.56999999</v>
      </c>
      <c r="U1239">
        <v>196541750.56999999</v>
      </c>
      <c r="V1239">
        <v>0</v>
      </c>
      <c r="W1239">
        <v>0</v>
      </c>
      <c r="Y1239" t="s">
        <v>3</v>
      </c>
      <c r="Z1239">
        <v>2750</v>
      </c>
      <c r="AA1239">
        <v>72</v>
      </c>
      <c r="AB1239">
        <v>1278</v>
      </c>
      <c r="AC1239">
        <v>0</v>
      </c>
      <c r="AD1239">
        <v>28158108370</v>
      </c>
      <c r="AE1239">
        <v>67023553.009999998</v>
      </c>
      <c r="AF1239">
        <v>28034887745.200001</v>
      </c>
      <c r="AG1239">
        <v>28091084816.990002</v>
      </c>
      <c r="AH1239">
        <v>2.3688000000000001E-2</v>
      </c>
      <c r="AI1239">
        <v>0</v>
      </c>
    </row>
    <row r="1240" spans="13:35" x14ac:dyDescent="0.35">
      <c r="M1240" t="s">
        <v>2</v>
      </c>
      <c r="N1240">
        <v>5500</v>
      </c>
      <c r="O1240">
        <v>72</v>
      </c>
      <c r="P1240">
        <v>12</v>
      </c>
      <c r="Q1240">
        <v>0</v>
      </c>
      <c r="R1240">
        <v>102780439</v>
      </c>
      <c r="S1240">
        <v>177706.03</v>
      </c>
      <c r="T1240">
        <v>102602732.97</v>
      </c>
      <c r="U1240">
        <v>102602732.97</v>
      </c>
      <c r="V1240">
        <v>0</v>
      </c>
      <c r="W1240">
        <v>0</v>
      </c>
      <c r="Y1240" t="s">
        <v>0</v>
      </c>
      <c r="Z1240">
        <v>6000</v>
      </c>
      <c r="AA1240">
        <v>72</v>
      </c>
      <c r="AB1240">
        <v>40</v>
      </c>
      <c r="AC1240">
        <v>0</v>
      </c>
      <c r="AD1240">
        <v>567931156</v>
      </c>
      <c r="AE1240">
        <v>883197.13</v>
      </c>
      <c r="AF1240">
        <v>567047958.87</v>
      </c>
      <c r="AG1240">
        <v>567047958.87</v>
      </c>
      <c r="AH1240">
        <v>0</v>
      </c>
      <c r="AI1240">
        <v>0</v>
      </c>
    </row>
    <row r="1241" spans="13:35" x14ac:dyDescent="0.35">
      <c r="M1241" t="s">
        <v>0</v>
      </c>
      <c r="N1241">
        <v>6250</v>
      </c>
      <c r="O1241">
        <v>72</v>
      </c>
      <c r="P1241">
        <v>44</v>
      </c>
      <c r="Q1241">
        <v>0</v>
      </c>
      <c r="R1241">
        <v>640641152</v>
      </c>
      <c r="S1241">
        <v>943232.4</v>
      </c>
      <c r="T1241">
        <v>619450474.90999997</v>
      </c>
      <c r="U1241">
        <v>619450474.90999997</v>
      </c>
      <c r="V1241">
        <v>0.31980900000000001</v>
      </c>
      <c r="W1241">
        <v>0.31980900000000001</v>
      </c>
      <c r="Y1241" t="s">
        <v>3</v>
      </c>
      <c r="Z1241">
        <v>4750</v>
      </c>
      <c r="AA1241">
        <v>72</v>
      </c>
      <c r="AB1241">
        <v>9</v>
      </c>
      <c r="AC1241">
        <v>0</v>
      </c>
      <c r="AD1241">
        <v>108791375</v>
      </c>
      <c r="AE1241">
        <v>203628.85</v>
      </c>
      <c r="AF1241">
        <v>108587746.15000001</v>
      </c>
      <c r="AG1241">
        <v>108587746.15000001</v>
      </c>
      <c r="AH1241">
        <v>0</v>
      </c>
      <c r="AI1241">
        <v>0</v>
      </c>
    </row>
    <row r="1242" spans="13:35" x14ac:dyDescent="0.35">
      <c r="M1242" t="s">
        <v>3</v>
      </c>
      <c r="N1242">
        <v>2500</v>
      </c>
      <c r="O1242">
        <v>72</v>
      </c>
      <c r="P1242">
        <v>106</v>
      </c>
      <c r="Q1242">
        <v>0</v>
      </c>
      <c r="R1242">
        <v>2251909698</v>
      </c>
      <c r="S1242">
        <v>5504650.0599999996</v>
      </c>
      <c r="T1242">
        <v>2216715740.21</v>
      </c>
      <c r="U1242">
        <v>2246405047.9400001</v>
      </c>
      <c r="V1242">
        <v>0.147226</v>
      </c>
      <c r="W1242">
        <v>0</v>
      </c>
      <c r="Y1242" t="s">
        <v>3</v>
      </c>
      <c r="Z1242">
        <v>4250</v>
      </c>
      <c r="AA1242">
        <v>72</v>
      </c>
      <c r="AB1242">
        <v>28</v>
      </c>
      <c r="AC1242">
        <v>0</v>
      </c>
      <c r="AD1242">
        <v>414613823</v>
      </c>
      <c r="AE1242">
        <v>822531.13</v>
      </c>
      <c r="AF1242">
        <v>413791291.87</v>
      </c>
      <c r="AG1242">
        <v>413791291.87</v>
      </c>
      <c r="AH1242">
        <v>0</v>
      </c>
      <c r="AI1242">
        <v>0</v>
      </c>
    </row>
    <row r="1243" spans="13:35" x14ac:dyDescent="0.35">
      <c r="M1243" t="s">
        <v>0</v>
      </c>
      <c r="N1243">
        <v>2500</v>
      </c>
      <c r="O1243">
        <v>84</v>
      </c>
      <c r="P1243">
        <v>9</v>
      </c>
      <c r="Q1243">
        <v>0</v>
      </c>
      <c r="R1243">
        <v>124842773</v>
      </c>
      <c r="S1243">
        <v>326833.58</v>
      </c>
      <c r="T1243">
        <v>124515939.42</v>
      </c>
      <c r="U1243">
        <v>124515939.42</v>
      </c>
      <c r="V1243">
        <v>0</v>
      </c>
      <c r="W1243">
        <v>0</v>
      </c>
      <c r="Y1243" t="s">
        <v>3</v>
      </c>
      <c r="Z1243">
        <v>4000</v>
      </c>
      <c r="AA1243">
        <v>72</v>
      </c>
      <c r="AB1243">
        <v>49</v>
      </c>
      <c r="AC1243">
        <v>0</v>
      </c>
      <c r="AD1243">
        <v>850311664</v>
      </c>
      <c r="AE1243">
        <v>1757576.95</v>
      </c>
      <c r="AF1243">
        <v>848554087.04999995</v>
      </c>
      <c r="AG1243">
        <v>848554087.04999995</v>
      </c>
      <c r="AH1243">
        <v>0</v>
      </c>
      <c r="AI1243">
        <v>0</v>
      </c>
    </row>
    <row r="1244" spans="13:35" x14ac:dyDescent="0.35">
      <c r="M1244" t="s">
        <v>1</v>
      </c>
      <c r="N1244">
        <v>2500</v>
      </c>
      <c r="O1244">
        <v>84</v>
      </c>
      <c r="P1244">
        <v>2</v>
      </c>
      <c r="Q1244">
        <v>0</v>
      </c>
      <c r="R1244">
        <v>17500036</v>
      </c>
      <c r="S1244">
        <v>46227.07</v>
      </c>
      <c r="T1244">
        <v>17453808.93</v>
      </c>
      <c r="U1244">
        <v>17453808.93</v>
      </c>
      <c r="V1244">
        <v>0</v>
      </c>
      <c r="W1244">
        <v>0</v>
      </c>
      <c r="Y1244" t="s">
        <v>3</v>
      </c>
      <c r="Z1244">
        <v>4500</v>
      </c>
      <c r="AA1244">
        <v>72</v>
      </c>
      <c r="AB1244">
        <v>11</v>
      </c>
      <c r="AC1244">
        <v>0</v>
      </c>
      <c r="AD1244">
        <v>226960676</v>
      </c>
      <c r="AE1244">
        <v>435211.64</v>
      </c>
      <c r="AF1244">
        <v>226525464.36000001</v>
      </c>
      <c r="AG1244">
        <v>226525464.36000001</v>
      </c>
      <c r="AH1244">
        <v>0</v>
      </c>
      <c r="AI1244">
        <v>0</v>
      </c>
    </row>
    <row r="1245" spans="13:35" x14ac:dyDescent="0.35">
      <c r="M1245" t="s">
        <v>2</v>
      </c>
      <c r="N1245">
        <v>2250</v>
      </c>
      <c r="O1245">
        <v>84</v>
      </c>
      <c r="P1245">
        <v>3</v>
      </c>
      <c r="Q1245">
        <v>0</v>
      </c>
      <c r="R1245">
        <v>29566722</v>
      </c>
      <c r="S1245">
        <v>79652.39</v>
      </c>
      <c r="T1245">
        <v>29487069.609999999</v>
      </c>
      <c r="U1245">
        <v>29487069.609999999</v>
      </c>
      <c r="V1245">
        <v>0</v>
      </c>
      <c r="W1245">
        <v>0</v>
      </c>
      <c r="Y1245" t="s">
        <v>2</v>
      </c>
      <c r="Z1245">
        <v>5750</v>
      </c>
      <c r="AA1245">
        <v>72</v>
      </c>
      <c r="AB1245">
        <v>16</v>
      </c>
      <c r="AC1245">
        <v>0</v>
      </c>
      <c r="AD1245">
        <v>135943988</v>
      </c>
      <c r="AE1245">
        <v>219415.67999999999</v>
      </c>
      <c r="AF1245">
        <v>135724572.31999999</v>
      </c>
      <c r="AG1245">
        <v>135724572.31999999</v>
      </c>
      <c r="AH1245">
        <v>0</v>
      </c>
      <c r="AI1245">
        <v>0</v>
      </c>
    </row>
    <row r="1246" spans="13:35" x14ac:dyDescent="0.35">
      <c r="M1246" t="s">
        <v>2</v>
      </c>
      <c r="N1246">
        <v>2500</v>
      </c>
      <c r="O1246">
        <v>84</v>
      </c>
      <c r="P1246">
        <v>4</v>
      </c>
      <c r="Q1246">
        <v>0</v>
      </c>
      <c r="R1246">
        <v>52487499</v>
      </c>
      <c r="S1246">
        <v>138318.71</v>
      </c>
      <c r="T1246">
        <v>52349180.289999999</v>
      </c>
      <c r="U1246">
        <v>52349180.289999999</v>
      </c>
      <c r="V1246">
        <v>0</v>
      </c>
      <c r="W1246">
        <v>0</v>
      </c>
      <c r="Y1246" t="s">
        <v>1</v>
      </c>
      <c r="Z1246">
        <v>5750</v>
      </c>
      <c r="AA1246">
        <v>72</v>
      </c>
      <c r="AB1246">
        <v>17</v>
      </c>
      <c r="AC1246">
        <v>0</v>
      </c>
      <c r="AD1246">
        <v>239993865</v>
      </c>
      <c r="AE1246">
        <v>384706.55</v>
      </c>
      <c r="AF1246">
        <v>239609158.44999999</v>
      </c>
      <c r="AG1246">
        <v>239609158.44999999</v>
      </c>
      <c r="AH1246">
        <v>0</v>
      </c>
      <c r="AI1246">
        <v>0</v>
      </c>
    </row>
    <row r="1247" spans="13:35" x14ac:dyDescent="0.35">
      <c r="M1247" t="s">
        <v>3</v>
      </c>
      <c r="N1247">
        <v>4750</v>
      </c>
      <c r="O1247">
        <v>72</v>
      </c>
      <c r="P1247">
        <v>4</v>
      </c>
      <c r="Q1247">
        <v>0</v>
      </c>
      <c r="R1247">
        <v>53961151</v>
      </c>
      <c r="S1247">
        <v>100270.55</v>
      </c>
      <c r="T1247">
        <v>53860880.450000003</v>
      </c>
      <c r="U1247">
        <v>53860880.450000003</v>
      </c>
      <c r="V1247">
        <v>0</v>
      </c>
      <c r="W1247">
        <v>0</v>
      </c>
      <c r="Y1247" t="s">
        <v>3</v>
      </c>
      <c r="Z1247">
        <v>5000</v>
      </c>
      <c r="AA1247">
        <v>72</v>
      </c>
      <c r="AB1247">
        <v>2</v>
      </c>
      <c r="AC1247">
        <v>0</v>
      </c>
      <c r="AD1247">
        <v>22549150</v>
      </c>
      <c r="AE1247">
        <v>39368.75</v>
      </c>
      <c r="AF1247">
        <v>22509781.25</v>
      </c>
      <c r="AG1247">
        <v>22509781.25</v>
      </c>
      <c r="AH1247">
        <v>0</v>
      </c>
      <c r="AI1247">
        <v>0</v>
      </c>
    </row>
    <row r="1248" spans="13:35" x14ac:dyDescent="0.35">
      <c r="M1248" t="s">
        <v>3</v>
      </c>
      <c r="N1248">
        <v>2500</v>
      </c>
      <c r="O1248">
        <v>54</v>
      </c>
      <c r="P1248">
        <v>27</v>
      </c>
      <c r="Q1248">
        <v>0</v>
      </c>
      <c r="R1248">
        <v>555759233</v>
      </c>
      <c r="S1248">
        <v>1299234.02</v>
      </c>
      <c r="T1248">
        <v>525166007.72000003</v>
      </c>
      <c r="U1248">
        <v>554459998.98000002</v>
      </c>
      <c r="V1248">
        <v>0.47784900000000002</v>
      </c>
      <c r="W1248">
        <v>0</v>
      </c>
      <c r="Y1248" t="s">
        <v>2</v>
      </c>
      <c r="Z1248">
        <v>5500</v>
      </c>
      <c r="AA1248">
        <v>72</v>
      </c>
      <c r="AB1248">
        <v>9</v>
      </c>
      <c r="AC1248">
        <v>0</v>
      </c>
      <c r="AD1248">
        <v>75678139</v>
      </c>
      <c r="AE1248">
        <v>131072.01999999999</v>
      </c>
      <c r="AF1248">
        <v>75547066.980000004</v>
      </c>
      <c r="AG1248">
        <v>75547066.980000004</v>
      </c>
      <c r="AH1248">
        <v>0</v>
      </c>
      <c r="AI1248">
        <v>0</v>
      </c>
    </row>
    <row r="1249" spans="13:35" x14ac:dyDescent="0.35">
      <c r="M1249" t="s">
        <v>0</v>
      </c>
      <c r="N1249">
        <v>2250</v>
      </c>
      <c r="O1249">
        <v>84</v>
      </c>
      <c r="P1249">
        <v>1</v>
      </c>
      <c r="Q1249">
        <v>0</v>
      </c>
      <c r="R1249">
        <v>12878097</v>
      </c>
      <c r="S1249">
        <v>34224.629999999997</v>
      </c>
      <c r="T1249">
        <v>12843872.369999999</v>
      </c>
      <c r="U1249">
        <v>12843872.369999999</v>
      </c>
      <c r="V1249">
        <v>0</v>
      </c>
      <c r="W1249">
        <v>0</v>
      </c>
      <c r="Y1249" t="s">
        <v>0</v>
      </c>
      <c r="Z1249">
        <v>6250</v>
      </c>
      <c r="AA1249">
        <v>72</v>
      </c>
      <c r="AB1249">
        <v>52</v>
      </c>
      <c r="AC1249">
        <v>0</v>
      </c>
      <c r="AD1249">
        <v>730358708</v>
      </c>
      <c r="AE1249">
        <v>1070008.81</v>
      </c>
      <c r="AF1249">
        <v>694181292.88999999</v>
      </c>
      <c r="AG1249">
        <v>701493509.49000001</v>
      </c>
      <c r="AH1249">
        <v>0.44630900000000001</v>
      </c>
      <c r="AI1249">
        <v>0.37224200000000002</v>
      </c>
    </row>
    <row r="1250" spans="13:35" x14ac:dyDescent="0.35">
      <c r="M1250" t="s">
        <v>1</v>
      </c>
      <c r="N1250">
        <v>3750</v>
      </c>
      <c r="O1250">
        <v>54</v>
      </c>
      <c r="P1250">
        <v>15096</v>
      </c>
      <c r="Q1250">
        <v>0</v>
      </c>
      <c r="R1250">
        <v>401667496001</v>
      </c>
      <c r="S1250">
        <v>782709804.61000001</v>
      </c>
      <c r="T1250">
        <v>397133504438.57001</v>
      </c>
      <c r="U1250">
        <v>399851879464.85999</v>
      </c>
      <c r="V1250">
        <v>0.10649</v>
      </c>
      <c r="W1250">
        <v>3.0426000000000002E-2</v>
      </c>
      <c r="Y1250" t="s">
        <v>3</v>
      </c>
      <c r="Z1250">
        <v>2500</v>
      </c>
      <c r="AA1250">
        <v>72</v>
      </c>
      <c r="AB1250">
        <v>63</v>
      </c>
      <c r="AC1250">
        <v>0</v>
      </c>
      <c r="AD1250">
        <v>1341420362</v>
      </c>
      <c r="AE1250">
        <v>3274226.56</v>
      </c>
      <c r="AF1250">
        <v>1338146135.4400001</v>
      </c>
      <c r="AG1250">
        <v>1338146135.4400001</v>
      </c>
      <c r="AH1250">
        <v>0</v>
      </c>
      <c r="AI1250">
        <v>0</v>
      </c>
    </row>
    <row r="1251" spans="13:35" x14ac:dyDescent="0.35">
      <c r="M1251" t="s">
        <v>2</v>
      </c>
      <c r="N1251">
        <v>4250</v>
      </c>
      <c r="O1251">
        <v>60</v>
      </c>
      <c r="P1251">
        <v>434</v>
      </c>
      <c r="Q1251">
        <v>0</v>
      </c>
      <c r="R1251">
        <v>5321562285</v>
      </c>
      <c r="S1251">
        <v>10104547.369999999</v>
      </c>
      <c r="T1251">
        <v>5251820306.7700005</v>
      </c>
      <c r="U1251">
        <v>5292302985.96</v>
      </c>
      <c r="V1251">
        <v>0.126494</v>
      </c>
      <c r="W1251">
        <v>4.2348999999999998E-2</v>
      </c>
      <c r="Y1251" t="s">
        <v>0</v>
      </c>
      <c r="Z1251">
        <v>2500</v>
      </c>
      <c r="AA1251">
        <v>84</v>
      </c>
      <c r="AB1251">
        <v>9</v>
      </c>
      <c r="AC1251">
        <v>0</v>
      </c>
      <c r="AD1251">
        <v>127015164</v>
      </c>
      <c r="AE1251">
        <v>332230.34999999998</v>
      </c>
      <c r="AF1251">
        <v>126682933.65000001</v>
      </c>
      <c r="AG1251">
        <v>126682933.65000001</v>
      </c>
      <c r="AH1251">
        <v>0</v>
      </c>
      <c r="AI1251">
        <v>0</v>
      </c>
    </row>
    <row r="1252" spans="13:35" x14ac:dyDescent="0.35">
      <c r="M1252" t="s">
        <v>3</v>
      </c>
      <c r="N1252">
        <v>3000</v>
      </c>
      <c r="O1252">
        <v>60</v>
      </c>
      <c r="P1252">
        <v>337</v>
      </c>
      <c r="Q1252">
        <v>0</v>
      </c>
      <c r="R1252">
        <v>6836628274</v>
      </c>
      <c r="S1252">
        <v>15291068.23</v>
      </c>
      <c r="T1252">
        <v>6820404579.4399996</v>
      </c>
      <c r="U1252">
        <v>6821337205.7700005</v>
      </c>
      <c r="V1252">
        <v>1.6360000000000001E-3</v>
      </c>
      <c r="W1252">
        <v>0</v>
      </c>
      <c r="Y1252" t="s">
        <v>2</v>
      </c>
      <c r="Z1252">
        <v>2250</v>
      </c>
      <c r="AA1252">
        <v>84</v>
      </c>
      <c r="AB1252">
        <v>2</v>
      </c>
      <c r="AC1252">
        <v>0</v>
      </c>
      <c r="AD1252">
        <v>20264895</v>
      </c>
      <c r="AE1252">
        <v>54507.02</v>
      </c>
      <c r="AF1252">
        <v>20210387.98</v>
      </c>
      <c r="AG1252">
        <v>20210387.98</v>
      </c>
      <c r="AH1252">
        <v>0</v>
      </c>
      <c r="AI1252">
        <v>0</v>
      </c>
    </row>
    <row r="1253" spans="13:35" x14ac:dyDescent="0.35">
      <c r="M1253" t="s">
        <v>3</v>
      </c>
      <c r="N1253">
        <v>2750</v>
      </c>
      <c r="O1253">
        <v>60</v>
      </c>
      <c r="P1253">
        <v>403</v>
      </c>
      <c r="Q1253">
        <v>0</v>
      </c>
      <c r="R1253">
        <v>9307907916</v>
      </c>
      <c r="S1253">
        <v>21459211.57</v>
      </c>
      <c r="T1253">
        <v>9265381663.9500008</v>
      </c>
      <c r="U1253">
        <v>9265381663.9500008</v>
      </c>
      <c r="V1253">
        <v>2.6825000000000002E-2</v>
      </c>
      <c r="W1253">
        <v>2.6825000000000002E-2</v>
      </c>
      <c r="Y1253" t="s">
        <v>2</v>
      </c>
      <c r="Z1253">
        <v>2500</v>
      </c>
      <c r="AA1253">
        <v>84</v>
      </c>
      <c r="AB1253">
        <v>4</v>
      </c>
      <c r="AC1253">
        <v>0</v>
      </c>
      <c r="AD1253">
        <v>52663399</v>
      </c>
      <c r="AE1253">
        <v>138136.97</v>
      </c>
      <c r="AF1253">
        <v>52525262.030000001</v>
      </c>
      <c r="AG1253">
        <v>52525262.030000001</v>
      </c>
      <c r="AH1253">
        <v>0</v>
      </c>
      <c r="AI1253">
        <v>0</v>
      </c>
    </row>
    <row r="1254" spans="13:35" x14ac:dyDescent="0.35">
      <c r="M1254" t="s">
        <v>3</v>
      </c>
      <c r="N1254">
        <v>3250</v>
      </c>
      <c r="O1254">
        <v>60</v>
      </c>
      <c r="P1254">
        <v>321</v>
      </c>
      <c r="Q1254">
        <v>0</v>
      </c>
      <c r="R1254">
        <v>5347840166</v>
      </c>
      <c r="S1254">
        <v>11563120</v>
      </c>
      <c r="T1254">
        <v>5321788425.8400002</v>
      </c>
      <c r="U1254">
        <v>5336277046</v>
      </c>
      <c r="V1254">
        <v>3.2030999999999997E-2</v>
      </c>
      <c r="W1254">
        <v>0</v>
      </c>
      <c r="Y1254" t="s">
        <v>3</v>
      </c>
      <c r="Z1254">
        <v>2500</v>
      </c>
      <c r="AA1254">
        <v>54</v>
      </c>
      <c r="AB1254">
        <v>27</v>
      </c>
      <c r="AC1254">
        <v>0</v>
      </c>
      <c r="AD1254">
        <v>560874882</v>
      </c>
      <c r="AE1254">
        <v>1307658.03</v>
      </c>
      <c r="AF1254">
        <v>559567223.97000003</v>
      </c>
      <c r="AG1254">
        <v>559567223.97000003</v>
      </c>
      <c r="AH1254">
        <v>0</v>
      </c>
      <c r="AI1254">
        <v>0</v>
      </c>
    </row>
    <row r="1255" spans="13:35" x14ac:dyDescent="0.35">
      <c r="M1255" t="s">
        <v>3</v>
      </c>
      <c r="N1255">
        <v>3750</v>
      </c>
      <c r="O1255">
        <v>54</v>
      </c>
      <c r="P1255">
        <v>77</v>
      </c>
      <c r="Q1255">
        <v>0</v>
      </c>
      <c r="R1255">
        <v>1728329141</v>
      </c>
      <c r="S1255">
        <v>3385031.59</v>
      </c>
      <c r="T1255">
        <v>1724944109.4100001</v>
      </c>
      <c r="U1255">
        <v>1724944109.4100001</v>
      </c>
      <c r="V1255">
        <v>0</v>
      </c>
      <c r="W1255">
        <v>0</v>
      </c>
      <c r="Y1255" t="s">
        <v>0</v>
      </c>
      <c r="Z1255">
        <v>2250</v>
      </c>
      <c r="AA1255">
        <v>84</v>
      </c>
      <c r="AB1255">
        <v>2</v>
      </c>
      <c r="AC1255">
        <v>0</v>
      </c>
      <c r="AD1255">
        <v>19710845</v>
      </c>
      <c r="AE1255">
        <v>52983.74</v>
      </c>
      <c r="AF1255">
        <v>19657861.260000002</v>
      </c>
      <c r="AG1255">
        <v>19657861.260000002</v>
      </c>
      <c r="AH1255">
        <v>0</v>
      </c>
      <c r="AI1255">
        <v>0</v>
      </c>
    </row>
    <row r="1256" spans="13:35" x14ac:dyDescent="0.35">
      <c r="M1256" t="s">
        <v>3</v>
      </c>
      <c r="N1256">
        <v>2250</v>
      </c>
      <c r="O1256">
        <v>72</v>
      </c>
      <c r="P1256">
        <v>42</v>
      </c>
      <c r="Q1256">
        <v>0</v>
      </c>
      <c r="R1256">
        <v>839935519</v>
      </c>
      <c r="S1256">
        <v>2105817.88</v>
      </c>
      <c r="T1256">
        <v>837829701.12</v>
      </c>
      <c r="U1256">
        <v>837829701.12</v>
      </c>
      <c r="V1256">
        <v>0</v>
      </c>
      <c r="W1256">
        <v>0</v>
      </c>
      <c r="Y1256" t="s">
        <v>3</v>
      </c>
      <c r="Z1256">
        <v>3000</v>
      </c>
      <c r="AA1256">
        <v>60</v>
      </c>
      <c r="AB1256">
        <v>332</v>
      </c>
      <c r="AC1256">
        <v>0</v>
      </c>
      <c r="AD1256">
        <v>6702010439</v>
      </c>
      <c r="AE1256">
        <v>14976376.98</v>
      </c>
      <c r="AF1256">
        <v>6668820746.4200001</v>
      </c>
      <c r="AG1256">
        <v>6687034062.0200005</v>
      </c>
      <c r="AH1256">
        <v>3.2127999999999997E-2</v>
      </c>
      <c r="AI1256">
        <v>0</v>
      </c>
    </row>
    <row r="1257" spans="13:35" x14ac:dyDescent="0.35">
      <c r="M1257" t="s">
        <v>1</v>
      </c>
      <c r="N1257">
        <v>4250</v>
      </c>
      <c r="O1257">
        <v>60</v>
      </c>
      <c r="P1257">
        <v>832</v>
      </c>
      <c r="Q1257">
        <v>0</v>
      </c>
      <c r="R1257">
        <v>18668014347</v>
      </c>
      <c r="S1257">
        <v>34723195.18</v>
      </c>
      <c r="T1257">
        <v>18473846316.220001</v>
      </c>
      <c r="U1257">
        <v>18565240216.540001</v>
      </c>
      <c r="V1257">
        <v>9.7812999999999997E-2</v>
      </c>
      <c r="W1257">
        <v>4.2876999999999998E-2</v>
      </c>
      <c r="Y1257" t="s">
        <v>3</v>
      </c>
      <c r="Z1257">
        <v>2750</v>
      </c>
      <c r="AA1257">
        <v>60</v>
      </c>
      <c r="AB1257">
        <v>444</v>
      </c>
      <c r="AC1257">
        <v>0</v>
      </c>
      <c r="AD1257">
        <v>10011193010</v>
      </c>
      <c r="AE1257">
        <v>23072458.620000001</v>
      </c>
      <c r="AF1257">
        <v>9985258939.1599998</v>
      </c>
      <c r="AG1257">
        <v>9988120551.3799992</v>
      </c>
      <c r="AH1257">
        <v>3.4250000000000001E-3</v>
      </c>
      <c r="AI1257">
        <v>0</v>
      </c>
    </row>
    <row r="1258" spans="13:35" x14ac:dyDescent="0.35">
      <c r="M1258" t="s">
        <v>0</v>
      </c>
      <c r="N1258">
        <v>4750</v>
      </c>
      <c r="O1258">
        <v>60</v>
      </c>
      <c r="P1258">
        <v>1605</v>
      </c>
      <c r="Q1258">
        <v>0</v>
      </c>
      <c r="R1258">
        <v>32433293638</v>
      </c>
      <c r="S1258">
        <v>56047224.240000002</v>
      </c>
      <c r="T1258">
        <v>32274039542.580002</v>
      </c>
      <c r="U1258">
        <v>32377246413.759998</v>
      </c>
      <c r="V1258">
        <v>3.7524000000000002E-2</v>
      </c>
      <c r="W1258">
        <v>0</v>
      </c>
      <c r="Y1258" t="s">
        <v>3</v>
      </c>
      <c r="Z1258">
        <v>3250</v>
      </c>
      <c r="AA1258">
        <v>60</v>
      </c>
      <c r="AB1258">
        <v>289</v>
      </c>
      <c r="AC1258">
        <v>0</v>
      </c>
      <c r="AD1258">
        <v>4619564289</v>
      </c>
      <c r="AE1258">
        <v>9968538.8599999994</v>
      </c>
      <c r="AF1258">
        <v>4609595750.1400003</v>
      </c>
      <c r="AG1258">
        <v>4609595750.1400003</v>
      </c>
      <c r="AH1258">
        <v>0</v>
      </c>
      <c r="AI1258">
        <v>0</v>
      </c>
    </row>
    <row r="1259" spans="13:35" x14ac:dyDescent="0.35">
      <c r="M1259" t="s">
        <v>2</v>
      </c>
      <c r="N1259">
        <v>4250</v>
      </c>
      <c r="O1259">
        <v>54</v>
      </c>
      <c r="P1259">
        <v>813</v>
      </c>
      <c r="Q1259">
        <v>0</v>
      </c>
      <c r="R1259">
        <v>11226130902</v>
      </c>
      <c r="S1259">
        <v>20358564.41</v>
      </c>
      <c r="T1259">
        <v>11089345204.200001</v>
      </c>
      <c r="U1259">
        <v>11158537356.469999</v>
      </c>
      <c r="V1259">
        <v>0.117594</v>
      </c>
      <c r="W1259">
        <v>4.9339000000000001E-2</v>
      </c>
      <c r="Y1259" t="s">
        <v>3</v>
      </c>
      <c r="Z1259">
        <v>3750</v>
      </c>
      <c r="AA1259">
        <v>48</v>
      </c>
      <c r="AB1259">
        <v>64</v>
      </c>
      <c r="AC1259">
        <v>0</v>
      </c>
      <c r="AD1259">
        <v>1475072835</v>
      </c>
      <c r="AE1259">
        <v>2792646.1</v>
      </c>
      <c r="AF1259">
        <v>1472280188.9000001</v>
      </c>
      <c r="AG1259">
        <v>1472280188.9000001</v>
      </c>
      <c r="AH1259">
        <v>0</v>
      </c>
      <c r="AI1259">
        <v>0</v>
      </c>
    </row>
    <row r="1260" spans="13:35" x14ac:dyDescent="0.35">
      <c r="M1260" t="s">
        <v>1</v>
      </c>
      <c r="N1260">
        <v>4750</v>
      </c>
      <c r="O1260">
        <v>54</v>
      </c>
      <c r="P1260">
        <v>490</v>
      </c>
      <c r="Q1260">
        <v>0</v>
      </c>
      <c r="R1260">
        <v>12018468769</v>
      </c>
      <c r="S1260">
        <v>20082159.27</v>
      </c>
      <c r="T1260">
        <v>11871254424.93</v>
      </c>
      <c r="U1260">
        <v>11998386609.73</v>
      </c>
      <c r="V1260">
        <v>0.119806</v>
      </c>
      <c r="W1260">
        <v>0</v>
      </c>
      <c r="Y1260" t="s">
        <v>1</v>
      </c>
      <c r="Z1260">
        <v>4250</v>
      </c>
      <c r="AA1260">
        <v>60</v>
      </c>
      <c r="AB1260">
        <v>695</v>
      </c>
      <c r="AC1260">
        <v>0</v>
      </c>
      <c r="AD1260">
        <v>15315602393</v>
      </c>
      <c r="AE1260">
        <v>28462952.719999999</v>
      </c>
      <c r="AF1260">
        <v>15026689550.209999</v>
      </c>
      <c r="AG1260">
        <v>15223103996.700001</v>
      </c>
      <c r="AH1260">
        <v>0.18602199999999999</v>
      </c>
      <c r="AI1260">
        <v>4.9035000000000002E-2</v>
      </c>
    </row>
    <row r="1261" spans="13:35" x14ac:dyDescent="0.35">
      <c r="M1261" t="s">
        <v>1</v>
      </c>
      <c r="N1261">
        <v>4750</v>
      </c>
      <c r="O1261">
        <v>60</v>
      </c>
      <c r="P1261">
        <v>211</v>
      </c>
      <c r="Q1261">
        <v>0</v>
      </c>
      <c r="R1261">
        <v>4744431079</v>
      </c>
      <c r="S1261">
        <v>8187023.5800000001</v>
      </c>
      <c r="T1261">
        <v>4688426210.5699997</v>
      </c>
      <c r="U1261">
        <v>4688426210.5699997</v>
      </c>
      <c r="V1261">
        <v>0.11446099999999999</v>
      </c>
      <c r="W1261">
        <v>0.11446099999999999</v>
      </c>
      <c r="Y1261" t="s">
        <v>0</v>
      </c>
      <c r="Z1261">
        <v>4750</v>
      </c>
      <c r="AA1261">
        <v>60</v>
      </c>
      <c r="AB1261">
        <v>1365</v>
      </c>
      <c r="AC1261">
        <v>0</v>
      </c>
      <c r="AD1261">
        <v>26745033452</v>
      </c>
      <c r="AE1261">
        <v>46184696.25</v>
      </c>
      <c r="AF1261">
        <v>26553940803.669998</v>
      </c>
      <c r="AG1261">
        <v>26694669909.959999</v>
      </c>
      <c r="AH1261">
        <v>6.3115000000000004E-2</v>
      </c>
      <c r="AI1261">
        <v>1.8730000000000001E-3</v>
      </c>
    </row>
    <row r="1262" spans="13:35" x14ac:dyDescent="0.35">
      <c r="M1262" t="s">
        <v>1</v>
      </c>
      <c r="N1262">
        <v>6250</v>
      </c>
      <c r="O1262">
        <v>48</v>
      </c>
      <c r="P1262">
        <v>2731</v>
      </c>
      <c r="Q1262">
        <v>0</v>
      </c>
      <c r="R1262">
        <v>70155207013</v>
      </c>
      <c r="S1262">
        <v>88927914.540000007</v>
      </c>
      <c r="T1262">
        <v>68300617529.440002</v>
      </c>
      <c r="U1262">
        <v>69450253542.589996</v>
      </c>
      <c r="V1262">
        <v>0.26352599999999998</v>
      </c>
      <c r="W1262">
        <v>0.100428</v>
      </c>
      <c r="Y1262" t="s">
        <v>3</v>
      </c>
      <c r="Z1262">
        <v>2250</v>
      </c>
      <c r="AA1262">
        <v>72</v>
      </c>
      <c r="AB1262">
        <v>22</v>
      </c>
      <c r="AC1262">
        <v>0</v>
      </c>
      <c r="AD1262">
        <v>444100353</v>
      </c>
      <c r="AE1262">
        <v>1112483.96</v>
      </c>
      <c r="AF1262">
        <v>442987869.04000002</v>
      </c>
      <c r="AG1262">
        <v>442987869.04000002</v>
      </c>
      <c r="AH1262">
        <v>0</v>
      </c>
      <c r="AI1262">
        <v>0</v>
      </c>
    </row>
    <row r="1263" spans="13:35" x14ac:dyDescent="0.35">
      <c r="M1263" t="s">
        <v>0</v>
      </c>
      <c r="N1263">
        <v>5250</v>
      </c>
      <c r="O1263">
        <v>60</v>
      </c>
      <c r="P1263">
        <v>387</v>
      </c>
      <c r="Q1263">
        <v>0</v>
      </c>
      <c r="R1263">
        <v>6920667263</v>
      </c>
      <c r="S1263">
        <v>11091247.09</v>
      </c>
      <c r="T1263">
        <v>6861207486.1599998</v>
      </c>
      <c r="U1263">
        <v>6875919764.4399996</v>
      </c>
      <c r="V1263">
        <v>8.0717999999999998E-2</v>
      </c>
      <c r="W1263">
        <v>5.6821999999999998E-2</v>
      </c>
      <c r="Y1263" t="s">
        <v>2</v>
      </c>
      <c r="Z1263">
        <v>4250</v>
      </c>
      <c r="AA1263">
        <v>54</v>
      </c>
      <c r="AB1263">
        <v>553</v>
      </c>
      <c r="AC1263">
        <v>0</v>
      </c>
      <c r="AD1263">
        <v>7368618934</v>
      </c>
      <c r="AE1263">
        <v>13428261.189999999</v>
      </c>
      <c r="AF1263">
        <v>7228990975.4700003</v>
      </c>
      <c r="AG1263">
        <v>7259774049.7799997</v>
      </c>
      <c r="AH1263">
        <v>0.187224</v>
      </c>
      <c r="AI1263">
        <v>0.144786</v>
      </c>
    </row>
    <row r="1264" spans="13:35" x14ac:dyDescent="0.35">
      <c r="M1264" t="s">
        <v>1</v>
      </c>
      <c r="N1264">
        <v>5250</v>
      </c>
      <c r="O1264">
        <v>60</v>
      </c>
      <c r="P1264">
        <v>164</v>
      </c>
      <c r="Q1264">
        <v>0</v>
      </c>
      <c r="R1264">
        <v>3641611939</v>
      </c>
      <c r="S1264">
        <v>5793351.5800000001</v>
      </c>
      <c r="T1264">
        <v>3616407057.8800001</v>
      </c>
      <c r="U1264">
        <v>3616407057.8800001</v>
      </c>
      <c r="V1264">
        <v>6.2122999999999998E-2</v>
      </c>
      <c r="W1264">
        <v>6.2122999999999998E-2</v>
      </c>
      <c r="Y1264" t="s">
        <v>1</v>
      </c>
      <c r="Z1264">
        <v>4750</v>
      </c>
      <c r="AA1264">
        <v>60</v>
      </c>
      <c r="AB1264">
        <v>188</v>
      </c>
      <c r="AC1264">
        <v>0</v>
      </c>
      <c r="AD1264">
        <v>4194019626</v>
      </c>
      <c r="AE1264">
        <v>7225513.3300000001</v>
      </c>
      <c r="AF1264">
        <v>4117055070.9499998</v>
      </c>
      <c r="AG1264">
        <v>4163466678.9299998</v>
      </c>
      <c r="AH1264">
        <v>0.18226400000000001</v>
      </c>
      <c r="AI1264">
        <v>6.4740000000000006E-2</v>
      </c>
    </row>
    <row r="1265" spans="13:35" x14ac:dyDescent="0.35">
      <c r="M1265" t="s">
        <v>0</v>
      </c>
      <c r="N1265">
        <v>5000</v>
      </c>
      <c r="O1265">
        <v>60</v>
      </c>
      <c r="P1265">
        <v>240</v>
      </c>
      <c r="Q1265">
        <v>0</v>
      </c>
      <c r="R1265">
        <v>4307660837</v>
      </c>
      <c r="S1265">
        <v>7180044.7999999998</v>
      </c>
      <c r="T1265">
        <v>4267021262.79</v>
      </c>
      <c r="U1265">
        <v>4300480792.1999998</v>
      </c>
      <c r="V1265">
        <v>8.9329000000000006E-2</v>
      </c>
      <c r="W1265">
        <v>0</v>
      </c>
      <c r="Y1265" t="s">
        <v>0</v>
      </c>
      <c r="Z1265">
        <v>5000</v>
      </c>
      <c r="AA1265">
        <v>60</v>
      </c>
      <c r="AB1265">
        <v>203</v>
      </c>
      <c r="AC1265">
        <v>0</v>
      </c>
      <c r="AD1265">
        <v>3596318302</v>
      </c>
      <c r="AE1265">
        <v>5988432.71</v>
      </c>
      <c r="AF1265">
        <v>3590329869.29</v>
      </c>
      <c r="AG1265">
        <v>3590329869.29</v>
      </c>
      <c r="AH1265">
        <v>0</v>
      </c>
      <c r="AI1265">
        <v>0</v>
      </c>
    </row>
    <row r="1266" spans="13:35" x14ac:dyDescent="0.35">
      <c r="M1266" t="s">
        <v>2</v>
      </c>
      <c r="N1266">
        <v>4750</v>
      </c>
      <c r="O1266">
        <v>60</v>
      </c>
      <c r="P1266">
        <v>104</v>
      </c>
      <c r="Q1266">
        <v>0</v>
      </c>
      <c r="R1266">
        <v>1312666813</v>
      </c>
      <c r="S1266">
        <v>2349890.4700000002</v>
      </c>
      <c r="T1266">
        <v>1310316922.53</v>
      </c>
      <c r="U1266">
        <v>1310316922.53</v>
      </c>
      <c r="V1266">
        <v>0</v>
      </c>
      <c r="W1266">
        <v>0</v>
      </c>
      <c r="Y1266" t="s">
        <v>1</v>
      </c>
      <c r="Z1266">
        <v>4500</v>
      </c>
      <c r="AA1266">
        <v>60</v>
      </c>
      <c r="AB1266">
        <v>163</v>
      </c>
      <c r="AC1266">
        <v>0</v>
      </c>
      <c r="AD1266">
        <v>3336935045</v>
      </c>
      <c r="AE1266">
        <v>6060970.7000000002</v>
      </c>
      <c r="AF1266">
        <v>3276656978.6300001</v>
      </c>
      <c r="AG1266">
        <v>3307128647.1999998</v>
      </c>
      <c r="AH1266">
        <v>0.17845800000000001</v>
      </c>
      <c r="AI1266">
        <v>8.2127000000000006E-2</v>
      </c>
    </row>
    <row r="1267" spans="13:35" x14ac:dyDescent="0.35">
      <c r="M1267" t="s">
        <v>0</v>
      </c>
      <c r="N1267">
        <v>5500</v>
      </c>
      <c r="O1267">
        <v>7</v>
      </c>
      <c r="P1267">
        <v>1589</v>
      </c>
      <c r="Q1267">
        <v>0</v>
      </c>
      <c r="R1267">
        <v>55584009163</v>
      </c>
      <c r="S1267">
        <v>63870726.780000001</v>
      </c>
      <c r="T1267">
        <v>55342954026.389999</v>
      </c>
      <c r="U1267">
        <v>55487555459.230003</v>
      </c>
      <c r="V1267">
        <v>3.7588999999999997E-2</v>
      </c>
      <c r="W1267">
        <v>7.012E-3</v>
      </c>
      <c r="Y1267" t="s">
        <v>0</v>
      </c>
      <c r="Z1267">
        <v>5250</v>
      </c>
      <c r="AA1267">
        <v>60</v>
      </c>
      <c r="AB1267">
        <v>322</v>
      </c>
      <c r="AC1267">
        <v>0</v>
      </c>
      <c r="AD1267">
        <v>5384974066</v>
      </c>
      <c r="AE1267">
        <v>8635350.6699999999</v>
      </c>
      <c r="AF1267">
        <v>5316173882.29</v>
      </c>
      <c r="AG1267">
        <v>5345230801.5500002</v>
      </c>
      <c r="AH1267">
        <v>0.126133</v>
      </c>
      <c r="AI1267">
        <v>6.7160999999999998E-2</v>
      </c>
    </row>
    <row r="1268" spans="13:35" x14ac:dyDescent="0.35">
      <c r="M1268" t="s">
        <v>3</v>
      </c>
      <c r="N1268">
        <v>2250</v>
      </c>
      <c r="O1268">
        <v>60</v>
      </c>
      <c r="P1268">
        <v>40</v>
      </c>
      <c r="Q1268">
        <v>0</v>
      </c>
      <c r="R1268">
        <v>907117182</v>
      </c>
      <c r="S1268">
        <v>2246454.09</v>
      </c>
      <c r="T1268">
        <v>904870727.90999997</v>
      </c>
      <c r="U1268">
        <v>904870727.90999997</v>
      </c>
      <c r="V1268">
        <v>0</v>
      </c>
      <c r="W1268">
        <v>0</v>
      </c>
      <c r="Y1268" t="s">
        <v>1</v>
      </c>
      <c r="Z1268">
        <v>5250</v>
      </c>
      <c r="AA1268">
        <v>60</v>
      </c>
      <c r="AB1268">
        <v>112</v>
      </c>
      <c r="AC1268">
        <v>0</v>
      </c>
      <c r="AD1268">
        <v>2436431500</v>
      </c>
      <c r="AE1268">
        <v>3888464.13</v>
      </c>
      <c r="AF1268">
        <v>2398415750.8800001</v>
      </c>
      <c r="AG1268">
        <v>2410286370.4299998</v>
      </c>
      <c r="AH1268">
        <v>0.155722</v>
      </c>
      <c r="AI1268">
        <v>0.10427599999999999</v>
      </c>
    </row>
    <row r="1269" spans="13:35" x14ac:dyDescent="0.35">
      <c r="M1269" t="s">
        <v>3</v>
      </c>
      <c r="N1269">
        <v>2750</v>
      </c>
      <c r="O1269">
        <v>54</v>
      </c>
      <c r="P1269">
        <v>175</v>
      </c>
      <c r="Q1269">
        <v>0</v>
      </c>
      <c r="R1269">
        <v>4045349212</v>
      </c>
      <c r="S1269">
        <v>9126485.9499999993</v>
      </c>
      <c r="T1269">
        <v>4036222726.0500002</v>
      </c>
      <c r="U1269">
        <v>4036222726.0500002</v>
      </c>
      <c r="V1269">
        <v>0</v>
      </c>
      <c r="W1269">
        <v>0</v>
      </c>
      <c r="Y1269" t="s">
        <v>2</v>
      </c>
      <c r="Z1269">
        <v>4750</v>
      </c>
      <c r="AA1269">
        <v>60</v>
      </c>
      <c r="AB1269">
        <v>97</v>
      </c>
      <c r="AC1269">
        <v>0</v>
      </c>
      <c r="AD1269">
        <v>1251510111</v>
      </c>
      <c r="AE1269">
        <v>2279144.59</v>
      </c>
      <c r="AF1269">
        <v>1243384103.98</v>
      </c>
      <c r="AG1269">
        <v>1249230966.4100001</v>
      </c>
      <c r="AH1269">
        <v>5.4643999999999998E-2</v>
      </c>
      <c r="AI1269">
        <v>0</v>
      </c>
    </row>
    <row r="1270" spans="13:35" x14ac:dyDescent="0.35">
      <c r="M1270" t="s">
        <v>3</v>
      </c>
      <c r="N1270">
        <v>3000</v>
      </c>
      <c r="O1270">
        <v>54</v>
      </c>
      <c r="P1270">
        <v>214</v>
      </c>
      <c r="Q1270">
        <v>0</v>
      </c>
      <c r="R1270">
        <v>4834445879</v>
      </c>
      <c r="S1270">
        <v>10551967.35</v>
      </c>
      <c r="T1270">
        <v>4800911535.0100002</v>
      </c>
      <c r="U1270">
        <v>4823893911.6499996</v>
      </c>
      <c r="V1270">
        <v>5.5578000000000002E-2</v>
      </c>
      <c r="W1270">
        <v>0</v>
      </c>
      <c r="Y1270" t="s">
        <v>0</v>
      </c>
      <c r="Z1270">
        <v>5500</v>
      </c>
      <c r="AA1270">
        <v>6</v>
      </c>
      <c r="AB1270">
        <v>1584</v>
      </c>
      <c r="AC1270">
        <v>0</v>
      </c>
      <c r="AD1270">
        <v>55565833570</v>
      </c>
      <c r="AE1270">
        <v>63489279.810000002</v>
      </c>
      <c r="AF1270">
        <v>55417418164.059998</v>
      </c>
      <c r="AG1270">
        <v>55502344290.190002</v>
      </c>
      <c r="AH1270">
        <v>1.8186999999999998E-2</v>
      </c>
      <c r="AI1270">
        <v>0</v>
      </c>
    </row>
    <row r="1271" spans="13:35" x14ac:dyDescent="0.35">
      <c r="M1271" t="s">
        <v>3</v>
      </c>
      <c r="N1271">
        <v>3250</v>
      </c>
      <c r="O1271">
        <v>54</v>
      </c>
      <c r="P1271">
        <v>277</v>
      </c>
      <c r="Q1271">
        <v>0</v>
      </c>
      <c r="R1271">
        <v>4287405634</v>
      </c>
      <c r="S1271">
        <v>9043038.4499999993</v>
      </c>
      <c r="T1271">
        <v>4278362595.5500002</v>
      </c>
      <c r="U1271">
        <v>4278362595.5500002</v>
      </c>
      <c r="V1271">
        <v>0</v>
      </c>
      <c r="W1271">
        <v>0</v>
      </c>
      <c r="Y1271" t="s">
        <v>3</v>
      </c>
      <c r="Z1271">
        <v>2250</v>
      </c>
      <c r="AA1271">
        <v>54</v>
      </c>
      <c r="AB1271">
        <v>15</v>
      </c>
      <c r="AC1271">
        <v>0</v>
      </c>
      <c r="AD1271">
        <v>405114400</v>
      </c>
      <c r="AE1271">
        <v>979916.46</v>
      </c>
      <c r="AF1271">
        <v>382918800.56</v>
      </c>
      <c r="AG1271">
        <v>404134483.54000002</v>
      </c>
      <c r="AH1271">
        <v>0.47559400000000002</v>
      </c>
      <c r="AI1271">
        <v>0</v>
      </c>
    </row>
    <row r="1272" spans="13:35" x14ac:dyDescent="0.35">
      <c r="M1272" t="s">
        <v>1</v>
      </c>
      <c r="N1272">
        <v>5000</v>
      </c>
      <c r="O1272">
        <v>60</v>
      </c>
      <c r="P1272">
        <v>45</v>
      </c>
      <c r="Q1272">
        <v>0</v>
      </c>
      <c r="R1272">
        <v>983629804</v>
      </c>
      <c r="S1272">
        <v>1655370.85</v>
      </c>
      <c r="T1272">
        <v>981974433.14999998</v>
      </c>
      <c r="U1272">
        <v>981974433.14999998</v>
      </c>
      <c r="V1272">
        <v>0</v>
      </c>
      <c r="W1272">
        <v>0</v>
      </c>
      <c r="Y1272" t="s">
        <v>3</v>
      </c>
      <c r="Z1272">
        <v>2750</v>
      </c>
      <c r="AA1272">
        <v>54</v>
      </c>
      <c r="AB1272">
        <v>221</v>
      </c>
      <c r="AC1272">
        <v>0</v>
      </c>
      <c r="AD1272">
        <v>5297925115</v>
      </c>
      <c r="AE1272">
        <v>11942007.470000001</v>
      </c>
      <c r="AF1272">
        <v>5285983107.5299997</v>
      </c>
      <c r="AG1272">
        <v>5285983107.5299997</v>
      </c>
      <c r="AH1272">
        <v>0</v>
      </c>
      <c r="AI1272">
        <v>0</v>
      </c>
    </row>
    <row r="1273" spans="13:35" x14ac:dyDescent="0.35">
      <c r="M1273" t="s">
        <v>1</v>
      </c>
      <c r="N1273">
        <v>2000</v>
      </c>
      <c r="O1273">
        <v>60</v>
      </c>
      <c r="P1273">
        <v>3652</v>
      </c>
      <c r="Q1273">
        <v>0</v>
      </c>
      <c r="R1273">
        <v>104482135726</v>
      </c>
      <c r="S1273">
        <v>272168105.57999998</v>
      </c>
      <c r="T1273">
        <v>103929271233.34</v>
      </c>
      <c r="U1273">
        <v>104185292478.85001</v>
      </c>
      <c r="V1273">
        <v>3.1766000000000003E-2</v>
      </c>
      <c r="W1273">
        <v>2.8300000000000001E-3</v>
      </c>
      <c r="Y1273" t="s">
        <v>3</v>
      </c>
      <c r="Z1273">
        <v>3000</v>
      </c>
      <c r="AA1273">
        <v>54</v>
      </c>
      <c r="AB1273">
        <v>259</v>
      </c>
      <c r="AC1273">
        <v>0</v>
      </c>
      <c r="AD1273">
        <v>5796486445</v>
      </c>
      <c r="AE1273">
        <v>12630249.32</v>
      </c>
      <c r="AF1273">
        <v>5724649087.5600004</v>
      </c>
      <c r="AG1273">
        <v>5757056965.7600002</v>
      </c>
      <c r="AH1273">
        <v>0.115915</v>
      </c>
      <c r="AI1273">
        <v>5.4091E-2</v>
      </c>
    </row>
    <row r="1274" spans="13:35" x14ac:dyDescent="0.35">
      <c r="M1274" t="s">
        <v>1</v>
      </c>
      <c r="N1274">
        <v>2000</v>
      </c>
      <c r="O1274">
        <v>54</v>
      </c>
      <c r="P1274">
        <v>1339</v>
      </c>
      <c r="Q1274">
        <v>0</v>
      </c>
      <c r="R1274">
        <v>41156292802</v>
      </c>
      <c r="S1274">
        <v>104398608.52</v>
      </c>
      <c r="T1274">
        <v>40898742013.57</v>
      </c>
      <c r="U1274">
        <v>41051894193.480003</v>
      </c>
      <c r="V1274">
        <v>4.3751999999999999E-2</v>
      </c>
      <c r="W1274">
        <v>0</v>
      </c>
      <c r="Y1274" t="s">
        <v>3</v>
      </c>
      <c r="Z1274">
        <v>3250</v>
      </c>
      <c r="AA1274">
        <v>54</v>
      </c>
      <c r="AB1274">
        <v>311</v>
      </c>
      <c r="AC1274">
        <v>0</v>
      </c>
      <c r="AD1274">
        <v>4957955578</v>
      </c>
      <c r="AE1274">
        <v>10446109.699999999</v>
      </c>
      <c r="AF1274">
        <v>4910093543.6700001</v>
      </c>
      <c r="AG1274">
        <v>4947509468.3000002</v>
      </c>
      <c r="AH1274">
        <v>8.6893999999999999E-2</v>
      </c>
      <c r="AI1274">
        <v>0</v>
      </c>
    </row>
    <row r="1275" spans="13:35" x14ac:dyDescent="0.35">
      <c r="M1275" t="s">
        <v>3</v>
      </c>
      <c r="N1275">
        <v>3500</v>
      </c>
      <c r="O1275">
        <v>60</v>
      </c>
      <c r="P1275">
        <v>133</v>
      </c>
      <c r="Q1275">
        <v>0</v>
      </c>
      <c r="R1275">
        <v>2765360171</v>
      </c>
      <c r="S1275">
        <v>5745260.7999999998</v>
      </c>
      <c r="T1275">
        <v>2759614910.1999998</v>
      </c>
      <c r="U1275">
        <v>2759614910.1999998</v>
      </c>
      <c r="V1275">
        <v>0</v>
      </c>
      <c r="W1275">
        <v>0</v>
      </c>
      <c r="Y1275" t="s">
        <v>1</v>
      </c>
      <c r="Z1275">
        <v>5000</v>
      </c>
      <c r="AA1275">
        <v>60</v>
      </c>
      <c r="AB1275">
        <v>34</v>
      </c>
      <c r="AC1275">
        <v>0</v>
      </c>
      <c r="AD1275">
        <v>675697854</v>
      </c>
      <c r="AE1275">
        <v>1136734.8899999999</v>
      </c>
      <c r="AF1275">
        <v>630694762.63</v>
      </c>
      <c r="AG1275">
        <v>674561119.11000001</v>
      </c>
      <c r="AH1275">
        <v>0.55312600000000001</v>
      </c>
      <c r="AI1275">
        <v>0</v>
      </c>
    </row>
    <row r="1276" spans="13:35" x14ac:dyDescent="0.35">
      <c r="M1276" t="s">
        <v>3</v>
      </c>
      <c r="N1276">
        <v>3750</v>
      </c>
      <c r="O1276">
        <v>60</v>
      </c>
      <c r="P1276">
        <v>105</v>
      </c>
      <c r="Q1276">
        <v>0</v>
      </c>
      <c r="R1276">
        <v>1942221190</v>
      </c>
      <c r="S1276">
        <v>3905779.77</v>
      </c>
      <c r="T1276">
        <v>1938315410.23</v>
      </c>
      <c r="U1276">
        <v>1938315410.23</v>
      </c>
      <c r="V1276">
        <v>0</v>
      </c>
      <c r="W1276">
        <v>0</v>
      </c>
      <c r="Y1276" t="s">
        <v>1</v>
      </c>
      <c r="Z1276">
        <v>2000</v>
      </c>
      <c r="AA1276">
        <v>60</v>
      </c>
      <c r="AB1276">
        <v>5910</v>
      </c>
      <c r="AC1276">
        <v>0</v>
      </c>
      <c r="AD1276">
        <v>169977198264</v>
      </c>
      <c r="AE1276">
        <v>443635722.05000001</v>
      </c>
      <c r="AF1276">
        <v>168978962435.98001</v>
      </c>
      <c r="AG1276">
        <v>169533562541.95001</v>
      </c>
      <c r="AH1276">
        <v>3.8457999999999999E-2</v>
      </c>
      <c r="AI1276">
        <v>0</v>
      </c>
    </row>
    <row r="1277" spans="13:35" x14ac:dyDescent="0.35">
      <c r="M1277" t="s">
        <v>3</v>
      </c>
      <c r="N1277">
        <v>4000</v>
      </c>
      <c r="O1277">
        <v>54</v>
      </c>
      <c r="P1277">
        <v>55</v>
      </c>
      <c r="Q1277">
        <v>0</v>
      </c>
      <c r="R1277">
        <v>1126508635</v>
      </c>
      <c r="S1277">
        <v>2104154.5499999998</v>
      </c>
      <c r="T1277">
        <v>1124404480.45</v>
      </c>
      <c r="U1277">
        <v>1124404480.45</v>
      </c>
      <c r="V1277">
        <v>0</v>
      </c>
      <c r="W1277">
        <v>0</v>
      </c>
      <c r="Y1277" t="s">
        <v>1</v>
      </c>
      <c r="Z1277">
        <v>2000</v>
      </c>
      <c r="AA1277">
        <v>54</v>
      </c>
      <c r="AB1277">
        <v>1782</v>
      </c>
      <c r="AC1277">
        <v>0</v>
      </c>
      <c r="AD1277">
        <v>53193295614</v>
      </c>
      <c r="AE1277">
        <v>134651153.94999999</v>
      </c>
      <c r="AF1277">
        <v>52826497039.989998</v>
      </c>
      <c r="AG1277">
        <v>53058644460.050003</v>
      </c>
      <c r="AH1277">
        <v>5.1131999999999997E-2</v>
      </c>
      <c r="AI1277">
        <v>0</v>
      </c>
    </row>
    <row r="1278" spans="13:35" x14ac:dyDescent="0.35">
      <c r="M1278" t="s">
        <v>3</v>
      </c>
      <c r="N1278">
        <v>4250</v>
      </c>
      <c r="O1278">
        <v>54</v>
      </c>
      <c r="P1278">
        <v>75</v>
      </c>
      <c r="Q1278">
        <v>0</v>
      </c>
      <c r="R1278">
        <v>1442998065</v>
      </c>
      <c r="S1278">
        <v>2578570.61</v>
      </c>
      <c r="T1278">
        <v>1440419494.3900001</v>
      </c>
      <c r="U1278">
        <v>1440419494.3900001</v>
      </c>
      <c r="V1278">
        <v>0</v>
      </c>
      <c r="W1278">
        <v>0</v>
      </c>
      <c r="Y1278" t="s">
        <v>3</v>
      </c>
      <c r="Z1278">
        <v>3750</v>
      </c>
      <c r="AA1278">
        <v>60</v>
      </c>
      <c r="AB1278">
        <v>90</v>
      </c>
      <c r="AC1278">
        <v>0</v>
      </c>
      <c r="AD1278">
        <v>1596687893</v>
      </c>
      <c r="AE1278">
        <v>3200302.67</v>
      </c>
      <c r="AF1278">
        <v>1586083968.0999999</v>
      </c>
      <c r="AG1278">
        <v>1593487590.3299999</v>
      </c>
      <c r="AH1278">
        <v>5.4245000000000002E-2</v>
      </c>
      <c r="AI1278">
        <v>0</v>
      </c>
    </row>
    <row r="1279" spans="13:35" x14ac:dyDescent="0.35">
      <c r="M1279" t="s">
        <v>3</v>
      </c>
      <c r="N1279">
        <v>3500</v>
      </c>
      <c r="O1279">
        <v>48</v>
      </c>
      <c r="P1279">
        <v>31</v>
      </c>
      <c r="Q1279">
        <v>0</v>
      </c>
      <c r="R1279">
        <v>770397437</v>
      </c>
      <c r="S1279">
        <v>1524027.83</v>
      </c>
      <c r="T1279">
        <v>768873409.16999996</v>
      </c>
      <c r="U1279">
        <v>768873409.16999996</v>
      </c>
      <c r="V1279">
        <v>0</v>
      </c>
      <c r="W1279">
        <v>0</v>
      </c>
      <c r="Y1279" t="s">
        <v>3</v>
      </c>
      <c r="Z1279">
        <v>4250</v>
      </c>
      <c r="AA1279">
        <v>60</v>
      </c>
      <c r="AB1279">
        <v>20</v>
      </c>
      <c r="AC1279">
        <v>0</v>
      </c>
      <c r="AD1279">
        <v>266733839</v>
      </c>
      <c r="AE1279">
        <v>495242.41</v>
      </c>
      <c r="AF1279">
        <v>266238596.59</v>
      </c>
      <c r="AG1279">
        <v>266238596.59</v>
      </c>
      <c r="AH1279">
        <v>0</v>
      </c>
      <c r="AI1279">
        <v>0</v>
      </c>
    </row>
    <row r="1280" spans="13:35" x14ac:dyDescent="0.35">
      <c r="M1280" t="s">
        <v>3</v>
      </c>
      <c r="N1280">
        <v>3750</v>
      </c>
      <c r="O1280">
        <v>48</v>
      </c>
      <c r="P1280">
        <v>50</v>
      </c>
      <c r="Q1280">
        <v>0</v>
      </c>
      <c r="R1280">
        <v>1188598748</v>
      </c>
      <c r="S1280">
        <v>2257617.86</v>
      </c>
      <c r="T1280">
        <v>1186341130.1400001</v>
      </c>
      <c r="U1280">
        <v>1186341130.1400001</v>
      </c>
      <c r="V1280">
        <v>0</v>
      </c>
      <c r="W1280">
        <v>0</v>
      </c>
      <c r="Y1280" t="s">
        <v>3</v>
      </c>
      <c r="Z1280">
        <v>3500</v>
      </c>
      <c r="AA1280">
        <v>60</v>
      </c>
      <c r="AB1280">
        <v>102</v>
      </c>
      <c r="AC1280">
        <v>0</v>
      </c>
      <c r="AD1280">
        <v>2218126286</v>
      </c>
      <c r="AE1280">
        <v>4601050.6500000004</v>
      </c>
      <c r="AF1280">
        <v>2181154526.5100002</v>
      </c>
      <c r="AG1280">
        <v>2181154526.5100002</v>
      </c>
      <c r="AH1280">
        <v>0.16173000000000001</v>
      </c>
      <c r="AI1280">
        <v>0.16173000000000001</v>
      </c>
    </row>
    <row r="1281" spans="13:35" x14ac:dyDescent="0.35">
      <c r="M1281" t="s">
        <v>3</v>
      </c>
      <c r="N1281">
        <v>4000</v>
      </c>
      <c r="O1281">
        <v>60</v>
      </c>
      <c r="P1281">
        <v>43</v>
      </c>
      <c r="Q1281">
        <v>0</v>
      </c>
      <c r="R1281">
        <v>876736843</v>
      </c>
      <c r="S1281">
        <v>1693410.13</v>
      </c>
      <c r="T1281">
        <v>875043432.87</v>
      </c>
      <c r="U1281">
        <v>875043432.87</v>
      </c>
      <c r="V1281">
        <v>0</v>
      </c>
      <c r="W1281">
        <v>0</v>
      </c>
      <c r="Y1281" t="s">
        <v>3</v>
      </c>
      <c r="Z1281">
        <v>4000</v>
      </c>
      <c r="AA1281">
        <v>54</v>
      </c>
      <c r="AB1281">
        <v>53</v>
      </c>
      <c r="AC1281">
        <v>0</v>
      </c>
      <c r="AD1281">
        <v>1094387813</v>
      </c>
      <c r="AE1281">
        <v>2046630.17</v>
      </c>
      <c r="AF1281">
        <v>1092341182.8299999</v>
      </c>
      <c r="AG1281">
        <v>1092341182.8299999</v>
      </c>
      <c r="AH1281">
        <v>0</v>
      </c>
      <c r="AI1281">
        <v>0</v>
      </c>
    </row>
    <row r="1282" spans="13:35" x14ac:dyDescent="0.35">
      <c r="M1282" t="s">
        <v>3</v>
      </c>
      <c r="N1282">
        <v>4250</v>
      </c>
      <c r="O1282">
        <v>60</v>
      </c>
      <c r="P1282">
        <v>29</v>
      </c>
      <c r="Q1282">
        <v>0</v>
      </c>
      <c r="R1282">
        <v>433158167</v>
      </c>
      <c r="S1282">
        <v>803179.01</v>
      </c>
      <c r="T1282">
        <v>432354987.99000001</v>
      </c>
      <c r="U1282">
        <v>432354987.99000001</v>
      </c>
      <c r="V1282">
        <v>0</v>
      </c>
      <c r="W1282">
        <v>0</v>
      </c>
      <c r="Y1282" t="s">
        <v>3</v>
      </c>
      <c r="Z1282">
        <v>4250</v>
      </c>
      <c r="AA1282">
        <v>54</v>
      </c>
      <c r="AB1282">
        <v>51</v>
      </c>
      <c r="AC1282">
        <v>0</v>
      </c>
      <c r="AD1282">
        <v>924274037</v>
      </c>
      <c r="AE1282">
        <v>1658854.43</v>
      </c>
      <c r="AF1282">
        <v>922615182.57000005</v>
      </c>
      <c r="AG1282">
        <v>922615182.57000005</v>
      </c>
      <c r="AH1282">
        <v>0</v>
      </c>
      <c r="AI1282">
        <v>0</v>
      </c>
    </row>
    <row r="1283" spans="13:35" x14ac:dyDescent="0.35">
      <c r="M1283" t="s">
        <v>2</v>
      </c>
      <c r="N1283">
        <v>5000</v>
      </c>
      <c r="O1283">
        <v>60</v>
      </c>
      <c r="P1283">
        <v>35</v>
      </c>
      <c r="Q1283">
        <v>0</v>
      </c>
      <c r="R1283">
        <v>422490198</v>
      </c>
      <c r="S1283">
        <v>785402.38</v>
      </c>
      <c r="T1283">
        <v>397599905</v>
      </c>
      <c r="U1283">
        <v>397599905</v>
      </c>
      <c r="V1283">
        <v>0.50587099999999996</v>
      </c>
      <c r="W1283">
        <v>0.50587099999999996</v>
      </c>
      <c r="Y1283" t="s">
        <v>3</v>
      </c>
      <c r="Z1283">
        <v>3500</v>
      </c>
      <c r="AA1283">
        <v>48</v>
      </c>
      <c r="AB1283">
        <v>51</v>
      </c>
      <c r="AC1283">
        <v>0</v>
      </c>
      <c r="AD1283">
        <v>1203128283</v>
      </c>
      <c r="AE1283">
        <v>2375277.7599999998</v>
      </c>
      <c r="AF1283">
        <v>1200753005.24</v>
      </c>
      <c r="AG1283">
        <v>1200753005.24</v>
      </c>
      <c r="AH1283">
        <v>0</v>
      </c>
      <c r="AI1283">
        <v>0</v>
      </c>
    </row>
    <row r="1284" spans="13:35" x14ac:dyDescent="0.35">
      <c r="M1284" t="s">
        <v>0</v>
      </c>
      <c r="N1284">
        <v>2000</v>
      </c>
      <c r="O1284">
        <v>60</v>
      </c>
      <c r="P1284">
        <v>155</v>
      </c>
      <c r="Q1284">
        <v>0</v>
      </c>
      <c r="R1284">
        <v>3911515748</v>
      </c>
      <c r="S1284">
        <v>10105068.17</v>
      </c>
      <c r="T1284">
        <v>3901410679.8299999</v>
      </c>
      <c r="U1284">
        <v>3901410679.8299999</v>
      </c>
      <c r="V1284">
        <v>0</v>
      </c>
      <c r="W1284">
        <v>0</v>
      </c>
      <c r="Y1284" t="s">
        <v>3</v>
      </c>
      <c r="Z1284">
        <v>4000</v>
      </c>
      <c r="AA1284">
        <v>60</v>
      </c>
      <c r="AB1284">
        <v>33</v>
      </c>
      <c r="AC1284">
        <v>0</v>
      </c>
      <c r="AD1284">
        <v>650437677</v>
      </c>
      <c r="AE1284">
        <v>1255863.1499999999</v>
      </c>
      <c r="AF1284">
        <v>649181813.85000002</v>
      </c>
      <c r="AG1284">
        <v>649181813.85000002</v>
      </c>
      <c r="AH1284">
        <v>0</v>
      </c>
      <c r="AI1284">
        <v>0</v>
      </c>
    </row>
    <row r="1285" spans="13:35" x14ac:dyDescent="0.35">
      <c r="M1285" t="s">
        <v>2</v>
      </c>
      <c r="N1285">
        <v>2000</v>
      </c>
      <c r="O1285">
        <v>60</v>
      </c>
      <c r="P1285">
        <v>38</v>
      </c>
      <c r="Q1285">
        <v>0</v>
      </c>
      <c r="R1285">
        <v>642078304</v>
      </c>
      <c r="S1285">
        <v>1653250.24</v>
      </c>
      <c r="T1285">
        <v>640425053.75999999</v>
      </c>
      <c r="U1285">
        <v>640425053.75999999</v>
      </c>
      <c r="V1285">
        <v>0</v>
      </c>
      <c r="W1285">
        <v>0</v>
      </c>
      <c r="Y1285" t="s">
        <v>1</v>
      </c>
      <c r="Z1285">
        <v>4750</v>
      </c>
      <c r="AA1285">
        <v>54</v>
      </c>
      <c r="AB1285">
        <v>316</v>
      </c>
      <c r="AC1285">
        <v>0</v>
      </c>
      <c r="AD1285">
        <v>7561604017</v>
      </c>
      <c r="AE1285">
        <v>12665177.17</v>
      </c>
      <c r="AF1285">
        <v>7501615048.0200005</v>
      </c>
      <c r="AG1285">
        <v>7501615048.0200005</v>
      </c>
      <c r="AH1285">
        <v>7.2568999999999995E-2</v>
      </c>
      <c r="AI1285">
        <v>7.2568999999999995E-2</v>
      </c>
    </row>
    <row r="1286" spans="13:35" x14ac:dyDescent="0.35">
      <c r="M1286" t="s">
        <v>0</v>
      </c>
      <c r="N1286">
        <v>2750</v>
      </c>
      <c r="O1286">
        <v>96</v>
      </c>
      <c r="P1286">
        <v>9</v>
      </c>
      <c r="Q1286">
        <v>0</v>
      </c>
      <c r="R1286">
        <v>125432933</v>
      </c>
      <c r="S1286">
        <v>339372.74</v>
      </c>
      <c r="T1286">
        <v>111771032.27</v>
      </c>
      <c r="U1286">
        <v>111771032.27</v>
      </c>
      <c r="V1286">
        <v>0.740097</v>
      </c>
      <c r="W1286">
        <v>0.740097</v>
      </c>
      <c r="Y1286" t="s">
        <v>2</v>
      </c>
      <c r="Z1286">
        <v>5000</v>
      </c>
      <c r="AA1286">
        <v>60</v>
      </c>
      <c r="AB1286">
        <v>40</v>
      </c>
      <c r="AC1286">
        <v>0</v>
      </c>
      <c r="AD1286">
        <v>492972073</v>
      </c>
      <c r="AE1286">
        <v>914724.55</v>
      </c>
      <c r="AF1286">
        <v>481365756.13</v>
      </c>
      <c r="AG1286">
        <v>492057348.44999999</v>
      </c>
      <c r="AH1286">
        <v>0.23135</v>
      </c>
      <c r="AI1286">
        <v>0</v>
      </c>
    </row>
    <row r="1287" spans="13:35" x14ac:dyDescent="0.35">
      <c r="M1287" t="s">
        <v>2</v>
      </c>
      <c r="N1287">
        <v>6250</v>
      </c>
      <c r="O1287">
        <v>48</v>
      </c>
      <c r="P1287">
        <v>396</v>
      </c>
      <c r="Q1287">
        <v>0</v>
      </c>
      <c r="R1287">
        <v>5599882801</v>
      </c>
      <c r="S1287">
        <v>7067355.5199999996</v>
      </c>
      <c r="T1287">
        <v>5520250687.8699999</v>
      </c>
      <c r="U1287">
        <v>5583554978.6000004</v>
      </c>
      <c r="V1287">
        <v>0.14488200000000001</v>
      </c>
      <c r="W1287">
        <v>1.9664999999999998E-2</v>
      </c>
      <c r="Y1287" t="s">
        <v>0</v>
      </c>
      <c r="Z1287">
        <v>2000</v>
      </c>
      <c r="AA1287">
        <v>60</v>
      </c>
      <c r="AB1287">
        <v>218</v>
      </c>
      <c r="AC1287">
        <v>0</v>
      </c>
      <c r="AD1287">
        <v>5523695066</v>
      </c>
      <c r="AE1287">
        <v>14280631.5</v>
      </c>
      <c r="AF1287">
        <v>5509414434.5</v>
      </c>
      <c r="AG1287">
        <v>5509414434.5</v>
      </c>
      <c r="AH1287">
        <v>0</v>
      </c>
      <c r="AI1287">
        <v>0</v>
      </c>
    </row>
    <row r="1288" spans="13:35" x14ac:dyDescent="0.35">
      <c r="M1288" t="s">
        <v>1</v>
      </c>
      <c r="N1288">
        <v>3000</v>
      </c>
      <c r="O1288">
        <v>42</v>
      </c>
      <c r="P1288">
        <v>101</v>
      </c>
      <c r="Q1288">
        <v>0</v>
      </c>
      <c r="R1288">
        <v>3317700515</v>
      </c>
      <c r="S1288">
        <v>7081397.6399999997</v>
      </c>
      <c r="T1288">
        <v>3310619117.3600001</v>
      </c>
      <c r="U1288">
        <v>3310619117.3600001</v>
      </c>
      <c r="V1288">
        <v>0</v>
      </c>
      <c r="W1288">
        <v>0</v>
      </c>
      <c r="Y1288" t="s">
        <v>2</v>
      </c>
      <c r="Z1288">
        <v>2000</v>
      </c>
      <c r="AA1288">
        <v>60</v>
      </c>
      <c r="AB1288">
        <v>57</v>
      </c>
      <c r="AC1288">
        <v>0</v>
      </c>
      <c r="AD1288">
        <v>1043900900</v>
      </c>
      <c r="AE1288">
        <v>2689061.15</v>
      </c>
      <c r="AF1288">
        <v>1041211838.85</v>
      </c>
      <c r="AG1288">
        <v>1041211838.85</v>
      </c>
      <c r="AH1288">
        <v>0</v>
      </c>
      <c r="AI1288">
        <v>0</v>
      </c>
    </row>
    <row r="1289" spans="13:35" x14ac:dyDescent="0.35">
      <c r="M1289" t="s">
        <v>2</v>
      </c>
      <c r="N1289">
        <v>5250</v>
      </c>
      <c r="O1289">
        <v>60</v>
      </c>
      <c r="P1289">
        <v>38</v>
      </c>
      <c r="Q1289">
        <v>0</v>
      </c>
      <c r="R1289">
        <v>439172722</v>
      </c>
      <c r="S1289">
        <v>744221.72</v>
      </c>
      <c r="T1289">
        <v>438428500.27999997</v>
      </c>
      <c r="U1289">
        <v>438428500.27999997</v>
      </c>
      <c r="V1289">
        <v>0</v>
      </c>
      <c r="W1289">
        <v>0</v>
      </c>
      <c r="Y1289" t="s">
        <v>0</v>
      </c>
      <c r="Z1289">
        <v>5250</v>
      </c>
      <c r="AA1289">
        <v>54</v>
      </c>
      <c r="AB1289">
        <v>528</v>
      </c>
      <c r="AC1289">
        <v>0</v>
      </c>
      <c r="AD1289">
        <v>10852122706</v>
      </c>
      <c r="AE1289">
        <v>16799656.23</v>
      </c>
      <c r="AF1289">
        <v>10795614056.139999</v>
      </c>
      <c r="AG1289">
        <v>10817848312.67</v>
      </c>
      <c r="AH1289">
        <v>4.3035999999999998E-2</v>
      </c>
      <c r="AI1289">
        <v>1.9153E-2</v>
      </c>
    </row>
    <row r="1290" spans="13:35" x14ac:dyDescent="0.35">
      <c r="M1290" t="s">
        <v>2</v>
      </c>
      <c r="N1290">
        <v>4750</v>
      </c>
      <c r="O1290">
        <v>54</v>
      </c>
      <c r="P1290">
        <v>175</v>
      </c>
      <c r="Q1290">
        <v>0</v>
      </c>
      <c r="R1290">
        <v>2145937096</v>
      </c>
      <c r="S1290">
        <v>3626819.86</v>
      </c>
      <c r="T1290">
        <v>2117468540.1600001</v>
      </c>
      <c r="U1290">
        <v>2142310276.1400001</v>
      </c>
      <c r="V1290">
        <v>0.13040199999999999</v>
      </c>
      <c r="W1290">
        <v>0</v>
      </c>
      <c r="Y1290" t="s">
        <v>0</v>
      </c>
      <c r="Z1290">
        <v>2750</v>
      </c>
      <c r="AA1290">
        <v>96</v>
      </c>
      <c r="AB1290">
        <v>10</v>
      </c>
      <c r="AC1290">
        <v>0</v>
      </c>
      <c r="AD1290">
        <v>130267863</v>
      </c>
      <c r="AE1290">
        <v>351011.79</v>
      </c>
      <c r="AF1290">
        <v>129916851.20999999</v>
      </c>
      <c r="AG1290">
        <v>129916851.20999999</v>
      </c>
      <c r="AH1290">
        <v>0</v>
      </c>
      <c r="AI1290">
        <v>0</v>
      </c>
    </row>
    <row r="1291" spans="13:35" x14ac:dyDescent="0.35">
      <c r="M1291" t="s">
        <v>0</v>
      </c>
      <c r="N1291">
        <v>5250</v>
      </c>
      <c r="O1291">
        <v>54</v>
      </c>
      <c r="P1291">
        <v>1005</v>
      </c>
      <c r="Q1291">
        <v>0</v>
      </c>
      <c r="R1291">
        <v>22417243647</v>
      </c>
      <c r="S1291">
        <v>34426094.700000003</v>
      </c>
      <c r="T1291">
        <v>22269002735.220001</v>
      </c>
      <c r="U1291">
        <v>22314852807.110001</v>
      </c>
      <c r="V1291">
        <v>5.9253E-2</v>
      </c>
      <c r="W1291">
        <v>3.5781E-2</v>
      </c>
      <c r="Y1291" t="s">
        <v>2</v>
      </c>
      <c r="Z1291">
        <v>6250</v>
      </c>
      <c r="AA1291">
        <v>48</v>
      </c>
      <c r="AB1291">
        <v>172</v>
      </c>
      <c r="AC1291">
        <v>0</v>
      </c>
      <c r="AD1291">
        <v>2445393148</v>
      </c>
      <c r="AE1291">
        <v>3079183.37</v>
      </c>
      <c r="AF1291">
        <v>2422190599.4000001</v>
      </c>
      <c r="AG1291">
        <v>2422190599.4000001</v>
      </c>
      <c r="AH1291">
        <v>9.4399999999999998E-2</v>
      </c>
      <c r="AI1291">
        <v>9.4399999999999998E-2</v>
      </c>
    </row>
    <row r="1292" spans="13:35" x14ac:dyDescent="0.35">
      <c r="M1292" t="s">
        <v>1</v>
      </c>
      <c r="N1292">
        <v>7500</v>
      </c>
      <c r="O1292">
        <v>42</v>
      </c>
      <c r="P1292">
        <v>261</v>
      </c>
      <c r="Q1292">
        <v>0</v>
      </c>
      <c r="R1292">
        <v>5260040062</v>
      </c>
      <c r="S1292">
        <v>5200855.92</v>
      </c>
      <c r="T1292">
        <v>5103705887.6800003</v>
      </c>
      <c r="U1292">
        <v>5212229478.0900002</v>
      </c>
      <c r="V1292">
        <v>0.29519800000000002</v>
      </c>
      <c r="W1292">
        <v>9.2992000000000005E-2</v>
      </c>
      <c r="Y1292" t="s">
        <v>1</v>
      </c>
      <c r="Z1292">
        <v>3000</v>
      </c>
      <c r="AA1292">
        <v>42</v>
      </c>
      <c r="AB1292">
        <v>138</v>
      </c>
      <c r="AC1292">
        <v>0</v>
      </c>
      <c r="AD1292">
        <v>4651094226</v>
      </c>
      <c r="AE1292">
        <v>9875223.3599999994</v>
      </c>
      <c r="AF1292">
        <v>4618793777.8299999</v>
      </c>
      <c r="AG1292">
        <v>4641219002.6400003</v>
      </c>
      <c r="AH1292">
        <v>5.6348000000000002E-2</v>
      </c>
      <c r="AI1292">
        <v>0</v>
      </c>
    </row>
    <row r="1293" spans="13:35" x14ac:dyDescent="0.35">
      <c r="M1293" t="s">
        <v>3</v>
      </c>
      <c r="N1293">
        <v>2500</v>
      </c>
      <c r="O1293">
        <v>60</v>
      </c>
      <c r="P1293">
        <v>83</v>
      </c>
      <c r="Q1293">
        <v>0</v>
      </c>
      <c r="R1293">
        <v>1697597447</v>
      </c>
      <c r="S1293">
        <v>4092426.18</v>
      </c>
      <c r="T1293">
        <v>1651033040.04</v>
      </c>
      <c r="U1293">
        <v>1693505020.8199999</v>
      </c>
      <c r="V1293">
        <v>0.26217299999999999</v>
      </c>
      <c r="W1293">
        <v>0</v>
      </c>
      <c r="Y1293" t="s">
        <v>2</v>
      </c>
      <c r="Z1293">
        <v>4750</v>
      </c>
      <c r="AA1293">
        <v>54</v>
      </c>
      <c r="AB1293">
        <v>134</v>
      </c>
      <c r="AC1293">
        <v>0</v>
      </c>
      <c r="AD1293">
        <v>1593370935</v>
      </c>
      <c r="AE1293">
        <v>2706569.97</v>
      </c>
      <c r="AF1293">
        <v>1581108913.6199999</v>
      </c>
      <c r="AG1293">
        <v>1581108913.6199999</v>
      </c>
      <c r="AH1293">
        <v>6.9637000000000004E-2</v>
      </c>
      <c r="AI1293">
        <v>6.9637000000000004E-2</v>
      </c>
    </row>
    <row r="1294" spans="13:35" x14ac:dyDescent="0.35">
      <c r="M1294" t="s">
        <v>2</v>
      </c>
      <c r="N1294">
        <v>5000</v>
      </c>
      <c r="O1294">
        <v>54</v>
      </c>
      <c r="P1294">
        <v>37</v>
      </c>
      <c r="Q1294">
        <v>0</v>
      </c>
      <c r="R1294">
        <v>438667187</v>
      </c>
      <c r="S1294">
        <v>737039.62</v>
      </c>
      <c r="T1294">
        <v>437930147.38</v>
      </c>
      <c r="U1294">
        <v>437930147.38</v>
      </c>
      <c r="V1294">
        <v>0</v>
      </c>
      <c r="W1294">
        <v>0</v>
      </c>
      <c r="Y1294" t="s">
        <v>2</v>
      </c>
      <c r="Z1294">
        <v>5250</v>
      </c>
      <c r="AA1294">
        <v>60</v>
      </c>
      <c r="AB1294">
        <v>42</v>
      </c>
      <c r="AC1294">
        <v>0</v>
      </c>
      <c r="AD1294">
        <v>485728468</v>
      </c>
      <c r="AE1294">
        <v>817654.46</v>
      </c>
      <c r="AF1294">
        <v>484910813.54000002</v>
      </c>
      <c r="AG1294">
        <v>484910813.54000002</v>
      </c>
      <c r="AH1294">
        <v>0</v>
      </c>
      <c r="AI1294">
        <v>0</v>
      </c>
    </row>
    <row r="1295" spans="13:35" x14ac:dyDescent="0.35">
      <c r="M1295" t="s">
        <v>0</v>
      </c>
      <c r="N1295">
        <v>5750</v>
      </c>
      <c r="O1295">
        <v>54</v>
      </c>
      <c r="P1295">
        <v>79</v>
      </c>
      <c r="Q1295">
        <v>0</v>
      </c>
      <c r="R1295">
        <v>1532651864</v>
      </c>
      <c r="S1295">
        <v>2196416.17</v>
      </c>
      <c r="T1295">
        <v>1493069848.1199999</v>
      </c>
      <c r="U1295">
        <v>1493069848.1199999</v>
      </c>
      <c r="V1295">
        <v>0.256467</v>
      </c>
      <c r="W1295">
        <v>0.256467</v>
      </c>
      <c r="Y1295" t="s">
        <v>1</v>
      </c>
      <c r="Z1295">
        <v>5000</v>
      </c>
      <c r="AA1295">
        <v>54</v>
      </c>
      <c r="AB1295">
        <v>71</v>
      </c>
      <c r="AC1295">
        <v>0</v>
      </c>
      <c r="AD1295">
        <v>1668886431</v>
      </c>
      <c r="AE1295">
        <v>2714996.97</v>
      </c>
      <c r="AF1295">
        <v>1588083246.9000001</v>
      </c>
      <c r="AG1295">
        <v>1628162122.8099999</v>
      </c>
      <c r="AH1295">
        <v>0.43732199999999999</v>
      </c>
      <c r="AI1295">
        <v>0.241539</v>
      </c>
    </row>
    <row r="1296" spans="13:35" x14ac:dyDescent="0.35">
      <c r="M1296" t="s">
        <v>2</v>
      </c>
      <c r="N1296">
        <v>5250</v>
      </c>
      <c r="O1296">
        <v>54</v>
      </c>
      <c r="P1296">
        <v>68</v>
      </c>
      <c r="Q1296">
        <v>0</v>
      </c>
      <c r="R1296">
        <v>873686318</v>
      </c>
      <c r="S1296">
        <v>1402723.46</v>
      </c>
      <c r="T1296">
        <v>872283594.53999996</v>
      </c>
      <c r="U1296">
        <v>872283594.53999996</v>
      </c>
      <c r="V1296">
        <v>0</v>
      </c>
      <c r="W1296">
        <v>0</v>
      </c>
      <c r="Y1296" t="s">
        <v>3</v>
      </c>
      <c r="Z1296">
        <v>3750</v>
      </c>
      <c r="AA1296">
        <v>54</v>
      </c>
      <c r="AB1296">
        <v>81</v>
      </c>
      <c r="AC1296">
        <v>0</v>
      </c>
      <c r="AD1296">
        <v>1836531011</v>
      </c>
      <c r="AE1296">
        <v>3604626.64</v>
      </c>
      <c r="AF1296">
        <v>1813582114.75</v>
      </c>
      <c r="AG1296">
        <v>1832926384.3599999</v>
      </c>
      <c r="AH1296">
        <v>0.119325</v>
      </c>
      <c r="AI1296">
        <v>0</v>
      </c>
    </row>
    <row r="1297" spans="13:35" x14ac:dyDescent="0.35">
      <c r="M1297" t="s">
        <v>1</v>
      </c>
      <c r="N1297">
        <v>5000</v>
      </c>
      <c r="O1297">
        <v>54</v>
      </c>
      <c r="P1297">
        <v>77</v>
      </c>
      <c r="Q1297">
        <v>0</v>
      </c>
      <c r="R1297">
        <v>1950566094</v>
      </c>
      <c r="S1297">
        <v>3150584.25</v>
      </c>
      <c r="T1297">
        <v>1947415509.75</v>
      </c>
      <c r="U1297">
        <v>1947415509.75</v>
      </c>
      <c r="V1297">
        <v>0</v>
      </c>
      <c r="W1297">
        <v>0</v>
      </c>
      <c r="Y1297" t="s">
        <v>2</v>
      </c>
      <c r="Z1297">
        <v>5250</v>
      </c>
      <c r="AA1297">
        <v>54</v>
      </c>
      <c r="AB1297">
        <v>63</v>
      </c>
      <c r="AC1297">
        <v>0</v>
      </c>
      <c r="AD1297">
        <v>812654854</v>
      </c>
      <c r="AE1297">
        <v>1311656</v>
      </c>
      <c r="AF1297">
        <v>811343198</v>
      </c>
      <c r="AG1297">
        <v>811343198</v>
      </c>
      <c r="AH1297">
        <v>0</v>
      </c>
      <c r="AI1297">
        <v>0</v>
      </c>
    </row>
    <row r="1298" spans="13:35" x14ac:dyDescent="0.35">
      <c r="M1298" t="s">
        <v>3</v>
      </c>
      <c r="N1298">
        <v>5250</v>
      </c>
      <c r="O1298">
        <v>48</v>
      </c>
      <c r="P1298">
        <v>85</v>
      </c>
      <c r="Q1298">
        <v>0</v>
      </c>
      <c r="R1298">
        <v>1831040760</v>
      </c>
      <c r="S1298">
        <v>2750054.57</v>
      </c>
      <c r="T1298">
        <v>1828290705.4300001</v>
      </c>
      <c r="U1298">
        <v>1828290705.4300001</v>
      </c>
      <c r="V1298">
        <v>0</v>
      </c>
      <c r="W1298">
        <v>0</v>
      </c>
      <c r="Y1298" t="s">
        <v>1</v>
      </c>
      <c r="Z1298">
        <v>7500</v>
      </c>
      <c r="AA1298">
        <v>42</v>
      </c>
      <c r="AB1298">
        <v>256</v>
      </c>
      <c r="AC1298">
        <v>0</v>
      </c>
      <c r="AD1298">
        <v>5279370104</v>
      </c>
      <c r="AE1298">
        <v>5184973.8099999996</v>
      </c>
      <c r="AF1298">
        <v>5009292576.8999996</v>
      </c>
      <c r="AG1298">
        <v>5244211820.8199997</v>
      </c>
      <c r="AH1298">
        <v>0.46083299999999999</v>
      </c>
      <c r="AI1298">
        <v>6.6042000000000003E-2</v>
      </c>
    </row>
    <row r="1299" spans="13:35" x14ac:dyDescent="0.35">
      <c r="M1299" t="s">
        <v>3</v>
      </c>
      <c r="N1299">
        <v>4750</v>
      </c>
      <c r="O1299">
        <v>48</v>
      </c>
      <c r="P1299">
        <v>67</v>
      </c>
      <c r="Q1299">
        <v>0</v>
      </c>
      <c r="R1299">
        <v>1556957809</v>
      </c>
      <c r="S1299">
        <v>2524742.7799999998</v>
      </c>
      <c r="T1299">
        <v>1533559031.51</v>
      </c>
      <c r="U1299">
        <v>1554433066.22</v>
      </c>
      <c r="V1299">
        <v>0.149535</v>
      </c>
      <c r="W1299">
        <v>0</v>
      </c>
      <c r="Y1299" t="s">
        <v>2</v>
      </c>
      <c r="Z1299">
        <v>5000</v>
      </c>
      <c r="AA1299">
        <v>54</v>
      </c>
      <c r="AB1299">
        <v>33</v>
      </c>
      <c r="AC1299">
        <v>0</v>
      </c>
      <c r="AD1299">
        <v>354392853</v>
      </c>
      <c r="AE1299">
        <v>599628.86</v>
      </c>
      <c r="AF1299">
        <v>353793224.13999999</v>
      </c>
      <c r="AG1299">
        <v>353793224.13999999</v>
      </c>
      <c r="AH1299">
        <v>0</v>
      </c>
      <c r="AI1299">
        <v>0</v>
      </c>
    </row>
    <row r="1300" spans="13:35" x14ac:dyDescent="0.35">
      <c r="M1300" t="s">
        <v>1</v>
      </c>
      <c r="N1300">
        <v>5250</v>
      </c>
      <c r="O1300">
        <v>54</v>
      </c>
      <c r="P1300">
        <v>377</v>
      </c>
      <c r="Q1300">
        <v>0</v>
      </c>
      <c r="R1300">
        <v>8971265770</v>
      </c>
      <c r="S1300">
        <v>13852831.76</v>
      </c>
      <c r="T1300">
        <v>8885535226.7399998</v>
      </c>
      <c r="U1300">
        <v>8885535226.7399998</v>
      </c>
      <c r="V1300">
        <v>9.2018000000000003E-2</v>
      </c>
      <c r="W1300">
        <v>9.2018000000000003E-2</v>
      </c>
      <c r="Y1300" t="s">
        <v>0</v>
      </c>
      <c r="Z1300">
        <v>5750</v>
      </c>
      <c r="AA1300">
        <v>54</v>
      </c>
      <c r="AB1300">
        <v>54</v>
      </c>
      <c r="AC1300">
        <v>0</v>
      </c>
      <c r="AD1300">
        <v>963204681</v>
      </c>
      <c r="AE1300">
        <v>1389218.38</v>
      </c>
      <c r="AF1300">
        <v>915908154.75999999</v>
      </c>
      <c r="AG1300">
        <v>961815462.62</v>
      </c>
      <c r="AH1300">
        <v>0.44345699999999999</v>
      </c>
      <c r="AI1300">
        <v>0</v>
      </c>
    </row>
    <row r="1301" spans="13:35" x14ac:dyDescent="0.35">
      <c r="M1301" t="s">
        <v>0</v>
      </c>
      <c r="N1301">
        <v>2750</v>
      </c>
      <c r="O1301">
        <v>48</v>
      </c>
      <c r="P1301">
        <v>2239</v>
      </c>
      <c r="Q1301">
        <v>0</v>
      </c>
      <c r="R1301">
        <v>58624196497</v>
      </c>
      <c r="S1301">
        <v>129108937.76000001</v>
      </c>
      <c r="T1301">
        <v>58241209704.449997</v>
      </c>
      <c r="U1301">
        <v>58441063528.279999</v>
      </c>
      <c r="V1301">
        <v>5.0747E-2</v>
      </c>
      <c r="W1301">
        <v>1.1002E-2</v>
      </c>
      <c r="Y1301" t="s">
        <v>1</v>
      </c>
      <c r="Z1301">
        <v>6250</v>
      </c>
      <c r="AA1301">
        <v>48</v>
      </c>
      <c r="AB1301">
        <v>1415</v>
      </c>
      <c r="AC1301">
        <v>0</v>
      </c>
      <c r="AD1301">
        <v>36510475945</v>
      </c>
      <c r="AE1301">
        <v>46186557.409999996</v>
      </c>
      <c r="AF1301">
        <v>35857592671.620003</v>
      </c>
      <c r="AG1301">
        <v>36239236125.760002</v>
      </c>
      <c r="AH1301">
        <v>0.18215300000000001</v>
      </c>
      <c r="AI1301">
        <v>7.1512000000000006E-2</v>
      </c>
    </row>
    <row r="1302" spans="13:35" x14ac:dyDescent="0.35">
      <c r="M1302" t="s">
        <v>2</v>
      </c>
      <c r="N1302">
        <v>5500</v>
      </c>
      <c r="O1302">
        <v>54</v>
      </c>
      <c r="P1302">
        <v>22</v>
      </c>
      <c r="Q1302">
        <v>0</v>
      </c>
      <c r="R1302">
        <v>256629987</v>
      </c>
      <c r="S1302">
        <v>411173.92</v>
      </c>
      <c r="T1302">
        <v>256218813.08000001</v>
      </c>
      <c r="U1302">
        <v>256218813.08000001</v>
      </c>
      <c r="V1302">
        <v>0</v>
      </c>
      <c r="W1302">
        <v>0</v>
      </c>
      <c r="Y1302" t="s">
        <v>3</v>
      </c>
      <c r="Z1302">
        <v>5250</v>
      </c>
      <c r="AA1302">
        <v>48</v>
      </c>
      <c r="AB1302">
        <v>70</v>
      </c>
      <c r="AC1302">
        <v>0</v>
      </c>
      <c r="AD1302">
        <v>1498081461</v>
      </c>
      <c r="AE1302">
        <v>2241921.65</v>
      </c>
      <c r="AF1302">
        <v>1495839539.3499999</v>
      </c>
      <c r="AG1302">
        <v>1495839539.3499999</v>
      </c>
      <c r="AH1302">
        <v>0</v>
      </c>
      <c r="AI1302">
        <v>0</v>
      </c>
    </row>
    <row r="1303" spans="13:35" x14ac:dyDescent="0.35">
      <c r="M1303" t="s">
        <v>1</v>
      </c>
      <c r="N1303">
        <v>4250</v>
      </c>
      <c r="O1303">
        <v>5</v>
      </c>
      <c r="P1303">
        <v>1127</v>
      </c>
      <c r="Q1303">
        <v>0</v>
      </c>
      <c r="R1303">
        <v>43590200000</v>
      </c>
      <c r="S1303">
        <v>60857694.149999999</v>
      </c>
      <c r="T1303">
        <v>43529342305.849998</v>
      </c>
      <c r="U1303">
        <v>43529342305.849998</v>
      </c>
      <c r="V1303">
        <v>0</v>
      </c>
      <c r="W1303">
        <v>0</v>
      </c>
      <c r="Y1303" t="s">
        <v>3</v>
      </c>
      <c r="Z1303">
        <v>5000</v>
      </c>
      <c r="AA1303">
        <v>48</v>
      </c>
      <c r="AB1303">
        <v>74</v>
      </c>
      <c r="AC1303">
        <v>0</v>
      </c>
      <c r="AD1303">
        <v>1681786775</v>
      </c>
      <c r="AE1303">
        <v>2610417.0499999998</v>
      </c>
      <c r="AF1303">
        <v>1679176357.95</v>
      </c>
      <c r="AG1303">
        <v>1679176357.95</v>
      </c>
      <c r="AH1303">
        <v>0</v>
      </c>
      <c r="AI1303">
        <v>0</v>
      </c>
    </row>
    <row r="1304" spans="13:35" x14ac:dyDescent="0.35">
      <c r="M1304" t="s">
        <v>0</v>
      </c>
      <c r="N1304">
        <v>4250</v>
      </c>
      <c r="O1304">
        <v>5</v>
      </c>
      <c r="P1304">
        <v>2520</v>
      </c>
      <c r="Q1304">
        <v>0</v>
      </c>
      <c r="R1304">
        <v>84879700000</v>
      </c>
      <c r="S1304">
        <v>118506091.04000001</v>
      </c>
      <c r="T1304">
        <v>84761193908.960007</v>
      </c>
      <c r="U1304">
        <v>84761193908.960007</v>
      </c>
      <c r="V1304">
        <v>0</v>
      </c>
      <c r="W1304">
        <v>0</v>
      </c>
      <c r="Y1304" t="s">
        <v>3</v>
      </c>
      <c r="Z1304">
        <v>4750</v>
      </c>
      <c r="AA1304">
        <v>48</v>
      </c>
      <c r="AB1304">
        <v>63</v>
      </c>
      <c r="AC1304">
        <v>0</v>
      </c>
      <c r="AD1304">
        <v>1449728946</v>
      </c>
      <c r="AE1304">
        <v>2345766.37</v>
      </c>
      <c r="AF1304">
        <v>1447383179.6300001</v>
      </c>
      <c r="AG1304">
        <v>1447383179.6300001</v>
      </c>
      <c r="AH1304">
        <v>0</v>
      </c>
      <c r="AI1304">
        <v>0</v>
      </c>
    </row>
    <row r="1305" spans="13:35" x14ac:dyDescent="0.35">
      <c r="M1305" t="s">
        <v>1</v>
      </c>
      <c r="N1305">
        <v>4500</v>
      </c>
      <c r="O1305">
        <v>5</v>
      </c>
      <c r="P1305">
        <v>1656</v>
      </c>
      <c r="Q1305">
        <v>0</v>
      </c>
      <c r="R1305">
        <v>66603100000</v>
      </c>
      <c r="S1305">
        <v>89146531.290000007</v>
      </c>
      <c r="T1305">
        <v>66372940412.160004</v>
      </c>
      <c r="U1305">
        <v>66513953468.709999</v>
      </c>
      <c r="V1305">
        <v>2.5113E-2</v>
      </c>
      <c r="W1305">
        <v>0</v>
      </c>
      <c r="Y1305" t="s">
        <v>3</v>
      </c>
      <c r="Z1305">
        <v>3250</v>
      </c>
      <c r="AA1305">
        <v>48</v>
      </c>
      <c r="AB1305">
        <v>31</v>
      </c>
      <c r="AC1305">
        <v>0</v>
      </c>
      <c r="AD1305">
        <v>769688259</v>
      </c>
      <c r="AE1305">
        <v>1588027.87</v>
      </c>
      <c r="AF1305">
        <v>768100231.13</v>
      </c>
      <c r="AG1305">
        <v>768100231.13</v>
      </c>
      <c r="AH1305">
        <v>0</v>
      </c>
      <c r="AI1305">
        <v>0</v>
      </c>
    </row>
    <row r="1306" spans="13:35" x14ac:dyDescent="0.35">
      <c r="M1306" t="s">
        <v>3</v>
      </c>
      <c r="N1306">
        <v>4250</v>
      </c>
      <c r="O1306">
        <v>48</v>
      </c>
      <c r="P1306">
        <v>81</v>
      </c>
      <c r="Q1306">
        <v>0</v>
      </c>
      <c r="R1306">
        <v>1991724440</v>
      </c>
      <c r="S1306">
        <v>3500513.04</v>
      </c>
      <c r="T1306">
        <v>1988223926.96</v>
      </c>
      <c r="U1306">
        <v>1988223926.96</v>
      </c>
      <c r="V1306">
        <v>0</v>
      </c>
      <c r="W1306">
        <v>0</v>
      </c>
      <c r="Y1306" t="s">
        <v>1</v>
      </c>
      <c r="Z1306">
        <v>5250</v>
      </c>
      <c r="AA1306">
        <v>54</v>
      </c>
      <c r="AB1306">
        <v>383</v>
      </c>
      <c r="AC1306">
        <v>0</v>
      </c>
      <c r="AD1306">
        <v>8966731826</v>
      </c>
      <c r="AE1306">
        <v>13834085.6</v>
      </c>
      <c r="AF1306">
        <v>8883919077.6800003</v>
      </c>
      <c r="AG1306">
        <v>8936318171.4500008</v>
      </c>
      <c r="AH1306">
        <v>8.8505E-2</v>
      </c>
      <c r="AI1306">
        <v>2.1964000000000001E-2</v>
      </c>
    </row>
    <row r="1307" spans="13:35" x14ac:dyDescent="0.35">
      <c r="M1307" t="s">
        <v>3</v>
      </c>
      <c r="N1307">
        <v>4000</v>
      </c>
      <c r="O1307">
        <v>48</v>
      </c>
      <c r="P1307">
        <v>31</v>
      </c>
      <c r="Q1307">
        <v>0</v>
      </c>
      <c r="R1307">
        <v>697529002</v>
      </c>
      <c r="S1307">
        <v>1286728.99</v>
      </c>
      <c r="T1307">
        <v>696242273.00999999</v>
      </c>
      <c r="U1307">
        <v>696242273.00999999</v>
      </c>
      <c r="V1307">
        <v>0</v>
      </c>
      <c r="W1307">
        <v>0</v>
      </c>
      <c r="Y1307" t="s">
        <v>0</v>
      </c>
      <c r="Z1307">
        <v>2750</v>
      </c>
      <c r="AA1307">
        <v>48</v>
      </c>
      <c r="AB1307">
        <v>5658</v>
      </c>
      <c r="AC1307">
        <v>0</v>
      </c>
      <c r="AD1307">
        <v>145698769455</v>
      </c>
      <c r="AE1307">
        <v>321483098.25999999</v>
      </c>
      <c r="AF1307">
        <v>144608509574.13</v>
      </c>
      <c r="AG1307">
        <v>145339779859.89001</v>
      </c>
      <c r="AH1307">
        <v>6.1511999999999997E-2</v>
      </c>
      <c r="AI1307">
        <v>3.0850000000000001E-3</v>
      </c>
    </row>
    <row r="1308" spans="13:35" x14ac:dyDescent="0.35">
      <c r="M1308" t="s">
        <v>0</v>
      </c>
      <c r="N1308">
        <v>6250</v>
      </c>
      <c r="O1308">
        <v>144</v>
      </c>
      <c r="P1308">
        <v>7</v>
      </c>
      <c r="Q1308">
        <v>0</v>
      </c>
      <c r="R1308">
        <v>40144058</v>
      </c>
      <c r="S1308">
        <v>90237.9</v>
      </c>
      <c r="T1308">
        <v>34662674.549999997</v>
      </c>
      <c r="U1308">
        <v>40053820.100000001</v>
      </c>
      <c r="V1308">
        <v>0.82281000000000004</v>
      </c>
      <c r="W1308">
        <v>0</v>
      </c>
      <c r="Y1308" t="s">
        <v>0</v>
      </c>
      <c r="Z1308">
        <v>2250</v>
      </c>
      <c r="AA1308">
        <v>48</v>
      </c>
      <c r="AB1308">
        <v>519</v>
      </c>
      <c r="AC1308">
        <v>0</v>
      </c>
      <c r="AD1308">
        <v>13514787231</v>
      </c>
      <c r="AE1308">
        <v>31884389.489999998</v>
      </c>
      <c r="AF1308">
        <v>13465409057.76</v>
      </c>
      <c r="AG1308">
        <v>13482902841.51</v>
      </c>
      <c r="AH1308">
        <v>1.5422999999999999E-2</v>
      </c>
      <c r="AI1308">
        <v>0</v>
      </c>
    </row>
    <row r="1309" spans="13:35" x14ac:dyDescent="0.35">
      <c r="M1309" t="s">
        <v>1</v>
      </c>
      <c r="N1309">
        <v>2500</v>
      </c>
      <c r="O1309">
        <v>48</v>
      </c>
      <c r="P1309">
        <v>1341</v>
      </c>
      <c r="Q1309">
        <v>0</v>
      </c>
      <c r="R1309">
        <v>46371142571</v>
      </c>
      <c r="S1309">
        <v>106294923.63</v>
      </c>
      <c r="T1309">
        <v>46151099020.489998</v>
      </c>
      <c r="U1309">
        <v>46264847647.370003</v>
      </c>
      <c r="V1309">
        <v>2.9041999999999998E-2</v>
      </c>
      <c r="W1309">
        <v>0</v>
      </c>
      <c r="Y1309" t="s">
        <v>2</v>
      </c>
      <c r="Z1309">
        <v>5500</v>
      </c>
      <c r="AA1309">
        <v>54</v>
      </c>
      <c r="AB1309">
        <v>18</v>
      </c>
      <c r="AC1309">
        <v>0</v>
      </c>
      <c r="AD1309">
        <v>214080643</v>
      </c>
      <c r="AE1309">
        <v>358950.72</v>
      </c>
      <c r="AF1309">
        <v>213721692.28</v>
      </c>
      <c r="AG1309">
        <v>213721692.28</v>
      </c>
      <c r="AH1309">
        <v>0</v>
      </c>
      <c r="AI1309">
        <v>0</v>
      </c>
    </row>
    <row r="1310" spans="13:35" x14ac:dyDescent="0.35">
      <c r="M1310" t="s">
        <v>3</v>
      </c>
      <c r="N1310">
        <v>4750</v>
      </c>
      <c r="O1310">
        <v>54</v>
      </c>
      <c r="P1310">
        <v>8</v>
      </c>
      <c r="Q1310">
        <v>0</v>
      </c>
      <c r="R1310">
        <v>169593082</v>
      </c>
      <c r="S1310">
        <v>278642.2</v>
      </c>
      <c r="T1310">
        <v>169314439.80000001</v>
      </c>
      <c r="U1310">
        <v>169314439.80000001</v>
      </c>
      <c r="V1310">
        <v>0</v>
      </c>
      <c r="W1310">
        <v>0</v>
      </c>
      <c r="Y1310" t="s">
        <v>1</v>
      </c>
      <c r="Z1310">
        <v>4250</v>
      </c>
      <c r="AA1310">
        <v>5</v>
      </c>
      <c r="AB1310">
        <v>1086</v>
      </c>
      <c r="AC1310">
        <v>0</v>
      </c>
      <c r="AD1310">
        <v>41454300000</v>
      </c>
      <c r="AE1310">
        <v>57876383.219999999</v>
      </c>
      <c r="AF1310">
        <v>41396423616.779999</v>
      </c>
      <c r="AG1310">
        <v>41396423616.779999</v>
      </c>
      <c r="AH1310">
        <v>0</v>
      </c>
      <c r="AI1310">
        <v>0</v>
      </c>
    </row>
    <row r="1311" spans="13:35" x14ac:dyDescent="0.35">
      <c r="M1311" t="s">
        <v>3</v>
      </c>
      <c r="N1311">
        <v>4500</v>
      </c>
      <c r="O1311">
        <v>54</v>
      </c>
      <c r="P1311">
        <v>1</v>
      </c>
      <c r="Q1311">
        <v>0</v>
      </c>
      <c r="R1311">
        <v>18869243</v>
      </c>
      <c r="S1311">
        <v>32120.58</v>
      </c>
      <c r="T1311">
        <v>18837122.420000002</v>
      </c>
      <c r="U1311">
        <v>18837122.420000002</v>
      </c>
      <c r="V1311">
        <v>0</v>
      </c>
      <c r="W1311">
        <v>0</v>
      </c>
      <c r="Y1311" t="s">
        <v>0</v>
      </c>
      <c r="Z1311">
        <v>4250</v>
      </c>
      <c r="AA1311">
        <v>5</v>
      </c>
      <c r="AB1311">
        <v>2410</v>
      </c>
      <c r="AC1311">
        <v>0</v>
      </c>
      <c r="AD1311">
        <v>80351800000</v>
      </c>
      <c r="AE1311">
        <v>112192812.11</v>
      </c>
      <c r="AF1311">
        <v>80207052995.419998</v>
      </c>
      <c r="AG1311">
        <v>80239607187.889999</v>
      </c>
      <c r="AH1311">
        <v>4.8510000000000003E-3</v>
      </c>
      <c r="AI1311">
        <v>0</v>
      </c>
    </row>
    <row r="1312" spans="13:35" x14ac:dyDescent="0.35">
      <c r="M1312" t="s">
        <v>0</v>
      </c>
      <c r="N1312">
        <v>6750</v>
      </c>
      <c r="O1312">
        <v>48</v>
      </c>
      <c r="P1312">
        <v>1568</v>
      </c>
      <c r="Q1312">
        <v>0</v>
      </c>
      <c r="R1312">
        <v>36939092321</v>
      </c>
      <c r="S1312">
        <v>42899434.780000001</v>
      </c>
      <c r="T1312">
        <v>36535266467.010002</v>
      </c>
      <c r="U1312">
        <v>36847473763.779999</v>
      </c>
      <c r="V1312">
        <v>0.11115</v>
      </c>
      <c r="W1312">
        <v>1.5713000000000001E-2</v>
      </c>
      <c r="Y1312" t="s">
        <v>1</v>
      </c>
      <c r="Z1312">
        <v>4500</v>
      </c>
      <c r="AA1312">
        <v>5</v>
      </c>
      <c r="AB1312">
        <v>1562</v>
      </c>
      <c r="AC1312">
        <v>0</v>
      </c>
      <c r="AD1312">
        <v>61790800000</v>
      </c>
      <c r="AE1312">
        <v>82715743.730000004</v>
      </c>
      <c r="AF1312">
        <v>61708084256.269997</v>
      </c>
      <c r="AG1312">
        <v>61708084256.269997</v>
      </c>
      <c r="AH1312">
        <v>0</v>
      </c>
      <c r="AI1312">
        <v>0</v>
      </c>
    </row>
    <row r="1313" spans="13:35" x14ac:dyDescent="0.35">
      <c r="M1313" t="s">
        <v>2</v>
      </c>
      <c r="N1313">
        <v>6750</v>
      </c>
      <c r="O1313">
        <v>48</v>
      </c>
      <c r="P1313">
        <v>48</v>
      </c>
      <c r="Q1313">
        <v>0</v>
      </c>
      <c r="R1313">
        <v>619040972</v>
      </c>
      <c r="S1313">
        <v>716490.78</v>
      </c>
      <c r="T1313">
        <v>611927803.38</v>
      </c>
      <c r="U1313">
        <v>611927803.38</v>
      </c>
      <c r="V1313">
        <v>0.117188</v>
      </c>
      <c r="W1313">
        <v>0.117188</v>
      </c>
      <c r="Y1313" t="s">
        <v>3</v>
      </c>
      <c r="Z1313">
        <v>4000</v>
      </c>
      <c r="AA1313">
        <v>48</v>
      </c>
      <c r="AB1313">
        <v>42</v>
      </c>
      <c r="AC1313">
        <v>0</v>
      </c>
      <c r="AD1313">
        <v>923697563</v>
      </c>
      <c r="AE1313">
        <v>1697913.34</v>
      </c>
      <c r="AF1313">
        <v>921999649.65999997</v>
      </c>
      <c r="AG1313">
        <v>921999649.65999997</v>
      </c>
      <c r="AH1313">
        <v>0</v>
      </c>
      <c r="AI1313">
        <v>0</v>
      </c>
    </row>
    <row r="1314" spans="13:35" x14ac:dyDescent="0.35">
      <c r="M1314" t="s">
        <v>3</v>
      </c>
      <c r="N1314">
        <v>4500</v>
      </c>
      <c r="O1314">
        <v>48</v>
      </c>
      <c r="P1314">
        <v>26</v>
      </c>
      <c r="Q1314">
        <v>0</v>
      </c>
      <c r="R1314">
        <v>622839399</v>
      </c>
      <c r="S1314">
        <v>1049962.58</v>
      </c>
      <c r="T1314">
        <v>621789436.41999996</v>
      </c>
      <c r="U1314">
        <v>621789436.41999996</v>
      </c>
      <c r="V1314">
        <v>0</v>
      </c>
      <c r="W1314">
        <v>0</v>
      </c>
      <c r="Y1314" t="s">
        <v>3</v>
      </c>
      <c r="Z1314">
        <v>4250</v>
      </c>
      <c r="AA1314">
        <v>48</v>
      </c>
      <c r="AB1314">
        <v>112</v>
      </c>
      <c r="AC1314">
        <v>0</v>
      </c>
      <c r="AD1314">
        <v>2607291459</v>
      </c>
      <c r="AE1314">
        <v>4575346.74</v>
      </c>
      <c r="AF1314">
        <v>2602716112.2600002</v>
      </c>
      <c r="AG1314">
        <v>2602716112.2600002</v>
      </c>
      <c r="AH1314">
        <v>0</v>
      </c>
      <c r="AI1314">
        <v>0</v>
      </c>
    </row>
    <row r="1315" spans="13:35" x14ac:dyDescent="0.35">
      <c r="M1315" t="s">
        <v>3</v>
      </c>
      <c r="N1315">
        <v>6250</v>
      </c>
      <c r="O1315">
        <v>42</v>
      </c>
      <c r="P1315">
        <v>118</v>
      </c>
      <c r="Q1315">
        <v>0</v>
      </c>
      <c r="R1315">
        <v>2892483833</v>
      </c>
      <c r="S1315">
        <v>3543890.18</v>
      </c>
      <c r="T1315">
        <v>2849879518.6300001</v>
      </c>
      <c r="U1315">
        <v>2849879518.6300001</v>
      </c>
      <c r="V1315">
        <v>0.15053900000000001</v>
      </c>
      <c r="W1315">
        <v>0.15053900000000001</v>
      </c>
      <c r="Y1315" t="s">
        <v>0</v>
      </c>
      <c r="Z1315">
        <v>6250</v>
      </c>
      <c r="AA1315">
        <v>144</v>
      </c>
      <c r="AB1315">
        <v>7</v>
      </c>
      <c r="AC1315">
        <v>0</v>
      </c>
      <c r="AD1315">
        <v>40213419</v>
      </c>
      <c r="AE1315">
        <v>89730.95</v>
      </c>
      <c r="AF1315">
        <v>40123688.049999997</v>
      </c>
      <c r="AG1315">
        <v>40123688.049999997</v>
      </c>
      <c r="AH1315">
        <v>0</v>
      </c>
      <c r="AI1315">
        <v>0</v>
      </c>
    </row>
    <row r="1316" spans="13:35" x14ac:dyDescent="0.35">
      <c r="M1316" t="s">
        <v>3</v>
      </c>
      <c r="N1316">
        <v>6500</v>
      </c>
      <c r="O1316">
        <v>42</v>
      </c>
      <c r="P1316">
        <v>24</v>
      </c>
      <c r="Q1316">
        <v>0</v>
      </c>
      <c r="R1316">
        <v>618064466</v>
      </c>
      <c r="S1316">
        <v>727861.57</v>
      </c>
      <c r="T1316">
        <v>617336604.42999995</v>
      </c>
      <c r="U1316">
        <v>617336604.42999995</v>
      </c>
      <c r="V1316">
        <v>0</v>
      </c>
      <c r="W1316">
        <v>0</v>
      </c>
      <c r="Y1316" t="s">
        <v>3</v>
      </c>
      <c r="Z1316">
        <v>4750</v>
      </c>
      <c r="AA1316">
        <v>54</v>
      </c>
      <c r="AB1316">
        <v>2</v>
      </c>
      <c r="AC1316">
        <v>0</v>
      </c>
      <c r="AD1316">
        <v>41170949</v>
      </c>
      <c r="AE1316">
        <v>67440.3</v>
      </c>
      <c r="AF1316">
        <v>41103508.700000003</v>
      </c>
      <c r="AG1316">
        <v>41103508.700000003</v>
      </c>
      <c r="AH1316">
        <v>0</v>
      </c>
      <c r="AI1316">
        <v>0</v>
      </c>
    </row>
    <row r="1317" spans="13:35" x14ac:dyDescent="0.35">
      <c r="M1317" t="s">
        <v>3</v>
      </c>
      <c r="N1317">
        <v>6000</v>
      </c>
      <c r="O1317">
        <v>42</v>
      </c>
      <c r="P1317">
        <v>43</v>
      </c>
      <c r="Q1317">
        <v>0</v>
      </c>
      <c r="R1317">
        <v>1058850260</v>
      </c>
      <c r="S1317">
        <v>1358543.27</v>
      </c>
      <c r="T1317">
        <v>1057491716.73</v>
      </c>
      <c r="U1317">
        <v>1057491716.73</v>
      </c>
      <c r="V1317">
        <v>0</v>
      </c>
      <c r="W1317">
        <v>0</v>
      </c>
      <c r="Y1317" t="s">
        <v>3</v>
      </c>
      <c r="Z1317">
        <v>4500</v>
      </c>
      <c r="AA1317">
        <v>48</v>
      </c>
      <c r="AB1317">
        <v>25</v>
      </c>
      <c r="AC1317">
        <v>0</v>
      </c>
      <c r="AD1317">
        <v>572108654</v>
      </c>
      <c r="AE1317">
        <v>962236.83</v>
      </c>
      <c r="AF1317">
        <v>571146417.16999996</v>
      </c>
      <c r="AG1317">
        <v>571146417.16999996</v>
      </c>
      <c r="AH1317">
        <v>0</v>
      </c>
      <c r="AI1317">
        <v>0</v>
      </c>
    </row>
    <row r="1318" spans="13:35" x14ac:dyDescent="0.35">
      <c r="M1318" t="s">
        <v>3</v>
      </c>
      <c r="N1318">
        <v>6500</v>
      </c>
      <c r="O1318">
        <v>48</v>
      </c>
      <c r="P1318">
        <v>3</v>
      </c>
      <c r="Q1318">
        <v>0</v>
      </c>
      <c r="R1318">
        <v>41184666</v>
      </c>
      <c r="S1318">
        <v>49188.01</v>
      </c>
      <c r="T1318">
        <v>41135477.990000002</v>
      </c>
      <c r="U1318">
        <v>41135477.990000002</v>
      </c>
      <c r="V1318">
        <v>0</v>
      </c>
      <c r="W1318">
        <v>0</v>
      </c>
      <c r="Y1318" t="s">
        <v>0</v>
      </c>
      <c r="Z1318">
        <v>6750</v>
      </c>
      <c r="AA1318">
        <v>48</v>
      </c>
      <c r="AB1318">
        <v>848</v>
      </c>
      <c r="AC1318">
        <v>0</v>
      </c>
      <c r="AD1318">
        <v>19933328193</v>
      </c>
      <c r="AE1318">
        <v>23119143.649999999</v>
      </c>
      <c r="AF1318">
        <v>19473935490.48</v>
      </c>
      <c r="AG1318">
        <v>19775815543.619999</v>
      </c>
      <c r="AH1318">
        <v>0.23322100000000001</v>
      </c>
      <c r="AI1318">
        <v>7.7972E-2</v>
      </c>
    </row>
    <row r="1319" spans="13:35" x14ac:dyDescent="0.35">
      <c r="M1319" t="s">
        <v>3</v>
      </c>
      <c r="N1319">
        <v>5750</v>
      </c>
      <c r="O1319">
        <v>42</v>
      </c>
      <c r="P1319">
        <v>62</v>
      </c>
      <c r="Q1319">
        <v>0</v>
      </c>
      <c r="R1319">
        <v>1477703163</v>
      </c>
      <c r="S1319">
        <v>1986119.1</v>
      </c>
      <c r="T1319">
        <v>1464387960.75</v>
      </c>
      <c r="U1319">
        <v>1475717043.9000001</v>
      </c>
      <c r="V1319">
        <v>8.8218000000000005E-2</v>
      </c>
      <c r="W1319">
        <v>0</v>
      </c>
      <c r="Y1319" t="s">
        <v>2</v>
      </c>
      <c r="Z1319">
        <v>6750</v>
      </c>
      <c r="AA1319">
        <v>48</v>
      </c>
      <c r="AB1319">
        <v>21</v>
      </c>
      <c r="AC1319">
        <v>0</v>
      </c>
      <c r="AD1319">
        <v>259466112</v>
      </c>
      <c r="AE1319">
        <v>300634</v>
      </c>
      <c r="AF1319">
        <v>259165478</v>
      </c>
      <c r="AG1319">
        <v>259165478</v>
      </c>
      <c r="AH1319">
        <v>0</v>
      </c>
      <c r="AI1319">
        <v>0</v>
      </c>
    </row>
    <row r="1320" spans="13:35" x14ac:dyDescent="0.35">
      <c r="M1320" t="s">
        <v>3</v>
      </c>
      <c r="N1320">
        <v>6250</v>
      </c>
      <c r="O1320">
        <v>48</v>
      </c>
      <c r="P1320">
        <v>21</v>
      </c>
      <c r="Q1320">
        <v>0</v>
      </c>
      <c r="R1320">
        <v>470403686</v>
      </c>
      <c r="S1320">
        <v>590151.59</v>
      </c>
      <c r="T1320">
        <v>469813534.41000003</v>
      </c>
      <c r="U1320">
        <v>469813534.41000003</v>
      </c>
      <c r="V1320">
        <v>0</v>
      </c>
      <c r="W1320">
        <v>0</v>
      </c>
      <c r="Y1320" t="s">
        <v>3</v>
      </c>
      <c r="Z1320">
        <v>6250</v>
      </c>
      <c r="AA1320">
        <v>42</v>
      </c>
      <c r="AB1320">
        <v>112</v>
      </c>
      <c r="AC1320">
        <v>0</v>
      </c>
      <c r="AD1320">
        <v>2686889123</v>
      </c>
      <c r="AE1320">
        <v>3284505.67</v>
      </c>
      <c r="AF1320">
        <v>2601475449.0799999</v>
      </c>
      <c r="AG1320">
        <v>2683604617.3299999</v>
      </c>
      <c r="AH1320">
        <v>0.311006</v>
      </c>
      <c r="AI1320">
        <v>0</v>
      </c>
    </row>
    <row r="1321" spans="13:35" x14ac:dyDescent="0.35">
      <c r="M1321" t="s">
        <v>3</v>
      </c>
      <c r="N1321">
        <v>5500</v>
      </c>
      <c r="O1321">
        <v>48</v>
      </c>
      <c r="P1321">
        <v>64</v>
      </c>
      <c r="Q1321">
        <v>0</v>
      </c>
      <c r="R1321">
        <v>1496000105</v>
      </c>
      <c r="S1321">
        <v>2135445.88</v>
      </c>
      <c r="T1321">
        <v>1493864659.1199999</v>
      </c>
      <c r="U1321">
        <v>1493864659.1199999</v>
      </c>
      <c r="V1321">
        <v>0</v>
      </c>
      <c r="W1321">
        <v>0</v>
      </c>
      <c r="Y1321" t="s">
        <v>3</v>
      </c>
      <c r="Z1321">
        <v>6250</v>
      </c>
      <c r="AA1321">
        <v>36</v>
      </c>
      <c r="AB1321">
        <v>66</v>
      </c>
      <c r="AC1321">
        <v>0</v>
      </c>
      <c r="AD1321">
        <v>1620800569</v>
      </c>
      <c r="AE1321">
        <v>1921851.05</v>
      </c>
      <c r="AF1321">
        <v>1618878717.95</v>
      </c>
      <c r="AG1321">
        <v>1618878717.95</v>
      </c>
      <c r="AH1321">
        <v>0</v>
      </c>
      <c r="AI1321">
        <v>0</v>
      </c>
    </row>
    <row r="1322" spans="13:35" x14ac:dyDescent="0.35">
      <c r="M1322" t="s">
        <v>3</v>
      </c>
      <c r="N1322">
        <v>6000</v>
      </c>
      <c r="O1322">
        <v>48</v>
      </c>
      <c r="P1322">
        <v>18</v>
      </c>
      <c r="Q1322">
        <v>0</v>
      </c>
      <c r="R1322">
        <v>375024834</v>
      </c>
      <c r="S1322">
        <v>493114.17</v>
      </c>
      <c r="T1322">
        <v>374531719.82999998</v>
      </c>
      <c r="U1322">
        <v>374531719.82999998</v>
      </c>
      <c r="V1322">
        <v>0</v>
      </c>
      <c r="W1322">
        <v>0</v>
      </c>
      <c r="Y1322" t="s">
        <v>3</v>
      </c>
      <c r="Z1322">
        <v>6500</v>
      </c>
      <c r="AA1322">
        <v>42</v>
      </c>
      <c r="AB1322">
        <v>25</v>
      </c>
      <c r="AC1322">
        <v>0</v>
      </c>
      <c r="AD1322">
        <v>640920828</v>
      </c>
      <c r="AE1322">
        <v>750619.53</v>
      </c>
      <c r="AF1322">
        <v>640170208.47000003</v>
      </c>
      <c r="AG1322">
        <v>640170208.47000003</v>
      </c>
      <c r="AH1322">
        <v>0</v>
      </c>
      <c r="AI1322">
        <v>0</v>
      </c>
    </row>
    <row r="1323" spans="13:35" x14ac:dyDescent="0.35">
      <c r="M1323" t="s">
        <v>1</v>
      </c>
      <c r="N1323">
        <v>6750</v>
      </c>
      <c r="O1323">
        <v>48</v>
      </c>
      <c r="P1323">
        <v>135</v>
      </c>
      <c r="Q1323">
        <v>0</v>
      </c>
      <c r="R1323">
        <v>3148967148</v>
      </c>
      <c r="S1323">
        <v>3681883.48</v>
      </c>
      <c r="T1323">
        <v>3084717790.75</v>
      </c>
      <c r="U1323">
        <v>3130745114.3600001</v>
      </c>
      <c r="V1323">
        <v>0.20789199999999999</v>
      </c>
      <c r="W1323">
        <v>5.4023000000000002E-2</v>
      </c>
      <c r="Y1323" t="s">
        <v>3</v>
      </c>
      <c r="Z1323">
        <v>6000</v>
      </c>
      <c r="AA1323">
        <v>42</v>
      </c>
      <c r="AB1323">
        <v>42</v>
      </c>
      <c r="AC1323">
        <v>0</v>
      </c>
      <c r="AD1323">
        <v>1001237022</v>
      </c>
      <c r="AE1323">
        <v>1283972.1399999999</v>
      </c>
      <c r="AF1323">
        <v>999953049.86000001</v>
      </c>
      <c r="AG1323">
        <v>999953049.86000001</v>
      </c>
      <c r="AH1323">
        <v>0</v>
      </c>
      <c r="AI1323">
        <v>0</v>
      </c>
    </row>
    <row r="1324" spans="13:35" x14ac:dyDescent="0.35">
      <c r="M1324" t="s">
        <v>2</v>
      </c>
      <c r="N1324">
        <v>5750</v>
      </c>
      <c r="O1324">
        <v>54</v>
      </c>
      <c r="P1324">
        <v>3</v>
      </c>
      <c r="Q1324">
        <v>0</v>
      </c>
      <c r="R1324">
        <v>37898488</v>
      </c>
      <c r="S1324">
        <v>54307.88</v>
      </c>
      <c r="T1324">
        <v>37844180.119999997</v>
      </c>
      <c r="U1324">
        <v>37844180.119999997</v>
      </c>
      <c r="V1324">
        <v>0</v>
      </c>
      <c r="W1324">
        <v>0</v>
      </c>
      <c r="Y1324" t="s">
        <v>3</v>
      </c>
      <c r="Z1324">
        <v>5750</v>
      </c>
      <c r="AA1324">
        <v>42</v>
      </c>
      <c r="AB1324">
        <v>90</v>
      </c>
      <c r="AC1324">
        <v>0</v>
      </c>
      <c r="AD1324">
        <v>2065254436</v>
      </c>
      <c r="AE1324">
        <v>2789236.45</v>
      </c>
      <c r="AF1324">
        <v>2062465199.55</v>
      </c>
      <c r="AG1324">
        <v>2062465199.55</v>
      </c>
      <c r="AH1324">
        <v>0</v>
      </c>
      <c r="AI1324">
        <v>0</v>
      </c>
    </row>
    <row r="1325" spans="13:35" x14ac:dyDescent="0.35">
      <c r="M1325" t="s">
        <v>3</v>
      </c>
      <c r="N1325">
        <v>5750</v>
      </c>
      <c r="O1325">
        <v>48</v>
      </c>
      <c r="P1325">
        <v>123</v>
      </c>
      <c r="Q1325">
        <v>0</v>
      </c>
      <c r="R1325">
        <v>2660337414</v>
      </c>
      <c r="S1325">
        <v>3681194.37</v>
      </c>
      <c r="T1325">
        <v>2633153201.3600001</v>
      </c>
      <c r="U1325">
        <v>2656656219.6300001</v>
      </c>
      <c r="V1325">
        <v>0.10101300000000001</v>
      </c>
      <c r="W1325">
        <v>0</v>
      </c>
      <c r="Y1325" t="s">
        <v>3</v>
      </c>
      <c r="Z1325">
        <v>5500</v>
      </c>
      <c r="AA1325">
        <v>48</v>
      </c>
      <c r="AB1325">
        <v>44</v>
      </c>
      <c r="AC1325">
        <v>0</v>
      </c>
      <c r="AD1325">
        <v>1055742896</v>
      </c>
      <c r="AE1325">
        <v>1501814.58</v>
      </c>
      <c r="AF1325">
        <v>1054241081.42</v>
      </c>
      <c r="AG1325">
        <v>1054241081.42</v>
      </c>
      <c r="AH1325">
        <v>0</v>
      </c>
      <c r="AI1325">
        <v>0</v>
      </c>
    </row>
    <row r="1326" spans="13:35" x14ac:dyDescent="0.35">
      <c r="M1326" t="s">
        <v>3</v>
      </c>
      <c r="N1326">
        <v>5750</v>
      </c>
      <c r="O1326">
        <v>54</v>
      </c>
      <c r="P1326">
        <v>1</v>
      </c>
      <c r="Q1326">
        <v>0</v>
      </c>
      <c r="R1326">
        <v>14942219</v>
      </c>
      <c r="S1326">
        <v>21341.53</v>
      </c>
      <c r="T1326">
        <v>14920877.470000001</v>
      </c>
      <c r="U1326">
        <v>14920877.470000001</v>
      </c>
      <c r="V1326">
        <v>0</v>
      </c>
      <c r="W1326">
        <v>0</v>
      </c>
      <c r="Y1326" t="s">
        <v>3</v>
      </c>
      <c r="Z1326">
        <v>6000</v>
      </c>
      <c r="AA1326">
        <v>48</v>
      </c>
      <c r="AB1326">
        <v>10</v>
      </c>
      <c r="AC1326">
        <v>0</v>
      </c>
      <c r="AD1326">
        <v>215925380</v>
      </c>
      <c r="AE1326">
        <v>283785.78999999998</v>
      </c>
      <c r="AF1326">
        <v>215641594.21000001</v>
      </c>
      <c r="AG1326">
        <v>215641594.21000001</v>
      </c>
      <c r="AH1326">
        <v>0</v>
      </c>
      <c r="AI1326">
        <v>0</v>
      </c>
    </row>
    <row r="1327" spans="13:35" x14ac:dyDescent="0.35">
      <c r="M1327" t="s">
        <v>0</v>
      </c>
      <c r="N1327">
        <v>7250</v>
      </c>
      <c r="O1327">
        <v>48</v>
      </c>
      <c r="P1327">
        <v>128</v>
      </c>
      <c r="Q1327">
        <v>0</v>
      </c>
      <c r="R1327">
        <v>3137518927</v>
      </c>
      <c r="S1327">
        <v>3343754.53</v>
      </c>
      <c r="T1327">
        <v>3090242851.9200001</v>
      </c>
      <c r="U1327">
        <v>3090242851.9200001</v>
      </c>
      <c r="V1327">
        <v>0.155672</v>
      </c>
      <c r="W1327">
        <v>0.155672</v>
      </c>
      <c r="Y1327" t="s">
        <v>3</v>
      </c>
      <c r="Z1327">
        <v>6250</v>
      </c>
      <c r="AA1327">
        <v>48</v>
      </c>
      <c r="AB1327">
        <v>12</v>
      </c>
      <c r="AC1327">
        <v>0</v>
      </c>
      <c r="AD1327">
        <v>327052483</v>
      </c>
      <c r="AE1327">
        <v>407352.54</v>
      </c>
      <c r="AF1327">
        <v>326645130.45999998</v>
      </c>
      <c r="AG1327">
        <v>326645130.45999998</v>
      </c>
      <c r="AH1327">
        <v>0</v>
      </c>
      <c r="AI1327">
        <v>0</v>
      </c>
    </row>
    <row r="1328" spans="13:35" x14ac:dyDescent="0.35">
      <c r="M1328" t="s">
        <v>1</v>
      </c>
      <c r="N1328">
        <v>7000</v>
      </c>
      <c r="O1328">
        <v>48</v>
      </c>
      <c r="P1328">
        <v>2</v>
      </c>
      <c r="Q1328">
        <v>0</v>
      </c>
      <c r="R1328">
        <v>41400829</v>
      </c>
      <c r="S1328">
        <v>45972.77</v>
      </c>
      <c r="T1328">
        <v>41354856.229999997</v>
      </c>
      <c r="U1328">
        <v>41354856.229999997</v>
      </c>
      <c r="V1328">
        <v>0</v>
      </c>
      <c r="W1328">
        <v>0</v>
      </c>
      <c r="Y1328" t="s">
        <v>2</v>
      </c>
      <c r="Z1328">
        <v>3750</v>
      </c>
      <c r="AA1328">
        <v>42</v>
      </c>
      <c r="AB1328">
        <v>72</v>
      </c>
      <c r="AC1328">
        <v>0</v>
      </c>
      <c r="AD1328">
        <v>1246839147</v>
      </c>
      <c r="AE1328">
        <v>2387188.2200000002</v>
      </c>
      <c r="AF1328">
        <v>1244451958.78</v>
      </c>
      <c r="AG1328">
        <v>1244451958.78</v>
      </c>
      <c r="AH1328">
        <v>0</v>
      </c>
      <c r="AI1328">
        <v>0</v>
      </c>
    </row>
    <row r="1329" spans="13:35" x14ac:dyDescent="0.35">
      <c r="M1329" t="s">
        <v>1</v>
      </c>
      <c r="N1329">
        <v>7250</v>
      </c>
      <c r="O1329">
        <v>48</v>
      </c>
      <c r="P1329">
        <v>3</v>
      </c>
      <c r="Q1329">
        <v>0</v>
      </c>
      <c r="R1329">
        <v>40118214</v>
      </c>
      <c r="S1329">
        <v>43063.56</v>
      </c>
      <c r="T1329">
        <v>40075150.439999998</v>
      </c>
      <c r="U1329">
        <v>40075150.439999998</v>
      </c>
      <c r="V1329">
        <v>0</v>
      </c>
      <c r="W1329">
        <v>0</v>
      </c>
      <c r="Y1329" t="s">
        <v>1</v>
      </c>
      <c r="Z1329">
        <v>3500</v>
      </c>
      <c r="AA1329">
        <v>42</v>
      </c>
      <c r="AB1329">
        <v>256</v>
      </c>
      <c r="AC1329">
        <v>0</v>
      </c>
      <c r="AD1329">
        <v>9932953145</v>
      </c>
      <c r="AE1329">
        <v>19251337.850000001</v>
      </c>
      <c r="AF1329">
        <v>9894566425.2900009</v>
      </c>
      <c r="AG1329">
        <v>9894566425.2900009</v>
      </c>
      <c r="AH1329">
        <v>2.2873999999999999E-2</v>
      </c>
      <c r="AI1329">
        <v>2.2873999999999999E-2</v>
      </c>
    </row>
    <row r="1330" spans="13:35" x14ac:dyDescent="0.35">
      <c r="M1330" t="s">
        <v>0</v>
      </c>
      <c r="N1330">
        <v>2500</v>
      </c>
      <c r="O1330">
        <v>48</v>
      </c>
      <c r="P1330">
        <v>384</v>
      </c>
      <c r="Q1330">
        <v>0</v>
      </c>
      <c r="R1330">
        <v>10712799661</v>
      </c>
      <c r="S1330">
        <v>24507233.739999998</v>
      </c>
      <c r="T1330">
        <v>10634328067.09</v>
      </c>
      <c r="U1330">
        <v>10678219611.219999</v>
      </c>
      <c r="V1330">
        <v>5.8802E-2</v>
      </c>
      <c r="W1330">
        <v>1.1225000000000001E-2</v>
      </c>
      <c r="Y1330" t="s">
        <v>3</v>
      </c>
      <c r="Z1330">
        <v>5750</v>
      </c>
      <c r="AA1330">
        <v>48</v>
      </c>
      <c r="AB1330">
        <v>89</v>
      </c>
      <c r="AC1330">
        <v>0</v>
      </c>
      <c r="AD1330">
        <v>1879163244</v>
      </c>
      <c r="AE1330">
        <v>2592895.1</v>
      </c>
      <c r="AF1330">
        <v>1863027715.74</v>
      </c>
      <c r="AG1330">
        <v>1876570348.9000001</v>
      </c>
      <c r="AH1330">
        <v>8.3134E-2</v>
      </c>
      <c r="AI1330">
        <v>0</v>
      </c>
    </row>
    <row r="1331" spans="13:35" x14ac:dyDescent="0.35">
      <c r="M1331" t="s">
        <v>1</v>
      </c>
      <c r="N1331">
        <v>5750</v>
      </c>
      <c r="O1331">
        <v>54</v>
      </c>
      <c r="P1331">
        <v>13</v>
      </c>
      <c r="Q1331">
        <v>0</v>
      </c>
      <c r="R1331">
        <v>314192633</v>
      </c>
      <c r="S1331">
        <v>441452.96</v>
      </c>
      <c r="T1331">
        <v>313751180.04000002</v>
      </c>
      <c r="U1331">
        <v>313751180.04000002</v>
      </c>
      <c r="V1331">
        <v>0</v>
      </c>
      <c r="W1331">
        <v>0</v>
      </c>
      <c r="Y1331" t="s">
        <v>0</v>
      </c>
      <c r="Z1331">
        <v>3500</v>
      </c>
      <c r="AA1331">
        <v>42</v>
      </c>
      <c r="AB1331">
        <v>246</v>
      </c>
      <c r="AC1331">
        <v>0</v>
      </c>
      <c r="AD1331">
        <v>6149400365</v>
      </c>
      <c r="AE1331">
        <v>11793228.93</v>
      </c>
      <c r="AF1331">
        <v>6137607136.0699997</v>
      </c>
      <c r="AG1331">
        <v>6137607136.0699997</v>
      </c>
      <c r="AH1331">
        <v>0</v>
      </c>
      <c r="AI1331">
        <v>0</v>
      </c>
    </row>
    <row r="1332" spans="13:35" x14ac:dyDescent="0.35">
      <c r="M1332" t="s">
        <v>2</v>
      </c>
      <c r="N1332">
        <v>7000</v>
      </c>
      <c r="O1332">
        <v>48</v>
      </c>
      <c r="P1332">
        <v>1</v>
      </c>
      <c r="Q1332">
        <v>0</v>
      </c>
      <c r="R1332">
        <v>18349637</v>
      </c>
      <c r="S1332">
        <v>20688.43</v>
      </c>
      <c r="T1332">
        <v>18328948.57</v>
      </c>
      <c r="U1332">
        <v>18328948.57</v>
      </c>
      <c r="V1332">
        <v>0</v>
      </c>
      <c r="W1332">
        <v>0</v>
      </c>
      <c r="Y1332" t="s">
        <v>1</v>
      </c>
      <c r="Z1332">
        <v>6750</v>
      </c>
      <c r="AA1332">
        <v>48</v>
      </c>
      <c r="AB1332">
        <v>51</v>
      </c>
      <c r="AC1332">
        <v>0</v>
      </c>
      <c r="AD1332">
        <v>1187056422</v>
      </c>
      <c r="AE1332">
        <v>1386811.32</v>
      </c>
      <c r="AF1332">
        <v>1124459197.28</v>
      </c>
      <c r="AG1332">
        <v>1185669610.6800001</v>
      </c>
      <c r="AH1332">
        <v>0.470225</v>
      </c>
      <c r="AI1332">
        <v>0</v>
      </c>
    </row>
    <row r="1333" spans="13:35" x14ac:dyDescent="0.35">
      <c r="M1333" t="s">
        <v>0</v>
      </c>
      <c r="N1333">
        <v>2500</v>
      </c>
      <c r="O1333">
        <v>42</v>
      </c>
      <c r="P1333">
        <v>3</v>
      </c>
      <c r="Q1333">
        <v>0</v>
      </c>
      <c r="R1333">
        <v>66490283</v>
      </c>
      <c r="S1333">
        <v>147141.28</v>
      </c>
      <c r="T1333">
        <v>66343141.719999999</v>
      </c>
      <c r="U1333">
        <v>66343141.719999999</v>
      </c>
      <c r="V1333">
        <v>0</v>
      </c>
      <c r="W1333">
        <v>0</v>
      </c>
      <c r="Y1333" t="s">
        <v>0</v>
      </c>
      <c r="Z1333">
        <v>7250</v>
      </c>
      <c r="AA1333">
        <v>48</v>
      </c>
      <c r="AB1333">
        <v>49</v>
      </c>
      <c r="AC1333">
        <v>0</v>
      </c>
      <c r="AD1333">
        <v>1230606277</v>
      </c>
      <c r="AE1333">
        <v>1304629.73</v>
      </c>
      <c r="AF1333">
        <v>1168472607.75</v>
      </c>
      <c r="AG1333">
        <v>1181620870.02</v>
      </c>
      <c r="AH1333">
        <v>0.455737</v>
      </c>
      <c r="AI1333">
        <v>0.37761499999999998</v>
      </c>
    </row>
    <row r="1334" spans="13:35" x14ac:dyDescent="0.35">
      <c r="M1334" t="s">
        <v>0</v>
      </c>
      <c r="N1334">
        <v>3250</v>
      </c>
      <c r="O1334">
        <v>42</v>
      </c>
      <c r="P1334">
        <v>222</v>
      </c>
      <c r="Q1334">
        <v>0</v>
      </c>
      <c r="R1334">
        <v>4513642548</v>
      </c>
      <c r="S1334">
        <v>8979641.8200000003</v>
      </c>
      <c r="T1334">
        <v>4464246799</v>
      </c>
      <c r="U1334">
        <v>4490949074.1199999</v>
      </c>
      <c r="V1334">
        <v>0.102314</v>
      </c>
      <c r="W1334">
        <v>3.5857E-2</v>
      </c>
      <c r="Y1334" t="s">
        <v>1</v>
      </c>
      <c r="Z1334">
        <v>7000</v>
      </c>
      <c r="AA1334">
        <v>48</v>
      </c>
      <c r="AB1334">
        <v>1</v>
      </c>
      <c r="AC1334">
        <v>0</v>
      </c>
      <c r="AD1334">
        <v>24553793</v>
      </c>
      <c r="AE1334">
        <v>26920.62</v>
      </c>
      <c r="AF1334">
        <v>24526872.379999999</v>
      </c>
      <c r="AG1334">
        <v>24526872.379999999</v>
      </c>
      <c r="AH1334">
        <v>0</v>
      </c>
      <c r="AI1334">
        <v>0</v>
      </c>
    </row>
    <row r="1335" spans="13:35" x14ac:dyDescent="0.35">
      <c r="M1335" t="s">
        <v>2</v>
      </c>
      <c r="N1335">
        <v>7750</v>
      </c>
      <c r="O1335">
        <v>42</v>
      </c>
      <c r="P1335">
        <v>100</v>
      </c>
      <c r="Q1335">
        <v>0</v>
      </c>
      <c r="R1335">
        <v>1297364239</v>
      </c>
      <c r="S1335">
        <v>1238078.21</v>
      </c>
      <c r="T1335">
        <v>1255482012.7</v>
      </c>
      <c r="U1335">
        <v>1264894392.1800001</v>
      </c>
      <c r="V1335">
        <v>0.31747300000000001</v>
      </c>
      <c r="W1335">
        <v>0.25353999999999999</v>
      </c>
      <c r="Y1335" t="s">
        <v>1</v>
      </c>
      <c r="Z1335">
        <v>3750</v>
      </c>
      <c r="AA1335">
        <v>42</v>
      </c>
      <c r="AB1335">
        <v>825</v>
      </c>
      <c r="AC1335">
        <v>0</v>
      </c>
      <c r="AD1335">
        <v>30342920921</v>
      </c>
      <c r="AE1335">
        <v>56135364.409999996</v>
      </c>
      <c r="AF1335">
        <v>30108913475.259998</v>
      </c>
      <c r="AG1335">
        <v>30237627295.18</v>
      </c>
      <c r="AH1335">
        <v>6.812E-2</v>
      </c>
      <c r="AI1335">
        <v>1.9269000000000001E-2</v>
      </c>
    </row>
    <row r="1336" spans="13:35" x14ac:dyDescent="0.35">
      <c r="M1336" t="s">
        <v>1</v>
      </c>
      <c r="N1336">
        <v>6500</v>
      </c>
      <c r="O1336">
        <v>7</v>
      </c>
      <c r="P1336">
        <v>5928</v>
      </c>
      <c r="Q1336">
        <v>0</v>
      </c>
      <c r="R1336">
        <v>214779552535</v>
      </c>
      <c r="S1336">
        <v>204654462.90000001</v>
      </c>
      <c r="T1336">
        <v>174600108615.38</v>
      </c>
      <c r="U1336">
        <v>214418212216.17001</v>
      </c>
      <c r="V1336">
        <v>0.91552599999999995</v>
      </c>
      <c r="W1336">
        <v>8.7189999999999993E-3</v>
      </c>
      <c r="Y1336" t="s">
        <v>0</v>
      </c>
      <c r="Z1336">
        <v>6250</v>
      </c>
      <c r="AA1336">
        <v>108</v>
      </c>
      <c r="AB1336">
        <v>72</v>
      </c>
      <c r="AC1336">
        <v>0</v>
      </c>
      <c r="AD1336">
        <v>861131426</v>
      </c>
      <c r="AE1336">
        <v>1586207.62</v>
      </c>
      <c r="AF1336">
        <v>859545218.38</v>
      </c>
      <c r="AG1336">
        <v>859545218.38</v>
      </c>
      <c r="AH1336">
        <v>0</v>
      </c>
      <c r="AI1336">
        <v>0</v>
      </c>
    </row>
    <row r="1337" spans="13:35" x14ac:dyDescent="0.35">
      <c r="M1337" t="s">
        <v>0</v>
      </c>
      <c r="N1337">
        <v>8250</v>
      </c>
      <c r="O1337">
        <v>42</v>
      </c>
      <c r="P1337">
        <v>30</v>
      </c>
      <c r="Q1337">
        <v>0</v>
      </c>
      <c r="R1337">
        <v>668936405</v>
      </c>
      <c r="S1337">
        <v>580165.64</v>
      </c>
      <c r="T1337">
        <v>668356239.36000001</v>
      </c>
      <c r="U1337">
        <v>668356239.36000001</v>
      </c>
      <c r="V1337">
        <v>0</v>
      </c>
      <c r="W1337">
        <v>0</v>
      </c>
      <c r="Y1337" t="s">
        <v>0</v>
      </c>
      <c r="Z1337">
        <v>3000</v>
      </c>
      <c r="AA1337">
        <v>42</v>
      </c>
      <c r="AB1337">
        <v>199</v>
      </c>
      <c r="AC1337">
        <v>0</v>
      </c>
      <c r="AD1337">
        <v>4450414391</v>
      </c>
      <c r="AE1337">
        <v>9213524.9900000002</v>
      </c>
      <c r="AF1337">
        <v>4441200866.0100002</v>
      </c>
      <c r="AG1337">
        <v>4441200866.0100002</v>
      </c>
      <c r="AH1337">
        <v>0</v>
      </c>
      <c r="AI1337">
        <v>0</v>
      </c>
    </row>
    <row r="1338" spans="13:35" x14ac:dyDescent="0.35">
      <c r="M1338" t="s">
        <v>3</v>
      </c>
      <c r="N1338">
        <v>7000</v>
      </c>
      <c r="O1338">
        <v>42</v>
      </c>
      <c r="P1338">
        <v>43</v>
      </c>
      <c r="Q1338">
        <v>0</v>
      </c>
      <c r="R1338">
        <v>972252291</v>
      </c>
      <c r="S1338">
        <v>1054695.5</v>
      </c>
      <c r="T1338">
        <v>935035165.75999999</v>
      </c>
      <c r="U1338">
        <v>971197595.5</v>
      </c>
      <c r="V1338">
        <v>0.365454</v>
      </c>
      <c r="W1338">
        <v>0</v>
      </c>
      <c r="Y1338" t="s">
        <v>2</v>
      </c>
      <c r="Z1338">
        <v>7000</v>
      </c>
      <c r="AA1338">
        <v>48</v>
      </c>
      <c r="AB1338">
        <v>1</v>
      </c>
      <c r="AC1338">
        <v>0</v>
      </c>
      <c r="AD1338">
        <v>18378737</v>
      </c>
      <c r="AE1338">
        <v>20580.13</v>
      </c>
      <c r="AF1338">
        <v>18358156.870000001</v>
      </c>
      <c r="AG1338">
        <v>18358156.870000001</v>
      </c>
      <c r="AH1338">
        <v>0</v>
      </c>
      <c r="AI1338">
        <v>0</v>
      </c>
    </row>
    <row r="1339" spans="13:35" x14ac:dyDescent="0.35">
      <c r="M1339" t="s">
        <v>3</v>
      </c>
      <c r="N1339">
        <v>6750</v>
      </c>
      <c r="O1339">
        <v>42</v>
      </c>
      <c r="P1339">
        <v>64</v>
      </c>
      <c r="Q1339">
        <v>0</v>
      </c>
      <c r="R1339">
        <v>1542843543</v>
      </c>
      <c r="S1339">
        <v>1742904.18</v>
      </c>
      <c r="T1339">
        <v>1541100638.8199999</v>
      </c>
      <c r="U1339">
        <v>1541100638.8199999</v>
      </c>
      <c r="V1339">
        <v>0</v>
      </c>
      <c r="W1339">
        <v>0</v>
      </c>
      <c r="Y1339" t="s">
        <v>0</v>
      </c>
      <c r="Z1339">
        <v>2500</v>
      </c>
      <c r="AA1339">
        <v>42</v>
      </c>
      <c r="AB1339">
        <v>5</v>
      </c>
      <c r="AC1339">
        <v>0</v>
      </c>
      <c r="AD1339">
        <v>105282775</v>
      </c>
      <c r="AE1339">
        <v>232641.01</v>
      </c>
      <c r="AF1339">
        <v>105050133.98999999</v>
      </c>
      <c r="AG1339">
        <v>105050133.98999999</v>
      </c>
      <c r="AH1339">
        <v>0</v>
      </c>
      <c r="AI1339">
        <v>0</v>
      </c>
    </row>
    <row r="1340" spans="13:35" x14ac:dyDescent="0.35">
      <c r="M1340" t="s">
        <v>3</v>
      </c>
      <c r="N1340">
        <v>5500</v>
      </c>
      <c r="O1340">
        <v>42</v>
      </c>
      <c r="P1340">
        <v>27</v>
      </c>
      <c r="Q1340">
        <v>0</v>
      </c>
      <c r="R1340">
        <v>580261912</v>
      </c>
      <c r="S1340">
        <v>812640.67</v>
      </c>
      <c r="T1340">
        <v>579449271.33000004</v>
      </c>
      <c r="U1340">
        <v>579449271.33000004</v>
      </c>
      <c r="V1340">
        <v>0</v>
      </c>
      <c r="W1340">
        <v>0</v>
      </c>
      <c r="Y1340" t="s">
        <v>0</v>
      </c>
      <c r="Z1340">
        <v>3250</v>
      </c>
      <c r="AA1340">
        <v>42</v>
      </c>
      <c r="AB1340">
        <v>338</v>
      </c>
      <c r="AC1340">
        <v>0</v>
      </c>
      <c r="AD1340">
        <v>6687275277</v>
      </c>
      <c r="AE1340">
        <v>13301847.369999999</v>
      </c>
      <c r="AF1340">
        <v>6647786865.1300001</v>
      </c>
      <c r="AG1340">
        <v>6673973429.6300001</v>
      </c>
      <c r="AH1340">
        <v>4.5991999999999998E-2</v>
      </c>
      <c r="AI1340">
        <v>0</v>
      </c>
    </row>
    <row r="1341" spans="13:35" x14ac:dyDescent="0.35">
      <c r="M1341" t="s">
        <v>2</v>
      </c>
      <c r="N1341">
        <v>7250</v>
      </c>
      <c r="O1341">
        <v>48</v>
      </c>
      <c r="P1341">
        <v>1</v>
      </c>
      <c r="Q1341">
        <v>0</v>
      </c>
      <c r="R1341">
        <v>16966087</v>
      </c>
      <c r="S1341">
        <v>17955.29</v>
      </c>
      <c r="T1341">
        <v>16948131.710000001</v>
      </c>
      <c r="U1341">
        <v>16948131.710000001</v>
      </c>
      <c r="V1341">
        <v>0</v>
      </c>
      <c r="W1341">
        <v>0</v>
      </c>
      <c r="Y1341" t="s">
        <v>2</v>
      </c>
      <c r="Z1341">
        <v>7750</v>
      </c>
      <c r="AA1341">
        <v>42</v>
      </c>
      <c r="AB1341">
        <v>97</v>
      </c>
      <c r="AC1341">
        <v>0</v>
      </c>
      <c r="AD1341">
        <v>1245643417</v>
      </c>
      <c r="AE1341">
        <v>1180970.2</v>
      </c>
      <c r="AF1341">
        <v>1213611342.22</v>
      </c>
      <c r="AG1341">
        <v>1233927508.6500001</v>
      </c>
      <c r="AH1341">
        <v>0.259884</v>
      </c>
      <c r="AI1341">
        <v>9.6898999999999999E-2</v>
      </c>
    </row>
    <row r="1342" spans="13:35" x14ac:dyDescent="0.35">
      <c r="M1342" t="s">
        <v>3</v>
      </c>
      <c r="N1342">
        <v>4750</v>
      </c>
      <c r="O1342">
        <v>42</v>
      </c>
      <c r="P1342">
        <v>12</v>
      </c>
      <c r="Q1342">
        <v>0</v>
      </c>
      <c r="R1342">
        <v>255894323</v>
      </c>
      <c r="S1342">
        <v>403522.21</v>
      </c>
      <c r="T1342">
        <v>255490800.78999999</v>
      </c>
      <c r="U1342">
        <v>255490800.78999999</v>
      </c>
      <c r="V1342">
        <v>0</v>
      </c>
      <c r="W1342">
        <v>0</v>
      </c>
      <c r="Y1342" t="s">
        <v>1</v>
      </c>
      <c r="Z1342">
        <v>6500</v>
      </c>
      <c r="AA1342">
        <v>6</v>
      </c>
      <c r="AB1342">
        <v>5951</v>
      </c>
      <c r="AC1342">
        <v>0</v>
      </c>
      <c r="AD1342">
        <v>216894677536</v>
      </c>
      <c r="AE1342">
        <v>205369397.18000001</v>
      </c>
      <c r="AF1342">
        <v>215357207821.82999</v>
      </c>
      <c r="AG1342">
        <v>216547600395.38</v>
      </c>
      <c r="AH1342">
        <v>7.1261000000000005E-2</v>
      </c>
      <c r="AI1342">
        <v>7.8120000000000004E-3</v>
      </c>
    </row>
    <row r="1343" spans="13:35" x14ac:dyDescent="0.35">
      <c r="M1343" t="s">
        <v>3</v>
      </c>
      <c r="N1343">
        <v>5250</v>
      </c>
      <c r="O1343">
        <v>42</v>
      </c>
      <c r="P1343">
        <v>33</v>
      </c>
      <c r="Q1343">
        <v>0</v>
      </c>
      <c r="R1343">
        <v>974269113</v>
      </c>
      <c r="S1343">
        <v>1424568.38</v>
      </c>
      <c r="T1343">
        <v>972844544.62</v>
      </c>
      <c r="U1343">
        <v>972844544.62</v>
      </c>
      <c r="V1343">
        <v>0</v>
      </c>
      <c r="W1343">
        <v>0</v>
      </c>
      <c r="Y1343" t="s">
        <v>0</v>
      </c>
      <c r="Z1343">
        <v>8250</v>
      </c>
      <c r="AA1343">
        <v>42</v>
      </c>
      <c r="AB1343">
        <v>29</v>
      </c>
      <c r="AC1343">
        <v>0</v>
      </c>
      <c r="AD1343">
        <v>622338121</v>
      </c>
      <c r="AE1343">
        <v>536008.92000000004</v>
      </c>
      <c r="AF1343">
        <v>607692874.52999997</v>
      </c>
      <c r="AG1343">
        <v>621802112.08000004</v>
      </c>
      <c r="AH1343">
        <v>0.24057000000000001</v>
      </c>
      <c r="AI1343">
        <v>0</v>
      </c>
    </row>
    <row r="1344" spans="13:35" x14ac:dyDescent="0.35">
      <c r="M1344" t="s">
        <v>3</v>
      </c>
      <c r="N1344">
        <v>5000</v>
      </c>
      <c r="O1344">
        <v>42</v>
      </c>
      <c r="P1344">
        <v>6</v>
      </c>
      <c r="Q1344">
        <v>0</v>
      </c>
      <c r="R1344">
        <v>156291183</v>
      </c>
      <c r="S1344">
        <v>237512.98</v>
      </c>
      <c r="T1344">
        <v>156053670.02000001</v>
      </c>
      <c r="U1344">
        <v>156053670.02000001</v>
      </c>
      <c r="V1344">
        <v>0</v>
      </c>
      <c r="W1344">
        <v>0</v>
      </c>
      <c r="Y1344" t="s">
        <v>3</v>
      </c>
      <c r="Z1344">
        <v>7000</v>
      </c>
      <c r="AA1344">
        <v>42</v>
      </c>
      <c r="AB1344">
        <v>33</v>
      </c>
      <c r="AC1344">
        <v>0</v>
      </c>
      <c r="AD1344">
        <v>785948511</v>
      </c>
      <c r="AE1344">
        <v>848828.95</v>
      </c>
      <c r="AF1344">
        <v>785099682.04999995</v>
      </c>
      <c r="AG1344">
        <v>785099682.04999995</v>
      </c>
      <c r="AH1344">
        <v>0</v>
      </c>
      <c r="AI1344">
        <v>0</v>
      </c>
    </row>
    <row r="1345" spans="13:35" x14ac:dyDescent="0.35">
      <c r="M1345" t="s">
        <v>0</v>
      </c>
      <c r="N1345">
        <v>3000</v>
      </c>
      <c r="O1345">
        <v>42</v>
      </c>
      <c r="P1345">
        <v>124</v>
      </c>
      <c r="Q1345">
        <v>0</v>
      </c>
      <c r="R1345">
        <v>2776823457</v>
      </c>
      <c r="S1345">
        <v>5746373.0199999996</v>
      </c>
      <c r="T1345">
        <v>2753383091.1100001</v>
      </c>
      <c r="U1345">
        <v>2753383091.1100001</v>
      </c>
      <c r="V1345">
        <v>7.3841000000000004E-2</v>
      </c>
      <c r="W1345">
        <v>7.3841000000000004E-2</v>
      </c>
      <c r="Y1345" t="s">
        <v>3</v>
      </c>
      <c r="Z1345">
        <v>6750</v>
      </c>
      <c r="AA1345">
        <v>42</v>
      </c>
      <c r="AB1345">
        <v>55</v>
      </c>
      <c r="AC1345">
        <v>0</v>
      </c>
      <c r="AD1345">
        <v>1377115068</v>
      </c>
      <c r="AE1345">
        <v>1548041.21</v>
      </c>
      <c r="AF1345">
        <v>1327760821.7</v>
      </c>
      <c r="AG1345">
        <v>1375567026.79</v>
      </c>
      <c r="AH1345">
        <v>0.34556300000000001</v>
      </c>
      <c r="AI1345">
        <v>0</v>
      </c>
    </row>
    <row r="1346" spans="13:35" x14ac:dyDescent="0.35">
      <c r="M1346" t="s">
        <v>2</v>
      </c>
      <c r="N1346">
        <v>3250</v>
      </c>
      <c r="O1346">
        <v>42</v>
      </c>
      <c r="P1346">
        <v>88</v>
      </c>
      <c r="Q1346">
        <v>0</v>
      </c>
      <c r="R1346">
        <v>1392468263</v>
      </c>
      <c r="S1346">
        <v>2878416.87</v>
      </c>
      <c r="T1346">
        <v>1378670797.45</v>
      </c>
      <c r="U1346">
        <v>1378670797.45</v>
      </c>
      <c r="V1346">
        <v>9.0144000000000002E-2</v>
      </c>
      <c r="W1346">
        <v>9.0144000000000002E-2</v>
      </c>
      <c r="Y1346" t="s">
        <v>3</v>
      </c>
      <c r="Z1346">
        <v>4750</v>
      </c>
      <c r="AA1346">
        <v>42</v>
      </c>
      <c r="AB1346">
        <v>21</v>
      </c>
      <c r="AC1346">
        <v>0</v>
      </c>
      <c r="AD1346">
        <v>475177794</v>
      </c>
      <c r="AE1346">
        <v>751362.22</v>
      </c>
      <c r="AF1346">
        <v>474426431.77999997</v>
      </c>
      <c r="AG1346">
        <v>474426431.77999997</v>
      </c>
      <c r="AH1346">
        <v>0</v>
      </c>
      <c r="AI1346">
        <v>0</v>
      </c>
    </row>
    <row r="1347" spans="13:35" x14ac:dyDescent="0.35">
      <c r="M1347" t="s">
        <v>1</v>
      </c>
      <c r="N1347">
        <v>3250</v>
      </c>
      <c r="O1347">
        <v>42</v>
      </c>
      <c r="P1347">
        <v>311</v>
      </c>
      <c r="Q1347">
        <v>0</v>
      </c>
      <c r="R1347">
        <v>8752071948</v>
      </c>
      <c r="S1347">
        <v>17730093.16</v>
      </c>
      <c r="T1347">
        <v>8651333392.9200001</v>
      </c>
      <c r="U1347">
        <v>8716280746.0499992</v>
      </c>
      <c r="V1347">
        <v>0.10806</v>
      </c>
      <c r="W1347">
        <v>2.4485E-2</v>
      </c>
      <c r="Y1347" t="s">
        <v>3</v>
      </c>
      <c r="Z1347">
        <v>5500</v>
      </c>
      <c r="AA1347">
        <v>42</v>
      </c>
      <c r="AB1347">
        <v>47</v>
      </c>
      <c r="AC1347">
        <v>0</v>
      </c>
      <c r="AD1347">
        <v>1023881028</v>
      </c>
      <c r="AE1347">
        <v>1433529.01</v>
      </c>
      <c r="AF1347">
        <v>1022447498.99</v>
      </c>
      <c r="AG1347">
        <v>1022447498.99</v>
      </c>
      <c r="AH1347">
        <v>0</v>
      </c>
      <c r="AI1347">
        <v>0</v>
      </c>
    </row>
    <row r="1348" spans="13:35" x14ac:dyDescent="0.35">
      <c r="M1348" t="s">
        <v>2</v>
      </c>
      <c r="N1348">
        <v>4750</v>
      </c>
      <c r="O1348">
        <v>36</v>
      </c>
      <c r="P1348">
        <v>110</v>
      </c>
      <c r="Q1348">
        <v>0</v>
      </c>
      <c r="R1348">
        <v>2526120238</v>
      </c>
      <c r="S1348">
        <v>3843834.18</v>
      </c>
      <c r="T1348">
        <v>2456182400.1999998</v>
      </c>
      <c r="U1348">
        <v>2487461342.6300001</v>
      </c>
      <c r="V1348">
        <v>0.272507</v>
      </c>
      <c r="W1348">
        <v>0.15340599999999999</v>
      </c>
      <c r="Y1348" t="s">
        <v>2</v>
      </c>
      <c r="Z1348">
        <v>7250</v>
      </c>
      <c r="AA1348">
        <v>48</v>
      </c>
      <c r="AB1348">
        <v>1</v>
      </c>
      <c r="AC1348">
        <v>0</v>
      </c>
      <c r="AD1348">
        <v>16984061</v>
      </c>
      <c r="AE1348">
        <v>17847.59</v>
      </c>
      <c r="AF1348">
        <v>16966213.41</v>
      </c>
      <c r="AG1348">
        <v>16966213.41</v>
      </c>
      <c r="AH1348">
        <v>0</v>
      </c>
      <c r="AI1348">
        <v>0</v>
      </c>
    </row>
    <row r="1349" spans="13:35" x14ac:dyDescent="0.35">
      <c r="M1349" t="s">
        <v>0</v>
      </c>
      <c r="N1349">
        <v>4750</v>
      </c>
      <c r="O1349">
        <v>36</v>
      </c>
      <c r="P1349">
        <v>3343</v>
      </c>
      <c r="Q1349">
        <v>0</v>
      </c>
      <c r="R1349">
        <v>104981257784</v>
      </c>
      <c r="S1349">
        <v>159197839.83000001</v>
      </c>
      <c r="T1349">
        <v>104472286406.78</v>
      </c>
      <c r="U1349">
        <v>104744232417.53999</v>
      </c>
      <c r="V1349">
        <v>3.9257E-2</v>
      </c>
      <c r="W1349">
        <v>8.8599999999999998E-3</v>
      </c>
      <c r="Y1349" t="s">
        <v>3</v>
      </c>
      <c r="Z1349">
        <v>5250</v>
      </c>
      <c r="AA1349">
        <v>42</v>
      </c>
      <c r="AB1349">
        <v>45</v>
      </c>
      <c r="AC1349">
        <v>0</v>
      </c>
      <c r="AD1349">
        <v>1203643384</v>
      </c>
      <c r="AE1349">
        <v>1762391.82</v>
      </c>
      <c r="AF1349">
        <v>1201880992.1800001</v>
      </c>
      <c r="AG1349">
        <v>1201880992.1800001</v>
      </c>
      <c r="AH1349">
        <v>0</v>
      </c>
      <c r="AI1349">
        <v>0</v>
      </c>
    </row>
    <row r="1350" spans="13:35" x14ac:dyDescent="0.35">
      <c r="M1350" t="s">
        <v>1</v>
      </c>
      <c r="N1350">
        <v>4750</v>
      </c>
      <c r="O1350">
        <v>36</v>
      </c>
      <c r="P1350">
        <v>2307</v>
      </c>
      <c r="Q1350">
        <v>0</v>
      </c>
      <c r="R1350">
        <v>83605551573</v>
      </c>
      <c r="S1350">
        <v>126957319.56</v>
      </c>
      <c r="T1350">
        <v>82794688855.169998</v>
      </c>
      <c r="U1350">
        <v>83333916521.740005</v>
      </c>
      <c r="V1350">
        <v>9.3864000000000003E-2</v>
      </c>
      <c r="W1350">
        <v>2.0569E-2</v>
      </c>
      <c r="Y1350" t="s">
        <v>2</v>
      </c>
      <c r="Z1350">
        <v>3250</v>
      </c>
      <c r="AA1350">
        <v>42</v>
      </c>
      <c r="AB1350">
        <v>105</v>
      </c>
      <c r="AC1350">
        <v>0</v>
      </c>
      <c r="AD1350">
        <v>1657337728</v>
      </c>
      <c r="AE1350">
        <v>3434157.06</v>
      </c>
      <c r="AF1350">
        <v>1653903570.9400001</v>
      </c>
      <c r="AG1350">
        <v>1653903570.9400001</v>
      </c>
      <c r="AH1350">
        <v>0</v>
      </c>
      <c r="AI1350">
        <v>0</v>
      </c>
    </row>
    <row r="1351" spans="13:35" x14ac:dyDescent="0.35">
      <c r="M1351" t="s">
        <v>3</v>
      </c>
      <c r="N1351">
        <v>6750</v>
      </c>
      <c r="O1351">
        <v>36</v>
      </c>
      <c r="P1351">
        <v>85</v>
      </c>
      <c r="Q1351">
        <v>0</v>
      </c>
      <c r="R1351">
        <v>2135933867</v>
      </c>
      <c r="S1351">
        <v>2317795.6</v>
      </c>
      <c r="T1351">
        <v>2115575914.6700001</v>
      </c>
      <c r="U1351">
        <v>2133616071.4000001</v>
      </c>
      <c r="V1351">
        <v>9.6773999999999999E-2</v>
      </c>
      <c r="W1351">
        <v>0</v>
      </c>
      <c r="Y1351" t="s">
        <v>1</v>
      </c>
      <c r="Z1351">
        <v>3250</v>
      </c>
      <c r="AA1351">
        <v>42</v>
      </c>
      <c r="AB1351">
        <v>473</v>
      </c>
      <c r="AC1351">
        <v>0</v>
      </c>
      <c r="AD1351">
        <v>13131680585</v>
      </c>
      <c r="AE1351">
        <v>26470971.030000001</v>
      </c>
      <c r="AF1351">
        <v>13008976857.360001</v>
      </c>
      <c r="AG1351">
        <v>13056181853.280001</v>
      </c>
      <c r="AH1351">
        <v>8.448E-2</v>
      </c>
      <c r="AI1351">
        <v>4.3894000000000002E-2</v>
      </c>
    </row>
    <row r="1352" spans="13:35" x14ac:dyDescent="0.35">
      <c r="M1352" t="s">
        <v>3</v>
      </c>
      <c r="N1352">
        <v>6000</v>
      </c>
      <c r="O1352">
        <v>36</v>
      </c>
      <c r="P1352">
        <v>26</v>
      </c>
      <c r="Q1352">
        <v>0</v>
      </c>
      <c r="R1352">
        <v>680228429</v>
      </c>
      <c r="S1352">
        <v>840773.37</v>
      </c>
      <c r="T1352">
        <v>679387655.63</v>
      </c>
      <c r="U1352">
        <v>679387655.63</v>
      </c>
      <c r="V1352">
        <v>0</v>
      </c>
      <c r="W1352">
        <v>0</v>
      </c>
      <c r="Y1352" t="s">
        <v>2</v>
      </c>
      <c r="Z1352">
        <v>4750</v>
      </c>
      <c r="AA1352">
        <v>36</v>
      </c>
      <c r="AB1352">
        <v>137</v>
      </c>
      <c r="AC1352">
        <v>0</v>
      </c>
      <c r="AD1352">
        <v>3220051156</v>
      </c>
      <c r="AE1352">
        <v>4896574.57</v>
      </c>
      <c r="AF1352">
        <v>3215154581.4299998</v>
      </c>
      <c r="AG1352">
        <v>3215154581.4299998</v>
      </c>
      <c r="AH1352">
        <v>0</v>
      </c>
      <c r="AI1352">
        <v>0</v>
      </c>
    </row>
    <row r="1353" spans="13:35" x14ac:dyDescent="0.35">
      <c r="M1353" t="s">
        <v>3</v>
      </c>
      <c r="N1353">
        <v>7000</v>
      </c>
      <c r="O1353">
        <v>36</v>
      </c>
      <c r="P1353">
        <v>82</v>
      </c>
      <c r="Q1353">
        <v>0</v>
      </c>
      <c r="R1353">
        <v>2132343592</v>
      </c>
      <c r="S1353">
        <v>2225541.48</v>
      </c>
      <c r="T1353">
        <v>2109058828.1500001</v>
      </c>
      <c r="U1353">
        <v>2130118050.52</v>
      </c>
      <c r="V1353">
        <v>0.11228299999999999</v>
      </c>
      <c r="W1353">
        <v>0</v>
      </c>
      <c r="Y1353" t="s">
        <v>0</v>
      </c>
      <c r="Z1353">
        <v>4750</v>
      </c>
      <c r="AA1353">
        <v>36</v>
      </c>
      <c r="AB1353">
        <v>4194</v>
      </c>
      <c r="AC1353">
        <v>0</v>
      </c>
      <c r="AD1353">
        <v>131745743128</v>
      </c>
      <c r="AE1353">
        <v>199629182.00999999</v>
      </c>
      <c r="AF1353">
        <v>130952410695.25999</v>
      </c>
      <c r="AG1353">
        <v>131260157849.62</v>
      </c>
      <c r="AH1353">
        <v>5.2756999999999998E-2</v>
      </c>
      <c r="AI1353">
        <v>2.5736999999999999E-2</v>
      </c>
    </row>
    <row r="1354" spans="13:35" x14ac:dyDescent="0.35">
      <c r="M1354" t="s">
        <v>1</v>
      </c>
      <c r="N1354">
        <v>3500</v>
      </c>
      <c r="O1354">
        <v>42</v>
      </c>
      <c r="P1354">
        <v>182</v>
      </c>
      <c r="Q1354">
        <v>0</v>
      </c>
      <c r="R1354">
        <v>6984642455</v>
      </c>
      <c r="S1354">
        <v>13556420.42</v>
      </c>
      <c r="T1354">
        <v>6909582385.4799995</v>
      </c>
      <c r="U1354">
        <v>6952080690.4099998</v>
      </c>
      <c r="V1354">
        <v>0.10069599999999999</v>
      </c>
      <c r="W1354">
        <v>3.2168000000000002E-2</v>
      </c>
      <c r="Y1354" t="s">
        <v>1</v>
      </c>
      <c r="Z1354">
        <v>4750</v>
      </c>
      <c r="AA1354">
        <v>36</v>
      </c>
      <c r="AB1354">
        <v>2956</v>
      </c>
      <c r="AC1354">
        <v>0</v>
      </c>
      <c r="AD1354">
        <v>106618627658</v>
      </c>
      <c r="AE1354">
        <v>161791028.22999999</v>
      </c>
      <c r="AF1354">
        <v>105657923853.17999</v>
      </c>
      <c r="AG1354">
        <v>106255955820.89999</v>
      </c>
      <c r="AH1354">
        <v>8.6303000000000005E-2</v>
      </c>
      <c r="AI1354">
        <v>2.2376E-2</v>
      </c>
    </row>
    <row r="1355" spans="13:35" x14ac:dyDescent="0.35">
      <c r="M1355" t="s">
        <v>1</v>
      </c>
      <c r="N1355">
        <v>3750</v>
      </c>
      <c r="O1355">
        <v>42</v>
      </c>
      <c r="P1355">
        <v>596</v>
      </c>
      <c r="Q1355">
        <v>0</v>
      </c>
      <c r="R1355">
        <v>20840094970</v>
      </c>
      <c r="S1355">
        <v>38719616.920000002</v>
      </c>
      <c r="T1355">
        <v>20749550122.939999</v>
      </c>
      <c r="U1355">
        <v>20801375353.080002</v>
      </c>
      <c r="V1355">
        <v>2.9437000000000001E-2</v>
      </c>
      <c r="W1355">
        <v>0</v>
      </c>
      <c r="Y1355" t="s">
        <v>0</v>
      </c>
      <c r="Z1355">
        <v>2750</v>
      </c>
      <c r="AA1355">
        <v>42</v>
      </c>
      <c r="AB1355">
        <v>42</v>
      </c>
      <c r="AC1355">
        <v>0</v>
      </c>
      <c r="AD1355">
        <v>1010304940</v>
      </c>
      <c r="AE1355">
        <v>2159508.67</v>
      </c>
      <c r="AF1355">
        <v>1008145431.33</v>
      </c>
      <c r="AG1355">
        <v>1008145431.33</v>
      </c>
      <c r="AH1355">
        <v>0</v>
      </c>
      <c r="AI1355">
        <v>0</v>
      </c>
    </row>
    <row r="1356" spans="13:35" x14ac:dyDescent="0.35">
      <c r="M1356" t="s">
        <v>2</v>
      </c>
      <c r="N1356">
        <v>7500</v>
      </c>
      <c r="O1356">
        <v>42</v>
      </c>
      <c r="P1356">
        <v>72</v>
      </c>
      <c r="Q1356">
        <v>0</v>
      </c>
      <c r="R1356">
        <v>969013013</v>
      </c>
      <c r="S1356">
        <v>958710.26</v>
      </c>
      <c r="T1356">
        <v>945335929.25</v>
      </c>
      <c r="U1356">
        <v>945335929.25</v>
      </c>
      <c r="V1356">
        <v>0.247752</v>
      </c>
      <c r="W1356">
        <v>0.247752</v>
      </c>
      <c r="Y1356" t="s">
        <v>3</v>
      </c>
      <c r="Z1356">
        <v>6750</v>
      </c>
      <c r="AA1356">
        <v>36</v>
      </c>
      <c r="AB1356">
        <v>76</v>
      </c>
      <c r="AC1356">
        <v>0</v>
      </c>
      <c r="AD1356">
        <v>1870471098</v>
      </c>
      <c r="AE1356">
        <v>2034424.64</v>
      </c>
      <c r="AF1356">
        <v>1868436673.3599999</v>
      </c>
      <c r="AG1356">
        <v>1868436673.3599999</v>
      </c>
      <c r="AH1356">
        <v>0</v>
      </c>
      <c r="AI1356">
        <v>0</v>
      </c>
    </row>
    <row r="1357" spans="13:35" x14ac:dyDescent="0.35">
      <c r="M1357" t="s">
        <v>3</v>
      </c>
      <c r="N1357">
        <v>7250</v>
      </c>
      <c r="O1357">
        <v>42</v>
      </c>
      <c r="P1357">
        <v>23</v>
      </c>
      <c r="Q1357">
        <v>0</v>
      </c>
      <c r="R1357">
        <v>566631895</v>
      </c>
      <c r="S1357">
        <v>591851.64</v>
      </c>
      <c r="T1357">
        <v>566040043.36000001</v>
      </c>
      <c r="U1357">
        <v>566040043.36000001</v>
      </c>
      <c r="V1357">
        <v>0</v>
      </c>
      <c r="W1357">
        <v>0</v>
      </c>
      <c r="Y1357" t="s">
        <v>0</v>
      </c>
      <c r="Z1357">
        <v>8250</v>
      </c>
      <c r="AA1357">
        <v>36</v>
      </c>
      <c r="AB1357">
        <v>156</v>
      </c>
      <c r="AC1357">
        <v>0</v>
      </c>
      <c r="AD1357">
        <v>4167896841</v>
      </c>
      <c r="AE1357">
        <v>3421854.09</v>
      </c>
      <c r="AF1357">
        <v>4125667992.48</v>
      </c>
      <c r="AG1357">
        <v>4125667992.48</v>
      </c>
      <c r="AH1357">
        <v>0.106183</v>
      </c>
      <c r="AI1357">
        <v>0.106183</v>
      </c>
    </row>
    <row r="1358" spans="13:35" x14ac:dyDescent="0.35">
      <c r="M1358" t="s">
        <v>3</v>
      </c>
      <c r="N1358">
        <v>7500</v>
      </c>
      <c r="O1358">
        <v>42</v>
      </c>
      <c r="P1358">
        <v>10</v>
      </c>
      <c r="Q1358">
        <v>0</v>
      </c>
      <c r="R1358">
        <v>137854725</v>
      </c>
      <c r="S1358">
        <v>136621.47</v>
      </c>
      <c r="T1358">
        <v>118100541.7</v>
      </c>
      <c r="U1358">
        <v>137718103.53</v>
      </c>
      <c r="V1358">
        <v>0.84151500000000001</v>
      </c>
      <c r="W1358">
        <v>0</v>
      </c>
      <c r="Y1358" t="s">
        <v>3</v>
      </c>
      <c r="Z1358">
        <v>6000</v>
      </c>
      <c r="AA1358">
        <v>36</v>
      </c>
      <c r="AB1358">
        <v>32</v>
      </c>
      <c r="AC1358">
        <v>0</v>
      </c>
      <c r="AD1358">
        <v>784714939</v>
      </c>
      <c r="AE1358">
        <v>972572.2</v>
      </c>
      <c r="AF1358">
        <v>783742366.79999995</v>
      </c>
      <c r="AG1358">
        <v>783742366.79999995</v>
      </c>
      <c r="AH1358">
        <v>0</v>
      </c>
      <c r="AI1358">
        <v>0</v>
      </c>
    </row>
    <row r="1359" spans="13:35" x14ac:dyDescent="0.35">
      <c r="M1359" t="s">
        <v>3</v>
      </c>
      <c r="N1359">
        <v>7750</v>
      </c>
      <c r="O1359">
        <v>42</v>
      </c>
      <c r="P1359">
        <v>14</v>
      </c>
      <c r="Q1359">
        <v>0</v>
      </c>
      <c r="R1359">
        <v>223577866</v>
      </c>
      <c r="S1359">
        <v>214048.14</v>
      </c>
      <c r="T1359">
        <v>223363817.86000001</v>
      </c>
      <c r="U1359">
        <v>223363817.86000001</v>
      </c>
      <c r="V1359">
        <v>0</v>
      </c>
      <c r="W1359">
        <v>0</v>
      </c>
      <c r="Y1359" t="s">
        <v>3</v>
      </c>
      <c r="Z1359">
        <v>7000</v>
      </c>
      <c r="AA1359">
        <v>36</v>
      </c>
      <c r="AB1359">
        <v>79</v>
      </c>
      <c r="AC1359">
        <v>0</v>
      </c>
      <c r="AD1359">
        <v>1920756751</v>
      </c>
      <c r="AE1359">
        <v>2004967.62</v>
      </c>
      <c r="AF1359">
        <v>1892386598.73</v>
      </c>
      <c r="AG1359">
        <v>1918751783.3800001</v>
      </c>
      <c r="AH1359">
        <v>0.152834</v>
      </c>
      <c r="AI1359">
        <v>0</v>
      </c>
    </row>
    <row r="1360" spans="13:35" x14ac:dyDescent="0.35">
      <c r="M1360" t="s">
        <v>3</v>
      </c>
      <c r="N1360">
        <v>6250</v>
      </c>
      <c r="O1360">
        <v>36</v>
      </c>
      <c r="P1360">
        <v>57</v>
      </c>
      <c r="Q1360">
        <v>0</v>
      </c>
      <c r="R1360">
        <v>1415133483</v>
      </c>
      <c r="S1360">
        <v>1676762.74</v>
      </c>
      <c r="T1360">
        <v>1390141312.72</v>
      </c>
      <c r="U1360">
        <v>1413456720.26</v>
      </c>
      <c r="V1360">
        <v>0.18074200000000001</v>
      </c>
      <c r="W1360">
        <v>0</v>
      </c>
      <c r="Y1360" t="s">
        <v>2</v>
      </c>
      <c r="Z1360">
        <v>7500</v>
      </c>
      <c r="AA1360">
        <v>42</v>
      </c>
      <c r="AB1360">
        <v>71</v>
      </c>
      <c r="AC1360">
        <v>0</v>
      </c>
      <c r="AD1360">
        <v>965975259</v>
      </c>
      <c r="AE1360">
        <v>949416.89</v>
      </c>
      <c r="AF1360">
        <v>938282265.69000006</v>
      </c>
      <c r="AG1360">
        <v>965025842.11000001</v>
      </c>
      <c r="AH1360">
        <v>0.28602899999999998</v>
      </c>
      <c r="AI1360">
        <v>0</v>
      </c>
    </row>
    <row r="1361" spans="13:35" x14ac:dyDescent="0.35">
      <c r="M1361" t="s">
        <v>3</v>
      </c>
      <c r="N1361">
        <v>7250</v>
      </c>
      <c r="O1361">
        <v>30</v>
      </c>
      <c r="P1361">
        <v>103</v>
      </c>
      <c r="Q1361">
        <v>0</v>
      </c>
      <c r="R1361">
        <v>2651575622</v>
      </c>
      <c r="S1361">
        <v>2532866.2999999998</v>
      </c>
      <c r="T1361">
        <v>2616227979.0900002</v>
      </c>
      <c r="U1361">
        <v>2649042755.6999998</v>
      </c>
      <c r="V1361">
        <v>0.13880400000000001</v>
      </c>
      <c r="W1361">
        <v>0</v>
      </c>
      <c r="Y1361" t="s">
        <v>3</v>
      </c>
      <c r="Z1361">
        <v>7250</v>
      </c>
      <c r="AA1361">
        <v>42</v>
      </c>
      <c r="AB1361">
        <v>20</v>
      </c>
      <c r="AC1361">
        <v>0</v>
      </c>
      <c r="AD1361">
        <v>519742003</v>
      </c>
      <c r="AE1361">
        <v>540022.11</v>
      </c>
      <c r="AF1361">
        <v>519201980.88999999</v>
      </c>
      <c r="AG1361">
        <v>519201980.88999999</v>
      </c>
      <c r="AH1361">
        <v>0</v>
      </c>
      <c r="AI1361">
        <v>0</v>
      </c>
    </row>
    <row r="1362" spans="13:35" x14ac:dyDescent="0.35">
      <c r="M1362" t="s">
        <v>3</v>
      </c>
      <c r="N1362">
        <v>6750</v>
      </c>
      <c r="O1362">
        <v>30</v>
      </c>
      <c r="P1362">
        <v>71</v>
      </c>
      <c r="Q1362">
        <v>0</v>
      </c>
      <c r="R1362">
        <v>1842690517</v>
      </c>
      <c r="S1362">
        <v>1913362.31</v>
      </c>
      <c r="T1362">
        <v>1840777154.6900001</v>
      </c>
      <c r="U1362">
        <v>1840777154.6900001</v>
      </c>
      <c r="V1362">
        <v>0</v>
      </c>
      <c r="W1362">
        <v>0</v>
      </c>
      <c r="Y1362" t="s">
        <v>3</v>
      </c>
      <c r="Z1362">
        <v>7500</v>
      </c>
      <c r="AA1362">
        <v>42</v>
      </c>
      <c r="AB1362">
        <v>9</v>
      </c>
      <c r="AC1362">
        <v>0</v>
      </c>
      <c r="AD1362">
        <v>140864521</v>
      </c>
      <c r="AE1362">
        <v>138902.39000000001</v>
      </c>
      <c r="AF1362">
        <v>122984006.75</v>
      </c>
      <c r="AG1362">
        <v>140725618.61000001</v>
      </c>
      <c r="AH1362">
        <v>0.80118599999999995</v>
      </c>
      <c r="AI1362">
        <v>0</v>
      </c>
    </row>
    <row r="1363" spans="13:35" x14ac:dyDescent="0.35">
      <c r="M1363" t="s">
        <v>3</v>
      </c>
      <c r="N1363">
        <v>5750</v>
      </c>
      <c r="O1363">
        <v>30</v>
      </c>
      <c r="P1363">
        <v>16</v>
      </c>
      <c r="Q1363">
        <v>0</v>
      </c>
      <c r="R1363">
        <v>410763993</v>
      </c>
      <c r="S1363">
        <v>502488.38</v>
      </c>
      <c r="T1363">
        <v>410261504.62</v>
      </c>
      <c r="U1363">
        <v>410261504.62</v>
      </c>
      <c r="V1363">
        <v>0</v>
      </c>
      <c r="W1363">
        <v>0</v>
      </c>
      <c r="Y1363" t="s">
        <v>3</v>
      </c>
      <c r="Z1363">
        <v>7750</v>
      </c>
      <c r="AA1363">
        <v>42</v>
      </c>
      <c r="AB1363">
        <v>13</v>
      </c>
      <c r="AC1363">
        <v>0</v>
      </c>
      <c r="AD1363">
        <v>210370905</v>
      </c>
      <c r="AE1363">
        <v>200129.12</v>
      </c>
      <c r="AF1363">
        <v>210170775.88</v>
      </c>
      <c r="AG1363">
        <v>210170775.88</v>
      </c>
      <c r="AH1363">
        <v>0</v>
      </c>
      <c r="AI1363">
        <v>0</v>
      </c>
    </row>
    <row r="1364" spans="13:35" x14ac:dyDescent="0.35">
      <c r="M1364" t="s">
        <v>3</v>
      </c>
      <c r="N1364">
        <v>6250</v>
      </c>
      <c r="O1364">
        <v>30</v>
      </c>
      <c r="P1364">
        <v>75</v>
      </c>
      <c r="Q1364">
        <v>0</v>
      </c>
      <c r="R1364">
        <v>1910810356</v>
      </c>
      <c r="S1364">
        <v>2149937.4</v>
      </c>
      <c r="T1364">
        <v>1908660418.5999999</v>
      </c>
      <c r="U1364">
        <v>1908660418.5999999</v>
      </c>
      <c r="V1364">
        <v>0</v>
      </c>
      <c r="W1364">
        <v>0</v>
      </c>
      <c r="Y1364" t="s">
        <v>3</v>
      </c>
      <c r="Z1364">
        <v>6500</v>
      </c>
      <c r="AA1364">
        <v>36</v>
      </c>
      <c r="AB1364">
        <v>50</v>
      </c>
      <c r="AC1364">
        <v>0</v>
      </c>
      <c r="AD1364">
        <v>1094173691</v>
      </c>
      <c r="AE1364">
        <v>1231619.02</v>
      </c>
      <c r="AF1364">
        <v>1061050594.51</v>
      </c>
      <c r="AG1364">
        <v>1092942071.98</v>
      </c>
      <c r="AH1364">
        <v>0.29879699999999998</v>
      </c>
      <c r="AI1364">
        <v>0</v>
      </c>
    </row>
    <row r="1365" spans="13:35" x14ac:dyDescent="0.35">
      <c r="M1365" t="s">
        <v>3</v>
      </c>
      <c r="N1365">
        <v>6250</v>
      </c>
      <c r="O1365">
        <v>24</v>
      </c>
      <c r="P1365">
        <v>69</v>
      </c>
      <c r="Q1365">
        <v>0</v>
      </c>
      <c r="R1365">
        <v>1846088204</v>
      </c>
      <c r="S1365">
        <v>2038344.46</v>
      </c>
      <c r="T1365">
        <v>1833628381.8</v>
      </c>
      <c r="U1365">
        <v>1844049859.54</v>
      </c>
      <c r="V1365">
        <v>6.5678E-2</v>
      </c>
      <c r="W1365">
        <v>0</v>
      </c>
      <c r="Y1365" t="s">
        <v>3</v>
      </c>
      <c r="Z1365">
        <v>7250</v>
      </c>
      <c r="AA1365">
        <v>30</v>
      </c>
      <c r="AB1365">
        <v>110</v>
      </c>
      <c r="AC1365">
        <v>0</v>
      </c>
      <c r="AD1365">
        <v>2841411469</v>
      </c>
      <c r="AE1365">
        <v>2705884.72</v>
      </c>
      <c r="AF1365">
        <v>2784597286.2399998</v>
      </c>
      <c r="AG1365">
        <v>2838705584.2800002</v>
      </c>
      <c r="AH1365">
        <v>0.206036</v>
      </c>
      <c r="AI1365">
        <v>0</v>
      </c>
    </row>
    <row r="1366" spans="13:35" x14ac:dyDescent="0.35">
      <c r="M1366" t="s">
        <v>3</v>
      </c>
      <c r="N1366">
        <v>6500</v>
      </c>
      <c r="O1366">
        <v>24</v>
      </c>
      <c r="P1366">
        <v>51</v>
      </c>
      <c r="Q1366">
        <v>0</v>
      </c>
      <c r="R1366">
        <v>1201743442</v>
      </c>
      <c r="S1366">
        <v>1261005.31</v>
      </c>
      <c r="T1366">
        <v>1200482436.6900001</v>
      </c>
      <c r="U1366">
        <v>1200482436.6900001</v>
      </c>
      <c r="V1366">
        <v>0</v>
      </c>
      <c r="W1366">
        <v>0</v>
      </c>
      <c r="Y1366" t="s">
        <v>3</v>
      </c>
      <c r="Z1366">
        <v>6750</v>
      </c>
      <c r="AA1366">
        <v>30</v>
      </c>
      <c r="AB1366">
        <v>81</v>
      </c>
      <c r="AC1366">
        <v>0</v>
      </c>
      <c r="AD1366">
        <v>2075306478</v>
      </c>
      <c r="AE1366">
        <v>2157205.71</v>
      </c>
      <c r="AF1366">
        <v>2073149272.29</v>
      </c>
      <c r="AG1366">
        <v>2073149272.29</v>
      </c>
      <c r="AH1366">
        <v>0</v>
      </c>
      <c r="AI1366">
        <v>0</v>
      </c>
    </row>
    <row r="1367" spans="13:35" x14ac:dyDescent="0.35">
      <c r="M1367" t="s">
        <v>1</v>
      </c>
      <c r="N1367">
        <v>7500</v>
      </c>
      <c r="O1367">
        <v>36</v>
      </c>
      <c r="P1367">
        <v>448</v>
      </c>
      <c r="Q1367">
        <v>0</v>
      </c>
      <c r="R1367">
        <v>10845858683</v>
      </c>
      <c r="S1367">
        <v>10225307.57</v>
      </c>
      <c r="T1367">
        <v>10261424116.59</v>
      </c>
      <c r="U1367">
        <v>10649788315.379999</v>
      </c>
      <c r="V1367">
        <v>0.47938700000000001</v>
      </c>
      <c r="W1367">
        <v>0.187308</v>
      </c>
      <c r="Y1367" t="s">
        <v>3</v>
      </c>
      <c r="Z1367">
        <v>5750</v>
      </c>
      <c r="AA1367">
        <v>24</v>
      </c>
      <c r="AB1367">
        <v>21</v>
      </c>
      <c r="AC1367">
        <v>0</v>
      </c>
      <c r="AD1367">
        <v>603951058</v>
      </c>
      <c r="AE1367">
        <v>727312.63</v>
      </c>
      <c r="AF1367">
        <v>603223745.37</v>
      </c>
      <c r="AG1367">
        <v>603223745.37</v>
      </c>
      <c r="AH1367">
        <v>0</v>
      </c>
      <c r="AI1367">
        <v>0</v>
      </c>
    </row>
    <row r="1368" spans="13:35" x14ac:dyDescent="0.35">
      <c r="M1368" t="s">
        <v>0</v>
      </c>
      <c r="N1368">
        <v>9000</v>
      </c>
      <c r="O1368">
        <v>30</v>
      </c>
      <c r="P1368">
        <v>279</v>
      </c>
      <c r="Q1368">
        <v>0</v>
      </c>
      <c r="R1368">
        <v>6351002374</v>
      </c>
      <c r="S1368">
        <v>4615588.47</v>
      </c>
      <c r="T1368">
        <v>6191038183.8699999</v>
      </c>
      <c r="U1368">
        <v>6309290254.79</v>
      </c>
      <c r="V1368">
        <v>0.25708599999999998</v>
      </c>
      <c r="W1368">
        <v>6.7884E-2</v>
      </c>
      <c r="Y1368" t="s">
        <v>3</v>
      </c>
      <c r="Z1368">
        <v>6250</v>
      </c>
      <c r="AA1368">
        <v>24</v>
      </c>
      <c r="AB1368">
        <v>86</v>
      </c>
      <c r="AC1368">
        <v>0</v>
      </c>
      <c r="AD1368">
        <v>2295177381</v>
      </c>
      <c r="AE1368">
        <v>2533548.62</v>
      </c>
      <c r="AF1368">
        <v>2292643832.3800001</v>
      </c>
      <c r="AG1368">
        <v>2292643832.3800001</v>
      </c>
      <c r="AH1368">
        <v>0</v>
      </c>
      <c r="AI1368">
        <v>0</v>
      </c>
    </row>
    <row r="1369" spans="13:35" x14ac:dyDescent="0.35">
      <c r="M1369" t="s">
        <v>0</v>
      </c>
      <c r="N1369">
        <v>8000</v>
      </c>
      <c r="O1369">
        <v>20</v>
      </c>
      <c r="P1369">
        <v>237</v>
      </c>
      <c r="Q1369">
        <v>0</v>
      </c>
      <c r="R1369">
        <v>6461481401</v>
      </c>
      <c r="S1369">
        <v>5105231.42</v>
      </c>
      <c r="T1369">
        <v>6274484715.4700003</v>
      </c>
      <c r="U1369">
        <v>6424592427.0699997</v>
      </c>
      <c r="V1369">
        <v>0.29011100000000001</v>
      </c>
      <c r="W1369">
        <v>5.7456E-2</v>
      </c>
      <c r="Y1369" t="s">
        <v>3</v>
      </c>
      <c r="Z1369">
        <v>6750</v>
      </c>
      <c r="AA1369">
        <v>24</v>
      </c>
      <c r="AB1369">
        <v>117</v>
      </c>
      <c r="AC1369">
        <v>0</v>
      </c>
      <c r="AD1369">
        <v>3273397660</v>
      </c>
      <c r="AE1369">
        <v>3275122.51</v>
      </c>
      <c r="AF1369">
        <v>3270122537.4899998</v>
      </c>
      <c r="AG1369">
        <v>3270122537.4899998</v>
      </c>
      <c r="AH1369">
        <v>0</v>
      </c>
      <c r="AI1369">
        <v>0</v>
      </c>
    </row>
    <row r="1370" spans="13:35" x14ac:dyDescent="0.35">
      <c r="M1370" t="s">
        <v>0</v>
      </c>
      <c r="N1370">
        <v>3500</v>
      </c>
      <c r="O1370">
        <v>42</v>
      </c>
      <c r="P1370">
        <v>158</v>
      </c>
      <c r="Q1370">
        <v>0</v>
      </c>
      <c r="R1370">
        <v>3878760269</v>
      </c>
      <c r="S1370">
        <v>7432359.6399999997</v>
      </c>
      <c r="T1370">
        <v>3871327909.3600001</v>
      </c>
      <c r="U1370">
        <v>3871327909.3600001</v>
      </c>
      <c r="V1370">
        <v>0</v>
      </c>
      <c r="W1370">
        <v>0</v>
      </c>
      <c r="Y1370" t="s">
        <v>3</v>
      </c>
      <c r="Z1370">
        <v>6500</v>
      </c>
      <c r="AA1370">
        <v>24</v>
      </c>
      <c r="AB1370">
        <v>49</v>
      </c>
      <c r="AC1370">
        <v>0</v>
      </c>
      <c r="AD1370">
        <v>1217439506</v>
      </c>
      <c r="AE1370">
        <v>1275208.58</v>
      </c>
      <c r="AF1370">
        <v>1216164297.4200001</v>
      </c>
      <c r="AG1370">
        <v>1216164297.4200001</v>
      </c>
      <c r="AH1370">
        <v>0</v>
      </c>
      <c r="AI1370">
        <v>0</v>
      </c>
    </row>
    <row r="1371" spans="13:35" x14ac:dyDescent="0.35">
      <c r="M1371" t="s">
        <v>1</v>
      </c>
      <c r="N1371">
        <v>2000</v>
      </c>
      <c r="O1371">
        <v>120</v>
      </c>
      <c r="P1371">
        <v>5</v>
      </c>
      <c r="Q1371">
        <v>0</v>
      </c>
      <c r="R1371">
        <v>80466126</v>
      </c>
      <c r="S1371">
        <v>273504.48</v>
      </c>
      <c r="T1371">
        <v>80192621.519999996</v>
      </c>
      <c r="U1371">
        <v>80192621.519999996</v>
      </c>
      <c r="V1371">
        <v>0</v>
      </c>
      <c r="W1371">
        <v>0</v>
      </c>
      <c r="Y1371" t="s">
        <v>1</v>
      </c>
      <c r="Z1371">
        <v>7500</v>
      </c>
      <c r="AA1371">
        <v>36</v>
      </c>
      <c r="AB1371">
        <v>270</v>
      </c>
      <c r="AC1371">
        <v>0</v>
      </c>
      <c r="AD1371">
        <v>6180595641</v>
      </c>
      <c r="AE1371">
        <v>5847534.3600000003</v>
      </c>
      <c r="AF1371">
        <v>5931992861.3999996</v>
      </c>
      <c r="AG1371">
        <v>6083497476.0200005</v>
      </c>
      <c r="AH1371">
        <v>0.38173000000000001</v>
      </c>
      <c r="AI1371">
        <v>0.163467</v>
      </c>
    </row>
    <row r="1372" spans="13:35" x14ac:dyDescent="0.35">
      <c r="M1372" t="s">
        <v>1</v>
      </c>
      <c r="N1372">
        <v>2000</v>
      </c>
      <c r="O1372">
        <v>168</v>
      </c>
      <c r="P1372">
        <v>6</v>
      </c>
      <c r="Q1372">
        <v>0</v>
      </c>
      <c r="R1372">
        <v>55741378</v>
      </c>
      <c r="S1372">
        <v>221864.17</v>
      </c>
      <c r="T1372">
        <v>55519513.829999998</v>
      </c>
      <c r="U1372">
        <v>55519513.829999998</v>
      </c>
      <c r="V1372">
        <v>0</v>
      </c>
      <c r="W1372">
        <v>0</v>
      </c>
      <c r="Y1372" t="s">
        <v>0</v>
      </c>
      <c r="Z1372">
        <v>9000</v>
      </c>
      <c r="AA1372">
        <v>30</v>
      </c>
      <c r="AB1372">
        <v>272</v>
      </c>
      <c r="AC1372">
        <v>0</v>
      </c>
      <c r="AD1372">
        <v>6211119092</v>
      </c>
      <c r="AE1372">
        <v>4485663.97</v>
      </c>
      <c r="AF1372">
        <v>6123218533.4700003</v>
      </c>
      <c r="AG1372">
        <v>6174159303.9499998</v>
      </c>
      <c r="AH1372">
        <v>0.14977199999999999</v>
      </c>
      <c r="AI1372">
        <v>6.0968000000000001E-2</v>
      </c>
    </row>
    <row r="1373" spans="13:35" x14ac:dyDescent="0.35">
      <c r="M1373" t="s">
        <v>3</v>
      </c>
      <c r="N1373">
        <v>6500</v>
      </c>
      <c r="O1373">
        <v>36</v>
      </c>
      <c r="P1373">
        <v>51</v>
      </c>
      <c r="Q1373">
        <v>0</v>
      </c>
      <c r="R1373">
        <v>1112652350</v>
      </c>
      <c r="S1373">
        <v>1259083.4099999999</v>
      </c>
      <c r="T1373">
        <v>1111393266.5899999</v>
      </c>
      <c r="U1373">
        <v>1111393266.5899999</v>
      </c>
      <c r="V1373">
        <v>0</v>
      </c>
      <c r="W1373">
        <v>0</v>
      </c>
      <c r="Y1373" t="s">
        <v>1</v>
      </c>
      <c r="Z1373">
        <v>7750</v>
      </c>
      <c r="AA1373">
        <v>36</v>
      </c>
      <c r="AB1373">
        <v>349</v>
      </c>
      <c r="AC1373">
        <v>0</v>
      </c>
      <c r="AD1373">
        <v>8517905276</v>
      </c>
      <c r="AE1373">
        <v>7672406.0499999998</v>
      </c>
      <c r="AF1373">
        <v>7965395549.7600002</v>
      </c>
      <c r="AG1373">
        <v>8221874529.6499996</v>
      </c>
      <c r="AH1373">
        <v>0.54761099999999996</v>
      </c>
      <c r="AI1373">
        <v>0.33851900000000001</v>
      </c>
    </row>
    <row r="1374" spans="13:35" x14ac:dyDescent="0.35">
      <c r="M1374" t="s">
        <v>0</v>
      </c>
      <c r="N1374">
        <v>4250</v>
      </c>
      <c r="O1374">
        <v>36</v>
      </c>
      <c r="P1374">
        <v>813</v>
      </c>
      <c r="Q1374">
        <v>0</v>
      </c>
      <c r="R1374">
        <v>22763554885</v>
      </c>
      <c r="S1374">
        <v>37061364.560000002</v>
      </c>
      <c r="T1374">
        <v>22689710526.66</v>
      </c>
      <c r="U1374">
        <v>22715836125.610001</v>
      </c>
      <c r="V1374">
        <v>1.9219E-2</v>
      </c>
      <c r="W1374">
        <v>5.6039999999999996E-3</v>
      </c>
      <c r="Y1374" t="s">
        <v>1</v>
      </c>
      <c r="Z1374">
        <v>2000</v>
      </c>
      <c r="AA1374">
        <v>120</v>
      </c>
      <c r="AB1374">
        <v>4</v>
      </c>
      <c r="AC1374">
        <v>0</v>
      </c>
      <c r="AD1374">
        <v>60646515</v>
      </c>
      <c r="AE1374">
        <v>198572.7</v>
      </c>
      <c r="AF1374">
        <v>60447942.299999997</v>
      </c>
      <c r="AG1374">
        <v>60447942.299999997</v>
      </c>
      <c r="AH1374">
        <v>0</v>
      </c>
      <c r="AI1374">
        <v>0</v>
      </c>
    </row>
    <row r="1375" spans="13:35" x14ac:dyDescent="0.35">
      <c r="M1375" t="s">
        <v>0</v>
      </c>
      <c r="N1375">
        <v>4000</v>
      </c>
      <c r="O1375">
        <v>36</v>
      </c>
      <c r="P1375">
        <v>96</v>
      </c>
      <c r="Q1375">
        <v>0</v>
      </c>
      <c r="R1375">
        <v>2519603003</v>
      </c>
      <c r="S1375">
        <v>4323727.93</v>
      </c>
      <c r="T1375">
        <v>2483528954.27</v>
      </c>
      <c r="U1375">
        <v>2505070176.6900001</v>
      </c>
      <c r="V1375">
        <v>0.14116300000000001</v>
      </c>
      <c r="W1375">
        <v>4.7552999999999998E-2</v>
      </c>
      <c r="Y1375" t="s">
        <v>1</v>
      </c>
      <c r="Z1375">
        <v>2000</v>
      </c>
      <c r="AA1375">
        <v>168</v>
      </c>
      <c r="AB1375">
        <v>5</v>
      </c>
      <c r="AC1375">
        <v>0</v>
      </c>
      <c r="AD1375">
        <v>42971807</v>
      </c>
      <c r="AE1375">
        <v>171488.04</v>
      </c>
      <c r="AF1375">
        <v>42800318.960000001</v>
      </c>
      <c r="AG1375">
        <v>42800318.960000001</v>
      </c>
      <c r="AH1375">
        <v>0</v>
      </c>
      <c r="AI1375">
        <v>0</v>
      </c>
    </row>
    <row r="1376" spans="13:35" x14ac:dyDescent="0.35">
      <c r="M1376" t="s">
        <v>0</v>
      </c>
      <c r="N1376">
        <v>3750</v>
      </c>
      <c r="O1376">
        <v>36</v>
      </c>
      <c r="P1376">
        <v>76</v>
      </c>
      <c r="Q1376">
        <v>0</v>
      </c>
      <c r="R1376">
        <v>2280595009</v>
      </c>
      <c r="S1376">
        <v>4047714.34</v>
      </c>
      <c r="T1376">
        <v>2239829748.3099999</v>
      </c>
      <c r="U1376">
        <v>2239829748.3099999</v>
      </c>
      <c r="V1376">
        <v>0.176978</v>
      </c>
      <c r="W1376">
        <v>0.176978</v>
      </c>
      <c r="Y1376" t="s">
        <v>0</v>
      </c>
      <c r="Z1376">
        <v>4250</v>
      </c>
      <c r="AA1376">
        <v>36</v>
      </c>
      <c r="AB1376">
        <v>820</v>
      </c>
      <c r="AC1376">
        <v>0</v>
      </c>
      <c r="AD1376">
        <v>23026959870</v>
      </c>
      <c r="AE1376">
        <v>37605730.75</v>
      </c>
      <c r="AF1376">
        <v>22989354139.25</v>
      </c>
      <c r="AG1376">
        <v>22989354139.25</v>
      </c>
      <c r="AH1376">
        <v>0</v>
      </c>
      <c r="AI1376">
        <v>0</v>
      </c>
    </row>
    <row r="1377" spans="13:35" x14ac:dyDescent="0.35">
      <c r="M1377" t="s">
        <v>0</v>
      </c>
      <c r="N1377">
        <v>3500</v>
      </c>
      <c r="O1377">
        <v>36</v>
      </c>
      <c r="P1377">
        <v>38</v>
      </c>
      <c r="Q1377">
        <v>0</v>
      </c>
      <c r="R1377">
        <v>949120012</v>
      </c>
      <c r="S1377">
        <v>1765322.1</v>
      </c>
      <c r="T1377">
        <v>947354689.89999998</v>
      </c>
      <c r="U1377">
        <v>947354689.89999998</v>
      </c>
      <c r="V1377">
        <v>0</v>
      </c>
      <c r="W1377">
        <v>0</v>
      </c>
      <c r="Y1377" t="s">
        <v>0</v>
      </c>
      <c r="Z1377">
        <v>4000</v>
      </c>
      <c r="AA1377">
        <v>36</v>
      </c>
      <c r="AB1377">
        <v>144</v>
      </c>
      <c r="AC1377">
        <v>0</v>
      </c>
      <c r="AD1377">
        <v>3930185851</v>
      </c>
      <c r="AE1377">
        <v>6748628.9000000004</v>
      </c>
      <c r="AF1377">
        <v>3876573950.6199999</v>
      </c>
      <c r="AG1377">
        <v>3876573950.6199999</v>
      </c>
      <c r="AH1377">
        <v>0.13406599999999999</v>
      </c>
      <c r="AI1377">
        <v>0.13406599999999999</v>
      </c>
    </row>
    <row r="1378" spans="13:35" x14ac:dyDescent="0.35">
      <c r="M1378" t="s">
        <v>1</v>
      </c>
      <c r="N1378">
        <v>4500</v>
      </c>
      <c r="O1378">
        <v>36</v>
      </c>
      <c r="P1378">
        <v>551</v>
      </c>
      <c r="Q1378">
        <v>0</v>
      </c>
      <c r="R1378">
        <v>18871110465</v>
      </c>
      <c r="S1378">
        <v>29881302</v>
      </c>
      <c r="T1378">
        <v>18792945514.139999</v>
      </c>
      <c r="U1378">
        <v>18792945514.139999</v>
      </c>
      <c r="V1378">
        <v>3.0275E-2</v>
      </c>
      <c r="W1378">
        <v>3.0275E-2</v>
      </c>
      <c r="Y1378" t="s">
        <v>0</v>
      </c>
      <c r="Z1378">
        <v>3750</v>
      </c>
      <c r="AA1378">
        <v>36</v>
      </c>
      <c r="AB1378">
        <v>86</v>
      </c>
      <c r="AC1378">
        <v>0</v>
      </c>
      <c r="AD1378">
        <v>2470113416</v>
      </c>
      <c r="AE1378">
        <v>4380940.8</v>
      </c>
      <c r="AF1378">
        <v>2451262120.0300002</v>
      </c>
      <c r="AG1378">
        <v>2451262120.0300002</v>
      </c>
      <c r="AH1378">
        <v>6.8076999999999999E-2</v>
      </c>
      <c r="AI1378">
        <v>6.8076999999999999E-2</v>
      </c>
    </row>
    <row r="1379" spans="13:35" x14ac:dyDescent="0.35">
      <c r="M1379" t="s">
        <v>2</v>
      </c>
      <c r="N1379">
        <v>8000</v>
      </c>
      <c r="O1379">
        <v>42</v>
      </c>
      <c r="P1379">
        <v>3</v>
      </c>
      <c r="Q1379">
        <v>0</v>
      </c>
      <c r="R1379">
        <v>44229518</v>
      </c>
      <c r="S1379">
        <v>39224.46</v>
      </c>
      <c r="T1379">
        <v>44190293.539999999</v>
      </c>
      <c r="U1379">
        <v>44190293.539999999</v>
      </c>
      <c r="V1379">
        <v>0</v>
      </c>
      <c r="W1379">
        <v>0</v>
      </c>
      <c r="Y1379" t="s">
        <v>0</v>
      </c>
      <c r="Z1379">
        <v>3500</v>
      </c>
      <c r="AA1379">
        <v>36</v>
      </c>
      <c r="AB1379">
        <v>47</v>
      </c>
      <c r="AC1379">
        <v>0</v>
      </c>
      <c r="AD1379">
        <v>1136947741</v>
      </c>
      <c r="AE1379">
        <v>2109398.98</v>
      </c>
      <c r="AF1379">
        <v>1121240468.4400001</v>
      </c>
      <c r="AG1379">
        <v>1134838342.02</v>
      </c>
      <c r="AH1379">
        <v>0.13444500000000001</v>
      </c>
      <c r="AI1379">
        <v>0</v>
      </c>
    </row>
    <row r="1380" spans="13:35" x14ac:dyDescent="0.35">
      <c r="M1380" t="s">
        <v>1</v>
      </c>
      <c r="N1380">
        <v>8000</v>
      </c>
      <c r="O1380">
        <v>42</v>
      </c>
      <c r="P1380">
        <v>34</v>
      </c>
      <c r="Q1380">
        <v>0</v>
      </c>
      <c r="R1380">
        <v>740689487</v>
      </c>
      <c r="S1380">
        <v>661529.41</v>
      </c>
      <c r="T1380">
        <v>710358928.65999997</v>
      </c>
      <c r="U1380">
        <v>710358928.65999997</v>
      </c>
      <c r="V1380">
        <v>0.38771899999999998</v>
      </c>
      <c r="W1380">
        <v>0.38771899999999998</v>
      </c>
      <c r="Y1380" t="s">
        <v>0</v>
      </c>
      <c r="Z1380">
        <v>3000</v>
      </c>
      <c r="AA1380">
        <v>36</v>
      </c>
      <c r="AB1380">
        <v>32</v>
      </c>
      <c r="AC1380">
        <v>0</v>
      </c>
      <c r="AD1380">
        <v>754551203</v>
      </c>
      <c r="AE1380">
        <v>1525262.77</v>
      </c>
      <c r="AF1380">
        <v>745818329.13</v>
      </c>
      <c r="AG1380">
        <v>745818329.13</v>
      </c>
      <c r="AH1380">
        <v>0.108792</v>
      </c>
      <c r="AI1380">
        <v>0.108792</v>
      </c>
    </row>
    <row r="1381" spans="13:35" x14ac:dyDescent="0.35">
      <c r="M1381" t="s">
        <v>1</v>
      </c>
      <c r="N1381">
        <v>7750</v>
      </c>
      <c r="O1381">
        <v>36</v>
      </c>
      <c r="P1381">
        <v>591</v>
      </c>
      <c r="Q1381">
        <v>0</v>
      </c>
      <c r="R1381">
        <v>14007339978</v>
      </c>
      <c r="S1381">
        <v>12649950.470000001</v>
      </c>
      <c r="T1381">
        <v>13183064445.33</v>
      </c>
      <c r="U1381">
        <v>13664568891.84</v>
      </c>
      <c r="V1381">
        <v>0.51143000000000005</v>
      </c>
      <c r="W1381">
        <v>0.248887</v>
      </c>
      <c r="Y1381" t="s">
        <v>1</v>
      </c>
      <c r="Z1381">
        <v>4500</v>
      </c>
      <c r="AA1381">
        <v>36</v>
      </c>
      <c r="AB1381">
        <v>645</v>
      </c>
      <c r="AC1381">
        <v>0</v>
      </c>
      <c r="AD1381">
        <v>22554520816</v>
      </c>
      <c r="AE1381">
        <v>35691649.079999998</v>
      </c>
      <c r="AF1381">
        <v>22173991696.540001</v>
      </c>
      <c r="AG1381">
        <v>22387388622.240002</v>
      </c>
      <c r="AH1381">
        <v>0.16880100000000001</v>
      </c>
      <c r="AI1381">
        <v>6.7734000000000003E-2</v>
      </c>
    </row>
    <row r="1382" spans="13:35" x14ac:dyDescent="0.35">
      <c r="M1382" t="s">
        <v>2</v>
      </c>
      <c r="N1382">
        <v>7500</v>
      </c>
      <c r="O1382">
        <v>36</v>
      </c>
      <c r="P1382">
        <v>81</v>
      </c>
      <c r="Q1382">
        <v>0</v>
      </c>
      <c r="R1382">
        <v>1177853634</v>
      </c>
      <c r="S1382">
        <v>1113011.28</v>
      </c>
      <c r="T1382">
        <v>1149951989.8399999</v>
      </c>
      <c r="U1382">
        <v>1149951989.8399999</v>
      </c>
      <c r="V1382">
        <v>0.24124399999999999</v>
      </c>
      <c r="W1382">
        <v>0.24124399999999999</v>
      </c>
      <c r="Y1382" t="s">
        <v>2</v>
      </c>
      <c r="Z1382">
        <v>8000</v>
      </c>
      <c r="AA1382">
        <v>42</v>
      </c>
      <c r="AB1382">
        <v>2</v>
      </c>
      <c r="AC1382">
        <v>0</v>
      </c>
      <c r="AD1382">
        <v>27158827</v>
      </c>
      <c r="AE1382">
        <v>23974.35</v>
      </c>
      <c r="AF1382">
        <v>27134852.649999999</v>
      </c>
      <c r="AG1382">
        <v>27134852.649999999</v>
      </c>
      <c r="AH1382">
        <v>0</v>
      </c>
      <c r="AI1382">
        <v>0</v>
      </c>
    </row>
    <row r="1383" spans="13:35" x14ac:dyDescent="0.35">
      <c r="M1383" t="s">
        <v>3</v>
      </c>
      <c r="N1383">
        <v>5750</v>
      </c>
      <c r="O1383">
        <v>36</v>
      </c>
      <c r="P1383">
        <v>21</v>
      </c>
      <c r="Q1383">
        <v>0</v>
      </c>
      <c r="R1383">
        <v>536412402</v>
      </c>
      <c r="S1383">
        <v>693388.11</v>
      </c>
      <c r="T1383">
        <v>500554251.27999997</v>
      </c>
      <c r="U1383">
        <v>535719013.88999999</v>
      </c>
      <c r="V1383">
        <v>0.55675699999999995</v>
      </c>
      <c r="W1383">
        <v>0</v>
      </c>
      <c r="Y1383" t="s">
        <v>1</v>
      </c>
      <c r="Z1383">
        <v>8000</v>
      </c>
      <c r="AA1383">
        <v>42</v>
      </c>
      <c r="AB1383">
        <v>24</v>
      </c>
      <c r="AC1383">
        <v>0</v>
      </c>
      <c r="AD1383">
        <v>535721261</v>
      </c>
      <c r="AE1383">
        <v>475370.22</v>
      </c>
      <c r="AF1383">
        <v>535245890.77999997</v>
      </c>
      <c r="AG1383">
        <v>535245890.77999997</v>
      </c>
      <c r="AH1383">
        <v>0</v>
      </c>
      <c r="AI1383">
        <v>0</v>
      </c>
    </row>
    <row r="1384" spans="13:35" x14ac:dyDescent="0.35">
      <c r="M1384" t="s">
        <v>1</v>
      </c>
      <c r="N1384">
        <v>2000</v>
      </c>
      <c r="O1384">
        <v>144</v>
      </c>
      <c r="P1384">
        <v>17</v>
      </c>
      <c r="Q1384">
        <v>0</v>
      </c>
      <c r="R1384">
        <v>212094831</v>
      </c>
      <c r="S1384">
        <v>822762.4</v>
      </c>
      <c r="T1384">
        <v>211272068.59999999</v>
      </c>
      <c r="U1384">
        <v>211272068.59999999</v>
      </c>
      <c r="V1384">
        <v>0</v>
      </c>
      <c r="W1384">
        <v>0</v>
      </c>
      <c r="Y1384" t="s">
        <v>2</v>
      </c>
      <c r="Z1384">
        <v>8000</v>
      </c>
      <c r="AA1384">
        <v>36</v>
      </c>
      <c r="AB1384">
        <v>4</v>
      </c>
      <c r="AC1384">
        <v>0</v>
      </c>
      <c r="AD1384">
        <v>59006264</v>
      </c>
      <c r="AE1384">
        <v>51688.81</v>
      </c>
      <c r="AF1384">
        <v>58954575.189999998</v>
      </c>
      <c r="AG1384">
        <v>58954575.189999998</v>
      </c>
      <c r="AH1384">
        <v>0</v>
      </c>
      <c r="AI1384">
        <v>0</v>
      </c>
    </row>
    <row r="1385" spans="13:35" x14ac:dyDescent="0.35">
      <c r="M1385" t="s">
        <v>3</v>
      </c>
      <c r="N1385">
        <v>7250</v>
      </c>
      <c r="O1385">
        <v>36</v>
      </c>
      <c r="P1385">
        <v>43</v>
      </c>
      <c r="Q1385">
        <v>0</v>
      </c>
      <c r="R1385">
        <v>1012460530</v>
      </c>
      <c r="S1385">
        <v>1004280.75</v>
      </c>
      <c r="T1385">
        <v>1011456249.25</v>
      </c>
      <c r="U1385">
        <v>1011456249.25</v>
      </c>
      <c r="V1385">
        <v>0</v>
      </c>
      <c r="W1385">
        <v>0</v>
      </c>
      <c r="Y1385" t="s">
        <v>1</v>
      </c>
      <c r="Z1385">
        <v>8000</v>
      </c>
      <c r="AA1385">
        <v>36</v>
      </c>
      <c r="AB1385">
        <v>13</v>
      </c>
      <c r="AC1385">
        <v>0</v>
      </c>
      <c r="AD1385">
        <v>298847105</v>
      </c>
      <c r="AE1385">
        <v>262614.57</v>
      </c>
      <c r="AF1385">
        <v>298584490.43000001</v>
      </c>
      <c r="AG1385">
        <v>298584490.43000001</v>
      </c>
      <c r="AH1385">
        <v>0</v>
      </c>
      <c r="AI1385">
        <v>0</v>
      </c>
    </row>
    <row r="1386" spans="13:35" x14ac:dyDescent="0.35">
      <c r="M1386" t="s">
        <v>3</v>
      </c>
      <c r="N1386">
        <v>7000</v>
      </c>
      <c r="O1386">
        <v>30</v>
      </c>
      <c r="P1386">
        <v>45</v>
      </c>
      <c r="Q1386">
        <v>0</v>
      </c>
      <c r="R1386">
        <v>1158516728</v>
      </c>
      <c r="S1386">
        <v>1160474</v>
      </c>
      <c r="T1386">
        <v>1118752652.26</v>
      </c>
      <c r="U1386">
        <v>1157356254</v>
      </c>
      <c r="V1386">
        <v>0.33413799999999999</v>
      </c>
      <c r="W1386">
        <v>0</v>
      </c>
      <c r="Y1386" t="s">
        <v>2</v>
      </c>
      <c r="Z1386">
        <v>7500</v>
      </c>
      <c r="AA1386">
        <v>36</v>
      </c>
      <c r="AB1386">
        <v>50</v>
      </c>
      <c r="AC1386">
        <v>0</v>
      </c>
      <c r="AD1386">
        <v>718014600</v>
      </c>
      <c r="AE1386">
        <v>679172.28</v>
      </c>
      <c r="AF1386">
        <v>701267110.09000003</v>
      </c>
      <c r="AG1386">
        <v>701267110.09000003</v>
      </c>
      <c r="AH1386">
        <v>0.23783799999999999</v>
      </c>
      <c r="AI1386">
        <v>0.23783799999999999</v>
      </c>
    </row>
    <row r="1387" spans="13:35" x14ac:dyDescent="0.35">
      <c r="M1387" t="s">
        <v>3</v>
      </c>
      <c r="N1387">
        <v>6500</v>
      </c>
      <c r="O1387">
        <v>30</v>
      </c>
      <c r="P1387">
        <v>37</v>
      </c>
      <c r="Q1387">
        <v>0</v>
      </c>
      <c r="R1387">
        <v>884296788</v>
      </c>
      <c r="S1387">
        <v>963181.79</v>
      </c>
      <c r="T1387">
        <v>883333606.21000004</v>
      </c>
      <c r="U1387">
        <v>883333606.21000004</v>
      </c>
      <c r="V1387">
        <v>0</v>
      </c>
      <c r="W1387">
        <v>0</v>
      </c>
      <c r="Y1387" t="s">
        <v>1</v>
      </c>
      <c r="Z1387">
        <v>3500</v>
      </c>
      <c r="AA1387">
        <v>36</v>
      </c>
      <c r="AB1387">
        <v>69</v>
      </c>
      <c r="AC1387">
        <v>0</v>
      </c>
      <c r="AD1387">
        <v>2059738488</v>
      </c>
      <c r="AE1387">
        <v>3964053.04</v>
      </c>
      <c r="AF1387">
        <v>2039057045.78</v>
      </c>
      <c r="AG1387">
        <v>2055774434.96</v>
      </c>
      <c r="AH1387">
        <v>9.3162999999999996E-2</v>
      </c>
      <c r="AI1387">
        <v>0</v>
      </c>
    </row>
    <row r="1388" spans="13:35" x14ac:dyDescent="0.35">
      <c r="M1388" t="s">
        <v>2</v>
      </c>
      <c r="N1388">
        <v>8000</v>
      </c>
      <c r="O1388">
        <v>36</v>
      </c>
      <c r="P1388">
        <v>4</v>
      </c>
      <c r="Q1388">
        <v>0</v>
      </c>
      <c r="R1388">
        <v>58486882</v>
      </c>
      <c r="S1388">
        <v>51290.59</v>
      </c>
      <c r="T1388">
        <v>58435591.409999996</v>
      </c>
      <c r="U1388">
        <v>58435591.409999996</v>
      </c>
      <c r="V1388">
        <v>0</v>
      </c>
      <c r="W1388">
        <v>0</v>
      </c>
      <c r="Y1388" t="s">
        <v>3</v>
      </c>
      <c r="Z1388">
        <v>5750</v>
      </c>
      <c r="AA1388">
        <v>36</v>
      </c>
      <c r="AB1388">
        <v>28</v>
      </c>
      <c r="AC1388">
        <v>0</v>
      </c>
      <c r="AD1388">
        <v>752696981</v>
      </c>
      <c r="AE1388">
        <v>973651.91</v>
      </c>
      <c r="AF1388">
        <v>751723329.09000003</v>
      </c>
      <c r="AG1388">
        <v>751723329.09000003</v>
      </c>
      <c r="AH1388">
        <v>0</v>
      </c>
      <c r="AI1388">
        <v>0</v>
      </c>
    </row>
    <row r="1389" spans="13:35" x14ac:dyDescent="0.35">
      <c r="M1389" t="s">
        <v>0</v>
      </c>
      <c r="N1389">
        <v>5250</v>
      </c>
      <c r="O1389">
        <v>12</v>
      </c>
      <c r="P1389">
        <v>2540</v>
      </c>
      <c r="Q1389">
        <v>0</v>
      </c>
      <c r="R1389">
        <v>89429853343</v>
      </c>
      <c r="S1389">
        <v>110114479.94</v>
      </c>
      <c r="T1389">
        <v>89139302307.399994</v>
      </c>
      <c r="U1389">
        <v>89270592808.789993</v>
      </c>
      <c r="V1389">
        <v>2.3945000000000001E-2</v>
      </c>
      <c r="W1389">
        <v>6.5750000000000001E-3</v>
      </c>
      <c r="Y1389" t="s">
        <v>3</v>
      </c>
      <c r="Z1389">
        <v>5250</v>
      </c>
      <c r="AA1389">
        <v>36</v>
      </c>
      <c r="AB1389">
        <v>7</v>
      </c>
      <c r="AC1389">
        <v>0</v>
      </c>
      <c r="AD1389">
        <v>203614262</v>
      </c>
      <c r="AE1389">
        <v>285781.59000000003</v>
      </c>
      <c r="AF1389">
        <v>203328480.41</v>
      </c>
      <c r="AG1389">
        <v>203328480.41</v>
      </c>
      <c r="AH1389">
        <v>0</v>
      </c>
      <c r="AI1389">
        <v>0</v>
      </c>
    </row>
    <row r="1390" spans="13:35" x14ac:dyDescent="0.35">
      <c r="M1390" t="s">
        <v>2</v>
      </c>
      <c r="N1390">
        <v>5250</v>
      </c>
      <c r="O1390">
        <v>12</v>
      </c>
      <c r="P1390">
        <v>63</v>
      </c>
      <c r="Q1390">
        <v>0</v>
      </c>
      <c r="R1390">
        <v>1501388016</v>
      </c>
      <c r="S1390">
        <v>1847484.85</v>
      </c>
      <c r="T1390">
        <v>1499540531.1500001</v>
      </c>
      <c r="U1390">
        <v>1499540531.1500001</v>
      </c>
      <c r="V1390">
        <v>0</v>
      </c>
      <c r="W1390">
        <v>0</v>
      </c>
      <c r="Y1390" t="s">
        <v>3</v>
      </c>
      <c r="Z1390">
        <v>7250</v>
      </c>
      <c r="AA1390">
        <v>36</v>
      </c>
      <c r="AB1390">
        <v>35</v>
      </c>
      <c r="AC1390">
        <v>0</v>
      </c>
      <c r="AD1390">
        <v>779741647</v>
      </c>
      <c r="AE1390">
        <v>774168.4</v>
      </c>
      <c r="AF1390">
        <v>778967478.60000002</v>
      </c>
      <c r="AG1390">
        <v>778967478.60000002</v>
      </c>
      <c r="AH1390">
        <v>0</v>
      </c>
      <c r="AI1390">
        <v>0</v>
      </c>
    </row>
    <row r="1391" spans="13:35" x14ac:dyDescent="0.35">
      <c r="M1391" t="s">
        <v>1</v>
      </c>
      <c r="N1391">
        <v>5250</v>
      </c>
      <c r="O1391">
        <v>12</v>
      </c>
      <c r="P1391">
        <v>1702</v>
      </c>
      <c r="Q1391">
        <v>0</v>
      </c>
      <c r="R1391">
        <v>70369550942</v>
      </c>
      <c r="S1391">
        <v>86474910.099999994</v>
      </c>
      <c r="T1391">
        <v>69564648645.660004</v>
      </c>
      <c r="U1391">
        <v>70061475954.600006</v>
      </c>
      <c r="V1391">
        <v>0.11586200000000001</v>
      </c>
      <c r="W1391">
        <v>3.7141E-2</v>
      </c>
      <c r="Y1391" t="s">
        <v>1</v>
      </c>
      <c r="Z1391">
        <v>2000</v>
      </c>
      <c r="AA1391">
        <v>144</v>
      </c>
      <c r="AB1391">
        <v>18</v>
      </c>
      <c r="AC1391">
        <v>0</v>
      </c>
      <c r="AD1391">
        <v>225922508</v>
      </c>
      <c r="AE1391">
        <v>871338.25</v>
      </c>
      <c r="AF1391">
        <v>225051169.75</v>
      </c>
      <c r="AG1391">
        <v>225051169.75</v>
      </c>
      <c r="AH1391">
        <v>0</v>
      </c>
      <c r="AI1391">
        <v>0</v>
      </c>
    </row>
    <row r="1392" spans="13:35" x14ac:dyDescent="0.35">
      <c r="M1392" t="s">
        <v>3</v>
      </c>
      <c r="N1392">
        <v>7750</v>
      </c>
      <c r="O1392">
        <v>36</v>
      </c>
      <c r="P1392">
        <v>35</v>
      </c>
      <c r="Q1392">
        <v>0</v>
      </c>
      <c r="R1392">
        <v>592395734</v>
      </c>
      <c r="S1392">
        <v>540182.81000000006</v>
      </c>
      <c r="T1392">
        <v>591855551.19000006</v>
      </c>
      <c r="U1392">
        <v>591855551.19000006</v>
      </c>
      <c r="V1392">
        <v>0</v>
      </c>
      <c r="W1392">
        <v>0</v>
      </c>
      <c r="Y1392" t="s">
        <v>0</v>
      </c>
      <c r="Z1392">
        <v>8000</v>
      </c>
      <c r="AA1392">
        <v>18</v>
      </c>
      <c r="AB1392">
        <v>153</v>
      </c>
      <c r="AC1392">
        <v>0</v>
      </c>
      <c r="AD1392">
        <v>4331372478</v>
      </c>
      <c r="AE1392">
        <v>3369882.53</v>
      </c>
      <c r="AF1392">
        <v>4025180925.4899998</v>
      </c>
      <c r="AG1392">
        <v>4229861554.7600002</v>
      </c>
      <c r="AH1392">
        <v>0.58093700000000004</v>
      </c>
      <c r="AI1392">
        <v>0.240448</v>
      </c>
    </row>
    <row r="1393" spans="13:35" x14ac:dyDescent="0.35">
      <c r="M1393" t="s">
        <v>3</v>
      </c>
      <c r="N1393">
        <v>7500</v>
      </c>
      <c r="O1393">
        <v>36</v>
      </c>
      <c r="P1393">
        <v>28</v>
      </c>
      <c r="Q1393">
        <v>0</v>
      </c>
      <c r="R1393">
        <v>770915963</v>
      </c>
      <c r="S1393">
        <v>728272.9</v>
      </c>
      <c r="T1393">
        <v>770187690.10000002</v>
      </c>
      <c r="U1393">
        <v>770187690.10000002</v>
      </c>
      <c r="V1393">
        <v>0</v>
      </c>
      <c r="W1393">
        <v>0</v>
      </c>
      <c r="Y1393" t="s">
        <v>3</v>
      </c>
      <c r="Z1393">
        <v>7000</v>
      </c>
      <c r="AA1393">
        <v>30</v>
      </c>
      <c r="AB1393">
        <v>59</v>
      </c>
      <c r="AC1393">
        <v>0</v>
      </c>
      <c r="AD1393">
        <v>1573934314</v>
      </c>
      <c r="AE1393">
        <v>1576440.13</v>
      </c>
      <c r="AF1393">
        <v>1543862567.29</v>
      </c>
      <c r="AG1393">
        <v>1572357873.8699999</v>
      </c>
      <c r="AH1393">
        <v>0.19687499999999999</v>
      </c>
      <c r="AI1393">
        <v>0</v>
      </c>
    </row>
    <row r="1394" spans="13:35" x14ac:dyDescent="0.35">
      <c r="M1394" t="s">
        <v>1</v>
      </c>
      <c r="N1394">
        <v>8250</v>
      </c>
      <c r="O1394">
        <v>30</v>
      </c>
      <c r="P1394">
        <v>278</v>
      </c>
      <c r="Q1394">
        <v>0</v>
      </c>
      <c r="R1394">
        <v>6047779361</v>
      </c>
      <c r="S1394">
        <v>4818170.75</v>
      </c>
      <c r="T1394">
        <v>5634906279.9499998</v>
      </c>
      <c r="U1394">
        <v>5871952169.2299995</v>
      </c>
      <c r="V1394">
        <v>0.56754300000000002</v>
      </c>
      <c r="W1394">
        <v>0.291217</v>
      </c>
      <c r="Y1394" t="s">
        <v>3</v>
      </c>
      <c r="Z1394">
        <v>6500</v>
      </c>
      <c r="AA1394">
        <v>30</v>
      </c>
      <c r="AB1394">
        <v>33</v>
      </c>
      <c r="AC1394">
        <v>0</v>
      </c>
      <c r="AD1394">
        <v>740986226</v>
      </c>
      <c r="AE1394">
        <v>806186.25</v>
      </c>
      <c r="AF1394">
        <v>740180039.75</v>
      </c>
      <c r="AG1394">
        <v>740180039.75</v>
      </c>
      <c r="AH1394">
        <v>0</v>
      </c>
      <c r="AI1394">
        <v>0</v>
      </c>
    </row>
    <row r="1395" spans="13:35" x14ac:dyDescent="0.35">
      <c r="M1395" t="s">
        <v>0</v>
      </c>
      <c r="N1395">
        <v>4500</v>
      </c>
      <c r="O1395">
        <v>36</v>
      </c>
      <c r="P1395">
        <v>1031</v>
      </c>
      <c r="Q1395">
        <v>0</v>
      </c>
      <c r="R1395">
        <v>29966263963</v>
      </c>
      <c r="S1395">
        <v>47228618.479999997</v>
      </c>
      <c r="T1395">
        <v>29698283790.93</v>
      </c>
      <c r="U1395">
        <v>29846856501.369999</v>
      </c>
      <c r="V1395">
        <v>8.4904999999999994E-2</v>
      </c>
      <c r="W1395">
        <v>2.8524000000000001E-2</v>
      </c>
      <c r="Y1395" t="s">
        <v>3</v>
      </c>
      <c r="Z1395">
        <v>6250</v>
      </c>
      <c r="AA1395">
        <v>30</v>
      </c>
      <c r="AB1395">
        <v>57</v>
      </c>
      <c r="AC1395">
        <v>0</v>
      </c>
      <c r="AD1395">
        <v>1417820490</v>
      </c>
      <c r="AE1395">
        <v>1599139.35</v>
      </c>
      <c r="AF1395">
        <v>1402541571.9100001</v>
      </c>
      <c r="AG1395">
        <v>1416221350.6500001</v>
      </c>
      <c r="AH1395">
        <v>0.109831</v>
      </c>
      <c r="AI1395">
        <v>0</v>
      </c>
    </row>
    <row r="1396" spans="13:35" x14ac:dyDescent="0.35">
      <c r="M1396" t="s">
        <v>3</v>
      </c>
      <c r="N1396">
        <v>7750</v>
      </c>
      <c r="O1396">
        <v>30</v>
      </c>
      <c r="P1396">
        <v>30</v>
      </c>
      <c r="Q1396">
        <v>0</v>
      </c>
      <c r="R1396">
        <v>709553543</v>
      </c>
      <c r="S1396">
        <v>626885.29</v>
      </c>
      <c r="T1396">
        <v>708926657.71000004</v>
      </c>
      <c r="U1396">
        <v>708926657.71000004</v>
      </c>
      <c r="V1396">
        <v>0</v>
      </c>
      <c r="W1396">
        <v>0</v>
      </c>
      <c r="Y1396" t="s">
        <v>0</v>
      </c>
      <c r="Z1396">
        <v>5250</v>
      </c>
      <c r="AA1396">
        <v>10</v>
      </c>
      <c r="AB1396">
        <v>1298</v>
      </c>
      <c r="AC1396">
        <v>0</v>
      </c>
      <c r="AD1396">
        <v>45600175893</v>
      </c>
      <c r="AE1396">
        <v>55631077.399999999</v>
      </c>
      <c r="AF1396">
        <v>45329870049.910004</v>
      </c>
      <c r="AG1396">
        <v>45544544815.599998</v>
      </c>
      <c r="AH1396">
        <v>5.5052999999999998E-2</v>
      </c>
      <c r="AI1396">
        <v>0</v>
      </c>
    </row>
    <row r="1397" spans="13:35" x14ac:dyDescent="0.35">
      <c r="M1397" t="s">
        <v>0</v>
      </c>
      <c r="N1397">
        <v>7750</v>
      </c>
      <c r="O1397">
        <v>5</v>
      </c>
      <c r="P1397">
        <v>1788</v>
      </c>
      <c r="Q1397">
        <v>0</v>
      </c>
      <c r="R1397">
        <v>50198500000</v>
      </c>
      <c r="S1397">
        <v>36522667.359999999</v>
      </c>
      <c r="T1397">
        <v>50004592673.309998</v>
      </c>
      <c r="U1397">
        <v>50136296289.489998</v>
      </c>
      <c r="V1397">
        <v>3.6981E-2</v>
      </c>
      <c r="W1397">
        <v>6.1219999999999998E-3</v>
      </c>
      <c r="Y1397" t="s">
        <v>2</v>
      </c>
      <c r="Z1397">
        <v>5250</v>
      </c>
      <c r="AA1397">
        <v>10</v>
      </c>
      <c r="AB1397">
        <v>28</v>
      </c>
      <c r="AC1397">
        <v>0</v>
      </c>
      <c r="AD1397">
        <v>668534081</v>
      </c>
      <c r="AE1397">
        <v>816397.99</v>
      </c>
      <c r="AF1397">
        <v>667717683.00999999</v>
      </c>
      <c r="AG1397">
        <v>667717683.00999999</v>
      </c>
      <c r="AH1397">
        <v>0</v>
      </c>
      <c r="AI1397">
        <v>0</v>
      </c>
    </row>
    <row r="1398" spans="13:35" x14ac:dyDescent="0.35">
      <c r="M1398" t="s">
        <v>0</v>
      </c>
      <c r="N1398">
        <v>7500</v>
      </c>
      <c r="O1398">
        <v>5</v>
      </c>
      <c r="P1398">
        <v>710</v>
      </c>
      <c r="Q1398">
        <v>0</v>
      </c>
      <c r="R1398">
        <v>23974200000</v>
      </c>
      <c r="S1398">
        <v>18299413.739999998</v>
      </c>
      <c r="T1398">
        <v>23921427100.080002</v>
      </c>
      <c r="U1398">
        <v>23955900586.259998</v>
      </c>
      <c r="V1398">
        <v>1.7118999999999999E-2</v>
      </c>
      <c r="W1398">
        <v>0</v>
      </c>
      <c r="Y1398" t="s">
        <v>1</v>
      </c>
      <c r="Z1398">
        <v>5250</v>
      </c>
      <c r="AA1398">
        <v>10</v>
      </c>
      <c r="AB1398">
        <v>1042</v>
      </c>
      <c r="AC1398">
        <v>0</v>
      </c>
      <c r="AD1398">
        <v>43975552023</v>
      </c>
      <c r="AE1398">
        <v>53596023.890000001</v>
      </c>
      <c r="AF1398">
        <v>43751387986.339996</v>
      </c>
      <c r="AG1398">
        <v>43921955999.110001</v>
      </c>
      <c r="AH1398">
        <v>4.5564E-2</v>
      </c>
      <c r="AI1398">
        <v>0</v>
      </c>
    </row>
    <row r="1399" spans="13:35" x14ac:dyDescent="0.35">
      <c r="M1399" t="s">
        <v>0</v>
      </c>
      <c r="N1399">
        <v>8250</v>
      </c>
      <c r="O1399">
        <v>5</v>
      </c>
      <c r="P1399">
        <v>278</v>
      </c>
      <c r="Q1399">
        <v>0</v>
      </c>
      <c r="R1399">
        <v>8587900000</v>
      </c>
      <c r="S1399">
        <v>5655384.7300000004</v>
      </c>
      <c r="T1399">
        <v>8582244615.2700005</v>
      </c>
      <c r="U1399">
        <v>8582244615.2700005</v>
      </c>
      <c r="V1399">
        <v>0</v>
      </c>
      <c r="W1399">
        <v>0</v>
      </c>
      <c r="Y1399" t="s">
        <v>3</v>
      </c>
      <c r="Z1399">
        <v>7500</v>
      </c>
      <c r="AA1399">
        <v>36</v>
      </c>
      <c r="AB1399">
        <v>19</v>
      </c>
      <c r="AC1399">
        <v>0</v>
      </c>
      <c r="AD1399">
        <v>360595294</v>
      </c>
      <c r="AE1399">
        <v>341536.01</v>
      </c>
      <c r="AF1399">
        <v>351966630.92000002</v>
      </c>
      <c r="AG1399">
        <v>360253757.99000001</v>
      </c>
      <c r="AH1399">
        <v>0.24346000000000001</v>
      </c>
      <c r="AI1399">
        <v>0</v>
      </c>
    </row>
    <row r="1400" spans="13:35" x14ac:dyDescent="0.35">
      <c r="M1400" t="s">
        <v>0</v>
      </c>
      <c r="N1400">
        <v>8000</v>
      </c>
      <c r="O1400">
        <v>5</v>
      </c>
      <c r="P1400">
        <v>188</v>
      </c>
      <c r="Q1400">
        <v>0</v>
      </c>
      <c r="R1400">
        <v>6240800000</v>
      </c>
      <c r="S1400">
        <v>4335055.53</v>
      </c>
      <c r="T1400">
        <v>6236464944.4700003</v>
      </c>
      <c r="U1400">
        <v>6236464944.4700003</v>
      </c>
      <c r="V1400">
        <v>0</v>
      </c>
      <c r="W1400">
        <v>0</v>
      </c>
      <c r="Y1400" t="s">
        <v>3</v>
      </c>
      <c r="Z1400">
        <v>7750</v>
      </c>
      <c r="AA1400">
        <v>36</v>
      </c>
      <c r="AB1400">
        <v>26</v>
      </c>
      <c r="AC1400">
        <v>0</v>
      </c>
      <c r="AD1400">
        <v>424788023</v>
      </c>
      <c r="AE1400">
        <v>387235.96</v>
      </c>
      <c r="AF1400">
        <v>424400787.04000002</v>
      </c>
      <c r="AG1400">
        <v>424400787.04000002</v>
      </c>
      <c r="AH1400">
        <v>0</v>
      </c>
      <c r="AI1400">
        <v>0</v>
      </c>
    </row>
    <row r="1401" spans="13:35" x14ac:dyDescent="0.35">
      <c r="M1401" t="s">
        <v>0</v>
      </c>
      <c r="N1401">
        <v>7750</v>
      </c>
      <c r="O1401">
        <v>6</v>
      </c>
      <c r="P1401">
        <v>740</v>
      </c>
      <c r="Q1401">
        <v>0</v>
      </c>
      <c r="R1401">
        <v>20241454490</v>
      </c>
      <c r="S1401">
        <v>15042152.16</v>
      </c>
      <c r="T1401">
        <v>18990773637.790001</v>
      </c>
      <c r="U1401">
        <v>20216319964.73</v>
      </c>
      <c r="V1401">
        <v>0.53039000000000003</v>
      </c>
      <c r="W1401">
        <v>5.9670000000000001E-3</v>
      </c>
      <c r="Y1401" t="s">
        <v>2</v>
      </c>
      <c r="Z1401">
        <v>7250</v>
      </c>
      <c r="AA1401">
        <v>20</v>
      </c>
      <c r="AB1401">
        <v>810</v>
      </c>
      <c r="AC1401">
        <v>0</v>
      </c>
      <c r="AD1401">
        <v>12453659259</v>
      </c>
      <c r="AE1401">
        <v>11254047.4</v>
      </c>
      <c r="AF1401">
        <v>12327752057.040001</v>
      </c>
      <c r="AG1401">
        <v>12407069318.139999</v>
      </c>
      <c r="AH1401">
        <v>0.10505100000000001</v>
      </c>
      <c r="AI1401">
        <v>3.3522000000000003E-2</v>
      </c>
    </row>
    <row r="1402" spans="13:35" x14ac:dyDescent="0.35">
      <c r="M1402" t="s">
        <v>0</v>
      </c>
      <c r="N1402">
        <v>8000</v>
      </c>
      <c r="O1402">
        <v>6</v>
      </c>
      <c r="P1402">
        <v>86</v>
      </c>
      <c r="Q1402">
        <v>0</v>
      </c>
      <c r="R1402">
        <v>2939709279</v>
      </c>
      <c r="S1402">
        <v>2106102.7000000002</v>
      </c>
      <c r="T1402">
        <v>2874337358.1199999</v>
      </c>
      <c r="U1402">
        <v>2937603176.3000002</v>
      </c>
      <c r="V1402">
        <v>0.22977500000000001</v>
      </c>
      <c r="W1402">
        <v>0</v>
      </c>
      <c r="Y1402" t="s">
        <v>1</v>
      </c>
      <c r="Z1402">
        <v>8250</v>
      </c>
      <c r="AA1402">
        <v>30</v>
      </c>
      <c r="AB1402">
        <v>287</v>
      </c>
      <c r="AC1402">
        <v>0</v>
      </c>
      <c r="AD1402">
        <v>6352945696</v>
      </c>
      <c r="AE1402">
        <v>5037588.5999999996</v>
      </c>
      <c r="AF1402">
        <v>5912058733.3500004</v>
      </c>
      <c r="AG1402">
        <v>6118165715.4399996</v>
      </c>
      <c r="AH1402">
        <v>0.57381099999999996</v>
      </c>
      <c r="AI1402">
        <v>0.35724899999999998</v>
      </c>
    </row>
    <row r="1403" spans="13:35" x14ac:dyDescent="0.35">
      <c r="M1403" t="s">
        <v>0</v>
      </c>
      <c r="N1403">
        <v>8000</v>
      </c>
      <c r="O1403">
        <v>7</v>
      </c>
      <c r="P1403">
        <v>116</v>
      </c>
      <c r="Q1403">
        <v>0</v>
      </c>
      <c r="R1403">
        <v>3726845840</v>
      </c>
      <c r="S1403">
        <v>2686726.35</v>
      </c>
      <c r="T1403">
        <v>3649266898.2399998</v>
      </c>
      <c r="U1403">
        <v>3690460983.5799999</v>
      </c>
      <c r="V1403">
        <v>0.216199</v>
      </c>
      <c r="W1403">
        <v>0.103267</v>
      </c>
      <c r="Y1403" t="s">
        <v>2</v>
      </c>
      <c r="Z1403">
        <v>8000</v>
      </c>
      <c r="AA1403">
        <v>30</v>
      </c>
      <c r="AB1403">
        <v>76</v>
      </c>
      <c r="AC1403">
        <v>0</v>
      </c>
      <c r="AD1403">
        <v>1140433261</v>
      </c>
      <c r="AE1403">
        <v>941229.91</v>
      </c>
      <c r="AF1403">
        <v>1139492031.0899999</v>
      </c>
      <c r="AG1403">
        <v>1139492031.0899999</v>
      </c>
      <c r="AH1403">
        <v>0</v>
      </c>
      <c r="AI1403">
        <v>0</v>
      </c>
    </row>
    <row r="1404" spans="13:35" x14ac:dyDescent="0.35">
      <c r="M1404" t="s">
        <v>1</v>
      </c>
      <c r="N1404">
        <v>6250</v>
      </c>
      <c r="O1404">
        <v>9</v>
      </c>
      <c r="P1404">
        <v>8538</v>
      </c>
      <c r="Q1404">
        <v>0</v>
      </c>
      <c r="R1404">
        <v>340448153683</v>
      </c>
      <c r="S1404">
        <v>345023962</v>
      </c>
      <c r="T1404">
        <v>329428018252.90997</v>
      </c>
      <c r="U1404">
        <v>339835223150.52002</v>
      </c>
      <c r="V1404">
        <v>0.31770799999999999</v>
      </c>
      <c r="W1404">
        <v>9.4020000000000006E-3</v>
      </c>
      <c r="Y1404" t="s">
        <v>1</v>
      </c>
      <c r="Z1404">
        <v>5250</v>
      </c>
      <c r="AA1404">
        <v>30</v>
      </c>
      <c r="AB1404">
        <v>2303</v>
      </c>
      <c r="AC1404">
        <v>0</v>
      </c>
      <c r="AD1404">
        <v>87247278220</v>
      </c>
      <c r="AE1404">
        <v>117739416.12</v>
      </c>
      <c r="AF1404">
        <v>86320345367.199997</v>
      </c>
      <c r="AG1404">
        <v>86962886980.5</v>
      </c>
      <c r="AH1404">
        <v>0.105791</v>
      </c>
      <c r="AI1404">
        <v>2.2682000000000001E-2</v>
      </c>
    </row>
    <row r="1405" spans="13:35" x14ac:dyDescent="0.35">
      <c r="M1405" t="s">
        <v>2</v>
      </c>
      <c r="N1405">
        <v>4250</v>
      </c>
      <c r="O1405">
        <v>36</v>
      </c>
      <c r="P1405">
        <v>34</v>
      </c>
      <c r="Q1405">
        <v>0</v>
      </c>
      <c r="R1405">
        <v>575405352</v>
      </c>
      <c r="S1405">
        <v>959541.45</v>
      </c>
      <c r="T1405">
        <v>574445810.54999995</v>
      </c>
      <c r="U1405">
        <v>574445810.54999995</v>
      </c>
      <c r="V1405">
        <v>0</v>
      </c>
      <c r="W1405">
        <v>0</v>
      </c>
      <c r="Y1405" t="s">
        <v>0</v>
      </c>
      <c r="Z1405">
        <v>4500</v>
      </c>
      <c r="AA1405">
        <v>36</v>
      </c>
      <c r="AB1405">
        <v>1153</v>
      </c>
      <c r="AC1405">
        <v>0</v>
      </c>
      <c r="AD1405">
        <v>33764522083</v>
      </c>
      <c r="AE1405">
        <v>53240572.969999999</v>
      </c>
      <c r="AF1405">
        <v>33472714453.669998</v>
      </c>
      <c r="AG1405">
        <v>33625993006.689999</v>
      </c>
      <c r="AH1405">
        <v>8.1569000000000003E-2</v>
      </c>
      <c r="AI1405">
        <v>2.9894E-2</v>
      </c>
    </row>
    <row r="1406" spans="13:35" x14ac:dyDescent="0.35">
      <c r="M1406" t="s">
        <v>1</v>
      </c>
      <c r="N1406">
        <v>3250</v>
      </c>
      <c r="O1406">
        <v>36</v>
      </c>
      <c r="P1406">
        <v>83</v>
      </c>
      <c r="Q1406">
        <v>0</v>
      </c>
      <c r="R1406">
        <v>2235886277</v>
      </c>
      <c r="S1406">
        <v>4528312.8499999996</v>
      </c>
      <c r="T1406">
        <v>2231357964.1500001</v>
      </c>
      <c r="U1406">
        <v>2231357964.1500001</v>
      </c>
      <c r="V1406">
        <v>0</v>
      </c>
      <c r="W1406">
        <v>0</v>
      </c>
      <c r="Y1406" t="s">
        <v>0</v>
      </c>
      <c r="Z1406">
        <v>5250</v>
      </c>
      <c r="AA1406">
        <v>30</v>
      </c>
      <c r="AB1406">
        <v>4136</v>
      </c>
      <c r="AC1406">
        <v>0</v>
      </c>
      <c r="AD1406">
        <v>138394551987</v>
      </c>
      <c r="AE1406">
        <v>186681346.53999999</v>
      </c>
      <c r="AF1406">
        <v>137328375666.99001</v>
      </c>
      <c r="AG1406">
        <v>137952769759.81</v>
      </c>
      <c r="AH1406">
        <v>7.3649999999999993E-2</v>
      </c>
      <c r="AI1406">
        <v>2.1897E-2</v>
      </c>
    </row>
    <row r="1407" spans="13:35" x14ac:dyDescent="0.35">
      <c r="M1407" t="s">
        <v>1</v>
      </c>
      <c r="N1407">
        <v>4000</v>
      </c>
      <c r="O1407">
        <v>36</v>
      </c>
      <c r="P1407">
        <v>99</v>
      </c>
      <c r="Q1407">
        <v>0</v>
      </c>
      <c r="R1407">
        <v>3338486810</v>
      </c>
      <c r="S1407">
        <v>5804047.9699999997</v>
      </c>
      <c r="T1407">
        <v>3199641958.46</v>
      </c>
      <c r="U1407">
        <v>3270101297.9099998</v>
      </c>
      <c r="V1407">
        <v>0.38614500000000002</v>
      </c>
      <c r="W1407">
        <v>0.20314299999999999</v>
      </c>
      <c r="Y1407" t="s">
        <v>3</v>
      </c>
      <c r="Z1407">
        <v>7750</v>
      </c>
      <c r="AA1407">
        <v>30</v>
      </c>
      <c r="AB1407">
        <v>39</v>
      </c>
      <c r="AC1407">
        <v>0</v>
      </c>
      <c r="AD1407">
        <v>855842222</v>
      </c>
      <c r="AE1407">
        <v>754204.58</v>
      </c>
      <c r="AF1407">
        <v>855088017.41999996</v>
      </c>
      <c r="AG1407">
        <v>855088017.41999996</v>
      </c>
      <c r="AH1407">
        <v>0</v>
      </c>
      <c r="AI1407">
        <v>0</v>
      </c>
    </row>
    <row r="1408" spans="13:35" x14ac:dyDescent="0.35">
      <c r="M1408" t="s">
        <v>1</v>
      </c>
      <c r="N1408">
        <v>9000</v>
      </c>
      <c r="O1408">
        <v>30</v>
      </c>
      <c r="P1408">
        <v>26</v>
      </c>
      <c r="Q1408">
        <v>0</v>
      </c>
      <c r="R1408">
        <v>704104969</v>
      </c>
      <c r="S1408">
        <v>510800.3</v>
      </c>
      <c r="T1408">
        <v>703594168.70000005</v>
      </c>
      <c r="U1408">
        <v>703594168.70000005</v>
      </c>
      <c r="V1408">
        <v>0</v>
      </c>
      <c r="W1408">
        <v>0</v>
      </c>
      <c r="Y1408" t="s">
        <v>0</v>
      </c>
      <c r="Z1408">
        <v>8000</v>
      </c>
      <c r="AA1408">
        <v>5</v>
      </c>
      <c r="AB1408">
        <v>253</v>
      </c>
      <c r="AC1408">
        <v>0</v>
      </c>
      <c r="AD1408">
        <v>8481100000</v>
      </c>
      <c r="AE1408">
        <v>5930610.9100000001</v>
      </c>
      <c r="AF1408">
        <v>8448488009.7200003</v>
      </c>
      <c r="AG1408">
        <v>8475169389.0900002</v>
      </c>
      <c r="AH1408">
        <v>3.7104999999999999E-2</v>
      </c>
      <c r="AI1408">
        <v>0</v>
      </c>
    </row>
    <row r="1409" spans="13:35" x14ac:dyDescent="0.35">
      <c r="M1409" t="s">
        <v>2</v>
      </c>
      <c r="N1409">
        <v>8000</v>
      </c>
      <c r="O1409">
        <v>30</v>
      </c>
      <c r="P1409">
        <v>96</v>
      </c>
      <c r="Q1409">
        <v>0</v>
      </c>
      <c r="R1409">
        <v>1414864390</v>
      </c>
      <c r="S1409">
        <v>1168974.95</v>
      </c>
      <c r="T1409">
        <v>1340594316.3900001</v>
      </c>
      <c r="U1409">
        <v>1372764659.97</v>
      </c>
      <c r="V1409">
        <v>0.47090599999999999</v>
      </c>
      <c r="W1409">
        <v>0.29690899999999998</v>
      </c>
      <c r="Y1409" t="s">
        <v>0</v>
      </c>
      <c r="Z1409">
        <v>8250</v>
      </c>
      <c r="AA1409">
        <v>5</v>
      </c>
      <c r="AB1409">
        <v>330</v>
      </c>
      <c r="AC1409">
        <v>0</v>
      </c>
      <c r="AD1409">
        <v>10032900000</v>
      </c>
      <c r="AE1409">
        <v>6609234.0999999996</v>
      </c>
      <c r="AF1409">
        <v>9969927825.0400009</v>
      </c>
      <c r="AG1409">
        <v>10026290765.9</v>
      </c>
      <c r="AH1409">
        <v>6.5368999999999997E-2</v>
      </c>
      <c r="AI1409">
        <v>0</v>
      </c>
    </row>
    <row r="1410" spans="13:35" x14ac:dyDescent="0.35">
      <c r="M1410" t="s">
        <v>2</v>
      </c>
      <c r="N1410">
        <v>8250</v>
      </c>
      <c r="O1410">
        <v>30</v>
      </c>
      <c r="P1410">
        <v>128</v>
      </c>
      <c r="Q1410">
        <v>0</v>
      </c>
      <c r="R1410">
        <v>1722508000</v>
      </c>
      <c r="S1410">
        <v>1371620.72</v>
      </c>
      <c r="T1410">
        <v>1627608907.74</v>
      </c>
      <c r="U1410">
        <v>1663699849.96</v>
      </c>
      <c r="V1410">
        <v>0.48825200000000002</v>
      </c>
      <c r="W1410">
        <v>0.33432899999999999</v>
      </c>
      <c r="Y1410" t="s">
        <v>0</v>
      </c>
      <c r="Z1410">
        <v>7750</v>
      </c>
      <c r="AA1410">
        <v>5</v>
      </c>
      <c r="AB1410">
        <v>2420</v>
      </c>
      <c r="AC1410">
        <v>0</v>
      </c>
      <c r="AD1410">
        <v>67314200000</v>
      </c>
      <c r="AE1410">
        <v>49008323.109999999</v>
      </c>
      <c r="AF1410">
        <v>67199340677.199997</v>
      </c>
      <c r="AG1410">
        <v>67265191676.889999</v>
      </c>
      <c r="AH1410">
        <v>1.1676000000000001E-2</v>
      </c>
      <c r="AI1410">
        <v>0</v>
      </c>
    </row>
    <row r="1411" spans="13:35" x14ac:dyDescent="0.35">
      <c r="M1411" t="s">
        <v>2</v>
      </c>
      <c r="N1411">
        <v>5250</v>
      </c>
      <c r="O1411">
        <v>30</v>
      </c>
      <c r="P1411">
        <v>100</v>
      </c>
      <c r="Q1411">
        <v>0</v>
      </c>
      <c r="R1411">
        <v>2356480742</v>
      </c>
      <c r="S1411">
        <v>3167890.96</v>
      </c>
      <c r="T1411">
        <v>2353312851.04</v>
      </c>
      <c r="U1411">
        <v>2353312851.04</v>
      </c>
      <c r="V1411">
        <v>0</v>
      </c>
      <c r="W1411">
        <v>0</v>
      </c>
      <c r="Y1411" t="s">
        <v>0</v>
      </c>
      <c r="Z1411">
        <v>8000</v>
      </c>
      <c r="AA1411">
        <v>6</v>
      </c>
      <c r="AB1411">
        <v>118</v>
      </c>
      <c r="AC1411">
        <v>0</v>
      </c>
      <c r="AD1411">
        <v>3793992473</v>
      </c>
      <c r="AE1411">
        <v>2715056.97</v>
      </c>
      <c r="AF1411">
        <v>3728688421.4299998</v>
      </c>
      <c r="AG1411">
        <v>3791277416.0300002</v>
      </c>
      <c r="AH1411">
        <v>0.180953</v>
      </c>
      <c r="AI1411">
        <v>0</v>
      </c>
    </row>
    <row r="1412" spans="13:35" x14ac:dyDescent="0.35">
      <c r="M1412" t="s">
        <v>2</v>
      </c>
      <c r="N1412">
        <v>3500</v>
      </c>
      <c r="O1412">
        <v>42</v>
      </c>
      <c r="P1412">
        <v>94</v>
      </c>
      <c r="Q1412">
        <v>0</v>
      </c>
      <c r="R1412">
        <v>1535118613</v>
      </c>
      <c r="S1412">
        <v>3112649.81</v>
      </c>
      <c r="T1412">
        <v>1511112575.23</v>
      </c>
      <c r="U1412">
        <v>1511112575.23</v>
      </c>
      <c r="V1412">
        <v>0.15163599999999999</v>
      </c>
      <c r="W1412">
        <v>0.15163599999999999</v>
      </c>
      <c r="Y1412" t="s">
        <v>1</v>
      </c>
      <c r="Z1412">
        <v>6250</v>
      </c>
      <c r="AA1412">
        <v>8</v>
      </c>
      <c r="AB1412">
        <v>9014</v>
      </c>
      <c r="AC1412">
        <v>0</v>
      </c>
      <c r="AD1412">
        <v>362886444513</v>
      </c>
      <c r="AE1412">
        <v>365475525.52999997</v>
      </c>
      <c r="AF1412">
        <v>340649626270.62</v>
      </c>
      <c r="AG1412">
        <v>361559133687.40002</v>
      </c>
      <c r="AH1412">
        <v>0.52571999999999997</v>
      </c>
      <c r="AI1412">
        <v>3.1347E-2</v>
      </c>
    </row>
    <row r="1413" spans="13:35" x14ac:dyDescent="0.35">
      <c r="M1413" t="s">
        <v>2</v>
      </c>
      <c r="N1413">
        <v>5000</v>
      </c>
      <c r="O1413">
        <v>30</v>
      </c>
      <c r="P1413">
        <v>153</v>
      </c>
      <c r="Q1413">
        <v>0</v>
      </c>
      <c r="R1413">
        <v>4086838856</v>
      </c>
      <c r="S1413">
        <v>5716827.7000000002</v>
      </c>
      <c r="T1413">
        <v>4081122028.3000002</v>
      </c>
      <c r="U1413">
        <v>4081122028.3000002</v>
      </c>
      <c r="V1413">
        <v>0</v>
      </c>
      <c r="W1413">
        <v>0</v>
      </c>
      <c r="Y1413" t="s">
        <v>2</v>
      </c>
      <c r="Z1413">
        <v>4250</v>
      </c>
      <c r="AA1413">
        <v>36</v>
      </c>
      <c r="AB1413">
        <v>39</v>
      </c>
      <c r="AC1413">
        <v>0</v>
      </c>
      <c r="AD1413">
        <v>704758407</v>
      </c>
      <c r="AE1413">
        <v>1179703.31</v>
      </c>
      <c r="AF1413">
        <v>703578703.69000006</v>
      </c>
      <c r="AG1413">
        <v>703578703.69000006</v>
      </c>
      <c r="AH1413">
        <v>0</v>
      </c>
      <c r="AI1413">
        <v>0</v>
      </c>
    </row>
    <row r="1414" spans="13:35" x14ac:dyDescent="0.35">
      <c r="M1414" t="s">
        <v>1</v>
      </c>
      <c r="N1414">
        <v>5000</v>
      </c>
      <c r="O1414">
        <v>30</v>
      </c>
      <c r="P1414">
        <v>3152</v>
      </c>
      <c r="Q1414">
        <v>0</v>
      </c>
      <c r="R1414">
        <v>111773172318</v>
      </c>
      <c r="S1414">
        <v>156493216.25</v>
      </c>
      <c r="T1414">
        <v>110914648488.36</v>
      </c>
      <c r="U1414">
        <v>111455425823.61</v>
      </c>
      <c r="V1414">
        <v>7.2819999999999996E-2</v>
      </c>
      <c r="W1414">
        <v>1.7174999999999999E-2</v>
      </c>
      <c r="Y1414" t="s">
        <v>1</v>
      </c>
      <c r="Z1414">
        <v>3250</v>
      </c>
      <c r="AA1414">
        <v>36</v>
      </c>
      <c r="AB1414">
        <v>103</v>
      </c>
      <c r="AC1414">
        <v>0</v>
      </c>
      <c r="AD1414">
        <v>2962876226</v>
      </c>
      <c r="AE1414">
        <v>5999508.9400000004</v>
      </c>
      <c r="AF1414">
        <v>2903640638.3800001</v>
      </c>
      <c r="AG1414">
        <v>2903640638.3800001</v>
      </c>
      <c r="AH1414">
        <v>0.19553100000000001</v>
      </c>
      <c r="AI1414">
        <v>0.19553100000000001</v>
      </c>
    </row>
    <row r="1415" spans="13:35" x14ac:dyDescent="0.35">
      <c r="M1415" t="s">
        <v>0</v>
      </c>
      <c r="N1415">
        <v>5250</v>
      </c>
      <c r="O1415">
        <v>24</v>
      </c>
      <c r="P1415">
        <v>3700</v>
      </c>
      <c r="Q1415">
        <v>0</v>
      </c>
      <c r="R1415">
        <v>126473053134</v>
      </c>
      <c r="S1415">
        <v>165518780.40000001</v>
      </c>
      <c r="T1415">
        <v>125899860732.46001</v>
      </c>
      <c r="U1415">
        <v>126246890488.91</v>
      </c>
      <c r="V1415">
        <v>3.8002000000000001E-2</v>
      </c>
      <c r="W1415">
        <v>5.7390000000000002E-3</v>
      </c>
      <c r="Y1415" t="s">
        <v>1</v>
      </c>
      <c r="Z1415">
        <v>4000</v>
      </c>
      <c r="AA1415">
        <v>36</v>
      </c>
      <c r="AB1415">
        <v>142</v>
      </c>
      <c r="AC1415">
        <v>0</v>
      </c>
      <c r="AD1415">
        <v>4969600133</v>
      </c>
      <c r="AE1415">
        <v>8616697.5199999996</v>
      </c>
      <c r="AF1415">
        <v>4848653866.6000004</v>
      </c>
      <c r="AG1415">
        <v>4880309028.0900002</v>
      </c>
      <c r="AH1415">
        <v>0.23993600000000001</v>
      </c>
      <c r="AI1415">
        <v>0.178318</v>
      </c>
    </row>
    <row r="1416" spans="13:35" x14ac:dyDescent="0.35">
      <c r="M1416" t="s">
        <v>0</v>
      </c>
      <c r="N1416">
        <v>5000</v>
      </c>
      <c r="O1416">
        <v>24</v>
      </c>
      <c r="P1416">
        <v>8813</v>
      </c>
      <c r="Q1416">
        <v>0</v>
      </c>
      <c r="R1416">
        <v>293638976068</v>
      </c>
      <c r="S1416">
        <v>401410494.58999997</v>
      </c>
      <c r="T1416">
        <v>292609198938.31</v>
      </c>
      <c r="U1416">
        <v>292940905715.75</v>
      </c>
      <c r="V1416">
        <v>2.5378999999999999E-2</v>
      </c>
      <c r="W1416">
        <v>1.2056000000000001E-2</v>
      </c>
      <c r="Y1416" t="s">
        <v>1</v>
      </c>
      <c r="Z1416">
        <v>9000</v>
      </c>
      <c r="AA1416">
        <v>30</v>
      </c>
      <c r="AB1416">
        <v>29</v>
      </c>
      <c r="AC1416">
        <v>0</v>
      </c>
      <c r="AD1416">
        <v>799626295</v>
      </c>
      <c r="AE1416">
        <v>576201.24</v>
      </c>
      <c r="AF1416">
        <v>678743056.49000001</v>
      </c>
      <c r="AG1416">
        <v>686355154.36000001</v>
      </c>
      <c r="AH1416">
        <v>0.85866699999999996</v>
      </c>
      <c r="AI1416">
        <v>0.83844700000000005</v>
      </c>
    </row>
    <row r="1417" spans="13:35" x14ac:dyDescent="0.35">
      <c r="M1417" t="s">
        <v>2</v>
      </c>
      <c r="N1417">
        <v>5000</v>
      </c>
      <c r="O1417">
        <v>24</v>
      </c>
      <c r="P1417">
        <v>179</v>
      </c>
      <c r="Q1417">
        <v>0</v>
      </c>
      <c r="R1417">
        <v>4888323025</v>
      </c>
      <c r="S1417">
        <v>6674081.6900000004</v>
      </c>
      <c r="T1417">
        <v>4881648943.3100004</v>
      </c>
      <c r="U1417">
        <v>4881648943.3100004</v>
      </c>
      <c r="V1417">
        <v>0</v>
      </c>
      <c r="W1417">
        <v>0</v>
      </c>
      <c r="Y1417" t="s">
        <v>2</v>
      </c>
      <c r="Z1417">
        <v>8250</v>
      </c>
      <c r="AA1417">
        <v>30</v>
      </c>
      <c r="AB1417">
        <v>121</v>
      </c>
      <c r="AC1417">
        <v>0</v>
      </c>
      <c r="AD1417">
        <v>1643807412</v>
      </c>
      <c r="AE1417">
        <v>1295763.5</v>
      </c>
      <c r="AF1417">
        <v>1565567260.3599999</v>
      </c>
      <c r="AG1417">
        <v>1634662882.1900001</v>
      </c>
      <c r="AH1417">
        <v>0.43745000000000001</v>
      </c>
      <c r="AI1417">
        <v>5.5815999999999998E-2</v>
      </c>
    </row>
    <row r="1418" spans="13:35" x14ac:dyDescent="0.35">
      <c r="M1418" t="s">
        <v>2</v>
      </c>
      <c r="N1418">
        <v>5250</v>
      </c>
      <c r="O1418">
        <v>24</v>
      </c>
      <c r="P1418">
        <v>101</v>
      </c>
      <c r="Q1418">
        <v>0</v>
      </c>
      <c r="R1418">
        <v>2399221240</v>
      </c>
      <c r="S1418">
        <v>3141145.63</v>
      </c>
      <c r="T1418">
        <v>2338451905.0300002</v>
      </c>
      <c r="U1418">
        <v>2396080094.3699999</v>
      </c>
      <c r="V1418">
        <v>0.25304700000000002</v>
      </c>
      <c r="W1418">
        <v>0</v>
      </c>
      <c r="Y1418" t="s">
        <v>2</v>
      </c>
      <c r="Z1418">
        <v>4250</v>
      </c>
      <c r="AA1418">
        <v>30</v>
      </c>
      <c r="AB1418">
        <v>25</v>
      </c>
      <c r="AC1418">
        <v>0</v>
      </c>
      <c r="AD1418">
        <v>484981327</v>
      </c>
      <c r="AE1418">
        <v>784027.71</v>
      </c>
      <c r="AF1418">
        <v>484197299.29000002</v>
      </c>
      <c r="AG1418">
        <v>484197299.29000002</v>
      </c>
      <c r="AH1418">
        <v>0</v>
      </c>
      <c r="AI1418">
        <v>0</v>
      </c>
    </row>
    <row r="1419" spans="13:35" x14ac:dyDescent="0.35">
      <c r="M1419" t="s">
        <v>1</v>
      </c>
      <c r="N1419">
        <v>5000</v>
      </c>
      <c r="O1419">
        <v>24</v>
      </c>
      <c r="P1419">
        <v>3284</v>
      </c>
      <c r="Q1419">
        <v>0</v>
      </c>
      <c r="R1419">
        <v>118267939884</v>
      </c>
      <c r="S1419">
        <v>161695394.84</v>
      </c>
      <c r="T1419">
        <v>117529926104.36</v>
      </c>
      <c r="U1419">
        <v>117890682765.86</v>
      </c>
      <c r="V1419">
        <v>5.6933999999999998E-2</v>
      </c>
      <c r="W1419">
        <v>2.1654E-2</v>
      </c>
      <c r="Y1419" t="s">
        <v>2</v>
      </c>
      <c r="Z1419">
        <v>5250</v>
      </c>
      <c r="AA1419">
        <v>30</v>
      </c>
      <c r="AB1419">
        <v>98</v>
      </c>
      <c r="AC1419">
        <v>0</v>
      </c>
      <c r="AD1419">
        <v>2350907807</v>
      </c>
      <c r="AE1419">
        <v>3182048.17</v>
      </c>
      <c r="AF1419">
        <v>2317956924.1700001</v>
      </c>
      <c r="AG1419">
        <v>2347725758.8299999</v>
      </c>
      <c r="AH1419">
        <v>0.14180400000000001</v>
      </c>
      <c r="AI1419">
        <v>0</v>
      </c>
    </row>
    <row r="1420" spans="13:35" x14ac:dyDescent="0.35">
      <c r="M1420" t="s">
        <v>2</v>
      </c>
      <c r="N1420">
        <v>4750</v>
      </c>
      <c r="O1420">
        <v>20</v>
      </c>
      <c r="P1420">
        <v>20</v>
      </c>
      <c r="Q1420">
        <v>0</v>
      </c>
      <c r="R1420">
        <v>462540561</v>
      </c>
      <c r="S1420">
        <v>648430.14</v>
      </c>
      <c r="T1420">
        <v>461892130.86000001</v>
      </c>
      <c r="U1420">
        <v>461892130.86000001</v>
      </c>
      <c r="V1420">
        <v>0</v>
      </c>
      <c r="W1420">
        <v>0</v>
      </c>
      <c r="Y1420" t="s">
        <v>2</v>
      </c>
      <c r="Z1420">
        <v>3500</v>
      </c>
      <c r="AA1420">
        <v>36</v>
      </c>
      <c r="AB1420">
        <v>30</v>
      </c>
      <c r="AC1420">
        <v>0</v>
      </c>
      <c r="AD1420">
        <v>434781517</v>
      </c>
      <c r="AE1420">
        <v>855775.62</v>
      </c>
      <c r="AF1420">
        <v>424329809.31999999</v>
      </c>
      <c r="AG1420">
        <v>424329809.31999999</v>
      </c>
      <c r="AH1420">
        <v>0.23495099999999999</v>
      </c>
      <c r="AI1420">
        <v>0.23495099999999999</v>
      </c>
    </row>
    <row r="1421" spans="13:35" x14ac:dyDescent="0.35">
      <c r="M1421" t="s">
        <v>0</v>
      </c>
      <c r="N1421">
        <v>4750</v>
      </c>
      <c r="O1421">
        <v>20</v>
      </c>
      <c r="P1421">
        <v>1201</v>
      </c>
      <c r="Q1421">
        <v>0</v>
      </c>
      <c r="R1421">
        <v>39041752689</v>
      </c>
      <c r="S1421">
        <v>54627437.670000002</v>
      </c>
      <c r="T1421">
        <v>38987125251.330002</v>
      </c>
      <c r="U1421">
        <v>38987125251.330002</v>
      </c>
      <c r="V1421">
        <v>0</v>
      </c>
      <c r="W1421">
        <v>0</v>
      </c>
      <c r="Y1421" t="s">
        <v>2</v>
      </c>
      <c r="Z1421">
        <v>5000</v>
      </c>
      <c r="AA1421">
        <v>30</v>
      </c>
      <c r="AB1421">
        <v>136</v>
      </c>
      <c r="AC1421">
        <v>0</v>
      </c>
      <c r="AD1421">
        <v>3605782134</v>
      </c>
      <c r="AE1421">
        <v>5054938.03</v>
      </c>
      <c r="AF1421">
        <v>3600727195.9699998</v>
      </c>
      <c r="AG1421">
        <v>3600727195.9699998</v>
      </c>
      <c r="AH1421">
        <v>0</v>
      </c>
      <c r="AI1421">
        <v>0</v>
      </c>
    </row>
    <row r="1422" spans="13:35" x14ac:dyDescent="0.35">
      <c r="M1422" t="s">
        <v>0</v>
      </c>
      <c r="N1422">
        <v>4500</v>
      </c>
      <c r="O1422">
        <v>20</v>
      </c>
      <c r="P1422">
        <v>1267</v>
      </c>
      <c r="Q1422">
        <v>0</v>
      </c>
      <c r="R1422">
        <v>40022261971</v>
      </c>
      <c r="S1422">
        <v>58357052.700000003</v>
      </c>
      <c r="T1422">
        <v>39884864898.879997</v>
      </c>
      <c r="U1422">
        <v>39942300331.559998</v>
      </c>
      <c r="V1422">
        <v>2.3442999999999999E-2</v>
      </c>
      <c r="W1422">
        <v>6.4590000000000003E-3</v>
      </c>
      <c r="Y1422" t="s">
        <v>0</v>
      </c>
      <c r="Z1422">
        <v>5000</v>
      </c>
      <c r="AA1422">
        <v>24</v>
      </c>
      <c r="AB1422">
        <v>9407</v>
      </c>
      <c r="AC1422">
        <v>0</v>
      </c>
      <c r="AD1422">
        <v>315219320256</v>
      </c>
      <c r="AE1422">
        <v>430643344.75999999</v>
      </c>
      <c r="AF1422">
        <v>314017675849.07001</v>
      </c>
      <c r="AG1422">
        <v>314528258931.71002</v>
      </c>
      <c r="AH1422">
        <v>2.8958999999999999E-2</v>
      </c>
      <c r="AI1422">
        <v>9.8689999999999993E-3</v>
      </c>
    </row>
    <row r="1423" spans="13:35" x14ac:dyDescent="0.35">
      <c r="M1423" t="s">
        <v>3</v>
      </c>
      <c r="N1423">
        <v>7500</v>
      </c>
      <c r="O1423">
        <v>30</v>
      </c>
      <c r="P1423">
        <v>20</v>
      </c>
      <c r="Q1423">
        <v>0</v>
      </c>
      <c r="R1423">
        <v>418633107</v>
      </c>
      <c r="S1423">
        <v>383877.25</v>
      </c>
      <c r="T1423">
        <v>384362810.5</v>
      </c>
      <c r="U1423">
        <v>418249229.75</v>
      </c>
      <c r="V1423">
        <v>0.63684200000000002</v>
      </c>
      <c r="W1423">
        <v>0</v>
      </c>
      <c r="Y1423" t="s">
        <v>2</v>
      </c>
      <c r="Z1423">
        <v>5000</v>
      </c>
      <c r="AA1423">
        <v>24</v>
      </c>
      <c r="AB1423">
        <v>190</v>
      </c>
      <c r="AC1423">
        <v>0</v>
      </c>
      <c r="AD1423">
        <v>5208173298</v>
      </c>
      <c r="AE1423">
        <v>7102989.79</v>
      </c>
      <c r="AF1423">
        <v>5201070308.21</v>
      </c>
      <c r="AG1423">
        <v>5201070308.21</v>
      </c>
      <c r="AH1423">
        <v>0</v>
      </c>
      <c r="AI1423">
        <v>0</v>
      </c>
    </row>
    <row r="1424" spans="13:35" x14ac:dyDescent="0.35">
      <c r="M1424" t="s">
        <v>3</v>
      </c>
      <c r="N1424">
        <v>6000</v>
      </c>
      <c r="O1424">
        <v>30</v>
      </c>
      <c r="P1424">
        <v>23</v>
      </c>
      <c r="Q1424">
        <v>0</v>
      </c>
      <c r="R1424">
        <v>575967456</v>
      </c>
      <c r="S1424">
        <v>676183.14</v>
      </c>
      <c r="T1424">
        <v>575291272.86000001</v>
      </c>
      <c r="U1424">
        <v>575291272.86000001</v>
      </c>
      <c r="V1424">
        <v>0</v>
      </c>
      <c r="W1424">
        <v>0</v>
      </c>
      <c r="Y1424" t="s">
        <v>1</v>
      </c>
      <c r="Z1424">
        <v>5000</v>
      </c>
      <c r="AA1424">
        <v>24</v>
      </c>
      <c r="AB1424">
        <v>3483</v>
      </c>
      <c r="AC1424">
        <v>0</v>
      </c>
      <c r="AD1424">
        <v>127484003265</v>
      </c>
      <c r="AE1424">
        <v>174229275.58000001</v>
      </c>
      <c r="AF1424">
        <v>127016268631.22</v>
      </c>
      <c r="AG1424">
        <v>127276122215.63</v>
      </c>
      <c r="AH1424">
        <v>2.7279999999999999E-2</v>
      </c>
      <c r="AI1424">
        <v>3.163E-3</v>
      </c>
    </row>
    <row r="1425" spans="13:35" x14ac:dyDescent="0.35">
      <c r="M1425" t="s">
        <v>2</v>
      </c>
      <c r="N1425">
        <v>8250</v>
      </c>
      <c r="O1425">
        <v>36</v>
      </c>
      <c r="P1425">
        <v>1</v>
      </c>
      <c r="Q1425">
        <v>0</v>
      </c>
      <c r="R1425">
        <v>25027940</v>
      </c>
      <c r="S1425">
        <v>21443.26</v>
      </c>
      <c r="T1425">
        <v>25006496.739999998</v>
      </c>
      <c r="U1425">
        <v>25006496.739999998</v>
      </c>
      <c r="V1425">
        <v>0</v>
      </c>
      <c r="W1425">
        <v>0</v>
      </c>
      <c r="Y1425" t="s">
        <v>2</v>
      </c>
      <c r="Z1425">
        <v>5250</v>
      </c>
      <c r="AA1425">
        <v>24</v>
      </c>
      <c r="AB1425">
        <v>115</v>
      </c>
      <c r="AC1425">
        <v>0</v>
      </c>
      <c r="AD1425">
        <v>2726475403</v>
      </c>
      <c r="AE1425">
        <v>3571568.36</v>
      </c>
      <c r="AF1425">
        <v>2722903834.6399999</v>
      </c>
      <c r="AG1425">
        <v>2722903834.6399999</v>
      </c>
      <c r="AH1425">
        <v>0</v>
      </c>
      <c r="AI1425">
        <v>0</v>
      </c>
    </row>
    <row r="1426" spans="13:35" x14ac:dyDescent="0.35">
      <c r="M1426" t="s">
        <v>1</v>
      </c>
      <c r="N1426">
        <v>8500</v>
      </c>
      <c r="O1426">
        <v>30</v>
      </c>
      <c r="P1426">
        <v>36</v>
      </c>
      <c r="Q1426">
        <v>0</v>
      </c>
      <c r="R1426">
        <v>735335962</v>
      </c>
      <c r="S1426">
        <v>556228.32999999996</v>
      </c>
      <c r="T1426">
        <v>626845204.62</v>
      </c>
      <c r="U1426">
        <v>702521854.51999998</v>
      </c>
      <c r="V1426">
        <v>0.85116099999999995</v>
      </c>
      <c r="W1426">
        <v>0.416269</v>
      </c>
      <c r="Y1426" t="s">
        <v>2</v>
      </c>
      <c r="Z1426">
        <v>4750</v>
      </c>
      <c r="AA1426">
        <v>20</v>
      </c>
      <c r="AB1426">
        <v>19</v>
      </c>
      <c r="AC1426">
        <v>0</v>
      </c>
      <c r="AD1426">
        <v>439003440</v>
      </c>
      <c r="AE1426">
        <v>616796.26</v>
      </c>
      <c r="AF1426">
        <v>438386643.74000001</v>
      </c>
      <c r="AG1426">
        <v>438386643.74000001</v>
      </c>
      <c r="AH1426">
        <v>0</v>
      </c>
      <c r="AI1426">
        <v>0</v>
      </c>
    </row>
    <row r="1427" spans="13:35" x14ac:dyDescent="0.35">
      <c r="M1427" t="s">
        <v>1</v>
      </c>
      <c r="N1427">
        <v>8250</v>
      </c>
      <c r="O1427">
        <v>36</v>
      </c>
      <c r="P1427">
        <v>7</v>
      </c>
      <c r="Q1427">
        <v>0</v>
      </c>
      <c r="R1427">
        <v>203651302</v>
      </c>
      <c r="S1427">
        <v>174110.5</v>
      </c>
      <c r="T1427">
        <v>203477191.5</v>
      </c>
      <c r="U1427">
        <v>203477191.5</v>
      </c>
      <c r="V1427">
        <v>0</v>
      </c>
      <c r="W1427">
        <v>0</v>
      </c>
      <c r="Y1427" t="s">
        <v>0</v>
      </c>
      <c r="Z1427">
        <v>4750</v>
      </c>
      <c r="AA1427">
        <v>20</v>
      </c>
      <c r="AB1427">
        <v>811</v>
      </c>
      <c r="AC1427">
        <v>0</v>
      </c>
      <c r="AD1427">
        <v>24869650157</v>
      </c>
      <c r="AE1427">
        <v>34782627.880000003</v>
      </c>
      <c r="AF1427">
        <v>24790408082.93</v>
      </c>
      <c r="AG1427">
        <v>24813325484.93</v>
      </c>
      <c r="AH1427">
        <v>2.1243000000000001E-2</v>
      </c>
      <c r="AI1427">
        <v>1.0345E-2</v>
      </c>
    </row>
    <row r="1428" spans="13:35" x14ac:dyDescent="0.35">
      <c r="M1428" t="s">
        <v>0</v>
      </c>
      <c r="N1428">
        <v>8500</v>
      </c>
      <c r="O1428">
        <v>36</v>
      </c>
      <c r="P1428">
        <v>10</v>
      </c>
      <c r="Q1428">
        <v>0</v>
      </c>
      <c r="R1428">
        <v>334563064</v>
      </c>
      <c r="S1428">
        <v>264264.42</v>
      </c>
      <c r="T1428">
        <v>235668731.38</v>
      </c>
      <c r="U1428">
        <v>285074110.48000002</v>
      </c>
      <c r="V1428">
        <v>0.98487400000000003</v>
      </c>
      <c r="W1428">
        <v>0.85188900000000001</v>
      </c>
      <c r="Y1428" t="s">
        <v>3</v>
      </c>
      <c r="Z1428">
        <v>5750</v>
      </c>
      <c r="AA1428">
        <v>30</v>
      </c>
      <c r="AB1428">
        <v>11</v>
      </c>
      <c r="AC1428">
        <v>0</v>
      </c>
      <c r="AD1428">
        <v>250485064</v>
      </c>
      <c r="AE1428">
        <v>306727.96999999997</v>
      </c>
      <c r="AF1428">
        <v>250178336.03</v>
      </c>
      <c r="AG1428">
        <v>250178336.03</v>
      </c>
      <c r="AH1428">
        <v>0</v>
      </c>
      <c r="AI1428">
        <v>0</v>
      </c>
    </row>
    <row r="1429" spans="13:35" x14ac:dyDescent="0.35">
      <c r="M1429" t="s">
        <v>1</v>
      </c>
      <c r="N1429">
        <v>2500</v>
      </c>
      <c r="O1429">
        <v>36</v>
      </c>
      <c r="P1429">
        <v>9</v>
      </c>
      <c r="Q1429">
        <v>0</v>
      </c>
      <c r="R1429">
        <v>306287964</v>
      </c>
      <c r="S1429">
        <v>688354.26</v>
      </c>
      <c r="T1429">
        <v>305599609.74000001</v>
      </c>
      <c r="U1429">
        <v>305599609.74000001</v>
      </c>
      <c r="V1429">
        <v>0</v>
      </c>
      <c r="W1429">
        <v>0</v>
      </c>
      <c r="Y1429" t="s">
        <v>3</v>
      </c>
      <c r="Z1429">
        <v>7500</v>
      </c>
      <c r="AA1429">
        <v>30</v>
      </c>
      <c r="AB1429">
        <v>31</v>
      </c>
      <c r="AC1429">
        <v>0</v>
      </c>
      <c r="AD1429">
        <v>827219932</v>
      </c>
      <c r="AE1429">
        <v>762550.31</v>
      </c>
      <c r="AF1429">
        <v>826457381.69000006</v>
      </c>
      <c r="AG1429">
        <v>826457381.69000006</v>
      </c>
      <c r="AH1429">
        <v>0</v>
      </c>
      <c r="AI1429">
        <v>0</v>
      </c>
    </row>
    <row r="1430" spans="13:35" x14ac:dyDescent="0.35">
      <c r="M1430" t="s">
        <v>1</v>
      </c>
      <c r="N1430">
        <v>2250</v>
      </c>
      <c r="O1430">
        <v>36</v>
      </c>
      <c r="P1430">
        <v>32</v>
      </c>
      <c r="Q1430">
        <v>0</v>
      </c>
      <c r="R1430">
        <v>1288535845</v>
      </c>
      <c r="S1430">
        <v>3010267.65</v>
      </c>
      <c r="T1430">
        <v>1285525577.3499999</v>
      </c>
      <c r="U1430">
        <v>1285525577.3499999</v>
      </c>
      <c r="V1430">
        <v>0</v>
      </c>
      <c r="W1430">
        <v>0</v>
      </c>
      <c r="Y1430" t="s">
        <v>3</v>
      </c>
      <c r="Z1430">
        <v>6000</v>
      </c>
      <c r="AA1430">
        <v>30</v>
      </c>
      <c r="AB1430">
        <v>13</v>
      </c>
      <c r="AC1430">
        <v>0</v>
      </c>
      <c r="AD1430">
        <v>392185109</v>
      </c>
      <c r="AE1430">
        <v>465719.89</v>
      </c>
      <c r="AF1430">
        <v>391719389.11000001</v>
      </c>
      <c r="AG1430">
        <v>391719389.11000001</v>
      </c>
      <c r="AH1430">
        <v>0</v>
      </c>
      <c r="AI1430">
        <v>0</v>
      </c>
    </row>
    <row r="1431" spans="13:35" x14ac:dyDescent="0.35">
      <c r="M1431" t="s">
        <v>1</v>
      </c>
      <c r="N1431">
        <v>2750</v>
      </c>
      <c r="O1431">
        <v>36</v>
      </c>
      <c r="P1431">
        <v>41</v>
      </c>
      <c r="Q1431">
        <v>0</v>
      </c>
      <c r="R1431">
        <v>1233215607</v>
      </c>
      <c r="S1431">
        <v>2715062.27</v>
      </c>
      <c r="T1431">
        <v>1230500544.73</v>
      </c>
      <c r="U1431">
        <v>1230500544.73</v>
      </c>
      <c r="V1431">
        <v>0</v>
      </c>
      <c r="W1431">
        <v>0</v>
      </c>
      <c r="Y1431" t="s">
        <v>2</v>
      </c>
      <c r="Z1431">
        <v>8250</v>
      </c>
      <c r="AA1431">
        <v>36</v>
      </c>
      <c r="AB1431">
        <v>1</v>
      </c>
      <c r="AC1431">
        <v>0</v>
      </c>
      <c r="AD1431">
        <v>25064457</v>
      </c>
      <c r="AE1431">
        <v>21311.98</v>
      </c>
      <c r="AF1431">
        <v>25043145.02</v>
      </c>
      <c r="AG1431">
        <v>25043145.02</v>
      </c>
      <c r="AH1431">
        <v>0</v>
      </c>
      <c r="AI1431">
        <v>0</v>
      </c>
    </row>
    <row r="1432" spans="13:35" x14ac:dyDescent="0.35">
      <c r="M1432" t="s">
        <v>1</v>
      </c>
      <c r="N1432">
        <v>2500</v>
      </c>
      <c r="O1432">
        <v>30</v>
      </c>
      <c r="P1432">
        <v>8</v>
      </c>
      <c r="Q1432">
        <v>0</v>
      </c>
      <c r="R1432">
        <v>348774239</v>
      </c>
      <c r="S1432">
        <v>784136.36</v>
      </c>
      <c r="T1432">
        <v>347990102.63999999</v>
      </c>
      <c r="U1432">
        <v>347990102.63999999</v>
      </c>
      <c r="V1432">
        <v>0</v>
      </c>
      <c r="W1432">
        <v>0</v>
      </c>
      <c r="Y1432" t="s">
        <v>1</v>
      </c>
      <c r="Z1432">
        <v>8500</v>
      </c>
      <c r="AA1432">
        <v>30</v>
      </c>
      <c r="AB1432">
        <v>38</v>
      </c>
      <c r="AC1432">
        <v>0</v>
      </c>
      <c r="AD1432">
        <v>765739212</v>
      </c>
      <c r="AE1432">
        <v>574883.13</v>
      </c>
      <c r="AF1432">
        <v>735235306.75</v>
      </c>
      <c r="AG1432">
        <v>765164328.87</v>
      </c>
      <c r="AH1432">
        <v>0.380247</v>
      </c>
      <c r="AI1432">
        <v>0</v>
      </c>
    </row>
    <row r="1433" spans="13:35" x14ac:dyDescent="0.35">
      <c r="M1433" t="s">
        <v>1</v>
      </c>
      <c r="N1433">
        <v>4250</v>
      </c>
      <c r="O1433">
        <v>36</v>
      </c>
      <c r="P1433">
        <v>392</v>
      </c>
      <c r="Q1433">
        <v>0</v>
      </c>
      <c r="R1433">
        <v>13015049617</v>
      </c>
      <c r="S1433">
        <v>21455999.260000002</v>
      </c>
      <c r="T1433">
        <v>12761317505</v>
      </c>
      <c r="U1433">
        <v>12876287890.59</v>
      </c>
      <c r="V1433">
        <v>0.19434100000000001</v>
      </c>
      <c r="W1433">
        <v>0.102953</v>
      </c>
      <c r="Y1433" t="s">
        <v>0</v>
      </c>
      <c r="Z1433">
        <v>4750</v>
      </c>
      <c r="AA1433">
        <v>30</v>
      </c>
      <c r="AB1433">
        <v>1570</v>
      </c>
      <c r="AC1433">
        <v>0</v>
      </c>
      <c r="AD1433">
        <v>48511010094</v>
      </c>
      <c r="AE1433">
        <v>70768210.010000005</v>
      </c>
      <c r="AF1433">
        <v>48321084155.419998</v>
      </c>
      <c r="AG1433">
        <v>48440241883.989998</v>
      </c>
      <c r="AH1433">
        <v>2.9080999999999999E-2</v>
      </c>
      <c r="AI1433">
        <v>0</v>
      </c>
    </row>
    <row r="1434" spans="13:35" x14ac:dyDescent="0.35">
      <c r="M1434" t="s">
        <v>0</v>
      </c>
      <c r="N1434">
        <v>9000</v>
      </c>
      <c r="O1434">
        <v>36</v>
      </c>
      <c r="P1434">
        <v>7</v>
      </c>
      <c r="Q1434">
        <v>0</v>
      </c>
      <c r="R1434">
        <v>212463561</v>
      </c>
      <c r="S1434">
        <v>159716.06</v>
      </c>
      <c r="T1434">
        <v>180531087.34</v>
      </c>
      <c r="U1434">
        <v>180531087.34</v>
      </c>
      <c r="V1434">
        <v>0.85684099999999996</v>
      </c>
      <c r="W1434">
        <v>0.85684099999999996</v>
      </c>
      <c r="Y1434" t="s">
        <v>0</v>
      </c>
      <c r="Z1434">
        <v>4500</v>
      </c>
      <c r="AA1434">
        <v>30</v>
      </c>
      <c r="AB1434">
        <v>921</v>
      </c>
      <c r="AC1434">
        <v>0</v>
      </c>
      <c r="AD1434">
        <v>26920143042</v>
      </c>
      <c r="AE1434">
        <v>41013410.07</v>
      </c>
      <c r="AF1434">
        <v>26852751668.150002</v>
      </c>
      <c r="AG1434">
        <v>26879129631.93</v>
      </c>
      <c r="AH1434">
        <v>1.1695000000000001E-2</v>
      </c>
      <c r="AI1434">
        <v>0</v>
      </c>
    </row>
    <row r="1435" spans="13:35" x14ac:dyDescent="0.35">
      <c r="M1435" t="s">
        <v>3</v>
      </c>
      <c r="N1435">
        <v>5500</v>
      </c>
      <c r="O1435">
        <v>24</v>
      </c>
      <c r="P1435">
        <v>2</v>
      </c>
      <c r="Q1435">
        <v>0</v>
      </c>
      <c r="R1435">
        <v>49663079</v>
      </c>
      <c r="S1435">
        <v>61590.01</v>
      </c>
      <c r="T1435">
        <v>49601488.990000002</v>
      </c>
      <c r="U1435">
        <v>49601488.990000002</v>
      </c>
      <c r="V1435">
        <v>0</v>
      </c>
      <c r="W1435">
        <v>0</v>
      </c>
      <c r="Y1435" t="s">
        <v>0</v>
      </c>
      <c r="Z1435">
        <v>8500</v>
      </c>
      <c r="AA1435">
        <v>36</v>
      </c>
      <c r="AB1435">
        <v>6</v>
      </c>
      <c r="AC1435">
        <v>0</v>
      </c>
      <c r="AD1435">
        <v>227586296</v>
      </c>
      <c r="AE1435">
        <v>179574.66</v>
      </c>
      <c r="AF1435">
        <v>227406721.34</v>
      </c>
      <c r="AG1435">
        <v>227406721.34</v>
      </c>
      <c r="AH1435">
        <v>0</v>
      </c>
      <c r="AI1435">
        <v>0</v>
      </c>
    </row>
    <row r="1436" spans="13:35" x14ac:dyDescent="0.35">
      <c r="M1436" t="s">
        <v>3</v>
      </c>
      <c r="N1436">
        <v>6000</v>
      </c>
      <c r="O1436">
        <v>24</v>
      </c>
      <c r="P1436">
        <v>18</v>
      </c>
      <c r="Q1436">
        <v>0</v>
      </c>
      <c r="R1436">
        <v>428585274</v>
      </c>
      <c r="S1436">
        <v>495623.47</v>
      </c>
      <c r="T1436">
        <v>428089650.52999997</v>
      </c>
      <c r="U1436">
        <v>428089650.52999997</v>
      </c>
      <c r="V1436">
        <v>0</v>
      </c>
      <c r="W1436">
        <v>0</v>
      </c>
      <c r="Y1436" t="s">
        <v>1</v>
      </c>
      <c r="Z1436">
        <v>2500</v>
      </c>
      <c r="AA1436">
        <v>36</v>
      </c>
      <c r="AB1436">
        <v>11</v>
      </c>
      <c r="AC1436">
        <v>0</v>
      </c>
      <c r="AD1436">
        <v>360614735</v>
      </c>
      <c r="AE1436">
        <v>819029.02</v>
      </c>
      <c r="AF1436">
        <v>359795705.98000002</v>
      </c>
      <c r="AG1436">
        <v>359795705.98000002</v>
      </c>
      <c r="AH1436">
        <v>0</v>
      </c>
      <c r="AI1436">
        <v>0</v>
      </c>
    </row>
    <row r="1437" spans="13:35" x14ac:dyDescent="0.35">
      <c r="M1437" t="s">
        <v>0</v>
      </c>
      <c r="N1437">
        <v>8250</v>
      </c>
      <c r="O1437">
        <v>24</v>
      </c>
      <c r="P1437">
        <v>776</v>
      </c>
      <c r="Q1437">
        <v>0</v>
      </c>
      <c r="R1437">
        <v>21087708857</v>
      </c>
      <c r="S1437">
        <v>16048940.939999999</v>
      </c>
      <c r="T1437">
        <v>20553488623.509998</v>
      </c>
      <c r="U1437">
        <v>20925079429.529999</v>
      </c>
      <c r="V1437">
        <v>0.258106</v>
      </c>
      <c r="W1437">
        <v>8.0296000000000006E-2</v>
      </c>
      <c r="Y1437" t="s">
        <v>1</v>
      </c>
      <c r="Z1437">
        <v>2250</v>
      </c>
      <c r="AA1437">
        <v>36</v>
      </c>
      <c r="AB1437">
        <v>33</v>
      </c>
      <c r="AC1437">
        <v>0</v>
      </c>
      <c r="AD1437">
        <v>1302850767</v>
      </c>
      <c r="AE1437">
        <v>3042555.14</v>
      </c>
      <c r="AF1437">
        <v>1299808211.8599999</v>
      </c>
      <c r="AG1437">
        <v>1299808211.8599999</v>
      </c>
      <c r="AH1437">
        <v>0</v>
      </c>
      <c r="AI1437">
        <v>0</v>
      </c>
    </row>
    <row r="1438" spans="13:35" x14ac:dyDescent="0.35">
      <c r="M1438" t="s">
        <v>0</v>
      </c>
      <c r="N1438">
        <v>3000</v>
      </c>
      <c r="O1438">
        <v>36</v>
      </c>
      <c r="P1438">
        <v>24</v>
      </c>
      <c r="Q1438">
        <v>0</v>
      </c>
      <c r="R1438">
        <v>570577445</v>
      </c>
      <c r="S1438">
        <v>1156504.29</v>
      </c>
      <c r="T1438">
        <v>550860723.27999997</v>
      </c>
      <c r="U1438">
        <v>569420940.71000004</v>
      </c>
      <c r="V1438">
        <v>0.32755600000000001</v>
      </c>
      <c r="W1438">
        <v>0</v>
      </c>
      <c r="Y1438" t="s">
        <v>1</v>
      </c>
      <c r="Z1438">
        <v>2750</v>
      </c>
      <c r="AA1438">
        <v>36</v>
      </c>
      <c r="AB1438">
        <v>46</v>
      </c>
      <c r="AC1438">
        <v>0</v>
      </c>
      <c r="AD1438">
        <v>1372161317</v>
      </c>
      <c r="AE1438">
        <v>3022038.05</v>
      </c>
      <c r="AF1438">
        <v>1369139278.95</v>
      </c>
      <c r="AG1438">
        <v>1369139278.95</v>
      </c>
      <c r="AH1438">
        <v>0</v>
      </c>
      <c r="AI1438">
        <v>0</v>
      </c>
    </row>
    <row r="1439" spans="13:35" x14ac:dyDescent="0.35">
      <c r="M1439" t="s">
        <v>3</v>
      </c>
      <c r="N1439">
        <v>7250</v>
      </c>
      <c r="O1439">
        <v>24</v>
      </c>
      <c r="P1439">
        <v>43</v>
      </c>
      <c r="Q1439">
        <v>0</v>
      </c>
      <c r="R1439">
        <v>1169313413</v>
      </c>
      <c r="S1439">
        <v>1079460.45</v>
      </c>
      <c r="T1439">
        <v>1168233952.55</v>
      </c>
      <c r="U1439">
        <v>1168233952.55</v>
      </c>
      <c r="V1439">
        <v>0</v>
      </c>
      <c r="W1439">
        <v>0</v>
      </c>
      <c r="Y1439" t="s">
        <v>1</v>
      </c>
      <c r="Z1439">
        <v>2500</v>
      </c>
      <c r="AA1439">
        <v>30</v>
      </c>
      <c r="AB1439">
        <v>5</v>
      </c>
      <c r="AC1439">
        <v>0</v>
      </c>
      <c r="AD1439">
        <v>225472462</v>
      </c>
      <c r="AE1439">
        <v>494699.81</v>
      </c>
      <c r="AF1439">
        <v>224977762.19</v>
      </c>
      <c r="AG1439">
        <v>224977762.19</v>
      </c>
      <c r="AH1439">
        <v>0</v>
      </c>
      <c r="AI1439">
        <v>0</v>
      </c>
    </row>
    <row r="1440" spans="13:35" x14ac:dyDescent="0.35">
      <c r="M1440" t="s">
        <v>3</v>
      </c>
      <c r="N1440">
        <v>7000</v>
      </c>
      <c r="O1440">
        <v>24</v>
      </c>
      <c r="P1440">
        <v>49</v>
      </c>
      <c r="Q1440">
        <v>0</v>
      </c>
      <c r="R1440">
        <v>1195329612</v>
      </c>
      <c r="S1440">
        <v>1151985.56</v>
      </c>
      <c r="T1440">
        <v>1194177626.4400001</v>
      </c>
      <c r="U1440">
        <v>1194177626.4400001</v>
      </c>
      <c r="V1440">
        <v>0</v>
      </c>
      <c r="W1440">
        <v>0</v>
      </c>
      <c r="Y1440" t="s">
        <v>1</v>
      </c>
      <c r="Z1440">
        <v>4250</v>
      </c>
      <c r="AA1440">
        <v>36</v>
      </c>
      <c r="AB1440">
        <v>473</v>
      </c>
      <c r="AC1440">
        <v>0</v>
      </c>
      <c r="AD1440">
        <v>15739480385</v>
      </c>
      <c r="AE1440">
        <v>25983467.199999999</v>
      </c>
      <c r="AF1440">
        <v>15682756561.33</v>
      </c>
      <c r="AG1440">
        <v>15682756561.33</v>
      </c>
      <c r="AH1440">
        <v>2.3186999999999999E-2</v>
      </c>
      <c r="AI1440">
        <v>2.3186999999999999E-2</v>
      </c>
    </row>
    <row r="1441" spans="13:35" x14ac:dyDescent="0.35">
      <c r="M1441" t="s">
        <v>3</v>
      </c>
      <c r="N1441">
        <v>5750</v>
      </c>
      <c r="O1441">
        <v>24</v>
      </c>
      <c r="P1441">
        <v>18</v>
      </c>
      <c r="Q1441">
        <v>0</v>
      </c>
      <c r="R1441">
        <v>505705677</v>
      </c>
      <c r="S1441">
        <v>609968.17000000004</v>
      </c>
      <c r="T1441">
        <v>505095708.82999998</v>
      </c>
      <c r="U1441">
        <v>505095708.82999998</v>
      </c>
      <c r="V1441">
        <v>0</v>
      </c>
      <c r="W1441">
        <v>0</v>
      </c>
      <c r="Y1441" t="s">
        <v>1</v>
      </c>
      <c r="Z1441">
        <v>4750</v>
      </c>
      <c r="AA1441">
        <v>30</v>
      </c>
      <c r="AB1441">
        <v>643</v>
      </c>
      <c r="AC1441">
        <v>0</v>
      </c>
      <c r="AD1441">
        <v>21993038364</v>
      </c>
      <c r="AE1441">
        <v>32215430.670000002</v>
      </c>
      <c r="AF1441">
        <v>21679750781.77</v>
      </c>
      <c r="AG1441">
        <v>21826276961.130001</v>
      </c>
      <c r="AH1441">
        <v>0.14302699999999999</v>
      </c>
      <c r="AI1441">
        <v>7.0992E-2</v>
      </c>
    </row>
    <row r="1442" spans="13:35" x14ac:dyDescent="0.35">
      <c r="M1442" t="s">
        <v>1</v>
      </c>
      <c r="N1442">
        <v>3000</v>
      </c>
      <c r="O1442">
        <v>36</v>
      </c>
      <c r="P1442">
        <v>45</v>
      </c>
      <c r="Q1442">
        <v>0</v>
      </c>
      <c r="R1442">
        <v>1340716923</v>
      </c>
      <c r="S1442">
        <v>2908920.05</v>
      </c>
      <c r="T1442">
        <v>1322419877.45</v>
      </c>
      <c r="U1442">
        <v>1322419877.45</v>
      </c>
      <c r="V1442">
        <v>0.12936</v>
      </c>
      <c r="W1442">
        <v>0.12936</v>
      </c>
      <c r="Y1442" t="s">
        <v>1</v>
      </c>
      <c r="Z1442">
        <v>5000</v>
      </c>
      <c r="AA1442">
        <v>30</v>
      </c>
      <c r="AB1442">
        <v>2913</v>
      </c>
      <c r="AC1442">
        <v>0</v>
      </c>
      <c r="AD1442">
        <v>102023814679</v>
      </c>
      <c r="AE1442">
        <v>143247476.33000001</v>
      </c>
      <c r="AF1442">
        <v>101108019960.99001</v>
      </c>
      <c r="AG1442">
        <v>101617626273.42</v>
      </c>
      <c r="AH1442">
        <v>8.7176000000000003E-2</v>
      </c>
      <c r="AI1442">
        <v>3.0491999999999998E-2</v>
      </c>
    </row>
    <row r="1443" spans="13:35" x14ac:dyDescent="0.35">
      <c r="M1443" t="s">
        <v>1</v>
      </c>
      <c r="N1443">
        <v>3000</v>
      </c>
      <c r="O1443">
        <v>30</v>
      </c>
      <c r="P1443">
        <v>25</v>
      </c>
      <c r="Q1443">
        <v>0</v>
      </c>
      <c r="R1443">
        <v>723387061</v>
      </c>
      <c r="S1443">
        <v>1526080.31</v>
      </c>
      <c r="T1443">
        <v>721860980.69000006</v>
      </c>
      <c r="U1443">
        <v>721860980.69000006</v>
      </c>
      <c r="V1443">
        <v>0</v>
      </c>
      <c r="W1443">
        <v>0</v>
      </c>
      <c r="Y1443" t="s">
        <v>0</v>
      </c>
      <c r="Z1443">
        <v>9000</v>
      </c>
      <c r="AA1443">
        <v>36</v>
      </c>
      <c r="AB1443">
        <v>5</v>
      </c>
      <c r="AC1443">
        <v>0</v>
      </c>
      <c r="AD1443">
        <v>156744882</v>
      </c>
      <c r="AE1443">
        <v>117194.98</v>
      </c>
      <c r="AF1443">
        <v>156627687.02000001</v>
      </c>
      <c r="AG1443">
        <v>156627687.02000001</v>
      </c>
      <c r="AH1443">
        <v>0</v>
      </c>
      <c r="AI1443">
        <v>0</v>
      </c>
    </row>
    <row r="1444" spans="13:35" x14ac:dyDescent="0.35">
      <c r="M1444" t="s">
        <v>2</v>
      </c>
      <c r="N1444">
        <v>7250</v>
      </c>
      <c r="O1444">
        <v>20</v>
      </c>
      <c r="P1444">
        <v>609</v>
      </c>
      <c r="Q1444">
        <v>0</v>
      </c>
      <c r="R1444">
        <v>9347434484</v>
      </c>
      <c r="S1444">
        <v>8451434.6899999995</v>
      </c>
      <c r="T1444">
        <v>9202385350.5100002</v>
      </c>
      <c r="U1444">
        <v>9323482647.0699997</v>
      </c>
      <c r="V1444">
        <v>0.16193099999999999</v>
      </c>
      <c r="W1444">
        <v>1.9719E-2</v>
      </c>
      <c r="Y1444" t="s">
        <v>3</v>
      </c>
      <c r="Z1444">
        <v>6000</v>
      </c>
      <c r="AA1444">
        <v>24</v>
      </c>
      <c r="AB1444">
        <v>28</v>
      </c>
      <c r="AC1444">
        <v>0</v>
      </c>
      <c r="AD1444">
        <v>677742215</v>
      </c>
      <c r="AE1444">
        <v>781739.22</v>
      </c>
      <c r="AF1444">
        <v>676960475.77999997</v>
      </c>
      <c r="AG1444">
        <v>676960475.77999997</v>
      </c>
      <c r="AH1444">
        <v>0</v>
      </c>
      <c r="AI1444">
        <v>0</v>
      </c>
    </row>
    <row r="1445" spans="13:35" x14ac:dyDescent="0.35">
      <c r="M1445" t="s">
        <v>2</v>
      </c>
      <c r="N1445">
        <v>9000</v>
      </c>
      <c r="O1445">
        <v>30</v>
      </c>
      <c r="P1445">
        <v>7</v>
      </c>
      <c r="Q1445">
        <v>0</v>
      </c>
      <c r="R1445">
        <v>97344572</v>
      </c>
      <c r="S1445">
        <v>70025.789999999994</v>
      </c>
      <c r="T1445">
        <v>70914459.989999995</v>
      </c>
      <c r="U1445">
        <v>70914459.989999995</v>
      </c>
      <c r="V1445">
        <v>0.97739399999999999</v>
      </c>
      <c r="W1445">
        <v>0.97739399999999999</v>
      </c>
      <c r="Y1445" t="s">
        <v>3</v>
      </c>
      <c r="Z1445">
        <v>5500</v>
      </c>
      <c r="AA1445">
        <v>24</v>
      </c>
      <c r="AB1445">
        <v>1</v>
      </c>
      <c r="AC1445">
        <v>0</v>
      </c>
      <c r="AD1445">
        <v>12736487</v>
      </c>
      <c r="AE1445">
        <v>15908.27</v>
      </c>
      <c r="AF1445">
        <v>12720578.73</v>
      </c>
      <c r="AG1445">
        <v>12720578.73</v>
      </c>
      <c r="AH1445">
        <v>0</v>
      </c>
      <c r="AI1445">
        <v>0</v>
      </c>
    </row>
    <row r="1446" spans="13:35" x14ac:dyDescent="0.35">
      <c r="M1446" t="s">
        <v>2</v>
      </c>
      <c r="N1446">
        <v>8500</v>
      </c>
      <c r="O1446">
        <v>30</v>
      </c>
      <c r="P1446">
        <v>3</v>
      </c>
      <c r="Q1446">
        <v>0</v>
      </c>
      <c r="R1446">
        <v>44918518</v>
      </c>
      <c r="S1446">
        <v>34008.699999999997</v>
      </c>
      <c r="T1446">
        <v>44884509.299999997</v>
      </c>
      <c r="U1446">
        <v>44884509.299999997</v>
      </c>
      <c r="V1446">
        <v>0</v>
      </c>
      <c r="W1446">
        <v>0</v>
      </c>
      <c r="Y1446" t="s">
        <v>0</v>
      </c>
      <c r="Z1446">
        <v>8250</v>
      </c>
      <c r="AA1446">
        <v>24</v>
      </c>
      <c r="AB1446">
        <v>743</v>
      </c>
      <c r="AC1446">
        <v>0</v>
      </c>
      <c r="AD1446">
        <v>20244558778</v>
      </c>
      <c r="AE1446">
        <v>15402427.15</v>
      </c>
      <c r="AF1446">
        <v>19802093303.799999</v>
      </c>
      <c r="AG1446">
        <v>20061533314.540001</v>
      </c>
      <c r="AH1446">
        <v>0.225742</v>
      </c>
      <c r="AI1446">
        <v>9.4957E-2</v>
      </c>
    </row>
    <row r="1447" spans="13:35" x14ac:dyDescent="0.35">
      <c r="M1447" t="s">
        <v>0</v>
      </c>
      <c r="N1447">
        <v>8500</v>
      </c>
      <c r="O1447">
        <v>24</v>
      </c>
      <c r="P1447">
        <v>28</v>
      </c>
      <c r="Q1447">
        <v>0</v>
      </c>
      <c r="R1447">
        <v>642539236</v>
      </c>
      <c r="S1447">
        <v>471421.47</v>
      </c>
      <c r="T1447">
        <v>642067814.52999997</v>
      </c>
      <c r="U1447">
        <v>642067814.52999997</v>
      </c>
      <c r="V1447">
        <v>0</v>
      </c>
      <c r="W1447">
        <v>0</v>
      </c>
      <c r="Y1447" t="s">
        <v>3</v>
      </c>
      <c r="Z1447">
        <v>7250</v>
      </c>
      <c r="AA1447">
        <v>24</v>
      </c>
      <c r="AB1447">
        <v>45</v>
      </c>
      <c r="AC1447">
        <v>0</v>
      </c>
      <c r="AD1447">
        <v>1205159283</v>
      </c>
      <c r="AE1447">
        <v>1106396.3</v>
      </c>
      <c r="AF1447">
        <v>1204052886.7</v>
      </c>
      <c r="AG1447">
        <v>1204052886.7</v>
      </c>
      <c r="AH1447">
        <v>0</v>
      </c>
      <c r="AI1447">
        <v>0</v>
      </c>
    </row>
    <row r="1448" spans="13:35" x14ac:dyDescent="0.35">
      <c r="M1448" t="s">
        <v>1</v>
      </c>
      <c r="N1448">
        <v>8250</v>
      </c>
      <c r="O1448">
        <v>24</v>
      </c>
      <c r="P1448">
        <v>96</v>
      </c>
      <c r="Q1448">
        <v>0</v>
      </c>
      <c r="R1448">
        <v>2430743441</v>
      </c>
      <c r="S1448">
        <v>1853158.17</v>
      </c>
      <c r="T1448">
        <v>2298738205.5</v>
      </c>
      <c r="U1448">
        <v>2298738205.5</v>
      </c>
      <c r="V1448">
        <v>0.48334100000000002</v>
      </c>
      <c r="W1448">
        <v>0.48334100000000002</v>
      </c>
      <c r="Y1448" t="s">
        <v>3</v>
      </c>
      <c r="Z1448">
        <v>7000</v>
      </c>
      <c r="AA1448">
        <v>24</v>
      </c>
      <c r="AB1448">
        <v>35</v>
      </c>
      <c r="AC1448">
        <v>0</v>
      </c>
      <c r="AD1448">
        <v>881275662</v>
      </c>
      <c r="AE1448">
        <v>847255.51</v>
      </c>
      <c r="AF1448">
        <v>880428406.49000001</v>
      </c>
      <c r="AG1448">
        <v>880428406.49000001</v>
      </c>
      <c r="AH1448">
        <v>0</v>
      </c>
      <c r="AI1448">
        <v>0</v>
      </c>
    </row>
    <row r="1449" spans="13:35" x14ac:dyDescent="0.35">
      <c r="M1449" t="s">
        <v>0</v>
      </c>
      <c r="N1449">
        <v>8250</v>
      </c>
      <c r="O1449">
        <v>20</v>
      </c>
      <c r="P1449">
        <v>297</v>
      </c>
      <c r="Q1449">
        <v>0</v>
      </c>
      <c r="R1449">
        <v>8690073025</v>
      </c>
      <c r="S1449">
        <v>6442982.79</v>
      </c>
      <c r="T1449">
        <v>8464800042.71</v>
      </c>
      <c r="U1449">
        <v>8633501939.4799995</v>
      </c>
      <c r="V1449">
        <v>0.26365</v>
      </c>
      <c r="W1449">
        <v>6.7067000000000002E-2</v>
      </c>
      <c r="Y1449" t="s">
        <v>1</v>
      </c>
      <c r="Z1449">
        <v>3000</v>
      </c>
      <c r="AA1449">
        <v>36</v>
      </c>
      <c r="AB1449">
        <v>51</v>
      </c>
      <c r="AC1449">
        <v>0</v>
      </c>
      <c r="AD1449">
        <v>1535381728</v>
      </c>
      <c r="AE1449">
        <v>3316592.56</v>
      </c>
      <c r="AF1449">
        <v>1516197857.8099999</v>
      </c>
      <c r="AG1449">
        <v>1516197857.8099999</v>
      </c>
      <c r="AH1449">
        <v>0.117201</v>
      </c>
      <c r="AI1449">
        <v>0.117201</v>
      </c>
    </row>
    <row r="1450" spans="13:35" x14ac:dyDescent="0.35">
      <c r="M1450" t="s">
        <v>3</v>
      </c>
      <c r="N1450">
        <v>8000</v>
      </c>
      <c r="O1450">
        <v>30</v>
      </c>
      <c r="P1450">
        <v>2</v>
      </c>
      <c r="Q1450">
        <v>0</v>
      </c>
      <c r="R1450">
        <v>41858855</v>
      </c>
      <c r="S1450">
        <v>35224.99</v>
      </c>
      <c r="T1450">
        <v>41823630.009999998</v>
      </c>
      <c r="U1450">
        <v>41823630.009999998</v>
      </c>
      <c r="V1450">
        <v>0</v>
      </c>
      <c r="W1450">
        <v>0</v>
      </c>
      <c r="Y1450" t="s">
        <v>1</v>
      </c>
      <c r="Z1450">
        <v>3000</v>
      </c>
      <c r="AA1450">
        <v>30</v>
      </c>
      <c r="AB1450">
        <v>25</v>
      </c>
      <c r="AC1450">
        <v>0</v>
      </c>
      <c r="AD1450">
        <v>702402627</v>
      </c>
      <c r="AE1450">
        <v>1473043.6</v>
      </c>
      <c r="AF1450">
        <v>700929583.39999998</v>
      </c>
      <c r="AG1450">
        <v>700929583.39999998</v>
      </c>
      <c r="AH1450">
        <v>0</v>
      </c>
      <c r="AI1450">
        <v>0</v>
      </c>
    </row>
    <row r="1451" spans="13:35" x14ac:dyDescent="0.35">
      <c r="M1451" t="s">
        <v>2</v>
      </c>
      <c r="N1451">
        <v>8250</v>
      </c>
      <c r="O1451">
        <v>24</v>
      </c>
      <c r="P1451">
        <v>7</v>
      </c>
      <c r="Q1451">
        <v>0</v>
      </c>
      <c r="R1451">
        <v>98037837</v>
      </c>
      <c r="S1451">
        <v>74497.119999999995</v>
      </c>
      <c r="T1451">
        <v>97963339.879999995</v>
      </c>
      <c r="U1451">
        <v>97963339.879999995</v>
      </c>
      <c r="V1451">
        <v>0</v>
      </c>
      <c r="W1451">
        <v>0</v>
      </c>
      <c r="Y1451" t="s">
        <v>2</v>
      </c>
      <c r="Z1451">
        <v>9000</v>
      </c>
      <c r="AA1451">
        <v>30</v>
      </c>
      <c r="AB1451">
        <v>7</v>
      </c>
      <c r="AC1451">
        <v>0</v>
      </c>
      <c r="AD1451">
        <v>97357209</v>
      </c>
      <c r="AE1451">
        <v>69480.990000000005</v>
      </c>
      <c r="AF1451">
        <v>97287728.010000005</v>
      </c>
      <c r="AG1451">
        <v>97287728.010000005</v>
      </c>
      <c r="AH1451">
        <v>0</v>
      </c>
      <c r="AI1451">
        <v>0</v>
      </c>
    </row>
    <row r="1452" spans="13:35" x14ac:dyDescent="0.35">
      <c r="M1452" t="s">
        <v>0</v>
      </c>
      <c r="N1452">
        <v>4750</v>
      </c>
      <c r="O1452">
        <v>30</v>
      </c>
      <c r="P1452">
        <v>2114</v>
      </c>
      <c r="Q1452">
        <v>0</v>
      </c>
      <c r="R1452">
        <v>66081233300</v>
      </c>
      <c r="S1452">
        <v>96183852.319999993</v>
      </c>
      <c r="T1452">
        <v>65912274085.82</v>
      </c>
      <c r="U1452">
        <v>65954685736.089996</v>
      </c>
      <c r="V1452">
        <v>1.3136E-2</v>
      </c>
      <c r="W1452">
        <v>5.4999999999999997E-3</v>
      </c>
      <c r="Y1452" t="s">
        <v>2</v>
      </c>
      <c r="Z1452">
        <v>8500</v>
      </c>
      <c r="AA1452">
        <v>30</v>
      </c>
      <c r="AB1452">
        <v>3</v>
      </c>
      <c r="AC1452">
        <v>0</v>
      </c>
      <c r="AD1452">
        <v>44985355</v>
      </c>
      <c r="AE1452">
        <v>33796.53</v>
      </c>
      <c r="AF1452">
        <v>44951558.469999999</v>
      </c>
      <c r="AG1452">
        <v>44951558.469999999</v>
      </c>
      <c r="AH1452">
        <v>0</v>
      </c>
      <c r="AI1452">
        <v>0</v>
      </c>
    </row>
    <row r="1453" spans="13:35" x14ac:dyDescent="0.35">
      <c r="M1453" t="s">
        <v>2</v>
      </c>
      <c r="N1453">
        <v>4750</v>
      </c>
      <c r="O1453">
        <v>30</v>
      </c>
      <c r="P1453">
        <v>47</v>
      </c>
      <c r="Q1453">
        <v>0</v>
      </c>
      <c r="R1453">
        <v>1134542652</v>
      </c>
      <c r="S1453">
        <v>1658983.66</v>
      </c>
      <c r="T1453">
        <v>1132883668.3399999</v>
      </c>
      <c r="U1453">
        <v>1132883668.3399999</v>
      </c>
      <c r="V1453">
        <v>0</v>
      </c>
      <c r="W1453">
        <v>0</v>
      </c>
      <c r="Y1453" t="s">
        <v>0</v>
      </c>
      <c r="Z1453">
        <v>8500</v>
      </c>
      <c r="AA1453">
        <v>24</v>
      </c>
      <c r="AB1453">
        <v>33</v>
      </c>
      <c r="AC1453">
        <v>0</v>
      </c>
      <c r="AD1453">
        <v>727643533</v>
      </c>
      <c r="AE1453">
        <v>534897.6</v>
      </c>
      <c r="AF1453">
        <v>727108635.39999998</v>
      </c>
      <c r="AG1453">
        <v>727108635.39999998</v>
      </c>
      <c r="AH1453">
        <v>0</v>
      </c>
      <c r="AI1453">
        <v>0</v>
      </c>
    </row>
    <row r="1454" spans="13:35" x14ac:dyDescent="0.35">
      <c r="M1454" t="s">
        <v>1</v>
      </c>
      <c r="N1454">
        <v>4750</v>
      </c>
      <c r="O1454">
        <v>30</v>
      </c>
      <c r="P1454">
        <v>799</v>
      </c>
      <c r="Q1454">
        <v>0</v>
      </c>
      <c r="R1454">
        <v>27129113558</v>
      </c>
      <c r="S1454">
        <v>39521131.399999999</v>
      </c>
      <c r="T1454">
        <v>26876047563.34</v>
      </c>
      <c r="U1454">
        <v>26999250410.099998</v>
      </c>
      <c r="V1454">
        <v>9.0472999999999998E-2</v>
      </c>
      <c r="W1454">
        <v>3.9237000000000001E-2</v>
      </c>
      <c r="Y1454" t="s">
        <v>1</v>
      </c>
      <c r="Z1454">
        <v>8250</v>
      </c>
      <c r="AA1454">
        <v>24</v>
      </c>
      <c r="AB1454">
        <v>97</v>
      </c>
      <c r="AC1454">
        <v>0</v>
      </c>
      <c r="AD1454">
        <v>2311980534</v>
      </c>
      <c r="AE1454">
        <v>1760938.44</v>
      </c>
      <c r="AF1454">
        <v>2276990015.5100002</v>
      </c>
      <c r="AG1454">
        <v>2310219595.5599999</v>
      </c>
      <c r="AH1454">
        <v>0.159472</v>
      </c>
      <c r="AI1454">
        <v>0</v>
      </c>
    </row>
    <row r="1455" spans="13:35" x14ac:dyDescent="0.35">
      <c r="M1455" t="s">
        <v>0</v>
      </c>
      <c r="N1455">
        <v>4750</v>
      </c>
      <c r="O1455">
        <v>24</v>
      </c>
      <c r="P1455">
        <v>2106</v>
      </c>
      <c r="Q1455">
        <v>0</v>
      </c>
      <c r="R1455">
        <v>67030512352</v>
      </c>
      <c r="S1455">
        <v>95522401.420000002</v>
      </c>
      <c r="T1455">
        <v>66807804246.410004</v>
      </c>
      <c r="U1455">
        <v>66835698599.599998</v>
      </c>
      <c r="V1455">
        <v>2.2533000000000001E-2</v>
      </c>
      <c r="W1455">
        <v>1.7631000000000001E-2</v>
      </c>
      <c r="Y1455" t="s">
        <v>0</v>
      </c>
      <c r="Z1455">
        <v>8250</v>
      </c>
      <c r="AA1455">
        <v>20</v>
      </c>
      <c r="AB1455">
        <v>355</v>
      </c>
      <c r="AC1455">
        <v>0</v>
      </c>
      <c r="AD1455">
        <v>9752298601</v>
      </c>
      <c r="AE1455">
        <v>7234824.3499999996</v>
      </c>
      <c r="AF1455">
        <v>9599387556.5</v>
      </c>
      <c r="AG1455">
        <v>9745063776.6499996</v>
      </c>
      <c r="AH1455">
        <v>0.16523399999999999</v>
      </c>
      <c r="AI1455">
        <v>0</v>
      </c>
    </row>
    <row r="1456" spans="13:35" x14ac:dyDescent="0.35">
      <c r="M1456" t="s">
        <v>2</v>
      </c>
      <c r="N1456">
        <v>5250</v>
      </c>
      <c r="O1456">
        <v>20</v>
      </c>
      <c r="P1456">
        <v>62</v>
      </c>
      <c r="Q1456">
        <v>0</v>
      </c>
      <c r="R1456">
        <v>1460976059</v>
      </c>
      <c r="S1456">
        <v>1878072.4</v>
      </c>
      <c r="T1456">
        <v>1459097986.5999999</v>
      </c>
      <c r="U1456">
        <v>1459097986.5999999</v>
      </c>
      <c r="V1456">
        <v>0</v>
      </c>
      <c r="W1456">
        <v>0</v>
      </c>
      <c r="Y1456" t="s">
        <v>3</v>
      </c>
      <c r="Z1456">
        <v>8000</v>
      </c>
      <c r="AA1456">
        <v>30</v>
      </c>
      <c r="AB1456">
        <v>3</v>
      </c>
      <c r="AC1456">
        <v>0</v>
      </c>
      <c r="AD1456">
        <v>101845740</v>
      </c>
      <c r="AE1456">
        <v>85241.34</v>
      </c>
      <c r="AF1456">
        <v>41839683.75</v>
      </c>
      <c r="AG1456">
        <v>101760498.66</v>
      </c>
      <c r="AH1456">
        <v>0.99997599999999998</v>
      </c>
      <c r="AI1456">
        <v>0</v>
      </c>
    </row>
    <row r="1457" spans="13:35" x14ac:dyDescent="0.35">
      <c r="M1457" t="s">
        <v>1</v>
      </c>
      <c r="N1457">
        <v>7250</v>
      </c>
      <c r="O1457">
        <v>20</v>
      </c>
      <c r="P1457">
        <v>2102</v>
      </c>
      <c r="Q1457">
        <v>0</v>
      </c>
      <c r="R1457">
        <v>54312906884</v>
      </c>
      <c r="S1457">
        <v>49215465.899999999</v>
      </c>
      <c r="T1457">
        <v>52330847932.239998</v>
      </c>
      <c r="U1457">
        <v>53943346828.370003</v>
      </c>
      <c r="V1457">
        <v>0.35262500000000002</v>
      </c>
      <c r="W1457">
        <v>6.8526000000000004E-2</v>
      </c>
      <c r="Y1457" t="s">
        <v>1</v>
      </c>
      <c r="Z1457">
        <v>5750</v>
      </c>
      <c r="AA1457">
        <v>108</v>
      </c>
      <c r="AB1457">
        <v>8</v>
      </c>
      <c r="AC1457">
        <v>0</v>
      </c>
      <c r="AD1457">
        <v>82141877</v>
      </c>
      <c r="AE1457">
        <v>160942.35999999999</v>
      </c>
      <c r="AF1457">
        <v>81980934.640000001</v>
      </c>
      <c r="AG1457">
        <v>81980934.640000001</v>
      </c>
      <c r="AH1457">
        <v>0</v>
      </c>
      <c r="AI1457">
        <v>0</v>
      </c>
    </row>
    <row r="1458" spans="13:35" x14ac:dyDescent="0.35">
      <c r="M1458" t="s">
        <v>2</v>
      </c>
      <c r="N1458">
        <v>7750</v>
      </c>
      <c r="O1458">
        <v>20</v>
      </c>
      <c r="P1458">
        <v>173</v>
      </c>
      <c r="Q1458">
        <v>0</v>
      </c>
      <c r="R1458">
        <v>2139278912</v>
      </c>
      <c r="S1458">
        <v>1771551.27</v>
      </c>
      <c r="T1458">
        <v>2113576432.7</v>
      </c>
      <c r="U1458">
        <v>2121318054.0699999</v>
      </c>
      <c r="V1458">
        <v>0.126279</v>
      </c>
      <c r="W1458">
        <v>8.7125999999999995E-2</v>
      </c>
      <c r="Y1458" t="s">
        <v>2</v>
      </c>
      <c r="Z1458">
        <v>8250</v>
      </c>
      <c r="AA1458">
        <v>24</v>
      </c>
      <c r="AB1458">
        <v>20</v>
      </c>
      <c r="AC1458">
        <v>0</v>
      </c>
      <c r="AD1458">
        <v>255009111</v>
      </c>
      <c r="AE1458">
        <v>200528.79</v>
      </c>
      <c r="AF1458">
        <v>254808582.21000001</v>
      </c>
      <c r="AG1458">
        <v>254808582.21000001</v>
      </c>
      <c r="AH1458">
        <v>0</v>
      </c>
      <c r="AI1458">
        <v>0</v>
      </c>
    </row>
    <row r="1459" spans="13:35" x14ac:dyDescent="0.35">
      <c r="M1459" t="s">
        <v>1</v>
      </c>
      <c r="N1459">
        <v>7500</v>
      </c>
      <c r="O1459">
        <v>20</v>
      </c>
      <c r="P1459">
        <v>239</v>
      </c>
      <c r="Q1459">
        <v>0</v>
      </c>
      <c r="R1459">
        <v>6046348225</v>
      </c>
      <c r="S1459">
        <v>5225701.96</v>
      </c>
      <c r="T1459">
        <v>5388572711.1499996</v>
      </c>
      <c r="U1459">
        <v>5863133870.4300003</v>
      </c>
      <c r="V1459">
        <v>0.74600900000000003</v>
      </c>
      <c r="W1459">
        <v>0.301313</v>
      </c>
      <c r="Y1459" t="s">
        <v>2</v>
      </c>
      <c r="Z1459">
        <v>4750</v>
      </c>
      <c r="AA1459">
        <v>30</v>
      </c>
      <c r="AB1459">
        <v>45</v>
      </c>
      <c r="AC1459">
        <v>0</v>
      </c>
      <c r="AD1459">
        <v>1063195723</v>
      </c>
      <c r="AE1459">
        <v>1557334.18</v>
      </c>
      <c r="AF1459">
        <v>1061638388.8200001</v>
      </c>
      <c r="AG1459">
        <v>1061638388.8200001</v>
      </c>
      <c r="AH1459">
        <v>0</v>
      </c>
      <c r="AI1459">
        <v>0</v>
      </c>
    </row>
    <row r="1460" spans="13:35" x14ac:dyDescent="0.35">
      <c r="M1460" t="s">
        <v>0</v>
      </c>
      <c r="N1460">
        <v>5000</v>
      </c>
      <c r="O1460">
        <v>12</v>
      </c>
      <c r="P1460">
        <v>5292</v>
      </c>
      <c r="Q1460">
        <v>0</v>
      </c>
      <c r="R1460">
        <v>188404568814</v>
      </c>
      <c r="S1460">
        <v>242255004.5</v>
      </c>
      <c r="T1460">
        <v>187959954990.69</v>
      </c>
      <c r="U1460">
        <v>188089909162.22</v>
      </c>
      <c r="V1460">
        <v>1.2813E-2</v>
      </c>
      <c r="W1460">
        <v>4.6020000000000002E-3</v>
      </c>
      <c r="Y1460" t="s">
        <v>0</v>
      </c>
      <c r="Z1460">
        <v>4750</v>
      </c>
      <c r="AA1460">
        <v>24</v>
      </c>
      <c r="AB1460">
        <v>2570</v>
      </c>
      <c r="AC1460">
        <v>0</v>
      </c>
      <c r="AD1460">
        <v>82422484559</v>
      </c>
      <c r="AE1460">
        <v>117449715.34</v>
      </c>
      <c r="AF1460">
        <v>82128318471.050003</v>
      </c>
      <c r="AG1460">
        <v>82305034843.660004</v>
      </c>
      <c r="AH1460">
        <v>2.5427000000000002E-2</v>
      </c>
      <c r="AI1460">
        <v>0</v>
      </c>
    </row>
    <row r="1461" spans="13:35" x14ac:dyDescent="0.35">
      <c r="M1461" t="s">
        <v>0</v>
      </c>
      <c r="N1461">
        <v>5000</v>
      </c>
      <c r="O1461">
        <v>14</v>
      </c>
      <c r="P1461">
        <v>3484</v>
      </c>
      <c r="Q1461">
        <v>0</v>
      </c>
      <c r="R1461">
        <v>124295341472</v>
      </c>
      <c r="S1461">
        <v>161613605.59999999</v>
      </c>
      <c r="T1461">
        <v>123859286527.34</v>
      </c>
      <c r="U1461">
        <v>124068593411.14</v>
      </c>
      <c r="V1461">
        <v>2.6176000000000001E-2</v>
      </c>
      <c r="W1461">
        <v>6.2700000000000004E-3</v>
      </c>
      <c r="Y1461" t="s">
        <v>2</v>
      </c>
      <c r="Z1461">
        <v>4750</v>
      </c>
      <c r="AA1461">
        <v>24</v>
      </c>
      <c r="AB1461">
        <v>59</v>
      </c>
      <c r="AC1461">
        <v>0</v>
      </c>
      <c r="AD1461">
        <v>1543934935</v>
      </c>
      <c r="AE1461">
        <v>2202820.2799999998</v>
      </c>
      <c r="AF1461">
        <v>1541732114.72</v>
      </c>
      <c r="AG1461">
        <v>1541732114.72</v>
      </c>
      <c r="AH1461">
        <v>0</v>
      </c>
      <c r="AI1461">
        <v>0</v>
      </c>
    </row>
    <row r="1462" spans="13:35" x14ac:dyDescent="0.35">
      <c r="M1462" t="s">
        <v>3</v>
      </c>
      <c r="N1462">
        <v>7750</v>
      </c>
      <c r="O1462">
        <v>24</v>
      </c>
      <c r="P1462">
        <v>11</v>
      </c>
      <c r="Q1462">
        <v>0</v>
      </c>
      <c r="R1462">
        <v>229408176</v>
      </c>
      <c r="S1462">
        <v>194275.61</v>
      </c>
      <c r="T1462">
        <v>229213900.38999999</v>
      </c>
      <c r="U1462">
        <v>229213900.38999999</v>
      </c>
      <c r="V1462">
        <v>0</v>
      </c>
      <c r="W1462">
        <v>0</v>
      </c>
      <c r="Y1462" t="s">
        <v>1</v>
      </c>
      <c r="Z1462">
        <v>4750</v>
      </c>
      <c r="AA1462">
        <v>24</v>
      </c>
      <c r="AB1462">
        <v>909</v>
      </c>
      <c r="AC1462">
        <v>0</v>
      </c>
      <c r="AD1462">
        <v>32648339496</v>
      </c>
      <c r="AE1462">
        <v>46543209.829999998</v>
      </c>
      <c r="AF1462">
        <v>32354981485.59</v>
      </c>
      <c r="AG1462">
        <v>32530820399.720001</v>
      </c>
      <c r="AH1462">
        <v>8.7039000000000005E-2</v>
      </c>
      <c r="AI1462">
        <v>2.5777999999999999E-2</v>
      </c>
    </row>
    <row r="1463" spans="13:35" x14ac:dyDescent="0.35">
      <c r="M1463" t="s">
        <v>1</v>
      </c>
      <c r="N1463">
        <v>7250</v>
      </c>
      <c r="O1463">
        <v>18</v>
      </c>
      <c r="P1463">
        <v>546</v>
      </c>
      <c r="Q1463">
        <v>0</v>
      </c>
      <c r="R1463">
        <v>13183939752</v>
      </c>
      <c r="S1463">
        <v>11783886.630000001</v>
      </c>
      <c r="T1463">
        <v>12005083416.809999</v>
      </c>
      <c r="U1463">
        <v>13002341627.719999</v>
      </c>
      <c r="V1463">
        <v>0.671184</v>
      </c>
      <c r="W1463">
        <v>0.14407200000000001</v>
      </c>
      <c r="Y1463" t="s">
        <v>0</v>
      </c>
      <c r="Z1463">
        <v>5250</v>
      </c>
      <c r="AA1463">
        <v>20</v>
      </c>
      <c r="AB1463">
        <v>1575</v>
      </c>
      <c r="AC1463">
        <v>0</v>
      </c>
      <c r="AD1463">
        <v>54418575726</v>
      </c>
      <c r="AE1463">
        <v>69983918.019999996</v>
      </c>
      <c r="AF1463">
        <v>54255683290.400002</v>
      </c>
      <c r="AG1463">
        <v>54336534199.019997</v>
      </c>
      <c r="AH1463">
        <v>2.0296000000000002E-2</v>
      </c>
      <c r="AI1463">
        <v>2.6559999999999999E-3</v>
      </c>
    </row>
    <row r="1464" spans="13:35" x14ac:dyDescent="0.35">
      <c r="M1464" t="s">
        <v>0</v>
      </c>
      <c r="N1464">
        <v>4500</v>
      </c>
      <c r="O1464">
        <v>30</v>
      </c>
      <c r="P1464">
        <v>1313</v>
      </c>
      <c r="Q1464">
        <v>0</v>
      </c>
      <c r="R1464">
        <v>39486213228</v>
      </c>
      <c r="S1464">
        <v>59851735.890000001</v>
      </c>
      <c r="T1464">
        <v>39426361492.110001</v>
      </c>
      <c r="U1464">
        <v>39426361492.110001</v>
      </c>
      <c r="V1464">
        <v>0</v>
      </c>
      <c r="W1464">
        <v>0</v>
      </c>
      <c r="Y1464" t="s">
        <v>2</v>
      </c>
      <c r="Z1464">
        <v>5250</v>
      </c>
      <c r="AA1464">
        <v>20</v>
      </c>
      <c r="AB1464">
        <v>47</v>
      </c>
      <c r="AC1464">
        <v>0</v>
      </c>
      <c r="AD1464">
        <v>1092877390</v>
      </c>
      <c r="AE1464">
        <v>1405473.05</v>
      </c>
      <c r="AF1464">
        <v>1091471916.95</v>
      </c>
      <c r="AG1464">
        <v>1091471916.95</v>
      </c>
      <c r="AH1464">
        <v>0</v>
      </c>
      <c r="AI1464">
        <v>0</v>
      </c>
    </row>
    <row r="1465" spans="13:35" x14ac:dyDescent="0.35">
      <c r="M1465" t="s">
        <v>0</v>
      </c>
      <c r="N1465">
        <v>4500</v>
      </c>
      <c r="O1465">
        <v>24</v>
      </c>
      <c r="P1465">
        <v>1310</v>
      </c>
      <c r="Q1465">
        <v>0</v>
      </c>
      <c r="R1465">
        <v>39951756423</v>
      </c>
      <c r="S1465">
        <v>59308368.920000002</v>
      </c>
      <c r="T1465">
        <v>39802233525.849998</v>
      </c>
      <c r="U1465">
        <v>39892448054.080002</v>
      </c>
      <c r="V1465">
        <v>2.6762999999999999E-2</v>
      </c>
      <c r="W1465">
        <v>0</v>
      </c>
      <c r="Y1465" t="s">
        <v>1</v>
      </c>
      <c r="Z1465">
        <v>5250</v>
      </c>
      <c r="AA1465">
        <v>20</v>
      </c>
      <c r="AB1465">
        <v>724</v>
      </c>
      <c r="AC1465">
        <v>0</v>
      </c>
      <c r="AD1465">
        <v>27274368791</v>
      </c>
      <c r="AE1465">
        <v>35058593.490000002</v>
      </c>
      <c r="AF1465">
        <v>27125589709.830002</v>
      </c>
      <c r="AG1465">
        <v>27196278186.23</v>
      </c>
      <c r="AH1465">
        <v>4.8902000000000001E-2</v>
      </c>
      <c r="AI1465">
        <v>1.8769999999999998E-2</v>
      </c>
    </row>
    <row r="1466" spans="13:35" x14ac:dyDescent="0.35">
      <c r="M1466" t="s">
        <v>1</v>
      </c>
      <c r="N1466">
        <v>4500</v>
      </c>
      <c r="O1466">
        <v>24</v>
      </c>
      <c r="P1466">
        <v>570</v>
      </c>
      <c r="Q1466">
        <v>0</v>
      </c>
      <c r="R1466">
        <v>18929302900</v>
      </c>
      <c r="S1466">
        <v>28240296.73</v>
      </c>
      <c r="T1466">
        <v>18754940167.48</v>
      </c>
      <c r="U1466">
        <v>18812180366.610001</v>
      </c>
      <c r="V1466">
        <v>8.8799000000000003E-2</v>
      </c>
      <c r="W1466">
        <v>5.4912999999999997E-2</v>
      </c>
      <c r="Y1466" t="s">
        <v>1</v>
      </c>
      <c r="Z1466">
        <v>7750</v>
      </c>
      <c r="AA1466">
        <v>20</v>
      </c>
      <c r="AB1466">
        <v>236</v>
      </c>
      <c r="AC1466">
        <v>0</v>
      </c>
      <c r="AD1466">
        <v>5557985218</v>
      </c>
      <c r="AE1466">
        <v>4586127.88</v>
      </c>
      <c r="AF1466">
        <v>5381832049.6400003</v>
      </c>
      <c r="AG1466">
        <v>5511105494.0100002</v>
      </c>
      <c r="AH1466">
        <v>0.31357600000000002</v>
      </c>
      <c r="AI1466">
        <v>8.7587999999999999E-2</v>
      </c>
    </row>
    <row r="1467" spans="13:35" x14ac:dyDescent="0.35">
      <c r="M1467" t="s">
        <v>1</v>
      </c>
      <c r="N1467">
        <v>8500</v>
      </c>
      <c r="O1467">
        <v>24</v>
      </c>
      <c r="P1467">
        <v>30</v>
      </c>
      <c r="Q1467">
        <v>0</v>
      </c>
      <c r="R1467">
        <v>793703943</v>
      </c>
      <c r="S1467">
        <v>568357.05000000005</v>
      </c>
      <c r="T1467">
        <v>793135585.95000005</v>
      </c>
      <c r="U1467">
        <v>793135585.95000005</v>
      </c>
      <c r="V1467">
        <v>0</v>
      </c>
      <c r="W1467">
        <v>0</v>
      </c>
      <c r="Y1467" t="s">
        <v>2</v>
      </c>
      <c r="Z1467">
        <v>7750</v>
      </c>
      <c r="AA1467">
        <v>20</v>
      </c>
      <c r="AB1467">
        <v>166</v>
      </c>
      <c r="AC1467">
        <v>0</v>
      </c>
      <c r="AD1467">
        <v>2262632043</v>
      </c>
      <c r="AE1467">
        <v>1860189.74</v>
      </c>
      <c r="AF1467">
        <v>2118494881.23</v>
      </c>
      <c r="AG1467">
        <v>2153689336.9699998</v>
      </c>
      <c r="AH1467">
        <v>0.541292</v>
      </c>
      <c r="AI1467">
        <v>0.44110700000000003</v>
      </c>
    </row>
    <row r="1468" spans="13:35" x14ac:dyDescent="0.35">
      <c r="M1468" t="s">
        <v>0</v>
      </c>
      <c r="N1468">
        <v>9000</v>
      </c>
      <c r="O1468">
        <v>24</v>
      </c>
      <c r="P1468">
        <v>74</v>
      </c>
      <c r="Q1468">
        <v>0</v>
      </c>
      <c r="R1468">
        <v>1898579376</v>
      </c>
      <c r="S1468">
        <v>1313369.5</v>
      </c>
      <c r="T1468">
        <v>1866568973.25</v>
      </c>
      <c r="U1468">
        <v>1866568973.25</v>
      </c>
      <c r="V1468">
        <v>0.17766399999999999</v>
      </c>
      <c r="W1468">
        <v>0.17766399999999999</v>
      </c>
      <c r="Y1468" t="s">
        <v>3</v>
      </c>
      <c r="Z1468">
        <v>7500</v>
      </c>
      <c r="AA1468">
        <v>24</v>
      </c>
      <c r="AB1468">
        <v>4</v>
      </c>
      <c r="AC1468">
        <v>0</v>
      </c>
      <c r="AD1468">
        <v>81144767</v>
      </c>
      <c r="AE1468">
        <v>71673.89</v>
      </c>
      <c r="AF1468">
        <v>81073093.109999999</v>
      </c>
      <c r="AG1468">
        <v>81073093.109999999</v>
      </c>
      <c r="AH1468">
        <v>0</v>
      </c>
      <c r="AI1468">
        <v>0</v>
      </c>
    </row>
    <row r="1469" spans="13:35" x14ac:dyDescent="0.35">
      <c r="M1469" t="s">
        <v>3</v>
      </c>
      <c r="N1469">
        <v>7000</v>
      </c>
      <c r="O1469">
        <v>20</v>
      </c>
      <c r="P1469">
        <v>22</v>
      </c>
      <c r="Q1469">
        <v>0</v>
      </c>
      <c r="R1469">
        <v>499596083</v>
      </c>
      <c r="S1469">
        <v>473066.54</v>
      </c>
      <c r="T1469">
        <v>499123016.45999998</v>
      </c>
      <c r="U1469">
        <v>499123016.45999998</v>
      </c>
      <c r="V1469">
        <v>0</v>
      </c>
      <c r="W1469">
        <v>0</v>
      </c>
      <c r="Y1469" t="s">
        <v>3</v>
      </c>
      <c r="Z1469">
        <v>7750</v>
      </c>
      <c r="AA1469">
        <v>24</v>
      </c>
      <c r="AB1469">
        <v>9</v>
      </c>
      <c r="AC1469">
        <v>0</v>
      </c>
      <c r="AD1469">
        <v>205981355</v>
      </c>
      <c r="AE1469">
        <v>174747.63</v>
      </c>
      <c r="AF1469">
        <v>205806607.37</v>
      </c>
      <c r="AG1469">
        <v>205806607.37</v>
      </c>
      <c r="AH1469">
        <v>0</v>
      </c>
      <c r="AI1469">
        <v>0</v>
      </c>
    </row>
    <row r="1470" spans="13:35" x14ac:dyDescent="0.35">
      <c r="M1470" t="s">
        <v>2</v>
      </c>
      <c r="N1470">
        <v>7250</v>
      </c>
      <c r="O1470">
        <v>18</v>
      </c>
      <c r="P1470">
        <v>277</v>
      </c>
      <c r="Q1470">
        <v>0</v>
      </c>
      <c r="R1470">
        <v>4034714975</v>
      </c>
      <c r="S1470">
        <v>3576649.38</v>
      </c>
      <c r="T1470">
        <v>4003486588.5799999</v>
      </c>
      <c r="U1470">
        <v>4031138325.6199999</v>
      </c>
      <c r="V1470">
        <v>7.9211000000000004E-2</v>
      </c>
      <c r="W1470">
        <v>0</v>
      </c>
      <c r="Y1470" t="s">
        <v>0</v>
      </c>
      <c r="Z1470">
        <v>9000</v>
      </c>
      <c r="AA1470">
        <v>24</v>
      </c>
      <c r="AB1470">
        <v>72</v>
      </c>
      <c r="AC1470">
        <v>0</v>
      </c>
      <c r="AD1470">
        <v>1831604971</v>
      </c>
      <c r="AE1470">
        <v>1265084.6100000001</v>
      </c>
      <c r="AF1470">
        <v>1806411122.6800001</v>
      </c>
      <c r="AG1470">
        <v>1830339886.3900001</v>
      </c>
      <c r="AH1470">
        <v>0.145984</v>
      </c>
      <c r="AI1470">
        <v>0</v>
      </c>
    </row>
    <row r="1471" spans="13:35" x14ac:dyDescent="0.35">
      <c r="M1471" t="s">
        <v>2</v>
      </c>
      <c r="N1471">
        <v>8000</v>
      </c>
      <c r="O1471">
        <v>24</v>
      </c>
      <c r="P1471">
        <v>11</v>
      </c>
      <c r="Q1471">
        <v>0</v>
      </c>
      <c r="R1471">
        <v>178033626</v>
      </c>
      <c r="S1471">
        <v>148539.60999999999</v>
      </c>
      <c r="T1471">
        <v>177885086.38999999</v>
      </c>
      <c r="U1471">
        <v>177885086.38999999</v>
      </c>
      <c r="V1471">
        <v>0</v>
      </c>
      <c r="W1471">
        <v>0</v>
      </c>
      <c r="Y1471" t="s">
        <v>1</v>
      </c>
      <c r="Z1471">
        <v>7500</v>
      </c>
      <c r="AA1471">
        <v>20</v>
      </c>
      <c r="AB1471">
        <v>343</v>
      </c>
      <c r="AC1471">
        <v>0</v>
      </c>
      <c r="AD1471">
        <v>8999047208</v>
      </c>
      <c r="AE1471">
        <v>7886785.0099999998</v>
      </c>
      <c r="AF1471">
        <v>8361937956.4499998</v>
      </c>
      <c r="AG1471">
        <v>8672209611.8700008</v>
      </c>
      <c r="AH1471">
        <v>0.58097699999999997</v>
      </c>
      <c r="AI1471">
        <v>0.35146100000000002</v>
      </c>
    </row>
    <row r="1472" spans="13:35" x14ac:dyDescent="0.35">
      <c r="M1472" t="s">
        <v>1</v>
      </c>
      <c r="N1472">
        <v>8250</v>
      </c>
      <c r="O1472">
        <v>20</v>
      </c>
      <c r="P1472">
        <v>60</v>
      </c>
      <c r="Q1472">
        <v>0</v>
      </c>
      <c r="R1472">
        <v>1588110680</v>
      </c>
      <c r="S1472">
        <v>1176797.7</v>
      </c>
      <c r="T1472">
        <v>1452127576.78</v>
      </c>
      <c r="U1472">
        <v>1487306999.9000001</v>
      </c>
      <c r="V1472">
        <v>0.65508699999999997</v>
      </c>
      <c r="W1472">
        <v>0.54042100000000004</v>
      </c>
      <c r="Y1472" t="s">
        <v>2</v>
      </c>
      <c r="Z1472">
        <v>7500</v>
      </c>
      <c r="AA1472">
        <v>20</v>
      </c>
      <c r="AB1472">
        <v>164</v>
      </c>
      <c r="AC1472">
        <v>0</v>
      </c>
      <c r="AD1472">
        <v>2393093193</v>
      </c>
      <c r="AE1472">
        <v>2078095.23</v>
      </c>
      <c r="AF1472">
        <v>2351665686.6999998</v>
      </c>
      <c r="AG1472">
        <v>2368353708.1199999</v>
      </c>
      <c r="AH1472">
        <v>0.18041299999999999</v>
      </c>
      <c r="AI1472">
        <v>0.10789899999999999</v>
      </c>
    </row>
    <row r="1473" spans="13:35" x14ac:dyDescent="0.35">
      <c r="M1473" t="s">
        <v>1</v>
      </c>
      <c r="N1473">
        <v>7750</v>
      </c>
      <c r="O1473">
        <v>20</v>
      </c>
      <c r="P1473">
        <v>209</v>
      </c>
      <c r="Q1473">
        <v>0</v>
      </c>
      <c r="R1473">
        <v>5100434941</v>
      </c>
      <c r="S1473">
        <v>4212849.76</v>
      </c>
      <c r="T1473">
        <v>4712723126.46</v>
      </c>
      <c r="U1473">
        <v>4953678505.5</v>
      </c>
      <c r="V1473">
        <v>0.60858900000000005</v>
      </c>
      <c r="W1473">
        <v>0.28833199999999998</v>
      </c>
      <c r="Y1473" t="s">
        <v>2</v>
      </c>
      <c r="Z1473">
        <v>6750</v>
      </c>
      <c r="AA1473">
        <v>18</v>
      </c>
      <c r="AB1473">
        <v>955</v>
      </c>
      <c r="AC1473">
        <v>0</v>
      </c>
      <c r="AD1473">
        <v>16708774125</v>
      </c>
      <c r="AE1473">
        <v>16352037.189999999</v>
      </c>
      <c r="AF1473">
        <v>16430404442.049999</v>
      </c>
      <c r="AG1473">
        <v>16653690140.98</v>
      </c>
      <c r="AH1473">
        <v>0.172767</v>
      </c>
      <c r="AI1473">
        <v>2.7465E-2</v>
      </c>
    </row>
    <row r="1474" spans="13:35" x14ac:dyDescent="0.35">
      <c r="M1474" t="s">
        <v>3</v>
      </c>
      <c r="N1474">
        <v>7250</v>
      </c>
      <c r="O1474">
        <v>20</v>
      </c>
      <c r="P1474">
        <v>15</v>
      </c>
      <c r="Q1474">
        <v>0</v>
      </c>
      <c r="R1474">
        <v>392070435</v>
      </c>
      <c r="S1474">
        <v>357599.83</v>
      </c>
      <c r="T1474">
        <v>391712835.17000002</v>
      </c>
      <c r="U1474">
        <v>391712835.17000002</v>
      </c>
      <c r="V1474">
        <v>0</v>
      </c>
      <c r="W1474">
        <v>0</v>
      </c>
      <c r="Y1474" t="s">
        <v>0</v>
      </c>
      <c r="Z1474">
        <v>5000</v>
      </c>
      <c r="AA1474">
        <v>20</v>
      </c>
      <c r="AB1474">
        <v>3835</v>
      </c>
      <c r="AC1474">
        <v>0</v>
      </c>
      <c r="AD1474">
        <v>127353276902</v>
      </c>
      <c r="AE1474">
        <v>170806411.69</v>
      </c>
      <c r="AF1474">
        <v>126961171723.32001</v>
      </c>
      <c r="AG1474">
        <v>127092330285.69</v>
      </c>
      <c r="AH1474">
        <v>2.0653999999999999E-2</v>
      </c>
      <c r="AI1474">
        <v>8.4609999999999998E-3</v>
      </c>
    </row>
    <row r="1475" spans="13:35" x14ac:dyDescent="0.35">
      <c r="M1475" t="s">
        <v>2</v>
      </c>
      <c r="N1475">
        <v>7500</v>
      </c>
      <c r="O1475">
        <v>20</v>
      </c>
      <c r="P1475">
        <v>144</v>
      </c>
      <c r="Q1475">
        <v>0</v>
      </c>
      <c r="R1475">
        <v>2066845829</v>
      </c>
      <c r="S1475">
        <v>1783117.63</v>
      </c>
      <c r="T1475">
        <v>2016726675.3699999</v>
      </c>
      <c r="U1475">
        <v>2053022431.51</v>
      </c>
      <c r="V1475">
        <v>0.24721099999999999</v>
      </c>
      <c r="W1475">
        <v>6.7708000000000004E-2</v>
      </c>
      <c r="Y1475" t="s">
        <v>0</v>
      </c>
      <c r="Z1475">
        <v>5000</v>
      </c>
      <c r="AA1475">
        <v>12</v>
      </c>
      <c r="AB1475">
        <v>4699</v>
      </c>
      <c r="AC1475">
        <v>0</v>
      </c>
      <c r="AD1475">
        <v>167595881237</v>
      </c>
      <c r="AE1475">
        <v>215276245.80000001</v>
      </c>
      <c r="AF1475">
        <v>167212705328.79001</v>
      </c>
      <c r="AG1475">
        <v>167355985754.06</v>
      </c>
      <c r="AH1475">
        <v>1.1956E-2</v>
      </c>
      <c r="AI1475">
        <v>1.761E-3</v>
      </c>
    </row>
    <row r="1476" spans="13:35" x14ac:dyDescent="0.35">
      <c r="M1476" t="s">
        <v>3</v>
      </c>
      <c r="N1476">
        <v>7500</v>
      </c>
      <c r="O1476">
        <v>24</v>
      </c>
      <c r="P1476">
        <v>5</v>
      </c>
      <c r="Q1476">
        <v>0</v>
      </c>
      <c r="R1476">
        <v>111473494</v>
      </c>
      <c r="S1476">
        <v>97517.7</v>
      </c>
      <c r="T1476">
        <v>111375976.3</v>
      </c>
      <c r="U1476">
        <v>111375976.3</v>
      </c>
      <c r="V1476">
        <v>0</v>
      </c>
      <c r="W1476">
        <v>0</v>
      </c>
      <c r="Y1476" t="s">
        <v>0</v>
      </c>
      <c r="Z1476">
        <v>4750</v>
      </c>
      <c r="AA1476">
        <v>16</v>
      </c>
      <c r="AB1476">
        <v>2267</v>
      </c>
      <c r="AC1476">
        <v>0</v>
      </c>
      <c r="AD1476">
        <v>80848715612</v>
      </c>
      <c r="AE1476">
        <v>111068901.72</v>
      </c>
      <c r="AF1476">
        <v>80507138261.570007</v>
      </c>
      <c r="AG1476">
        <v>80701052434.470001</v>
      </c>
      <c r="AH1476">
        <v>3.3681999999999997E-2</v>
      </c>
      <c r="AI1476">
        <v>5.4180000000000001E-3</v>
      </c>
    </row>
    <row r="1477" spans="13:35" x14ac:dyDescent="0.35">
      <c r="M1477" t="s">
        <v>3</v>
      </c>
      <c r="N1477">
        <v>6500</v>
      </c>
      <c r="O1477">
        <v>20</v>
      </c>
      <c r="P1477">
        <v>38</v>
      </c>
      <c r="Q1477">
        <v>0</v>
      </c>
      <c r="R1477">
        <v>1017362825</v>
      </c>
      <c r="S1477">
        <v>1049791.3</v>
      </c>
      <c r="T1477">
        <v>1016313033.7</v>
      </c>
      <c r="U1477">
        <v>1016313033.7</v>
      </c>
      <c r="V1477">
        <v>0</v>
      </c>
      <c r="W1477">
        <v>0</v>
      </c>
      <c r="Y1477" t="s">
        <v>1</v>
      </c>
      <c r="Z1477">
        <v>7250</v>
      </c>
      <c r="AA1477">
        <v>18</v>
      </c>
      <c r="AB1477">
        <v>1268</v>
      </c>
      <c r="AC1477">
        <v>0</v>
      </c>
      <c r="AD1477">
        <v>31425438289</v>
      </c>
      <c r="AE1477">
        <v>28146688.670000002</v>
      </c>
      <c r="AF1477">
        <v>29771307415.880001</v>
      </c>
      <c r="AG1477">
        <v>31147102263.950001</v>
      </c>
      <c r="AH1477">
        <v>0.47140399999999999</v>
      </c>
      <c r="AI1477">
        <v>9.1462000000000002E-2</v>
      </c>
    </row>
    <row r="1478" spans="13:35" x14ac:dyDescent="0.35">
      <c r="M1478" t="s">
        <v>3</v>
      </c>
      <c r="N1478">
        <v>7500</v>
      </c>
      <c r="O1478">
        <v>20</v>
      </c>
      <c r="P1478">
        <v>2</v>
      </c>
      <c r="Q1478">
        <v>0</v>
      </c>
      <c r="R1478">
        <v>29285647</v>
      </c>
      <c r="S1478">
        <v>25602.26</v>
      </c>
      <c r="T1478">
        <v>29260044.739999998</v>
      </c>
      <c r="U1478">
        <v>29260044.739999998</v>
      </c>
      <c r="V1478">
        <v>0</v>
      </c>
      <c r="W1478">
        <v>0</v>
      </c>
      <c r="Y1478" t="s">
        <v>0</v>
      </c>
      <c r="Z1478">
        <v>4500</v>
      </c>
      <c r="AA1478">
        <v>24</v>
      </c>
      <c r="AB1478">
        <v>1560</v>
      </c>
      <c r="AC1478">
        <v>0</v>
      </c>
      <c r="AD1478">
        <v>48242280875</v>
      </c>
      <c r="AE1478">
        <v>71640596.430000007</v>
      </c>
      <c r="AF1478">
        <v>48048954629.989998</v>
      </c>
      <c r="AG1478">
        <v>48150468927.599998</v>
      </c>
      <c r="AH1478">
        <v>2.9852E-2</v>
      </c>
      <c r="AI1478">
        <v>5.006E-3</v>
      </c>
    </row>
    <row r="1479" spans="13:35" x14ac:dyDescent="0.35">
      <c r="M1479" t="s">
        <v>1</v>
      </c>
      <c r="N1479">
        <v>7500</v>
      </c>
      <c r="O1479">
        <v>18</v>
      </c>
      <c r="P1479">
        <v>224</v>
      </c>
      <c r="Q1479">
        <v>0</v>
      </c>
      <c r="R1479">
        <v>4908035867</v>
      </c>
      <c r="S1479">
        <v>4170037.34</v>
      </c>
      <c r="T1479">
        <v>4708537150.5900002</v>
      </c>
      <c r="U1479">
        <v>4858243522.1199999</v>
      </c>
      <c r="V1479">
        <v>0.385739</v>
      </c>
      <c r="W1479">
        <v>0.106015</v>
      </c>
      <c r="Y1479" t="s">
        <v>1</v>
      </c>
      <c r="Z1479">
        <v>4500</v>
      </c>
      <c r="AA1479">
        <v>24</v>
      </c>
      <c r="AB1479">
        <v>755</v>
      </c>
      <c r="AC1479">
        <v>0</v>
      </c>
      <c r="AD1479">
        <v>25125936456</v>
      </c>
      <c r="AE1479">
        <v>37409431.340000004</v>
      </c>
      <c r="AF1479">
        <v>24991860584.439999</v>
      </c>
      <c r="AG1479">
        <v>25088527024.66</v>
      </c>
      <c r="AH1479">
        <v>4.5203E-2</v>
      </c>
      <c r="AI1479">
        <v>0</v>
      </c>
    </row>
    <row r="1480" spans="13:35" x14ac:dyDescent="0.35">
      <c r="M1480" t="s">
        <v>1</v>
      </c>
      <c r="N1480">
        <v>8000</v>
      </c>
      <c r="O1480">
        <v>20</v>
      </c>
      <c r="P1480">
        <v>129</v>
      </c>
      <c r="Q1480">
        <v>0</v>
      </c>
      <c r="R1480">
        <v>2889618558</v>
      </c>
      <c r="S1480">
        <v>2262311.2799999998</v>
      </c>
      <c r="T1480">
        <v>2658064173.1399999</v>
      </c>
      <c r="U1480">
        <v>2830385614.3699999</v>
      </c>
      <c r="V1480">
        <v>0.62920600000000004</v>
      </c>
      <c r="W1480">
        <v>0.21254600000000001</v>
      </c>
      <c r="Y1480" t="s">
        <v>1</v>
      </c>
      <c r="Z1480">
        <v>8500</v>
      </c>
      <c r="AA1480">
        <v>24</v>
      </c>
      <c r="AB1480">
        <v>18</v>
      </c>
      <c r="AC1480">
        <v>0</v>
      </c>
      <c r="AD1480">
        <v>459315317</v>
      </c>
      <c r="AE1480">
        <v>327725.76</v>
      </c>
      <c r="AF1480">
        <v>437609645.18000001</v>
      </c>
      <c r="AG1480">
        <v>437609645.18000001</v>
      </c>
      <c r="AH1480">
        <v>0.43556600000000001</v>
      </c>
      <c r="AI1480">
        <v>0.43556600000000001</v>
      </c>
    </row>
    <row r="1481" spans="13:35" x14ac:dyDescent="0.35">
      <c r="M1481" t="s">
        <v>2</v>
      </c>
      <c r="N1481">
        <v>3250</v>
      </c>
      <c r="O1481">
        <v>24</v>
      </c>
      <c r="P1481">
        <v>19</v>
      </c>
      <c r="Q1481">
        <v>0</v>
      </c>
      <c r="R1481">
        <v>378655454</v>
      </c>
      <c r="S1481">
        <v>702666.63</v>
      </c>
      <c r="T1481">
        <v>377952787.37</v>
      </c>
      <c r="U1481">
        <v>377952787.37</v>
      </c>
      <c r="V1481">
        <v>0</v>
      </c>
      <c r="W1481">
        <v>0</v>
      </c>
      <c r="Y1481" t="s">
        <v>2</v>
      </c>
      <c r="Z1481">
        <v>8000</v>
      </c>
      <c r="AA1481">
        <v>24</v>
      </c>
      <c r="AB1481">
        <v>30</v>
      </c>
      <c r="AC1481">
        <v>0</v>
      </c>
      <c r="AD1481">
        <v>421483053</v>
      </c>
      <c r="AE1481">
        <v>343817.47</v>
      </c>
      <c r="AF1481">
        <v>421139235.52999997</v>
      </c>
      <c r="AG1481">
        <v>421139235.52999997</v>
      </c>
      <c r="AH1481">
        <v>0</v>
      </c>
      <c r="AI1481">
        <v>0</v>
      </c>
    </row>
    <row r="1482" spans="13:35" x14ac:dyDescent="0.35">
      <c r="M1482" t="s">
        <v>1</v>
      </c>
      <c r="N1482">
        <v>7250</v>
      </c>
      <c r="O1482">
        <v>7</v>
      </c>
      <c r="P1482">
        <v>1426</v>
      </c>
      <c r="Q1482">
        <v>0</v>
      </c>
      <c r="R1482">
        <v>45211861163</v>
      </c>
      <c r="S1482">
        <v>37658633.829999998</v>
      </c>
      <c r="T1482">
        <v>24769837007.610001</v>
      </c>
      <c r="U1482">
        <v>45068814982.5</v>
      </c>
      <c r="V1482">
        <v>0.999255</v>
      </c>
      <c r="W1482">
        <v>2.7616000000000002E-2</v>
      </c>
      <c r="Y1482" t="s">
        <v>3</v>
      </c>
      <c r="Z1482">
        <v>7000</v>
      </c>
      <c r="AA1482">
        <v>18</v>
      </c>
      <c r="AB1482">
        <v>10</v>
      </c>
      <c r="AC1482">
        <v>0</v>
      </c>
      <c r="AD1482">
        <v>215589589</v>
      </c>
      <c r="AE1482">
        <v>201244.82</v>
      </c>
      <c r="AF1482">
        <v>215388344.18000001</v>
      </c>
      <c r="AG1482">
        <v>215388344.18000001</v>
      </c>
      <c r="AH1482">
        <v>0</v>
      </c>
      <c r="AI1482">
        <v>0</v>
      </c>
    </row>
    <row r="1483" spans="13:35" x14ac:dyDescent="0.35">
      <c r="M1483" t="s">
        <v>1</v>
      </c>
      <c r="N1483">
        <v>7250</v>
      </c>
      <c r="O1483">
        <v>16</v>
      </c>
      <c r="P1483">
        <v>947</v>
      </c>
      <c r="Q1483">
        <v>0</v>
      </c>
      <c r="R1483">
        <v>24734582802</v>
      </c>
      <c r="S1483">
        <v>21761607.789999999</v>
      </c>
      <c r="T1483">
        <v>23544824258.360001</v>
      </c>
      <c r="U1483">
        <v>24435294526.639999</v>
      </c>
      <c r="V1483">
        <v>0.44036500000000001</v>
      </c>
      <c r="W1483">
        <v>0.126636</v>
      </c>
      <c r="Y1483" t="s">
        <v>2</v>
      </c>
      <c r="Z1483">
        <v>7250</v>
      </c>
      <c r="AA1483">
        <v>18</v>
      </c>
      <c r="AB1483">
        <v>396</v>
      </c>
      <c r="AC1483">
        <v>0</v>
      </c>
      <c r="AD1483">
        <v>6003435908</v>
      </c>
      <c r="AE1483">
        <v>5353116.8899999997</v>
      </c>
      <c r="AF1483">
        <v>5929749255.5299997</v>
      </c>
      <c r="AG1483">
        <v>5998082791.1099997</v>
      </c>
      <c r="AH1483">
        <v>0.128354</v>
      </c>
      <c r="AI1483">
        <v>0</v>
      </c>
    </row>
    <row r="1484" spans="13:35" x14ac:dyDescent="0.35">
      <c r="M1484" t="s">
        <v>3</v>
      </c>
      <c r="N1484">
        <v>6750</v>
      </c>
      <c r="O1484">
        <v>18</v>
      </c>
      <c r="P1484">
        <v>26</v>
      </c>
      <c r="Q1484">
        <v>0</v>
      </c>
      <c r="R1484">
        <v>793720543</v>
      </c>
      <c r="S1484">
        <v>775652.86</v>
      </c>
      <c r="T1484">
        <v>761022806.89999998</v>
      </c>
      <c r="U1484">
        <v>792944890.13999999</v>
      </c>
      <c r="V1484">
        <v>0.38895999999999997</v>
      </c>
      <c r="W1484">
        <v>0</v>
      </c>
      <c r="Y1484" t="s">
        <v>3</v>
      </c>
      <c r="Z1484">
        <v>7000</v>
      </c>
      <c r="AA1484">
        <v>20</v>
      </c>
      <c r="AB1484">
        <v>29</v>
      </c>
      <c r="AC1484">
        <v>0</v>
      </c>
      <c r="AD1484">
        <v>697175361</v>
      </c>
      <c r="AE1484">
        <v>658535.42000000004</v>
      </c>
      <c r="AF1484">
        <v>673578874.05999994</v>
      </c>
      <c r="AG1484">
        <v>673578874.05999994</v>
      </c>
      <c r="AH1484">
        <v>0.33065499999999998</v>
      </c>
      <c r="AI1484">
        <v>0.33065499999999998</v>
      </c>
    </row>
    <row r="1485" spans="13:35" x14ac:dyDescent="0.35">
      <c r="M1485" t="s">
        <v>3</v>
      </c>
      <c r="N1485">
        <v>7750</v>
      </c>
      <c r="O1485">
        <v>20</v>
      </c>
      <c r="P1485">
        <v>4</v>
      </c>
      <c r="Q1485">
        <v>0</v>
      </c>
      <c r="R1485">
        <v>68495713</v>
      </c>
      <c r="S1485">
        <v>56167.15</v>
      </c>
      <c r="T1485">
        <v>68439545.849999994</v>
      </c>
      <c r="U1485">
        <v>68439545.849999994</v>
      </c>
      <c r="V1485">
        <v>0</v>
      </c>
      <c r="W1485">
        <v>0</v>
      </c>
      <c r="Y1485" t="s">
        <v>1</v>
      </c>
      <c r="Z1485">
        <v>8250</v>
      </c>
      <c r="AA1485">
        <v>20</v>
      </c>
      <c r="AB1485">
        <v>64</v>
      </c>
      <c r="AC1485">
        <v>0</v>
      </c>
      <c r="AD1485">
        <v>1775241364</v>
      </c>
      <c r="AE1485">
        <v>1311566.3799999999</v>
      </c>
      <c r="AF1485">
        <v>1539417262.1400001</v>
      </c>
      <c r="AG1485">
        <v>1666269498.22</v>
      </c>
      <c r="AH1485">
        <v>0.81734799999999996</v>
      </c>
      <c r="AI1485">
        <v>0.52798599999999996</v>
      </c>
    </row>
    <row r="1486" spans="13:35" x14ac:dyDescent="0.35">
      <c r="M1486" t="s">
        <v>1</v>
      </c>
      <c r="N1486">
        <v>7750</v>
      </c>
      <c r="O1486">
        <v>18</v>
      </c>
      <c r="P1486">
        <v>191</v>
      </c>
      <c r="Q1486">
        <v>0</v>
      </c>
      <c r="R1486">
        <v>4504111524</v>
      </c>
      <c r="S1486">
        <v>3625388.82</v>
      </c>
      <c r="T1486">
        <v>4248722644.8200002</v>
      </c>
      <c r="U1486">
        <v>4380378469.1499996</v>
      </c>
      <c r="V1486">
        <v>0.49853999999999998</v>
      </c>
      <c r="W1486">
        <v>0.27699499999999999</v>
      </c>
      <c r="Y1486" t="s">
        <v>3</v>
      </c>
      <c r="Z1486">
        <v>6500</v>
      </c>
      <c r="AA1486">
        <v>20</v>
      </c>
      <c r="AB1486">
        <v>22</v>
      </c>
      <c r="AC1486">
        <v>0</v>
      </c>
      <c r="AD1486">
        <v>530452848</v>
      </c>
      <c r="AE1486">
        <v>546206.98</v>
      </c>
      <c r="AF1486">
        <v>529906641.01999998</v>
      </c>
      <c r="AG1486">
        <v>529906641.01999998</v>
      </c>
      <c r="AH1486">
        <v>0</v>
      </c>
      <c r="AI1486">
        <v>0</v>
      </c>
    </row>
    <row r="1487" spans="13:35" x14ac:dyDescent="0.35">
      <c r="M1487" t="s">
        <v>2</v>
      </c>
      <c r="N1487">
        <v>5000</v>
      </c>
      <c r="O1487">
        <v>16</v>
      </c>
      <c r="P1487">
        <v>127</v>
      </c>
      <c r="Q1487">
        <v>0</v>
      </c>
      <c r="R1487">
        <v>3199974262</v>
      </c>
      <c r="S1487">
        <v>4199356.3899999997</v>
      </c>
      <c r="T1487">
        <v>3195774905.6100001</v>
      </c>
      <c r="U1487">
        <v>3195774905.6100001</v>
      </c>
      <c r="V1487">
        <v>0</v>
      </c>
      <c r="W1487">
        <v>0</v>
      </c>
      <c r="Y1487" t="s">
        <v>3</v>
      </c>
      <c r="Z1487">
        <v>7250</v>
      </c>
      <c r="AA1487">
        <v>20</v>
      </c>
      <c r="AB1487">
        <v>14</v>
      </c>
      <c r="AC1487">
        <v>0</v>
      </c>
      <c r="AD1487">
        <v>390874194</v>
      </c>
      <c r="AE1487">
        <v>355073.31</v>
      </c>
      <c r="AF1487">
        <v>390519120.69</v>
      </c>
      <c r="AG1487">
        <v>390519120.69</v>
      </c>
      <c r="AH1487">
        <v>0</v>
      </c>
      <c r="AI1487">
        <v>0</v>
      </c>
    </row>
    <row r="1488" spans="13:35" x14ac:dyDescent="0.35">
      <c r="M1488" t="s">
        <v>3</v>
      </c>
      <c r="N1488">
        <v>6000</v>
      </c>
      <c r="O1488">
        <v>16</v>
      </c>
      <c r="P1488">
        <v>31</v>
      </c>
      <c r="Q1488">
        <v>0</v>
      </c>
      <c r="R1488">
        <v>830336074</v>
      </c>
      <c r="S1488">
        <v>913959.3</v>
      </c>
      <c r="T1488">
        <v>829422114.70000005</v>
      </c>
      <c r="U1488">
        <v>829422114.70000005</v>
      </c>
      <c r="V1488">
        <v>0</v>
      </c>
      <c r="W1488">
        <v>0</v>
      </c>
      <c r="Y1488" t="s">
        <v>2</v>
      </c>
      <c r="Z1488">
        <v>7500</v>
      </c>
      <c r="AA1488">
        <v>18</v>
      </c>
      <c r="AB1488">
        <v>147</v>
      </c>
      <c r="AC1488">
        <v>0</v>
      </c>
      <c r="AD1488">
        <v>2229369557</v>
      </c>
      <c r="AE1488">
        <v>1888368.98</v>
      </c>
      <c r="AF1488">
        <v>2217016567.3000002</v>
      </c>
      <c r="AG1488">
        <v>2217016567.3000002</v>
      </c>
      <c r="AH1488">
        <v>5.4896E-2</v>
      </c>
      <c r="AI1488">
        <v>5.4896E-2</v>
      </c>
    </row>
    <row r="1489" spans="13:35" x14ac:dyDescent="0.35">
      <c r="M1489" t="s">
        <v>3</v>
      </c>
      <c r="N1489">
        <v>5250</v>
      </c>
      <c r="O1489">
        <v>18</v>
      </c>
      <c r="P1489">
        <v>18</v>
      </c>
      <c r="Q1489">
        <v>0</v>
      </c>
      <c r="R1489">
        <v>483871081</v>
      </c>
      <c r="S1489">
        <v>615319.46</v>
      </c>
      <c r="T1489">
        <v>483255761.54000002</v>
      </c>
      <c r="U1489">
        <v>483255761.54000002</v>
      </c>
      <c r="V1489">
        <v>0</v>
      </c>
      <c r="W1489">
        <v>0</v>
      </c>
      <c r="Y1489" t="s">
        <v>1</v>
      </c>
      <c r="Z1489">
        <v>7750</v>
      </c>
      <c r="AA1489">
        <v>18</v>
      </c>
      <c r="AB1489">
        <v>209</v>
      </c>
      <c r="AC1489">
        <v>0</v>
      </c>
      <c r="AD1489">
        <v>4923460580</v>
      </c>
      <c r="AE1489">
        <v>3985808.2</v>
      </c>
      <c r="AF1489">
        <v>4737942610.1099997</v>
      </c>
      <c r="AG1489">
        <v>4857993332.96</v>
      </c>
      <c r="AH1489">
        <v>0.36288999999999999</v>
      </c>
      <c r="AI1489">
        <v>0.13997399999999999</v>
      </c>
    </row>
    <row r="1490" spans="13:35" x14ac:dyDescent="0.35">
      <c r="M1490" t="s">
        <v>2</v>
      </c>
      <c r="N1490">
        <v>8250</v>
      </c>
      <c r="O1490">
        <v>20</v>
      </c>
      <c r="P1490">
        <v>2</v>
      </c>
      <c r="Q1490">
        <v>0</v>
      </c>
      <c r="R1490">
        <v>25696790</v>
      </c>
      <c r="S1490">
        <v>18995.53</v>
      </c>
      <c r="T1490">
        <v>25677794.469999999</v>
      </c>
      <c r="U1490">
        <v>25677794.469999999</v>
      </c>
      <c r="V1490">
        <v>0</v>
      </c>
      <c r="W1490">
        <v>0</v>
      </c>
      <c r="Y1490" t="s">
        <v>1</v>
      </c>
      <c r="Z1490">
        <v>5000</v>
      </c>
      <c r="AA1490">
        <v>20</v>
      </c>
      <c r="AB1490">
        <v>1372</v>
      </c>
      <c r="AC1490">
        <v>0</v>
      </c>
      <c r="AD1490">
        <v>48567078786</v>
      </c>
      <c r="AE1490">
        <v>65223843.719999999</v>
      </c>
      <c r="AF1490">
        <v>48449252424.07</v>
      </c>
      <c r="AG1490">
        <v>48501854942.279999</v>
      </c>
      <c r="AH1490">
        <v>1.2919999999999999E-2</v>
      </c>
      <c r="AI1490">
        <v>0</v>
      </c>
    </row>
    <row r="1491" spans="13:35" x14ac:dyDescent="0.35">
      <c r="M1491" t="s">
        <v>3</v>
      </c>
      <c r="N1491">
        <v>6000</v>
      </c>
      <c r="O1491">
        <v>14</v>
      </c>
      <c r="P1491">
        <v>23</v>
      </c>
      <c r="Q1491">
        <v>0</v>
      </c>
      <c r="R1491">
        <v>533159243</v>
      </c>
      <c r="S1491">
        <v>582942.92000000004</v>
      </c>
      <c r="T1491">
        <v>532576300.07999998</v>
      </c>
      <c r="U1491">
        <v>532576300.07999998</v>
      </c>
      <c r="V1491">
        <v>0</v>
      </c>
      <c r="W1491">
        <v>0</v>
      </c>
      <c r="Y1491" t="s">
        <v>3</v>
      </c>
      <c r="Z1491">
        <v>6750</v>
      </c>
      <c r="AA1491">
        <v>18</v>
      </c>
      <c r="AB1491">
        <v>50</v>
      </c>
      <c r="AC1491">
        <v>0</v>
      </c>
      <c r="AD1491">
        <v>1585435787</v>
      </c>
      <c r="AE1491">
        <v>1550945.51</v>
      </c>
      <c r="AF1491">
        <v>1583884841.49</v>
      </c>
      <c r="AG1491">
        <v>1583884841.49</v>
      </c>
      <c r="AH1491">
        <v>0</v>
      </c>
      <c r="AI1491">
        <v>0</v>
      </c>
    </row>
    <row r="1492" spans="13:35" x14ac:dyDescent="0.35">
      <c r="M1492" t="s">
        <v>3</v>
      </c>
      <c r="N1492">
        <v>6000</v>
      </c>
      <c r="O1492">
        <v>18</v>
      </c>
      <c r="P1492">
        <v>45</v>
      </c>
      <c r="Q1492">
        <v>0</v>
      </c>
      <c r="R1492">
        <v>1123740629</v>
      </c>
      <c r="S1492">
        <v>1252383.1399999999</v>
      </c>
      <c r="T1492">
        <v>1112331859.9300001</v>
      </c>
      <c r="U1492">
        <v>1122488245.8599999</v>
      </c>
      <c r="V1492">
        <v>0.103224</v>
      </c>
      <c r="W1492">
        <v>0</v>
      </c>
      <c r="Y1492" t="s">
        <v>1</v>
      </c>
      <c r="Z1492">
        <v>7500</v>
      </c>
      <c r="AA1492">
        <v>18</v>
      </c>
      <c r="AB1492">
        <v>228</v>
      </c>
      <c r="AC1492">
        <v>0</v>
      </c>
      <c r="AD1492">
        <v>5538372034</v>
      </c>
      <c r="AE1492">
        <v>4706651.29</v>
      </c>
      <c r="AF1492">
        <v>5184053804.5200005</v>
      </c>
      <c r="AG1492">
        <v>5460104538.6999998</v>
      </c>
      <c r="AH1492">
        <v>0.54272399999999998</v>
      </c>
      <c r="AI1492">
        <v>0.14824200000000001</v>
      </c>
    </row>
    <row r="1493" spans="13:35" x14ac:dyDescent="0.35">
      <c r="M1493" t="s">
        <v>0</v>
      </c>
      <c r="N1493">
        <v>8250</v>
      </c>
      <c r="O1493">
        <v>18</v>
      </c>
      <c r="P1493">
        <v>207</v>
      </c>
      <c r="Q1493">
        <v>0</v>
      </c>
      <c r="R1493">
        <v>5961420923</v>
      </c>
      <c r="S1493">
        <v>4348487.5999999996</v>
      </c>
      <c r="T1493">
        <v>5853748479.2700005</v>
      </c>
      <c r="U1493">
        <v>5957072435.3999996</v>
      </c>
      <c r="V1493">
        <v>0.18926100000000001</v>
      </c>
      <c r="W1493">
        <v>0</v>
      </c>
      <c r="Y1493" t="s">
        <v>3</v>
      </c>
      <c r="Z1493">
        <v>7500</v>
      </c>
      <c r="AA1493">
        <v>20</v>
      </c>
      <c r="AB1493">
        <v>4</v>
      </c>
      <c r="AC1493">
        <v>0</v>
      </c>
      <c r="AD1493">
        <v>86340089</v>
      </c>
      <c r="AE1493">
        <v>74600.31</v>
      </c>
      <c r="AF1493">
        <v>86265488.689999998</v>
      </c>
      <c r="AG1493">
        <v>86265488.689999998</v>
      </c>
      <c r="AH1493">
        <v>0</v>
      </c>
      <c r="AI1493">
        <v>0</v>
      </c>
    </row>
    <row r="1494" spans="13:35" x14ac:dyDescent="0.35">
      <c r="M1494" t="s">
        <v>2</v>
      </c>
      <c r="N1494">
        <v>6500</v>
      </c>
      <c r="O1494">
        <v>9</v>
      </c>
      <c r="P1494">
        <v>740</v>
      </c>
      <c r="Q1494">
        <v>0</v>
      </c>
      <c r="R1494">
        <v>15246800914</v>
      </c>
      <c r="S1494">
        <v>14781486.09</v>
      </c>
      <c r="T1494">
        <v>15202536532.950001</v>
      </c>
      <c r="U1494">
        <v>15218828959.33</v>
      </c>
      <c r="V1494">
        <v>2.2959E-2</v>
      </c>
      <c r="W1494">
        <v>1.0331999999999999E-2</v>
      </c>
      <c r="Y1494" t="s">
        <v>2</v>
      </c>
      <c r="Z1494">
        <v>3250</v>
      </c>
      <c r="AA1494">
        <v>24</v>
      </c>
      <c r="AB1494">
        <v>19</v>
      </c>
      <c r="AC1494">
        <v>0</v>
      </c>
      <c r="AD1494">
        <v>353700628</v>
      </c>
      <c r="AE1494">
        <v>668947.32999999996</v>
      </c>
      <c r="AF1494">
        <v>353031680.67000002</v>
      </c>
      <c r="AG1494">
        <v>353031680.67000002</v>
      </c>
      <c r="AH1494">
        <v>0</v>
      </c>
      <c r="AI1494">
        <v>0</v>
      </c>
    </row>
    <row r="1495" spans="13:35" x14ac:dyDescent="0.35">
      <c r="M1495" t="s">
        <v>2</v>
      </c>
      <c r="N1495">
        <v>8000</v>
      </c>
      <c r="O1495">
        <v>20</v>
      </c>
      <c r="P1495">
        <v>4</v>
      </c>
      <c r="Q1495">
        <v>0</v>
      </c>
      <c r="R1495">
        <v>73454409</v>
      </c>
      <c r="S1495">
        <v>57216.04</v>
      </c>
      <c r="T1495">
        <v>60563655.259999998</v>
      </c>
      <c r="U1495">
        <v>73397192.959999993</v>
      </c>
      <c r="V1495">
        <v>0.90017199999999997</v>
      </c>
      <c r="W1495">
        <v>0</v>
      </c>
      <c r="Y1495" t="s">
        <v>1</v>
      </c>
      <c r="Z1495">
        <v>7250</v>
      </c>
      <c r="AA1495">
        <v>6</v>
      </c>
      <c r="AB1495">
        <v>1431</v>
      </c>
      <c r="AC1495">
        <v>0</v>
      </c>
      <c r="AD1495">
        <v>45446514283</v>
      </c>
      <c r="AE1495">
        <v>37595841.060000002</v>
      </c>
      <c r="AF1495">
        <v>45172686167.830002</v>
      </c>
      <c r="AG1495">
        <v>45324174858.790001</v>
      </c>
      <c r="AH1495">
        <v>6.0623999999999997E-2</v>
      </c>
      <c r="AI1495">
        <v>2.2148000000000001E-2</v>
      </c>
    </row>
    <row r="1496" spans="13:35" x14ac:dyDescent="0.35">
      <c r="M1496" t="s">
        <v>1</v>
      </c>
      <c r="N1496">
        <v>8000</v>
      </c>
      <c r="O1496">
        <v>18</v>
      </c>
      <c r="P1496">
        <v>44</v>
      </c>
      <c r="Q1496">
        <v>0</v>
      </c>
      <c r="R1496">
        <v>925595994</v>
      </c>
      <c r="S1496">
        <v>712155.07</v>
      </c>
      <c r="T1496">
        <v>830803744.20000005</v>
      </c>
      <c r="U1496">
        <v>869860316.36000001</v>
      </c>
      <c r="V1496">
        <v>0.72369499999999998</v>
      </c>
      <c r="W1496">
        <v>0.520706</v>
      </c>
      <c r="Y1496" t="s">
        <v>1</v>
      </c>
      <c r="Z1496">
        <v>7250</v>
      </c>
      <c r="AA1496">
        <v>16</v>
      </c>
      <c r="AB1496">
        <v>617</v>
      </c>
      <c r="AC1496">
        <v>0</v>
      </c>
      <c r="AD1496">
        <v>15880081128</v>
      </c>
      <c r="AE1496">
        <v>13952281.93</v>
      </c>
      <c r="AF1496">
        <v>14840594909.469999</v>
      </c>
      <c r="AG1496">
        <v>15520747771.450001</v>
      </c>
      <c r="AH1496">
        <v>0.551172</v>
      </c>
      <c r="AI1496">
        <v>0.231928</v>
      </c>
    </row>
    <row r="1497" spans="13:35" x14ac:dyDescent="0.35">
      <c r="M1497" t="s">
        <v>1</v>
      </c>
      <c r="N1497">
        <v>8250</v>
      </c>
      <c r="O1497">
        <v>18</v>
      </c>
      <c r="P1497">
        <v>8</v>
      </c>
      <c r="Q1497">
        <v>0</v>
      </c>
      <c r="R1497">
        <v>185191278</v>
      </c>
      <c r="S1497">
        <v>135199.10999999999</v>
      </c>
      <c r="T1497">
        <v>185056078.88999999</v>
      </c>
      <c r="U1497">
        <v>185056078.88999999</v>
      </c>
      <c r="V1497">
        <v>0</v>
      </c>
      <c r="W1497">
        <v>0</v>
      </c>
      <c r="Y1497" t="s">
        <v>2</v>
      </c>
      <c r="Z1497">
        <v>7750</v>
      </c>
      <c r="AA1497">
        <v>18</v>
      </c>
      <c r="AB1497">
        <v>83</v>
      </c>
      <c r="AC1497">
        <v>0</v>
      </c>
      <c r="AD1497">
        <v>968610695</v>
      </c>
      <c r="AE1497">
        <v>794599.91</v>
      </c>
      <c r="AF1497">
        <v>955794584.20000005</v>
      </c>
      <c r="AG1497">
        <v>955794584.20000005</v>
      </c>
      <c r="AH1497">
        <v>0.13917599999999999</v>
      </c>
      <c r="AI1497">
        <v>0.13917599999999999</v>
      </c>
    </row>
    <row r="1498" spans="13:35" x14ac:dyDescent="0.35">
      <c r="M1498" t="s">
        <v>0</v>
      </c>
      <c r="N1498">
        <v>8500</v>
      </c>
      <c r="O1498">
        <v>20</v>
      </c>
      <c r="P1498">
        <v>9</v>
      </c>
      <c r="Q1498">
        <v>0</v>
      </c>
      <c r="R1498">
        <v>263722769</v>
      </c>
      <c r="S1498">
        <v>187631</v>
      </c>
      <c r="T1498">
        <v>263535138</v>
      </c>
      <c r="U1498">
        <v>263535138</v>
      </c>
      <c r="V1498">
        <v>0</v>
      </c>
      <c r="W1498">
        <v>0</v>
      </c>
      <c r="Y1498" t="s">
        <v>0</v>
      </c>
      <c r="Z1498">
        <v>9000</v>
      </c>
      <c r="AA1498">
        <v>20</v>
      </c>
      <c r="AB1498">
        <v>32</v>
      </c>
      <c r="AC1498">
        <v>0</v>
      </c>
      <c r="AD1498">
        <v>785744844</v>
      </c>
      <c r="AE1498">
        <v>529102.19999999995</v>
      </c>
      <c r="AF1498">
        <v>785215741.79999995</v>
      </c>
      <c r="AG1498">
        <v>785215741.79999995</v>
      </c>
      <c r="AH1498">
        <v>0</v>
      </c>
      <c r="AI1498">
        <v>0</v>
      </c>
    </row>
    <row r="1499" spans="13:35" x14ac:dyDescent="0.35">
      <c r="M1499" t="s">
        <v>0</v>
      </c>
      <c r="N1499">
        <v>9000</v>
      </c>
      <c r="O1499">
        <v>20</v>
      </c>
      <c r="P1499">
        <v>33</v>
      </c>
      <c r="Q1499">
        <v>0</v>
      </c>
      <c r="R1499">
        <v>759331070</v>
      </c>
      <c r="S1499">
        <v>516181.1</v>
      </c>
      <c r="T1499">
        <v>758814888.89999998</v>
      </c>
      <c r="U1499">
        <v>758814888.89999998</v>
      </c>
      <c r="V1499">
        <v>0</v>
      </c>
      <c r="W1499">
        <v>0</v>
      </c>
      <c r="Y1499" t="s">
        <v>0</v>
      </c>
      <c r="Z1499">
        <v>8500</v>
      </c>
      <c r="AA1499">
        <v>20</v>
      </c>
      <c r="AB1499">
        <v>10</v>
      </c>
      <c r="AC1499">
        <v>0</v>
      </c>
      <c r="AD1499">
        <v>288951181</v>
      </c>
      <c r="AE1499">
        <v>204701.52</v>
      </c>
      <c r="AF1499">
        <v>288746479.48000002</v>
      </c>
      <c r="AG1499">
        <v>288746479.48000002</v>
      </c>
      <c r="AH1499">
        <v>0</v>
      </c>
      <c r="AI1499">
        <v>0</v>
      </c>
    </row>
    <row r="1500" spans="13:35" x14ac:dyDescent="0.35">
      <c r="M1500" t="s">
        <v>2</v>
      </c>
      <c r="N1500">
        <v>7250</v>
      </c>
      <c r="O1500">
        <v>16</v>
      </c>
      <c r="P1500">
        <v>309</v>
      </c>
      <c r="Q1500">
        <v>0</v>
      </c>
      <c r="R1500">
        <v>4495079574</v>
      </c>
      <c r="S1500">
        <v>3943601.4</v>
      </c>
      <c r="T1500">
        <v>4422178068.1099997</v>
      </c>
      <c r="U1500">
        <v>4472984169.5200005</v>
      </c>
      <c r="V1500">
        <v>0.169324</v>
      </c>
      <c r="W1500">
        <v>4.7396000000000001E-2</v>
      </c>
      <c r="Y1500" t="s">
        <v>3</v>
      </c>
      <c r="Z1500">
        <v>7750</v>
      </c>
      <c r="AA1500">
        <v>20</v>
      </c>
      <c r="AB1500">
        <v>4</v>
      </c>
      <c r="AC1500">
        <v>0</v>
      </c>
      <c r="AD1500">
        <v>81053813</v>
      </c>
      <c r="AE1500">
        <v>66558.899999999994</v>
      </c>
      <c r="AF1500">
        <v>80987254.099999994</v>
      </c>
      <c r="AG1500">
        <v>80987254.099999994</v>
      </c>
      <c r="AH1500">
        <v>0</v>
      </c>
      <c r="AI1500">
        <v>0</v>
      </c>
    </row>
    <row r="1501" spans="13:35" x14ac:dyDescent="0.35">
      <c r="M1501" t="s">
        <v>2</v>
      </c>
      <c r="N1501">
        <v>7500</v>
      </c>
      <c r="O1501">
        <v>18</v>
      </c>
      <c r="P1501">
        <v>121</v>
      </c>
      <c r="Q1501">
        <v>0</v>
      </c>
      <c r="R1501">
        <v>1875077634</v>
      </c>
      <c r="S1501">
        <v>1604603.16</v>
      </c>
      <c r="T1501">
        <v>1718977449.6700001</v>
      </c>
      <c r="U1501">
        <v>1803295511.0999999</v>
      </c>
      <c r="V1501">
        <v>0.64365300000000003</v>
      </c>
      <c r="W1501">
        <v>0.36728699999999997</v>
      </c>
      <c r="Y1501" t="s">
        <v>0</v>
      </c>
      <c r="Z1501">
        <v>8250</v>
      </c>
      <c r="AA1501">
        <v>18</v>
      </c>
      <c r="AB1501">
        <v>234</v>
      </c>
      <c r="AC1501">
        <v>0</v>
      </c>
      <c r="AD1501">
        <v>6900851823</v>
      </c>
      <c r="AE1501">
        <v>5036500.2699999996</v>
      </c>
      <c r="AF1501">
        <v>6691999723.0500002</v>
      </c>
      <c r="AG1501">
        <v>6882733670.3800001</v>
      </c>
      <c r="AH1501">
        <v>0.30215399999999998</v>
      </c>
      <c r="AI1501">
        <v>2.2512000000000001E-2</v>
      </c>
    </row>
    <row r="1502" spans="13:35" x14ac:dyDescent="0.35">
      <c r="M1502" t="s">
        <v>2</v>
      </c>
      <c r="N1502">
        <v>7750</v>
      </c>
      <c r="O1502">
        <v>18</v>
      </c>
      <c r="P1502">
        <v>19</v>
      </c>
      <c r="Q1502">
        <v>0</v>
      </c>
      <c r="R1502">
        <v>200770882</v>
      </c>
      <c r="S1502">
        <v>162072.04999999999</v>
      </c>
      <c r="T1502">
        <v>200608809.94999999</v>
      </c>
      <c r="U1502">
        <v>200608809.94999999</v>
      </c>
      <c r="V1502">
        <v>0</v>
      </c>
      <c r="W1502">
        <v>0</v>
      </c>
      <c r="Y1502" t="s">
        <v>3</v>
      </c>
      <c r="Z1502">
        <v>7750</v>
      </c>
      <c r="AA1502">
        <v>18</v>
      </c>
      <c r="AB1502">
        <v>3</v>
      </c>
      <c r="AC1502">
        <v>0</v>
      </c>
      <c r="AD1502">
        <v>47289217</v>
      </c>
      <c r="AE1502">
        <v>38605.79</v>
      </c>
      <c r="AF1502">
        <v>47250611.210000001</v>
      </c>
      <c r="AG1502">
        <v>47250611.210000001</v>
      </c>
      <c r="AH1502">
        <v>0</v>
      </c>
      <c r="AI1502">
        <v>0</v>
      </c>
    </row>
    <row r="1503" spans="13:35" x14ac:dyDescent="0.35">
      <c r="M1503" t="s">
        <v>1</v>
      </c>
      <c r="N1503">
        <v>7500</v>
      </c>
      <c r="O1503">
        <v>7</v>
      </c>
      <c r="P1503">
        <v>195</v>
      </c>
      <c r="Q1503">
        <v>0</v>
      </c>
      <c r="R1503">
        <v>6656117654</v>
      </c>
      <c r="S1503">
        <v>5263283.3</v>
      </c>
      <c r="T1503">
        <v>2616461103.8200002</v>
      </c>
      <c r="U1503">
        <v>6650854370.6999998</v>
      </c>
      <c r="V1503">
        <v>0.99998600000000004</v>
      </c>
      <c r="W1503">
        <v>0</v>
      </c>
      <c r="Y1503" t="s">
        <v>3</v>
      </c>
      <c r="Z1503">
        <v>6500</v>
      </c>
      <c r="AA1503">
        <v>18</v>
      </c>
      <c r="AB1503">
        <v>41</v>
      </c>
      <c r="AC1503">
        <v>0</v>
      </c>
      <c r="AD1503">
        <v>1063342524</v>
      </c>
      <c r="AE1503">
        <v>1086993.94</v>
      </c>
      <c r="AF1503">
        <v>1062255530.0599999</v>
      </c>
      <c r="AG1503">
        <v>1062255530.0599999</v>
      </c>
      <c r="AH1503">
        <v>0</v>
      </c>
      <c r="AI1503">
        <v>0</v>
      </c>
    </row>
    <row r="1504" spans="13:35" x14ac:dyDescent="0.35">
      <c r="M1504" t="s">
        <v>1</v>
      </c>
      <c r="N1504">
        <v>6250</v>
      </c>
      <c r="O1504">
        <v>6</v>
      </c>
      <c r="P1504">
        <v>10304</v>
      </c>
      <c r="Q1504">
        <v>0</v>
      </c>
      <c r="R1504">
        <v>385820563529</v>
      </c>
      <c r="S1504">
        <v>385432847.43000001</v>
      </c>
      <c r="T1504">
        <v>384112245577.59003</v>
      </c>
      <c r="U1504">
        <v>385203804789.02002</v>
      </c>
      <c r="V1504">
        <v>4.0377999999999997E-2</v>
      </c>
      <c r="W1504">
        <v>7.1710000000000003E-3</v>
      </c>
      <c r="Y1504" t="s">
        <v>1</v>
      </c>
      <c r="Z1504">
        <v>7500</v>
      </c>
      <c r="AA1504">
        <v>16</v>
      </c>
      <c r="AB1504">
        <v>245</v>
      </c>
      <c r="AC1504">
        <v>0</v>
      </c>
      <c r="AD1504">
        <v>5165823792</v>
      </c>
      <c r="AE1504">
        <v>4325936.6900000004</v>
      </c>
      <c r="AF1504">
        <v>4871439888.6899996</v>
      </c>
      <c r="AG1504">
        <v>5108868531.96</v>
      </c>
      <c r="AH1504">
        <v>0.50015100000000001</v>
      </c>
      <c r="AI1504">
        <v>0.115633</v>
      </c>
    </row>
    <row r="1505" spans="13:35" x14ac:dyDescent="0.35">
      <c r="M1505" t="s">
        <v>3</v>
      </c>
      <c r="N1505">
        <v>6500</v>
      </c>
      <c r="O1505">
        <v>16</v>
      </c>
      <c r="P1505">
        <v>43</v>
      </c>
      <c r="Q1505">
        <v>0</v>
      </c>
      <c r="R1505">
        <v>1048381099</v>
      </c>
      <c r="S1505">
        <v>1057160.04</v>
      </c>
      <c r="T1505">
        <v>1047323938.96</v>
      </c>
      <c r="U1505">
        <v>1047323938.96</v>
      </c>
      <c r="V1505">
        <v>0</v>
      </c>
      <c r="W1505">
        <v>0</v>
      </c>
      <c r="Y1505" t="s">
        <v>3</v>
      </c>
      <c r="Z1505">
        <v>6000</v>
      </c>
      <c r="AA1505">
        <v>16</v>
      </c>
      <c r="AB1505">
        <v>46</v>
      </c>
      <c r="AC1505">
        <v>0</v>
      </c>
      <c r="AD1505">
        <v>1206263102</v>
      </c>
      <c r="AE1505">
        <v>1328080.6100000001</v>
      </c>
      <c r="AF1505">
        <v>1204935021.3900001</v>
      </c>
      <c r="AG1505">
        <v>1204935021.3900001</v>
      </c>
      <c r="AH1505">
        <v>0</v>
      </c>
      <c r="AI1505">
        <v>0</v>
      </c>
    </row>
    <row r="1506" spans="13:35" x14ac:dyDescent="0.35">
      <c r="M1506" t="s">
        <v>1</v>
      </c>
      <c r="N1506">
        <v>4750</v>
      </c>
      <c r="O1506">
        <v>20</v>
      </c>
      <c r="P1506">
        <v>557</v>
      </c>
      <c r="Q1506">
        <v>0</v>
      </c>
      <c r="R1506">
        <v>19669581078</v>
      </c>
      <c r="S1506">
        <v>27582763.780000001</v>
      </c>
      <c r="T1506">
        <v>19614557937.709999</v>
      </c>
      <c r="U1506">
        <v>19614557937.709999</v>
      </c>
      <c r="V1506">
        <v>1.6612999999999999E-2</v>
      </c>
      <c r="W1506">
        <v>1.6612999999999999E-2</v>
      </c>
      <c r="Y1506" t="s">
        <v>3</v>
      </c>
      <c r="Z1506">
        <v>5750</v>
      </c>
      <c r="AA1506">
        <v>16</v>
      </c>
      <c r="AB1506">
        <v>25</v>
      </c>
      <c r="AC1506">
        <v>0</v>
      </c>
      <c r="AD1506">
        <v>756442820</v>
      </c>
      <c r="AE1506">
        <v>876323.33</v>
      </c>
      <c r="AF1506">
        <v>755566496.66999996</v>
      </c>
      <c r="AG1506">
        <v>755566496.66999996</v>
      </c>
      <c r="AH1506">
        <v>0</v>
      </c>
      <c r="AI1506">
        <v>0</v>
      </c>
    </row>
    <row r="1507" spans="13:35" x14ac:dyDescent="0.35">
      <c r="M1507" t="s">
        <v>0</v>
      </c>
      <c r="N1507">
        <v>4250</v>
      </c>
      <c r="O1507">
        <v>18</v>
      </c>
      <c r="P1507">
        <v>1220</v>
      </c>
      <c r="Q1507">
        <v>0</v>
      </c>
      <c r="R1507">
        <v>38937620838</v>
      </c>
      <c r="S1507">
        <v>58704672.030000001</v>
      </c>
      <c r="T1507">
        <v>38839780921.970001</v>
      </c>
      <c r="U1507">
        <v>38857212735.650002</v>
      </c>
      <c r="V1507">
        <v>1.1993999999999999E-2</v>
      </c>
      <c r="W1507">
        <v>6.6680000000000003E-3</v>
      </c>
      <c r="Y1507" t="s">
        <v>3</v>
      </c>
      <c r="Z1507">
        <v>5500</v>
      </c>
      <c r="AA1507">
        <v>16</v>
      </c>
      <c r="AB1507">
        <v>13</v>
      </c>
      <c r="AC1507">
        <v>0</v>
      </c>
      <c r="AD1507">
        <v>375011760</v>
      </c>
      <c r="AE1507">
        <v>454546.17</v>
      </c>
      <c r="AF1507">
        <v>374557213.82999998</v>
      </c>
      <c r="AG1507">
        <v>374557213.82999998</v>
      </c>
      <c r="AH1507">
        <v>0</v>
      </c>
      <c r="AI1507">
        <v>0</v>
      </c>
    </row>
    <row r="1508" spans="13:35" x14ac:dyDescent="0.35">
      <c r="M1508" t="s">
        <v>2</v>
      </c>
      <c r="N1508">
        <v>4250</v>
      </c>
      <c r="O1508">
        <v>18</v>
      </c>
      <c r="P1508">
        <v>43</v>
      </c>
      <c r="Q1508">
        <v>0</v>
      </c>
      <c r="R1508">
        <v>955796854</v>
      </c>
      <c r="S1508">
        <v>1447995.49</v>
      </c>
      <c r="T1508">
        <v>954348858.50999999</v>
      </c>
      <c r="U1508">
        <v>954348858.50999999</v>
      </c>
      <c r="V1508">
        <v>0</v>
      </c>
      <c r="W1508">
        <v>0</v>
      </c>
      <c r="Y1508" t="s">
        <v>3</v>
      </c>
      <c r="Z1508">
        <v>5250</v>
      </c>
      <c r="AA1508">
        <v>16</v>
      </c>
      <c r="AB1508">
        <v>20</v>
      </c>
      <c r="AC1508">
        <v>0</v>
      </c>
      <c r="AD1508">
        <v>536537735</v>
      </c>
      <c r="AE1508">
        <v>675999.28</v>
      </c>
      <c r="AF1508">
        <v>535861735.72000003</v>
      </c>
      <c r="AG1508">
        <v>535861735.72000003</v>
      </c>
      <c r="AH1508">
        <v>0</v>
      </c>
      <c r="AI1508">
        <v>0</v>
      </c>
    </row>
    <row r="1509" spans="13:35" x14ac:dyDescent="0.35">
      <c r="M1509" t="s">
        <v>1</v>
      </c>
      <c r="N1509">
        <v>4250</v>
      </c>
      <c r="O1509">
        <v>18</v>
      </c>
      <c r="P1509">
        <v>454</v>
      </c>
      <c r="Q1509">
        <v>0</v>
      </c>
      <c r="R1509">
        <v>16110847006</v>
      </c>
      <c r="S1509">
        <v>24317848.530000001</v>
      </c>
      <c r="T1509">
        <v>16086529157.469999</v>
      </c>
      <c r="U1509">
        <v>16086529157.469999</v>
      </c>
      <c r="V1509">
        <v>0</v>
      </c>
      <c r="W1509">
        <v>0</v>
      </c>
      <c r="Y1509" t="s">
        <v>2</v>
      </c>
      <c r="Z1509">
        <v>8250</v>
      </c>
      <c r="AA1509">
        <v>20</v>
      </c>
      <c r="AB1509">
        <v>1</v>
      </c>
      <c r="AC1509">
        <v>0</v>
      </c>
      <c r="AD1509">
        <v>15626343</v>
      </c>
      <c r="AE1509">
        <v>11498.02</v>
      </c>
      <c r="AF1509">
        <v>15614844.98</v>
      </c>
      <c r="AG1509">
        <v>15614844.98</v>
      </c>
      <c r="AH1509">
        <v>0</v>
      </c>
      <c r="AI1509">
        <v>0</v>
      </c>
    </row>
    <row r="1510" spans="13:35" x14ac:dyDescent="0.35">
      <c r="M1510" t="s">
        <v>2</v>
      </c>
      <c r="N1510">
        <v>4750</v>
      </c>
      <c r="O1510">
        <v>18</v>
      </c>
      <c r="P1510">
        <v>47</v>
      </c>
      <c r="Q1510">
        <v>0</v>
      </c>
      <c r="R1510">
        <v>1252147889</v>
      </c>
      <c r="S1510">
        <v>1734158.81</v>
      </c>
      <c r="T1510">
        <v>1250413730.1900001</v>
      </c>
      <c r="U1510">
        <v>1250413730.1900001</v>
      </c>
      <c r="V1510">
        <v>0</v>
      </c>
      <c r="W1510">
        <v>0</v>
      </c>
      <c r="Y1510" t="s">
        <v>1</v>
      </c>
      <c r="Z1510">
        <v>8250</v>
      </c>
      <c r="AA1510">
        <v>18</v>
      </c>
      <c r="AB1510">
        <v>29</v>
      </c>
      <c r="AC1510">
        <v>0</v>
      </c>
      <c r="AD1510">
        <v>697294093</v>
      </c>
      <c r="AE1510">
        <v>510086.58</v>
      </c>
      <c r="AF1510">
        <v>666397052.76999998</v>
      </c>
      <c r="AG1510">
        <v>679713235.5</v>
      </c>
      <c r="AH1510">
        <v>0.41414200000000001</v>
      </c>
      <c r="AI1510">
        <v>0.25727800000000001</v>
      </c>
    </row>
    <row r="1511" spans="13:35" x14ac:dyDescent="0.35">
      <c r="M1511" t="s">
        <v>0</v>
      </c>
      <c r="N1511">
        <v>4250</v>
      </c>
      <c r="O1511">
        <v>16</v>
      </c>
      <c r="P1511">
        <v>1243</v>
      </c>
      <c r="Q1511">
        <v>0</v>
      </c>
      <c r="R1511">
        <v>42519957821</v>
      </c>
      <c r="S1511">
        <v>63559574.079999998</v>
      </c>
      <c r="T1511">
        <v>42421003254.889999</v>
      </c>
      <c r="U1511">
        <v>42456398246.919998</v>
      </c>
      <c r="V1511">
        <v>9.9439999999999997E-3</v>
      </c>
      <c r="W1511">
        <v>0</v>
      </c>
      <c r="Y1511" t="s">
        <v>3</v>
      </c>
      <c r="Z1511">
        <v>6000</v>
      </c>
      <c r="AA1511">
        <v>14</v>
      </c>
      <c r="AB1511">
        <v>31</v>
      </c>
      <c r="AC1511">
        <v>0</v>
      </c>
      <c r="AD1511">
        <v>755257876</v>
      </c>
      <c r="AE1511">
        <v>824360.16</v>
      </c>
      <c r="AF1511">
        <v>754433515.84000003</v>
      </c>
      <c r="AG1511">
        <v>754433515.84000003</v>
      </c>
      <c r="AH1511">
        <v>0</v>
      </c>
      <c r="AI1511">
        <v>0</v>
      </c>
    </row>
    <row r="1512" spans="13:35" x14ac:dyDescent="0.35">
      <c r="M1512" t="s">
        <v>1</v>
      </c>
      <c r="N1512">
        <v>4250</v>
      </c>
      <c r="O1512">
        <v>16</v>
      </c>
      <c r="P1512">
        <v>432</v>
      </c>
      <c r="Q1512">
        <v>0</v>
      </c>
      <c r="R1512">
        <v>14747617347</v>
      </c>
      <c r="S1512">
        <v>22060622.120000001</v>
      </c>
      <c r="T1512">
        <v>14714722812.780001</v>
      </c>
      <c r="U1512">
        <v>14725556724.879999</v>
      </c>
      <c r="V1512">
        <v>8.7799999999999996E-3</v>
      </c>
      <c r="W1512">
        <v>0</v>
      </c>
      <c r="Y1512" t="s">
        <v>2</v>
      </c>
      <c r="Z1512">
        <v>6500</v>
      </c>
      <c r="AA1512">
        <v>8</v>
      </c>
      <c r="AB1512">
        <v>745</v>
      </c>
      <c r="AC1512">
        <v>0</v>
      </c>
      <c r="AD1512">
        <v>15387465974</v>
      </c>
      <c r="AE1512">
        <v>14823256.99</v>
      </c>
      <c r="AF1512">
        <v>15248813795.610001</v>
      </c>
      <c r="AG1512">
        <v>15372642717.01</v>
      </c>
      <c r="AH1512">
        <v>9.2407000000000003E-2</v>
      </c>
      <c r="AI1512">
        <v>0</v>
      </c>
    </row>
    <row r="1513" spans="13:35" x14ac:dyDescent="0.35">
      <c r="M1513" t="s">
        <v>2</v>
      </c>
      <c r="N1513">
        <v>4250</v>
      </c>
      <c r="O1513">
        <v>16</v>
      </c>
      <c r="P1513">
        <v>40</v>
      </c>
      <c r="Q1513">
        <v>0</v>
      </c>
      <c r="R1513">
        <v>936763500</v>
      </c>
      <c r="S1513">
        <v>1401372.91</v>
      </c>
      <c r="T1513">
        <v>935362127.09000003</v>
      </c>
      <c r="U1513">
        <v>935362127.09000003</v>
      </c>
      <c r="V1513">
        <v>0</v>
      </c>
      <c r="W1513">
        <v>0</v>
      </c>
      <c r="Y1513" t="s">
        <v>2</v>
      </c>
      <c r="Z1513">
        <v>8000</v>
      </c>
      <c r="AA1513">
        <v>20</v>
      </c>
      <c r="AB1513">
        <v>5</v>
      </c>
      <c r="AC1513">
        <v>0</v>
      </c>
      <c r="AD1513">
        <v>100338212</v>
      </c>
      <c r="AE1513">
        <v>77914.990000000005</v>
      </c>
      <c r="AF1513">
        <v>100260297.01000001</v>
      </c>
      <c r="AG1513">
        <v>100260297.01000001</v>
      </c>
      <c r="AH1513">
        <v>0</v>
      </c>
      <c r="AI1513">
        <v>0</v>
      </c>
    </row>
    <row r="1514" spans="13:35" x14ac:dyDescent="0.35">
      <c r="M1514" t="s">
        <v>1</v>
      </c>
      <c r="N1514">
        <v>4500</v>
      </c>
      <c r="O1514">
        <v>16</v>
      </c>
      <c r="P1514">
        <v>914</v>
      </c>
      <c r="Q1514">
        <v>0</v>
      </c>
      <c r="R1514">
        <v>31568815099</v>
      </c>
      <c r="S1514">
        <v>45149903.640000001</v>
      </c>
      <c r="T1514">
        <v>31400034041.639999</v>
      </c>
      <c r="U1514">
        <v>31523665195.360001</v>
      </c>
      <c r="V1514">
        <v>4.5996000000000002E-2</v>
      </c>
      <c r="W1514">
        <v>0</v>
      </c>
      <c r="Y1514" t="s">
        <v>1</v>
      </c>
      <c r="Z1514">
        <v>8000</v>
      </c>
      <c r="AA1514">
        <v>18</v>
      </c>
      <c r="AB1514">
        <v>106</v>
      </c>
      <c r="AC1514">
        <v>0</v>
      </c>
      <c r="AD1514">
        <v>2157710025</v>
      </c>
      <c r="AE1514">
        <v>1663884.34</v>
      </c>
      <c r="AF1514">
        <v>1889067643.78</v>
      </c>
      <c r="AG1514">
        <v>2156046140.6599998</v>
      </c>
      <c r="AH1514">
        <v>0.79505300000000001</v>
      </c>
      <c r="AI1514">
        <v>0</v>
      </c>
    </row>
    <row r="1515" spans="13:35" x14ac:dyDescent="0.35">
      <c r="M1515" t="s">
        <v>0</v>
      </c>
      <c r="N1515">
        <v>4750</v>
      </c>
      <c r="O1515">
        <v>16</v>
      </c>
      <c r="P1515">
        <v>1524</v>
      </c>
      <c r="Q1515">
        <v>0</v>
      </c>
      <c r="R1515">
        <v>53231504362</v>
      </c>
      <c r="S1515">
        <v>73173059.870000005</v>
      </c>
      <c r="T1515">
        <v>53037098851.720001</v>
      </c>
      <c r="U1515">
        <v>53106768534.800003</v>
      </c>
      <c r="V1515">
        <v>2.699E-2</v>
      </c>
      <c r="W1515">
        <v>1.1561999999999999E-2</v>
      </c>
      <c r="Y1515" t="s">
        <v>2</v>
      </c>
      <c r="Z1515">
        <v>7250</v>
      </c>
      <c r="AA1515">
        <v>14</v>
      </c>
      <c r="AB1515">
        <v>331</v>
      </c>
      <c r="AC1515">
        <v>0</v>
      </c>
      <c r="AD1515">
        <v>4854316879</v>
      </c>
      <c r="AE1515">
        <v>4199318.78</v>
      </c>
      <c r="AF1515">
        <v>4762202282.46</v>
      </c>
      <c r="AG1515">
        <v>4822105696.6400003</v>
      </c>
      <c r="AH1515">
        <v>0.196936</v>
      </c>
      <c r="AI1515">
        <v>6.7089999999999997E-2</v>
      </c>
    </row>
    <row r="1516" spans="13:35" x14ac:dyDescent="0.35">
      <c r="M1516" t="s">
        <v>2</v>
      </c>
      <c r="N1516">
        <v>4750</v>
      </c>
      <c r="O1516">
        <v>16</v>
      </c>
      <c r="P1516">
        <v>30</v>
      </c>
      <c r="Q1516">
        <v>0</v>
      </c>
      <c r="R1516">
        <v>679807430</v>
      </c>
      <c r="S1516">
        <v>931090.08</v>
      </c>
      <c r="T1516">
        <v>678876339.91999996</v>
      </c>
      <c r="U1516">
        <v>678876339.91999996</v>
      </c>
      <c r="V1516">
        <v>0</v>
      </c>
      <c r="W1516">
        <v>0</v>
      </c>
      <c r="Y1516" t="s">
        <v>2</v>
      </c>
      <c r="Z1516">
        <v>7750</v>
      </c>
      <c r="AA1516">
        <v>16</v>
      </c>
      <c r="AB1516">
        <v>10</v>
      </c>
      <c r="AC1516">
        <v>0</v>
      </c>
      <c r="AD1516">
        <v>107704195</v>
      </c>
      <c r="AE1516">
        <v>85737.48</v>
      </c>
      <c r="AF1516">
        <v>107618457.52</v>
      </c>
      <c r="AG1516">
        <v>107618457.52</v>
      </c>
      <c r="AH1516">
        <v>0</v>
      </c>
      <c r="AI1516">
        <v>0</v>
      </c>
    </row>
    <row r="1517" spans="13:35" x14ac:dyDescent="0.35">
      <c r="M1517" t="s">
        <v>1</v>
      </c>
      <c r="N1517">
        <v>4750</v>
      </c>
      <c r="O1517">
        <v>16</v>
      </c>
      <c r="P1517">
        <v>881</v>
      </c>
      <c r="Q1517">
        <v>0</v>
      </c>
      <c r="R1517">
        <v>36142745511</v>
      </c>
      <c r="S1517">
        <v>49651344.210000001</v>
      </c>
      <c r="T1517">
        <v>35850365087.550003</v>
      </c>
      <c r="U1517">
        <v>35983771137.57</v>
      </c>
      <c r="V1517">
        <v>7.7678999999999998E-2</v>
      </c>
      <c r="W1517">
        <v>3.5699000000000002E-2</v>
      </c>
      <c r="Y1517" t="s">
        <v>2</v>
      </c>
      <c r="Z1517">
        <v>7250</v>
      </c>
      <c r="AA1517">
        <v>16</v>
      </c>
      <c r="AB1517">
        <v>287</v>
      </c>
      <c r="AC1517">
        <v>0</v>
      </c>
      <c r="AD1517">
        <v>4194781534</v>
      </c>
      <c r="AE1517">
        <v>3669789.72</v>
      </c>
      <c r="AF1517">
        <v>4078148794.0799999</v>
      </c>
      <c r="AG1517">
        <v>4112092985.0100002</v>
      </c>
      <c r="AH1517">
        <v>0.279337</v>
      </c>
      <c r="AI1517">
        <v>0.204039</v>
      </c>
    </row>
    <row r="1518" spans="13:35" x14ac:dyDescent="0.35">
      <c r="M1518" t="s">
        <v>2</v>
      </c>
      <c r="N1518">
        <v>5000</v>
      </c>
      <c r="O1518">
        <v>14</v>
      </c>
      <c r="P1518">
        <v>113</v>
      </c>
      <c r="Q1518">
        <v>0</v>
      </c>
      <c r="R1518">
        <v>2922538156</v>
      </c>
      <c r="S1518">
        <v>3794888.09</v>
      </c>
      <c r="T1518">
        <v>2918743267.9099998</v>
      </c>
      <c r="U1518">
        <v>2918743267.9099998</v>
      </c>
      <c r="V1518">
        <v>0</v>
      </c>
      <c r="W1518">
        <v>0</v>
      </c>
      <c r="Y1518" t="s">
        <v>1</v>
      </c>
      <c r="Z1518">
        <v>7500</v>
      </c>
      <c r="AA1518">
        <v>6</v>
      </c>
      <c r="AB1518">
        <v>196</v>
      </c>
      <c r="AC1518">
        <v>0</v>
      </c>
      <c r="AD1518">
        <v>6719892114</v>
      </c>
      <c r="AE1518">
        <v>5277246.29</v>
      </c>
      <c r="AF1518">
        <v>6714614867.71</v>
      </c>
      <c r="AG1518">
        <v>6714614867.71</v>
      </c>
      <c r="AH1518">
        <v>0</v>
      </c>
      <c r="AI1518">
        <v>0</v>
      </c>
    </row>
    <row r="1519" spans="13:35" x14ac:dyDescent="0.35">
      <c r="M1519" t="s">
        <v>0</v>
      </c>
      <c r="N1519">
        <v>4750</v>
      </c>
      <c r="O1519">
        <v>14</v>
      </c>
      <c r="P1519">
        <v>1366</v>
      </c>
      <c r="Q1519">
        <v>0</v>
      </c>
      <c r="R1519">
        <v>45282457087</v>
      </c>
      <c r="S1519">
        <v>61511287.899999999</v>
      </c>
      <c r="T1519">
        <v>45144958568.82</v>
      </c>
      <c r="U1519">
        <v>45168585813.360001</v>
      </c>
      <c r="V1519">
        <v>1.9952000000000001E-2</v>
      </c>
      <c r="W1519">
        <v>1.3788E-2</v>
      </c>
      <c r="Y1519" t="s">
        <v>3</v>
      </c>
      <c r="Z1519">
        <v>6500</v>
      </c>
      <c r="AA1519">
        <v>16</v>
      </c>
      <c r="AB1519">
        <v>28</v>
      </c>
      <c r="AC1519">
        <v>0</v>
      </c>
      <c r="AD1519">
        <v>647167394</v>
      </c>
      <c r="AE1519">
        <v>654320.23</v>
      </c>
      <c r="AF1519">
        <v>618935490.40999997</v>
      </c>
      <c r="AG1519">
        <v>646513073.76999998</v>
      </c>
      <c r="AH1519">
        <v>0.40700399999999998</v>
      </c>
      <c r="AI1519">
        <v>0</v>
      </c>
    </row>
    <row r="1520" spans="13:35" x14ac:dyDescent="0.35">
      <c r="M1520" t="s">
        <v>1</v>
      </c>
      <c r="N1520">
        <v>4750</v>
      </c>
      <c r="O1520">
        <v>14</v>
      </c>
      <c r="P1520">
        <v>419</v>
      </c>
      <c r="Q1520">
        <v>0</v>
      </c>
      <c r="R1520">
        <v>15659965575</v>
      </c>
      <c r="S1520">
        <v>21266982.68</v>
      </c>
      <c r="T1520">
        <v>15498838848.92</v>
      </c>
      <c r="U1520">
        <v>15547109913.889999</v>
      </c>
      <c r="V1520">
        <v>0.102062</v>
      </c>
      <c r="W1520">
        <v>6.7969000000000002E-2</v>
      </c>
      <c r="Y1520" t="s">
        <v>3</v>
      </c>
      <c r="Z1520">
        <v>6000</v>
      </c>
      <c r="AA1520">
        <v>18</v>
      </c>
      <c r="AB1520">
        <v>16</v>
      </c>
      <c r="AC1520">
        <v>0</v>
      </c>
      <c r="AD1520">
        <v>386099761</v>
      </c>
      <c r="AE1520">
        <v>431730.58</v>
      </c>
      <c r="AF1520">
        <v>385668030.42000002</v>
      </c>
      <c r="AG1520">
        <v>385668030.42000002</v>
      </c>
      <c r="AH1520">
        <v>0</v>
      </c>
      <c r="AI1520">
        <v>0</v>
      </c>
    </row>
    <row r="1521" spans="13:35" x14ac:dyDescent="0.35">
      <c r="M1521" t="s">
        <v>2</v>
      </c>
      <c r="N1521">
        <v>4750</v>
      </c>
      <c r="O1521">
        <v>14</v>
      </c>
      <c r="P1521">
        <v>53</v>
      </c>
      <c r="Q1521">
        <v>0</v>
      </c>
      <c r="R1521">
        <v>1266448983</v>
      </c>
      <c r="S1521">
        <v>1722497.25</v>
      </c>
      <c r="T1521">
        <v>1264726485.75</v>
      </c>
      <c r="U1521">
        <v>1264726485.75</v>
      </c>
      <c r="V1521">
        <v>0</v>
      </c>
      <c r="W1521">
        <v>0</v>
      </c>
      <c r="Y1521" t="s">
        <v>2</v>
      </c>
      <c r="Z1521">
        <v>4750</v>
      </c>
      <c r="AA1521">
        <v>18</v>
      </c>
      <c r="AB1521">
        <v>36</v>
      </c>
      <c r="AC1521">
        <v>0</v>
      </c>
      <c r="AD1521">
        <v>915169637</v>
      </c>
      <c r="AE1521">
        <v>1264356.45</v>
      </c>
      <c r="AF1521">
        <v>913905280.54999995</v>
      </c>
      <c r="AG1521">
        <v>913905280.54999995</v>
      </c>
      <c r="AH1521">
        <v>0</v>
      </c>
      <c r="AI1521">
        <v>0</v>
      </c>
    </row>
    <row r="1522" spans="13:35" x14ac:dyDescent="0.35">
      <c r="M1522" t="s">
        <v>1</v>
      </c>
      <c r="N1522">
        <v>5000</v>
      </c>
      <c r="O1522">
        <v>14</v>
      </c>
      <c r="P1522">
        <v>1383</v>
      </c>
      <c r="Q1522">
        <v>0</v>
      </c>
      <c r="R1522">
        <v>53149837233</v>
      </c>
      <c r="S1522">
        <v>69071829.060000002</v>
      </c>
      <c r="T1522">
        <v>52979208114.040001</v>
      </c>
      <c r="U1522">
        <v>53080765403.940002</v>
      </c>
      <c r="V1522">
        <v>2.2689999999999998E-2</v>
      </c>
      <c r="W1522">
        <v>0</v>
      </c>
      <c r="Y1522" t="s">
        <v>0</v>
      </c>
      <c r="Z1522">
        <v>4250</v>
      </c>
      <c r="AA1522">
        <v>18</v>
      </c>
      <c r="AB1522">
        <v>964</v>
      </c>
      <c r="AC1522">
        <v>0</v>
      </c>
      <c r="AD1522">
        <v>29254745425</v>
      </c>
      <c r="AE1522">
        <v>44047865.369999997</v>
      </c>
      <c r="AF1522">
        <v>29210697559.630001</v>
      </c>
      <c r="AG1522">
        <v>29210697559.630001</v>
      </c>
      <c r="AH1522">
        <v>0</v>
      </c>
      <c r="AI1522">
        <v>0</v>
      </c>
    </row>
    <row r="1523" spans="13:35" x14ac:dyDescent="0.35">
      <c r="M1523" t="s">
        <v>0</v>
      </c>
      <c r="N1523">
        <v>5250</v>
      </c>
      <c r="O1523">
        <v>14</v>
      </c>
      <c r="P1523">
        <v>1570</v>
      </c>
      <c r="Q1523">
        <v>0</v>
      </c>
      <c r="R1523">
        <v>54200863425</v>
      </c>
      <c r="S1523">
        <v>67442306.840000004</v>
      </c>
      <c r="T1523">
        <v>54015514384.059998</v>
      </c>
      <c r="U1523">
        <v>54133421118.160004</v>
      </c>
      <c r="V1523">
        <v>2.5794000000000001E-2</v>
      </c>
      <c r="W1523">
        <v>0</v>
      </c>
      <c r="Y1523" t="s">
        <v>2</v>
      </c>
      <c r="Z1523">
        <v>4250</v>
      </c>
      <c r="AA1523">
        <v>18</v>
      </c>
      <c r="AB1523">
        <v>27</v>
      </c>
      <c r="AC1523">
        <v>0</v>
      </c>
      <c r="AD1523">
        <v>615375128</v>
      </c>
      <c r="AE1523">
        <v>936466.04</v>
      </c>
      <c r="AF1523">
        <v>614438661.96000004</v>
      </c>
      <c r="AG1523">
        <v>614438661.96000004</v>
      </c>
      <c r="AH1523">
        <v>0</v>
      </c>
      <c r="AI1523">
        <v>0</v>
      </c>
    </row>
    <row r="1524" spans="13:35" x14ac:dyDescent="0.35">
      <c r="M1524" t="s">
        <v>1</v>
      </c>
      <c r="N1524">
        <v>5250</v>
      </c>
      <c r="O1524">
        <v>14</v>
      </c>
      <c r="P1524">
        <v>809</v>
      </c>
      <c r="Q1524">
        <v>0</v>
      </c>
      <c r="R1524">
        <v>32577656347</v>
      </c>
      <c r="S1524">
        <v>40534558.469999999</v>
      </c>
      <c r="T1524">
        <v>32369985207.639999</v>
      </c>
      <c r="U1524">
        <v>32537121788.529999</v>
      </c>
      <c r="V1524">
        <v>5.9857E-2</v>
      </c>
      <c r="W1524">
        <v>0</v>
      </c>
      <c r="Y1524" t="s">
        <v>1</v>
      </c>
      <c r="Z1524">
        <v>4250</v>
      </c>
      <c r="AA1524">
        <v>18</v>
      </c>
      <c r="AB1524">
        <v>347</v>
      </c>
      <c r="AC1524">
        <v>0</v>
      </c>
      <c r="AD1524">
        <v>12236555749</v>
      </c>
      <c r="AE1524">
        <v>18471879.899999999</v>
      </c>
      <c r="AF1524">
        <v>12127015711.73</v>
      </c>
      <c r="AG1524">
        <v>12162582755.5</v>
      </c>
      <c r="AH1524">
        <v>8.5740999999999998E-2</v>
      </c>
      <c r="AI1524">
        <v>5.3090999999999999E-2</v>
      </c>
    </row>
    <row r="1525" spans="13:35" x14ac:dyDescent="0.35">
      <c r="M1525" t="s">
        <v>0</v>
      </c>
      <c r="N1525">
        <v>5500</v>
      </c>
      <c r="O1525">
        <v>14</v>
      </c>
      <c r="P1525">
        <v>2628</v>
      </c>
      <c r="Q1525">
        <v>0</v>
      </c>
      <c r="R1525">
        <v>86496777651</v>
      </c>
      <c r="S1525">
        <v>103071784.7</v>
      </c>
      <c r="T1525">
        <v>86010990270.169998</v>
      </c>
      <c r="U1525">
        <v>86354088548.009995</v>
      </c>
      <c r="V1525">
        <v>5.1822E-2</v>
      </c>
      <c r="W1525">
        <v>5.4819999999999999E-3</v>
      </c>
      <c r="Y1525" t="s">
        <v>0</v>
      </c>
      <c r="Z1525">
        <v>4250</v>
      </c>
      <c r="AA1525">
        <v>16</v>
      </c>
      <c r="AB1525">
        <v>1555</v>
      </c>
      <c r="AC1525">
        <v>0</v>
      </c>
      <c r="AD1525">
        <v>51597650449</v>
      </c>
      <c r="AE1525">
        <v>77060212.810000002</v>
      </c>
      <c r="AF1525">
        <v>51520590236.190002</v>
      </c>
      <c r="AG1525">
        <v>51520590236.190002</v>
      </c>
      <c r="AH1525">
        <v>0</v>
      </c>
      <c r="AI1525">
        <v>0</v>
      </c>
    </row>
    <row r="1526" spans="13:35" x14ac:dyDescent="0.35">
      <c r="M1526" t="s">
        <v>2</v>
      </c>
      <c r="N1526">
        <v>5250</v>
      </c>
      <c r="O1526">
        <v>14</v>
      </c>
      <c r="P1526">
        <v>31</v>
      </c>
      <c r="Q1526">
        <v>0</v>
      </c>
      <c r="R1526">
        <v>709249949</v>
      </c>
      <c r="S1526">
        <v>882686.4</v>
      </c>
      <c r="T1526">
        <v>708367262.60000002</v>
      </c>
      <c r="U1526">
        <v>708367262.60000002</v>
      </c>
      <c r="V1526">
        <v>0</v>
      </c>
      <c r="W1526">
        <v>0</v>
      </c>
      <c r="Y1526" t="s">
        <v>0</v>
      </c>
      <c r="Z1526">
        <v>4500</v>
      </c>
      <c r="AA1526">
        <v>16</v>
      </c>
      <c r="AB1526">
        <v>1836</v>
      </c>
      <c r="AC1526">
        <v>0</v>
      </c>
      <c r="AD1526">
        <v>62097739195</v>
      </c>
      <c r="AE1526">
        <v>88880581.359999999</v>
      </c>
      <c r="AF1526">
        <v>61920056688.260002</v>
      </c>
      <c r="AG1526">
        <v>61982939682.75</v>
      </c>
      <c r="AH1526">
        <v>1.7025999999999999E-2</v>
      </c>
      <c r="AI1526">
        <v>4.9969999999999997E-3</v>
      </c>
    </row>
    <row r="1527" spans="13:35" x14ac:dyDescent="0.35">
      <c r="M1527" t="s">
        <v>2</v>
      </c>
      <c r="N1527">
        <v>5500</v>
      </c>
      <c r="O1527">
        <v>14</v>
      </c>
      <c r="P1527">
        <v>104</v>
      </c>
      <c r="Q1527">
        <v>0</v>
      </c>
      <c r="R1527">
        <v>2351500396</v>
      </c>
      <c r="S1527">
        <v>2793204.27</v>
      </c>
      <c r="T1527">
        <v>2348707191.73</v>
      </c>
      <c r="U1527">
        <v>2348707191.73</v>
      </c>
      <c r="V1527">
        <v>0</v>
      </c>
      <c r="W1527">
        <v>0</v>
      </c>
      <c r="Y1527" t="s">
        <v>2</v>
      </c>
      <c r="Z1527">
        <v>4250</v>
      </c>
      <c r="AA1527">
        <v>16</v>
      </c>
      <c r="AB1527">
        <v>50</v>
      </c>
      <c r="AC1527">
        <v>0</v>
      </c>
      <c r="AD1527">
        <v>1119980886</v>
      </c>
      <c r="AE1527">
        <v>1671809.66</v>
      </c>
      <c r="AF1527">
        <v>1118309076.3399999</v>
      </c>
      <c r="AG1527">
        <v>1118309076.3399999</v>
      </c>
      <c r="AH1527">
        <v>0</v>
      </c>
      <c r="AI1527">
        <v>0</v>
      </c>
    </row>
    <row r="1528" spans="13:35" x14ac:dyDescent="0.35">
      <c r="M1528" t="s">
        <v>0</v>
      </c>
      <c r="N1528">
        <v>4750</v>
      </c>
      <c r="O1528">
        <v>12</v>
      </c>
      <c r="P1528">
        <v>1617</v>
      </c>
      <c r="Q1528">
        <v>0</v>
      </c>
      <c r="R1528">
        <v>54903411268</v>
      </c>
      <c r="S1528">
        <v>73826834.310000002</v>
      </c>
      <c r="T1528">
        <v>54829584433.690002</v>
      </c>
      <c r="U1528">
        <v>54829584433.690002</v>
      </c>
      <c r="V1528">
        <v>0</v>
      </c>
      <c r="W1528">
        <v>0</v>
      </c>
      <c r="Y1528" t="s">
        <v>2</v>
      </c>
      <c r="Z1528">
        <v>4750</v>
      </c>
      <c r="AA1528">
        <v>16</v>
      </c>
      <c r="AB1528">
        <v>38</v>
      </c>
      <c r="AC1528">
        <v>0</v>
      </c>
      <c r="AD1528">
        <v>968206818</v>
      </c>
      <c r="AE1528">
        <v>1325933.26</v>
      </c>
      <c r="AF1528">
        <v>947932188.97000003</v>
      </c>
      <c r="AG1528">
        <v>966880884.74000001</v>
      </c>
      <c r="AH1528">
        <v>0.21115</v>
      </c>
      <c r="AI1528">
        <v>0</v>
      </c>
    </row>
    <row r="1529" spans="13:35" x14ac:dyDescent="0.35">
      <c r="M1529" t="s">
        <v>1</v>
      </c>
      <c r="N1529">
        <v>4750</v>
      </c>
      <c r="O1529">
        <v>12</v>
      </c>
      <c r="P1529">
        <v>535</v>
      </c>
      <c r="Q1529">
        <v>0</v>
      </c>
      <c r="R1529">
        <v>20655823469</v>
      </c>
      <c r="S1529">
        <v>27748825.289999999</v>
      </c>
      <c r="T1529">
        <v>20628074643.709999</v>
      </c>
      <c r="U1529">
        <v>20628074643.709999</v>
      </c>
      <c r="V1529">
        <v>0</v>
      </c>
      <c r="W1529">
        <v>0</v>
      </c>
      <c r="Y1529" t="s">
        <v>2</v>
      </c>
      <c r="Z1529">
        <v>4500</v>
      </c>
      <c r="AA1529">
        <v>16</v>
      </c>
      <c r="AB1529">
        <v>49</v>
      </c>
      <c r="AC1529">
        <v>0</v>
      </c>
      <c r="AD1529">
        <v>1200397717</v>
      </c>
      <c r="AE1529">
        <v>1721606.55</v>
      </c>
      <c r="AF1529">
        <v>1187877676.24</v>
      </c>
      <c r="AG1529">
        <v>1198676110.45</v>
      </c>
      <c r="AH1529">
        <v>0.102765</v>
      </c>
      <c r="AI1529">
        <v>0</v>
      </c>
    </row>
    <row r="1530" spans="13:35" x14ac:dyDescent="0.35">
      <c r="M1530" t="s">
        <v>3</v>
      </c>
      <c r="N1530">
        <v>6500</v>
      </c>
      <c r="O1530">
        <v>18</v>
      </c>
      <c r="P1530">
        <v>27</v>
      </c>
      <c r="Q1530">
        <v>0</v>
      </c>
      <c r="R1530">
        <v>670056907</v>
      </c>
      <c r="S1530">
        <v>685512.02</v>
      </c>
      <c r="T1530">
        <v>669371394.98000002</v>
      </c>
      <c r="U1530">
        <v>669371394.98000002</v>
      </c>
      <c r="V1530">
        <v>0</v>
      </c>
      <c r="W1530">
        <v>0</v>
      </c>
      <c r="Y1530" t="s">
        <v>1</v>
      </c>
      <c r="Z1530">
        <v>4250</v>
      </c>
      <c r="AA1530">
        <v>16</v>
      </c>
      <c r="AB1530">
        <v>517</v>
      </c>
      <c r="AC1530">
        <v>0</v>
      </c>
      <c r="AD1530">
        <v>18097797530</v>
      </c>
      <c r="AE1530">
        <v>27045318.879999999</v>
      </c>
      <c r="AF1530">
        <v>17996018738.189999</v>
      </c>
      <c r="AG1530">
        <v>17996018738.189999</v>
      </c>
      <c r="AH1530">
        <v>4.8443E-2</v>
      </c>
      <c r="AI1530">
        <v>4.8443E-2</v>
      </c>
    </row>
    <row r="1531" spans="13:35" x14ac:dyDescent="0.35">
      <c r="M1531" t="s">
        <v>0</v>
      </c>
      <c r="N1531">
        <v>8000</v>
      </c>
      <c r="O1531">
        <v>18</v>
      </c>
      <c r="P1531">
        <v>115</v>
      </c>
      <c r="Q1531">
        <v>0</v>
      </c>
      <c r="R1531">
        <v>3128747050</v>
      </c>
      <c r="S1531">
        <v>2427198.0499999998</v>
      </c>
      <c r="T1531">
        <v>3059985304.4200001</v>
      </c>
      <c r="U1531">
        <v>3059985304.4200001</v>
      </c>
      <c r="V1531">
        <v>0.22675200000000001</v>
      </c>
      <c r="W1531">
        <v>0.22675200000000001</v>
      </c>
      <c r="Y1531" t="s">
        <v>1</v>
      </c>
      <c r="Z1531">
        <v>4500</v>
      </c>
      <c r="AA1531">
        <v>16</v>
      </c>
      <c r="AB1531">
        <v>841</v>
      </c>
      <c r="AC1531">
        <v>0</v>
      </c>
      <c r="AD1531">
        <v>30142245646</v>
      </c>
      <c r="AE1531">
        <v>43187776.840000004</v>
      </c>
      <c r="AF1531">
        <v>29944686690.040001</v>
      </c>
      <c r="AG1531">
        <v>30033022962.450001</v>
      </c>
      <c r="AH1531">
        <v>5.9755000000000003E-2</v>
      </c>
      <c r="AI1531">
        <v>2.5975000000000002E-2</v>
      </c>
    </row>
    <row r="1532" spans="13:35" x14ac:dyDescent="0.35">
      <c r="M1532" t="s">
        <v>0</v>
      </c>
      <c r="N1532">
        <v>8000</v>
      </c>
      <c r="O1532">
        <v>16</v>
      </c>
      <c r="P1532">
        <v>197</v>
      </c>
      <c r="Q1532">
        <v>0</v>
      </c>
      <c r="R1532">
        <v>5431248353</v>
      </c>
      <c r="S1532">
        <v>4138660.82</v>
      </c>
      <c r="T1532">
        <v>5357488009.46</v>
      </c>
      <c r="U1532">
        <v>5403790972.5699997</v>
      </c>
      <c r="V1532">
        <v>0.14343</v>
      </c>
      <c r="W1532">
        <v>5.0321999999999999E-2</v>
      </c>
      <c r="Y1532" t="s">
        <v>2</v>
      </c>
      <c r="Z1532">
        <v>4750</v>
      </c>
      <c r="AA1532">
        <v>14</v>
      </c>
      <c r="AB1532">
        <v>41</v>
      </c>
      <c r="AC1532">
        <v>0</v>
      </c>
      <c r="AD1532">
        <v>930881252</v>
      </c>
      <c r="AE1532">
        <v>1267209.73</v>
      </c>
      <c r="AF1532">
        <v>929614042.26999998</v>
      </c>
      <c r="AG1532">
        <v>929614042.26999998</v>
      </c>
      <c r="AH1532">
        <v>0</v>
      </c>
      <c r="AI1532">
        <v>0</v>
      </c>
    </row>
    <row r="1533" spans="13:35" x14ac:dyDescent="0.35">
      <c r="M1533" t="s">
        <v>3</v>
      </c>
      <c r="N1533">
        <v>5750</v>
      </c>
      <c r="O1533">
        <v>20</v>
      </c>
      <c r="P1533">
        <v>8</v>
      </c>
      <c r="Q1533">
        <v>0</v>
      </c>
      <c r="R1533">
        <v>244262407</v>
      </c>
      <c r="S1533">
        <v>286755.73</v>
      </c>
      <c r="T1533">
        <v>243975651.27000001</v>
      </c>
      <c r="U1533">
        <v>243975651.27000001</v>
      </c>
      <c r="V1533">
        <v>0</v>
      </c>
      <c r="W1533">
        <v>0</v>
      </c>
      <c r="Y1533" t="s">
        <v>0</v>
      </c>
      <c r="Z1533">
        <v>4750</v>
      </c>
      <c r="AA1533">
        <v>14</v>
      </c>
      <c r="AB1533">
        <v>1241</v>
      </c>
      <c r="AC1533">
        <v>0</v>
      </c>
      <c r="AD1533">
        <v>42436624228</v>
      </c>
      <c r="AE1533">
        <v>57683239.049999997</v>
      </c>
      <c r="AF1533">
        <v>42298861699.690002</v>
      </c>
      <c r="AG1533">
        <v>42378940988.949997</v>
      </c>
      <c r="AH1533">
        <v>2.2411E-2</v>
      </c>
      <c r="AI1533">
        <v>0</v>
      </c>
    </row>
    <row r="1534" spans="13:35" x14ac:dyDescent="0.35">
      <c r="M1534" t="s">
        <v>1</v>
      </c>
      <c r="N1534">
        <v>7500</v>
      </c>
      <c r="O1534">
        <v>16</v>
      </c>
      <c r="P1534">
        <v>272</v>
      </c>
      <c r="Q1534">
        <v>0</v>
      </c>
      <c r="R1534">
        <v>6370432561</v>
      </c>
      <c r="S1534">
        <v>5346061.5999999996</v>
      </c>
      <c r="T1534">
        <v>6129587901.1800003</v>
      </c>
      <c r="U1534">
        <v>6273690136.2200003</v>
      </c>
      <c r="V1534">
        <v>0.36365599999999998</v>
      </c>
      <c r="W1534">
        <v>0.15920799999999999</v>
      </c>
      <c r="Y1534" t="s">
        <v>1</v>
      </c>
      <c r="Z1534">
        <v>4750</v>
      </c>
      <c r="AA1534">
        <v>14</v>
      </c>
      <c r="AB1534">
        <v>466</v>
      </c>
      <c r="AC1534">
        <v>0</v>
      </c>
      <c r="AD1534">
        <v>18176858276</v>
      </c>
      <c r="AE1534">
        <v>24713801.539999999</v>
      </c>
      <c r="AF1534">
        <v>17999306828.93</v>
      </c>
      <c r="AG1534">
        <v>18117350521.279999</v>
      </c>
      <c r="AH1534">
        <v>9.6362000000000003E-2</v>
      </c>
      <c r="AI1534">
        <v>2.273E-2</v>
      </c>
    </row>
    <row r="1535" spans="13:35" x14ac:dyDescent="0.35">
      <c r="M1535" t="s">
        <v>1</v>
      </c>
      <c r="N1535">
        <v>7750</v>
      </c>
      <c r="O1535">
        <v>16</v>
      </c>
      <c r="P1535">
        <v>264</v>
      </c>
      <c r="Q1535">
        <v>0</v>
      </c>
      <c r="R1535">
        <v>7334917363</v>
      </c>
      <c r="S1535">
        <v>5810916.2400000002</v>
      </c>
      <c r="T1535">
        <v>7006478524.3800001</v>
      </c>
      <c r="U1535">
        <v>7117622116.1099997</v>
      </c>
      <c r="V1535">
        <v>0.41712500000000002</v>
      </c>
      <c r="W1535">
        <v>0.29607</v>
      </c>
      <c r="Y1535" t="s">
        <v>1</v>
      </c>
      <c r="Z1535">
        <v>4250</v>
      </c>
      <c r="AA1535">
        <v>14</v>
      </c>
      <c r="AB1535">
        <v>292</v>
      </c>
      <c r="AC1535">
        <v>0</v>
      </c>
      <c r="AD1535">
        <v>9935250101</v>
      </c>
      <c r="AE1535">
        <v>14715166.310000001</v>
      </c>
      <c r="AF1535">
        <v>9920534934.6900005</v>
      </c>
      <c r="AG1535">
        <v>9920534934.6900005</v>
      </c>
      <c r="AH1535">
        <v>0</v>
      </c>
      <c r="AI1535">
        <v>0</v>
      </c>
    </row>
    <row r="1536" spans="13:35" x14ac:dyDescent="0.35">
      <c r="M1536" t="s">
        <v>0</v>
      </c>
      <c r="N1536">
        <v>5250</v>
      </c>
      <c r="O1536">
        <v>10</v>
      </c>
      <c r="P1536">
        <v>982</v>
      </c>
      <c r="Q1536">
        <v>0</v>
      </c>
      <c r="R1536">
        <v>35410929568</v>
      </c>
      <c r="S1536">
        <v>43242040.869999997</v>
      </c>
      <c r="T1536">
        <v>35245165209.730003</v>
      </c>
      <c r="U1536">
        <v>35367687527.129997</v>
      </c>
      <c r="V1536">
        <v>4.0738999999999997E-2</v>
      </c>
      <c r="W1536">
        <v>0</v>
      </c>
      <c r="Y1536" t="s">
        <v>0</v>
      </c>
      <c r="Z1536">
        <v>4250</v>
      </c>
      <c r="AA1536">
        <v>14</v>
      </c>
      <c r="AB1536">
        <v>695</v>
      </c>
      <c r="AC1536">
        <v>0</v>
      </c>
      <c r="AD1536">
        <v>23936383413</v>
      </c>
      <c r="AE1536">
        <v>35413183.659999996</v>
      </c>
      <c r="AF1536">
        <v>23900970229.34</v>
      </c>
      <c r="AG1536">
        <v>23900970229.34</v>
      </c>
      <c r="AH1536">
        <v>0</v>
      </c>
      <c r="AI1536">
        <v>0</v>
      </c>
    </row>
    <row r="1537" spans="13:35" x14ac:dyDescent="0.35">
      <c r="M1537" t="s">
        <v>2</v>
      </c>
      <c r="N1537">
        <v>5250</v>
      </c>
      <c r="O1537">
        <v>9</v>
      </c>
      <c r="P1537">
        <v>14</v>
      </c>
      <c r="Q1537">
        <v>0</v>
      </c>
      <c r="R1537">
        <v>294625825</v>
      </c>
      <c r="S1537">
        <v>357916.06</v>
      </c>
      <c r="T1537">
        <v>294267908.94</v>
      </c>
      <c r="U1537">
        <v>294267908.94</v>
      </c>
      <c r="V1537">
        <v>0</v>
      </c>
      <c r="W1537">
        <v>0</v>
      </c>
      <c r="Y1537" t="s">
        <v>1</v>
      </c>
      <c r="Z1537">
        <v>5000</v>
      </c>
      <c r="AA1537">
        <v>14</v>
      </c>
      <c r="AB1537">
        <v>2057</v>
      </c>
      <c r="AC1537">
        <v>0</v>
      </c>
      <c r="AD1537">
        <v>79477260255</v>
      </c>
      <c r="AE1537">
        <v>103446007.31999999</v>
      </c>
      <c r="AF1537">
        <v>79025302403.369995</v>
      </c>
      <c r="AG1537">
        <v>79163783194.339996</v>
      </c>
      <c r="AH1537">
        <v>5.1369999999999999E-2</v>
      </c>
      <c r="AI1537">
        <v>3.1254999999999998E-2</v>
      </c>
    </row>
    <row r="1538" spans="13:35" x14ac:dyDescent="0.35">
      <c r="M1538" t="s">
        <v>0</v>
      </c>
      <c r="N1538">
        <v>5250</v>
      </c>
      <c r="O1538">
        <v>9</v>
      </c>
      <c r="P1538">
        <v>642</v>
      </c>
      <c r="Q1538">
        <v>0</v>
      </c>
      <c r="R1538">
        <v>22306163261</v>
      </c>
      <c r="S1538">
        <v>27110919.289999999</v>
      </c>
      <c r="T1538">
        <v>22252366327.990002</v>
      </c>
      <c r="U1538">
        <v>22279052341.709999</v>
      </c>
      <c r="V1538">
        <v>1.4262E-2</v>
      </c>
      <c r="W1538">
        <v>0</v>
      </c>
      <c r="Y1538" t="s">
        <v>0</v>
      </c>
      <c r="Z1538">
        <v>5250</v>
      </c>
      <c r="AA1538">
        <v>14</v>
      </c>
      <c r="AB1538">
        <v>2309</v>
      </c>
      <c r="AC1538">
        <v>0</v>
      </c>
      <c r="AD1538">
        <v>79144164156</v>
      </c>
      <c r="AE1538">
        <v>98589323.290000007</v>
      </c>
      <c r="AF1538">
        <v>78682318367.860001</v>
      </c>
      <c r="AG1538">
        <v>79017020477.690002</v>
      </c>
      <c r="AH1538">
        <v>5.3707999999999999E-2</v>
      </c>
      <c r="AI1538">
        <v>4.3210000000000002E-3</v>
      </c>
    </row>
    <row r="1539" spans="13:35" x14ac:dyDescent="0.35">
      <c r="M1539" t="s">
        <v>2</v>
      </c>
      <c r="N1539">
        <v>7000</v>
      </c>
      <c r="O1539">
        <v>8</v>
      </c>
      <c r="P1539">
        <v>337</v>
      </c>
      <c r="Q1539">
        <v>0</v>
      </c>
      <c r="R1539">
        <v>5632719431</v>
      </c>
      <c r="S1539">
        <v>4937766.99</v>
      </c>
      <c r="T1539">
        <v>5615586340.2600002</v>
      </c>
      <c r="U1539">
        <v>5627781664.0100002</v>
      </c>
      <c r="V1539">
        <v>2.5673999999999999E-2</v>
      </c>
      <c r="W1539">
        <v>0</v>
      </c>
      <c r="Y1539" t="s">
        <v>2</v>
      </c>
      <c r="Z1539">
        <v>5000</v>
      </c>
      <c r="AA1539">
        <v>14</v>
      </c>
      <c r="AB1539">
        <v>114</v>
      </c>
      <c r="AC1539">
        <v>0</v>
      </c>
      <c r="AD1539">
        <v>2923832722</v>
      </c>
      <c r="AE1539">
        <v>3798718.75</v>
      </c>
      <c r="AF1539">
        <v>2907412754.25</v>
      </c>
      <c r="AG1539">
        <v>2907412754.25</v>
      </c>
      <c r="AH1539">
        <v>5.0588000000000001E-2</v>
      </c>
      <c r="AI1539">
        <v>5.0588000000000001E-2</v>
      </c>
    </row>
    <row r="1540" spans="13:35" x14ac:dyDescent="0.35">
      <c r="M1540" t="s">
        <v>0</v>
      </c>
      <c r="N1540">
        <v>4000</v>
      </c>
      <c r="O1540">
        <v>18</v>
      </c>
      <c r="P1540">
        <v>2446</v>
      </c>
      <c r="Q1540">
        <v>0</v>
      </c>
      <c r="R1540">
        <v>78888364869</v>
      </c>
      <c r="S1540">
        <v>124156195.56</v>
      </c>
      <c r="T1540">
        <v>78710587023.380005</v>
      </c>
      <c r="U1540">
        <v>78764208673.429993</v>
      </c>
      <c r="V1540">
        <v>8.1259999999999995E-3</v>
      </c>
      <c r="W1540">
        <v>0</v>
      </c>
      <c r="Y1540" t="s">
        <v>1</v>
      </c>
      <c r="Z1540">
        <v>5250</v>
      </c>
      <c r="AA1540">
        <v>14</v>
      </c>
      <c r="AB1540">
        <v>1775</v>
      </c>
      <c r="AC1540">
        <v>0</v>
      </c>
      <c r="AD1540">
        <v>70548636230</v>
      </c>
      <c r="AE1540">
        <v>87856994.959999993</v>
      </c>
      <c r="AF1540">
        <v>69720258563.330002</v>
      </c>
      <c r="AG1540">
        <v>70258632096.889999</v>
      </c>
      <c r="AH1540">
        <v>0.118936</v>
      </c>
      <c r="AI1540">
        <v>3.3848000000000003E-2</v>
      </c>
    </row>
    <row r="1541" spans="13:35" x14ac:dyDescent="0.35">
      <c r="M1541" t="s">
        <v>1</v>
      </c>
      <c r="N1541">
        <v>4500</v>
      </c>
      <c r="O1541">
        <v>18</v>
      </c>
      <c r="P1541">
        <v>730</v>
      </c>
      <c r="Q1541">
        <v>0</v>
      </c>
      <c r="R1541">
        <v>27032099333</v>
      </c>
      <c r="S1541">
        <v>39111263.549999997</v>
      </c>
      <c r="T1541">
        <v>26956824801.689999</v>
      </c>
      <c r="U1541">
        <v>26992988069.450001</v>
      </c>
      <c r="V1541">
        <v>1.5935999999999999E-2</v>
      </c>
      <c r="W1541">
        <v>0</v>
      </c>
      <c r="Y1541" t="s">
        <v>1</v>
      </c>
      <c r="Z1541">
        <v>5000</v>
      </c>
      <c r="AA1541">
        <v>12</v>
      </c>
      <c r="AB1541">
        <v>1789</v>
      </c>
      <c r="AC1541">
        <v>0</v>
      </c>
      <c r="AD1541">
        <v>67380325935</v>
      </c>
      <c r="AE1541">
        <v>86511908.409999996</v>
      </c>
      <c r="AF1541">
        <v>67169692232.720001</v>
      </c>
      <c r="AG1541">
        <v>67257913641.370003</v>
      </c>
      <c r="AH1541">
        <v>2.1883E-2</v>
      </c>
      <c r="AI1541">
        <v>6.3749999999999996E-3</v>
      </c>
    </row>
    <row r="1542" spans="13:35" x14ac:dyDescent="0.35">
      <c r="M1542" t="s">
        <v>0</v>
      </c>
      <c r="N1542">
        <v>4000</v>
      </c>
      <c r="O1542">
        <v>16</v>
      </c>
      <c r="P1542">
        <v>3289</v>
      </c>
      <c r="Q1542">
        <v>0</v>
      </c>
      <c r="R1542">
        <v>110441387056</v>
      </c>
      <c r="S1542">
        <v>172169101.74000001</v>
      </c>
      <c r="T1542">
        <v>110216611741.92999</v>
      </c>
      <c r="U1542">
        <v>110216611741.92999</v>
      </c>
      <c r="V1542">
        <v>5.7010000000000003E-3</v>
      </c>
      <c r="W1542">
        <v>5.7010000000000003E-3</v>
      </c>
      <c r="Y1542" t="s">
        <v>0</v>
      </c>
      <c r="Z1542">
        <v>4750</v>
      </c>
      <c r="AA1542">
        <v>12</v>
      </c>
      <c r="AB1542">
        <v>1578</v>
      </c>
      <c r="AC1542">
        <v>0</v>
      </c>
      <c r="AD1542">
        <v>53154794696</v>
      </c>
      <c r="AE1542">
        <v>71462927.519999996</v>
      </c>
      <c r="AF1542">
        <v>53083331768.480003</v>
      </c>
      <c r="AG1542">
        <v>53083331768.480003</v>
      </c>
      <c r="AH1542">
        <v>0</v>
      </c>
      <c r="AI1542">
        <v>0</v>
      </c>
    </row>
    <row r="1543" spans="13:35" x14ac:dyDescent="0.35">
      <c r="M1543" t="s">
        <v>2</v>
      </c>
      <c r="N1543">
        <v>4000</v>
      </c>
      <c r="O1543">
        <v>16</v>
      </c>
      <c r="P1543">
        <v>105</v>
      </c>
      <c r="Q1543">
        <v>0</v>
      </c>
      <c r="R1543">
        <v>2941161439</v>
      </c>
      <c r="S1543">
        <v>4580190.5199999996</v>
      </c>
      <c r="T1543">
        <v>2936581248.48</v>
      </c>
      <c r="U1543">
        <v>2936581248.48</v>
      </c>
      <c r="V1543">
        <v>0</v>
      </c>
      <c r="W1543">
        <v>0</v>
      </c>
      <c r="Y1543" t="s">
        <v>2</v>
      </c>
      <c r="Z1543">
        <v>5000</v>
      </c>
      <c r="AA1543">
        <v>12</v>
      </c>
      <c r="AB1543">
        <v>143</v>
      </c>
      <c r="AC1543">
        <v>0</v>
      </c>
      <c r="AD1543">
        <v>3811891235</v>
      </c>
      <c r="AE1543">
        <v>4893758.08</v>
      </c>
      <c r="AF1543">
        <v>3806997476.9200001</v>
      </c>
      <c r="AG1543">
        <v>3806997476.9200001</v>
      </c>
      <c r="AH1543">
        <v>0</v>
      </c>
      <c r="AI1543">
        <v>0</v>
      </c>
    </row>
    <row r="1544" spans="13:35" x14ac:dyDescent="0.35">
      <c r="M1544" t="s">
        <v>1</v>
      </c>
      <c r="N1544">
        <v>4000</v>
      </c>
      <c r="O1544">
        <v>16</v>
      </c>
      <c r="P1544">
        <v>989</v>
      </c>
      <c r="Q1544">
        <v>0</v>
      </c>
      <c r="R1544">
        <v>35616688834</v>
      </c>
      <c r="S1544">
        <v>55511623.450000003</v>
      </c>
      <c r="T1544">
        <v>35526644163.419998</v>
      </c>
      <c r="U1544">
        <v>35526644163.419998</v>
      </c>
      <c r="V1544">
        <v>1.1573E-2</v>
      </c>
      <c r="W1544">
        <v>1.1573E-2</v>
      </c>
      <c r="Y1544" t="s">
        <v>0</v>
      </c>
      <c r="Z1544">
        <v>5250</v>
      </c>
      <c r="AA1544">
        <v>12</v>
      </c>
      <c r="AB1544">
        <v>2036</v>
      </c>
      <c r="AC1544">
        <v>0</v>
      </c>
      <c r="AD1544">
        <v>71621299037</v>
      </c>
      <c r="AE1544">
        <v>88155856.269999996</v>
      </c>
      <c r="AF1544">
        <v>71317232837.5</v>
      </c>
      <c r="AG1544">
        <v>71509987166.179993</v>
      </c>
      <c r="AH1544">
        <v>3.5582000000000003E-2</v>
      </c>
      <c r="AI1544">
        <v>3.8730000000000001E-3</v>
      </c>
    </row>
    <row r="1545" spans="13:35" x14ac:dyDescent="0.35">
      <c r="M1545" t="s">
        <v>2</v>
      </c>
      <c r="N1545">
        <v>4750</v>
      </c>
      <c r="O1545">
        <v>12</v>
      </c>
      <c r="P1545">
        <v>54</v>
      </c>
      <c r="Q1545">
        <v>0</v>
      </c>
      <c r="R1545">
        <v>1323490815</v>
      </c>
      <c r="S1545">
        <v>1778310.29</v>
      </c>
      <c r="T1545">
        <v>1321712504.71</v>
      </c>
      <c r="U1545">
        <v>1321712504.71</v>
      </c>
      <c r="V1545">
        <v>0</v>
      </c>
      <c r="W1545">
        <v>0</v>
      </c>
      <c r="Y1545" t="s">
        <v>2</v>
      </c>
      <c r="Z1545">
        <v>5250</v>
      </c>
      <c r="AA1545">
        <v>12</v>
      </c>
      <c r="AB1545">
        <v>49</v>
      </c>
      <c r="AC1545">
        <v>0</v>
      </c>
      <c r="AD1545">
        <v>1171202116</v>
      </c>
      <c r="AE1545">
        <v>1437695.74</v>
      </c>
      <c r="AF1545">
        <v>1169764420.26</v>
      </c>
      <c r="AG1545">
        <v>1169764420.26</v>
      </c>
      <c r="AH1545">
        <v>0</v>
      </c>
      <c r="AI1545">
        <v>0</v>
      </c>
    </row>
    <row r="1546" spans="13:35" x14ac:dyDescent="0.35">
      <c r="M1546" t="s">
        <v>2</v>
      </c>
      <c r="N1546">
        <v>5500</v>
      </c>
      <c r="O1546">
        <v>12</v>
      </c>
      <c r="P1546">
        <v>192</v>
      </c>
      <c r="Q1546">
        <v>0</v>
      </c>
      <c r="R1546">
        <v>4347456836</v>
      </c>
      <c r="S1546">
        <v>5105951.4400000004</v>
      </c>
      <c r="T1546">
        <v>4316498255.8500004</v>
      </c>
      <c r="U1546">
        <v>4342350884.5600004</v>
      </c>
      <c r="V1546">
        <v>6.9070999999999994E-2</v>
      </c>
      <c r="W1546">
        <v>0</v>
      </c>
      <c r="Y1546" t="s">
        <v>1</v>
      </c>
      <c r="Z1546">
        <v>5250</v>
      </c>
      <c r="AA1546">
        <v>12</v>
      </c>
      <c r="AB1546">
        <v>992</v>
      </c>
      <c r="AC1546">
        <v>0</v>
      </c>
      <c r="AD1546">
        <v>39552829899</v>
      </c>
      <c r="AE1546">
        <v>48619805.909999996</v>
      </c>
      <c r="AF1546">
        <v>39432965632.129997</v>
      </c>
      <c r="AG1546">
        <v>39460542049.959999</v>
      </c>
      <c r="AH1546">
        <v>2.1402000000000001E-2</v>
      </c>
      <c r="AI1546">
        <v>1.3167999999999999E-2</v>
      </c>
    </row>
    <row r="1547" spans="13:35" x14ac:dyDescent="0.35">
      <c r="M1547" t="s">
        <v>1</v>
      </c>
      <c r="N1547">
        <v>5000</v>
      </c>
      <c r="O1547">
        <v>12</v>
      </c>
      <c r="P1547">
        <v>1995</v>
      </c>
      <c r="Q1547">
        <v>0</v>
      </c>
      <c r="R1547">
        <v>75947052336</v>
      </c>
      <c r="S1547">
        <v>97610052.280000001</v>
      </c>
      <c r="T1547">
        <v>75811640624.059998</v>
      </c>
      <c r="U1547">
        <v>75816070776.449997</v>
      </c>
      <c r="V1547">
        <v>5.9569999999999996E-3</v>
      </c>
      <c r="W1547">
        <v>5.2599999999999999E-3</v>
      </c>
      <c r="Y1547" t="s">
        <v>2</v>
      </c>
      <c r="Z1547">
        <v>5750</v>
      </c>
      <c r="AA1547">
        <v>12</v>
      </c>
      <c r="AB1547">
        <v>185</v>
      </c>
      <c r="AC1547">
        <v>0</v>
      </c>
      <c r="AD1547">
        <v>4175818983</v>
      </c>
      <c r="AE1547">
        <v>4698270.57</v>
      </c>
      <c r="AF1547">
        <v>4155811275.9499998</v>
      </c>
      <c r="AG1547">
        <v>4171120712.4299998</v>
      </c>
      <c r="AH1547">
        <v>4.3117999999999997E-2</v>
      </c>
      <c r="AI1547">
        <v>0</v>
      </c>
    </row>
    <row r="1548" spans="13:35" x14ac:dyDescent="0.35">
      <c r="M1548" t="s">
        <v>2</v>
      </c>
      <c r="N1548">
        <v>5000</v>
      </c>
      <c r="O1548">
        <v>12</v>
      </c>
      <c r="P1548">
        <v>138</v>
      </c>
      <c r="Q1548">
        <v>0</v>
      </c>
      <c r="R1548">
        <v>3675788411</v>
      </c>
      <c r="S1548">
        <v>4727340.63</v>
      </c>
      <c r="T1548">
        <v>3671061070.3699999</v>
      </c>
      <c r="U1548">
        <v>3671061070.3699999</v>
      </c>
      <c r="V1548">
        <v>0</v>
      </c>
      <c r="W1548">
        <v>0</v>
      </c>
      <c r="Y1548" t="s">
        <v>2</v>
      </c>
      <c r="Z1548">
        <v>4750</v>
      </c>
      <c r="AA1548">
        <v>12</v>
      </c>
      <c r="AB1548">
        <v>54</v>
      </c>
      <c r="AC1548">
        <v>0</v>
      </c>
      <c r="AD1548">
        <v>1328711603</v>
      </c>
      <c r="AE1548">
        <v>1783199.61</v>
      </c>
      <c r="AF1548">
        <v>1326928403.3900001</v>
      </c>
      <c r="AG1548">
        <v>1326928403.3900001</v>
      </c>
      <c r="AH1548">
        <v>0</v>
      </c>
      <c r="AI1548">
        <v>0</v>
      </c>
    </row>
    <row r="1549" spans="13:35" x14ac:dyDescent="0.35">
      <c r="M1549" t="s">
        <v>2</v>
      </c>
      <c r="N1549">
        <v>5000</v>
      </c>
      <c r="O1549">
        <v>10</v>
      </c>
      <c r="P1549">
        <v>53</v>
      </c>
      <c r="Q1549">
        <v>0</v>
      </c>
      <c r="R1549">
        <v>1449443712</v>
      </c>
      <c r="S1549">
        <v>1852005.09</v>
      </c>
      <c r="T1549">
        <v>1447591706.9100001</v>
      </c>
      <c r="U1549">
        <v>1447591706.9100001</v>
      </c>
      <c r="V1549">
        <v>0</v>
      </c>
      <c r="W1549">
        <v>0</v>
      </c>
      <c r="Y1549" t="s">
        <v>2</v>
      </c>
      <c r="Z1549">
        <v>5500</v>
      </c>
      <c r="AA1549">
        <v>12</v>
      </c>
      <c r="AB1549">
        <v>142</v>
      </c>
      <c r="AC1549">
        <v>0</v>
      </c>
      <c r="AD1549">
        <v>3212820418</v>
      </c>
      <c r="AE1549">
        <v>3770680.55</v>
      </c>
      <c r="AF1549">
        <v>3209049737.4499998</v>
      </c>
      <c r="AG1549">
        <v>3209049737.4499998</v>
      </c>
      <c r="AH1549">
        <v>0</v>
      </c>
      <c r="AI1549">
        <v>0</v>
      </c>
    </row>
    <row r="1550" spans="13:35" x14ac:dyDescent="0.35">
      <c r="M1550" t="s">
        <v>0</v>
      </c>
      <c r="N1550">
        <v>5000</v>
      </c>
      <c r="O1550">
        <v>10</v>
      </c>
      <c r="P1550">
        <v>2780</v>
      </c>
      <c r="Q1550">
        <v>0</v>
      </c>
      <c r="R1550">
        <v>98363687912</v>
      </c>
      <c r="S1550">
        <v>125520575.72</v>
      </c>
      <c r="T1550">
        <v>98238167336.279999</v>
      </c>
      <c r="U1550">
        <v>98238167336.279999</v>
      </c>
      <c r="V1550">
        <v>0</v>
      </c>
      <c r="W1550">
        <v>0</v>
      </c>
      <c r="Y1550" t="s">
        <v>1</v>
      </c>
      <c r="Z1550">
        <v>4750</v>
      </c>
      <c r="AA1550">
        <v>12</v>
      </c>
      <c r="AB1550">
        <v>505</v>
      </c>
      <c r="AC1550">
        <v>0</v>
      </c>
      <c r="AD1550">
        <v>19058684411</v>
      </c>
      <c r="AE1550">
        <v>25591126.57</v>
      </c>
      <c r="AF1550">
        <v>19033093284.43</v>
      </c>
      <c r="AG1550">
        <v>19033093284.43</v>
      </c>
      <c r="AH1550">
        <v>0</v>
      </c>
      <c r="AI1550">
        <v>0</v>
      </c>
    </row>
    <row r="1551" spans="13:35" x14ac:dyDescent="0.35">
      <c r="M1551" t="s">
        <v>1</v>
      </c>
      <c r="N1551">
        <v>5000</v>
      </c>
      <c r="O1551">
        <v>10</v>
      </c>
      <c r="P1551">
        <v>1035</v>
      </c>
      <c r="Q1551">
        <v>0</v>
      </c>
      <c r="R1551">
        <v>40033442339</v>
      </c>
      <c r="S1551">
        <v>51060307.030000001</v>
      </c>
      <c r="T1551">
        <v>39982382031.970001</v>
      </c>
      <c r="U1551">
        <v>39982382031.970001</v>
      </c>
      <c r="V1551">
        <v>0</v>
      </c>
      <c r="W1551">
        <v>0</v>
      </c>
      <c r="Y1551" t="s">
        <v>2</v>
      </c>
      <c r="Z1551">
        <v>8250</v>
      </c>
      <c r="AA1551">
        <v>18</v>
      </c>
      <c r="AB1551">
        <v>2</v>
      </c>
      <c r="AC1551">
        <v>0</v>
      </c>
      <c r="AD1551">
        <v>27045404</v>
      </c>
      <c r="AE1551">
        <v>19656.400000000001</v>
      </c>
      <c r="AF1551">
        <v>27025747.600000001</v>
      </c>
      <c r="AG1551">
        <v>27025747.600000001</v>
      </c>
      <c r="AH1551">
        <v>0</v>
      </c>
      <c r="AI1551">
        <v>0</v>
      </c>
    </row>
    <row r="1552" spans="13:35" x14ac:dyDescent="0.35">
      <c r="M1552" t="s">
        <v>0</v>
      </c>
      <c r="N1552">
        <v>5250</v>
      </c>
      <c r="O1552">
        <v>8</v>
      </c>
      <c r="P1552">
        <v>618</v>
      </c>
      <c r="Q1552">
        <v>0</v>
      </c>
      <c r="R1552">
        <v>21478522341</v>
      </c>
      <c r="S1552">
        <v>25952599</v>
      </c>
      <c r="T1552">
        <v>21436054785.799999</v>
      </c>
      <c r="U1552">
        <v>21452569742</v>
      </c>
      <c r="V1552">
        <v>9.188E-3</v>
      </c>
      <c r="W1552">
        <v>0</v>
      </c>
      <c r="Y1552" t="s">
        <v>2</v>
      </c>
      <c r="Z1552">
        <v>7500</v>
      </c>
      <c r="AA1552">
        <v>16</v>
      </c>
      <c r="AB1552">
        <v>52</v>
      </c>
      <c r="AC1552">
        <v>0</v>
      </c>
      <c r="AD1552">
        <v>776863885</v>
      </c>
      <c r="AE1552">
        <v>660907.68000000005</v>
      </c>
      <c r="AF1552">
        <v>776202977.32000005</v>
      </c>
      <c r="AG1552">
        <v>776202977.32000005</v>
      </c>
      <c r="AH1552">
        <v>0</v>
      </c>
      <c r="AI1552">
        <v>0</v>
      </c>
    </row>
    <row r="1553" spans="13:35" x14ac:dyDescent="0.35">
      <c r="M1553" t="s">
        <v>2</v>
      </c>
      <c r="N1553">
        <v>5000</v>
      </c>
      <c r="O1553">
        <v>8</v>
      </c>
      <c r="P1553">
        <v>65</v>
      </c>
      <c r="Q1553">
        <v>0</v>
      </c>
      <c r="R1553">
        <v>1808551829</v>
      </c>
      <c r="S1553">
        <v>2283334.2400000002</v>
      </c>
      <c r="T1553">
        <v>1806268494.76</v>
      </c>
      <c r="U1553">
        <v>1806268494.76</v>
      </c>
      <c r="V1553">
        <v>0</v>
      </c>
      <c r="W1553">
        <v>0</v>
      </c>
      <c r="Y1553" t="s">
        <v>0</v>
      </c>
      <c r="Z1553">
        <v>8000</v>
      </c>
      <c r="AA1553">
        <v>16</v>
      </c>
      <c r="AB1553">
        <v>136</v>
      </c>
      <c r="AC1553">
        <v>0</v>
      </c>
      <c r="AD1553">
        <v>3743998081</v>
      </c>
      <c r="AE1553">
        <v>2862041.22</v>
      </c>
      <c r="AF1553">
        <v>3586832765.73</v>
      </c>
      <c r="AG1553">
        <v>3674868328.7600002</v>
      </c>
      <c r="AH1553">
        <v>0.39651999999999998</v>
      </c>
      <c r="AI1553">
        <v>0.19289300000000001</v>
      </c>
    </row>
    <row r="1554" spans="13:35" x14ac:dyDescent="0.35">
      <c r="M1554" t="s">
        <v>0</v>
      </c>
      <c r="N1554">
        <v>5000</v>
      </c>
      <c r="O1554">
        <v>8</v>
      </c>
      <c r="P1554">
        <v>2248</v>
      </c>
      <c r="Q1554">
        <v>0</v>
      </c>
      <c r="R1554">
        <v>78827807744</v>
      </c>
      <c r="S1554">
        <v>99463237.849999994</v>
      </c>
      <c r="T1554">
        <v>78643032232.779999</v>
      </c>
      <c r="U1554">
        <v>78728344506.149994</v>
      </c>
      <c r="V1554">
        <v>1.291E-2</v>
      </c>
      <c r="W1554">
        <v>0</v>
      </c>
      <c r="Y1554" t="s">
        <v>3</v>
      </c>
      <c r="Z1554">
        <v>6000</v>
      </c>
      <c r="AA1554">
        <v>20</v>
      </c>
      <c r="AB1554">
        <v>4</v>
      </c>
      <c r="AC1554">
        <v>0</v>
      </c>
      <c r="AD1554">
        <v>81449547</v>
      </c>
      <c r="AE1554">
        <v>92606.22</v>
      </c>
      <c r="AF1554">
        <v>81356940.780000001</v>
      </c>
      <c r="AG1554">
        <v>81356940.780000001</v>
      </c>
      <c r="AH1554">
        <v>0</v>
      </c>
      <c r="AI1554">
        <v>0</v>
      </c>
    </row>
    <row r="1555" spans="13:35" x14ac:dyDescent="0.35">
      <c r="M1555" t="s">
        <v>0</v>
      </c>
      <c r="N1555">
        <v>4750</v>
      </c>
      <c r="O1555">
        <v>7</v>
      </c>
      <c r="P1555">
        <v>861</v>
      </c>
      <c r="Q1555">
        <v>0</v>
      </c>
      <c r="R1555">
        <v>27823022472</v>
      </c>
      <c r="S1555">
        <v>36602158.93</v>
      </c>
      <c r="T1555">
        <v>27761560950.860001</v>
      </c>
      <c r="U1555">
        <v>27786420313.07</v>
      </c>
      <c r="V1555">
        <v>1.0669E-2</v>
      </c>
      <c r="W1555">
        <v>0</v>
      </c>
      <c r="Y1555" t="s">
        <v>0</v>
      </c>
      <c r="Z1555">
        <v>8500</v>
      </c>
      <c r="AA1555">
        <v>18</v>
      </c>
      <c r="AB1555">
        <v>7</v>
      </c>
      <c r="AC1555">
        <v>0</v>
      </c>
      <c r="AD1555">
        <v>176914906</v>
      </c>
      <c r="AE1555">
        <v>124110.27</v>
      </c>
      <c r="AF1555">
        <v>176790795.72999999</v>
      </c>
      <c r="AG1555">
        <v>176790795.72999999</v>
      </c>
      <c r="AH1555">
        <v>0</v>
      </c>
      <c r="AI1555">
        <v>0</v>
      </c>
    </row>
    <row r="1556" spans="13:35" x14ac:dyDescent="0.35">
      <c r="M1556" t="s">
        <v>0</v>
      </c>
      <c r="N1556">
        <v>4750</v>
      </c>
      <c r="O1556">
        <v>10</v>
      </c>
      <c r="P1556">
        <v>1047</v>
      </c>
      <c r="Q1556">
        <v>0</v>
      </c>
      <c r="R1556">
        <v>34724919014</v>
      </c>
      <c r="S1556">
        <v>46373452.530000001</v>
      </c>
      <c r="T1556">
        <v>34655081844.849998</v>
      </c>
      <c r="U1556">
        <v>34678545561.470001</v>
      </c>
      <c r="V1556">
        <v>8.0780000000000001E-3</v>
      </c>
      <c r="W1556">
        <v>0</v>
      </c>
      <c r="Y1556" t="s">
        <v>0</v>
      </c>
      <c r="Z1556">
        <v>9000</v>
      </c>
      <c r="AA1556">
        <v>18</v>
      </c>
      <c r="AB1556">
        <v>23</v>
      </c>
      <c r="AC1556">
        <v>0</v>
      </c>
      <c r="AD1556">
        <v>542053005</v>
      </c>
      <c r="AE1556">
        <v>364123.9</v>
      </c>
      <c r="AF1556">
        <v>541688881.10000002</v>
      </c>
      <c r="AG1556">
        <v>541688881.10000002</v>
      </c>
      <c r="AH1556">
        <v>0</v>
      </c>
      <c r="AI1556">
        <v>0</v>
      </c>
    </row>
    <row r="1557" spans="13:35" x14ac:dyDescent="0.35">
      <c r="M1557" t="s">
        <v>2</v>
      </c>
      <c r="N1557">
        <v>4750</v>
      </c>
      <c r="O1557">
        <v>7</v>
      </c>
      <c r="P1557">
        <v>20</v>
      </c>
      <c r="Q1557">
        <v>0</v>
      </c>
      <c r="R1557">
        <v>450154747</v>
      </c>
      <c r="S1557">
        <v>590895.94999999995</v>
      </c>
      <c r="T1557">
        <v>449563851.05000001</v>
      </c>
      <c r="U1557">
        <v>449563851.05000001</v>
      </c>
      <c r="V1557">
        <v>0</v>
      </c>
      <c r="W1557">
        <v>0</v>
      </c>
      <c r="Y1557" t="s">
        <v>3</v>
      </c>
      <c r="Z1557">
        <v>7250</v>
      </c>
      <c r="AA1557">
        <v>18</v>
      </c>
      <c r="AB1557">
        <v>11</v>
      </c>
      <c r="AC1557">
        <v>0</v>
      </c>
      <c r="AD1557">
        <v>268545910</v>
      </c>
      <c r="AE1557">
        <v>241640.91</v>
      </c>
      <c r="AF1557">
        <v>268304269.09</v>
      </c>
      <c r="AG1557">
        <v>268304269.09</v>
      </c>
      <c r="AH1557">
        <v>0</v>
      </c>
      <c r="AI1557">
        <v>0</v>
      </c>
    </row>
    <row r="1558" spans="13:35" x14ac:dyDescent="0.35">
      <c r="M1558" t="s">
        <v>0</v>
      </c>
      <c r="N1558">
        <v>5000</v>
      </c>
      <c r="O1558">
        <v>7</v>
      </c>
      <c r="P1558">
        <v>2091</v>
      </c>
      <c r="Q1558">
        <v>0</v>
      </c>
      <c r="R1558">
        <v>74033710163</v>
      </c>
      <c r="S1558">
        <v>92951134.239999995</v>
      </c>
      <c r="T1558">
        <v>73907551387.520004</v>
      </c>
      <c r="U1558">
        <v>73940759028.759995</v>
      </c>
      <c r="V1558">
        <v>5.3689999999999996E-3</v>
      </c>
      <c r="W1558">
        <v>0</v>
      </c>
      <c r="Y1558" t="s">
        <v>1</v>
      </c>
      <c r="Z1558">
        <v>7750</v>
      </c>
      <c r="AA1558">
        <v>16</v>
      </c>
      <c r="AB1558">
        <v>184</v>
      </c>
      <c r="AC1558">
        <v>0</v>
      </c>
      <c r="AD1558">
        <v>5038437490</v>
      </c>
      <c r="AE1558">
        <v>3993978.69</v>
      </c>
      <c r="AF1558">
        <v>4836859402.6000004</v>
      </c>
      <c r="AG1558">
        <v>4905117745.0699997</v>
      </c>
      <c r="AH1558">
        <v>0.38125399999999998</v>
      </c>
      <c r="AI1558">
        <v>0.26804499999999998</v>
      </c>
    </row>
    <row r="1559" spans="13:35" x14ac:dyDescent="0.35">
      <c r="M1559" t="s">
        <v>2</v>
      </c>
      <c r="N1559">
        <v>5000</v>
      </c>
      <c r="O1559">
        <v>7</v>
      </c>
      <c r="P1559">
        <v>65</v>
      </c>
      <c r="Q1559">
        <v>0</v>
      </c>
      <c r="R1559">
        <v>1860625552</v>
      </c>
      <c r="S1559">
        <v>2332252.04</v>
      </c>
      <c r="T1559">
        <v>1858293299.96</v>
      </c>
      <c r="U1559">
        <v>1858293299.96</v>
      </c>
      <c r="V1559">
        <v>0</v>
      </c>
      <c r="W1559">
        <v>0</v>
      </c>
      <c r="Y1559" t="s">
        <v>2</v>
      </c>
      <c r="Z1559">
        <v>7000</v>
      </c>
      <c r="AA1559">
        <v>14</v>
      </c>
      <c r="AB1559">
        <v>433</v>
      </c>
      <c r="AC1559">
        <v>0</v>
      </c>
      <c r="AD1559">
        <v>6885124895</v>
      </c>
      <c r="AE1559">
        <v>6261861.4699999997</v>
      </c>
      <c r="AF1559">
        <v>6723843535.5100002</v>
      </c>
      <c r="AG1559">
        <v>6804388701.2399998</v>
      </c>
      <c r="AH1559">
        <v>0.23911199999999999</v>
      </c>
      <c r="AI1559">
        <v>0.12235</v>
      </c>
    </row>
    <row r="1560" spans="13:35" x14ac:dyDescent="0.35">
      <c r="M1560" t="s">
        <v>0</v>
      </c>
      <c r="N1560">
        <v>5250</v>
      </c>
      <c r="O1560">
        <v>7</v>
      </c>
      <c r="P1560">
        <v>681</v>
      </c>
      <c r="Q1560">
        <v>0</v>
      </c>
      <c r="R1560">
        <v>23480053565</v>
      </c>
      <c r="S1560">
        <v>28239535.140000001</v>
      </c>
      <c r="T1560">
        <v>23361630802.41</v>
      </c>
      <c r="U1560">
        <v>23451814029.860001</v>
      </c>
      <c r="V1560">
        <v>4.5129000000000002E-2</v>
      </c>
      <c r="W1560">
        <v>0</v>
      </c>
      <c r="Y1560" t="s">
        <v>0</v>
      </c>
      <c r="Z1560">
        <v>5250</v>
      </c>
      <c r="AA1560">
        <v>9</v>
      </c>
      <c r="AB1560">
        <v>983</v>
      </c>
      <c r="AC1560">
        <v>0</v>
      </c>
      <c r="AD1560">
        <v>35482267236</v>
      </c>
      <c r="AE1560">
        <v>43089133.140000001</v>
      </c>
      <c r="AF1560">
        <v>35417054983.169998</v>
      </c>
      <c r="AG1560">
        <v>35439178102.860001</v>
      </c>
      <c r="AH1560">
        <v>7.456E-3</v>
      </c>
      <c r="AI1560">
        <v>0</v>
      </c>
    </row>
    <row r="1561" spans="13:35" x14ac:dyDescent="0.35">
      <c r="M1561" t="s">
        <v>1</v>
      </c>
      <c r="N1561">
        <v>5250</v>
      </c>
      <c r="O1561">
        <v>7</v>
      </c>
      <c r="P1561">
        <v>468</v>
      </c>
      <c r="Q1561">
        <v>0</v>
      </c>
      <c r="R1561">
        <v>18745390237</v>
      </c>
      <c r="S1561">
        <v>22475732.109999999</v>
      </c>
      <c r="T1561">
        <v>18560396006.27</v>
      </c>
      <c r="U1561">
        <v>18722914504.889999</v>
      </c>
      <c r="V1561">
        <v>9.9217E-2</v>
      </c>
      <c r="W1561">
        <v>0</v>
      </c>
      <c r="Y1561" t="s">
        <v>2</v>
      </c>
      <c r="Z1561">
        <v>5250</v>
      </c>
      <c r="AA1561">
        <v>8</v>
      </c>
      <c r="AB1561">
        <v>14</v>
      </c>
      <c r="AC1561">
        <v>0</v>
      </c>
      <c r="AD1561">
        <v>294874633</v>
      </c>
      <c r="AE1561">
        <v>356239.25</v>
      </c>
      <c r="AF1561">
        <v>294518393.75</v>
      </c>
      <c r="AG1561">
        <v>294518393.75</v>
      </c>
      <c r="AH1561">
        <v>0</v>
      </c>
      <c r="AI1561">
        <v>0</v>
      </c>
    </row>
    <row r="1562" spans="13:35" x14ac:dyDescent="0.35">
      <c r="M1562" t="s">
        <v>2</v>
      </c>
      <c r="N1562">
        <v>5500</v>
      </c>
      <c r="O1562">
        <v>7</v>
      </c>
      <c r="P1562">
        <v>62</v>
      </c>
      <c r="Q1562">
        <v>0</v>
      </c>
      <c r="R1562">
        <v>1588241430</v>
      </c>
      <c r="S1562">
        <v>1822640.15</v>
      </c>
      <c r="T1562">
        <v>1586418789.8499999</v>
      </c>
      <c r="U1562">
        <v>1586418789.8499999</v>
      </c>
      <c r="V1562">
        <v>0</v>
      </c>
      <c r="W1562">
        <v>0</v>
      </c>
      <c r="Y1562" t="s">
        <v>0</v>
      </c>
      <c r="Z1562">
        <v>5250</v>
      </c>
      <c r="AA1562">
        <v>8</v>
      </c>
      <c r="AB1562">
        <v>643</v>
      </c>
      <c r="AC1562">
        <v>0</v>
      </c>
      <c r="AD1562">
        <v>22362213504</v>
      </c>
      <c r="AE1562">
        <v>27033139.800000001</v>
      </c>
      <c r="AF1562">
        <v>22309043198.110001</v>
      </c>
      <c r="AG1562">
        <v>22335180364.200001</v>
      </c>
      <c r="AH1562">
        <v>1.3936E-2</v>
      </c>
      <c r="AI1562">
        <v>0</v>
      </c>
    </row>
    <row r="1563" spans="13:35" x14ac:dyDescent="0.35">
      <c r="M1563" t="s">
        <v>1</v>
      </c>
      <c r="N1563">
        <v>7750</v>
      </c>
      <c r="O1563">
        <v>10</v>
      </c>
      <c r="P1563">
        <v>198</v>
      </c>
      <c r="Q1563">
        <v>0</v>
      </c>
      <c r="R1563">
        <v>5823708941</v>
      </c>
      <c r="S1563">
        <v>4455851.09</v>
      </c>
      <c r="T1563">
        <v>5421778901.8199997</v>
      </c>
      <c r="U1563">
        <v>5662363994.0200005</v>
      </c>
      <c r="V1563">
        <v>0.57185900000000001</v>
      </c>
      <c r="W1563">
        <v>0.27942899999999998</v>
      </c>
      <c r="Y1563" t="s">
        <v>2</v>
      </c>
      <c r="Z1563">
        <v>7000</v>
      </c>
      <c r="AA1563">
        <v>7</v>
      </c>
      <c r="AB1563">
        <v>335</v>
      </c>
      <c r="AC1563">
        <v>0</v>
      </c>
      <c r="AD1563">
        <v>5653694372</v>
      </c>
      <c r="AE1563">
        <v>4922997.17</v>
      </c>
      <c r="AF1563">
        <v>5597110942.3900003</v>
      </c>
      <c r="AG1563">
        <v>5648771374.8299999</v>
      </c>
      <c r="AH1563">
        <v>0.10430300000000001</v>
      </c>
      <c r="AI1563">
        <v>0</v>
      </c>
    </row>
    <row r="1564" spans="13:35" x14ac:dyDescent="0.35">
      <c r="M1564" t="s">
        <v>1</v>
      </c>
      <c r="N1564">
        <v>7750</v>
      </c>
      <c r="O1564">
        <v>9</v>
      </c>
      <c r="P1564">
        <v>247</v>
      </c>
      <c r="Q1564">
        <v>0</v>
      </c>
      <c r="R1564">
        <v>6810360016</v>
      </c>
      <c r="S1564">
        <v>5188283.91</v>
      </c>
      <c r="T1564">
        <v>5562577493.2799997</v>
      </c>
      <c r="U1564">
        <v>6248796435.8800001</v>
      </c>
      <c r="V1564">
        <v>0.91084799999999999</v>
      </c>
      <c r="W1564">
        <v>0.64038200000000001</v>
      </c>
      <c r="Y1564" t="s">
        <v>1</v>
      </c>
      <c r="Z1564">
        <v>8000</v>
      </c>
      <c r="AA1564">
        <v>16</v>
      </c>
      <c r="AB1564">
        <v>10</v>
      </c>
      <c r="AC1564">
        <v>0</v>
      </c>
      <c r="AD1564">
        <v>283910008</v>
      </c>
      <c r="AE1564">
        <v>214925.63</v>
      </c>
      <c r="AF1564">
        <v>234396850.59</v>
      </c>
      <c r="AG1564">
        <v>283695082.37</v>
      </c>
      <c r="AH1564">
        <v>0.89860200000000001</v>
      </c>
      <c r="AI1564">
        <v>0</v>
      </c>
    </row>
    <row r="1565" spans="13:35" x14ac:dyDescent="0.35">
      <c r="M1565" t="s">
        <v>2</v>
      </c>
      <c r="N1565">
        <v>7250</v>
      </c>
      <c r="O1565">
        <v>14</v>
      </c>
      <c r="P1565">
        <v>414</v>
      </c>
      <c r="Q1565">
        <v>0</v>
      </c>
      <c r="R1565">
        <v>6036323002</v>
      </c>
      <c r="S1565">
        <v>5207060.68</v>
      </c>
      <c r="T1565">
        <v>5987122342.3699999</v>
      </c>
      <c r="U1565">
        <v>6006230047.3100004</v>
      </c>
      <c r="V1565">
        <v>8.4036E-2</v>
      </c>
      <c r="W1565">
        <v>4.8365999999999999E-2</v>
      </c>
      <c r="Y1565" t="s">
        <v>0</v>
      </c>
      <c r="Z1565">
        <v>4000</v>
      </c>
      <c r="AA1565">
        <v>16</v>
      </c>
      <c r="AB1565">
        <v>3314</v>
      </c>
      <c r="AC1565">
        <v>0</v>
      </c>
      <c r="AD1565">
        <v>109655765233</v>
      </c>
      <c r="AE1565">
        <v>170898588.88</v>
      </c>
      <c r="AF1565">
        <v>109429106315.59</v>
      </c>
      <c r="AG1565">
        <v>109484866644.12</v>
      </c>
      <c r="AH1565">
        <v>6.0850000000000001E-3</v>
      </c>
      <c r="AI1565">
        <v>0</v>
      </c>
    </row>
    <row r="1566" spans="13:35" x14ac:dyDescent="0.35">
      <c r="M1566" t="s">
        <v>2</v>
      </c>
      <c r="N1566">
        <v>7000</v>
      </c>
      <c r="O1566">
        <v>14</v>
      </c>
      <c r="P1566">
        <v>415</v>
      </c>
      <c r="Q1566">
        <v>0</v>
      </c>
      <c r="R1566">
        <v>6828743736</v>
      </c>
      <c r="S1566">
        <v>6208588.5300000003</v>
      </c>
      <c r="T1566">
        <v>6752525920.1199999</v>
      </c>
      <c r="U1566">
        <v>6800852829.0500002</v>
      </c>
      <c r="V1566">
        <v>0.11632000000000001</v>
      </c>
      <c r="W1566">
        <v>3.7442999999999997E-2</v>
      </c>
      <c r="Y1566" t="s">
        <v>2</v>
      </c>
      <c r="Z1566">
        <v>4000</v>
      </c>
      <c r="AA1566">
        <v>16</v>
      </c>
      <c r="AB1566">
        <v>116</v>
      </c>
      <c r="AC1566">
        <v>0</v>
      </c>
      <c r="AD1566">
        <v>3268379114</v>
      </c>
      <c r="AE1566">
        <v>5091086.75</v>
      </c>
      <c r="AF1566">
        <v>3263288027.25</v>
      </c>
      <c r="AG1566">
        <v>3263288027.25</v>
      </c>
      <c r="AH1566">
        <v>0</v>
      </c>
      <c r="AI1566">
        <v>0</v>
      </c>
    </row>
    <row r="1567" spans="13:35" x14ac:dyDescent="0.35">
      <c r="M1567" t="s">
        <v>0</v>
      </c>
      <c r="N1567">
        <v>9000</v>
      </c>
      <c r="O1567">
        <v>18</v>
      </c>
      <c r="P1567">
        <v>6</v>
      </c>
      <c r="Q1567">
        <v>0</v>
      </c>
      <c r="R1567">
        <v>192008748</v>
      </c>
      <c r="S1567">
        <v>127883.83</v>
      </c>
      <c r="T1567">
        <v>191880864.16999999</v>
      </c>
      <c r="U1567">
        <v>191880864.16999999</v>
      </c>
      <c r="V1567">
        <v>0</v>
      </c>
      <c r="W1567">
        <v>0</v>
      </c>
      <c r="Y1567" t="s">
        <v>1</v>
      </c>
      <c r="Z1567">
        <v>4000</v>
      </c>
      <c r="AA1567">
        <v>16</v>
      </c>
      <c r="AB1567">
        <v>1047</v>
      </c>
      <c r="AC1567">
        <v>0</v>
      </c>
      <c r="AD1567">
        <v>37402378630</v>
      </c>
      <c r="AE1567">
        <v>58321356.509999998</v>
      </c>
      <c r="AF1567">
        <v>37271067517.110001</v>
      </c>
      <c r="AG1567">
        <v>37271067517.110001</v>
      </c>
      <c r="AH1567">
        <v>2.3168000000000001E-2</v>
      </c>
      <c r="AI1567">
        <v>2.3168000000000001E-2</v>
      </c>
    </row>
    <row r="1568" spans="13:35" x14ac:dyDescent="0.35">
      <c r="M1568" t="s">
        <v>0</v>
      </c>
      <c r="N1568">
        <v>8500</v>
      </c>
      <c r="O1568">
        <v>18</v>
      </c>
      <c r="P1568">
        <v>2</v>
      </c>
      <c r="Q1568">
        <v>0</v>
      </c>
      <c r="R1568">
        <v>64954656</v>
      </c>
      <c r="S1568">
        <v>45293.71</v>
      </c>
      <c r="T1568">
        <v>64909362.289999999</v>
      </c>
      <c r="U1568">
        <v>64909362.289999999</v>
      </c>
      <c r="V1568">
        <v>0</v>
      </c>
      <c r="W1568">
        <v>0</v>
      </c>
      <c r="Y1568" t="s">
        <v>0</v>
      </c>
      <c r="Z1568">
        <v>4000</v>
      </c>
      <c r="AA1568">
        <v>14</v>
      </c>
      <c r="AB1568">
        <v>2224</v>
      </c>
      <c r="AC1568">
        <v>0</v>
      </c>
      <c r="AD1568">
        <v>74121516236</v>
      </c>
      <c r="AE1568">
        <v>114371606.89</v>
      </c>
      <c r="AF1568">
        <v>74006901565.960007</v>
      </c>
      <c r="AG1568">
        <v>74007144629.110001</v>
      </c>
      <c r="AH1568">
        <v>3.8999999999999999E-5</v>
      </c>
      <c r="AI1568">
        <v>0</v>
      </c>
    </row>
    <row r="1569" spans="13:35" x14ac:dyDescent="0.35">
      <c r="M1569" t="s">
        <v>3</v>
      </c>
      <c r="N1569">
        <v>7250</v>
      </c>
      <c r="O1569">
        <v>18</v>
      </c>
      <c r="P1569">
        <v>8</v>
      </c>
      <c r="Q1569">
        <v>0</v>
      </c>
      <c r="R1569">
        <v>231492959</v>
      </c>
      <c r="S1569">
        <v>208614.63</v>
      </c>
      <c r="T1569">
        <v>231284344.37</v>
      </c>
      <c r="U1569">
        <v>231284344.37</v>
      </c>
      <c r="V1569">
        <v>0</v>
      </c>
      <c r="W1569">
        <v>0</v>
      </c>
      <c r="Y1569" t="s">
        <v>2</v>
      </c>
      <c r="Z1569">
        <v>4250</v>
      </c>
      <c r="AA1569">
        <v>14</v>
      </c>
      <c r="AB1569">
        <v>27</v>
      </c>
      <c r="AC1569">
        <v>0</v>
      </c>
      <c r="AD1569">
        <v>674435131</v>
      </c>
      <c r="AE1569">
        <v>997854.55</v>
      </c>
      <c r="AF1569">
        <v>673437276.45000005</v>
      </c>
      <c r="AG1569">
        <v>673437276.45000005</v>
      </c>
      <c r="AH1569">
        <v>0</v>
      </c>
      <c r="AI1569">
        <v>0</v>
      </c>
    </row>
    <row r="1570" spans="13:35" x14ac:dyDescent="0.35">
      <c r="M1570" t="s">
        <v>3</v>
      </c>
      <c r="N1570">
        <v>6000</v>
      </c>
      <c r="O1570">
        <v>20</v>
      </c>
      <c r="P1570">
        <v>3</v>
      </c>
      <c r="Q1570">
        <v>0</v>
      </c>
      <c r="R1570">
        <v>69287758</v>
      </c>
      <c r="S1570">
        <v>79319.23</v>
      </c>
      <c r="T1570">
        <v>69208438.769999996</v>
      </c>
      <c r="U1570">
        <v>69208438.769999996</v>
      </c>
      <c r="V1570">
        <v>0</v>
      </c>
      <c r="W1570">
        <v>0</v>
      </c>
      <c r="Y1570" t="s">
        <v>0</v>
      </c>
      <c r="Z1570">
        <v>4750</v>
      </c>
      <c r="AA1570">
        <v>10</v>
      </c>
      <c r="AB1570">
        <v>839</v>
      </c>
      <c r="AC1570">
        <v>0</v>
      </c>
      <c r="AD1570">
        <v>28192252705</v>
      </c>
      <c r="AE1570">
        <v>37642565.920000002</v>
      </c>
      <c r="AF1570">
        <v>28154610139.080002</v>
      </c>
      <c r="AG1570">
        <v>28154610139.080002</v>
      </c>
      <c r="AH1570">
        <v>0</v>
      </c>
      <c r="AI1570">
        <v>0</v>
      </c>
    </row>
    <row r="1571" spans="13:35" x14ac:dyDescent="0.35">
      <c r="M1571" t="s">
        <v>3</v>
      </c>
      <c r="N1571">
        <v>5500</v>
      </c>
      <c r="O1571">
        <v>20</v>
      </c>
      <c r="P1571">
        <v>2</v>
      </c>
      <c r="Q1571">
        <v>0</v>
      </c>
      <c r="R1571">
        <v>75314576</v>
      </c>
      <c r="S1571">
        <v>93142.92</v>
      </c>
      <c r="T1571">
        <v>75221433.079999998</v>
      </c>
      <c r="U1571">
        <v>75221433.079999998</v>
      </c>
      <c r="V1571">
        <v>0</v>
      </c>
      <c r="W1571">
        <v>0</v>
      </c>
      <c r="Y1571" t="s">
        <v>2</v>
      </c>
      <c r="Z1571">
        <v>4750</v>
      </c>
      <c r="AA1571">
        <v>10</v>
      </c>
      <c r="AB1571">
        <v>26</v>
      </c>
      <c r="AC1571">
        <v>0</v>
      </c>
      <c r="AD1571">
        <v>645165004</v>
      </c>
      <c r="AE1571">
        <v>861241.32</v>
      </c>
      <c r="AF1571">
        <v>644303762.67999995</v>
      </c>
      <c r="AG1571">
        <v>644303762.67999995</v>
      </c>
      <c r="AH1571">
        <v>0</v>
      </c>
      <c r="AI1571">
        <v>0</v>
      </c>
    </row>
    <row r="1572" spans="13:35" x14ac:dyDescent="0.35">
      <c r="M1572" t="s">
        <v>3</v>
      </c>
      <c r="N1572">
        <v>7000</v>
      </c>
      <c r="O1572">
        <v>14</v>
      </c>
      <c r="P1572">
        <v>17</v>
      </c>
      <c r="Q1572">
        <v>0</v>
      </c>
      <c r="R1572">
        <v>430675346</v>
      </c>
      <c r="S1572">
        <v>393791.31</v>
      </c>
      <c r="T1572">
        <v>430281554.69</v>
      </c>
      <c r="U1572">
        <v>430281554.69</v>
      </c>
      <c r="V1572">
        <v>0</v>
      </c>
      <c r="W1572">
        <v>0</v>
      </c>
      <c r="Y1572" t="s">
        <v>1</v>
      </c>
      <c r="Z1572">
        <v>4750</v>
      </c>
      <c r="AA1572">
        <v>10</v>
      </c>
      <c r="AB1572">
        <v>268</v>
      </c>
      <c r="AC1572">
        <v>0</v>
      </c>
      <c r="AD1572">
        <v>10392125918</v>
      </c>
      <c r="AE1572">
        <v>13865330.65</v>
      </c>
      <c r="AF1572">
        <v>10378260587.35</v>
      </c>
      <c r="AG1572">
        <v>10378260587.35</v>
      </c>
      <c r="AH1572">
        <v>0</v>
      </c>
      <c r="AI1572">
        <v>0</v>
      </c>
    </row>
    <row r="1573" spans="13:35" x14ac:dyDescent="0.35">
      <c r="M1573" t="s">
        <v>3</v>
      </c>
      <c r="N1573">
        <v>6500</v>
      </c>
      <c r="O1573">
        <v>14</v>
      </c>
      <c r="P1573">
        <v>47</v>
      </c>
      <c r="Q1573">
        <v>0</v>
      </c>
      <c r="R1573">
        <v>1375050325</v>
      </c>
      <c r="S1573">
        <v>1365889.96</v>
      </c>
      <c r="T1573">
        <v>1373684435.04</v>
      </c>
      <c r="U1573">
        <v>1373684435.04</v>
      </c>
      <c r="V1573">
        <v>0</v>
      </c>
      <c r="W1573">
        <v>0</v>
      </c>
      <c r="Y1573" t="s">
        <v>0</v>
      </c>
      <c r="Z1573">
        <v>5000</v>
      </c>
      <c r="AA1573">
        <v>10</v>
      </c>
      <c r="AB1573">
        <v>2484</v>
      </c>
      <c r="AC1573">
        <v>0</v>
      </c>
      <c r="AD1573">
        <v>88656113002</v>
      </c>
      <c r="AE1573">
        <v>113115824.63</v>
      </c>
      <c r="AF1573">
        <v>88438133682.080002</v>
      </c>
      <c r="AG1573">
        <v>88542997177.369995</v>
      </c>
      <c r="AH1573">
        <v>1.4102E-2</v>
      </c>
      <c r="AI1573">
        <v>0</v>
      </c>
    </row>
    <row r="1574" spans="13:35" x14ac:dyDescent="0.35">
      <c r="M1574" t="s">
        <v>2</v>
      </c>
      <c r="N1574">
        <v>7500</v>
      </c>
      <c r="O1574">
        <v>16</v>
      </c>
      <c r="P1574">
        <v>19</v>
      </c>
      <c r="Q1574">
        <v>0</v>
      </c>
      <c r="R1574">
        <v>293672734</v>
      </c>
      <c r="S1574">
        <v>246289.19</v>
      </c>
      <c r="T1574">
        <v>293426444.81</v>
      </c>
      <c r="U1574">
        <v>293426444.81</v>
      </c>
      <c r="V1574">
        <v>0</v>
      </c>
      <c r="W1574">
        <v>0</v>
      </c>
      <c r="Y1574" t="s">
        <v>1</v>
      </c>
      <c r="Z1574">
        <v>5000</v>
      </c>
      <c r="AA1574">
        <v>10</v>
      </c>
      <c r="AB1574">
        <v>954</v>
      </c>
      <c r="AC1574">
        <v>0</v>
      </c>
      <c r="AD1574">
        <v>37627102500</v>
      </c>
      <c r="AE1574">
        <v>47995102.869999997</v>
      </c>
      <c r="AF1574">
        <v>37456434626.879997</v>
      </c>
      <c r="AG1574">
        <v>37537737845.5</v>
      </c>
      <c r="AH1574">
        <v>3.8428999999999998E-2</v>
      </c>
      <c r="AI1574">
        <v>1.3114000000000001E-2</v>
      </c>
    </row>
    <row r="1575" spans="13:35" x14ac:dyDescent="0.35">
      <c r="M1575" t="s">
        <v>0</v>
      </c>
      <c r="N1575">
        <v>8250</v>
      </c>
      <c r="O1575">
        <v>14</v>
      </c>
      <c r="P1575">
        <v>225</v>
      </c>
      <c r="Q1575">
        <v>0</v>
      </c>
      <c r="R1575">
        <v>6766974826</v>
      </c>
      <c r="S1575">
        <v>4816032.8899999997</v>
      </c>
      <c r="T1575">
        <v>6620094754.8900003</v>
      </c>
      <c r="U1575">
        <v>6729537103.8699999</v>
      </c>
      <c r="V1575">
        <v>0.22477900000000001</v>
      </c>
      <c r="W1575">
        <v>5.6339E-2</v>
      </c>
      <c r="Y1575" t="s">
        <v>2</v>
      </c>
      <c r="Z1575">
        <v>5000</v>
      </c>
      <c r="AA1575">
        <v>10</v>
      </c>
      <c r="AB1575">
        <v>58</v>
      </c>
      <c r="AC1575">
        <v>0</v>
      </c>
      <c r="AD1575">
        <v>1535261742</v>
      </c>
      <c r="AE1575">
        <v>1960323.99</v>
      </c>
      <c r="AF1575">
        <v>1533301418.01</v>
      </c>
      <c r="AG1575">
        <v>1533301418.01</v>
      </c>
      <c r="AH1575">
        <v>0</v>
      </c>
      <c r="AI1575">
        <v>0</v>
      </c>
    </row>
    <row r="1576" spans="13:35" x14ac:dyDescent="0.35">
      <c r="M1576" t="s">
        <v>0</v>
      </c>
      <c r="N1576">
        <v>8000</v>
      </c>
      <c r="O1576">
        <v>14</v>
      </c>
      <c r="P1576">
        <v>144</v>
      </c>
      <c r="Q1576">
        <v>0</v>
      </c>
      <c r="R1576">
        <v>4309749572</v>
      </c>
      <c r="S1576">
        <v>3228940.17</v>
      </c>
      <c r="T1576">
        <v>4162033320.6799998</v>
      </c>
      <c r="U1576">
        <v>4277216792.9699998</v>
      </c>
      <c r="V1576">
        <v>0.33582299999999998</v>
      </c>
      <c r="W1576">
        <v>7.8609999999999999E-2</v>
      </c>
      <c r="Y1576" t="s">
        <v>2</v>
      </c>
      <c r="Z1576">
        <v>5500</v>
      </c>
      <c r="AA1576">
        <v>10</v>
      </c>
      <c r="AB1576">
        <v>103</v>
      </c>
      <c r="AC1576">
        <v>0</v>
      </c>
      <c r="AD1576">
        <v>2334362608</v>
      </c>
      <c r="AE1576">
        <v>2719745.75</v>
      </c>
      <c r="AF1576">
        <v>2331642862.25</v>
      </c>
      <c r="AG1576">
        <v>2331642862.25</v>
      </c>
      <c r="AH1576">
        <v>0</v>
      </c>
      <c r="AI1576">
        <v>0</v>
      </c>
    </row>
    <row r="1577" spans="13:35" x14ac:dyDescent="0.35">
      <c r="M1577" t="s">
        <v>0</v>
      </c>
      <c r="N1577">
        <v>8250</v>
      </c>
      <c r="O1577">
        <v>16</v>
      </c>
      <c r="P1577">
        <v>257</v>
      </c>
      <c r="Q1577">
        <v>0</v>
      </c>
      <c r="R1577">
        <v>7958015261</v>
      </c>
      <c r="S1577">
        <v>5720440.0999999996</v>
      </c>
      <c r="T1577">
        <v>7761299624.8500004</v>
      </c>
      <c r="U1577">
        <v>7919086750.79</v>
      </c>
      <c r="V1577">
        <v>0.25286999999999998</v>
      </c>
      <c r="W1577">
        <v>4.8940999999999998E-2</v>
      </c>
      <c r="Y1577" t="s">
        <v>2</v>
      </c>
      <c r="Z1577">
        <v>5000</v>
      </c>
      <c r="AA1577">
        <v>9</v>
      </c>
      <c r="AB1577">
        <v>53</v>
      </c>
      <c r="AC1577">
        <v>0</v>
      </c>
      <c r="AD1577">
        <v>1451334258</v>
      </c>
      <c r="AE1577">
        <v>1844444.64</v>
      </c>
      <c r="AF1577">
        <v>1449489813.3599999</v>
      </c>
      <c r="AG1577">
        <v>1449489813.3599999</v>
      </c>
      <c r="AH1577">
        <v>0</v>
      </c>
      <c r="AI1577">
        <v>0</v>
      </c>
    </row>
    <row r="1578" spans="13:35" x14ac:dyDescent="0.35">
      <c r="M1578" t="s">
        <v>2</v>
      </c>
      <c r="N1578">
        <v>7750</v>
      </c>
      <c r="O1578">
        <v>16</v>
      </c>
      <c r="P1578">
        <v>25</v>
      </c>
      <c r="Q1578">
        <v>0</v>
      </c>
      <c r="R1578">
        <v>366406456</v>
      </c>
      <c r="S1578">
        <v>291895.08</v>
      </c>
      <c r="T1578">
        <v>366114560.92000002</v>
      </c>
      <c r="U1578">
        <v>366114560.92000002</v>
      </c>
      <c r="V1578">
        <v>0</v>
      </c>
      <c r="W1578">
        <v>0</v>
      </c>
      <c r="Y1578" t="s">
        <v>0</v>
      </c>
      <c r="Z1578">
        <v>5000</v>
      </c>
      <c r="AA1578">
        <v>9</v>
      </c>
      <c r="AB1578">
        <v>2786</v>
      </c>
      <c r="AC1578">
        <v>0</v>
      </c>
      <c r="AD1578">
        <v>98662281176</v>
      </c>
      <c r="AE1578">
        <v>125222768.58</v>
      </c>
      <c r="AF1578">
        <v>98482507039.240005</v>
      </c>
      <c r="AG1578">
        <v>98537058407.419998</v>
      </c>
      <c r="AH1578">
        <v>6.6150000000000002E-3</v>
      </c>
      <c r="AI1578">
        <v>0</v>
      </c>
    </row>
    <row r="1579" spans="13:35" x14ac:dyDescent="0.35">
      <c r="M1579" t="s">
        <v>2</v>
      </c>
      <c r="N1579">
        <v>7250</v>
      </c>
      <c r="O1579">
        <v>12</v>
      </c>
      <c r="P1579">
        <v>388</v>
      </c>
      <c r="Q1579">
        <v>0</v>
      </c>
      <c r="R1579">
        <v>6008733773</v>
      </c>
      <c r="S1579">
        <v>5134518.0199999996</v>
      </c>
      <c r="T1579">
        <v>5926769118.7399998</v>
      </c>
      <c r="U1579">
        <v>5957335622.6599998</v>
      </c>
      <c r="V1579">
        <v>0.143093</v>
      </c>
      <c r="W1579">
        <v>8.8579000000000005E-2</v>
      </c>
      <c r="Y1579" t="s">
        <v>1</v>
      </c>
      <c r="Z1579">
        <v>5000</v>
      </c>
      <c r="AA1579">
        <v>9</v>
      </c>
      <c r="AB1579">
        <v>1037</v>
      </c>
      <c r="AC1579">
        <v>0</v>
      </c>
      <c r="AD1579">
        <v>40189932484</v>
      </c>
      <c r="AE1579">
        <v>50984750.079999998</v>
      </c>
      <c r="AF1579">
        <v>40093077102.760002</v>
      </c>
      <c r="AG1579">
        <v>40138947733.919998</v>
      </c>
      <c r="AH1579">
        <v>1.3611E-2</v>
      </c>
      <c r="AI1579">
        <v>0</v>
      </c>
    </row>
    <row r="1580" spans="13:35" x14ac:dyDescent="0.35">
      <c r="M1580" t="s">
        <v>2</v>
      </c>
      <c r="N1580">
        <v>7000</v>
      </c>
      <c r="O1580">
        <v>10</v>
      </c>
      <c r="P1580">
        <v>254</v>
      </c>
      <c r="Q1580">
        <v>0</v>
      </c>
      <c r="R1580">
        <v>4461958540</v>
      </c>
      <c r="S1580">
        <v>3968819.4</v>
      </c>
      <c r="T1580">
        <v>4426579473.7200003</v>
      </c>
      <c r="U1580">
        <v>4457989720.6000004</v>
      </c>
      <c r="V1580">
        <v>8.1280000000000005E-2</v>
      </c>
      <c r="W1580">
        <v>0</v>
      </c>
      <c r="Y1580" t="s">
        <v>0</v>
      </c>
      <c r="Z1580">
        <v>5250</v>
      </c>
      <c r="AA1580">
        <v>7</v>
      </c>
      <c r="AB1580">
        <v>618</v>
      </c>
      <c r="AC1580">
        <v>0</v>
      </c>
      <c r="AD1580">
        <v>21533130821</v>
      </c>
      <c r="AE1580">
        <v>25874702.280000001</v>
      </c>
      <c r="AF1580">
        <v>21507256118.720001</v>
      </c>
      <c r="AG1580">
        <v>21507256118.720001</v>
      </c>
      <c r="AH1580">
        <v>0</v>
      </c>
      <c r="AI1580">
        <v>0</v>
      </c>
    </row>
    <row r="1581" spans="13:35" x14ac:dyDescent="0.35">
      <c r="M1581" t="s">
        <v>3</v>
      </c>
      <c r="N1581">
        <v>5750</v>
      </c>
      <c r="O1581">
        <v>16</v>
      </c>
      <c r="P1581">
        <v>23</v>
      </c>
      <c r="Q1581">
        <v>0</v>
      </c>
      <c r="R1581">
        <v>636373008</v>
      </c>
      <c r="S1581">
        <v>737147.19</v>
      </c>
      <c r="T1581">
        <v>635635860.80999994</v>
      </c>
      <c r="U1581">
        <v>635635860.80999994</v>
      </c>
      <c r="V1581">
        <v>0</v>
      </c>
      <c r="W1581">
        <v>0</v>
      </c>
      <c r="Y1581" t="s">
        <v>2</v>
      </c>
      <c r="Z1581">
        <v>5000</v>
      </c>
      <c r="AA1581">
        <v>7</v>
      </c>
      <c r="AB1581">
        <v>65</v>
      </c>
      <c r="AC1581">
        <v>0</v>
      </c>
      <c r="AD1581">
        <v>1812022100</v>
      </c>
      <c r="AE1581">
        <v>2275422.67</v>
      </c>
      <c r="AF1581">
        <v>1809746677.3299999</v>
      </c>
      <c r="AG1581">
        <v>1809746677.3299999</v>
      </c>
      <c r="AH1581">
        <v>0</v>
      </c>
      <c r="AI1581">
        <v>0</v>
      </c>
    </row>
    <row r="1582" spans="13:35" x14ac:dyDescent="0.35">
      <c r="M1582" t="s">
        <v>3</v>
      </c>
      <c r="N1582">
        <v>7250</v>
      </c>
      <c r="O1582">
        <v>16</v>
      </c>
      <c r="P1582">
        <v>4</v>
      </c>
      <c r="Q1582">
        <v>0</v>
      </c>
      <c r="R1582">
        <v>104817686</v>
      </c>
      <c r="S1582">
        <v>93062.23</v>
      </c>
      <c r="T1582">
        <v>104724623.77</v>
      </c>
      <c r="U1582">
        <v>104724623.77</v>
      </c>
      <c r="V1582">
        <v>0</v>
      </c>
      <c r="W1582">
        <v>0</v>
      </c>
      <c r="Y1582" t="s">
        <v>0</v>
      </c>
      <c r="Z1582">
        <v>5000</v>
      </c>
      <c r="AA1582">
        <v>7</v>
      </c>
      <c r="AB1582">
        <v>2249</v>
      </c>
      <c r="AC1582">
        <v>0</v>
      </c>
      <c r="AD1582">
        <v>78994657960</v>
      </c>
      <c r="AE1582">
        <v>99138952.980000004</v>
      </c>
      <c r="AF1582">
        <v>78839174612</v>
      </c>
      <c r="AG1582">
        <v>78895519007.020004</v>
      </c>
      <c r="AH1582">
        <v>8.5260000000000006E-3</v>
      </c>
      <c r="AI1582">
        <v>0</v>
      </c>
    </row>
    <row r="1583" spans="13:35" x14ac:dyDescent="0.35">
      <c r="M1583" t="s">
        <v>1</v>
      </c>
      <c r="N1583">
        <v>7750</v>
      </c>
      <c r="O1583">
        <v>14</v>
      </c>
      <c r="P1583">
        <v>296</v>
      </c>
      <c r="Q1583">
        <v>0</v>
      </c>
      <c r="R1583">
        <v>7440656614</v>
      </c>
      <c r="S1583">
        <v>5816164.3200000003</v>
      </c>
      <c r="T1583">
        <v>7114453988.4499998</v>
      </c>
      <c r="U1583">
        <v>7320053862.6000004</v>
      </c>
      <c r="V1583">
        <v>0.41031200000000001</v>
      </c>
      <c r="W1583">
        <v>0.17019599999999999</v>
      </c>
      <c r="Y1583" t="s">
        <v>0</v>
      </c>
      <c r="Z1583">
        <v>4750</v>
      </c>
      <c r="AA1583">
        <v>6</v>
      </c>
      <c r="AB1583">
        <v>861</v>
      </c>
      <c r="AC1583">
        <v>0</v>
      </c>
      <c r="AD1583">
        <v>27941159638</v>
      </c>
      <c r="AE1583">
        <v>36567580.32</v>
      </c>
      <c r="AF1583">
        <v>27904592057.68</v>
      </c>
      <c r="AG1583">
        <v>27904592057.68</v>
      </c>
      <c r="AH1583">
        <v>0</v>
      </c>
      <c r="AI1583">
        <v>0</v>
      </c>
    </row>
    <row r="1584" spans="13:35" x14ac:dyDescent="0.35">
      <c r="M1584" t="s">
        <v>2</v>
      </c>
      <c r="N1584">
        <v>7750</v>
      </c>
      <c r="O1584">
        <v>14</v>
      </c>
      <c r="P1584">
        <v>28</v>
      </c>
      <c r="Q1584">
        <v>0</v>
      </c>
      <c r="R1584">
        <v>362738431</v>
      </c>
      <c r="S1584">
        <v>285553.11</v>
      </c>
      <c r="T1584">
        <v>337167296.72000003</v>
      </c>
      <c r="U1584">
        <v>362452877.88999999</v>
      </c>
      <c r="V1584">
        <v>0.57982100000000003</v>
      </c>
      <c r="W1584">
        <v>0</v>
      </c>
      <c r="Y1584" t="s">
        <v>0</v>
      </c>
      <c r="Z1584">
        <v>4750</v>
      </c>
      <c r="AA1584">
        <v>9</v>
      </c>
      <c r="AB1584">
        <v>1047</v>
      </c>
      <c r="AC1584">
        <v>0</v>
      </c>
      <c r="AD1584">
        <v>34774529755</v>
      </c>
      <c r="AE1584">
        <v>46196715.619999997</v>
      </c>
      <c r="AF1584">
        <v>34728333039.379997</v>
      </c>
      <c r="AG1584">
        <v>34728333039.379997</v>
      </c>
      <c r="AH1584">
        <v>0</v>
      </c>
      <c r="AI1584">
        <v>0</v>
      </c>
    </row>
    <row r="1585" spans="13:35" x14ac:dyDescent="0.35">
      <c r="M1585" t="s">
        <v>1</v>
      </c>
      <c r="N1585">
        <v>4750</v>
      </c>
      <c r="O1585">
        <v>5</v>
      </c>
      <c r="P1585">
        <v>3642</v>
      </c>
      <c r="Q1585">
        <v>0</v>
      </c>
      <c r="R1585">
        <v>152140800000</v>
      </c>
      <c r="S1585">
        <v>194031780.62</v>
      </c>
      <c r="T1585">
        <v>151816532748.92001</v>
      </c>
      <c r="U1585">
        <v>151946768219.38</v>
      </c>
      <c r="V1585">
        <v>1.0224E-2</v>
      </c>
      <c r="W1585">
        <v>0</v>
      </c>
      <c r="Y1585" t="s">
        <v>2</v>
      </c>
      <c r="Z1585">
        <v>4750</v>
      </c>
      <c r="AA1585">
        <v>6</v>
      </c>
      <c r="AB1585">
        <v>20</v>
      </c>
      <c r="AC1585">
        <v>0</v>
      </c>
      <c r="AD1585">
        <v>451729413</v>
      </c>
      <c r="AE1585">
        <v>589867.85</v>
      </c>
      <c r="AF1585">
        <v>451139545.14999998</v>
      </c>
      <c r="AG1585">
        <v>451139545.14999998</v>
      </c>
      <c r="AH1585">
        <v>0</v>
      </c>
      <c r="AI1585">
        <v>0</v>
      </c>
    </row>
    <row r="1586" spans="13:35" x14ac:dyDescent="0.35">
      <c r="M1586" t="s">
        <v>2</v>
      </c>
      <c r="N1586">
        <v>8250</v>
      </c>
      <c r="O1586">
        <v>18</v>
      </c>
      <c r="P1586">
        <v>1</v>
      </c>
      <c r="Q1586">
        <v>0</v>
      </c>
      <c r="R1586">
        <v>16962655</v>
      </c>
      <c r="S1586">
        <v>12387.02</v>
      </c>
      <c r="T1586">
        <v>16950267.98</v>
      </c>
      <c r="U1586">
        <v>16950267.98</v>
      </c>
      <c r="V1586">
        <v>0</v>
      </c>
      <c r="W1586">
        <v>0</v>
      </c>
      <c r="Y1586" t="s">
        <v>0</v>
      </c>
      <c r="Z1586">
        <v>5000</v>
      </c>
      <c r="AA1586">
        <v>6</v>
      </c>
      <c r="AB1586">
        <v>2090</v>
      </c>
      <c r="AC1586">
        <v>0</v>
      </c>
      <c r="AD1586">
        <v>74245388661</v>
      </c>
      <c r="AE1586">
        <v>92716445.069999993</v>
      </c>
      <c r="AF1586">
        <v>74115965189.699997</v>
      </c>
      <c r="AG1586">
        <v>74152672215.929993</v>
      </c>
      <c r="AH1586">
        <v>5.9170000000000004E-3</v>
      </c>
      <c r="AI1586">
        <v>0</v>
      </c>
    </row>
    <row r="1587" spans="13:35" x14ac:dyDescent="0.35">
      <c r="M1587" t="s">
        <v>1</v>
      </c>
      <c r="N1587">
        <v>7500</v>
      </c>
      <c r="O1587">
        <v>14</v>
      </c>
      <c r="P1587">
        <v>349</v>
      </c>
      <c r="Q1587">
        <v>0</v>
      </c>
      <c r="R1587">
        <v>8866629971</v>
      </c>
      <c r="S1587">
        <v>7348669.8700000001</v>
      </c>
      <c r="T1587">
        <v>8145098814.3500004</v>
      </c>
      <c r="U1587">
        <v>8539838181.1099997</v>
      </c>
      <c r="V1587">
        <v>0.63494899999999999</v>
      </c>
      <c r="W1587">
        <v>0.35616399999999998</v>
      </c>
      <c r="Y1587" t="s">
        <v>2</v>
      </c>
      <c r="Z1587">
        <v>5000</v>
      </c>
      <c r="AA1587">
        <v>6</v>
      </c>
      <c r="AB1587">
        <v>65</v>
      </c>
      <c r="AC1587">
        <v>0</v>
      </c>
      <c r="AD1587">
        <v>1866142474</v>
      </c>
      <c r="AE1587">
        <v>2326604.44</v>
      </c>
      <c r="AF1587">
        <v>1863815869.5599999</v>
      </c>
      <c r="AG1587">
        <v>1863815869.5599999</v>
      </c>
      <c r="AH1587">
        <v>0</v>
      </c>
      <c r="AI1587">
        <v>0</v>
      </c>
    </row>
    <row r="1588" spans="13:35" x14ac:dyDescent="0.35">
      <c r="M1588" t="s">
        <v>3</v>
      </c>
      <c r="N1588">
        <v>7000</v>
      </c>
      <c r="O1588">
        <v>16</v>
      </c>
      <c r="P1588">
        <v>2</v>
      </c>
      <c r="Q1588">
        <v>0</v>
      </c>
      <c r="R1588">
        <v>74062450</v>
      </c>
      <c r="S1588">
        <v>67728.13</v>
      </c>
      <c r="T1588">
        <v>73994721.870000005</v>
      </c>
      <c r="U1588">
        <v>73994721.870000005</v>
      </c>
      <c r="V1588">
        <v>0</v>
      </c>
      <c r="W1588">
        <v>0</v>
      </c>
      <c r="Y1588" t="s">
        <v>0</v>
      </c>
      <c r="Z1588">
        <v>5250</v>
      </c>
      <c r="AA1588">
        <v>6</v>
      </c>
      <c r="AB1588">
        <v>682</v>
      </c>
      <c r="AC1588">
        <v>0</v>
      </c>
      <c r="AD1588">
        <v>23585365290</v>
      </c>
      <c r="AE1588">
        <v>28209357.219999999</v>
      </c>
      <c r="AF1588">
        <v>23509114478.509998</v>
      </c>
      <c r="AG1588">
        <v>23557155932.779999</v>
      </c>
      <c r="AH1588">
        <v>2.4171000000000002E-2</v>
      </c>
      <c r="AI1588">
        <v>0</v>
      </c>
    </row>
    <row r="1589" spans="13:35" x14ac:dyDescent="0.35">
      <c r="M1589" t="s">
        <v>3</v>
      </c>
      <c r="N1589">
        <v>7250</v>
      </c>
      <c r="O1589">
        <v>14</v>
      </c>
      <c r="P1589">
        <v>8</v>
      </c>
      <c r="Q1589">
        <v>0</v>
      </c>
      <c r="R1589">
        <v>160484618</v>
      </c>
      <c r="S1589">
        <v>138458.60999999999</v>
      </c>
      <c r="T1589">
        <v>160346159.38999999</v>
      </c>
      <c r="U1589">
        <v>160346159.38999999</v>
      </c>
      <c r="V1589">
        <v>0</v>
      </c>
      <c r="W1589">
        <v>0</v>
      </c>
      <c r="Y1589" t="s">
        <v>1</v>
      </c>
      <c r="Z1589">
        <v>5250</v>
      </c>
      <c r="AA1589">
        <v>6</v>
      </c>
      <c r="AB1589">
        <v>469</v>
      </c>
      <c r="AC1589">
        <v>0</v>
      </c>
      <c r="AD1589">
        <v>18872513457</v>
      </c>
      <c r="AE1589">
        <v>22502399.710000001</v>
      </c>
      <c r="AF1589">
        <v>18760392667.5</v>
      </c>
      <c r="AG1589">
        <v>18760392667.5</v>
      </c>
      <c r="AH1589">
        <v>5.5517999999999998E-2</v>
      </c>
      <c r="AI1589">
        <v>5.5517999999999998E-2</v>
      </c>
    </row>
    <row r="1590" spans="13:35" x14ac:dyDescent="0.35">
      <c r="M1590" t="s">
        <v>3</v>
      </c>
      <c r="N1590">
        <v>5500</v>
      </c>
      <c r="O1590">
        <v>16</v>
      </c>
      <c r="P1590">
        <v>10</v>
      </c>
      <c r="Q1590">
        <v>0</v>
      </c>
      <c r="R1590">
        <v>294272819</v>
      </c>
      <c r="S1590">
        <v>357204.92</v>
      </c>
      <c r="T1590">
        <v>293915614.07999998</v>
      </c>
      <c r="U1590">
        <v>293915614.07999998</v>
      </c>
      <c r="V1590">
        <v>0</v>
      </c>
      <c r="W1590">
        <v>0</v>
      </c>
      <c r="Y1590" t="s">
        <v>2</v>
      </c>
      <c r="Z1590">
        <v>5500</v>
      </c>
      <c r="AA1590">
        <v>6</v>
      </c>
      <c r="AB1590">
        <v>62</v>
      </c>
      <c r="AC1590">
        <v>0</v>
      </c>
      <c r="AD1590">
        <v>1592971131</v>
      </c>
      <c r="AE1590">
        <v>1817723.58</v>
      </c>
      <c r="AF1590">
        <v>1591153407.4200001</v>
      </c>
      <c r="AG1590">
        <v>1591153407.4200001</v>
      </c>
      <c r="AH1590">
        <v>0</v>
      </c>
      <c r="AI1590">
        <v>0</v>
      </c>
    </row>
    <row r="1591" spans="13:35" x14ac:dyDescent="0.35">
      <c r="M1591" t="s">
        <v>3</v>
      </c>
      <c r="N1591">
        <v>7500</v>
      </c>
      <c r="O1591">
        <v>16</v>
      </c>
      <c r="P1591">
        <v>1</v>
      </c>
      <c r="Q1591">
        <v>0</v>
      </c>
      <c r="R1591">
        <v>18714518</v>
      </c>
      <c r="S1591">
        <v>15428.99</v>
      </c>
      <c r="T1591">
        <v>18699089.010000002</v>
      </c>
      <c r="U1591">
        <v>18699089.010000002</v>
      </c>
      <c r="V1591">
        <v>0</v>
      </c>
      <c r="W1591">
        <v>0</v>
      </c>
      <c r="Y1591" t="s">
        <v>3</v>
      </c>
      <c r="Z1591">
        <v>6750</v>
      </c>
      <c r="AA1591">
        <v>14</v>
      </c>
      <c r="AB1591">
        <v>36</v>
      </c>
      <c r="AC1591">
        <v>0</v>
      </c>
      <c r="AD1591">
        <v>1056627911</v>
      </c>
      <c r="AE1591">
        <v>1008611.21</v>
      </c>
      <c r="AF1591">
        <v>1055619299.79</v>
      </c>
      <c r="AG1591">
        <v>1055619299.79</v>
      </c>
      <c r="AH1591">
        <v>0</v>
      </c>
      <c r="AI1591">
        <v>0</v>
      </c>
    </row>
    <row r="1592" spans="13:35" x14ac:dyDescent="0.35">
      <c r="M1592" t="s">
        <v>3</v>
      </c>
      <c r="N1592">
        <v>6250</v>
      </c>
      <c r="O1592">
        <v>12</v>
      </c>
      <c r="P1592">
        <v>64</v>
      </c>
      <c r="Q1592">
        <v>0</v>
      </c>
      <c r="R1592">
        <v>1949337003</v>
      </c>
      <c r="S1592">
        <v>1998429.74</v>
      </c>
      <c r="T1592">
        <v>1947338573.26</v>
      </c>
      <c r="U1592">
        <v>1947338573.26</v>
      </c>
      <c r="V1592">
        <v>0</v>
      </c>
      <c r="W1592">
        <v>0</v>
      </c>
      <c r="Y1592" t="s">
        <v>0</v>
      </c>
      <c r="Z1592">
        <v>4500</v>
      </c>
      <c r="AA1592">
        <v>20</v>
      </c>
      <c r="AB1592">
        <v>808</v>
      </c>
      <c r="AC1592">
        <v>0</v>
      </c>
      <c r="AD1592">
        <v>24933708939</v>
      </c>
      <c r="AE1592">
        <v>36360766.700000003</v>
      </c>
      <c r="AF1592">
        <v>24897348172.299999</v>
      </c>
      <c r="AG1592">
        <v>24897348172.299999</v>
      </c>
      <c r="AH1592">
        <v>0</v>
      </c>
      <c r="AI1592">
        <v>0</v>
      </c>
    </row>
    <row r="1593" spans="13:35" x14ac:dyDescent="0.35">
      <c r="M1593" t="s">
        <v>3</v>
      </c>
      <c r="N1593">
        <v>6500</v>
      </c>
      <c r="O1593">
        <v>12</v>
      </c>
      <c r="P1593">
        <v>64</v>
      </c>
      <c r="Q1593">
        <v>0</v>
      </c>
      <c r="R1593">
        <v>1863760185</v>
      </c>
      <c r="S1593">
        <v>1842348.31</v>
      </c>
      <c r="T1593">
        <v>1861917836.6900001</v>
      </c>
      <c r="U1593">
        <v>1861917836.6900001</v>
      </c>
      <c r="V1593">
        <v>0</v>
      </c>
      <c r="W1593">
        <v>0</v>
      </c>
      <c r="Y1593" t="s">
        <v>0</v>
      </c>
      <c r="Z1593">
        <v>8250</v>
      </c>
      <c r="AA1593">
        <v>16</v>
      </c>
      <c r="AB1593">
        <v>202</v>
      </c>
      <c r="AC1593">
        <v>0</v>
      </c>
      <c r="AD1593">
        <v>6165409439</v>
      </c>
      <c r="AE1593">
        <v>4434860.8899999997</v>
      </c>
      <c r="AF1593">
        <v>6048239425.3800001</v>
      </c>
      <c r="AG1593">
        <v>6160974578.1099997</v>
      </c>
      <c r="AH1593">
        <v>0.19864599999999999</v>
      </c>
      <c r="AI1593">
        <v>0</v>
      </c>
    </row>
    <row r="1594" spans="13:35" x14ac:dyDescent="0.35">
      <c r="M1594" t="s">
        <v>1</v>
      </c>
      <c r="N1594">
        <v>7250</v>
      </c>
      <c r="O1594">
        <v>12</v>
      </c>
      <c r="P1594">
        <v>1232</v>
      </c>
      <c r="Q1594">
        <v>0</v>
      </c>
      <c r="R1594">
        <v>32262493269</v>
      </c>
      <c r="S1594">
        <v>27738264.66</v>
      </c>
      <c r="T1594">
        <v>30192111341.150002</v>
      </c>
      <c r="U1594">
        <v>31625925213.799999</v>
      </c>
      <c r="V1594">
        <v>0.54382399999999997</v>
      </c>
      <c r="W1594">
        <v>0.20436699999999999</v>
      </c>
      <c r="Y1594" t="s">
        <v>1</v>
      </c>
      <c r="Z1594">
        <v>7750</v>
      </c>
      <c r="AA1594">
        <v>9</v>
      </c>
      <c r="AB1594">
        <v>217</v>
      </c>
      <c r="AC1594">
        <v>0</v>
      </c>
      <c r="AD1594">
        <v>6522100394</v>
      </c>
      <c r="AE1594">
        <v>4953000.87</v>
      </c>
      <c r="AF1594">
        <v>5821987319.6000004</v>
      </c>
      <c r="AG1594">
        <v>6285683248.75</v>
      </c>
      <c r="AH1594">
        <v>0.74139500000000003</v>
      </c>
      <c r="AI1594">
        <v>0.35183599999999998</v>
      </c>
    </row>
    <row r="1595" spans="13:35" x14ac:dyDescent="0.35">
      <c r="M1595" t="s">
        <v>3</v>
      </c>
      <c r="N1595">
        <v>5000</v>
      </c>
      <c r="O1595">
        <v>18</v>
      </c>
      <c r="P1595">
        <v>2</v>
      </c>
      <c r="Q1595">
        <v>0</v>
      </c>
      <c r="R1595">
        <v>49108784</v>
      </c>
      <c r="S1595">
        <v>64695</v>
      </c>
      <c r="T1595">
        <v>49044089</v>
      </c>
      <c r="U1595">
        <v>49044089</v>
      </c>
      <c r="V1595">
        <v>0</v>
      </c>
      <c r="W1595">
        <v>0</v>
      </c>
      <c r="Y1595" t="s">
        <v>1</v>
      </c>
      <c r="Z1595">
        <v>7750</v>
      </c>
      <c r="AA1595">
        <v>8</v>
      </c>
      <c r="AB1595">
        <v>288</v>
      </c>
      <c r="AC1595">
        <v>0</v>
      </c>
      <c r="AD1595">
        <v>8125628127</v>
      </c>
      <c r="AE1595">
        <v>6154094.1699999999</v>
      </c>
      <c r="AF1595">
        <v>6808896446.9799995</v>
      </c>
      <c r="AG1595">
        <v>8000977738.6800003</v>
      </c>
      <c r="AH1595">
        <v>0.87884399999999996</v>
      </c>
      <c r="AI1595">
        <v>0.16162099999999999</v>
      </c>
    </row>
    <row r="1596" spans="13:35" x14ac:dyDescent="0.35">
      <c r="M1596" t="s">
        <v>0</v>
      </c>
      <c r="N1596">
        <v>8250</v>
      </c>
      <c r="O1596">
        <v>12</v>
      </c>
      <c r="P1596">
        <v>159</v>
      </c>
      <c r="Q1596">
        <v>0</v>
      </c>
      <c r="R1596">
        <v>4931661146</v>
      </c>
      <c r="S1596">
        <v>3458771.62</v>
      </c>
      <c r="T1596">
        <v>4904865278.2700005</v>
      </c>
      <c r="U1596">
        <v>4928202374.3800001</v>
      </c>
      <c r="V1596">
        <v>5.5329999999999997E-2</v>
      </c>
      <c r="W1596">
        <v>0</v>
      </c>
      <c r="Y1596" t="s">
        <v>3</v>
      </c>
      <c r="Z1596">
        <v>5250</v>
      </c>
      <c r="AA1596">
        <v>18</v>
      </c>
      <c r="AB1596">
        <v>7</v>
      </c>
      <c r="AC1596">
        <v>0</v>
      </c>
      <c r="AD1596">
        <v>154364155</v>
      </c>
      <c r="AE1596">
        <v>194941.71</v>
      </c>
      <c r="AF1596">
        <v>154169213.28999999</v>
      </c>
      <c r="AG1596">
        <v>154169213.28999999</v>
      </c>
      <c r="AH1596">
        <v>0</v>
      </c>
      <c r="AI1596">
        <v>0</v>
      </c>
    </row>
    <row r="1597" spans="13:35" x14ac:dyDescent="0.35">
      <c r="M1597" t="s">
        <v>1</v>
      </c>
      <c r="N1597">
        <v>7000</v>
      </c>
      <c r="O1597">
        <v>7</v>
      </c>
      <c r="P1597">
        <v>1452</v>
      </c>
      <c r="Q1597">
        <v>0</v>
      </c>
      <c r="R1597">
        <v>45898113728</v>
      </c>
      <c r="S1597">
        <v>39921799.619999997</v>
      </c>
      <c r="T1597">
        <v>29671068989.110001</v>
      </c>
      <c r="U1597">
        <v>45771242744.339996</v>
      </c>
      <c r="V1597">
        <v>0.994587</v>
      </c>
      <c r="W1597">
        <v>2.2497E-2</v>
      </c>
      <c r="Y1597" t="s">
        <v>3</v>
      </c>
      <c r="Z1597">
        <v>7250</v>
      </c>
      <c r="AA1597">
        <v>16</v>
      </c>
      <c r="AB1597">
        <v>4</v>
      </c>
      <c r="AC1597">
        <v>0</v>
      </c>
      <c r="AD1597">
        <v>129016460</v>
      </c>
      <c r="AE1597">
        <v>114663.6</v>
      </c>
      <c r="AF1597">
        <v>128901796.40000001</v>
      </c>
      <c r="AG1597">
        <v>128901796.40000001</v>
      </c>
      <c r="AH1597">
        <v>0</v>
      </c>
      <c r="AI1597">
        <v>0</v>
      </c>
    </row>
    <row r="1598" spans="13:35" x14ac:dyDescent="0.35">
      <c r="M1598" t="s">
        <v>0</v>
      </c>
      <c r="N1598">
        <v>8000</v>
      </c>
      <c r="O1598">
        <v>12</v>
      </c>
      <c r="P1598">
        <v>164</v>
      </c>
      <c r="Q1598">
        <v>0</v>
      </c>
      <c r="R1598">
        <v>5238849188</v>
      </c>
      <c r="S1598">
        <v>3890903.85</v>
      </c>
      <c r="T1598">
        <v>5113861081.6599998</v>
      </c>
      <c r="U1598">
        <v>5234958284.1499996</v>
      </c>
      <c r="V1598">
        <v>0.244699</v>
      </c>
      <c r="W1598">
        <v>0</v>
      </c>
      <c r="Y1598" t="s">
        <v>3</v>
      </c>
      <c r="Z1598">
        <v>7000</v>
      </c>
      <c r="AA1598">
        <v>12</v>
      </c>
      <c r="AB1598">
        <v>14</v>
      </c>
      <c r="AC1598">
        <v>0</v>
      </c>
      <c r="AD1598">
        <v>270984085</v>
      </c>
      <c r="AE1598">
        <v>244455.4</v>
      </c>
      <c r="AF1598">
        <v>270739629.60000002</v>
      </c>
      <c r="AG1598">
        <v>270739629.60000002</v>
      </c>
      <c r="AH1598">
        <v>0</v>
      </c>
      <c r="AI1598">
        <v>0</v>
      </c>
    </row>
    <row r="1599" spans="13:35" x14ac:dyDescent="0.35">
      <c r="M1599" t="s">
        <v>3</v>
      </c>
      <c r="N1599">
        <v>5000</v>
      </c>
      <c r="O1599">
        <v>16</v>
      </c>
      <c r="P1599">
        <v>5</v>
      </c>
      <c r="Q1599">
        <v>0</v>
      </c>
      <c r="R1599">
        <v>122001848</v>
      </c>
      <c r="S1599">
        <v>160689.37</v>
      </c>
      <c r="T1599">
        <v>121841158.63</v>
      </c>
      <c r="U1599">
        <v>121841158.63</v>
      </c>
      <c r="V1599">
        <v>0</v>
      </c>
      <c r="W1599">
        <v>0</v>
      </c>
      <c r="Y1599" t="s">
        <v>3</v>
      </c>
      <c r="Z1599">
        <v>6500</v>
      </c>
      <c r="AA1599">
        <v>14</v>
      </c>
      <c r="AB1599">
        <v>43</v>
      </c>
      <c r="AC1599">
        <v>0</v>
      </c>
      <c r="AD1599">
        <v>1215309223</v>
      </c>
      <c r="AE1599">
        <v>1207010.72</v>
      </c>
      <c r="AF1599">
        <v>1214102212.28</v>
      </c>
      <c r="AG1599">
        <v>1214102212.28</v>
      </c>
      <c r="AH1599">
        <v>0</v>
      </c>
      <c r="AI1599">
        <v>0</v>
      </c>
    </row>
    <row r="1600" spans="13:35" x14ac:dyDescent="0.35">
      <c r="M1600" t="s">
        <v>1</v>
      </c>
      <c r="N1600">
        <v>7500</v>
      </c>
      <c r="O1600">
        <v>12</v>
      </c>
      <c r="P1600">
        <v>293</v>
      </c>
      <c r="Q1600">
        <v>0</v>
      </c>
      <c r="R1600">
        <v>7607237946</v>
      </c>
      <c r="S1600">
        <v>6204509.0899999999</v>
      </c>
      <c r="T1600">
        <v>7209629558.4700003</v>
      </c>
      <c r="U1600">
        <v>7568359495.6400003</v>
      </c>
      <c r="V1600">
        <v>0.46946500000000002</v>
      </c>
      <c r="W1600">
        <v>5.0340999999999997E-2</v>
      </c>
      <c r="Y1600" t="s">
        <v>0</v>
      </c>
      <c r="Z1600">
        <v>8000</v>
      </c>
      <c r="AA1600">
        <v>14</v>
      </c>
      <c r="AB1600">
        <v>200</v>
      </c>
      <c r="AC1600">
        <v>0</v>
      </c>
      <c r="AD1600">
        <v>5681794073</v>
      </c>
      <c r="AE1600">
        <v>4263594.22</v>
      </c>
      <c r="AF1600">
        <v>5637341286.79</v>
      </c>
      <c r="AG1600">
        <v>5658730410.5799999</v>
      </c>
      <c r="AH1600">
        <v>8.1654000000000004E-2</v>
      </c>
      <c r="AI1600">
        <v>3.8990999999999998E-2</v>
      </c>
    </row>
    <row r="1601" spans="13:35" x14ac:dyDescent="0.35">
      <c r="M1601" t="s">
        <v>3</v>
      </c>
      <c r="N1601">
        <v>7000</v>
      </c>
      <c r="O1601">
        <v>12</v>
      </c>
      <c r="P1601">
        <v>11</v>
      </c>
      <c r="Q1601">
        <v>0</v>
      </c>
      <c r="R1601">
        <v>265130236</v>
      </c>
      <c r="S1601">
        <v>238354.5</v>
      </c>
      <c r="T1601">
        <v>264891881.5</v>
      </c>
      <c r="U1601">
        <v>264891881.5</v>
      </c>
      <c r="V1601">
        <v>0</v>
      </c>
      <c r="W1601">
        <v>0</v>
      </c>
      <c r="Y1601" t="s">
        <v>0</v>
      </c>
      <c r="Z1601">
        <v>8250</v>
      </c>
      <c r="AA1601">
        <v>14</v>
      </c>
      <c r="AB1601">
        <v>289</v>
      </c>
      <c r="AC1601">
        <v>0</v>
      </c>
      <c r="AD1601">
        <v>8730672722</v>
      </c>
      <c r="AE1601">
        <v>6203622.8700000001</v>
      </c>
      <c r="AF1601">
        <v>8560728694.5299997</v>
      </c>
      <c r="AG1601">
        <v>8724469099.1299992</v>
      </c>
      <c r="AH1601">
        <v>0.203233</v>
      </c>
      <c r="AI1601">
        <v>0</v>
      </c>
    </row>
    <row r="1602" spans="13:35" x14ac:dyDescent="0.35">
      <c r="M1602" t="s">
        <v>0</v>
      </c>
      <c r="N1602">
        <v>4250</v>
      </c>
      <c r="O1602">
        <v>9</v>
      </c>
      <c r="P1602">
        <v>355</v>
      </c>
      <c r="Q1602">
        <v>0</v>
      </c>
      <c r="R1602">
        <v>11774949629</v>
      </c>
      <c r="S1602">
        <v>17001488.75</v>
      </c>
      <c r="T1602">
        <v>11757948140.25</v>
      </c>
      <c r="U1602">
        <v>11757948140.25</v>
      </c>
      <c r="V1602">
        <v>0</v>
      </c>
      <c r="W1602">
        <v>0</v>
      </c>
      <c r="Y1602" t="s">
        <v>0</v>
      </c>
      <c r="Z1602">
        <v>8000</v>
      </c>
      <c r="AA1602">
        <v>12</v>
      </c>
      <c r="AB1602">
        <v>156</v>
      </c>
      <c r="AC1602">
        <v>0</v>
      </c>
      <c r="AD1602">
        <v>4863978754</v>
      </c>
      <c r="AE1602">
        <v>3599964.24</v>
      </c>
      <c r="AF1602">
        <v>4694551164.9099998</v>
      </c>
      <c r="AG1602">
        <v>4860378789.7600002</v>
      </c>
      <c r="AH1602">
        <v>0.34048600000000001</v>
      </c>
      <c r="AI1602">
        <v>0</v>
      </c>
    </row>
    <row r="1603" spans="13:35" x14ac:dyDescent="0.35">
      <c r="M1603" t="s">
        <v>1</v>
      </c>
      <c r="N1603">
        <v>4250</v>
      </c>
      <c r="O1603">
        <v>9</v>
      </c>
      <c r="P1603">
        <v>138</v>
      </c>
      <c r="Q1603">
        <v>0</v>
      </c>
      <c r="R1603">
        <v>5046856329</v>
      </c>
      <c r="S1603">
        <v>7283338.4800000004</v>
      </c>
      <c r="T1603">
        <v>5039572990.5200005</v>
      </c>
      <c r="U1603">
        <v>5039572990.5200005</v>
      </c>
      <c r="V1603">
        <v>0</v>
      </c>
      <c r="W1603">
        <v>0</v>
      </c>
      <c r="Y1603" t="s">
        <v>0</v>
      </c>
      <c r="Z1603">
        <v>8250</v>
      </c>
      <c r="AA1603">
        <v>12</v>
      </c>
      <c r="AB1603">
        <v>190</v>
      </c>
      <c r="AC1603">
        <v>0</v>
      </c>
      <c r="AD1603">
        <v>5951225084</v>
      </c>
      <c r="AE1603">
        <v>4174737.72</v>
      </c>
      <c r="AF1603">
        <v>5767063589.3000002</v>
      </c>
      <c r="AG1603">
        <v>5947050346.2799997</v>
      </c>
      <c r="AH1603">
        <v>0.30824600000000002</v>
      </c>
      <c r="AI1603">
        <v>0</v>
      </c>
    </row>
    <row r="1604" spans="13:35" x14ac:dyDescent="0.35">
      <c r="M1604" t="s">
        <v>1</v>
      </c>
      <c r="N1604">
        <v>5000</v>
      </c>
      <c r="O1604">
        <v>8</v>
      </c>
      <c r="P1604">
        <v>918</v>
      </c>
      <c r="Q1604">
        <v>0</v>
      </c>
      <c r="R1604">
        <v>35292519133</v>
      </c>
      <c r="S1604">
        <v>44509655.43</v>
      </c>
      <c r="T1604">
        <v>35197040896.669998</v>
      </c>
      <c r="U1604">
        <v>35248009477.57</v>
      </c>
      <c r="V1604">
        <v>1.7193E-2</v>
      </c>
      <c r="W1604">
        <v>0</v>
      </c>
      <c r="Y1604" t="s">
        <v>2</v>
      </c>
      <c r="Z1604">
        <v>7750</v>
      </c>
      <c r="AA1604">
        <v>14</v>
      </c>
      <c r="AB1604">
        <v>30</v>
      </c>
      <c r="AC1604">
        <v>0</v>
      </c>
      <c r="AD1604">
        <v>414502089</v>
      </c>
      <c r="AE1604">
        <v>326801.40000000002</v>
      </c>
      <c r="AF1604">
        <v>414175287.60000002</v>
      </c>
      <c r="AG1604">
        <v>414175287.60000002</v>
      </c>
      <c r="AH1604">
        <v>0</v>
      </c>
      <c r="AI1604">
        <v>0</v>
      </c>
    </row>
    <row r="1605" spans="13:35" x14ac:dyDescent="0.35">
      <c r="M1605" t="s">
        <v>1</v>
      </c>
      <c r="N1605">
        <v>5000</v>
      </c>
      <c r="O1605">
        <v>7</v>
      </c>
      <c r="P1605">
        <v>940</v>
      </c>
      <c r="Q1605">
        <v>0</v>
      </c>
      <c r="R1605">
        <v>37916922444</v>
      </c>
      <c r="S1605">
        <v>47579946.770000003</v>
      </c>
      <c r="T1605">
        <v>37774267737.099998</v>
      </c>
      <c r="U1605">
        <v>37869342497.230003</v>
      </c>
      <c r="V1605">
        <v>2.9678E-2</v>
      </c>
      <c r="W1605">
        <v>0</v>
      </c>
      <c r="Y1605" t="s">
        <v>2</v>
      </c>
      <c r="Z1605">
        <v>7250</v>
      </c>
      <c r="AA1605">
        <v>12</v>
      </c>
      <c r="AB1605">
        <v>514</v>
      </c>
      <c r="AC1605">
        <v>0</v>
      </c>
      <c r="AD1605">
        <v>7784439577</v>
      </c>
      <c r="AE1605">
        <v>6636338.6500000004</v>
      </c>
      <c r="AF1605">
        <v>7616941988.7299995</v>
      </c>
      <c r="AG1605">
        <v>7699182297.8400002</v>
      </c>
      <c r="AH1605">
        <v>0.22164400000000001</v>
      </c>
      <c r="AI1605">
        <v>0.114686</v>
      </c>
    </row>
    <row r="1606" spans="13:35" x14ac:dyDescent="0.35">
      <c r="M1606" t="s">
        <v>0</v>
      </c>
      <c r="N1606">
        <v>5000</v>
      </c>
      <c r="O1606">
        <v>6</v>
      </c>
      <c r="P1606">
        <v>2428</v>
      </c>
      <c r="Q1606">
        <v>0</v>
      </c>
      <c r="R1606">
        <v>87500874762</v>
      </c>
      <c r="S1606">
        <v>109329751.55</v>
      </c>
      <c r="T1606">
        <v>87366551308.149994</v>
      </c>
      <c r="U1606">
        <v>87391545010.449997</v>
      </c>
      <c r="V1606">
        <v>3.4220000000000001E-3</v>
      </c>
      <c r="W1606">
        <v>0</v>
      </c>
      <c r="Y1606" t="s">
        <v>2</v>
      </c>
      <c r="Z1606">
        <v>7000</v>
      </c>
      <c r="AA1606">
        <v>9</v>
      </c>
      <c r="AB1606">
        <v>256</v>
      </c>
      <c r="AC1606">
        <v>0</v>
      </c>
      <c r="AD1606">
        <v>4517515998</v>
      </c>
      <c r="AE1606">
        <v>3992062.32</v>
      </c>
      <c r="AF1606">
        <v>4462233075.1800003</v>
      </c>
      <c r="AG1606">
        <v>4513523935.6800003</v>
      </c>
      <c r="AH1606">
        <v>0.128051</v>
      </c>
      <c r="AI1606">
        <v>0</v>
      </c>
    </row>
    <row r="1607" spans="13:35" x14ac:dyDescent="0.35">
      <c r="M1607" t="s">
        <v>2</v>
      </c>
      <c r="N1607">
        <v>7250</v>
      </c>
      <c r="O1607">
        <v>10</v>
      </c>
      <c r="P1607">
        <v>177</v>
      </c>
      <c r="Q1607">
        <v>0</v>
      </c>
      <c r="R1607">
        <v>2559473710</v>
      </c>
      <c r="S1607">
        <v>2164329.25</v>
      </c>
      <c r="T1607">
        <v>2538610172.29</v>
      </c>
      <c r="U1607">
        <v>2538610172.29</v>
      </c>
      <c r="V1607">
        <v>8.4232000000000001E-2</v>
      </c>
      <c r="W1607">
        <v>8.4232000000000001E-2</v>
      </c>
      <c r="Y1607" t="s">
        <v>1</v>
      </c>
      <c r="Z1607">
        <v>7750</v>
      </c>
      <c r="AA1607">
        <v>14</v>
      </c>
      <c r="AB1607">
        <v>312</v>
      </c>
      <c r="AC1607">
        <v>0</v>
      </c>
      <c r="AD1607">
        <v>8192175584</v>
      </c>
      <c r="AE1607">
        <v>6405957.1699999999</v>
      </c>
      <c r="AF1607">
        <v>7696602678.1999998</v>
      </c>
      <c r="AG1607">
        <v>7834063968.5200005</v>
      </c>
      <c r="AH1607">
        <v>0.52232400000000001</v>
      </c>
      <c r="AI1607">
        <v>0.40937200000000001</v>
      </c>
    </row>
    <row r="1608" spans="13:35" x14ac:dyDescent="0.35">
      <c r="M1608" t="s">
        <v>2</v>
      </c>
      <c r="N1608">
        <v>7250</v>
      </c>
      <c r="O1608">
        <v>9</v>
      </c>
      <c r="P1608">
        <v>258</v>
      </c>
      <c r="Q1608">
        <v>0</v>
      </c>
      <c r="R1608">
        <v>3888360618</v>
      </c>
      <c r="S1608">
        <v>3278277.77</v>
      </c>
      <c r="T1608">
        <v>3849662517.5100002</v>
      </c>
      <c r="U1608">
        <v>3876714693.3600001</v>
      </c>
      <c r="V1608">
        <v>0.10399700000000001</v>
      </c>
      <c r="W1608">
        <v>2.5520000000000001E-2</v>
      </c>
      <c r="Y1608" t="s">
        <v>1</v>
      </c>
      <c r="Z1608">
        <v>7500</v>
      </c>
      <c r="AA1608">
        <v>14</v>
      </c>
      <c r="AB1608">
        <v>316</v>
      </c>
      <c r="AC1608">
        <v>0</v>
      </c>
      <c r="AD1608">
        <v>8129606257</v>
      </c>
      <c r="AE1608">
        <v>6747649.71</v>
      </c>
      <c r="AF1608">
        <v>7607321465.1199999</v>
      </c>
      <c r="AG1608">
        <v>8013010043.8000002</v>
      </c>
      <c r="AH1608">
        <v>0.54441700000000004</v>
      </c>
      <c r="AI1608">
        <v>0.15062200000000001</v>
      </c>
    </row>
    <row r="1609" spans="13:35" x14ac:dyDescent="0.35">
      <c r="M1609" t="s">
        <v>1</v>
      </c>
      <c r="N1609">
        <v>7750</v>
      </c>
      <c r="O1609">
        <v>12</v>
      </c>
      <c r="P1609">
        <v>394</v>
      </c>
      <c r="Q1609">
        <v>0</v>
      </c>
      <c r="R1609">
        <v>10761050174</v>
      </c>
      <c r="S1609">
        <v>8311732.2699999996</v>
      </c>
      <c r="T1609">
        <v>9817875784.9500008</v>
      </c>
      <c r="U1609">
        <v>10411125340.040001</v>
      </c>
      <c r="V1609">
        <v>0.66398000000000001</v>
      </c>
      <c r="W1609">
        <v>0.320992</v>
      </c>
      <c r="Y1609" t="s">
        <v>1</v>
      </c>
      <c r="Z1609">
        <v>4750</v>
      </c>
      <c r="AA1609">
        <v>5</v>
      </c>
      <c r="AB1609">
        <v>3267</v>
      </c>
      <c r="AC1609">
        <v>0</v>
      </c>
      <c r="AD1609">
        <v>134946200000</v>
      </c>
      <c r="AE1609">
        <v>172090793.96000001</v>
      </c>
      <c r="AF1609">
        <v>134648568232.71001</v>
      </c>
      <c r="AG1609">
        <v>134774109206.03999</v>
      </c>
      <c r="AH1609">
        <v>1.1107000000000001E-2</v>
      </c>
      <c r="AI1609">
        <v>0</v>
      </c>
    </row>
    <row r="1610" spans="13:35" x14ac:dyDescent="0.35">
      <c r="M1610" t="s">
        <v>3</v>
      </c>
      <c r="N1610">
        <v>5500</v>
      </c>
      <c r="O1610">
        <v>14</v>
      </c>
      <c r="P1610">
        <v>6</v>
      </c>
      <c r="Q1610">
        <v>0</v>
      </c>
      <c r="R1610">
        <v>126641399</v>
      </c>
      <c r="S1610">
        <v>150444.94</v>
      </c>
      <c r="T1610">
        <v>126490954.06</v>
      </c>
      <c r="U1610">
        <v>126490954.06</v>
      </c>
      <c r="V1610">
        <v>0</v>
      </c>
      <c r="W1610">
        <v>0</v>
      </c>
      <c r="Y1610" t="s">
        <v>2</v>
      </c>
      <c r="Z1610">
        <v>8000</v>
      </c>
      <c r="AA1610">
        <v>18</v>
      </c>
      <c r="AB1610">
        <v>1</v>
      </c>
      <c r="AC1610">
        <v>0</v>
      </c>
      <c r="AD1610">
        <v>21997310</v>
      </c>
      <c r="AE1610">
        <v>16882.54</v>
      </c>
      <c r="AF1610">
        <v>21980427.460000001</v>
      </c>
      <c r="AG1610">
        <v>21980427.460000001</v>
      </c>
      <c r="AH1610">
        <v>0</v>
      </c>
      <c r="AI1610">
        <v>0</v>
      </c>
    </row>
    <row r="1611" spans="13:35" x14ac:dyDescent="0.35">
      <c r="M1611" t="s">
        <v>3</v>
      </c>
      <c r="N1611">
        <v>7000</v>
      </c>
      <c r="O1611">
        <v>9</v>
      </c>
      <c r="P1611">
        <v>7</v>
      </c>
      <c r="Q1611">
        <v>0</v>
      </c>
      <c r="R1611">
        <v>121593027</v>
      </c>
      <c r="S1611">
        <v>107533.74</v>
      </c>
      <c r="T1611">
        <v>121485493.26000001</v>
      </c>
      <c r="U1611">
        <v>121485493.26000001</v>
      </c>
      <c r="V1611">
        <v>0</v>
      </c>
      <c r="W1611">
        <v>0</v>
      </c>
      <c r="Y1611" t="s">
        <v>1</v>
      </c>
      <c r="Z1611">
        <v>8250</v>
      </c>
      <c r="AA1611">
        <v>16</v>
      </c>
      <c r="AB1611">
        <v>2</v>
      </c>
      <c r="AC1611">
        <v>0</v>
      </c>
      <c r="AD1611">
        <v>40344423</v>
      </c>
      <c r="AE1611">
        <v>29156.959999999999</v>
      </c>
      <c r="AF1611">
        <v>40315266.039999999</v>
      </c>
      <c r="AG1611">
        <v>40315266.039999999</v>
      </c>
      <c r="AH1611">
        <v>0</v>
      </c>
      <c r="AI1611">
        <v>0</v>
      </c>
    </row>
    <row r="1612" spans="13:35" x14ac:dyDescent="0.35">
      <c r="M1612" t="s">
        <v>3</v>
      </c>
      <c r="N1612">
        <v>6750</v>
      </c>
      <c r="O1612">
        <v>10</v>
      </c>
      <c r="P1612">
        <v>32</v>
      </c>
      <c r="Q1612">
        <v>0</v>
      </c>
      <c r="R1612">
        <v>907479549</v>
      </c>
      <c r="S1612">
        <v>841843.42</v>
      </c>
      <c r="T1612">
        <v>906637705.58000004</v>
      </c>
      <c r="U1612">
        <v>906637705.58000004</v>
      </c>
      <c r="V1612">
        <v>0</v>
      </c>
      <c r="W1612">
        <v>0</v>
      </c>
      <c r="Y1612" t="s">
        <v>1</v>
      </c>
      <c r="Z1612">
        <v>7500</v>
      </c>
      <c r="AA1612">
        <v>12</v>
      </c>
      <c r="AB1612">
        <v>425</v>
      </c>
      <c r="AC1612">
        <v>0</v>
      </c>
      <c r="AD1612">
        <v>10862243301</v>
      </c>
      <c r="AE1612">
        <v>8860530.3399999999</v>
      </c>
      <c r="AF1612">
        <v>9819885487.8400002</v>
      </c>
      <c r="AG1612">
        <v>10768654070.18</v>
      </c>
      <c r="AH1612">
        <v>0.698739</v>
      </c>
      <c r="AI1612">
        <v>8.9690000000000006E-2</v>
      </c>
    </row>
    <row r="1613" spans="13:35" x14ac:dyDescent="0.35">
      <c r="M1613" t="s">
        <v>2</v>
      </c>
      <c r="N1613">
        <v>7500</v>
      </c>
      <c r="O1613">
        <v>12</v>
      </c>
      <c r="P1613">
        <v>180</v>
      </c>
      <c r="Q1613">
        <v>0</v>
      </c>
      <c r="R1613">
        <v>2524162662</v>
      </c>
      <c r="S1613">
        <v>2058718.02</v>
      </c>
      <c r="T1613">
        <v>2437494683.8400002</v>
      </c>
      <c r="U1613">
        <v>2446225135.75</v>
      </c>
      <c r="V1613">
        <v>0.33577400000000002</v>
      </c>
      <c r="W1613">
        <v>0.30668099999999998</v>
      </c>
      <c r="Y1613" t="s">
        <v>3</v>
      </c>
      <c r="Z1613">
        <v>7000</v>
      </c>
      <c r="AA1613">
        <v>14</v>
      </c>
      <c r="AB1613">
        <v>14</v>
      </c>
      <c r="AC1613">
        <v>0</v>
      </c>
      <c r="AD1613">
        <v>368844328</v>
      </c>
      <c r="AE1613">
        <v>335667.1</v>
      </c>
      <c r="AF1613">
        <v>358238874.69999999</v>
      </c>
      <c r="AG1613">
        <v>368508660.89999998</v>
      </c>
      <c r="AH1613">
        <v>0.287416</v>
      </c>
      <c r="AI1613">
        <v>0</v>
      </c>
    </row>
    <row r="1614" spans="13:35" x14ac:dyDescent="0.35">
      <c r="M1614" t="s">
        <v>2</v>
      </c>
      <c r="N1614">
        <v>7750</v>
      </c>
      <c r="O1614">
        <v>12</v>
      </c>
      <c r="P1614">
        <v>27</v>
      </c>
      <c r="Q1614">
        <v>0</v>
      </c>
      <c r="R1614">
        <v>377573218</v>
      </c>
      <c r="S1614">
        <v>294544.02</v>
      </c>
      <c r="T1614">
        <v>377278673.98000002</v>
      </c>
      <c r="U1614">
        <v>377278673.98000002</v>
      </c>
      <c r="V1614">
        <v>0</v>
      </c>
      <c r="W1614">
        <v>0</v>
      </c>
      <c r="Y1614" t="s">
        <v>3</v>
      </c>
      <c r="Z1614">
        <v>7250</v>
      </c>
      <c r="AA1614">
        <v>14</v>
      </c>
      <c r="AB1614">
        <v>4</v>
      </c>
      <c r="AC1614">
        <v>0</v>
      </c>
      <c r="AD1614">
        <v>75918973</v>
      </c>
      <c r="AE1614">
        <v>66199.929999999993</v>
      </c>
      <c r="AF1614">
        <v>75852773.069999993</v>
      </c>
      <c r="AG1614">
        <v>75852773.069999993</v>
      </c>
      <c r="AH1614">
        <v>0</v>
      </c>
      <c r="AI1614">
        <v>0</v>
      </c>
    </row>
    <row r="1615" spans="13:35" x14ac:dyDescent="0.35">
      <c r="M1615" t="s">
        <v>0</v>
      </c>
      <c r="N1615">
        <v>7750</v>
      </c>
      <c r="O1615">
        <v>7</v>
      </c>
      <c r="P1615">
        <v>897</v>
      </c>
      <c r="Q1615">
        <v>0</v>
      </c>
      <c r="R1615">
        <v>23804820710</v>
      </c>
      <c r="S1615">
        <v>17830119.140000001</v>
      </c>
      <c r="T1615">
        <v>22599789744.84</v>
      </c>
      <c r="U1615">
        <v>23641228991.540001</v>
      </c>
      <c r="V1615">
        <v>0.45876800000000001</v>
      </c>
      <c r="W1615">
        <v>7.1054000000000006E-2</v>
      </c>
      <c r="Y1615" t="s">
        <v>1</v>
      </c>
      <c r="Z1615">
        <v>4500</v>
      </c>
      <c r="AA1615">
        <v>18</v>
      </c>
      <c r="AB1615">
        <v>577</v>
      </c>
      <c r="AC1615">
        <v>0</v>
      </c>
      <c r="AD1615">
        <v>20599541135</v>
      </c>
      <c r="AE1615">
        <v>29792268.57</v>
      </c>
      <c r="AF1615">
        <v>20535305972.18</v>
      </c>
      <c r="AG1615">
        <v>20569748866.43</v>
      </c>
      <c r="AH1615">
        <v>1.9880999999999999E-2</v>
      </c>
      <c r="AI1615">
        <v>0</v>
      </c>
    </row>
    <row r="1616" spans="13:35" x14ac:dyDescent="0.35">
      <c r="M1616" t="s">
        <v>2</v>
      </c>
      <c r="N1616">
        <v>7750</v>
      </c>
      <c r="O1616">
        <v>10</v>
      </c>
      <c r="P1616">
        <v>7</v>
      </c>
      <c r="Q1616">
        <v>0</v>
      </c>
      <c r="R1616">
        <v>113390031</v>
      </c>
      <c r="S1616">
        <v>87309.1</v>
      </c>
      <c r="T1616">
        <v>113302721.90000001</v>
      </c>
      <c r="U1616">
        <v>113302721.90000001</v>
      </c>
      <c r="V1616">
        <v>0</v>
      </c>
      <c r="W1616">
        <v>0</v>
      </c>
      <c r="Y1616" t="s">
        <v>3</v>
      </c>
      <c r="Z1616">
        <v>7500</v>
      </c>
      <c r="AA1616">
        <v>14</v>
      </c>
      <c r="AB1616">
        <v>1</v>
      </c>
      <c r="AC1616">
        <v>0</v>
      </c>
      <c r="AD1616">
        <v>18730358</v>
      </c>
      <c r="AE1616">
        <v>15333.57</v>
      </c>
      <c r="AF1616">
        <v>18715024.43</v>
      </c>
      <c r="AG1616">
        <v>18715024.43</v>
      </c>
      <c r="AH1616">
        <v>0</v>
      </c>
      <c r="AI1616">
        <v>0</v>
      </c>
    </row>
    <row r="1617" spans="13:35" x14ac:dyDescent="0.35">
      <c r="M1617" t="s">
        <v>1</v>
      </c>
      <c r="N1617">
        <v>7250</v>
      </c>
      <c r="O1617">
        <v>8</v>
      </c>
      <c r="P1617">
        <v>1107</v>
      </c>
      <c r="Q1617">
        <v>0</v>
      </c>
      <c r="R1617">
        <v>31708388703</v>
      </c>
      <c r="S1617">
        <v>26629444.329999998</v>
      </c>
      <c r="T1617">
        <v>26642628041.900002</v>
      </c>
      <c r="U1617">
        <v>31423729394.450001</v>
      </c>
      <c r="V1617">
        <v>0.87467399999999995</v>
      </c>
      <c r="W1617">
        <v>9.3396999999999994E-2</v>
      </c>
      <c r="Y1617" t="s">
        <v>3</v>
      </c>
      <c r="Z1617">
        <v>6500</v>
      </c>
      <c r="AA1617">
        <v>12</v>
      </c>
      <c r="AB1617">
        <v>66</v>
      </c>
      <c r="AC1617">
        <v>0</v>
      </c>
      <c r="AD1617">
        <v>1916865093</v>
      </c>
      <c r="AE1617">
        <v>1891634.46</v>
      </c>
      <c r="AF1617">
        <v>1914973458.54</v>
      </c>
      <c r="AG1617">
        <v>1914973458.54</v>
      </c>
      <c r="AH1617">
        <v>0</v>
      </c>
      <c r="AI1617">
        <v>0</v>
      </c>
    </row>
    <row r="1618" spans="13:35" x14ac:dyDescent="0.35">
      <c r="M1618" t="s">
        <v>2</v>
      </c>
      <c r="N1618">
        <v>7250</v>
      </c>
      <c r="O1618">
        <v>8</v>
      </c>
      <c r="P1618">
        <v>324</v>
      </c>
      <c r="Q1618">
        <v>0</v>
      </c>
      <c r="R1618">
        <v>4958352937</v>
      </c>
      <c r="S1618">
        <v>4161436.97</v>
      </c>
      <c r="T1618">
        <v>4939538187.2600002</v>
      </c>
      <c r="U1618">
        <v>4954191500.0299997</v>
      </c>
      <c r="V1618">
        <v>3.4893E-2</v>
      </c>
      <c r="W1618">
        <v>0</v>
      </c>
      <c r="Y1618" t="s">
        <v>3</v>
      </c>
      <c r="Z1618">
        <v>7250</v>
      </c>
      <c r="AA1618">
        <v>12</v>
      </c>
      <c r="AB1618">
        <v>7</v>
      </c>
      <c r="AC1618">
        <v>0</v>
      </c>
      <c r="AD1618">
        <v>160551001</v>
      </c>
      <c r="AE1618">
        <v>137747.84</v>
      </c>
      <c r="AF1618">
        <v>160413253.16</v>
      </c>
      <c r="AG1618">
        <v>160413253.16</v>
      </c>
      <c r="AH1618">
        <v>0</v>
      </c>
      <c r="AI1618">
        <v>0</v>
      </c>
    </row>
    <row r="1619" spans="13:35" x14ac:dyDescent="0.35">
      <c r="M1619" t="s">
        <v>3</v>
      </c>
      <c r="N1619">
        <v>6500</v>
      </c>
      <c r="O1619">
        <v>8</v>
      </c>
      <c r="P1619">
        <v>37</v>
      </c>
      <c r="Q1619">
        <v>0</v>
      </c>
      <c r="R1619">
        <v>1068786388</v>
      </c>
      <c r="S1619">
        <v>1025160.39</v>
      </c>
      <c r="T1619">
        <v>1067761227.61</v>
      </c>
      <c r="U1619">
        <v>1067761227.61</v>
      </c>
      <c r="V1619">
        <v>0</v>
      </c>
      <c r="W1619">
        <v>0</v>
      </c>
      <c r="Y1619" t="s">
        <v>3</v>
      </c>
      <c r="Z1619">
        <v>6000</v>
      </c>
      <c r="AA1619">
        <v>12</v>
      </c>
      <c r="AB1619">
        <v>18</v>
      </c>
      <c r="AC1619">
        <v>0</v>
      </c>
      <c r="AD1619">
        <v>433196363</v>
      </c>
      <c r="AE1619">
        <v>465648.98</v>
      </c>
      <c r="AF1619">
        <v>432730714.01999998</v>
      </c>
      <c r="AG1619">
        <v>432730714.01999998</v>
      </c>
      <c r="AH1619">
        <v>0</v>
      </c>
      <c r="AI1619">
        <v>0</v>
      </c>
    </row>
    <row r="1620" spans="13:35" x14ac:dyDescent="0.35">
      <c r="M1620" t="s">
        <v>0</v>
      </c>
      <c r="N1620">
        <v>4750</v>
      </c>
      <c r="O1620">
        <v>8</v>
      </c>
      <c r="P1620">
        <v>796</v>
      </c>
      <c r="Q1620">
        <v>0</v>
      </c>
      <c r="R1620">
        <v>25677774787</v>
      </c>
      <c r="S1620">
        <v>33909509.079999998</v>
      </c>
      <c r="T1620">
        <v>25643865277.919998</v>
      </c>
      <c r="U1620">
        <v>25643865277.919998</v>
      </c>
      <c r="V1620">
        <v>0</v>
      </c>
      <c r="W1620">
        <v>0</v>
      </c>
      <c r="Y1620" t="s">
        <v>3</v>
      </c>
      <c r="Z1620">
        <v>6250</v>
      </c>
      <c r="AA1620">
        <v>12</v>
      </c>
      <c r="AB1620">
        <v>42</v>
      </c>
      <c r="AC1620">
        <v>0</v>
      </c>
      <c r="AD1620">
        <v>1153509432</v>
      </c>
      <c r="AE1620">
        <v>1181893.32</v>
      </c>
      <c r="AF1620">
        <v>1152327538.6800001</v>
      </c>
      <c r="AG1620">
        <v>1152327538.6800001</v>
      </c>
      <c r="AH1620">
        <v>0</v>
      </c>
      <c r="AI1620">
        <v>0</v>
      </c>
    </row>
    <row r="1621" spans="13:35" x14ac:dyDescent="0.35">
      <c r="M1621" t="s">
        <v>1</v>
      </c>
      <c r="N1621">
        <v>4750</v>
      </c>
      <c r="O1621">
        <v>7</v>
      </c>
      <c r="P1621">
        <v>291</v>
      </c>
      <c r="Q1621">
        <v>0</v>
      </c>
      <c r="R1621">
        <v>11252724052</v>
      </c>
      <c r="S1621">
        <v>14802769.039999999</v>
      </c>
      <c r="T1621">
        <v>11207504297.459999</v>
      </c>
      <c r="U1621">
        <v>11237921282.959999</v>
      </c>
      <c r="V1621">
        <v>3.1959000000000001E-2</v>
      </c>
      <c r="W1621">
        <v>0</v>
      </c>
      <c r="Y1621" t="s">
        <v>3</v>
      </c>
      <c r="Z1621">
        <v>6250</v>
      </c>
      <c r="AA1621">
        <v>10</v>
      </c>
      <c r="AB1621">
        <v>39</v>
      </c>
      <c r="AC1621">
        <v>0</v>
      </c>
      <c r="AD1621">
        <v>1223735096</v>
      </c>
      <c r="AE1621">
        <v>1244372.2</v>
      </c>
      <c r="AF1621">
        <v>1222490723.8</v>
      </c>
      <c r="AG1621">
        <v>1222490723.8</v>
      </c>
      <c r="AH1621">
        <v>0</v>
      </c>
      <c r="AI1621">
        <v>0</v>
      </c>
    </row>
    <row r="1622" spans="13:35" x14ac:dyDescent="0.35">
      <c r="M1622" t="s">
        <v>2</v>
      </c>
      <c r="N1622">
        <v>4750</v>
      </c>
      <c r="O1622">
        <v>8</v>
      </c>
      <c r="P1622">
        <v>18</v>
      </c>
      <c r="Q1622">
        <v>0</v>
      </c>
      <c r="R1622">
        <v>452425611</v>
      </c>
      <c r="S1622">
        <v>607539.1</v>
      </c>
      <c r="T1622">
        <v>451818071.89999998</v>
      </c>
      <c r="U1622">
        <v>451818071.89999998</v>
      </c>
      <c r="V1622">
        <v>0</v>
      </c>
      <c r="W1622">
        <v>0</v>
      </c>
      <c r="Y1622" t="s">
        <v>3</v>
      </c>
      <c r="Z1622">
        <v>5000</v>
      </c>
      <c r="AA1622">
        <v>16</v>
      </c>
      <c r="AB1622">
        <v>4</v>
      </c>
      <c r="AC1622">
        <v>0</v>
      </c>
      <c r="AD1622">
        <v>108986969</v>
      </c>
      <c r="AE1622">
        <v>143026.25</v>
      </c>
      <c r="AF1622">
        <v>108843942.75</v>
      </c>
      <c r="AG1622">
        <v>108843942.75</v>
      </c>
      <c r="AH1622">
        <v>0</v>
      </c>
      <c r="AI1622">
        <v>0</v>
      </c>
    </row>
    <row r="1623" spans="13:35" x14ac:dyDescent="0.35">
      <c r="M1623" t="s">
        <v>1</v>
      </c>
      <c r="N1623">
        <v>4750</v>
      </c>
      <c r="O1623">
        <v>8</v>
      </c>
      <c r="P1623">
        <v>281</v>
      </c>
      <c r="Q1623">
        <v>0</v>
      </c>
      <c r="R1623">
        <v>10542891067</v>
      </c>
      <c r="S1623">
        <v>13920718.449999999</v>
      </c>
      <c r="T1623">
        <v>10528970348.549999</v>
      </c>
      <c r="U1623">
        <v>10528970348.549999</v>
      </c>
      <c r="V1623">
        <v>0</v>
      </c>
      <c r="W1623">
        <v>0</v>
      </c>
      <c r="Y1623" t="s">
        <v>3</v>
      </c>
      <c r="Z1623">
        <v>5750</v>
      </c>
      <c r="AA1623">
        <v>12</v>
      </c>
      <c r="AB1623">
        <v>13</v>
      </c>
      <c r="AC1623">
        <v>0</v>
      </c>
      <c r="AD1623">
        <v>395518933</v>
      </c>
      <c r="AE1623">
        <v>443864.55</v>
      </c>
      <c r="AF1623">
        <v>395075068.44999999</v>
      </c>
      <c r="AG1623">
        <v>395075068.44999999</v>
      </c>
      <c r="AH1623">
        <v>0</v>
      </c>
      <c r="AI1623">
        <v>0</v>
      </c>
    </row>
    <row r="1624" spans="13:35" x14ac:dyDescent="0.35">
      <c r="M1624" t="s">
        <v>1</v>
      </c>
      <c r="N1624">
        <v>7500</v>
      </c>
      <c r="O1624">
        <v>8</v>
      </c>
      <c r="P1624">
        <v>116</v>
      </c>
      <c r="Q1624">
        <v>0</v>
      </c>
      <c r="R1624">
        <v>3133081289</v>
      </c>
      <c r="S1624">
        <v>2493449.5499999998</v>
      </c>
      <c r="T1624">
        <v>2492854048.8499999</v>
      </c>
      <c r="U1624">
        <v>3045086051.6900001</v>
      </c>
      <c r="V1624">
        <v>0.93484999999999996</v>
      </c>
      <c r="W1624">
        <v>0.28253499999999998</v>
      </c>
      <c r="Y1624" t="s">
        <v>1</v>
      </c>
      <c r="Z1624">
        <v>7000</v>
      </c>
      <c r="AA1624">
        <v>6</v>
      </c>
      <c r="AB1624">
        <v>1462</v>
      </c>
      <c r="AC1624">
        <v>0</v>
      </c>
      <c r="AD1624">
        <v>46382876353</v>
      </c>
      <c r="AE1624">
        <v>40075201.640000001</v>
      </c>
      <c r="AF1624">
        <v>46009223194.760002</v>
      </c>
      <c r="AG1624">
        <v>46236398936.209999</v>
      </c>
      <c r="AH1624">
        <v>8.2969000000000001E-2</v>
      </c>
      <c r="AI1624">
        <v>2.7182999999999999E-2</v>
      </c>
    </row>
    <row r="1625" spans="13:35" x14ac:dyDescent="0.35">
      <c r="M1625" t="s">
        <v>3</v>
      </c>
      <c r="N1625">
        <v>7250</v>
      </c>
      <c r="O1625">
        <v>8</v>
      </c>
      <c r="P1625">
        <v>4</v>
      </c>
      <c r="Q1625">
        <v>0</v>
      </c>
      <c r="R1625">
        <v>140155829</v>
      </c>
      <c r="S1625">
        <v>116138.8</v>
      </c>
      <c r="T1625">
        <v>140039690.19999999</v>
      </c>
      <c r="U1625">
        <v>140039690.19999999</v>
      </c>
      <c r="V1625">
        <v>0</v>
      </c>
      <c r="W1625">
        <v>0</v>
      </c>
      <c r="Y1625" t="s">
        <v>3</v>
      </c>
      <c r="Z1625">
        <v>5000</v>
      </c>
      <c r="AA1625">
        <v>14</v>
      </c>
      <c r="AB1625">
        <v>3</v>
      </c>
      <c r="AC1625">
        <v>0</v>
      </c>
      <c r="AD1625">
        <v>62359778</v>
      </c>
      <c r="AE1625">
        <v>81444.52</v>
      </c>
      <c r="AF1625">
        <v>62278333.479999997</v>
      </c>
      <c r="AG1625">
        <v>62278333.479999997</v>
      </c>
      <c r="AH1625">
        <v>0</v>
      </c>
      <c r="AI1625">
        <v>0</v>
      </c>
    </row>
    <row r="1626" spans="13:35" x14ac:dyDescent="0.35">
      <c r="M1626" t="s">
        <v>1</v>
      </c>
      <c r="N1626">
        <v>7500</v>
      </c>
      <c r="O1626">
        <v>9</v>
      </c>
      <c r="P1626">
        <v>188</v>
      </c>
      <c r="Q1626">
        <v>0</v>
      </c>
      <c r="R1626">
        <v>5335631460</v>
      </c>
      <c r="S1626">
        <v>4320152.07</v>
      </c>
      <c r="T1626">
        <v>4970435577.1400003</v>
      </c>
      <c r="U1626">
        <v>5284309283.6599998</v>
      </c>
      <c r="V1626">
        <v>0.56845000000000001</v>
      </c>
      <c r="W1626">
        <v>0.10073500000000001</v>
      </c>
      <c r="Y1626" t="s">
        <v>1</v>
      </c>
      <c r="Z1626">
        <v>7750</v>
      </c>
      <c r="AA1626">
        <v>12</v>
      </c>
      <c r="AB1626">
        <v>422</v>
      </c>
      <c r="AC1626">
        <v>0</v>
      </c>
      <c r="AD1626">
        <v>11175470836</v>
      </c>
      <c r="AE1626">
        <v>8622935.8699999992</v>
      </c>
      <c r="AF1626">
        <v>10100707507.559999</v>
      </c>
      <c r="AG1626">
        <v>10876397063.75</v>
      </c>
      <c r="AH1626">
        <v>0.69975299999999996</v>
      </c>
      <c r="AI1626">
        <v>0.27094400000000002</v>
      </c>
    </row>
    <row r="1627" spans="13:35" x14ac:dyDescent="0.35">
      <c r="M1627" t="s">
        <v>3</v>
      </c>
      <c r="N1627">
        <v>7000</v>
      </c>
      <c r="O1627">
        <v>10</v>
      </c>
      <c r="P1627">
        <v>8</v>
      </c>
      <c r="Q1627">
        <v>0</v>
      </c>
      <c r="R1627">
        <v>238782461</v>
      </c>
      <c r="S1627">
        <v>212371.86</v>
      </c>
      <c r="T1627">
        <v>238570089.13999999</v>
      </c>
      <c r="U1627">
        <v>238570089.13999999</v>
      </c>
      <c r="V1627">
        <v>0</v>
      </c>
      <c r="W1627">
        <v>0</v>
      </c>
      <c r="Y1627" t="s">
        <v>2</v>
      </c>
      <c r="Z1627">
        <v>7750</v>
      </c>
      <c r="AA1627">
        <v>12</v>
      </c>
      <c r="AB1627">
        <v>36</v>
      </c>
      <c r="AC1627">
        <v>0</v>
      </c>
      <c r="AD1627">
        <v>530979748</v>
      </c>
      <c r="AE1627">
        <v>413032.54</v>
      </c>
      <c r="AF1627">
        <v>510057241.99000001</v>
      </c>
      <c r="AG1627">
        <v>530566715.45999998</v>
      </c>
      <c r="AH1627">
        <v>0.37668200000000002</v>
      </c>
      <c r="AI1627">
        <v>0</v>
      </c>
    </row>
    <row r="1628" spans="13:35" x14ac:dyDescent="0.35">
      <c r="M1628" t="s">
        <v>1</v>
      </c>
      <c r="N1628">
        <v>7500</v>
      </c>
      <c r="O1628">
        <v>10</v>
      </c>
      <c r="P1628">
        <v>100</v>
      </c>
      <c r="Q1628">
        <v>0</v>
      </c>
      <c r="R1628">
        <v>3112415974</v>
      </c>
      <c r="S1628">
        <v>2560968.84</v>
      </c>
      <c r="T1628">
        <v>2739582148.7199998</v>
      </c>
      <c r="U1628">
        <v>3012989684.1799998</v>
      </c>
      <c r="V1628">
        <v>0.78126899999999999</v>
      </c>
      <c r="W1628">
        <v>0.31572899999999998</v>
      </c>
      <c r="Y1628" t="s">
        <v>2</v>
      </c>
      <c r="Z1628">
        <v>7000</v>
      </c>
      <c r="AA1628">
        <v>10</v>
      </c>
      <c r="AB1628">
        <v>171</v>
      </c>
      <c r="AC1628">
        <v>0</v>
      </c>
      <c r="AD1628">
        <v>2834164493</v>
      </c>
      <c r="AE1628">
        <v>2525281.89</v>
      </c>
      <c r="AF1628">
        <v>2831639211.1100001</v>
      </c>
      <c r="AG1628">
        <v>2831639211.1100001</v>
      </c>
      <c r="AH1628">
        <v>0</v>
      </c>
      <c r="AI1628">
        <v>0</v>
      </c>
    </row>
    <row r="1629" spans="13:35" x14ac:dyDescent="0.35">
      <c r="M1629" t="s">
        <v>2</v>
      </c>
      <c r="N1629">
        <v>7500</v>
      </c>
      <c r="O1629">
        <v>10</v>
      </c>
      <c r="P1629">
        <v>81</v>
      </c>
      <c r="Q1629">
        <v>0</v>
      </c>
      <c r="R1629">
        <v>1192399091</v>
      </c>
      <c r="S1629">
        <v>965863.7</v>
      </c>
      <c r="T1629">
        <v>1181747589.1900001</v>
      </c>
      <c r="U1629">
        <v>1181747589.1900001</v>
      </c>
      <c r="V1629">
        <v>9.3234999999999998E-2</v>
      </c>
      <c r="W1629">
        <v>9.3234999999999998E-2</v>
      </c>
      <c r="Y1629" t="s">
        <v>3</v>
      </c>
      <c r="Z1629">
        <v>7000</v>
      </c>
      <c r="AA1629">
        <v>10</v>
      </c>
      <c r="AB1629">
        <v>3</v>
      </c>
      <c r="AC1629">
        <v>0</v>
      </c>
      <c r="AD1629">
        <v>141162286</v>
      </c>
      <c r="AE1629">
        <v>125065.58</v>
      </c>
      <c r="AF1629">
        <v>141037220.41999999</v>
      </c>
      <c r="AG1629">
        <v>141037220.41999999</v>
      </c>
      <c r="AH1629">
        <v>0</v>
      </c>
      <c r="AI1629">
        <v>0</v>
      </c>
    </row>
    <row r="1630" spans="13:35" x14ac:dyDescent="0.35">
      <c r="M1630" t="s">
        <v>3</v>
      </c>
      <c r="N1630">
        <v>6000</v>
      </c>
      <c r="O1630">
        <v>10</v>
      </c>
      <c r="P1630">
        <v>14</v>
      </c>
      <c r="Q1630">
        <v>0</v>
      </c>
      <c r="R1630">
        <v>400665498</v>
      </c>
      <c r="S1630">
        <v>427659.78</v>
      </c>
      <c r="T1630">
        <v>400237838.22000003</v>
      </c>
      <c r="U1630">
        <v>400237838.22000003</v>
      </c>
      <c r="V1630">
        <v>0</v>
      </c>
      <c r="W1630">
        <v>0</v>
      </c>
      <c r="Y1630" t="s">
        <v>0</v>
      </c>
      <c r="Z1630">
        <v>4250</v>
      </c>
      <c r="AA1630">
        <v>8</v>
      </c>
      <c r="AB1630">
        <v>355</v>
      </c>
      <c r="AC1630">
        <v>0</v>
      </c>
      <c r="AD1630">
        <v>11793425876</v>
      </c>
      <c r="AE1630">
        <v>16943894.52</v>
      </c>
      <c r="AF1630">
        <v>11776481981.48</v>
      </c>
      <c r="AG1630">
        <v>11776481981.48</v>
      </c>
      <c r="AH1630">
        <v>0</v>
      </c>
      <c r="AI1630">
        <v>0</v>
      </c>
    </row>
    <row r="1631" spans="13:35" x14ac:dyDescent="0.35">
      <c r="M1631" t="s">
        <v>3</v>
      </c>
      <c r="N1631">
        <v>5750</v>
      </c>
      <c r="O1631">
        <v>12</v>
      </c>
      <c r="P1631">
        <v>16</v>
      </c>
      <c r="Q1631">
        <v>0</v>
      </c>
      <c r="R1631">
        <v>436563172</v>
      </c>
      <c r="S1631">
        <v>490747.08</v>
      </c>
      <c r="T1631">
        <v>436072424.92000002</v>
      </c>
      <c r="U1631">
        <v>436072424.92000002</v>
      </c>
      <c r="V1631">
        <v>0</v>
      </c>
      <c r="W1631">
        <v>0</v>
      </c>
      <c r="Y1631" t="s">
        <v>1</v>
      </c>
      <c r="Z1631">
        <v>4250</v>
      </c>
      <c r="AA1631">
        <v>8</v>
      </c>
      <c r="AB1631">
        <v>138</v>
      </c>
      <c r="AC1631">
        <v>0</v>
      </c>
      <c r="AD1631">
        <v>5054032329</v>
      </c>
      <c r="AE1631">
        <v>7257587.9100000001</v>
      </c>
      <c r="AF1631">
        <v>5046774741.0900002</v>
      </c>
      <c r="AG1631">
        <v>5046774741.0900002</v>
      </c>
      <c r="AH1631">
        <v>0</v>
      </c>
      <c r="AI1631">
        <v>0</v>
      </c>
    </row>
    <row r="1632" spans="13:35" x14ac:dyDescent="0.35">
      <c r="M1632" t="s">
        <v>3</v>
      </c>
      <c r="N1632">
        <v>5500</v>
      </c>
      <c r="O1632">
        <v>12</v>
      </c>
      <c r="P1632">
        <v>10</v>
      </c>
      <c r="Q1632">
        <v>0</v>
      </c>
      <c r="R1632">
        <v>220271241</v>
      </c>
      <c r="S1632">
        <v>259159.53</v>
      </c>
      <c r="T1632">
        <v>220012081.47</v>
      </c>
      <c r="U1632">
        <v>220012081.47</v>
      </c>
      <c r="V1632">
        <v>0</v>
      </c>
      <c r="W1632">
        <v>0</v>
      </c>
      <c r="Y1632" t="s">
        <v>1</v>
      </c>
      <c r="Z1632">
        <v>5000</v>
      </c>
      <c r="AA1632">
        <v>7</v>
      </c>
      <c r="AB1632">
        <v>919</v>
      </c>
      <c r="AC1632">
        <v>0</v>
      </c>
      <c r="AD1632">
        <v>35432089137</v>
      </c>
      <c r="AE1632">
        <v>44445309.670000002</v>
      </c>
      <c r="AF1632">
        <v>35387643827.330002</v>
      </c>
      <c r="AG1632">
        <v>35387643827.330002</v>
      </c>
      <c r="AH1632">
        <v>0</v>
      </c>
      <c r="AI1632">
        <v>0</v>
      </c>
    </row>
    <row r="1633" spans="13:35" x14ac:dyDescent="0.35">
      <c r="M1633" t="s">
        <v>1</v>
      </c>
      <c r="N1633">
        <v>8250</v>
      </c>
      <c r="O1633">
        <v>14</v>
      </c>
      <c r="P1633">
        <v>2</v>
      </c>
      <c r="Q1633">
        <v>0</v>
      </c>
      <c r="R1633">
        <v>48021812</v>
      </c>
      <c r="S1633">
        <v>34599.550000000003</v>
      </c>
      <c r="T1633">
        <v>47987212.450000003</v>
      </c>
      <c r="U1633">
        <v>47987212.450000003</v>
      </c>
      <c r="V1633">
        <v>0</v>
      </c>
      <c r="W1633">
        <v>0</v>
      </c>
      <c r="Y1633" t="s">
        <v>1</v>
      </c>
      <c r="Z1633">
        <v>5000</v>
      </c>
      <c r="AA1633">
        <v>6</v>
      </c>
      <c r="AB1633">
        <v>941</v>
      </c>
      <c r="AC1633">
        <v>0</v>
      </c>
      <c r="AD1633">
        <v>38012069316</v>
      </c>
      <c r="AE1633">
        <v>47443414.189999998</v>
      </c>
      <c r="AF1633">
        <v>37947367217.410004</v>
      </c>
      <c r="AG1633">
        <v>37964625901.809998</v>
      </c>
      <c r="AH1633">
        <v>5.4349999999999997E-3</v>
      </c>
      <c r="AI1633">
        <v>0</v>
      </c>
    </row>
    <row r="1634" spans="13:35" x14ac:dyDescent="0.35">
      <c r="M1634" t="s">
        <v>1</v>
      </c>
      <c r="N1634">
        <v>8250</v>
      </c>
      <c r="O1634">
        <v>12</v>
      </c>
      <c r="P1634">
        <v>2</v>
      </c>
      <c r="Q1634">
        <v>0</v>
      </c>
      <c r="R1634">
        <v>57760394</v>
      </c>
      <c r="S1634">
        <v>41306.730000000003</v>
      </c>
      <c r="T1634">
        <v>57719087.270000003</v>
      </c>
      <c r="U1634">
        <v>57719087.270000003</v>
      </c>
      <c r="V1634">
        <v>0</v>
      </c>
      <c r="W1634">
        <v>0</v>
      </c>
      <c r="Y1634" t="s">
        <v>1</v>
      </c>
      <c r="Z1634">
        <v>7250</v>
      </c>
      <c r="AA1634">
        <v>10</v>
      </c>
      <c r="AB1634">
        <v>670</v>
      </c>
      <c r="AC1634">
        <v>0</v>
      </c>
      <c r="AD1634">
        <v>18140757895</v>
      </c>
      <c r="AE1634">
        <v>15406436.27</v>
      </c>
      <c r="AF1634">
        <v>16660305566.4</v>
      </c>
      <c r="AG1634">
        <v>17877874364.959999</v>
      </c>
      <c r="AH1634">
        <v>0.635961</v>
      </c>
      <c r="AI1634">
        <v>0.15196299999999999</v>
      </c>
    </row>
    <row r="1635" spans="13:35" x14ac:dyDescent="0.35">
      <c r="M1635" t="s">
        <v>2</v>
      </c>
      <c r="N1635">
        <v>7250</v>
      </c>
      <c r="O1635">
        <v>7</v>
      </c>
      <c r="P1635">
        <v>204</v>
      </c>
      <c r="Q1635">
        <v>0</v>
      </c>
      <c r="R1635">
        <v>2988825366</v>
      </c>
      <c r="S1635">
        <v>2492755.87</v>
      </c>
      <c r="T1635">
        <v>2914754042.5700002</v>
      </c>
      <c r="U1635">
        <v>2986332610.1300001</v>
      </c>
      <c r="V1635">
        <v>0.25239600000000001</v>
      </c>
      <c r="W1635">
        <v>0</v>
      </c>
      <c r="Y1635" t="s">
        <v>2</v>
      </c>
      <c r="Z1635">
        <v>7250</v>
      </c>
      <c r="AA1635">
        <v>10</v>
      </c>
      <c r="AB1635">
        <v>142</v>
      </c>
      <c r="AC1635">
        <v>0</v>
      </c>
      <c r="AD1635">
        <v>2155652722</v>
      </c>
      <c r="AE1635">
        <v>1820029.8</v>
      </c>
      <c r="AF1635">
        <v>2132599594.29</v>
      </c>
      <c r="AG1635">
        <v>2153832692.1999998</v>
      </c>
      <c r="AH1635">
        <v>0.112002</v>
      </c>
      <c r="AI1635">
        <v>0</v>
      </c>
    </row>
    <row r="1636" spans="13:35" x14ac:dyDescent="0.35">
      <c r="M1636" t="s">
        <v>2</v>
      </c>
      <c r="N1636">
        <v>7000</v>
      </c>
      <c r="O1636">
        <v>7</v>
      </c>
      <c r="P1636">
        <v>301</v>
      </c>
      <c r="Q1636">
        <v>0</v>
      </c>
      <c r="R1636">
        <v>5033107376</v>
      </c>
      <c r="S1636">
        <v>4403316.07</v>
      </c>
      <c r="T1636">
        <v>4946436839.0299997</v>
      </c>
      <c r="U1636">
        <v>5001394691.8100004</v>
      </c>
      <c r="V1636">
        <v>0.17943600000000001</v>
      </c>
      <c r="W1636">
        <v>6.3202999999999995E-2</v>
      </c>
      <c r="Y1636" t="s">
        <v>2</v>
      </c>
      <c r="Z1636">
        <v>7250</v>
      </c>
      <c r="AA1636">
        <v>9</v>
      </c>
      <c r="AB1636">
        <v>188</v>
      </c>
      <c r="AC1636">
        <v>0</v>
      </c>
      <c r="AD1636">
        <v>2701476195</v>
      </c>
      <c r="AE1636">
        <v>2268718.5</v>
      </c>
      <c r="AF1636">
        <v>2603979272.3200002</v>
      </c>
      <c r="AG1636">
        <v>2690609658.4899998</v>
      </c>
      <c r="AH1636">
        <v>0.349908</v>
      </c>
      <c r="AI1636">
        <v>3.7530000000000001E-2</v>
      </c>
    </row>
    <row r="1637" spans="13:35" x14ac:dyDescent="0.35">
      <c r="M1637" t="s">
        <v>0</v>
      </c>
      <c r="N1637">
        <v>5250</v>
      </c>
      <c r="O1637">
        <v>6</v>
      </c>
      <c r="P1637">
        <v>1440</v>
      </c>
      <c r="Q1637">
        <v>0</v>
      </c>
      <c r="R1637">
        <v>52977187165</v>
      </c>
      <c r="S1637">
        <v>63376416.030000001</v>
      </c>
      <c r="T1637">
        <v>52773028469.660004</v>
      </c>
      <c r="U1637">
        <v>52913810748.970001</v>
      </c>
      <c r="V1637">
        <v>3.1426999999999997E-2</v>
      </c>
      <c r="W1637">
        <v>0</v>
      </c>
      <c r="Y1637" t="s">
        <v>2</v>
      </c>
      <c r="Z1637">
        <v>7250</v>
      </c>
      <c r="AA1637">
        <v>8</v>
      </c>
      <c r="AB1637">
        <v>256</v>
      </c>
      <c r="AC1637">
        <v>0</v>
      </c>
      <c r="AD1637">
        <v>3888553179</v>
      </c>
      <c r="AE1637">
        <v>3256464.82</v>
      </c>
      <c r="AF1637">
        <v>3857143290.4299998</v>
      </c>
      <c r="AG1637">
        <v>3885296714.1799998</v>
      </c>
      <c r="AH1637">
        <v>8.3502999999999994E-2</v>
      </c>
      <c r="AI1637">
        <v>0</v>
      </c>
    </row>
    <row r="1638" spans="13:35" x14ac:dyDescent="0.35">
      <c r="M1638" t="s">
        <v>2</v>
      </c>
      <c r="N1638">
        <v>7000</v>
      </c>
      <c r="O1638">
        <v>6</v>
      </c>
      <c r="P1638">
        <v>159</v>
      </c>
      <c r="Q1638">
        <v>0</v>
      </c>
      <c r="R1638">
        <v>2465117812</v>
      </c>
      <c r="S1638">
        <v>2140771.9300000002</v>
      </c>
      <c r="T1638">
        <v>2443395382.02</v>
      </c>
      <c r="U1638">
        <v>2462977040.0700002</v>
      </c>
      <c r="V1638">
        <v>9.1266E-2</v>
      </c>
      <c r="W1638">
        <v>0</v>
      </c>
      <c r="Y1638" t="s">
        <v>1</v>
      </c>
      <c r="Z1638">
        <v>7750</v>
      </c>
      <c r="AA1638">
        <v>10</v>
      </c>
      <c r="AB1638">
        <v>196</v>
      </c>
      <c r="AC1638">
        <v>0</v>
      </c>
      <c r="AD1638">
        <v>5408978062</v>
      </c>
      <c r="AE1638">
        <v>4130741</v>
      </c>
      <c r="AF1638">
        <v>4966538894.4700003</v>
      </c>
      <c r="AG1638">
        <v>5291451931.75</v>
      </c>
      <c r="AH1638">
        <v>0.63725900000000002</v>
      </c>
      <c r="AI1638">
        <v>0.224499</v>
      </c>
    </row>
    <row r="1639" spans="13:35" x14ac:dyDescent="0.35">
      <c r="M1639" t="s">
        <v>3</v>
      </c>
      <c r="N1639">
        <v>6000</v>
      </c>
      <c r="O1639">
        <v>9</v>
      </c>
      <c r="P1639">
        <v>10</v>
      </c>
      <c r="Q1639">
        <v>0</v>
      </c>
      <c r="R1639">
        <v>307584950</v>
      </c>
      <c r="S1639">
        <v>326512.46000000002</v>
      </c>
      <c r="T1639">
        <v>307258437.54000002</v>
      </c>
      <c r="U1639">
        <v>307258437.54000002</v>
      </c>
      <c r="V1639">
        <v>0</v>
      </c>
      <c r="W1639">
        <v>0</v>
      </c>
      <c r="Y1639" t="s">
        <v>3</v>
      </c>
      <c r="Z1639">
        <v>5500</v>
      </c>
      <c r="AA1639">
        <v>12</v>
      </c>
      <c r="AB1639">
        <v>6</v>
      </c>
      <c r="AC1639">
        <v>0</v>
      </c>
      <c r="AD1639">
        <v>136715573</v>
      </c>
      <c r="AE1639">
        <v>161103.91</v>
      </c>
      <c r="AF1639">
        <v>136554469.09</v>
      </c>
      <c r="AG1639">
        <v>136554469.09</v>
      </c>
      <c r="AH1639">
        <v>0</v>
      </c>
      <c r="AI1639">
        <v>0</v>
      </c>
    </row>
    <row r="1640" spans="13:35" x14ac:dyDescent="0.35">
      <c r="M1640" t="s">
        <v>3</v>
      </c>
      <c r="N1640">
        <v>6500</v>
      </c>
      <c r="O1640">
        <v>10</v>
      </c>
      <c r="P1640">
        <v>41</v>
      </c>
      <c r="Q1640">
        <v>0</v>
      </c>
      <c r="R1640">
        <v>1288709582</v>
      </c>
      <c r="S1640">
        <v>1256419.72</v>
      </c>
      <c r="T1640">
        <v>1287453162.28</v>
      </c>
      <c r="U1640">
        <v>1287453162.28</v>
      </c>
      <c r="V1640">
        <v>0</v>
      </c>
      <c r="W1640">
        <v>0</v>
      </c>
      <c r="Y1640" t="s">
        <v>3</v>
      </c>
      <c r="Z1640">
        <v>7000</v>
      </c>
      <c r="AA1640">
        <v>8</v>
      </c>
      <c r="AB1640">
        <v>7</v>
      </c>
      <c r="AC1640">
        <v>0</v>
      </c>
      <c r="AD1640">
        <v>121667626</v>
      </c>
      <c r="AE1640">
        <v>106889.2</v>
      </c>
      <c r="AF1640">
        <v>121560736.8</v>
      </c>
      <c r="AG1640">
        <v>121560736.8</v>
      </c>
      <c r="AH1640">
        <v>0</v>
      </c>
      <c r="AI1640">
        <v>0</v>
      </c>
    </row>
    <row r="1641" spans="13:35" x14ac:dyDescent="0.35">
      <c r="M1641" t="s">
        <v>0</v>
      </c>
      <c r="N1641">
        <v>8250</v>
      </c>
      <c r="O1641">
        <v>10</v>
      </c>
      <c r="P1641">
        <v>97</v>
      </c>
      <c r="Q1641">
        <v>0</v>
      </c>
      <c r="R1641">
        <v>2881607784</v>
      </c>
      <c r="S1641">
        <v>2004366.86</v>
      </c>
      <c r="T1641">
        <v>2829139461.8400002</v>
      </c>
      <c r="U1641">
        <v>2857467795.9000001</v>
      </c>
      <c r="V1641">
        <v>0.19104399999999999</v>
      </c>
      <c r="W1641">
        <v>8.8384000000000004E-2</v>
      </c>
      <c r="Y1641" t="s">
        <v>3</v>
      </c>
      <c r="Z1641">
        <v>6750</v>
      </c>
      <c r="AA1641">
        <v>9</v>
      </c>
      <c r="AB1641">
        <v>32</v>
      </c>
      <c r="AC1641">
        <v>0</v>
      </c>
      <c r="AD1641">
        <v>908465926</v>
      </c>
      <c r="AE1641">
        <v>837306.69</v>
      </c>
      <c r="AF1641">
        <v>907628619.30999994</v>
      </c>
      <c r="AG1641">
        <v>907628619.30999994</v>
      </c>
      <c r="AH1641">
        <v>0</v>
      </c>
      <c r="AI1641">
        <v>0</v>
      </c>
    </row>
    <row r="1642" spans="13:35" x14ac:dyDescent="0.35">
      <c r="M1642" t="s">
        <v>2</v>
      </c>
      <c r="N1642">
        <v>5500</v>
      </c>
      <c r="O1642">
        <v>9</v>
      </c>
      <c r="P1642">
        <v>38</v>
      </c>
      <c r="Q1642">
        <v>0</v>
      </c>
      <c r="R1642">
        <v>961469768</v>
      </c>
      <c r="S1642">
        <v>1114922.25</v>
      </c>
      <c r="T1642">
        <v>947914590.74000001</v>
      </c>
      <c r="U1642">
        <v>960354845.75</v>
      </c>
      <c r="V1642">
        <v>0.144679</v>
      </c>
      <c r="W1642">
        <v>0</v>
      </c>
      <c r="Y1642" t="s">
        <v>3</v>
      </c>
      <c r="Z1642">
        <v>6750</v>
      </c>
      <c r="AA1642">
        <v>10</v>
      </c>
      <c r="AB1642">
        <v>28</v>
      </c>
      <c r="AC1642">
        <v>0</v>
      </c>
      <c r="AD1642">
        <v>839407750</v>
      </c>
      <c r="AE1642">
        <v>779116.82</v>
      </c>
      <c r="AF1642">
        <v>838628633.17999995</v>
      </c>
      <c r="AG1642">
        <v>838628633.17999995</v>
      </c>
      <c r="AH1642">
        <v>0</v>
      </c>
      <c r="AI1642">
        <v>0</v>
      </c>
    </row>
    <row r="1643" spans="13:35" x14ac:dyDescent="0.35">
      <c r="M1643" t="s">
        <v>2</v>
      </c>
      <c r="N1643">
        <v>7750</v>
      </c>
      <c r="O1643">
        <v>9</v>
      </c>
      <c r="P1643">
        <v>9</v>
      </c>
      <c r="Q1643">
        <v>0</v>
      </c>
      <c r="R1643">
        <v>157606590</v>
      </c>
      <c r="S1643">
        <v>120967.24</v>
      </c>
      <c r="T1643">
        <v>157485622.75999999</v>
      </c>
      <c r="U1643">
        <v>157485622.75999999</v>
      </c>
      <c r="V1643">
        <v>0</v>
      </c>
      <c r="W1643">
        <v>0</v>
      </c>
      <c r="Y1643" t="s">
        <v>3</v>
      </c>
      <c r="Z1643">
        <v>5500</v>
      </c>
      <c r="AA1643">
        <v>14</v>
      </c>
      <c r="AB1643">
        <v>7</v>
      </c>
      <c r="AC1643">
        <v>0</v>
      </c>
      <c r="AD1643">
        <v>195694515</v>
      </c>
      <c r="AE1643">
        <v>232573.87</v>
      </c>
      <c r="AF1643">
        <v>195461941.13</v>
      </c>
      <c r="AG1643">
        <v>195461941.13</v>
      </c>
      <c r="AH1643">
        <v>0</v>
      </c>
      <c r="AI1643">
        <v>0</v>
      </c>
    </row>
    <row r="1644" spans="13:35" x14ac:dyDescent="0.35">
      <c r="M1644" t="s">
        <v>0</v>
      </c>
      <c r="N1644">
        <v>8250</v>
      </c>
      <c r="O1644">
        <v>9</v>
      </c>
      <c r="P1644">
        <v>120</v>
      </c>
      <c r="Q1644">
        <v>0</v>
      </c>
      <c r="R1644">
        <v>3833611963</v>
      </c>
      <c r="S1644">
        <v>2641071.6</v>
      </c>
      <c r="T1644">
        <v>3791990482.9099998</v>
      </c>
      <c r="U1644">
        <v>3830970891.4000001</v>
      </c>
      <c r="V1644">
        <v>0.11541899999999999</v>
      </c>
      <c r="W1644">
        <v>0</v>
      </c>
      <c r="Y1644" t="s">
        <v>2</v>
      </c>
      <c r="Z1644">
        <v>7500</v>
      </c>
      <c r="AA1644">
        <v>12</v>
      </c>
      <c r="AB1644">
        <v>75</v>
      </c>
      <c r="AC1644">
        <v>0</v>
      </c>
      <c r="AD1644">
        <v>1094723011</v>
      </c>
      <c r="AE1644">
        <v>896791.66</v>
      </c>
      <c r="AF1644">
        <v>1032073595.47</v>
      </c>
      <c r="AG1644">
        <v>1046113982.52</v>
      </c>
      <c r="AH1644">
        <v>0.50180000000000002</v>
      </c>
      <c r="AI1644">
        <v>0.41418199999999999</v>
      </c>
    </row>
    <row r="1645" spans="13:35" x14ac:dyDescent="0.35">
      <c r="M1645" t="s">
        <v>0</v>
      </c>
      <c r="N1645">
        <v>9000</v>
      </c>
      <c r="O1645">
        <v>9</v>
      </c>
      <c r="P1645">
        <v>2</v>
      </c>
      <c r="Q1645">
        <v>0</v>
      </c>
      <c r="R1645">
        <v>54654600</v>
      </c>
      <c r="S1645">
        <v>33749.57</v>
      </c>
      <c r="T1645">
        <v>54620850.43</v>
      </c>
      <c r="U1645">
        <v>54620850.43</v>
      </c>
      <c r="V1645">
        <v>0</v>
      </c>
      <c r="W1645">
        <v>0</v>
      </c>
      <c r="Y1645" t="s">
        <v>0</v>
      </c>
      <c r="Z1645">
        <v>7750</v>
      </c>
      <c r="AA1645">
        <v>6</v>
      </c>
      <c r="AB1645">
        <v>944</v>
      </c>
      <c r="AC1645">
        <v>0</v>
      </c>
      <c r="AD1645">
        <v>25372572588</v>
      </c>
      <c r="AE1645">
        <v>18871816.309999999</v>
      </c>
      <c r="AF1645">
        <v>23822901018.759998</v>
      </c>
      <c r="AG1645">
        <v>25346705877.790001</v>
      </c>
      <c r="AH1645">
        <v>0.52609799999999995</v>
      </c>
      <c r="AI1645">
        <v>3.3029999999999999E-3</v>
      </c>
    </row>
    <row r="1646" spans="13:35" x14ac:dyDescent="0.35">
      <c r="M1646" t="s">
        <v>0</v>
      </c>
      <c r="N1646">
        <v>8500</v>
      </c>
      <c r="O1646">
        <v>9</v>
      </c>
      <c r="P1646">
        <v>2</v>
      </c>
      <c r="Q1646">
        <v>0</v>
      </c>
      <c r="R1646">
        <v>57559166</v>
      </c>
      <c r="S1646">
        <v>38307.56</v>
      </c>
      <c r="T1646">
        <v>57520858.439999998</v>
      </c>
      <c r="U1646">
        <v>57520858.439999998</v>
      </c>
      <c r="V1646">
        <v>0</v>
      </c>
      <c r="W1646">
        <v>0</v>
      </c>
      <c r="Y1646" t="s">
        <v>2</v>
      </c>
      <c r="Z1646">
        <v>7750</v>
      </c>
      <c r="AA1646">
        <v>10</v>
      </c>
      <c r="AB1646">
        <v>12</v>
      </c>
      <c r="AC1646">
        <v>0</v>
      </c>
      <c r="AD1646">
        <v>153693285</v>
      </c>
      <c r="AE1646">
        <v>118975.44</v>
      </c>
      <c r="AF1646">
        <v>133542506.06</v>
      </c>
      <c r="AG1646">
        <v>153574309.56</v>
      </c>
      <c r="AH1646">
        <v>0.81283799999999995</v>
      </c>
      <c r="AI1646">
        <v>0</v>
      </c>
    </row>
    <row r="1647" spans="13:35" x14ac:dyDescent="0.35">
      <c r="M1647" t="s">
        <v>1</v>
      </c>
      <c r="N1647">
        <v>4750</v>
      </c>
      <c r="O1647">
        <v>10</v>
      </c>
      <c r="P1647">
        <v>319</v>
      </c>
      <c r="Q1647">
        <v>0</v>
      </c>
      <c r="R1647">
        <v>12508371843</v>
      </c>
      <c r="S1647">
        <v>16695866.76</v>
      </c>
      <c r="T1647">
        <v>12491659516.58</v>
      </c>
      <c r="U1647">
        <v>12491675976.24</v>
      </c>
      <c r="V1647">
        <v>1.5999999999999999E-5</v>
      </c>
      <c r="W1647">
        <v>0</v>
      </c>
      <c r="Y1647" t="s">
        <v>2</v>
      </c>
      <c r="Z1647">
        <v>7750</v>
      </c>
      <c r="AA1647">
        <v>9</v>
      </c>
      <c r="AB1647">
        <v>8</v>
      </c>
      <c r="AC1647">
        <v>0</v>
      </c>
      <c r="AD1647">
        <v>140181817</v>
      </c>
      <c r="AE1647">
        <v>107354.37</v>
      </c>
      <c r="AF1647">
        <v>113396025.81999999</v>
      </c>
      <c r="AG1647">
        <v>113396025.81999999</v>
      </c>
      <c r="AH1647">
        <v>0.92060299999999995</v>
      </c>
      <c r="AI1647">
        <v>0.92060299999999995</v>
      </c>
    </row>
    <row r="1648" spans="13:35" x14ac:dyDescent="0.35">
      <c r="M1648" t="s">
        <v>2</v>
      </c>
      <c r="N1648">
        <v>4750</v>
      </c>
      <c r="O1648">
        <v>10</v>
      </c>
      <c r="P1648">
        <v>19</v>
      </c>
      <c r="Q1648">
        <v>0</v>
      </c>
      <c r="R1648">
        <v>443343512</v>
      </c>
      <c r="S1648">
        <v>592126.05000000005</v>
      </c>
      <c r="T1648">
        <v>442751385.94999999</v>
      </c>
      <c r="U1648">
        <v>442751385.94999999</v>
      </c>
      <c r="V1648">
        <v>0</v>
      </c>
      <c r="W1648">
        <v>0</v>
      </c>
      <c r="Y1648" t="s">
        <v>1</v>
      </c>
      <c r="Z1648">
        <v>7250</v>
      </c>
      <c r="AA1648">
        <v>7</v>
      </c>
      <c r="AB1648">
        <v>1744</v>
      </c>
      <c r="AC1648">
        <v>0</v>
      </c>
      <c r="AD1648">
        <v>53917019811</v>
      </c>
      <c r="AE1648">
        <v>45072164.340000004</v>
      </c>
      <c r="AF1648">
        <v>31737756868.790001</v>
      </c>
      <c r="AG1648">
        <v>53745105127.489998</v>
      </c>
      <c r="AH1648">
        <v>0.99824000000000002</v>
      </c>
      <c r="AI1648">
        <v>2.7868E-2</v>
      </c>
    </row>
    <row r="1649" spans="13:35" x14ac:dyDescent="0.35">
      <c r="M1649" t="s">
        <v>2</v>
      </c>
      <c r="N1649">
        <v>5250</v>
      </c>
      <c r="O1649">
        <v>10</v>
      </c>
      <c r="P1649">
        <v>23</v>
      </c>
      <c r="Q1649">
        <v>0</v>
      </c>
      <c r="R1649">
        <v>559991371</v>
      </c>
      <c r="S1649">
        <v>683325.58</v>
      </c>
      <c r="T1649">
        <v>559308045.41999996</v>
      </c>
      <c r="U1649">
        <v>559308045.41999996</v>
      </c>
      <c r="V1649">
        <v>0</v>
      </c>
      <c r="W1649">
        <v>0</v>
      </c>
      <c r="Y1649" t="s">
        <v>2</v>
      </c>
      <c r="Z1649">
        <v>7250</v>
      </c>
      <c r="AA1649">
        <v>7</v>
      </c>
      <c r="AB1649">
        <v>322</v>
      </c>
      <c r="AC1649">
        <v>0</v>
      </c>
      <c r="AD1649">
        <v>4945086381</v>
      </c>
      <c r="AE1649">
        <v>4122317.4</v>
      </c>
      <c r="AF1649">
        <v>4940964063.6000004</v>
      </c>
      <c r="AG1649">
        <v>4940964063.6000004</v>
      </c>
      <c r="AH1649">
        <v>0</v>
      </c>
      <c r="AI1649">
        <v>0</v>
      </c>
    </row>
    <row r="1650" spans="13:35" x14ac:dyDescent="0.35">
      <c r="M1650" t="s">
        <v>0</v>
      </c>
      <c r="N1650">
        <v>4750</v>
      </c>
      <c r="O1650">
        <v>9</v>
      </c>
      <c r="P1650">
        <v>788</v>
      </c>
      <c r="Q1650">
        <v>0</v>
      </c>
      <c r="R1650">
        <v>26024573228</v>
      </c>
      <c r="S1650">
        <v>34506757.380000003</v>
      </c>
      <c r="T1650">
        <v>25990066470.619999</v>
      </c>
      <c r="U1650">
        <v>25990066470.619999</v>
      </c>
      <c r="V1650">
        <v>0</v>
      </c>
      <c r="W1650">
        <v>0</v>
      </c>
      <c r="Y1650" t="s">
        <v>3</v>
      </c>
      <c r="Z1650">
        <v>6500</v>
      </c>
      <c r="AA1650">
        <v>7</v>
      </c>
      <c r="AB1650">
        <v>37</v>
      </c>
      <c r="AC1650">
        <v>0</v>
      </c>
      <c r="AD1650">
        <v>1069928950</v>
      </c>
      <c r="AE1650">
        <v>1019793.3</v>
      </c>
      <c r="AF1650">
        <v>1068909156.7</v>
      </c>
      <c r="AG1650">
        <v>1068909156.7</v>
      </c>
      <c r="AH1650">
        <v>0</v>
      </c>
      <c r="AI1650">
        <v>0</v>
      </c>
    </row>
    <row r="1651" spans="13:35" x14ac:dyDescent="0.35">
      <c r="M1651" t="s">
        <v>2</v>
      </c>
      <c r="N1651">
        <v>4750</v>
      </c>
      <c r="O1651">
        <v>9</v>
      </c>
      <c r="P1651">
        <v>17</v>
      </c>
      <c r="Q1651">
        <v>0</v>
      </c>
      <c r="R1651">
        <v>439974016</v>
      </c>
      <c r="S1651">
        <v>584518.43999999994</v>
      </c>
      <c r="T1651">
        <v>439389497.56</v>
      </c>
      <c r="U1651">
        <v>439389497.56</v>
      </c>
      <c r="V1651">
        <v>0</v>
      </c>
      <c r="W1651">
        <v>0</v>
      </c>
      <c r="Y1651" t="s">
        <v>0</v>
      </c>
      <c r="Z1651">
        <v>4750</v>
      </c>
      <c r="AA1651">
        <v>7</v>
      </c>
      <c r="AB1651">
        <v>798</v>
      </c>
      <c r="AC1651">
        <v>0</v>
      </c>
      <c r="AD1651">
        <v>25769184390</v>
      </c>
      <c r="AE1651">
        <v>33852095.270000003</v>
      </c>
      <c r="AF1651">
        <v>25708973339.400002</v>
      </c>
      <c r="AG1651">
        <v>25708973339.400002</v>
      </c>
      <c r="AH1651">
        <v>1.2206E-2</v>
      </c>
      <c r="AI1651">
        <v>1.2206E-2</v>
      </c>
    </row>
    <row r="1652" spans="13:35" x14ac:dyDescent="0.35">
      <c r="M1652" t="s">
        <v>1</v>
      </c>
      <c r="N1652">
        <v>4750</v>
      </c>
      <c r="O1652">
        <v>9</v>
      </c>
      <c r="P1652">
        <v>255</v>
      </c>
      <c r="Q1652">
        <v>0</v>
      </c>
      <c r="R1652">
        <v>10301002468</v>
      </c>
      <c r="S1652">
        <v>13674391.24</v>
      </c>
      <c r="T1652">
        <v>10254464760.77</v>
      </c>
      <c r="U1652">
        <v>10287328076.76</v>
      </c>
      <c r="V1652">
        <v>3.7619E-2</v>
      </c>
      <c r="W1652">
        <v>0</v>
      </c>
      <c r="Y1652" t="s">
        <v>1</v>
      </c>
      <c r="Z1652">
        <v>4750</v>
      </c>
      <c r="AA1652">
        <v>6</v>
      </c>
      <c r="AB1652">
        <v>292</v>
      </c>
      <c r="AC1652">
        <v>0</v>
      </c>
      <c r="AD1652">
        <v>11320556430</v>
      </c>
      <c r="AE1652">
        <v>14815026.75</v>
      </c>
      <c r="AF1652">
        <v>11275585810.15</v>
      </c>
      <c r="AG1652">
        <v>11305741403.25</v>
      </c>
      <c r="AH1652">
        <v>3.1501000000000001E-2</v>
      </c>
      <c r="AI1652">
        <v>0</v>
      </c>
    </row>
    <row r="1653" spans="13:35" x14ac:dyDescent="0.35">
      <c r="M1653" t="s">
        <v>2</v>
      </c>
      <c r="N1653">
        <v>5250</v>
      </c>
      <c r="O1653">
        <v>8</v>
      </c>
      <c r="P1653">
        <v>10</v>
      </c>
      <c r="Q1653">
        <v>0</v>
      </c>
      <c r="R1653">
        <v>241449964</v>
      </c>
      <c r="S1653">
        <v>292640.82</v>
      </c>
      <c r="T1653">
        <v>241157323.18000001</v>
      </c>
      <c r="U1653">
        <v>241157323.18000001</v>
      </c>
      <c r="V1653">
        <v>0</v>
      </c>
      <c r="W1653">
        <v>0</v>
      </c>
      <c r="Y1653" t="s">
        <v>2</v>
      </c>
      <c r="Z1653">
        <v>4750</v>
      </c>
      <c r="AA1653">
        <v>7</v>
      </c>
      <c r="AB1653">
        <v>18</v>
      </c>
      <c r="AC1653">
        <v>0</v>
      </c>
      <c r="AD1653">
        <v>453365401</v>
      </c>
      <c r="AE1653">
        <v>605619.11</v>
      </c>
      <c r="AF1653">
        <v>452759781.88999999</v>
      </c>
      <c r="AG1653">
        <v>452759781.88999999</v>
      </c>
      <c r="AH1653">
        <v>0</v>
      </c>
      <c r="AI1653">
        <v>0</v>
      </c>
    </row>
    <row r="1654" spans="13:35" x14ac:dyDescent="0.35">
      <c r="M1654" t="s">
        <v>2</v>
      </c>
      <c r="N1654">
        <v>5250</v>
      </c>
      <c r="O1654">
        <v>7</v>
      </c>
      <c r="P1654">
        <v>23</v>
      </c>
      <c r="Q1654">
        <v>0</v>
      </c>
      <c r="R1654">
        <v>536899369</v>
      </c>
      <c r="S1654">
        <v>644835.74</v>
      </c>
      <c r="T1654">
        <v>536254533.25999999</v>
      </c>
      <c r="U1654">
        <v>536254533.25999999</v>
      </c>
      <c r="V1654">
        <v>0</v>
      </c>
      <c r="W1654">
        <v>0</v>
      </c>
      <c r="Y1654" t="s">
        <v>1</v>
      </c>
      <c r="Z1654">
        <v>4750</v>
      </c>
      <c r="AA1654">
        <v>7</v>
      </c>
      <c r="AB1654">
        <v>282</v>
      </c>
      <c r="AC1654">
        <v>0</v>
      </c>
      <c r="AD1654">
        <v>10609100507</v>
      </c>
      <c r="AE1654">
        <v>13935836.199999999</v>
      </c>
      <c r="AF1654">
        <v>10552389327.879999</v>
      </c>
      <c r="AG1654">
        <v>10595164670.799999</v>
      </c>
      <c r="AH1654">
        <v>4.7324999999999999E-2</v>
      </c>
      <c r="AI1654">
        <v>0</v>
      </c>
    </row>
    <row r="1655" spans="13:35" x14ac:dyDescent="0.35">
      <c r="M1655" t="s">
        <v>0</v>
      </c>
      <c r="N1655">
        <v>4750</v>
      </c>
      <c r="O1655">
        <v>6</v>
      </c>
      <c r="P1655">
        <v>723</v>
      </c>
      <c r="Q1655">
        <v>0</v>
      </c>
      <c r="R1655">
        <v>24243377398</v>
      </c>
      <c r="S1655">
        <v>31683595.629999999</v>
      </c>
      <c r="T1655">
        <v>24176709599.450001</v>
      </c>
      <c r="U1655">
        <v>24211693802.369999</v>
      </c>
      <c r="V1655">
        <v>1.7180000000000001E-2</v>
      </c>
      <c r="W1655">
        <v>0</v>
      </c>
      <c r="Y1655" t="s">
        <v>1</v>
      </c>
      <c r="Z1655">
        <v>7500</v>
      </c>
      <c r="AA1655">
        <v>7</v>
      </c>
      <c r="AB1655">
        <v>241</v>
      </c>
      <c r="AC1655">
        <v>0</v>
      </c>
      <c r="AD1655">
        <v>7547592453</v>
      </c>
      <c r="AE1655">
        <v>5974917.8300000001</v>
      </c>
      <c r="AF1655">
        <v>3133639593.8200002</v>
      </c>
      <c r="AG1655">
        <v>7541617535.1700001</v>
      </c>
      <c r="AH1655">
        <v>0.999973</v>
      </c>
      <c r="AI1655">
        <v>0</v>
      </c>
    </row>
    <row r="1656" spans="13:35" x14ac:dyDescent="0.35">
      <c r="M1656" t="s">
        <v>2</v>
      </c>
      <c r="N1656">
        <v>4750</v>
      </c>
      <c r="O1656">
        <v>6</v>
      </c>
      <c r="P1656">
        <v>16</v>
      </c>
      <c r="Q1656">
        <v>0</v>
      </c>
      <c r="R1656">
        <v>369696408</v>
      </c>
      <c r="S1656">
        <v>482905.39</v>
      </c>
      <c r="T1656">
        <v>369213502.61000001</v>
      </c>
      <c r="U1656">
        <v>369213502.61000001</v>
      </c>
      <c r="V1656">
        <v>0</v>
      </c>
      <c r="W1656">
        <v>0</v>
      </c>
      <c r="Y1656" t="s">
        <v>3</v>
      </c>
      <c r="Z1656">
        <v>7250</v>
      </c>
      <c r="AA1656">
        <v>7</v>
      </c>
      <c r="AB1656">
        <v>4</v>
      </c>
      <c r="AC1656">
        <v>0</v>
      </c>
      <c r="AD1656">
        <v>140542500</v>
      </c>
      <c r="AE1656">
        <v>115665.82</v>
      </c>
      <c r="AF1656">
        <v>140426834.18000001</v>
      </c>
      <c r="AG1656">
        <v>140426834.18000001</v>
      </c>
      <c r="AH1656">
        <v>0</v>
      </c>
      <c r="AI1656">
        <v>0</v>
      </c>
    </row>
    <row r="1657" spans="13:35" x14ac:dyDescent="0.35">
      <c r="M1657" t="s">
        <v>2</v>
      </c>
      <c r="N1657">
        <v>5250</v>
      </c>
      <c r="O1657">
        <v>6</v>
      </c>
      <c r="P1657">
        <v>30</v>
      </c>
      <c r="Q1657">
        <v>0</v>
      </c>
      <c r="R1657">
        <v>755961110</v>
      </c>
      <c r="S1657">
        <v>899866.36</v>
      </c>
      <c r="T1657">
        <v>755061243.63999999</v>
      </c>
      <c r="U1657">
        <v>755061243.63999999</v>
      </c>
      <c r="V1657">
        <v>0</v>
      </c>
      <c r="W1657">
        <v>0</v>
      </c>
      <c r="Y1657" t="s">
        <v>1</v>
      </c>
      <c r="Z1657">
        <v>7500</v>
      </c>
      <c r="AA1657">
        <v>8</v>
      </c>
      <c r="AB1657">
        <v>230</v>
      </c>
      <c r="AC1657">
        <v>0</v>
      </c>
      <c r="AD1657">
        <v>6523288540</v>
      </c>
      <c r="AE1657">
        <v>5249907.28</v>
      </c>
      <c r="AF1657">
        <v>5338824397.7299995</v>
      </c>
      <c r="AG1657">
        <v>6383780466.6400003</v>
      </c>
      <c r="AH1657">
        <v>0.90861599999999998</v>
      </c>
      <c r="AI1657">
        <v>0.22085099999999999</v>
      </c>
    </row>
    <row r="1658" spans="13:35" x14ac:dyDescent="0.35">
      <c r="M1658" t="s">
        <v>1</v>
      </c>
      <c r="N1658">
        <v>5250</v>
      </c>
      <c r="O1658">
        <v>6</v>
      </c>
      <c r="P1658">
        <v>2042</v>
      </c>
      <c r="Q1658">
        <v>0</v>
      </c>
      <c r="R1658">
        <v>94780112289</v>
      </c>
      <c r="S1658">
        <v>112993323.73999999</v>
      </c>
      <c r="T1658">
        <v>94295670734.949997</v>
      </c>
      <c r="U1658">
        <v>94667118965.259995</v>
      </c>
      <c r="V1658">
        <v>4.6027999999999999E-2</v>
      </c>
      <c r="W1658">
        <v>0</v>
      </c>
      <c r="Y1658" t="s">
        <v>3</v>
      </c>
      <c r="Z1658">
        <v>7000</v>
      </c>
      <c r="AA1658">
        <v>9</v>
      </c>
      <c r="AB1658">
        <v>8</v>
      </c>
      <c r="AC1658">
        <v>0</v>
      </c>
      <c r="AD1658">
        <v>239066943</v>
      </c>
      <c r="AE1658">
        <v>211218.59</v>
      </c>
      <c r="AF1658">
        <v>238855724.41</v>
      </c>
      <c r="AG1658">
        <v>238855724.41</v>
      </c>
      <c r="AH1658">
        <v>0</v>
      </c>
      <c r="AI1658">
        <v>0</v>
      </c>
    </row>
    <row r="1659" spans="13:35" x14ac:dyDescent="0.35">
      <c r="M1659" t="s">
        <v>0</v>
      </c>
      <c r="N1659">
        <v>4750</v>
      </c>
      <c r="O1659">
        <v>5</v>
      </c>
      <c r="P1659">
        <v>6078</v>
      </c>
      <c r="Q1659">
        <v>0</v>
      </c>
      <c r="R1659">
        <v>208979300000</v>
      </c>
      <c r="S1659">
        <v>267280105.84999999</v>
      </c>
      <c r="T1659">
        <v>208650998800.35001</v>
      </c>
      <c r="U1659">
        <v>208712019894.14999</v>
      </c>
      <c r="V1659">
        <v>3.4979999999999998E-3</v>
      </c>
      <c r="W1659">
        <v>0</v>
      </c>
      <c r="Y1659" t="s">
        <v>1</v>
      </c>
      <c r="Z1659">
        <v>7500</v>
      </c>
      <c r="AA1659">
        <v>9</v>
      </c>
      <c r="AB1659">
        <v>113</v>
      </c>
      <c r="AC1659">
        <v>0</v>
      </c>
      <c r="AD1659">
        <v>3477930926</v>
      </c>
      <c r="AE1659">
        <v>2843229.98</v>
      </c>
      <c r="AF1659">
        <v>3082371331.8499999</v>
      </c>
      <c r="AG1659">
        <v>3420136833.02</v>
      </c>
      <c r="AH1659">
        <v>0.76254999999999995</v>
      </c>
      <c r="AI1659">
        <v>0.17396</v>
      </c>
    </row>
    <row r="1660" spans="13:35" x14ac:dyDescent="0.35">
      <c r="M1660" t="s">
        <v>2</v>
      </c>
      <c r="N1660">
        <v>4750</v>
      </c>
      <c r="O1660">
        <v>5</v>
      </c>
      <c r="P1660">
        <v>176</v>
      </c>
      <c r="Q1660">
        <v>0</v>
      </c>
      <c r="R1660">
        <v>4433700000</v>
      </c>
      <c r="S1660">
        <v>5638983.2999999998</v>
      </c>
      <c r="T1660">
        <v>4428061016.6999998</v>
      </c>
      <c r="U1660">
        <v>4428061016.6999998</v>
      </c>
      <c r="V1660">
        <v>0</v>
      </c>
      <c r="W1660">
        <v>0</v>
      </c>
      <c r="Y1660" t="s">
        <v>2</v>
      </c>
      <c r="Z1660">
        <v>7500</v>
      </c>
      <c r="AA1660">
        <v>9</v>
      </c>
      <c r="AB1660">
        <v>81</v>
      </c>
      <c r="AC1660">
        <v>0</v>
      </c>
      <c r="AD1660">
        <v>1193312500</v>
      </c>
      <c r="AE1660">
        <v>959900.38</v>
      </c>
      <c r="AF1660">
        <v>1192352599.6199999</v>
      </c>
      <c r="AG1660">
        <v>1192352599.6199999</v>
      </c>
      <c r="AH1660">
        <v>0</v>
      </c>
      <c r="AI1660">
        <v>0</v>
      </c>
    </row>
    <row r="1661" spans="13:35" x14ac:dyDescent="0.35">
      <c r="M1661" t="s">
        <v>3</v>
      </c>
      <c r="N1661">
        <v>6750</v>
      </c>
      <c r="O1661">
        <v>7</v>
      </c>
      <c r="P1661">
        <v>30</v>
      </c>
      <c r="Q1661">
        <v>0</v>
      </c>
      <c r="R1661">
        <v>807008515</v>
      </c>
      <c r="S1661">
        <v>736784.94</v>
      </c>
      <c r="T1661">
        <v>806271730.05999994</v>
      </c>
      <c r="U1661">
        <v>806271730.05999994</v>
      </c>
      <c r="V1661">
        <v>0</v>
      </c>
      <c r="W1661">
        <v>0</v>
      </c>
      <c r="Y1661" t="s">
        <v>3</v>
      </c>
      <c r="Z1661">
        <v>6000</v>
      </c>
      <c r="AA1661">
        <v>9</v>
      </c>
      <c r="AB1661">
        <v>14</v>
      </c>
      <c r="AC1661">
        <v>0</v>
      </c>
      <c r="AD1661">
        <v>401165356</v>
      </c>
      <c r="AE1661">
        <v>425628.23</v>
      </c>
      <c r="AF1661">
        <v>400739727.76999998</v>
      </c>
      <c r="AG1661">
        <v>400739727.76999998</v>
      </c>
      <c r="AH1661">
        <v>0</v>
      </c>
      <c r="AI1661">
        <v>0</v>
      </c>
    </row>
    <row r="1662" spans="13:35" x14ac:dyDescent="0.35">
      <c r="M1662" t="s">
        <v>2</v>
      </c>
      <c r="N1662">
        <v>7750</v>
      </c>
      <c r="O1662">
        <v>8</v>
      </c>
      <c r="P1662">
        <v>17</v>
      </c>
      <c r="Q1662">
        <v>0</v>
      </c>
      <c r="R1662">
        <v>247700989</v>
      </c>
      <c r="S1662">
        <v>188264.18</v>
      </c>
      <c r="T1662">
        <v>247512724.81999999</v>
      </c>
      <c r="U1662">
        <v>247512724.81999999</v>
      </c>
      <c r="V1662">
        <v>0</v>
      </c>
      <c r="W1662">
        <v>0</v>
      </c>
      <c r="Y1662" t="s">
        <v>2</v>
      </c>
      <c r="Z1662">
        <v>7500</v>
      </c>
      <c r="AA1662">
        <v>10</v>
      </c>
      <c r="AB1662">
        <v>129</v>
      </c>
      <c r="AC1662">
        <v>0</v>
      </c>
      <c r="AD1662">
        <v>1804674548</v>
      </c>
      <c r="AE1662">
        <v>1455292.88</v>
      </c>
      <c r="AF1662">
        <v>1738615448.74</v>
      </c>
      <c r="AG1662">
        <v>1738615448.74</v>
      </c>
      <c r="AH1662">
        <v>0.35432200000000003</v>
      </c>
      <c r="AI1662">
        <v>0.35432200000000003</v>
      </c>
    </row>
    <row r="1663" spans="13:35" x14ac:dyDescent="0.35">
      <c r="M1663" t="s">
        <v>1</v>
      </c>
      <c r="N1663">
        <v>7750</v>
      </c>
      <c r="O1663">
        <v>8</v>
      </c>
      <c r="P1663">
        <v>297</v>
      </c>
      <c r="Q1663">
        <v>0</v>
      </c>
      <c r="R1663">
        <v>8846328877</v>
      </c>
      <c r="S1663">
        <v>6666507.6299999999</v>
      </c>
      <c r="T1663">
        <v>6757214256.4300003</v>
      </c>
      <c r="U1663">
        <v>8019901458.3599997</v>
      </c>
      <c r="V1663">
        <v>0.96008000000000004</v>
      </c>
      <c r="W1663">
        <v>0.68868399999999996</v>
      </c>
      <c r="Y1663" t="s">
        <v>3</v>
      </c>
      <c r="Z1663">
        <v>5750</v>
      </c>
      <c r="AA1663">
        <v>10</v>
      </c>
      <c r="AB1663">
        <v>9</v>
      </c>
      <c r="AC1663">
        <v>0</v>
      </c>
      <c r="AD1663">
        <v>225955472</v>
      </c>
      <c r="AE1663">
        <v>251531.78</v>
      </c>
      <c r="AF1663">
        <v>225703940.22</v>
      </c>
      <c r="AG1663">
        <v>225703940.22</v>
      </c>
      <c r="AH1663">
        <v>0</v>
      </c>
      <c r="AI1663">
        <v>0</v>
      </c>
    </row>
    <row r="1664" spans="13:35" x14ac:dyDescent="0.35">
      <c r="M1664" t="s">
        <v>1</v>
      </c>
      <c r="N1664">
        <v>8250</v>
      </c>
      <c r="O1664">
        <v>10</v>
      </c>
      <c r="P1664">
        <v>2</v>
      </c>
      <c r="Q1664">
        <v>0</v>
      </c>
      <c r="R1664">
        <v>53834462</v>
      </c>
      <c r="S1664">
        <v>37929.339999999997</v>
      </c>
      <c r="T1664">
        <v>30769233.100000001</v>
      </c>
      <c r="U1664">
        <v>53796532.659999996</v>
      </c>
      <c r="V1664">
        <v>0.99876699999999996</v>
      </c>
      <c r="W1664">
        <v>0</v>
      </c>
      <c r="Y1664" t="s">
        <v>3</v>
      </c>
      <c r="Z1664">
        <v>5500</v>
      </c>
      <c r="AA1664">
        <v>10</v>
      </c>
      <c r="AB1664">
        <v>6</v>
      </c>
      <c r="AC1664">
        <v>0</v>
      </c>
      <c r="AD1664">
        <v>126816929</v>
      </c>
      <c r="AE1664">
        <v>147869.6</v>
      </c>
      <c r="AF1664">
        <v>126669059.40000001</v>
      </c>
      <c r="AG1664">
        <v>126669059.40000001</v>
      </c>
      <c r="AH1664">
        <v>0</v>
      </c>
      <c r="AI1664">
        <v>0</v>
      </c>
    </row>
    <row r="1665" spans="13:35" x14ac:dyDescent="0.35">
      <c r="M1665" t="s">
        <v>1</v>
      </c>
      <c r="N1665">
        <v>8000</v>
      </c>
      <c r="O1665">
        <v>10</v>
      </c>
      <c r="P1665">
        <v>4</v>
      </c>
      <c r="Q1665">
        <v>0</v>
      </c>
      <c r="R1665">
        <v>177784280</v>
      </c>
      <c r="S1665">
        <v>131008.81</v>
      </c>
      <c r="T1665">
        <v>111661796.75</v>
      </c>
      <c r="U1665">
        <v>177653271.19</v>
      </c>
      <c r="V1665">
        <v>0.99617800000000001</v>
      </c>
      <c r="W1665">
        <v>0</v>
      </c>
      <c r="Y1665" t="s">
        <v>1</v>
      </c>
      <c r="Z1665">
        <v>7500</v>
      </c>
      <c r="AA1665">
        <v>10</v>
      </c>
      <c r="AB1665">
        <v>117</v>
      </c>
      <c r="AC1665">
        <v>0</v>
      </c>
      <c r="AD1665">
        <v>3296088675</v>
      </c>
      <c r="AE1665">
        <v>2665413.86</v>
      </c>
      <c r="AF1665">
        <v>2883077868.23</v>
      </c>
      <c r="AG1665">
        <v>3261000860.1799998</v>
      </c>
      <c r="AH1665">
        <v>0.79718199999999995</v>
      </c>
      <c r="AI1665">
        <v>0.111858</v>
      </c>
    </row>
    <row r="1666" spans="13:35" x14ac:dyDescent="0.35">
      <c r="M1666" t="s">
        <v>0</v>
      </c>
      <c r="N1666">
        <v>3750</v>
      </c>
      <c r="O1666">
        <v>14</v>
      </c>
      <c r="P1666">
        <v>125</v>
      </c>
      <c r="Q1666">
        <v>0</v>
      </c>
      <c r="R1666">
        <v>4011639072</v>
      </c>
      <c r="S1666">
        <v>6439482.2300000004</v>
      </c>
      <c r="T1666">
        <v>4005199589.77</v>
      </c>
      <c r="U1666">
        <v>4005199589.77</v>
      </c>
      <c r="V1666">
        <v>0</v>
      </c>
      <c r="W1666">
        <v>0</v>
      </c>
      <c r="Y1666" t="s">
        <v>1</v>
      </c>
      <c r="Z1666">
        <v>8250</v>
      </c>
      <c r="AA1666">
        <v>12</v>
      </c>
      <c r="AB1666">
        <v>4</v>
      </c>
      <c r="AC1666">
        <v>0</v>
      </c>
      <c r="AD1666">
        <v>105803655</v>
      </c>
      <c r="AE1666">
        <v>75357.39</v>
      </c>
      <c r="AF1666">
        <v>105728297.61</v>
      </c>
      <c r="AG1666">
        <v>105728297.61</v>
      </c>
      <c r="AH1666">
        <v>0</v>
      </c>
      <c r="AI1666">
        <v>0</v>
      </c>
    </row>
    <row r="1667" spans="13:35" x14ac:dyDescent="0.35">
      <c r="M1667" t="s">
        <v>0</v>
      </c>
      <c r="N1667">
        <v>4000</v>
      </c>
      <c r="O1667">
        <v>14</v>
      </c>
      <c r="P1667">
        <v>1510</v>
      </c>
      <c r="Q1667">
        <v>0</v>
      </c>
      <c r="R1667">
        <v>49101030147</v>
      </c>
      <c r="S1667">
        <v>75679245.310000002</v>
      </c>
      <c r="T1667">
        <v>49025350901.690002</v>
      </c>
      <c r="U1667">
        <v>49025350901.690002</v>
      </c>
      <c r="V1667">
        <v>0</v>
      </c>
      <c r="W1667">
        <v>0</v>
      </c>
      <c r="Y1667" t="s">
        <v>0</v>
      </c>
      <c r="Z1667">
        <v>8000</v>
      </c>
      <c r="AA1667">
        <v>10</v>
      </c>
      <c r="AB1667">
        <v>84</v>
      </c>
      <c r="AC1667">
        <v>0</v>
      </c>
      <c r="AD1667">
        <v>2710396758</v>
      </c>
      <c r="AE1667">
        <v>1994508.34</v>
      </c>
      <c r="AF1667">
        <v>2708402249.6599998</v>
      </c>
      <c r="AG1667">
        <v>2708402249.6599998</v>
      </c>
      <c r="AH1667">
        <v>0</v>
      </c>
      <c r="AI1667">
        <v>0</v>
      </c>
    </row>
    <row r="1668" spans="13:35" x14ac:dyDescent="0.35">
      <c r="M1668" t="s">
        <v>1</v>
      </c>
      <c r="N1668">
        <v>4000</v>
      </c>
      <c r="O1668">
        <v>12</v>
      </c>
      <c r="P1668">
        <v>429</v>
      </c>
      <c r="Q1668">
        <v>0</v>
      </c>
      <c r="R1668">
        <v>17079906721</v>
      </c>
      <c r="S1668">
        <v>26070982.789999999</v>
      </c>
      <c r="T1668">
        <v>17028505288.65</v>
      </c>
      <c r="U1668">
        <v>17028505288.65</v>
      </c>
      <c r="V1668">
        <v>1.7652000000000001E-2</v>
      </c>
      <c r="W1668">
        <v>1.7652000000000001E-2</v>
      </c>
      <c r="Y1668" t="s">
        <v>2</v>
      </c>
      <c r="Z1668">
        <v>7250</v>
      </c>
      <c r="AA1668">
        <v>6</v>
      </c>
      <c r="AB1668">
        <v>206</v>
      </c>
      <c r="AC1668">
        <v>0</v>
      </c>
      <c r="AD1668">
        <v>3025830242</v>
      </c>
      <c r="AE1668">
        <v>2506340.98</v>
      </c>
      <c r="AF1668">
        <v>2989186700.21</v>
      </c>
      <c r="AG1668">
        <v>3007468273.3000002</v>
      </c>
      <c r="AH1668">
        <v>0.12729099999999999</v>
      </c>
      <c r="AI1668">
        <v>6.1100000000000002E-2</v>
      </c>
    </row>
    <row r="1669" spans="13:35" x14ac:dyDescent="0.35">
      <c r="M1669" t="s">
        <v>2</v>
      </c>
      <c r="N1669">
        <v>4000</v>
      </c>
      <c r="O1669">
        <v>12</v>
      </c>
      <c r="P1669">
        <v>71</v>
      </c>
      <c r="Q1669">
        <v>0</v>
      </c>
      <c r="R1669">
        <v>1999080598</v>
      </c>
      <c r="S1669">
        <v>3047412.18</v>
      </c>
      <c r="T1669">
        <v>1996033185.8199999</v>
      </c>
      <c r="U1669">
        <v>1996033185.8199999</v>
      </c>
      <c r="V1669">
        <v>0</v>
      </c>
      <c r="W1669">
        <v>0</v>
      </c>
      <c r="Y1669" t="s">
        <v>2</v>
      </c>
      <c r="Z1669">
        <v>7000</v>
      </c>
      <c r="AA1669">
        <v>6</v>
      </c>
      <c r="AB1669">
        <v>301</v>
      </c>
      <c r="AC1669">
        <v>0</v>
      </c>
      <c r="AD1669">
        <v>5039906844</v>
      </c>
      <c r="AE1669">
        <v>4380178.54</v>
      </c>
      <c r="AF1669">
        <v>5035526665.46</v>
      </c>
      <c r="AG1669">
        <v>5035526665.46</v>
      </c>
      <c r="AH1669">
        <v>0</v>
      </c>
      <c r="AI1669">
        <v>0</v>
      </c>
    </row>
    <row r="1670" spans="13:35" x14ac:dyDescent="0.35">
      <c r="M1670" t="s">
        <v>0</v>
      </c>
      <c r="N1670">
        <v>4000</v>
      </c>
      <c r="O1670">
        <v>12</v>
      </c>
      <c r="P1670">
        <v>1539</v>
      </c>
      <c r="Q1670">
        <v>0</v>
      </c>
      <c r="R1670">
        <v>55245511445</v>
      </c>
      <c r="S1670">
        <v>84210423.469999999</v>
      </c>
      <c r="T1670">
        <v>55161301021.529999</v>
      </c>
      <c r="U1670">
        <v>55161301021.529999</v>
      </c>
      <c r="V1670">
        <v>0</v>
      </c>
      <c r="W1670">
        <v>0</v>
      </c>
      <c r="Y1670" t="s">
        <v>2</v>
      </c>
      <c r="Z1670">
        <v>7000</v>
      </c>
      <c r="AA1670">
        <v>5</v>
      </c>
      <c r="AB1670">
        <v>438</v>
      </c>
      <c r="AC1670">
        <v>0</v>
      </c>
      <c r="AD1670">
        <v>6727500000</v>
      </c>
      <c r="AE1670">
        <v>5707848.0300000003</v>
      </c>
      <c r="AF1670">
        <v>6721792151.9700003</v>
      </c>
      <c r="AG1670">
        <v>6721792151.9700003</v>
      </c>
      <c r="AH1670">
        <v>0</v>
      </c>
      <c r="AI1670">
        <v>0</v>
      </c>
    </row>
    <row r="1671" spans="13:35" x14ac:dyDescent="0.35">
      <c r="M1671" t="s">
        <v>1</v>
      </c>
      <c r="N1671">
        <v>8000</v>
      </c>
      <c r="O1671">
        <v>9</v>
      </c>
      <c r="P1671">
        <v>10</v>
      </c>
      <c r="Q1671">
        <v>0</v>
      </c>
      <c r="R1671">
        <v>214249202</v>
      </c>
      <c r="S1671">
        <v>155342.01</v>
      </c>
      <c r="T1671">
        <v>184697478.30000001</v>
      </c>
      <c r="U1671">
        <v>184697478.30000001</v>
      </c>
      <c r="V1671">
        <v>0.82982999999999996</v>
      </c>
      <c r="W1671">
        <v>0.82982999999999996</v>
      </c>
      <c r="Y1671" t="s">
        <v>3</v>
      </c>
      <c r="Z1671">
        <v>6000</v>
      </c>
      <c r="AA1671">
        <v>8</v>
      </c>
      <c r="AB1671">
        <v>10</v>
      </c>
      <c r="AC1671">
        <v>0</v>
      </c>
      <c r="AD1671">
        <v>307879241</v>
      </c>
      <c r="AE1671">
        <v>324870.99</v>
      </c>
      <c r="AF1671">
        <v>307554370.00999999</v>
      </c>
      <c r="AG1671">
        <v>307554370.00999999</v>
      </c>
      <c r="AH1671">
        <v>0</v>
      </c>
      <c r="AI1671">
        <v>0</v>
      </c>
    </row>
    <row r="1672" spans="13:35" x14ac:dyDescent="0.35">
      <c r="M1672" t="s">
        <v>1</v>
      </c>
      <c r="N1672">
        <v>8250</v>
      </c>
      <c r="O1672">
        <v>9</v>
      </c>
      <c r="P1672">
        <v>3</v>
      </c>
      <c r="Q1672">
        <v>0</v>
      </c>
      <c r="R1672">
        <v>85591173</v>
      </c>
      <c r="S1672">
        <v>59856.24</v>
      </c>
      <c r="T1672">
        <v>61703113.130000003</v>
      </c>
      <c r="U1672">
        <v>85531316.760000005</v>
      </c>
      <c r="V1672">
        <v>0.98006599999999999</v>
      </c>
      <c r="W1672">
        <v>0</v>
      </c>
      <c r="Y1672" t="s">
        <v>3</v>
      </c>
      <c r="Z1672">
        <v>6500</v>
      </c>
      <c r="AA1672">
        <v>9</v>
      </c>
      <c r="AB1672">
        <v>41</v>
      </c>
      <c r="AC1672">
        <v>0</v>
      </c>
      <c r="AD1672">
        <v>1290299398</v>
      </c>
      <c r="AE1672">
        <v>1250047.44</v>
      </c>
      <c r="AF1672">
        <v>1289049350.5599999</v>
      </c>
      <c r="AG1672">
        <v>1289049350.5599999</v>
      </c>
      <c r="AH1672">
        <v>0</v>
      </c>
      <c r="AI1672">
        <v>0</v>
      </c>
    </row>
    <row r="1673" spans="13:35" x14ac:dyDescent="0.35">
      <c r="M1673" t="s">
        <v>3</v>
      </c>
      <c r="N1673">
        <v>7250</v>
      </c>
      <c r="O1673">
        <v>12</v>
      </c>
      <c r="P1673">
        <v>3</v>
      </c>
      <c r="Q1673">
        <v>0</v>
      </c>
      <c r="R1673">
        <v>56969055</v>
      </c>
      <c r="S1673">
        <v>48936.15</v>
      </c>
      <c r="T1673">
        <v>56920118.850000001</v>
      </c>
      <c r="U1673">
        <v>56920118.850000001</v>
      </c>
      <c r="V1673">
        <v>0</v>
      </c>
      <c r="W1673">
        <v>0</v>
      </c>
      <c r="Y1673" t="s">
        <v>3</v>
      </c>
      <c r="Z1673">
        <v>6500</v>
      </c>
      <c r="AA1673">
        <v>10</v>
      </c>
      <c r="AB1673">
        <v>29</v>
      </c>
      <c r="AC1673">
        <v>0</v>
      </c>
      <c r="AD1673">
        <v>827906280</v>
      </c>
      <c r="AE1673">
        <v>809926.4</v>
      </c>
      <c r="AF1673">
        <v>827096353.60000002</v>
      </c>
      <c r="AG1673">
        <v>827096353.60000002</v>
      </c>
      <c r="AH1673">
        <v>0</v>
      </c>
      <c r="AI1673">
        <v>0</v>
      </c>
    </row>
    <row r="1674" spans="13:35" x14ac:dyDescent="0.35">
      <c r="M1674" t="s">
        <v>3</v>
      </c>
      <c r="N1674">
        <v>5750</v>
      </c>
      <c r="O1674">
        <v>10</v>
      </c>
      <c r="P1674">
        <v>8</v>
      </c>
      <c r="Q1674">
        <v>0</v>
      </c>
      <c r="R1674">
        <v>249931293</v>
      </c>
      <c r="S1674">
        <v>277084.43</v>
      </c>
      <c r="T1674">
        <v>249654208.56999999</v>
      </c>
      <c r="U1674">
        <v>249654208.56999999</v>
      </c>
      <c r="V1674">
        <v>0</v>
      </c>
      <c r="W1674">
        <v>0</v>
      </c>
      <c r="Y1674" t="s">
        <v>0</v>
      </c>
      <c r="Z1674">
        <v>8250</v>
      </c>
      <c r="AA1674">
        <v>10</v>
      </c>
      <c r="AB1674">
        <v>81</v>
      </c>
      <c r="AC1674">
        <v>0</v>
      </c>
      <c r="AD1674">
        <v>2492865450</v>
      </c>
      <c r="AE1674">
        <v>1730438.6</v>
      </c>
      <c r="AF1674">
        <v>2457528231.9200001</v>
      </c>
      <c r="AG1674">
        <v>2491135011.4000001</v>
      </c>
      <c r="AH1674">
        <v>0.15030199999999999</v>
      </c>
      <c r="AI1674">
        <v>0</v>
      </c>
    </row>
    <row r="1675" spans="13:35" x14ac:dyDescent="0.35">
      <c r="M1675" t="s">
        <v>1</v>
      </c>
      <c r="N1675">
        <v>4000</v>
      </c>
      <c r="O1675">
        <v>10</v>
      </c>
      <c r="P1675">
        <v>492</v>
      </c>
      <c r="Q1675">
        <v>0</v>
      </c>
      <c r="R1675">
        <v>19046329826</v>
      </c>
      <c r="S1675">
        <v>28878679.670000002</v>
      </c>
      <c r="T1675">
        <v>19017451146.330002</v>
      </c>
      <c r="U1675">
        <v>19017451146.330002</v>
      </c>
      <c r="V1675">
        <v>0</v>
      </c>
      <c r="W1675">
        <v>0</v>
      </c>
      <c r="Y1675" t="s">
        <v>0</v>
      </c>
      <c r="Z1675">
        <v>8250</v>
      </c>
      <c r="AA1675">
        <v>9</v>
      </c>
      <c r="AB1675">
        <v>97</v>
      </c>
      <c r="AC1675">
        <v>0</v>
      </c>
      <c r="AD1675">
        <v>2883167864</v>
      </c>
      <c r="AE1675">
        <v>1990457.73</v>
      </c>
      <c r="AF1675">
        <v>2881177406.27</v>
      </c>
      <c r="AG1675">
        <v>2881177406.27</v>
      </c>
      <c r="AH1675">
        <v>0</v>
      </c>
      <c r="AI1675">
        <v>0</v>
      </c>
    </row>
    <row r="1676" spans="13:35" x14ac:dyDescent="0.35">
      <c r="M1676" t="s">
        <v>0</v>
      </c>
      <c r="N1676">
        <v>4000</v>
      </c>
      <c r="O1676">
        <v>10</v>
      </c>
      <c r="P1676">
        <v>1866</v>
      </c>
      <c r="Q1676">
        <v>0</v>
      </c>
      <c r="R1676">
        <v>64888766883</v>
      </c>
      <c r="S1676">
        <v>98321221.450000003</v>
      </c>
      <c r="T1676">
        <v>64790445661.550003</v>
      </c>
      <c r="U1676">
        <v>64790445661.550003</v>
      </c>
      <c r="V1676">
        <v>0</v>
      </c>
      <c r="W1676">
        <v>0</v>
      </c>
      <c r="Y1676" t="s">
        <v>2</v>
      </c>
      <c r="Z1676">
        <v>5500</v>
      </c>
      <c r="AA1676">
        <v>8</v>
      </c>
      <c r="AB1676">
        <v>38</v>
      </c>
      <c r="AC1676">
        <v>0</v>
      </c>
      <c r="AD1676">
        <v>962835384</v>
      </c>
      <c r="AE1676">
        <v>1110162.3999999999</v>
      </c>
      <c r="AF1676">
        <v>961725221.60000002</v>
      </c>
      <c r="AG1676">
        <v>961725221.60000002</v>
      </c>
      <c r="AH1676">
        <v>0</v>
      </c>
      <c r="AI1676">
        <v>0</v>
      </c>
    </row>
    <row r="1677" spans="13:35" x14ac:dyDescent="0.35">
      <c r="M1677" t="s">
        <v>3</v>
      </c>
      <c r="N1677">
        <v>6500</v>
      </c>
      <c r="O1677">
        <v>7</v>
      </c>
      <c r="P1677">
        <v>35</v>
      </c>
      <c r="Q1677">
        <v>0</v>
      </c>
      <c r="R1677">
        <v>1032513766</v>
      </c>
      <c r="S1677">
        <v>990930.04</v>
      </c>
      <c r="T1677">
        <v>1031522835.96</v>
      </c>
      <c r="U1677">
        <v>1031522835.96</v>
      </c>
      <c r="V1677">
        <v>0</v>
      </c>
      <c r="W1677">
        <v>0</v>
      </c>
      <c r="Y1677" t="s">
        <v>2</v>
      </c>
      <c r="Z1677">
        <v>7750</v>
      </c>
      <c r="AA1677">
        <v>8</v>
      </c>
      <c r="AB1677">
        <v>9</v>
      </c>
      <c r="AC1677">
        <v>0</v>
      </c>
      <c r="AD1677">
        <v>157713842</v>
      </c>
      <c r="AE1677">
        <v>120190.99</v>
      </c>
      <c r="AF1677">
        <v>157593651.00999999</v>
      </c>
      <c r="AG1677">
        <v>157593651.00999999</v>
      </c>
      <c r="AH1677">
        <v>0</v>
      </c>
      <c r="AI1677">
        <v>0</v>
      </c>
    </row>
    <row r="1678" spans="13:35" x14ac:dyDescent="0.35">
      <c r="M1678" t="s">
        <v>3</v>
      </c>
      <c r="N1678">
        <v>7000</v>
      </c>
      <c r="O1678">
        <v>8</v>
      </c>
      <c r="P1678">
        <v>3</v>
      </c>
      <c r="Q1678">
        <v>0</v>
      </c>
      <c r="R1678">
        <v>89074289</v>
      </c>
      <c r="S1678">
        <v>78226.039999999994</v>
      </c>
      <c r="T1678">
        <v>88996062.959999993</v>
      </c>
      <c r="U1678">
        <v>88996062.959999993</v>
      </c>
      <c r="V1678">
        <v>0</v>
      </c>
      <c r="W1678">
        <v>0</v>
      </c>
      <c r="Y1678" t="s">
        <v>0</v>
      </c>
      <c r="Z1678">
        <v>8250</v>
      </c>
      <c r="AA1678">
        <v>8</v>
      </c>
      <c r="AB1678">
        <v>120</v>
      </c>
      <c r="AC1678">
        <v>0</v>
      </c>
      <c r="AD1678">
        <v>3835606360</v>
      </c>
      <c r="AE1678">
        <v>2622710.9</v>
      </c>
      <c r="AF1678">
        <v>3832983649.0999999</v>
      </c>
      <c r="AG1678">
        <v>3832983649.0999999</v>
      </c>
      <c r="AH1678">
        <v>0</v>
      </c>
      <c r="AI1678">
        <v>0</v>
      </c>
    </row>
    <row r="1679" spans="13:35" x14ac:dyDescent="0.35">
      <c r="M1679" t="s">
        <v>1</v>
      </c>
      <c r="N1679">
        <v>4500</v>
      </c>
      <c r="O1679">
        <v>8</v>
      </c>
      <c r="P1679">
        <v>220</v>
      </c>
      <c r="Q1679">
        <v>0</v>
      </c>
      <c r="R1679">
        <v>7867714006</v>
      </c>
      <c r="S1679">
        <v>10836487.199999999</v>
      </c>
      <c r="T1679">
        <v>7856877518.8000002</v>
      </c>
      <c r="U1679">
        <v>7856877518.8000002</v>
      </c>
      <c r="V1679">
        <v>0</v>
      </c>
      <c r="W1679">
        <v>0</v>
      </c>
      <c r="Y1679" t="s">
        <v>0</v>
      </c>
      <c r="Z1679">
        <v>9000</v>
      </c>
      <c r="AA1679">
        <v>8</v>
      </c>
      <c r="AB1679">
        <v>2</v>
      </c>
      <c r="AC1679">
        <v>0</v>
      </c>
      <c r="AD1679">
        <v>54708647</v>
      </c>
      <c r="AE1679">
        <v>33517.839999999997</v>
      </c>
      <c r="AF1679">
        <v>54675129.159999996</v>
      </c>
      <c r="AG1679">
        <v>54675129.159999996</v>
      </c>
      <c r="AH1679">
        <v>0</v>
      </c>
      <c r="AI1679">
        <v>0</v>
      </c>
    </row>
    <row r="1680" spans="13:35" x14ac:dyDescent="0.35">
      <c r="M1680" t="s">
        <v>0</v>
      </c>
      <c r="N1680">
        <v>8250</v>
      </c>
      <c r="O1680">
        <v>8</v>
      </c>
      <c r="P1680">
        <v>140</v>
      </c>
      <c r="Q1680">
        <v>0</v>
      </c>
      <c r="R1680">
        <v>3883730334</v>
      </c>
      <c r="S1680">
        <v>2647798.4500000002</v>
      </c>
      <c r="T1680">
        <v>3856732579.6100001</v>
      </c>
      <c r="U1680">
        <v>3856732579.6100001</v>
      </c>
      <c r="V1680">
        <v>7.2695999999999997E-2</v>
      </c>
      <c r="W1680">
        <v>7.2695999999999997E-2</v>
      </c>
      <c r="Y1680" t="s">
        <v>0</v>
      </c>
      <c r="Z1680">
        <v>8500</v>
      </c>
      <c r="AA1680">
        <v>8</v>
      </c>
      <c r="AB1680">
        <v>2</v>
      </c>
      <c r="AC1680">
        <v>0</v>
      </c>
      <c r="AD1680">
        <v>57597208</v>
      </c>
      <c r="AE1680">
        <v>38042.06</v>
      </c>
      <c r="AF1680">
        <v>57559165.939999998</v>
      </c>
      <c r="AG1680">
        <v>57559165.939999998</v>
      </c>
      <c r="AH1680">
        <v>0</v>
      </c>
      <c r="AI1680">
        <v>0</v>
      </c>
    </row>
    <row r="1681" spans="13:35" x14ac:dyDescent="0.35">
      <c r="M1681" t="s">
        <v>3</v>
      </c>
      <c r="N1681">
        <v>5750</v>
      </c>
      <c r="O1681">
        <v>9</v>
      </c>
      <c r="P1681">
        <v>5</v>
      </c>
      <c r="Q1681">
        <v>0</v>
      </c>
      <c r="R1681">
        <v>119826391</v>
      </c>
      <c r="S1681">
        <v>131869.07999999999</v>
      </c>
      <c r="T1681">
        <v>119694521.92</v>
      </c>
      <c r="U1681">
        <v>119694521.92</v>
      </c>
      <c r="V1681">
        <v>0</v>
      </c>
      <c r="W1681">
        <v>0</v>
      </c>
      <c r="Y1681" t="s">
        <v>1</v>
      </c>
      <c r="Z1681">
        <v>4750</v>
      </c>
      <c r="AA1681">
        <v>9</v>
      </c>
      <c r="AB1681">
        <v>319</v>
      </c>
      <c r="AC1681">
        <v>0</v>
      </c>
      <c r="AD1681">
        <v>12548025709</v>
      </c>
      <c r="AE1681">
        <v>16660944.970000001</v>
      </c>
      <c r="AF1681">
        <v>12476657006.629999</v>
      </c>
      <c r="AG1681">
        <v>12531364764.030001</v>
      </c>
      <c r="AH1681">
        <v>5.1082000000000002E-2</v>
      </c>
      <c r="AI1681">
        <v>0</v>
      </c>
    </row>
    <row r="1682" spans="13:35" x14ac:dyDescent="0.35">
      <c r="M1682" t="s">
        <v>0</v>
      </c>
      <c r="N1682">
        <v>8250</v>
      </c>
      <c r="O1682">
        <v>7</v>
      </c>
      <c r="P1682">
        <v>133</v>
      </c>
      <c r="Q1682">
        <v>0</v>
      </c>
      <c r="R1682">
        <v>4021094076</v>
      </c>
      <c r="S1682">
        <v>2723151.69</v>
      </c>
      <c r="T1682">
        <v>4018370924.3099999</v>
      </c>
      <c r="U1682">
        <v>4018370924.3099999</v>
      </c>
      <c r="V1682">
        <v>0</v>
      </c>
      <c r="W1682">
        <v>0</v>
      </c>
      <c r="Y1682" t="s">
        <v>2</v>
      </c>
      <c r="Z1682">
        <v>4750</v>
      </c>
      <c r="AA1682">
        <v>9</v>
      </c>
      <c r="AB1682">
        <v>19</v>
      </c>
      <c r="AC1682">
        <v>0</v>
      </c>
      <c r="AD1682">
        <v>443964630</v>
      </c>
      <c r="AE1682">
        <v>589854.56000000006</v>
      </c>
      <c r="AF1682">
        <v>443374775.44</v>
      </c>
      <c r="AG1682">
        <v>443374775.44</v>
      </c>
      <c r="AH1682">
        <v>0</v>
      </c>
      <c r="AI1682">
        <v>0</v>
      </c>
    </row>
    <row r="1683" spans="13:35" x14ac:dyDescent="0.35">
      <c r="M1683" t="s">
        <v>3</v>
      </c>
      <c r="N1683">
        <v>6000</v>
      </c>
      <c r="O1683">
        <v>7</v>
      </c>
      <c r="P1683">
        <v>9</v>
      </c>
      <c r="Q1683">
        <v>0</v>
      </c>
      <c r="R1683">
        <v>227569522</v>
      </c>
      <c r="S1683">
        <v>240185.7</v>
      </c>
      <c r="T1683">
        <v>227329336.30000001</v>
      </c>
      <c r="U1683">
        <v>227329336.30000001</v>
      </c>
      <c r="V1683">
        <v>0</v>
      </c>
      <c r="W1683">
        <v>0</v>
      </c>
      <c r="Y1683" t="s">
        <v>2</v>
      </c>
      <c r="Z1683">
        <v>5250</v>
      </c>
      <c r="AA1683">
        <v>9</v>
      </c>
      <c r="AB1683">
        <v>23</v>
      </c>
      <c r="AC1683">
        <v>0</v>
      </c>
      <c r="AD1683">
        <v>560712479</v>
      </c>
      <c r="AE1683">
        <v>680417.7</v>
      </c>
      <c r="AF1683">
        <v>560032061.29999995</v>
      </c>
      <c r="AG1683">
        <v>560032061.29999995</v>
      </c>
      <c r="AH1683">
        <v>0</v>
      </c>
      <c r="AI1683">
        <v>0</v>
      </c>
    </row>
    <row r="1684" spans="13:35" x14ac:dyDescent="0.35">
      <c r="M1684" t="s">
        <v>3</v>
      </c>
      <c r="N1684">
        <v>5750</v>
      </c>
      <c r="O1684">
        <v>8</v>
      </c>
      <c r="P1684">
        <v>2</v>
      </c>
      <c r="Q1684">
        <v>0</v>
      </c>
      <c r="R1684">
        <v>40930593</v>
      </c>
      <c r="S1684">
        <v>44780.31</v>
      </c>
      <c r="T1684">
        <v>40885812.689999998</v>
      </c>
      <c r="U1684">
        <v>40885812.689999998</v>
      </c>
      <c r="V1684">
        <v>0</v>
      </c>
      <c r="W1684">
        <v>0</v>
      </c>
      <c r="Y1684" t="s">
        <v>0</v>
      </c>
      <c r="Z1684">
        <v>4750</v>
      </c>
      <c r="AA1684">
        <v>8</v>
      </c>
      <c r="AB1684">
        <v>788</v>
      </c>
      <c r="AC1684">
        <v>0</v>
      </c>
      <c r="AD1684">
        <v>26070993951</v>
      </c>
      <c r="AE1684">
        <v>34387388.369999997</v>
      </c>
      <c r="AF1684">
        <v>26036606562.630001</v>
      </c>
      <c r="AG1684">
        <v>26036606562.630001</v>
      </c>
      <c r="AH1684">
        <v>0</v>
      </c>
      <c r="AI1684">
        <v>0</v>
      </c>
    </row>
    <row r="1685" spans="13:35" x14ac:dyDescent="0.35">
      <c r="M1685" t="s">
        <v>1</v>
      </c>
      <c r="N1685">
        <v>4250</v>
      </c>
      <c r="O1685">
        <v>10</v>
      </c>
      <c r="P1685">
        <v>171</v>
      </c>
      <c r="Q1685">
        <v>0</v>
      </c>
      <c r="R1685">
        <v>6459395071</v>
      </c>
      <c r="S1685">
        <v>9386019.2400000002</v>
      </c>
      <c r="T1685">
        <v>6437355017</v>
      </c>
      <c r="U1685">
        <v>6450009051.7600002</v>
      </c>
      <c r="V1685">
        <v>2.3257E-2</v>
      </c>
      <c r="W1685">
        <v>0</v>
      </c>
      <c r="Y1685" t="s">
        <v>2</v>
      </c>
      <c r="Z1685">
        <v>4750</v>
      </c>
      <c r="AA1685">
        <v>8</v>
      </c>
      <c r="AB1685">
        <v>17</v>
      </c>
      <c r="AC1685">
        <v>0</v>
      </c>
      <c r="AD1685">
        <v>440696992</v>
      </c>
      <c r="AE1685">
        <v>582418.59</v>
      </c>
      <c r="AF1685">
        <v>440114573.41000003</v>
      </c>
      <c r="AG1685">
        <v>440114573.41000003</v>
      </c>
      <c r="AH1685">
        <v>0</v>
      </c>
      <c r="AI1685">
        <v>0</v>
      </c>
    </row>
    <row r="1686" spans="13:35" x14ac:dyDescent="0.35">
      <c r="M1686" t="s">
        <v>0</v>
      </c>
      <c r="N1686">
        <v>4250</v>
      </c>
      <c r="O1686">
        <v>10</v>
      </c>
      <c r="P1686">
        <v>540</v>
      </c>
      <c r="Q1686">
        <v>0</v>
      </c>
      <c r="R1686">
        <v>17053420930</v>
      </c>
      <c r="S1686">
        <v>24742232.75</v>
      </c>
      <c r="T1686">
        <v>17028678697.25</v>
      </c>
      <c r="U1686">
        <v>17028678697.25</v>
      </c>
      <c r="V1686">
        <v>0</v>
      </c>
      <c r="W1686">
        <v>0</v>
      </c>
      <c r="Y1686" t="s">
        <v>1</v>
      </c>
      <c r="Z1686">
        <v>4750</v>
      </c>
      <c r="AA1686">
        <v>8</v>
      </c>
      <c r="AB1686">
        <v>257</v>
      </c>
      <c r="AC1686">
        <v>0</v>
      </c>
      <c r="AD1686">
        <v>10351125709</v>
      </c>
      <c r="AE1686">
        <v>13668733.99</v>
      </c>
      <c r="AF1686">
        <v>10301971859.040001</v>
      </c>
      <c r="AG1686">
        <v>10333813963.66</v>
      </c>
      <c r="AH1686">
        <v>4.0370999999999997E-2</v>
      </c>
      <c r="AI1686">
        <v>4.215E-3</v>
      </c>
    </row>
    <row r="1687" spans="13:35" x14ac:dyDescent="0.35">
      <c r="M1687" t="s">
        <v>1</v>
      </c>
      <c r="N1687">
        <v>7250</v>
      </c>
      <c r="O1687">
        <v>5</v>
      </c>
      <c r="P1687">
        <v>3192</v>
      </c>
      <c r="Q1687">
        <v>0</v>
      </c>
      <c r="R1687">
        <v>105624300000</v>
      </c>
      <c r="S1687">
        <v>86162183.209999993</v>
      </c>
      <c r="T1687">
        <v>104643080225.78999</v>
      </c>
      <c r="U1687">
        <v>105240882571.22</v>
      </c>
      <c r="V1687">
        <v>9.708E-2</v>
      </c>
      <c r="W1687">
        <v>3.3252999999999998E-2</v>
      </c>
      <c r="Y1687" t="s">
        <v>2</v>
      </c>
      <c r="Z1687">
        <v>5250</v>
      </c>
      <c r="AA1687">
        <v>7</v>
      </c>
      <c r="AB1687">
        <v>10</v>
      </c>
      <c r="AC1687">
        <v>0</v>
      </c>
      <c r="AD1687">
        <v>241819105</v>
      </c>
      <c r="AE1687">
        <v>291467.51</v>
      </c>
      <c r="AF1687">
        <v>241527637.49000001</v>
      </c>
      <c r="AG1687">
        <v>241527637.49000001</v>
      </c>
      <c r="AH1687">
        <v>0</v>
      </c>
      <c r="AI1687">
        <v>0</v>
      </c>
    </row>
    <row r="1688" spans="13:35" x14ac:dyDescent="0.35">
      <c r="M1688" t="s">
        <v>1</v>
      </c>
      <c r="N1688">
        <v>7000</v>
      </c>
      <c r="O1688">
        <v>5</v>
      </c>
      <c r="P1688">
        <v>4503</v>
      </c>
      <c r="Q1688">
        <v>0</v>
      </c>
      <c r="R1688">
        <v>138787200000</v>
      </c>
      <c r="S1688">
        <v>117364001.02</v>
      </c>
      <c r="T1688">
        <v>138205328697.57001</v>
      </c>
      <c r="U1688">
        <v>138604191146.98001</v>
      </c>
      <c r="V1688">
        <v>3.9432000000000002E-2</v>
      </c>
      <c r="W1688">
        <v>5.6610000000000002E-3</v>
      </c>
      <c r="Y1688" t="s">
        <v>2</v>
      </c>
      <c r="Z1688">
        <v>5250</v>
      </c>
      <c r="AA1688">
        <v>6</v>
      </c>
      <c r="AB1688">
        <v>23</v>
      </c>
      <c r="AC1688">
        <v>0</v>
      </c>
      <c r="AD1688">
        <v>538332402</v>
      </c>
      <c r="AE1688">
        <v>642997.77</v>
      </c>
      <c r="AF1688">
        <v>537689404.23000002</v>
      </c>
      <c r="AG1688">
        <v>537689404.23000002</v>
      </c>
      <c r="AH1688">
        <v>0</v>
      </c>
      <c r="AI1688">
        <v>0</v>
      </c>
    </row>
    <row r="1689" spans="13:35" x14ac:dyDescent="0.35">
      <c r="M1689" t="s">
        <v>3</v>
      </c>
      <c r="N1689">
        <v>7250</v>
      </c>
      <c r="O1689">
        <v>10</v>
      </c>
      <c r="P1689">
        <v>1</v>
      </c>
      <c r="Q1689">
        <v>0</v>
      </c>
      <c r="R1689">
        <v>19550802</v>
      </c>
      <c r="S1689">
        <v>16329.31</v>
      </c>
      <c r="T1689">
        <v>19534472.690000001</v>
      </c>
      <c r="U1689">
        <v>19534472.690000001</v>
      </c>
      <c r="V1689">
        <v>0</v>
      </c>
      <c r="W1689">
        <v>0</v>
      </c>
      <c r="Y1689" t="s">
        <v>0</v>
      </c>
      <c r="Z1689">
        <v>4750</v>
      </c>
      <c r="AA1689">
        <v>5</v>
      </c>
      <c r="AB1689">
        <v>5796</v>
      </c>
      <c r="AC1689">
        <v>0</v>
      </c>
      <c r="AD1689">
        <v>198637700000</v>
      </c>
      <c r="AE1689">
        <v>254115999.59</v>
      </c>
      <c r="AF1689">
        <v>198350925790.44</v>
      </c>
      <c r="AG1689">
        <v>198383584000.41</v>
      </c>
      <c r="AH1689">
        <v>1.9710000000000001E-3</v>
      </c>
      <c r="AI1689">
        <v>0</v>
      </c>
    </row>
    <row r="1690" spans="13:35" x14ac:dyDescent="0.35">
      <c r="M1690" t="s">
        <v>3</v>
      </c>
      <c r="N1690">
        <v>6000</v>
      </c>
      <c r="O1690">
        <v>6</v>
      </c>
      <c r="P1690">
        <v>12</v>
      </c>
      <c r="Q1690">
        <v>0</v>
      </c>
      <c r="R1690">
        <v>329918615</v>
      </c>
      <c r="S1690">
        <v>342313.74</v>
      </c>
      <c r="T1690">
        <v>329576301.25999999</v>
      </c>
      <c r="U1690">
        <v>329576301.25999999</v>
      </c>
      <c r="V1690">
        <v>0</v>
      </c>
      <c r="W1690">
        <v>0</v>
      </c>
      <c r="Y1690" t="s">
        <v>2</v>
      </c>
      <c r="Z1690">
        <v>4750</v>
      </c>
      <c r="AA1690">
        <v>5</v>
      </c>
      <c r="AB1690">
        <v>153</v>
      </c>
      <c r="AC1690">
        <v>0</v>
      </c>
      <c r="AD1690">
        <v>3768200000</v>
      </c>
      <c r="AE1690">
        <v>4790886.83</v>
      </c>
      <c r="AF1690">
        <v>3763409113.1700001</v>
      </c>
      <c r="AG1690">
        <v>3763409113.1700001</v>
      </c>
      <c r="AH1690">
        <v>0</v>
      </c>
      <c r="AI1690">
        <v>0</v>
      </c>
    </row>
    <row r="1691" spans="13:35" x14ac:dyDescent="0.35">
      <c r="M1691" t="s">
        <v>3</v>
      </c>
      <c r="N1691">
        <v>6750</v>
      </c>
      <c r="O1691">
        <v>6</v>
      </c>
      <c r="P1691">
        <v>11</v>
      </c>
      <c r="Q1691">
        <v>0</v>
      </c>
      <c r="R1691">
        <v>366037231</v>
      </c>
      <c r="S1691">
        <v>334113.25</v>
      </c>
      <c r="T1691">
        <v>365703117.75</v>
      </c>
      <c r="U1691">
        <v>365703117.75</v>
      </c>
      <c r="V1691">
        <v>0</v>
      </c>
      <c r="W1691">
        <v>0</v>
      </c>
      <c r="Y1691" t="s">
        <v>2</v>
      </c>
      <c r="Z1691">
        <v>5250</v>
      </c>
      <c r="AA1691">
        <v>5</v>
      </c>
      <c r="AB1691">
        <v>490</v>
      </c>
      <c r="AC1691">
        <v>0</v>
      </c>
      <c r="AD1691">
        <v>12185800000</v>
      </c>
      <c r="AE1691">
        <v>14159708.710000001</v>
      </c>
      <c r="AF1691">
        <v>12171640291.290001</v>
      </c>
      <c r="AG1691">
        <v>12171640291.290001</v>
      </c>
      <c r="AH1691">
        <v>0</v>
      </c>
      <c r="AI1691">
        <v>0</v>
      </c>
    </row>
    <row r="1692" spans="13:35" x14ac:dyDescent="0.35">
      <c r="M1692" t="s">
        <v>3</v>
      </c>
      <c r="N1692">
        <v>6250</v>
      </c>
      <c r="O1692">
        <v>6</v>
      </c>
      <c r="P1692">
        <v>40</v>
      </c>
      <c r="Q1692">
        <v>0</v>
      </c>
      <c r="R1692">
        <v>1212476968</v>
      </c>
      <c r="S1692">
        <v>1200837.3899999999</v>
      </c>
      <c r="T1692">
        <v>1211276130.6099999</v>
      </c>
      <c r="U1692">
        <v>1211276130.6099999</v>
      </c>
      <c r="V1692">
        <v>0</v>
      </c>
      <c r="W1692">
        <v>0</v>
      </c>
      <c r="Y1692" t="s">
        <v>3</v>
      </c>
      <c r="Z1692">
        <v>6750</v>
      </c>
      <c r="AA1692">
        <v>6</v>
      </c>
      <c r="AB1692">
        <v>30</v>
      </c>
      <c r="AC1692">
        <v>0</v>
      </c>
      <c r="AD1692">
        <v>808280209</v>
      </c>
      <c r="AE1692">
        <v>733194.08</v>
      </c>
      <c r="AF1692">
        <v>807547014.91999996</v>
      </c>
      <c r="AG1692">
        <v>807547014.91999996</v>
      </c>
      <c r="AH1692">
        <v>0</v>
      </c>
      <c r="AI1692">
        <v>0</v>
      </c>
    </row>
    <row r="1693" spans="13:35" x14ac:dyDescent="0.35">
      <c r="M1693" t="s">
        <v>2</v>
      </c>
      <c r="N1693">
        <v>3500</v>
      </c>
      <c r="O1693">
        <v>9</v>
      </c>
      <c r="P1693">
        <v>6</v>
      </c>
      <c r="Q1693">
        <v>0</v>
      </c>
      <c r="R1693">
        <v>88576666</v>
      </c>
      <c r="S1693">
        <v>146891.04999999999</v>
      </c>
      <c r="T1693">
        <v>88429774.950000003</v>
      </c>
      <c r="U1693">
        <v>88429774.950000003</v>
      </c>
      <c r="V1693">
        <v>0</v>
      </c>
      <c r="W1693">
        <v>0</v>
      </c>
      <c r="Y1693" t="s">
        <v>2</v>
      </c>
      <c r="Z1693">
        <v>7750</v>
      </c>
      <c r="AA1693">
        <v>7</v>
      </c>
      <c r="AB1693">
        <v>17</v>
      </c>
      <c r="AC1693">
        <v>0</v>
      </c>
      <c r="AD1693">
        <v>247850555</v>
      </c>
      <c r="AE1693">
        <v>187041.27</v>
      </c>
      <c r="AF1693">
        <v>247663513.72999999</v>
      </c>
      <c r="AG1693">
        <v>247663513.72999999</v>
      </c>
      <c r="AH1693">
        <v>0</v>
      </c>
      <c r="AI1693">
        <v>0</v>
      </c>
    </row>
    <row r="1694" spans="13:35" x14ac:dyDescent="0.35">
      <c r="M1694" t="s">
        <v>3</v>
      </c>
      <c r="N1694">
        <v>5750</v>
      </c>
      <c r="O1694">
        <v>5</v>
      </c>
      <c r="P1694">
        <v>168</v>
      </c>
      <c r="Q1694">
        <v>0</v>
      </c>
      <c r="R1694">
        <v>5204100000</v>
      </c>
      <c r="S1694">
        <v>5523541.0899999999</v>
      </c>
      <c r="T1694">
        <v>5198576458.9099998</v>
      </c>
      <c r="U1694">
        <v>5198576458.9099998</v>
      </c>
      <c r="V1694">
        <v>0</v>
      </c>
      <c r="W1694">
        <v>0</v>
      </c>
      <c r="Y1694" t="s">
        <v>1</v>
      </c>
      <c r="Z1694">
        <v>7750</v>
      </c>
      <c r="AA1694">
        <v>7</v>
      </c>
      <c r="AB1694">
        <v>492</v>
      </c>
      <c r="AC1694">
        <v>0</v>
      </c>
      <c r="AD1694">
        <v>16033374427</v>
      </c>
      <c r="AE1694">
        <v>12021841.550000001</v>
      </c>
      <c r="AF1694">
        <v>8802844068.6499996</v>
      </c>
      <c r="AG1694">
        <v>15934117273.32</v>
      </c>
      <c r="AH1694">
        <v>0.99923700000000004</v>
      </c>
      <c r="AI1694">
        <v>6.3371999999999998E-2</v>
      </c>
    </row>
    <row r="1695" spans="13:35" x14ac:dyDescent="0.35">
      <c r="M1695" t="s">
        <v>3</v>
      </c>
      <c r="N1695">
        <v>6000</v>
      </c>
      <c r="O1695">
        <v>5</v>
      </c>
      <c r="P1695">
        <v>193</v>
      </c>
      <c r="Q1695">
        <v>0</v>
      </c>
      <c r="R1695">
        <v>5819500000</v>
      </c>
      <c r="S1695">
        <v>5921557.7599999998</v>
      </c>
      <c r="T1695">
        <v>5813578442.2399998</v>
      </c>
      <c r="U1695">
        <v>5813578442.2399998</v>
      </c>
      <c r="V1695">
        <v>0</v>
      </c>
      <c r="W1695">
        <v>0</v>
      </c>
      <c r="Y1695" t="s">
        <v>1</v>
      </c>
      <c r="Z1695">
        <v>8250</v>
      </c>
      <c r="AA1695">
        <v>9</v>
      </c>
      <c r="AB1695">
        <v>2</v>
      </c>
      <c r="AC1695">
        <v>0</v>
      </c>
      <c r="AD1695">
        <v>53888153</v>
      </c>
      <c r="AE1695">
        <v>37685.449999999997</v>
      </c>
      <c r="AF1695">
        <v>53850467.549999997</v>
      </c>
      <c r="AG1695">
        <v>53850467.549999997</v>
      </c>
      <c r="AH1695">
        <v>0</v>
      </c>
      <c r="AI1695">
        <v>0</v>
      </c>
    </row>
    <row r="1696" spans="13:35" x14ac:dyDescent="0.35">
      <c r="M1696" t="s">
        <v>3</v>
      </c>
      <c r="N1696">
        <v>5500</v>
      </c>
      <c r="O1696">
        <v>5</v>
      </c>
      <c r="P1696">
        <v>80</v>
      </c>
      <c r="Q1696">
        <v>0</v>
      </c>
      <c r="R1696">
        <v>2222100000</v>
      </c>
      <c r="S1696">
        <v>2481632.5699999998</v>
      </c>
      <c r="T1696">
        <v>2219618367.4299998</v>
      </c>
      <c r="U1696">
        <v>2219618367.4299998</v>
      </c>
      <c r="V1696">
        <v>0</v>
      </c>
      <c r="W1696">
        <v>0</v>
      </c>
      <c r="Y1696" t="s">
        <v>1</v>
      </c>
      <c r="Z1696">
        <v>8000</v>
      </c>
      <c r="AA1696">
        <v>9</v>
      </c>
      <c r="AB1696">
        <v>4</v>
      </c>
      <c r="AC1696">
        <v>0</v>
      </c>
      <c r="AD1696">
        <v>177888136</v>
      </c>
      <c r="AE1696">
        <v>130122.89</v>
      </c>
      <c r="AF1696">
        <v>177758013.11000001</v>
      </c>
      <c r="AG1696">
        <v>177758013.11000001</v>
      </c>
      <c r="AH1696">
        <v>0</v>
      </c>
      <c r="AI1696">
        <v>0</v>
      </c>
    </row>
    <row r="1697" spans="13:35" x14ac:dyDescent="0.35">
      <c r="M1697" t="s">
        <v>3</v>
      </c>
      <c r="N1697">
        <v>7250</v>
      </c>
      <c r="O1697">
        <v>9</v>
      </c>
      <c r="P1697">
        <v>2</v>
      </c>
      <c r="Q1697">
        <v>0</v>
      </c>
      <c r="R1697">
        <v>38425119</v>
      </c>
      <c r="S1697">
        <v>32650.22</v>
      </c>
      <c r="T1697">
        <v>38392468.780000001</v>
      </c>
      <c r="U1697">
        <v>38392468.780000001</v>
      </c>
      <c r="V1697">
        <v>0</v>
      </c>
      <c r="W1697">
        <v>0</v>
      </c>
      <c r="Y1697" t="s">
        <v>0</v>
      </c>
      <c r="Z1697">
        <v>3750</v>
      </c>
      <c r="AA1697">
        <v>14</v>
      </c>
      <c r="AB1697">
        <v>200</v>
      </c>
      <c r="AC1697">
        <v>0</v>
      </c>
      <c r="AD1697">
        <v>6577339713</v>
      </c>
      <c r="AE1697">
        <v>10562393.949999999</v>
      </c>
      <c r="AF1697">
        <v>6566777319.0500002</v>
      </c>
      <c r="AG1697">
        <v>6566777319.0500002</v>
      </c>
      <c r="AH1697">
        <v>0</v>
      </c>
      <c r="AI1697">
        <v>0</v>
      </c>
    </row>
    <row r="1698" spans="13:35" x14ac:dyDescent="0.35">
      <c r="M1698" t="s">
        <v>1</v>
      </c>
      <c r="N1698">
        <v>5000</v>
      </c>
      <c r="O1698">
        <v>6</v>
      </c>
      <c r="P1698">
        <v>1261</v>
      </c>
      <c r="Q1698">
        <v>0</v>
      </c>
      <c r="R1698">
        <v>50326005384</v>
      </c>
      <c r="S1698">
        <v>62820326.299999997</v>
      </c>
      <c r="T1698">
        <v>50210251945.739998</v>
      </c>
      <c r="U1698">
        <v>50210251945.739998</v>
      </c>
      <c r="V1698">
        <v>1.2548999999999999E-2</v>
      </c>
      <c r="W1698">
        <v>1.2548999999999999E-2</v>
      </c>
      <c r="Y1698" t="s">
        <v>0</v>
      </c>
      <c r="Z1698">
        <v>4000</v>
      </c>
      <c r="AA1698">
        <v>12</v>
      </c>
      <c r="AB1698">
        <v>1144</v>
      </c>
      <c r="AC1698">
        <v>0</v>
      </c>
      <c r="AD1698">
        <v>39532535340</v>
      </c>
      <c r="AE1698">
        <v>60325383.740000002</v>
      </c>
      <c r="AF1698">
        <v>39394820097.629997</v>
      </c>
      <c r="AG1698">
        <v>39472209956.260002</v>
      </c>
      <c r="AH1698">
        <v>2.324E-2</v>
      </c>
      <c r="AI1698">
        <v>0</v>
      </c>
    </row>
    <row r="1699" spans="13:35" x14ac:dyDescent="0.35">
      <c r="M1699" t="s">
        <v>1</v>
      </c>
      <c r="N1699">
        <v>7250</v>
      </c>
      <c r="O1699">
        <v>6</v>
      </c>
      <c r="P1699">
        <v>896</v>
      </c>
      <c r="Q1699">
        <v>0</v>
      </c>
      <c r="R1699">
        <v>28251007372</v>
      </c>
      <c r="S1699">
        <v>23407163.760000002</v>
      </c>
      <c r="T1699">
        <v>28026540295.16</v>
      </c>
      <c r="U1699">
        <v>28103034643.09</v>
      </c>
      <c r="V1699">
        <v>8.2138000000000003E-2</v>
      </c>
      <c r="W1699">
        <v>5.1645999999999997E-2</v>
      </c>
      <c r="Y1699" t="s">
        <v>1</v>
      </c>
      <c r="Z1699">
        <v>4000</v>
      </c>
      <c r="AA1699">
        <v>12</v>
      </c>
      <c r="AB1699">
        <v>347</v>
      </c>
      <c r="AC1699">
        <v>0</v>
      </c>
      <c r="AD1699">
        <v>13110333328</v>
      </c>
      <c r="AE1699">
        <v>20023134.780000001</v>
      </c>
      <c r="AF1699">
        <v>13051539310.530001</v>
      </c>
      <c r="AG1699">
        <v>13051539310.530001</v>
      </c>
      <c r="AH1699">
        <v>3.4916000000000003E-2</v>
      </c>
      <c r="AI1699">
        <v>3.4916000000000003E-2</v>
      </c>
    </row>
    <row r="1700" spans="13:35" x14ac:dyDescent="0.35">
      <c r="M1700" t="s">
        <v>1</v>
      </c>
      <c r="N1700">
        <v>7750</v>
      </c>
      <c r="O1700">
        <v>7</v>
      </c>
      <c r="P1700">
        <v>443</v>
      </c>
      <c r="Q1700">
        <v>0</v>
      </c>
      <c r="R1700">
        <v>14118249170</v>
      </c>
      <c r="S1700">
        <v>10587302.08</v>
      </c>
      <c r="T1700">
        <v>6920536755.8500004</v>
      </c>
      <c r="U1700">
        <v>13320962262.389999</v>
      </c>
      <c r="V1700">
        <v>0.99980400000000003</v>
      </c>
      <c r="W1700">
        <v>0.49742900000000001</v>
      </c>
      <c r="Y1700" t="s">
        <v>2</v>
      </c>
      <c r="Z1700">
        <v>4000</v>
      </c>
      <c r="AA1700">
        <v>12</v>
      </c>
      <c r="AB1700">
        <v>47</v>
      </c>
      <c r="AC1700">
        <v>0</v>
      </c>
      <c r="AD1700">
        <v>1324019442</v>
      </c>
      <c r="AE1700">
        <v>2022206.1</v>
      </c>
      <c r="AF1700">
        <v>1291714023.4200001</v>
      </c>
      <c r="AG1700">
        <v>1321997235.9000001</v>
      </c>
      <c r="AH1700">
        <v>0.24244099999999999</v>
      </c>
      <c r="AI1700">
        <v>0</v>
      </c>
    </row>
    <row r="1701" spans="13:35" x14ac:dyDescent="0.35">
      <c r="M1701" t="s">
        <v>2</v>
      </c>
      <c r="N1701">
        <v>7250</v>
      </c>
      <c r="O1701">
        <v>6</v>
      </c>
      <c r="P1701">
        <v>142</v>
      </c>
      <c r="Q1701">
        <v>0</v>
      </c>
      <c r="R1701">
        <v>1894593026</v>
      </c>
      <c r="S1701">
        <v>1562249.98</v>
      </c>
      <c r="T1701">
        <v>1866663119.5699999</v>
      </c>
      <c r="U1701">
        <v>1893030776.02</v>
      </c>
      <c r="V1701">
        <v>0.15479899999999999</v>
      </c>
      <c r="W1701">
        <v>0</v>
      </c>
      <c r="Y1701" t="s">
        <v>1</v>
      </c>
      <c r="Z1701">
        <v>8000</v>
      </c>
      <c r="AA1701">
        <v>8</v>
      </c>
      <c r="AB1701">
        <v>12</v>
      </c>
      <c r="AC1701">
        <v>0</v>
      </c>
      <c r="AD1701">
        <v>254579518</v>
      </c>
      <c r="AE1701">
        <v>183052.93</v>
      </c>
      <c r="AF1701">
        <v>214222200.86000001</v>
      </c>
      <c r="AG1701">
        <v>254396465.06999999</v>
      </c>
      <c r="AH1701">
        <v>0.87266600000000005</v>
      </c>
      <c r="AI1701">
        <v>0</v>
      </c>
    </row>
    <row r="1702" spans="13:35" x14ac:dyDescent="0.35">
      <c r="M1702" t="s">
        <v>2</v>
      </c>
      <c r="N1702">
        <v>6750</v>
      </c>
      <c r="O1702">
        <v>5</v>
      </c>
      <c r="P1702">
        <v>1159</v>
      </c>
      <c r="Q1702">
        <v>0</v>
      </c>
      <c r="R1702">
        <v>18813200000</v>
      </c>
      <c r="S1702">
        <v>16759516.51</v>
      </c>
      <c r="T1702">
        <v>18796440483.490002</v>
      </c>
      <c r="U1702">
        <v>18796440483.490002</v>
      </c>
      <c r="V1702">
        <v>0</v>
      </c>
      <c r="W1702">
        <v>0</v>
      </c>
      <c r="Y1702" t="s">
        <v>1</v>
      </c>
      <c r="Z1702">
        <v>8250</v>
      </c>
      <c r="AA1702">
        <v>8</v>
      </c>
      <c r="AB1702">
        <v>3</v>
      </c>
      <c r="AC1702">
        <v>0</v>
      </c>
      <c r="AD1702">
        <v>85666916</v>
      </c>
      <c r="AE1702">
        <v>59465</v>
      </c>
      <c r="AF1702">
        <v>85607451</v>
      </c>
      <c r="AG1702">
        <v>85607451</v>
      </c>
      <c r="AH1702">
        <v>0</v>
      </c>
      <c r="AI1702">
        <v>0</v>
      </c>
    </row>
    <row r="1703" spans="13:35" x14ac:dyDescent="0.35">
      <c r="M1703" t="s">
        <v>2</v>
      </c>
      <c r="N1703">
        <v>5500</v>
      </c>
      <c r="O1703">
        <v>6</v>
      </c>
      <c r="P1703">
        <v>92</v>
      </c>
      <c r="Q1703">
        <v>0</v>
      </c>
      <c r="R1703">
        <v>2345541884</v>
      </c>
      <c r="S1703">
        <v>2679695</v>
      </c>
      <c r="T1703">
        <v>2342862189</v>
      </c>
      <c r="U1703">
        <v>2342862189</v>
      </c>
      <c r="V1703">
        <v>0</v>
      </c>
      <c r="W1703">
        <v>0</v>
      </c>
      <c r="Y1703" t="s">
        <v>3</v>
      </c>
      <c r="Z1703">
        <v>7250</v>
      </c>
      <c r="AA1703">
        <v>10</v>
      </c>
      <c r="AB1703">
        <v>2</v>
      </c>
      <c r="AC1703">
        <v>0</v>
      </c>
      <c r="AD1703">
        <v>36873988</v>
      </c>
      <c r="AE1703">
        <v>31296.240000000002</v>
      </c>
      <c r="AF1703">
        <v>36842691.759999998</v>
      </c>
      <c r="AG1703">
        <v>36842691.759999998</v>
      </c>
      <c r="AH1703">
        <v>0</v>
      </c>
      <c r="AI1703">
        <v>0</v>
      </c>
    </row>
    <row r="1704" spans="13:35" x14ac:dyDescent="0.35">
      <c r="M1704" t="s">
        <v>0</v>
      </c>
      <c r="N1704">
        <v>4500</v>
      </c>
      <c r="O1704">
        <v>6</v>
      </c>
      <c r="P1704">
        <v>467</v>
      </c>
      <c r="Q1704">
        <v>0</v>
      </c>
      <c r="R1704">
        <v>15942244218</v>
      </c>
      <c r="S1704">
        <v>21730772.149999999</v>
      </c>
      <c r="T1704">
        <v>15887874763</v>
      </c>
      <c r="U1704">
        <v>15920513445.85</v>
      </c>
      <c r="V1704">
        <v>2.4292999999999999E-2</v>
      </c>
      <c r="W1704">
        <v>0</v>
      </c>
      <c r="Y1704" t="s">
        <v>3</v>
      </c>
      <c r="Z1704">
        <v>5750</v>
      </c>
      <c r="AA1704">
        <v>9</v>
      </c>
      <c r="AB1704">
        <v>8</v>
      </c>
      <c r="AC1704">
        <v>0</v>
      </c>
      <c r="AD1704">
        <v>250169659</v>
      </c>
      <c r="AE1704">
        <v>275723.8</v>
      </c>
      <c r="AF1704">
        <v>249893935.19999999</v>
      </c>
      <c r="AG1704">
        <v>249893935.19999999</v>
      </c>
      <c r="AH1704">
        <v>0</v>
      </c>
      <c r="AI1704">
        <v>0</v>
      </c>
    </row>
    <row r="1705" spans="13:35" x14ac:dyDescent="0.35">
      <c r="M1705" t="s">
        <v>0</v>
      </c>
      <c r="N1705">
        <v>4250</v>
      </c>
      <c r="O1705">
        <v>6</v>
      </c>
      <c r="P1705">
        <v>322</v>
      </c>
      <c r="Q1705">
        <v>0</v>
      </c>
      <c r="R1705">
        <v>10135682503</v>
      </c>
      <c r="S1705">
        <v>14442705.300000001</v>
      </c>
      <c r="T1705">
        <v>10121239797.700001</v>
      </c>
      <c r="U1705">
        <v>10121239797.700001</v>
      </c>
      <c r="V1705">
        <v>0</v>
      </c>
      <c r="W1705">
        <v>0</v>
      </c>
      <c r="Y1705" t="s">
        <v>1</v>
      </c>
      <c r="Z1705">
        <v>4000</v>
      </c>
      <c r="AA1705">
        <v>9</v>
      </c>
      <c r="AB1705">
        <v>492</v>
      </c>
      <c r="AC1705">
        <v>0</v>
      </c>
      <c r="AD1705">
        <v>19079200593</v>
      </c>
      <c r="AE1705">
        <v>28789318.899999999</v>
      </c>
      <c r="AF1705">
        <v>19050411274.099998</v>
      </c>
      <c r="AG1705">
        <v>19050411274.099998</v>
      </c>
      <c r="AH1705">
        <v>0</v>
      </c>
      <c r="AI1705">
        <v>0</v>
      </c>
    </row>
    <row r="1706" spans="13:35" x14ac:dyDescent="0.35">
      <c r="M1706" t="s">
        <v>1</v>
      </c>
      <c r="N1706">
        <v>4250</v>
      </c>
      <c r="O1706">
        <v>6</v>
      </c>
      <c r="P1706">
        <v>138</v>
      </c>
      <c r="Q1706">
        <v>0</v>
      </c>
      <c r="R1706">
        <v>4969911617</v>
      </c>
      <c r="S1706">
        <v>7086804.3899999997</v>
      </c>
      <c r="T1706">
        <v>4962824812.6099997</v>
      </c>
      <c r="U1706">
        <v>4962824812.6099997</v>
      </c>
      <c r="V1706">
        <v>0</v>
      </c>
      <c r="W1706">
        <v>0</v>
      </c>
      <c r="Y1706" t="s">
        <v>0</v>
      </c>
      <c r="Z1706">
        <v>4000</v>
      </c>
      <c r="AA1706">
        <v>9</v>
      </c>
      <c r="AB1706">
        <v>1866</v>
      </c>
      <c r="AC1706">
        <v>0</v>
      </c>
      <c r="AD1706">
        <v>64992881568</v>
      </c>
      <c r="AE1706">
        <v>98004899.049999997</v>
      </c>
      <c r="AF1706">
        <v>64894876668.949997</v>
      </c>
      <c r="AG1706">
        <v>64894876668.949997</v>
      </c>
      <c r="AH1706">
        <v>0</v>
      </c>
      <c r="AI1706">
        <v>0</v>
      </c>
    </row>
    <row r="1707" spans="13:35" x14ac:dyDescent="0.35">
      <c r="M1707" t="s">
        <v>2</v>
      </c>
      <c r="N1707">
        <v>4250</v>
      </c>
      <c r="O1707">
        <v>6</v>
      </c>
      <c r="P1707">
        <v>10</v>
      </c>
      <c r="Q1707">
        <v>0</v>
      </c>
      <c r="R1707">
        <v>281007690</v>
      </c>
      <c r="S1707">
        <v>403959.47</v>
      </c>
      <c r="T1707">
        <v>280603730.52999997</v>
      </c>
      <c r="U1707">
        <v>280603730.52999997</v>
      </c>
      <c r="V1707">
        <v>0</v>
      </c>
      <c r="W1707">
        <v>0</v>
      </c>
      <c r="Y1707" t="s">
        <v>3</v>
      </c>
      <c r="Z1707">
        <v>6500</v>
      </c>
      <c r="AA1707">
        <v>6</v>
      </c>
      <c r="AB1707">
        <v>35</v>
      </c>
      <c r="AC1707">
        <v>0</v>
      </c>
      <c r="AD1707">
        <v>1037148326</v>
      </c>
      <c r="AE1707">
        <v>989144.52</v>
      </c>
      <c r="AF1707">
        <v>1036159181.48</v>
      </c>
      <c r="AG1707">
        <v>1036159181.48</v>
      </c>
      <c r="AH1707">
        <v>0</v>
      </c>
      <c r="AI1707">
        <v>0</v>
      </c>
    </row>
    <row r="1708" spans="13:35" x14ac:dyDescent="0.35">
      <c r="M1708" t="s">
        <v>0</v>
      </c>
      <c r="N1708">
        <v>4000</v>
      </c>
      <c r="O1708">
        <v>5</v>
      </c>
      <c r="P1708">
        <v>12376</v>
      </c>
      <c r="Q1708">
        <v>0</v>
      </c>
      <c r="R1708">
        <v>429374700000</v>
      </c>
      <c r="S1708">
        <v>626231494.32000005</v>
      </c>
      <c r="T1708">
        <v>428698441716.48999</v>
      </c>
      <c r="U1708">
        <v>428748468505.67999</v>
      </c>
      <c r="V1708">
        <v>1.397E-3</v>
      </c>
      <c r="W1708">
        <v>0</v>
      </c>
      <c r="Y1708" t="s">
        <v>3</v>
      </c>
      <c r="Z1708">
        <v>7000</v>
      </c>
      <c r="AA1708">
        <v>7</v>
      </c>
      <c r="AB1708">
        <v>3</v>
      </c>
      <c r="AC1708">
        <v>0</v>
      </c>
      <c r="AD1708">
        <v>89076502</v>
      </c>
      <c r="AE1708">
        <v>77712.31</v>
      </c>
      <c r="AF1708">
        <v>88998789.689999998</v>
      </c>
      <c r="AG1708">
        <v>88998789.689999998</v>
      </c>
      <c r="AH1708">
        <v>0</v>
      </c>
      <c r="AI1708">
        <v>0</v>
      </c>
    </row>
    <row r="1709" spans="13:35" x14ac:dyDescent="0.35">
      <c r="M1709" t="s">
        <v>2</v>
      </c>
      <c r="N1709">
        <v>7000</v>
      </c>
      <c r="O1709">
        <v>5</v>
      </c>
      <c r="P1709">
        <v>349</v>
      </c>
      <c r="Q1709">
        <v>0</v>
      </c>
      <c r="R1709">
        <v>5460200000</v>
      </c>
      <c r="S1709">
        <v>4603203.4400000004</v>
      </c>
      <c r="T1709">
        <v>5449601880.9300003</v>
      </c>
      <c r="U1709">
        <v>5455596796.5600004</v>
      </c>
      <c r="V1709">
        <v>1.3096E-2</v>
      </c>
      <c r="W1709">
        <v>0</v>
      </c>
      <c r="Y1709" t="s">
        <v>1</v>
      </c>
      <c r="Z1709">
        <v>4500</v>
      </c>
      <c r="AA1709">
        <v>7</v>
      </c>
      <c r="AB1709">
        <v>220</v>
      </c>
      <c r="AC1709">
        <v>0</v>
      </c>
      <c r="AD1709">
        <v>7880519575</v>
      </c>
      <c r="AE1709">
        <v>10798956.02</v>
      </c>
      <c r="AF1709">
        <v>7869720618.9799995</v>
      </c>
      <c r="AG1709">
        <v>7869720618.9799995</v>
      </c>
      <c r="AH1709">
        <v>0</v>
      </c>
      <c r="AI1709">
        <v>0</v>
      </c>
    </row>
    <row r="1710" spans="13:35" x14ac:dyDescent="0.35">
      <c r="M1710" t="s">
        <v>2</v>
      </c>
      <c r="N1710">
        <v>7250</v>
      </c>
      <c r="O1710">
        <v>5</v>
      </c>
      <c r="P1710">
        <v>294</v>
      </c>
      <c r="Q1710">
        <v>0</v>
      </c>
      <c r="R1710">
        <v>4188200000</v>
      </c>
      <c r="S1710">
        <v>3420826.22</v>
      </c>
      <c r="T1710">
        <v>4177784823.7199998</v>
      </c>
      <c r="U1710">
        <v>4184779173.7800002</v>
      </c>
      <c r="V1710">
        <v>1.9857E-2</v>
      </c>
      <c r="W1710">
        <v>0</v>
      </c>
      <c r="Y1710" t="s">
        <v>0</v>
      </c>
      <c r="Z1710">
        <v>8250</v>
      </c>
      <c r="AA1710">
        <v>7</v>
      </c>
      <c r="AB1710">
        <v>142</v>
      </c>
      <c r="AC1710">
        <v>0</v>
      </c>
      <c r="AD1710">
        <v>3992781841</v>
      </c>
      <c r="AE1710">
        <v>2703116.4</v>
      </c>
      <c r="AF1710">
        <v>3883847168.4499998</v>
      </c>
      <c r="AG1710">
        <v>3883847168.4499998</v>
      </c>
      <c r="AH1710">
        <v>0.27645700000000001</v>
      </c>
      <c r="AI1710">
        <v>0.27645700000000001</v>
      </c>
    </row>
    <row r="1711" spans="13:35" x14ac:dyDescent="0.35">
      <c r="M1711" t="s">
        <v>0</v>
      </c>
      <c r="N1711">
        <v>4500</v>
      </c>
      <c r="O1711">
        <v>5</v>
      </c>
      <c r="P1711">
        <v>3081</v>
      </c>
      <c r="Q1711">
        <v>0</v>
      </c>
      <c r="R1711">
        <v>108968400000</v>
      </c>
      <c r="S1711">
        <v>145839345.43000001</v>
      </c>
      <c r="T1711">
        <v>108822560654.57001</v>
      </c>
      <c r="U1711">
        <v>108822560654.57001</v>
      </c>
      <c r="V1711">
        <v>0</v>
      </c>
      <c r="W1711">
        <v>0</v>
      </c>
      <c r="Y1711" t="s">
        <v>3</v>
      </c>
      <c r="Z1711">
        <v>5750</v>
      </c>
      <c r="AA1711">
        <v>8</v>
      </c>
      <c r="AB1711">
        <v>5</v>
      </c>
      <c r="AC1711">
        <v>0</v>
      </c>
      <c r="AD1711">
        <v>119921474</v>
      </c>
      <c r="AE1711">
        <v>131200.66</v>
      </c>
      <c r="AF1711">
        <v>119790273.34</v>
      </c>
      <c r="AG1711">
        <v>119790273.34</v>
      </c>
      <c r="AH1711">
        <v>0</v>
      </c>
      <c r="AI1711">
        <v>0</v>
      </c>
    </row>
    <row r="1712" spans="13:35" x14ac:dyDescent="0.35">
      <c r="M1712" t="s">
        <v>2</v>
      </c>
      <c r="N1712">
        <v>7750</v>
      </c>
      <c r="O1712">
        <v>7</v>
      </c>
      <c r="P1712">
        <v>10</v>
      </c>
      <c r="Q1712">
        <v>0</v>
      </c>
      <c r="R1712">
        <v>142594953</v>
      </c>
      <c r="S1712">
        <v>106910.88</v>
      </c>
      <c r="T1712">
        <v>128367109.48</v>
      </c>
      <c r="U1712">
        <v>128367109.48</v>
      </c>
      <c r="V1712">
        <v>0.713889</v>
      </c>
      <c r="W1712">
        <v>0.713889</v>
      </c>
      <c r="Y1712" t="s">
        <v>0</v>
      </c>
      <c r="Z1712">
        <v>8250</v>
      </c>
      <c r="AA1712">
        <v>6</v>
      </c>
      <c r="AB1712">
        <v>134</v>
      </c>
      <c r="AC1712">
        <v>0</v>
      </c>
      <c r="AD1712">
        <v>4116428957</v>
      </c>
      <c r="AE1712">
        <v>2766436.3</v>
      </c>
      <c r="AF1712">
        <v>4023251888.8600001</v>
      </c>
      <c r="AG1712">
        <v>4113662520.6999998</v>
      </c>
      <c r="AH1712">
        <v>0.23394200000000001</v>
      </c>
      <c r="AI1712">
        <v>0</v>
      </c>
    </row>
    <row r="1713" spans="13:35" x14ac:dyDescent="0.35">
      <c r="M1713" t="s">
        <v>1</v>
      </c>
      <c r="N1713">
        <v>7750</v>
      </c>
      <c r="O1713">
        <v>6</v>
      </c>
      <c r="P1713">
        <v>418</v>
      </c>
      <c r="Q1713">
        <v>0</v>
      </c>
      <c r="R1713">
        <v>12982895682</v>
      </c>
      <c r="S1713">
        <v>9701524.1300000008</v>
      </c>
      <c r="T1713">
        <v>12357775287.540001</v>
      </c>
      <c r="U1713">
        <v>12406046134.549999</v>
      </c>
      <c r="V1713">
        <v>0.44163999999999998</v>
      </c>
      <c r="W1713">
        <v>0.41491899999999998</v>
      </c>
      <c r="Y1713" t="s">
        <v>3</v>
      </c>
      <c r="Z1713">
        <v>6000</v>
      </c>
      <c r="AA1713">
        <v>6</v>
      </c>
      <c r="AB1713">
        <v>9</v>
      </c>
      <c r="AC1713">
        <v>0</v>
      </c>
      <c r="AD1713">
        <v>228165291</v>
      </c>
      <c r="AE1713">
        <v>239384.12</v>
      </c>
      <c r="AF1713">
        <v>227925906.88</v>
      </c>
      <c r="AG1713">
        <v>227925906.88</v>
      </c>
      <c r="AH1713">
        <v>0</v>
      </c>
      <c r="AI1713">
        <v>0</v>
      </c>
    </row>
    <row r="1714" spans="13:35" x14ac:dyDescent="0.35">
      <c r="M1714" t="s">
        <v>0</v>
      </c>
      <c r="N1714">
        <v>8250</v>
      </c>
      <c r="O1714">
        <v>6</v>
      </c>
      <c r="P1714">
        <v>79</v>
      </c>
      <c r="Q1714">
        <v>0</v>
      </c>
      <c r="R1714">
        <v>2249777016</v>
      </c>
      <c r="S1714">
        <v>1517145.84</v>
      </c>
      <c r="T1714">
        <v>2228721207.7399998</v>
      </c>
      <c r="U1714">
        <v>2248259870.1599998</v>
      </c>
      <c r="V1714">
        <v>9.9379999999999996E-2</v>
      </c>
      <c r="W1714">
        <v>0</v>
      </c>
      <c r="Y1714" t="s">
        <v>3</v>
      </c>
      <c r="Z1714">
        <v>5750</v>
      </c>
      <c r="AA1714">
        <v>7</v>
      </c>
      <c r="AB1714">
        <v>2</v>
      </c>
      <c r="AC1714">
        <v>0</v>
      </c>
      <c r="AD1714">
        <v>41130743</v>
      </c>
      <c r="AE1714">
        <v>44735.98</v>
      </c>
      <c r="AF1714">
        <v>41086007.020000003</v>
      </c>
      <c r="AG1714">
        <v>41086007.020000003</v>
      </c>
      <c r="AH1714">
        <v>0</v>
      </c>
      <c r="AI1714">
        <v>0</v>
      </c>
    </row>
    <row r="1715" spans="13:35" x14ac:dyDescent="0.35">
      <c r="M1715" t="s">
        <v>0</v>
      </c>
      <c r="N1715">
        <v>8500</v>
      </c>
      <c r="O1715">
        <v>7</v>
      </c>
      <c r="P1715">
        <v>2</v>
      </c>
      <c r="Q1715">
        <v>0</v>
      </c>
      <c r="R1715">
        <v>53177174</v>
      </c>
      <c r="S1715">
        <v>34856.410000000003</v>
      </c>
      <c r="T1715">
        <v>53142317.590000004</v>
      </c>
      <c r="U1715">
        <v>53142317.590000004</v>
      </c>
      <c r="V1715">
        <v>0</v>
      </c>
      <c r="W1715">
        <v>0</v>
      </c>
      <c r="Y1715" t="s">
        <v>1</v>
      </c>
      <c r="Z1715">
        <v>4250</v>
      </c>
      <c r="AA1715">
        <v>9</v>
      </c>
      <c r="AB1715">
        <v>171</v>
      </c>
      <c r="AC1715">
        <v>0</v>
      </c>
      <c r="AD1715">
        <v>6469062586</v>
      </c>
      <c r="AE1715">
        <v>9353499.3300000001</v>
      </c>
      <c r="AF1715">
        <v>6459709086.6700001</v>
      </c>
      <c r="AG1715">
        <v>6459709086.6700001</v>
      </c>
      <c r="AH1715">
        <v>0</v>
      </c>
      <c r="AI1715">
        <v>0</v>
      </c>
    </row>
    <row r="1716" spans="13:35" x14ac:dyDescent="0.35">
      <c r="M1716" t="s">
        <v>0</v>
      </c>
      <c r="N1716">
        <v>9000</v>
      </c>
      <c r="O1716">
        <v>7</v>
      </c>
      <c r="P1716">
        <v>3</v>
      </c>
      <c r="Q1716">
        <v>0</v>
      </c>
      <c r="R1716">
        <v>123781439</v>
      </c>
      <c r="S1716">
        <v>75241.3</v>
      </c>
      <c r="T1716">
        <v>123706197.7</v>
      </c>
      <c r="U1716">
        <v>123706197.7</v>
      </c>
      <c r="V1716">
        <v>0</v>
      </c>
      <c r="W1716">
        <v>0</v>
      </c>
      <c r="Y1716" t="s">
        <v>0</v>
      </c>
      <c r="Z1716">
        <v>4250</v>
      </c>
      <c r="AA1716">
        <v>9</v>
      </c>
      <c r="AB1716">
        <v>540</v>
      </c>
      <c r="AC1716">
        <v>0</v>
      </c>
      <c r="AD1716">
        <v>17079106490</v>
      </c>
      <c r="AE1716">
        <v>24656675.329999998</v>
      </c>
      <c r="AF1716">
        <v>17054449814.67</v>
      </c>
      <c r="AG1716">
        <v>17054449814.67</v>
      </c>
      <c r="AH1716">
        <v>0</v>
      </c>
      <c r="AI1716">
        <v>0</v>
      </c>
    </row>
    <row r="1717" spans="13:35" x14ac:dyDescent="0.35">
      <c r="M1717" t="s">
        <v>0</v>
      </c>
      <c r="N1717">
        <v>8500</v>
      </c>
      <c r="O1717">
        <v>6</v>
      </c>
      <c r="P1717">
        <v>1</v>
      </c>
      <c r="Q1717">
        <v>0</v>
      </c>
      <c r="R1717">
        <v>19100000</v>
      </c>
      <c r="S1717">
        <v>12424.75</v>
      </c>
      <c r="T1717">
        <v>19087575.25</v>
      </c>
      <c r="U1717">
        <v>19087575.25</v>
      </c>
      <c r="V1717">
        <v>0</v>
      </c>
      <c r="W1717">
        <v>0</v>
      </c>
      <c r="Y1717" t="s">
        <v>1</v>
      </c>
      <c r="Z1717">
        <v>7250</v>
      </c>
      <c r="AA1717">
        <v>5</v>
      </c>
      <c r="AB1717">
        <v>3712</v>
      </c>
      <c r="AC1717">
        <v>0</v>
      </c>
      <c r="AD1717">
        <v>121937500000</v>
      </c>
      <c r="AE1717">
        <v>99345950.579999998</v>
      </c>
      <c r="AF1717">
        <v>121547689402.35001</v>
      </c>
      <c r="AG1717">
        <v>121748427142.48</v>
      </c>
      <c r="AH1717">
        <v>2.8212999999999998E-2</v>
      </c>
      <c r="AI1717">
        <v>8.7939999999999997E-3</v>
      </c>
    </row>
    <row r="1718" spans="13:35" x14ac:dyDescent="0.35">
      <c r="M1718" t="s">
        <v>0</v>
      </c>
      <c r="N1718">
        <v>9000</v>
      </c>
      <c r="O1718">
        <v>6</v>
      </c>
      <c r="P1718">
        <v>2</v>
      </c>
      <c r="Q1718">
        <v>0</v>
      </c>
      <c r="R1718">
        <v>72600000</v>
      </c>
      <c r="S1718">
        <v>43784.480000000003</v>
      </c>
      <c r="T1718">
        <v>72556215.519999996</v>
      </c>
      <c r="U1718">
        <v>72556215.519999996</v>
      </c>
      <c r="V1718">
        <v>0</v>
      </c>
      <c r="W1718">
        <v>0</v>
      </c>
      <c r="Y1718" t="s">
        <v>3</v>
      </c>
      <c r="Z1718">
        <v>7250</v>
      </c>
      <c r="AA1718">
        <v>9</v>
      </c>
      <c r="AB1718">
        <v>1</v>
      </c>
      <c r="AC1718">
        <v>0</v>
      </c>
      <c r="AD1718">
        <v>19567476</v>
      </c>
      <c r="AE1718">
        <v>16231.62</v>
      </c>
      <c r="AF1718">
        <v>19551244.379999999</v>
      </c>
      <c r="AG1718">
        <v>19551244.379999999</v>
      </c>
      <c r="AH1718">
        <v>0</v>
      </c>
      <c r="AI1718">
        <v>0</v>
      </c>
    </row>
    <row r="1719" spans="13:35" x14ac:dyDescent="0.35">
      <c r="M1719" t="s">
        <v>0</v>
      </c>
      <c r="N1719">
        <v>9000</v>
      </c>
      <c r="O1719">
        <v>5</v>
      </c>
      <c r="P1719">
        <v>17</v>
      </c>
      <c r="Q1719">
        <v>0</v>
      </c>
      <c r="R1719">
        <v>610300000</v>
      </c>
      <c r="S1719">
        <v>355954.26</v>
      </c>
      <c r="T1719">
        <v>609944045.74000001</v>
      </c>
      <c r="U1719">
        <v>609944045.74000001</v>
      </c>
      <c r="V1719">
        <v>0</v>
      </c>
      <c r="W1719">
        <v>0</v>
      </c>
      <c r="Y1719" t="s">
        <v>3</v>
      </c>
      <c r="Z1719">
        <v>6000</v>
      </c>
      <c r="AA1719">
        <v>5</v>
      </c>
      <c r="AB1719">
        <v>158</v>
      </c>
      <c r="AC1719">
        <v>0</v>
      </c>
      <c r="AD1719">
        <v>4666600000</v>
      </c>
      <c r="AE1719">
        <v>4744724.26</v>
      </c>
      <c r="AF1719">
        <v>4661855275.7399998</v>
      </c>
      <c r="AG1719">
        <v>4661855275.7399998</v>
      </c>
      <c r="AH1719">
        <v>0</v>
      </c>
      <c r="AI1719">
        <v>0</v>
      </c>
    </row>
    <row r="1720" spans="13:35" x14ac:dyDescent="0.35">
      <c r="M1720" t="s">
        <v>0</v>
      </c>
      <c r="N1720">
        <v>8500</v>
      </c>
      <c r="O1720">
        <v>5</v>
      </c>
      <c r="P1720">
        <v>6</v>
      </c>
      <c r="Q1720">
        <v>0</v>
      </c>
      <c r="R1720">
        <v>255200000</v>
      </c>
      <c r="S1720">
        <v>161027.93</v>
      </c>
      <c r="T1720">
        <v>255038972.06999999</v>
      </c>
      <c r="U1720">
        <v>255038972.06999999</v>
      </c>
      <c r="V1720">
        <v>0</v>
      </c>
      <c r="W1720">
        <v>0</v>
      </c>
      <c r="Y1720" t="s">
        <v>3</v>
      </c>
      <c r="Z1720">
        <v>6750</v>
      </c>
      <c r="AA1720">
        <v>5</v>
      </c>
      <c r="AB1720">
        <v>29</v>
      </c>
      <c r="AC1720">
        <v>0</v>
      </c>
      <c r="AD1720">
        <v>983400000</v>
      </c>
      <c r="AE1720">
        <v>876895.21</v>
      </c>
      <c r="AF1720">
        <v>982523104.78999996</v>
      </c>
      <c r="AG1720">
        <v>982523104.78999996</v>
      </c>
      <c r="AH1720">
        <v>0</v>
      </c>
      <c r="AI1720">
        <v>0</v>
      </c>
    </row>
    <row r="1721" spans="13:35" x14ac:dyDescent="0.35">
      <c r="M1721" t="s">
        <v>0</v>
      </c>
      <c r="N1721">
        <v>8500</v>
      </c>
      <c r="O1721">
        <v>8</v>
      </c>
      <c r="P1721">
        <v>4</v>
      </c>
      <c r="Q1721">
        <v>0</v>
      </c>
      <c r="R1721">
        <v>172560532</v>
      </c>
      <c r="S1721">
        <v>113461.86</v>
      </c>
      <c r="T1721">
        <v>172447070.13999999</v>
      </c>
      <c r="U1721">
        <v>172447070.13999999</v>
      </c>
      <c r="V1721">
        <v>0</v>
      </c>
      <c r="W1721">
        <v>0</v>
      </c>
      <c r="Y1721" t="s">
        <v>3</v>
      </c>
      <c r="Z1721">
        <v>6250</v>
      </c>
      <c r="AA1721">
        <v>5</v>
      </c>
      <c r="AB1721">
        <v>207</v>
      </c>
      <c r="AC1721">
        <v>0</v>
      </c>
      <c r="AD1721">
        <v>6407000000</v>
      </c>
      <c r="AE1721">
        <v>6233863.4500000002</v>
      </c>
      <c r="AF1721">
        <v>6400766136.5500002</v>
      </c>
      <c r="AG1721">
        <v>6400766136.5500002</v>
      </c>
      <c r="AH1721">
        <v>0</v>
      </c>
      <c r="AI1721">
        <v>0</v>
      </c>
    </row>
    <row r="1722" spans="13:35" x14ac:dyDescent="0.35">
      <c r="M1722" t="s">
        <v>0</v>
      </c>
      <c r="N1722">
        <v>9000</v>
      </c>
      <c r="O1722">
        <v>8</v>
      </c>
      <c r="P1722">
        <v>1</v>
      </c>
      <c r="Q1722">
        <v>0</v>
      </c>
      <c r="R1722">
        <v>19544972</v>
      </c>
      <c r="S1722">
        <v>11974.44</v>
      </c>
      <c r="T1722">
        <v>19532997.559999999</v>
      </c>
      <c r="U1722">
        <v>19532997.559999999</v>
      </c>
      <c r="V1722">
        <v>0</v>
      </c>
      <c r="W1722">
        <v>0</v>
      </c>
      <c r="Y1722" t="s">
        <v>2</v>
      </c>
      <c r="Z1722">
        <v>3500</v>
      </c>
      <c r="AA1722">
        <v>8</v>
      </c>
      <c r="AB1722">
        <v>6</v>
      </c>
      <c r="AC1722">
        <v>0</v>
      </c>
      <c r="AD1722">
        <v>88721915</v>
      </c>
      <c r="AE1722">
        <v>146470.16</v>
      </c>
      <c r="AF1722">
        <v>88575444.840000004</v>
      </c>
      <c r="AG1722">
        <v>88575444.840000004</v>
      </c>
      <c r="AH1722">
        <v>0</v>
      </c>
      <c r="AI1722">
        <v>0</v>
      </c>
    </row>
    <row r="1723" spans="13:35" x14ac:dyDescent="0.35">
      <c r="M1723" t="s">
        <v>1</v>
      </c>
      <c r="N1723">
        <v>8000</v>
      </c>
      <c r="O1723">
        <v>7</v>
      </c>
      <c r="P1723">
        <v>15</v>
      </c>
      <c r="Q1723">
        <v>0</v>
      </c>
      <c r="R1723">
        <v>469808786</v>
      </c>
      <c r="S1723">
        <v>338180.29</v>
      </c>
      <c r="T1723">
        <v>125800350.59</v>
      </c>
      <c r="U1723">
        <v>469470605.70999998</v>
      </c>
      <c r="V1723">
        <v>1</v>
      </c>
      <c r="W1723">
        <v>0</v>
      </c>
      <c r="Y1723" t="s">
        <v>3</v>
      </c>
      <c r="Z1723">
        <v>5750</v>
      </c>
      <c r="AA1723">
        <v>5</v>
      </c>
      <c r="AB1723">
        <v>148</v>
      </c>
      <c r="AC1723">
        <v>0</v>
      </c>
      <c r="AD1723">
        <v>4520100000</v>
      </c>
      <c r="AE1723">
        <v>4798967.8499999996</v>
      </c>
      <c r="AF1723">
        <v>4515301032.1499996</v>
      </c>
      <c r="AG1723">
        <v>4515301032.1499996</v>
      </c>
      <c r="AH1723">
        <v>0</v>
      </c>
      <c r="AI1723">
        <v>0</v>
      </c>
    </row>
    <row r="1724" spans="13:35" x14ac:dyDescent="0.35">
      <c r="M1724" t="s">
        <v>1</v>
      </c>
      <c r="N1724">
        <v>8250</v>
      </c>
      <c r="O1724">
        <v>7</v>
      </c>
      <c r="P1724">
        <v>10</v>
      </c>
      <c r="Q1724">
        <v>0</v>
      </c>
      <c r="R1724">
        <v>332497865</v>
      </c>
      <c r="S1724">
        <v>234549.65</v>
      </c>
      <c r="T1724">
        <v>0</v>
      </c>
      <c r="U1724">
        <v>332263315.35000002</v>
      </c>
      <c r="V1724">
        <v>1</v>
      </c>
      <c r="W1724">
        <v>0</v>
      </c>
      <c r="Y1724" t="s">
        <v>3</v>
      </c>
      <c r="Z1724">
        <v>5500</v>
      </c>
      <c r="AA1724">
        <v>5</v>
      </c>
      <c r="AB1724">
        <v>70</v>
      </c>
      <c r="AC1724">
        <v>0</v>
      </c>
      <c r="AD1724">
        <v>2050100000</v>
      </c>
      <c r="AE1724">
        <v>2286447.4</v>
      </c>
      <c r="AF1724">
        <v>2047813552.5999999</v>
      </c>
      <c r="AG1724">
        <v>2047813552.5999999</v>
      </c>
      <c r="AH1724">
        <v>0</v>
      </c>
      <c r="AI1724">
        <v>0</v>
      </c>
    </row>
    <row r="1725" spans="13:35" x14ac:dyDescent="0.35">
      <c r="M1725" t="s">
        <v>1</v>
      </c>
      <c r="N1725">
        <v>7750</v>
      </c>
      <c r="O1725">
        <v>5</v>
      </c>
      <c r="P1725">
        <v>952</v>
      </c>
      <c r="Q1725">
        <v>0</v>
      </c>
      <c r="R1725">
        <v>28533300000</v>
      </c>
      <c r="S1725">
        <v>20759453.120000001</v>
      </c>
      <c r="T1725">
        <v>27530554963.540001</v>
      </c>
      <c r="U1725">
        <v>27530554963.540001</v>
      </c>
      <c r="V1725">
        <v>0.34312300000000001</v>
      </c>
      <c r="W1725">
        <v>0.34312300000000001</v>
      </c>
      <c r="Y1725" t="s">
        <v>3</v>
      </c>
      <c r="Z1725">
        <v>7250</v>
      </c>
      <c r="AA1725">
        <v>8</v>
      </c>
      <c r="AB1725">
        <v>2</v>
      </c>
      <c r="AC1725">
        <v>0</v>
      </c>
      <c r="AD1725">
        <v>38457515</v>
      </c>
      <c r="AE1725">
        <v>32457.45</v>
      </c>
      <c r="AF1725">
        <v>38425057.549999997</v>
      </c>
      <c r="AG1725">
        <v>38425057.549999997</v>
      </c>
      <c r="AH1725">
        <v>0</v>
      </c>
      <c r="AI1725">
        <v>0</v>
      </c>
    </row>
    <row r="1726" spans="13:35" x14ac:dyDescent="0.35">
      <c r="M1726" t="s">
        <v>1</v>
      </c>
      <c r="N1726">
        <v>7500</v>
      </c>
      <c r="O1726">
        <v>5</v>
      </c>
      <c r="P1726">
        <v>209</v>
      </c>
      <c r="Q1726">
        <v>0</v>
      </c>
      <c r="R1726">
        <v>6432000000</v>
      </c>
      <c r="S1726">
        <v>4980506.18</v>
      </c>
      <c r="T1726">
        <v>6267444727.3800001</v>
      </c>
      <c r="U1726">
        <v>6309812142.2799997</v>
      </c>
      <c r="V1726">
        <v>0.26027</v>
      </c>
      <c r="W1726">
        <v>0.19803299999999999</v>
      </c>
      <c r="Y1726" t="s">
        <v>1</v>
      </c>
      <c r="Z1726">
        <v>7750</v>
      </c>
      <c r="AA1726">
        <v>6</v>
      </c>
      <c r="AB1726">
        <v>446</v>
      </c>
      <c r="AC1726">
        <v>0</v>
      </c>
      <c r="AD1726">
        <v>14358121472</v>
      </c>
      <c r="AE1726">
        <v>10691392.890000001</v>
      </c>
      <c r="AF1726">
        <v>14174559269.42</v>
      </c>
      <c r="AG1726">
        <v>14268688135.370001</v>
      </c>
      <c r="AH1726">
        <v>0.13528599999999999</v>
      </c>
      <c r="AI1726">
        <v>6.3861000000000001E-2</v>
      </c>
    </row>
    <row r="1727" spans="13:35" x14ac:dyDescent="0.35">
      <c r="M1727" t="s">
        <v>2</v>
      </c>
      <c r="N1727">
        <v>7500</v>
      </c>
      <c r="O1727">
        <v>7</v>
      </c>
      <c r="P1727">
        <v>21</v>
      </c>
      <c r="Q1727">
        <v>0</v>
      </c>
      <c r="R1727">
        <v>353117426</v>
      </c>
      <c r="S1727">
        <v>280098.28999999998</v>
      </c>
      <c r="T1727">
        <v>352837327.70999998</v>
      </c>
      <c r="U1727">
        <v>352837327.70999998</v>
      </c>
      <c r="V1727">
        <v>0</v>
      </c>
      <c r="W1727">
        <v>0</v>
      </c>
      <c r="Y1727" t="s">
        <v>2</v>
      </c>
      <c r="Z1727">
        <v>7250</v>
      </c>
      <c r="AA1727">
        <v>5</v>
      </c>
      <c r="AB1727">
        <v>415</v>
      </c>
      <c r="AC1727">
        <v>0</v>
      </c>
      <c r="AD1727">
        <v>5724300000</v>
      </c>
      <c r="AE1727">
        <v>4669846.4000000004</v>
      </c>
      <c r="AF1727">
        <v>5719630153.6000004</v>
      </c>
      <c r="AG1727">
        <v>5719630153.6000004</v>
      </c>
      <c r="AH1727">
        <v>0</v>
      </c>
      <c r="AI1727">
        <v>0</v>
      </c>
    </row>
    <row r="1728" spans="13:35" x14ac:dyDescent="0.35">
      <c r="M1728" t="s">
        <v>3</v>
      </c>
      <c r="N1728">
        <v>7750</v>
      </c>
      <c r="O1728">
        <v>8</v>
      </c>
      <c r="P1728">
        <v>1</v>
      </c>
      <c r="Q1728">
        <v>0</v>
      </c>
      <c r="R1728">
        <v>37128171</v>
      </c>
      <c r="S1728">
        <v>28437.43</v>
      </c>
      <c r="T1728">
        <v>37099733.57</v>
      </c>
      <c r="U1728">
        <v>37099733.57</v>
      </c>
      <c r="V1728">
        <v>0</v>
      </c>
      <c r="W1728">
        <v>0</v>
      </c>
      <c r="Y1728" t="s">
        <v>0</v>
      </c>
      <c r="Z1728">
        <v>4500</v>
      </c>
      <c r="AA1728">
        <v>5</v>
      </c>
      <c r="AB1728">
        <v>2870</v>
      </c>
      <c r="AC1728">
        <v>0</v>
      </c>
      <c r="AD1728">
        <v>102061800000</v>
      </c>
      <c r="AE1728">
        <v>136729277.31999999</v>
      </c>
      <c r="AF1728">
        <v>101925070722.67999</v>
      </c>
      <c r="AG1728">
        <v>101925070722.67999</v>
      </c>
      <c r="AH1728">
        <v>0</v>
      </c>
      <c r="AI1728">
        <v>0</v>
      </c>
    </row>
    <row r="1729" spans="13:35" x14ac:dyDescent="0.35">
      <c r="M1729" t="s">
        <v>1</v>
      </c>
      <c r="N1729">
        <v>4000</v>
      </c>
      <c r="O1729">
        <v>5</v>
      </c>
      <c r="P1729">
        <v>4468</v>
      </c>
      <c r="Q1729">
        <v>0</v>
      </c>
      <c r="R1729">
        <v>167173500000</v>
      </c>
      <c r="S1729">
        <v>243774633.11000001</v>
      </c>
      <c r="T1729">
        <v>166920638798.07999</v>
      </c>
      <c r="U1729">
        <v>166929725366.89001</v>
      </c>
      <c r="V1729">
        <v>6.5200000000000002E-4</v>
      </c>
      <c r="W1729">
        <v>0</v>
      </c>
      <c r="Y1729" t="s">
        <v>2</v>
      </c>
      <c r="Z1729">
        <v>4250</v>
      </c>
      <c r="AA1729">
        <v>5</v>
      </c>
      <c r="AB1729">
        <v>59</v>
      </c>
      <c r="AC1729">
        <v>0</v>
      </c>
      <c r="AD1729">
        <v>1664000000</v>
      </c>
      <c r="AE1729">
        <v>2325886.98</v>
      </c>
      <c r="AF1729">
        <v>1661674113.02</v>
      </c>
      <c r="AG1729">
        <v>1661674113.02</v>
      </c>
      <c r="AH1729">
        <v>0</v>
      </c>
      <c r="AI1729">
        <v>0</v>
      </c>
    </row>
    <row r="1730" spans="13:35" x14ac:dyDescent="0.35">
      <c r="M1730" t="s">
        <v>2</v>
      </c>
      <c r="N1730">
        <v>4000</v>
      </c>
      <c r="O1730">
        <v>5</v>
      </c>
      <c r="P1730">
        <v>476</v>
      </c>
      <c r="Q1730">
        <v>0</v>
      </c>
      <c r="R1730">
        <v>13662600000</v>
      </c>
      <c r="S1730">
        <v>19867682.170000002</v>
      </c>
      <c r="T1730">
        <v>13642732317.83</v>
      </c>
      <c r="U1730">
        <v>13642732317.83</v>
      </c>
      <c r="V1730">
        <v>0</v>
      </c>
      <c r="W1730">
        <v>0</v>
      </c>
      <c r="Y1730" t="s">
        <v>0</v>
      </c>
      <c r="Z1730">
        <v>4000</v>
      </c>
      <c r="AA1730">
        <v>5</v>
      </c>
      <c r="AB1730">
        <v>13288</v>
      </c>
      <c r="AC1730">
        <v>0</v>
      </c>
      <c r="AD1730">
        <v>461942600000</v>
      </c>
      <c r="AE1730">
        <v>674587915.05999994</v>
      </c>
      <c r="AF1730">
        <v>461196717842.41998</v>
      </c>
      <c r="AG1730">
        <v>461268012084.94</v>
      </c>
      <c r="AH1730">
        <v>1.8500000000000001E-3</v>
      </c>
      <c r="AI1730">
        <v>0</v>
      </c>
    </row>
    <row r="1731" spans="13:35" x14ac:dyDescent="0.35">
      <c r="M1731" t="s">
        <v>3</v>
      </c>
      <c r="N1731">
        <v>7000</v>
      </c>
      <c r="O1731">
        <v>5</v>
      </c>
      <c r="P1731">
        <v>5</v>
      </c>
      <c r="Q1731">
        <v>0</v>
      </c>
      <c r="R1731">
        <v>142000000</v>
      </c>
      <c r="S1731">
        <v>118739.24</v>
      </c>
      <c r="T1731">
        <v>141881260.75999999</v>
      </c>
      <c r="U1731">
        <v>141881260.75999999</v>
      </c>
      <c r="V1731">
        <v>0</v>
      </c>
      <c r="W1731">
        <v>0</v>
      </c>
      <c r="Y1731" t="s">
        <v>2</v>
      </c>
      <c r="Z1731">
        <v>7750</v>
      </c>
      <c r="AA1731">
        <v>6</v>
      </c>
      <c r="AB1731">
        <v>10</v>
      </c>
      <c r="AC1731">
        <v>0</v>
      </c>
      <c r="AD1731">
        <v>142669118</v>
      </c>
      <c r="AE1731">
        <v>106204.98</v>
      </c>
      <c r="AF1731">
        <v>142562913.02000001</v>
      </c>
      <c r="AG1731">
        <v>142562913.02000001</v>
      </c>
      <c r="AH1731">
        <v>0</v>
      </c>
      <c r="AI1731">
        <v>0</v>
      </c>
    </row>
    <row r="1732" spans="13:35" x14ac:dyDescent="0.35">
      <c r="M1732" t="s">
        <v>3</v>
      </c>
      <c r="N1732">
        <v>6250</v>
      </c>
      <c r="O1732">
        <v>5</v>
      </c>
      <c r="P1732">
        <v>201</v>
      </c>
      <c r="Q1732">
        <v>0</v>
      </c>
      <c r="R1732">
        <v>6215200000</v>
      </c>
      <c r="S1732">
        <v>6049987.5899999999</v>
      </c>
      <c r="T1732">
        <v>6209150012.4099998</v>
      </c>
      <c r="U1732">
        <v>6209150012.4099998</v>
      </c>
      <c r="V1732">
        <v>0</v>
      </c>
      <c r="W1732">
        <v>0</v>
      </c>
      <c r="Y1732" t="s">
        <v>1</v>
      </c>
      <c r="Z1732">
        <v>7750</v>
      </c>
      <c r="AA1732">
        <v>5</v>
      </c>
      <c r="AB1732">
        <v>1332</v>
      </c>
      <c r="AC1732">
        <v>0</v>
      </c>
      <c r="AD1732">
        <v>40520700000</v>
      </c>
      <c r="AE1732">
        <v>29550148.420000002</v>
      </c>
      <c r="AF1732">
        <v>40479658293.32</v>
      </c>
      <c r="AG1732">
        <v>40491149851.580002</v>
      </c>
      <c r="AH1732">
        <v>3.398E-3</v>
      </c>
      <c r="AI1732">
        <v>0</v>
      </c>
    </row>
    <row r="1733" spans="13:35" x14ac:dyDescent="0.35">
      <c r="M1733" t="s">
        <v>3</v>
      </c>
      <c r="N1733">
        <v>6500</v>
      </c>
      <c r="O1733">
        <v>5</v>
      </c>
      <c r="P1733">
        <v>59</v>
      </c>
      <c r="Q1733">
        <v>0</v>
      </c>
      <c r="R1733">
        <v>1633800000</v>
      </c>
      <c r="S1733">
        <v>1522828.13</v>
      </c>
      <c r="T1733">
        <v>1632277171.8699999</v>
      </c>
      <c r="U1733">
        <v>1632277171.8699999</v>
      </c>
      <c r="V1733">
        <v>0</v>
      </c>
      <c r="W1733">
        <v>0</v>
      </c>
      <c r="Y1733" t="s">
        <v>0</v>
      </c>
      <c r="Z1733">
        <v>8500</v>
      </c>
      <c r="AA1733">
        <v>6</v>
      </c>
      <c r="AB1733">
        <v>2</v>
      </c>
      <c r="AC1733">
        <v>0</v>
      </c>
      <c r="AD1733">
        <v>53211789</v>
      </c>
      <c r="AE1733">
        <v>34614.82</v>
      </c>
      <c r="AF1733">
        <v>53177174.18</v>
      </c>
      <c r="AG1733">
        <v>53177174.18</v>
      </c>
      <c r="AH1733">
        <v>0</v>
      </c>
      <c r="AI1733">
        <v>0</v>
      </c>
    </row>
    <row r="1734" spans="13:35" x14ac:dyDescent="0.35">
      <c r="M1734" t="s">
        <v>3</v>
      </c>
      <c r="N1734">
        <v>6750</v>
      </c>
      <c r="O1734">
        <v>5</v>
      </c>
      <c r="P1734">
        <v>22</v>
      </c>
      <c r="Q1734">
        <v>0</v>
      </c>
      <c r="R1734">
        <v>745700000</v>
      </c>
      <c r="S1734">
        <v>659597.03</v>
      </c>
      <c r="T1734">
        <v>745040402.97000003</v>
      </c>
      <c r="U1734">
        <v>745040402.97000003</v>
      </c>
      <c r="V1734">
        <v>0</v>
      </c>
      <c r="W1734">
        <v>0</v>
      </c>
      <c r="Y1734" t="s">
        <v>0</v>
      </c>
      <c r="Z1734">
        <v>9000</v>
      </c>
      <c r="AA1734">
        <v>6</v>
      </c>
      <c r="AB1734">
        <v>3</v>
      </c>
      <c r="AC1734">
        <v>0</v>
      </c>
      <c r="AD1734">
        <v>123856136</v>
      </c>
      <c r="AE1734">
        <v>74696.639999999999</v>
      </c>
      <c r="AF1734">
        <v>123781439.36</v>
      </c>
      <c r="AG1734">
        <v>123781439.36</v>
      </c>
      <c r="AH1734">
        <v>0</v>
      </c>
      <c r="AI1734">
        <v>0</v>
      </c>
    </row>
    <row r="1735" spans="13:35" x14ac:dyDescent="0.35">
      <c r="M1735" t="s">
        <v>2</v>
      </c>
      <c r="N1735">
        <v>7750</v>
      </c>
      <c r="O1735">
        <v>6</v>
      </c>
      <c r="P1735">
        <v>14</v>
      </c>
      <c r="Q1735">
        <v>0</v>
      </c>
      <c r="R1735">
        <v>207441013</v>
      </c>
      <c r="S1735">
        <v>154381.70000000001</v>
      </c>
      <c r="T1735">
        <v>207286631.30000001</v>
      </c>
      <c r="U1735">
        <v>207286631.30000001</v>
      </c>
      <c r="V1735">
        <v>0</v>
      </c>
      <c r="W1735">
        <v>0</v>
      </c>
      <c r="Y1735" t="s">
        <v>0</v>
      </c>
      <c r="Z1735">
        <v>8500</v>
      </c>
      <c r="AA1735">
        <v>5</v>
      </c>
      <c r="AB1735">
        <v>6</v>
      </c>
      <c r="AC1735">
        <v>0</v>
      </c>
      <c r="AD1735">
        <v>249900000</v>
      </c>
      <c r="AE1735">
        <v>157521.25</v>
      </c>
      <c r="AF1735">
        <v>249742478.75</v>
      </c>
      <c r="AG1735">
        <v>249742478.75</v>
      </c>
      <c r="AH1735">
        <v>0</v>
      </c>
      <c r="AI1735">
        <v>0</v>
      </c>
    </row>
    <row r="1736" spans="13:35" x14ac:dyDescent="0.35">
      <c r="M1736" t="s">
        <v>1</v>
      </c>
      <c r="N1736">
        <v>4750</v>
      </c>
      <c r="O1736">
        <v>6</v>
      </c>
      <c r="P1736">
        <v>305</v>
      </c>
      <c r="Q1736">
        <v>0</v>
      </c>
      <c r="R1736">
        <v>11931848700</v>
      </c>
      <c r="S1736">
        <v>15564158.199999999</v>
      </c>
      <c r="T1736">
        <v>11916284541.799999</v>
      </c>
      <c r="U1736">
        <v>11916284541.799999</v>
      </c>
      <c r="V1736">
        <v>0</v>
      </c>
      <c r="W1736">
        <v>0</v>
      </c>
      <c r="Y1736" t="s">
        <v>0</v>
      </c>
      <c r="Z1736">
        <v>9000</v>
      </c>
      <c r="AA1736">
        <v>5</v>
      </c>
      <c r="AB1736">
        <v>16</v>
      </c>
      <c r="AC1736">
        <v>0</v>
      </c>
      <c r="AD1736">
        <v>588500000</v>
      </c>
      <c r="AE1736">
        <v>343833.74</v>
      </c>
      <c r="AF1736">
        <v>588156166.25999999</v>
      </c>
      <c r="AG1736">
        <v>588156166.25999999</v>
      </c>
      <c r="AH1736">
        <v>0</v>
      </c>
      <c r="AI1736">
        <v>0</v>
      </c>
    </row>
    <row r="1737" spans="13:35" x14ac:dyDescent="0.35">
      <c r="M1737" t="s">
        <v>1</v>
      </c>
      <c r="N1737">
        <v>4000</v>
      </c>
      <c r="O1737">
        <v>9</v>
      </c>
      <c r="P1737">
        <v>630</v>
      </c>
      <c r="Q1737">
        <v>0</v>
      </c>
      <c r="R1737">
        <v>23845742574</v>
      </c>
      <c r="S1737">
        <v>35971025.520000003</v>
      </c>
      <c r="T1737">
        <v>23747963641.639999</v>
      </c>
      <c r="U1737">
        <v>23809771548.48</v>
      </c>
      <c r="V1737">
        <v>3.0664E-2</v>
      </c>
      <c r="W1737">
        <v>0</v>
      </c>
      <c r="Y1737" t="s">
        <v>0</v>
      </c>
      <c r="Z1737">
        <v>8500</v>
      </c>
      <c r="AA1737">
        <v>7</v>
      </c>
      <c r="AB1737">
        <v>4</v>
      </c>
      <c r="AC1737">
        <v>0</v>
      </c>
      <c r="AD1737">
        <v>172673206</v>
      </c>
      <c r="AE1737">
        <v>112673.4</v>
      </c>
      <c r="AF1737">
        <v>172560532.59999999</v>
      </c>
      <c r="AG1737">
        <v>172560532.59999999</v>
      </c>
      <c r="AH1737">
        <v>0</v>
      </c>
      <c r="AI1737">
        <v>0</v>
      </c>
    </row>
    <row r="1738" spans="13:35" x14ac:dyDescent="0.35">
      <c r="M1738" t="s">
        <v>1</v>
      </c>
      <c r="N1738">
        <v>7500</v>
      </c>
      <c r="O1738">
        <v>6</v>
      </c>
      <c r="P1738">
        <v>135</v>
      </c>
      <c r="Q1738">
        <v>0</v>
      </c>
      <c r="R1738">
        <v>4593343137</v>
      </c>
      <c r="S1738">
        <v>3622395.04</v>
      </c>
      <c r="T1738">
        <v>4489798232.6800003</v>
      </c>
      <c r="U1738">
        <v>4532570616.8800001</v>
      </c>
      <c r="V1738">
        <v>0.23197000000000001</v>
      </c>
      <c r="W1738">
        <v>0.13949900000000001</v>
      </c>
      <c r="Y1738" t="s">
        <v>0</v>
      </c>
      <c r="Z1738">
        <v>9000</v>
      </c>
      <c r="AA1738">
        <v>7</v>
      </c>
      <c r="AB1738">
        <v>1</v>
      </c>
      <c r="AC1738">
        <v>0</v>
      </c>
      <c r="AD1738">
        <v>19556860</v>
      </c>
      <c r="AE1738">
        <v>11887.76</v>
      </c>
      <c r="AF1738">
        <v>19544972.239999998</v>
      </c>
      <c r="AG1738">
        <v>19544972.239999998</v>
      </c>
      <c r="AH1738">
        <v>0</v>
      </c>
      <c r="AI1738">
        <v>0</v>
      </c>
    </row>
    <row r="1739" spans="13:35" x14ac:dyDescent="0.35">
      <c r="M1739" t="s">
        <v>3</v>
      </c>
      <c r="N1739">
        <v>5750</v>
      </c>
      <c r="O1739">
        <v>6</v>
      </c>
      <c r="P1739">
        <v>15</v>
      </c>
      <c r="Q1739">
        <v>0</v>
      </c>
      <c r="R1739">
        <v>399896737</v>
      </c>
      <c r="S1739">
        <v>435299.15</v>
      </c>
      <c r="T1739">
        <v>399461437.85000002</v>
      </c>
      <c r="U1739">
        <v>399461437.85000002</v>
      </c>
      <c r="V1739">
        <v>0</v>
      </c>
      <c r="W1739">
        <v>0</v>
      </c>
      <c r="Y1739" t="s">
        <v>1</v>
      </c>
      <c r="Z1739">
        <v>8250</v>
      </c>
      <c r="AA1739">
        <v>7</v>
      </c>
      <c r="AB1739">
        <v>16</v>
      </c>
      <c r="AC1739">
        <v>0</v>
      </c>
      <c r="AD1739">
        <v>441132852</v>
      </c>
      <c r="AE1739">
        <v>324109.93</v>
      </c>
      <c r="AF1739">
        <v>0</v>
      </c>
      <c r="AG1739">
        <v>440808742.06999999</v>
      </c>
      <c r="AH1739">
        <v>1</v>
      </c>
      <c r="AI1739">
        <v>0</v>
      </c>
    </row>
    <row r="1740" spans="13:35" x14ac:dyDescent="0.35">
      <c r="M1740" t="s">
        <v>3</v>
      </c>
      <c r="N1740">
        <v>6500</v>
      </c>
      <c r="O1740">
        <v>6</v>
      </c>
      <c r="P1740">
        <v>23</v>
      </c>
      <c r="Q1740">
        <v>0</v>
      </c>
      <c r="R1740">
        <v>614250212</v>
      </c>
      <c r="S1740">
        <v>580223.71</v>
      </c>
      <c r="T1740">
        <v>613669988.28999996</v>
      </c>
      <c r="U1740">
        <v>613669988.28999996</v>
      </c>
      <c r="V1740">
        <v>0</v>
      </c>
      <c r="W1740">
        <v>0</v>
      </c>
      <c r="Y1740" t="s">
        <v>1</v>
      </c>
      <c r="Z1740">
        <v>8000</v>
      </c>
      <c r="AA1740">
        <v>7</v>
      </c>
      <c r="AB1740">
        <v>13</v>
      </c>
      <c r="AC1740">
        <v>0</v>
      </c>
      <c r="AD1740">
        <v>328447492</v>
      </c>
      <c r="AE1740">
        <v>239371.68</v>
      </c>
      <c r="AF1740">
        <v>42240763.670000002</v>
      </c>
      <c r="AG1740">
        <v>328208120.31999999</v>
      </c>
      <c r="AH1740">
        <v>1</v>
      </c>
      <c r="AI1740">
        <v>0</v>
      </c>
    </row>
    <row r="1741" spans="13:35" x14ac:dyDescent="0.35">
      <c r="M1741" t="s">
        <v>3</v>
      </c>
      <c r="N1741">
        <v>5250</v>
      </c>
      <c r="O1741">
        <v>5</v>
      </c>
      <c r="P1741">
        <v>30</v>
      </c>
      <c r="Q1741">
        <v>0</v>
      </c>
      <c r="R1741">
        <v>878700000</v>
      </c>
      <c r="S1741">
        <v>1022057.18</v>
      </c>
      <c r="T1741">
        <v>877677942.82000005</v>
      </c>
      <c r="U1741">
        <v>877677942.82000005</v>
      </c>
      <c r="V1741">
        <v>0</v>
      </c>
      <c r="W1741">
        <v>0</v>
      </c>
      <c r="Y1741" t="s">
        <v>1</v>
      </c>
      <c r="Z1741">
        <v>8000</v>
      </c>
      <c r="AA1741">
        <v>6</v>
      </c>
      <c r="AB1741">
        <v>15</v>
      </c>
      <c r="AC1741">
        <v>0</v>
      </c>
      <c r="AD1741">
        <v>470141820</v>
      </c>
      <c r="AE1741">
        <v>335965.91</v>
      </c>
      <c r="AF1741">
        <v>469805854.08999997</v>
      </c>
      <c r="AG1741">
        <v>469805854.08999997</v>
      </c>
      <c r="AH1741">
        <v>0</v>
      </c>
      <c r="AI1741">
        <v>0</v>
      </c>
    </row>
    <row r="1742" spans="13:35" x14ac:dyDescent="0.35">
      <c r="M1742" t="s">
        <v>3</v>
      </c>
      <c r="N1742">
        <v>7750</v>
      </c>
      <c r="O1742">
        <v>9</v>
      </c>
      <c r="P1742">
        <v>1</v>
      </c>
      <c r="Q1742">
        <v>0</v>
      </c>
      <c r="R1742">
        <v>34717229</v>
      </c>
      <c r="S1742">
        <v>26780.3</v>
      </c>
      <c r="T1742">
        <v>34690448.700000003</v>
      </c>
      <c r="U1742">
        <v>34690448.700000003</v>
      </c>
      <c r="V1742">
        <v>0</v>
      </c>
      <c r="W1742">
        <v>0</v>
      </c>
      <c r="Y1742" t="s">
        <v>1</v>
      </c>
      <c r="Z1742">
        <v>8250</v>
      </c>
      <c r="AA1742">
        <v>6</v>
      </c>
      <c r="AB1742">
        <v>10</v>
      </c>
      <c r="AC1742">
        <v>0</v>
      </c>
      <c r="AD1742">
        <v>332686898</v>
      </c>
      <c r="AE1742">
        <v>232937.74</v>
      </c>
      <c r="AF1742">
        <v>332453960.25999999</v>
      </c>
      <c r="AG1742">
        <v>332453960.25999999</v>
      </c>
      <c r="AH1742">
        <v>0</v>
      </c>
      <c r="AI1742">
        <v>0</v>
      </c>
    </row>
    <row r="1743" spans="13:35" x14ac:dyDescent="0.35">
      <c r="M1743" t="s">
        <v>3</v>
      </c>
      <c r="N1743">
        <v>7000</v>
      </c>
      <c r="O1743">
        <v>6</v>
      </c>
      <c r="P1743">
        <v>1</v>
      </c>
      <c r="Q1743">
        <v>0</v>
      </c>
      <c r="R1743">
        <v>23752489</v>
      </c>
      <c r="S1743">
        <v>20262.29</v>
      </c>
      <c r="T1743">
        <v>23732226.710000001</v>
      </c>
      <c r="U1743">
        <v>23732226.710000001</v>
      </c>
      <c r="V1743">
        <v>0</v>
      </c>
      <c r="W1743">
        <v>0</v>
      </c>
      <c r="Y1743" t="s">
        <v>1</v>
      </c>
      <c r="Z1743">
        <v>7500</v>
      </c>
      <c r="AA1743">
        <v>5</v>
      </c>
      <c r="AB1743">
        <v>321</v>
      </c>
      <c r="AC1743">
        <v>0</v>
      </c>
      <c r="AD1743">
        <v>10224900000</v>
      </c>
      <c r="AE1743">
        <v>7945494.5199999996</v>
      </c>
      <c r="AF1743">
        <v>10186478527.99</v>
      </c>
      <c r="AG1743">
        <v>10186478527.99</v>
      </c>
      <c r="AH1743">
        <v>3.5186000000000002E-2</v>
      </c>
      <c r="AI1743">
        <v>3.5186000000000002E-2</v>
      </c>
    </row>
    <row r="1744" spans="13:35" x14ac:dyDescent="0.35">
      <c r="M1744" t="s">
        <v>1</v>
      </c>
      <c r="N1744">
        <v>3750</v>
      </c>
      <c r="O1744">
        <v>5</v>
      </c>
      <c r="P1744">
        <v>347</v>
      </c>
      <c r="Q1744">
        <v>0</v>
      </c>
      <c r="R1744">
        <v>14679700000</v>
      </c>
      <c r="S1744">
        <v>22396016.670000002</v>
      </c>
      <c r="T1744">
        <v>14657303983.33</v>
      </c>
      <c r="U1744">
        <v>14657303983.33</v>
      </c>
      <c r="V1744">
        <v>0</v>
      </c>
      <c r="W1744">
        <v>0</v>
      </c>
      <c r="Y1744" t="s">
        <v>2</v>
      </c>
      <c r="Z1744">
        <v>7500</v>
      </c>
      <c r="AA1744">
        <v>6</v>
      </c>
      <c r="AB1744">
        <v>21</v>
      </c>
      <c r="AC1744">
        <v>0</v>
      </c>
      <c r="AD1744">
        <v>353430754</v>
      </c>
      <c r="AE1744">
        <v>278407.8</v>
      </c>
      <c r="AF1744">
        <v>353152346.19999999</v>
      </c>
      <c r="AG1744">
        <v>353152346.19999999</v>
      </c>
      <c r="AH1744">
        <v>0</v>
      </c>
      <c r="AI1744">
        <v>0</v>
      </c>
    </row>
    <row r="1745" spans="13:35" x14ac:dyDescent="0.35">
      <c r="M1745" t="s">
        <v>3</v>
      </c>
      <c r="N1745">
        <v>7000</v>
      </c>
      <c r="O1745">
        <v>7</v>
      </c>
      <c r="P1745">
        <v>3</v>
      </c>
      <c r="Q1745">
        <v>0</v>
      </c>
      <c r="R1745">
        <v>80977130</v>
      </c>
      <c r="S1745">
        <v>70090.100000000006</v>
      </c>
      <c r="T1745">
        <v>80907039.900000006</v>
      </c>
      <c r="U1745">
        <v>80907039.900000006</v>
      </c>
      <c r="V1745">
        <v>0</v>
      </c>
      <c r="W1745">
        <v>0</v>
      </c>
      <c r="Y1745" t="s">
        <v>3</v>
      </c>
      <c r="Z1745">
        <v>7750</v>
      </c>
      <c r="AA1745">
        <v>7</v>
      </c>
      <c r="AB1745">
        <v>1</v>
      </c>
      <c r="AC1745">
        <v>0</v>
      </c>
      <c r="AD1745">
        <v>37156429</v>
      </c>
      <c r="AE1745">
        <v>28257.87</v>
      </c>
      <c r="AF1745">
        <v>37128171.130000003</v>
      </c>
      <c r="AG1745">
        <v>37128171.130000003</v>
      </c>
      <c r="AH1745">
        <v>0</v>
      </c>
      <c r="AI1745">
        <v>0</v>
      </c>
    </row>
    <row r="1746" spans="13:35" x14ac:dyDescent="0.35">
      <c r="M1746" t="s">
        <v>0</v>
      </c>
      <c r="N1746">
        <v>4000</v>
      </c>
      <c r="O1746">
        <v>6</v>
      </c>
      <c r="P1746">
        <v>2669</v>
      </c>
      <c r="Q1746">
        <v>0</v>
      </c>
      <c r="R1746">
        <v>92782308686</v>
      </c>
      <c r="S1746">
        <v>137914756.09999999</v>
      </c>
      <c r="T1746">
        <v>92644393929.899994</v>
      </c>
      <c r="U1746">
        <v>92644393929.899994</v>
      </c>
      <c r="V1746">
        <v>0</v>
      </c>
      <c r="W1746">
        <v>0</v>
      </c>
      <c r="Y1746" t="s">
        <v>3</v>
      </c>
      <c r="Z1746">
        <v>7000</v>
      </c>
      <c r="AA1746">
        <v>5</v>
      </c>
      <c r="AB1746">
        <v>4</v>
      </c>
      <c r="AC1746">
        <v>0</v>
      </c>
      <c r="AD1746">
        <v>113700000</v>
      </c>
      <c r="AE1746">
        <v>94855.679999999993</v>
      </c>
      <c r="AF1746">
        <v>113605144.31999999</v>
      </c>
      <c r="AG1746">
        <v>113605144.31999999</v>
      </c>
      <c r="AH1746">
        <v>0</v>
      </c>
      <c r="AI1746">
        <v>0</v>
      </c>
    </row>
    <row r="1747" spans="13:35" x14ac:dyDescent="0.35">
      <c r="M1747" t="s">
        <v>0</v>
      </c>
      <c r="N1747">
        <v>4000</v>
      </c>
      <c r="O1747">
        <v>7</v>
      </c>
      <c r="P1747">
        <v>1809</v>
      </c>
      <c r="Q1747">
        <v>0</v>
      </c>
      <c r="R1747">
        <v>61792433479</v>
      </c>
      <c r="S1747">
        <v>92292611.629999995</v>
      </c>
      <c r="T1747">
        <v>61700140867.370003</v>
      </c>
      <c r="U1747">
        <v>61700140867.370003</v>
      </c>
      <c r="V1747">
        <v>0</v>
      </c>
      <c r="W1747">
        <v>0</v>
      </c>
      <c r="Y1747" t="s">
        <v>3</v>
      </c>
      <c r="Z1747">
        <v>6500</v>
      </c>
      <c r="AA1747">
        <v>5</v>
      </c>
      <c r="AB1747">
        <v>73</v>
      </c>
      <c r="AC1747">
        <v>0</v>
      </c>
      <c r="AD1747">
        <v>2013000000</v>
      </c>
      <c r="AE1747">
        <v>1876797.95</v>
      </c>
      <c r="AF1747">
        <v>2011123202.05</v>
      </c>
      <c r="AG1747">
        <v>2011123202.05</v>
      </c>
      <c r="AH1747">
        <v>0</v>
      </c>
      <c r="AI1747">
        <v>0</v>
      </c>
    </row>
    <row r="1748" spans="13:35" x14ac:dyDescent="0.35">
      <c r="M1748" t="s">
        <v>0</v>
      </c>
      <c r="N1748">
        <v>4000</v>
      </c>
      <c r="O1748">
        <v>9</v>
      </c>
      <c r="P1748">
        <v>1727</v>
      </c>
      <c r="Q1748">
        <v>0</v>
      </c>
      <c r="R1748">
        <v>62382973842</v>
      </c>
      <c r="S1748">
        <v>94033630.299999997</v>
      </c>
      <c r="T1748">
        <v>62223175631.580002</v>
      </c>
      <c r="U1748">
        <v>62246676083.919998</v>
      </c>
      <c r="V1748">
        <v>1.2577E-2</v>
      </c>
      <c r="W1748">
        <v>8.0999999999999996E-3</v>
      </c>
      <c r="Y1748" t="s">
        <v>2</v>
      </c>
      <c r="Z1748">
        <v>7750</v>
      </c>
      <c r="AA1748">
        <v>5</v>
      </c>
      <c r="AB1748">
        <v>32</v>
      </c>
      <c r="AC1748">
        <v>0</v>
      </c>
      <c r="AD1748">
        <v>465700000</v>
      </c>
      <c r="AE1748">
        <v>339550.76</v>
      </c>
      <c r="AF1748">
        <v>465360449.24000001</v>
      </c>
      <c r="AG1748">
        <v>465360449.24000001</v>
      </c>
      <c r="AH1748">
        <v>0</v>
      </c>
      <c r="AI1748">
        <v>0</v>
      </c>
    </row>
    <row r="1749" spans="13:35" x14ac:dyDescent="0.35">
      <c r="M1749" t="s">
        <v>0</v>
      </c>
      <c r="N1749">
        <v>4000</v>
      </c>
      <c r="O1749">
        <v>8</v>
      </c>
      <c r="P1749">
        <v>1429</v>
      </c>
      <c r="Q1749">
        <v>0</v>
      </c>
      <c r="R1749">
        <v>49347423816</v>
      </c>
      <c r="S1749">
        <v>74032135.260000005</v>
      </c>
      <c r="T1749">
        <v>49250126295.510002</v>
      </c>
      <c r="U1749">
        <v>49250126295.510002</v>
      </c>
      <c r="V1749">
        <v>5.6429999999999996E-3</v>
      </c>
      <c r="W1749">
        <v>5.6429999999999996E-3</v>
      </c>
      <c r="Y1749" t="s">
        <v>0</v>
      </c>
      <c r="Z1749">
        <v>4000</v>
      </c>
      <c r="AA1749">
        <v>10</v>
      </c>
      <c r="AB1749">
        <v>1047</v>
      </c>
      <c r="AC1749">
        <v>0</v>
      </c>
      <c r="AD1749">
        <v>37330174086</v>
      </c>
      <c r="AE1749">
        <v>56539980.590000004</v>
      </c>
      <c r="AF1749">
        <v>37213351567.290001</v>
      </c>
      <c r="AG1749">
        <v>37273634105.410004</v>
      </c>
      <c r="AH1749">
        <v>1.9206999999999998E-2</v>
      </c>
      <c r="AI1749">
        <v>0</v>
      </c>
    </row>
    <row r="1750" spans="13:35" x14ac:dyDescent="0.35">
      <c r="M1750" t="s">
        <v>0</v>
      </c>
      <c r="N1750">
        <v>4500</v>
      </c>
      <c r="O1750">
        <v>12</v>
      </c>
      <c r="P1750">
        <v>1876</v>
      </c>
      <c r="Q1750">
        <v>0</v>
      </c>
      <c r="R1750">
        <v>62431886483</v>
      </c>
      <c r="S1750">
        <v>87408950.909999996</v>
      </c>
      <c r="T1750">
        <v>62219244973.169998</v>
      </c>
      <c r="U1750">
        <v>62296113482.440002</v>
      </c>
      <c r="V1750">
        <v>2.3806999999999998E-2</v>
      </c>
      <c r="W1750">
        <v>9.2569999999999996E-3</v>
      </c>
      <c r="Y1750" t="s">
        <v>1</v>
      </c>
      <c r="Z1750">
        <v>4000</v>
      </c>
      <c r="AA1750">
        <v>8</v>
      </c>
      <c r="AB1750">
        <v>632</v>
      </c>
      <c r="AC1750">
        <v>0</v>
      </c>
      <c r="AD1750">
        <v>23943868044</v>
      </c>
      <c r="AE1750">
        <v>35947009.770000003</v>
      </c>
      <c r="AF1750">
        <v>23851287746.029999</v>
      </c>
      <c r="AG1750">
        <v>23851287746.029999</v>
      </c>
      <c r="AH1750">
        <v>2.8017E-2</v>
      </c>
      <c r="AI1750">
        <v>2.8017E-2</v>
      </c>
    </row>
    <row r="1751" spans="13:35" x14ac:dyDescent="0.35">
      <c r="M1751" t="s">
        <v>2</v>
      </c>
      <c r="N1751">
        <v>3750</v>
      </c>
      <c r="O1751">
        <v>5</v>
      </c>
      <c r="P1751">
        <v>30</v>
      </c>
      <c r="Q1751">
        <v>0</v>
      </c>
      <c r="R1751">
        <v>904000000</v>
      </c>
      <c r="S1751">
        <v>1391065.83</v>
      </c>
      <c r="T1751">
        <v>902608934.16999996</v>
      </c>
      <c r="U1751">
        <v>902608934.16999996</v>
      </c>
      <c r="V1751">
        <v>0</v>
      </c>
      <c r="W1751">
        <v>0</v>
      </c>
      <c r="Y1751" t="s">
        <v>3</v>
      </c>
      <c r="Z1751">
        <v>5250</v>
      </c>
      <c r="AA1751">
        <v>5</v>
      </c>
      <c r="AB1751">
        <v>25</v>
      </c>
      <c r="AC1751">
        <v>0</v>
      </c>
      <c r="AD1751">
        <v>781100000</v>
      </c>
      <c r="AE1751">
        <v>907257.04</v>
      </c>
      <c r="AF1751">
        <v>780192742.96000004</v>
      </c>
      <c r="AG1751">
        <v>780192742.96000004</v>
      </c>
      <c r="AH1751">
        <v>0</v>
      </c>
      <c r="AI1751">
        <v>0</v>
      </c>
    </row>
    <row r="1752" spans="13:35" x14ac:dyDescent="0.35">
      <c r="M1752" t="s">
        <v>2</v>
      </c>
      <c r="N1752">
        <v>7500</v>
      </c>
      <c r="O1752">
        <v>6</v>
      </c>
      <c r="P1752">
        <v>3</v>
      </c>
      <c r="Q1752">
        <v>0</v>
      </c>
      <c r="R1752">
        <v>47562777</v>
      </c>
      <c r="S1752">
        <v>37348.04</v>
      </c>
      <c r="T1752">
        <v>47525428.960000001</v>
      </c>
      <c r="U1752">
        <v>47525428.960000001</v>
      </c>
      <c r="V1752">
        <v>0</v>
      </c>
      <c r="W1752">
        <v>0</v>
      </c>
      <c r="Y1752" t="s">
        <v>3</v>
      </c>
      <c r="Z1752">
        <v>7750</v>
      </c>
      <c r="AA1752">
        <v>8</v>
      </c>
      <c r="AB1752">
        <v>1</v>
      </c>
      <c r="AC1752">
        <v>0</v>
      </c>
      <c r="AD1752">
        <v>34800000</v>
      </c>
      <c r="AE1752">
        <v>26654.22</v>
      </c>
      <c r="AF1752">
        <v>34773345.780000001</v>
      </c>
      <c r="AG1752">
        <v>34773345.780000001</v>
      </c>
      <c r="AH1752">
        <v>0</v>
      </c>
      <c r="AI1752">
        <v>0</v>
      </c>
    </row>
    <row r="1753" spans="13:35" x14ac:dyDescent="0.35">
      <c r="M1753" t="s">
        <v>2</v>
      </c>
      <c r="N1753">
        <v>5000</v>
      </c>
      <c r="O1753">
        <v>6</v>
      </c>
      <c r="P1753">
        <v>60</v>
      </c>
      <c r="Q1753">
        <v>0</v>
      </c>
      <c r="R1753">
        <v>1733240264</v>
      </c>
      <c r="S1753">
        <v>2166015.3199999998</v>
      </c>
      <c r="T1753">
        <v>1731074248.6800001</v>
      </c>
      <c r="U1753">
        <v>1731074248.6800001</v>
      </c>
      <c r="V1753">
        <v>0</v>
      </c>
      <c r="W1753">
        <v>0</v>
      </c>
      <c r="Y1753" t="s">
        <v>1</v>
      </c>
      <c r="Z1753">
        <v>3750</v>
      </c>
      <c r="AA1753">
        <v>5</v>
      </c>
      <c r="AB1753">
        <v>336</v>
      </c>
      <c r="AC1753">
        <v>0</v>
      </c>
      <c r="AD1753">
        <v>14010900000</v>
      </c>
      <c r="AE1753">
        <v>21361989.16</v>
      </c>
      <c r="AF1753">
        <v>13989538010.84</v>
      </c>
      <c r="AG1753">
        <v>13989538010.84</v>
      </c>
      <c r="AH1753">
        <v>0</v>
      </c>
      <c r="AI1753">
        <v>0</v>
      </c>
    </row>
    <row r="1754" spans="13:35" x14ac:dyDescent="0.35">
      <c r="M1754" t="s">
        <v>1</v>
      </c>
      <c r="N1754">
        <v>8250</v>
      </c>
      <c r="O1754">
        <v>6</v>
      </c>
      <c r="P1754">
        <v>6</v>
      </c>
      <c r="Q1754">
        <v>0</v>
      </c>
      <c r="R1754">
        <v>243188558</v>
      </c>
      <c r="S1754">
        <v>166315.87</v>
      </c>
      <c r="T1754">
        <v>243022242.13</v>
      </c>
      <c r="U1754">
        <v>243022242.13</v>
      </c>
      <c r="V1754">
        <v>0</v>
      </c>
      <c r="W1754">
        <v>0</v>
      </c>
      <c r="Y1754" t="s">
        <v>3</v>
      </c>
      <c r="Z1754">
        <v>7000</v>
      </c>
      <c r="AA1754">
        <v>6</v>
      </c>
      <c r="AB1754">
        <v>3</v>
      </c>
      <c r="AC1754">
        <v>0</v>
      </c>
      <c r="AD1754">
        <v>81021443</v>
      </c>
      <c r="AE1754">
        <v>69663.87</v>
      </c>
      <c r="AF1754">
        <v>80951779.129999995</v>
      </c>
      <c r="AG1754">
        <v>80951779.129999995</v>
      </c>
      <c r="AH1754">
        <v>0</v>
      </c>
      <c r="AI1754">
        <v>0</v>
      </c>
    </row>
    <row r="1755" spans="13:35" x14ac:dyDescent="0.35">
      <c r="M1755" t="s">
        <v>1</v>
      </c>
      <c r="N1755">
        <v>8000</v>
      </c>
      <c r="O1755">
        <v>6</v>
      </c>
      <c r="P1755">
        <v>8</v>
      </c>
      <c r="Q1755">
        <v>0</v>
      </c>
      <c r="R1755">
        <v>259205049</v>
      </c>
      <c r="S1755">
        <v>185056.52</v>
      </c>
      <c r="T1755">
        <v>259019992.47999999</v>
      </c>
      <c r="U1755">
        <v>259019992.47999999</v>
      </c>
      <c r="V1755">
        <v>0</v>
      </c>
      <c r="W1755">
        <v>0</v>
      </c>
      <c r="Y1755" t="s">
        <v>0</v>
      </c>
      <c r="Z1755">
        <v>4000</v>
      </c>
      <c r="AA1755">
        <v>6</v>
      </c>
      <c r="AB1755">
        <v>1809</v>
      </c>
      <c r="AC1755">
        <v>0</v>
      </c>
      <c r="AD1755">
        <v>61960551113</v>
      </c>
      <c r="AE1755">
        <v>92100153.390000001</v>
      </c>
      <c r="AF1755">
        <v>61868450959.610001</v>
      </c>
      <c r="AG1755">
        <v>61868450959.610001</v>
      </c>
      <c r="AH1755">
        <v>0</v>
      </c>
      <c r="AI1755">
        <v>0</v>
      </c>
    </row>
    <row r="1756" spans="13:35" x14ac:dyDescent="0.35">
      <c r="M1756" t="s">
        <v>2</v>
      </c>
      <c r="N1756">
        <v>3000</v>
      </c>
      <c r="O1756">
        <v>6</v>
      </c>
      <c r="P1756">
        <v>1</v>
      </c>
      <c r="Q1756">
        <v>0</v>
      </c>
      <c r="R1756">
        <v>12600000</v>
      </c>
      <c r="S1756">
        <v>21262.19</v>
      </c>
      <c r="T1756">
        <v>12578737.810000001</v>
      </c>
      <c r="U1756">
        <v>12578737.810000001</v>
      </c>
      <c r="V1756">
        <v>0</v>
      </c>
      <c r="W1756">
        <v>0</v>
      </c>
      <c r="Y1756" t="s">
        <v>0</v>
      </c>
      <c r="Z1756">
        <v>4000</v>
      </c>
      <c r="AA1756">
        <v>8</v>
      </c>
      <c r="AB1756">
        <v>1727</v>
      </c>
      <c r="AC1756">
        <v>0</v>
      </c>
      <c r="AD1756">
        <v>62491860974</v>
      </c>
      <c r="AE1756">
        <v>93744854.109999999</v>
      </c>
      <c r="AF1756">
        <v>62398116119.889999</v>
      </c>
      <c r="AG1756">
        <v>62398116119.889999</v>
      </c>
      <c r="AH1756">
        <v>0</v>
      </c>
      <c r="AI1756">
        <v>0</v>
      </c>
    </row>
    <row r="1757" spans="13:35" x14ac:dyDescent="0.35">
      <c r="M1757" t="s">
        <v>3</v>
      </c>
      <c r="N1757">
        <v>7250</v>
      </c>
      <c r="O1757">
        <v>6</v>
      </c>
      <c r="P1757">
        <v>2</v>
      </c>
      <c r="Q1757">
        <v>0</v>
      </c>
      <c r="R1757">
        <v>33400000</v>
      </c>
      <c r="S1757">
        <v>27574.82</v>
      </c>
      <c r="T1757">
        <v>33372425.18</v>
      </c>
      <c r="U1757">
        <v>33372425.18</v>
      </c>
      <c r="V1757">
        <v>0</v>
      </c>
      <c r="W1757">
        <v>0</v>
      </c>
      <c r="Y1757" t="s">
        <v>0</v>
      </c>
      <c r="Z1757">
        <v>4000</v>
      </c>
      <c r="AA1757">
        <v>7</v>
      </c>
      <c r="AB1757">
        <v>1429</v>
      </c>
      <c r="AC1757">
        <v>0</v>
      </c>
      <c r="AD1757">
        <v>49436106339</v>
      </c>
      <c r="AE1757">
        <v>73809128.989999995</v>
      </c>
      <c r="AF1757">
        <v>49362297210.010002</v>
      </c>
      <c r="AG1757">
        <v>49362297210.010002</v>
      </c>
      <c r="AH1757">
        <v>0</v>
      </c>
      <c r="AI1757">
        <v>0</v>
      </c>
    </row>
    <row r="1758" spans="13:35" x14ac:dyDescent="0.35">
      <c r="M1758" t="s">
        <v>2</v>
      </c>
      <c r="N1758">
        <v>3000</v>
      </c>
      <c r="O1758">
        <v>5</v>
      </c>
      <c r="P1758">
        <v>7</v>
      </c>
      <c r="Q1758">
        <v>0</v>
      </c>
      <c r="R1758">
        <v>133900000</v>
      </c>
      <c r="S1758">
        <v>224832.2</v>
      </c>
      <c r="T1758">
        <v>133675167.8</v>
      </c>
      <c r="U1758">
        <v>133675167.8</v>
      </c>
      <c r="V1758">
        <v>0</v>
      </c>
      <c r="W1758">
        <v>0</v>
      </c>
      <c r="Y1758" t="s">
        <v>0</v>
      </c>
      <c r="Z1758">
        <v>4500</v>
      </c>
      <c r="AA1758">
        <v>12</v>
      </c>
      <c r="AB1758">
        <v>2002</v>
      </c>
      <c r="AC1758">
        <v>0</v>
      </c>
      <c r="AD1758">
        <v>64835720877</v>
      </c>
      <c r="AE1758">
        <v>90780579.859999999</v>
      </c>
      <c r="AF1758">
        <v>64728140250.059998</v>
      </c>
      <c r="AG1758">
        <v>64744940297.139999</v>
      </c>
      <c r="AH1758">
        <v>3.1050000000000001E-3</v>
      </c>
      <c r="AI1758">
        <v>0</v>
      </c>
    </row>
    <row r="1759" spans="13:35" x14ac:dyDescent="0.35">
      <c r="M1759" t="s">
        <v>3</v>
      </c>
      <c r="N1759">
        <v>7250</v>
      </c>
      <c r="O1759">
        <v>5</v>
      </c>
      <c r="P1759">
        <v>3</v>
      </c>
      <c r="Q1759">
        <v>0</v>
      </c>
      <c r="R1759">
        <v>53800000</v>
      </c>
      <c r="S1759">
        <v>43033.73</v>
      </c>
      <c r="T1759">
        <v>53756966.270000003</v>
      </c>
      <c r="U1759">
        <v>53756966.270000003</v>
      </c>
      <c r="V1759">
        <v>0</v>
      </c>
      <c r="W1759">
        <v>0</v>
      </c>
      <c r="Y1759" t="s">
        <v>2</v>
      </c>
      <c r="Z1759">
        <v>3750</v>
      </c>
      <c r="AA1759">
        <v>5</v>
      </c>
      <c r="AB1759">
        <v>32</v>
      </c>
      <c r="AC1759">
        <v>0</v>
      </c>
      <c r="AD1759">
        <v>951800000</v>
      </c>
      <c r="AE1759">
        <v>1463819.43</v>
      </c>
      <c r="AF1759">
        <v>950336180.57000005</v>
      </c>
      <c r="AG1759">
        <v>950336180.57000005</v>
      </c>
      <c r="AH1759">
        <v>0</v>
      </c>
      <c r="AI1759">
        <v>0</v>
      </c>
    </row>
    <row r="1760" spans="13:35" x14ac:dyDescent="0.35">
      <c r="M1760" t="s">
        <v>2</v>
      </c>
      <c r="N1760">
        <v>3250</v>
      </c>
      <c r="O1760">
        <v>5</v>
      </c>
      <c r="P1760">
        <v>24</v>
      </c>
      <c r="Q1760">
        <v>0</v>
      </c>
      <c r="R1760">
        <v>726400000</v>
      </c>
      <c r="S1760">
        <v>1218693.04</v>
      </c>
      <c r="T1760">
        <v>725181306.96000004</v>
      </c>
      <c r="U1760">
        <v>725181306.96000004</v>
      </c>
      <c r="V1760">
        <v>0</v>
      </c>
      <c r="W1760">
        <v>0</v>
      </c>
      <c r="Y1760" t="s">
        <v>2</v>
      </c>
      <c r="Z1760">
        <v>7500</v>
      </c>
      <c r="AA1760">
        <v>5</v>
      </c>
      <c r="AB1760">
        <v>12</v>
      </c>
      <c r="AC1760">
        <v>0</v>
      </c>
      <c r="AD1760">
        <v>192500000</v>
      </c>
      <c r="AE1760">
        <v>165216.60999999999</v>
      </c>
      <c r="AF1760">
        <v>192334783.38999999</v>
      </c>
      <c r="AG1760">
        <v>192334783.38999999</v>
      </c>
      <c r="AH1760">
        <v>0</v>
      </c>
      <c r="AI1760">
        <v>0</v>
      </c>
    </row>
    <row r="1761" spans="13:35" x14ac:dyDescent="0.35">
      <c r="M1761" t="s">
        <v>0</v>
      </c>
      <c r="N1761">
        <v>3750</v>
      </c>
      <c r="O1761">
        <v>5</v>
      </c>
      <c r="P1761">
        <v>810</v>
      </c>
      <c r="Q1761">
        <v>0</v>
      </c>
      <c r="R1761">
        <v>31663700000</v>
      </c>
      <c r="S1761">
        <v>48348819.719999999</v>
      </c>
      <c r="T1761">
        <v>31615351180.279999</v>
      </c>
      <c r="U1761">
        <v>31615351180.279999</v>
      </c>
      <c r="V1761">
        <v>0</v>
      </c>
      <c r="W1761">
        <v>0</v>
      </c>
      <c r="Y1761" t="s">
        <v>1</v>
      </c>
      <c r="Z1761">
        <v>4000</v>
      </c>
      <c r="AA1761">
        <v>5</v>
      </c>
      <c r="AB1761">
        <v>4782</v>
      </c>
      <c r="AC1761">
        <v>0</v>
      </c>
      <c r="AD1761">
        <v>178014900000</v>
      </c>
      <c r="AE1761">
        <v>259861120.46000001</v>
      </c>
      <c r="AF1761">
        <v>177695526904.03</v>
      </c>
      <c r="AG1761">
        <v>177755038879.54001</v>
      </c>
      <c r="AH1761">
        <v>4.0039999999999997E-3</v>
      </c>
      <c r="AI1761">
        <v>0</v>
      </c>
    </row>
    <row r="1762" spans="13:35" x14ac:dyDescent="0.35">
      <c r="M1762" t="s">
        <v>1</v>
      </c>
      <c r="N1762">
        <v>4000</v>
      </c>
      <c r="O1762">
        <v>6</v>
      </c>
      <c r="P1762">
        <v>933</v>
      </c>
      <c r="Q1762">
        <v>0</v>
      </c>
      <c r="R1762">
        <v>34283622359</v>
      </c>
      <c r="S1762">
        <v>50948890.659999996</v>
      </c>
      <c r="T1762">
        <v>34199020540.66</v>
      </c>
      <c r="U1762">
        <v>34232673468.34</v>
      </c>
      <c r="V1762">
        <v>1.1716000000000001E-2</v>
      </c>
      <c r="W1762">
        <v>0</v>
      </c>
      <c r="Y1762" t="s">
        <v>1</v>
      </c>
      <c r="Z1762">
        <v>8250</v>
      </c>
      <c r="AA1762">
        <v>5</v>
      </c>
      <c r="AB1762">
        <v>11</v>
      </c>
      <c r="AC1762">
        <v>0</v>
      </c>
      <c r="AD1762">
        <v>400600000</v>
      </c>
      <c r="AE1762">
        <v>267118.49</v>
      </c>
      <c r="AF1762">
        <v>400332881.50999999</v>
      </c>
      <c r="AG1762">
        <v>400332881.50999999</v>
      </c>
      <c r="AH1762">
        <v>0</v>
      </c>
      <c r="AI1762">
        <v>0</v>
      </c>
    </row>
    <row r="1763" spans="13:35" x14ac:dyDescent="0.35">
      <c r="M1763" t="s">
        <v>3</v>
      </c>
      <c r="N1763">
        <v>5000</v>
      </c>
      <c r="O1763">
        <v>5</v>
      </c>
      <c r="P1763">
        <v>5</v>
      </c>
      <c r="Q1763">
        <v>0</v>
      </c>
      <c r="R1763">
        <v>145600000</v>
      </c>
      <c r="S1763">
        <v>177785.83</v>
      </c>
      <c r="T1763">
        <v>145422214.16999999</v>
      </c>
      <c r="U1763">
        <v>145422214.16999999</v>
      </c>
      <c r="V1763">
        <v>0</v>
      </c>
      <c r="W1763">
        <v>0</v>
      </c>
      <c r="Y1763" t="s">
        <v>1</v>
      </c>
      <c r="Z1763">
        <v>8000</v>
      </c>
      <c r="AA1763">
        <v>5</v>
      </c>
      <c r="AB1763">
        <v>12</v>
      </c>
      <c r="AC1763">
        <v>0</v>
      </c>
      <c r="AD1763">
        <v>365000000</v>
      </c>
      <c r="AE1763">
        <v>257879.18</v>
      </c>
      <c r="AF1763">
        <v>364742120.81999999</v>
      </c>
      <c r="AG1763">
        <v>364742120.81999999</v>
      </c>
      <c r="AH1763">
        <v>0</v>
      </c>
      <c r="AI1763">
        <v>0</v>
      </c>
    </row>
    <row r="1764" spans="13:35" x14ac:dyDescent="0.35">
      <c r="M1764" t="s">
        <v>2</v>
      </c>
      <c r="N1764">
        <v>3500</v>
      </c>
      <c r="O1764">
        <v>5</v>
      </c>
      <c r="P1764">
        <v>80</v>
      </c>
      <c r="Q1764">
        <v>0</v>
      </c>
      <c r="R1764">
        <v>2469300000</v>
      </c>
      <c r="S1764">
        <v>3939889.99</v>
      </c>
      <c r="T1764">
        <v>2465360110.0100002</v>
      </c>
      <c r="U1764">
        <v>2465360110.0100002</v>
      </c>
      <c r="V1764">
        <v>0</v>
      </c>
      <c r="W1764">
        <v>0</v>
      </c>
      <c r="Y1764" t="s">
        <v>2</v>
      </c>
      <c r="Z1764">
        <v>3000</v>
      </c>
      <c r="AA1764">
        <v>5</v>
      </c>
      <c r="AB1764">
        <v>6</v>
      </c>
      <c r="AC1764">
        <v>0</v>
      </c>
      <c r="AD1764">
        <v>119600000</v>
      </c>
      <c r="AE1764">
        <v>201527.99</v>
      </c>
      <c r="AF1764">
        <v>119398472.01000001</v>
      </c>
      <c r="AG1764">
        <v>119398472.01000001</v>
      </c>
      <c r="AH1764">
        <v>0</v>
      </c>
      <c r="AI1764">
        <v>0</v>
      </c>
    </row>
    <row r="1765" spans="13:35" x14ac:dyDescent="0.35">
      <c r="M1765" t="s">
        <v>0</v>
      </c>
      <c r="N1765">
        <v>6500</v>
      </c>
      <c r="O1765">
        <v>168</v>
      </c>
      <c r="P1765">
        <v>107</v>
      </c>
      <c r="Q1765">
        <v>0</v>
      </c>
      <c r="R1765">
        <v>781240163</v>
      </c>
      <c r="S1765">
        <v>2153408.67</v>
      </c>
      <c r="T1765">
        <v>767117795.69000006</v>
      </c>
      <c r="U1765">
        <v>771343359.72000003</v>
      </c>
      <c r="V1765">
        <v>0.16911899999999999</v>
      </c>
      <c r="W1765">
        <v>0.112666</v>
      </c>
      <c r="Y1765" t="s">
        <v>3</v>
      </c>
      <c r="Z1765">
        <v>7250</v>
      </c>
      <c r="AA1765">
        <v>5</v>
      </c>
      <c r="AB1765">
        <v>5</v>
      </c>
      <c r="AC1765">
        <v>0</v>
      </c>
      <c r="AD1765">
        <v>87200000</v>
      </c>
      <c r="AE1765">
        <v>70248.34</v>
      </c>
      <c r="AF1765">
        <v>87129751.659999996</v>
      </c>
      <c r="AG1765">
        <v>87129751.659999996</v>
      </c>
      <c r="AH1765">
        <v>0</v>
      </c>
      <c r="AI1765">
        <v>0</v>
      </c>
    </row>
    <row r="1766" spans="13:35" x14ac:dyDescent="0.35">
      <c r="M1766" t="s">
        <v>1</v>
      </c>
      <c r="N1766">
        <v>3000</v>
      </c>
      <c r="O1766">
        <v>216</v>
      </c>
      <c r="P1766">
        <v>1</v>
      </c>
      <c r="Q1766">
        <v>0</v>
      </c>
      <c r="R1766">
        <v>8488218</v>
      </c>
      <c r="S1766">
        <v>42247.49</v>
      </c>
      <c r="T1766">
        <v>8445970.5099999998</v>
      </c>
      <c r="U1766">
        <v>8445970.5099999998</v>
      </c>
      <c r="V1766">
        <v>0</v>
      </c>
      <c r="W1766">
        <v>0</v>
      </c>
      <c r="Y1766" t="s">
        <v>2</v>
      </c>
      <c r="Z1766">
        <v>4000</v>
      </c>
      <c r="AA1766">
        <v>5</v>
      </c>
      <c r="AB1766">
        <v>537</v>
      </c>
      <c r="AC1766">
        <v>0</v>
      </c>
      <c r="AD1766">
        <v>15531600000</v>
      </c>
      <c r="AE1766">
        <v>22645880.079999998</v>
      </c>
      <c r="AF1766">
        <v>15508954119.92</v>
      </c>
      <c r="AG1766">
        <v>15508954119.92</v>
      </c>
      <c r="AH1766">
        <v>0</v>
      </c>
      <c r="AI1766">
        <v>0</v>
      </c>
    </row>
    <row r="1767" spans="13:35" x14ac:dyDescent="0.35">
      <c r="M1767" t="s">
        <v>3</v>
      </c>
      <c r="N1767">
        <v>2750</v>
      </c>
      <c r="O1767">
        <v>168</v>
      </c>
      <c r="P1767">
        <v>1</v>
      </c>
      <c r="Q1767">
        <v>0</v>
      </c>
      <c r="R1767">
        <v>21345759</v>
      </c>
      <c r="S1767">
        <v>83212.639999999999</v>
      </c>
      <c r="T1767">
        <v>21262546.359999999</v>
      </c>
      <c r="U1767">
        <v>21262546.359999999</v>
      </c>
      <c r="V1767">
        <v>0</v>
      </c>
      <c r="W1767">
        <v>0</v>
      </c>
      <c r="Y1767" t="s">
        <v>2</v>
      </c>
      <c r="Z1767">
        <v>3250</v>
      </c>
      <c r="AA1767">
        <v>5</v>
      </c>
      <c r="AB1767">
        <v>23</v>
      </c>
      <c r="AC1767">
        <v>0</v>
      </c>
      <c r="AD1767">
        <v>709100000</v>
      </c>
      <c r="AE1767">
        <v>1177966.6000000001</v>
      </c>
      <c r="AF1767">
        <v>707922033.39999998</v>
      </c>
      <c r="AG1767">
        <v>707922033.39999998</v>
      </c>
      <c r="AH1767">
        <v>0</v>
      </c>
      <c r="AI1767">
        <v>0</v>
      </c>
    </row>
    <row r="1768" spans="13:35" x14ac:dyDescent="0.35">
      <c r="M1768" t="s">
        <v>1</v>
      </c>
      <c r="N1768">
        <v>5750</v>
      </c>
      <c r="O1768">
        <v>168</v>
      </c>
      <c r="P1768">
        <v>4</v>
      </c>
      <c r="Q1768">
        <v>0</v>
      </c>
      <c r="R1768">
        <v>37174682</v>
      </c>
      <c r="S1768">
        <v>103052.83</v>
      </c>
      <c r="T1768">
        <v>37071629.170000002</v>
      </c>
      <c r="U1768">
        <v>37071629.170000002</v>
      </c>
      <c r="V1768">
        <v>0</v>
      </c>
      <c r="W1768">
        <v>0</v>
      </c>
      <c r="Y1768" t="s">
        <v>0</v>
      </c>
      <c r="Z1768">
        <v>3750</v>
      </c>
      <c r="AA1768">
        <v>5</v>
      </c>
      <c r="AB1768">
        <v>772</v>
      </c>
      <c r="AC1768">
        <v>0</v>
      </c>
      <c r="AD1768">
        <v>30077600000</v>
      </c>
      <c r="AE1768">
        <v>45906123.310000002</v>
      </c>
      <c r="AF1768">
        <v>30031693876.689999</v>
      </c>
      <c r="AG1768">
        <v>30031693876.689999</v>
      </c>
      <c r="AH1768">
        <v>0</v>
      </c>
      <c r="AI1768">
        <v>0</v>
      </c>
    </row>
    <row r="1769" spans="13:35" x14ac:dyDescent="0.35">
      <c r="M1769" t="s">
        <v>3</v>
      </c>
      <c r="N1769">
        <v>5250</v>
      </c>
      <c r="O1769">
        <v>168</v>
      </c>
      <c r="P1769">
        <v>8</v>
      </c>
      <c r="Q1769">
        <v>0</v>
      </c>
      <c r="R1769">
        <v>65242990</v>
      </c>
      <c r="S1769">
        <v>190292.34</v>
      </c>
      <c r="T1769">
        <v>65052697.659999996</v>
      </c>
      <c r="U1769">
        <v>65052697.659999996</v>
      </c>
      <c r="V1769">
        <v>0</v>
      </c>
      <c r="W1769">
        <v>0</v>
      </c>
      <c r="Y1769" t="s">
        <v>3</v>
      </c>
      <c r="Z1769">
        <v>5000</v>
      </c>
      <c r="AA1769">
        <v>5</v>
      </c>
      <c r="AB1769">
        <v>4</v>
      </c>
      <c r="AC1769">
        <v>0</v>
      </c>
      <c r="AD1769">
        <v>102500000</v>
      </c>
      <c r="AE1769">
        <v>125431</v>
      </c>
      <c r="AF1769">
        <v>102374569</v>
      </c>
      <c r="AG1769">
        <v>102374569</v>
      </c>
      <c r="AH1769">
        <v>0</v>
      </c>
      <c r="AI1769">
        <v>0</v>
      </c>
    </row>
    <row r="1770" spans="13:35" x14ac:dyDescent="0.35">
      <c r="M1770" t="s">
        <v>0</v>
      </c>
      <c r="N1770">
        <v>6750</v>
      </c>
      <c r="O1770">
        <v>168</v>
      </c>
      <c r="P1770">
        <v>4</v>
      </c>
      <c r="Q1770">
        <v>0</v>
      </c>
      <c r="R1770">
        <v>22139107</v>
      </c>
      <c r="S1770">
        <v>55122.93</v>
      </c>
      <c r="T1770">
        <v>22083984.07</v>
      </c>
      <c r="U1770">
        <v>22083984.07</v>
      </c>
      <c r="V1770">
        <v>0</v>
      </c>
      <c r="W1770">
        <v>0</v>
      </c>
      <c r="Y1770" t="s">
        <v>1</v>
      </c>
      <c r="Z1770">
        <v>5750</v>
      </c>
      <c r="AA1770">
        <v>168</v>
      </c>
      <c r="AB1770">
        <v>5</v>
      </c>
      <c r="AC1770">
        <v>0</v>
      </c>
      <c r="AD1770">
        <v>41308971</v>
      </c>
      <c r="AE1770">
        <v>115540.62</v>
      </c>
      <c r="AF1770">
        <v>41193430.380000003</v>
      </c>
      <c r="AG1770">
        <v>41193430.380000003</v>
      </c>
      <c r="AH1770">
        <v>0</v>
      </c>
      <c r="AI1770">
        <v>0</v>
      </c>
    </row>
    <row r="1771" spans="13:35" x14ac:dyDescent="0.35">
      <c r="M1771" t="s">
        <v>0</v>
      </c>
      <c r="N1771">
        <v>6250</v>
      </c>
      <c r="O1771">
        <v>168</v>
      </c>
      <c r="P1771">
        <v>1</v>
      </c>
      <c r="Q1771">
        <v>0</v>
      </c>
      <c r="R1771">
        <v>3722814</v>
      </c>
      <c r="S1771">
        <v>9631.7900000000009</v>
      </c>
      <c r="T1771">
        <v>3713182.21</v>
      </c>
      <c r="U1771">
        <v>3713182.21</v>
      </c>
      <c r="V1771">
        <v>0</v>
      </c>
      <c r="W1771">
        <v>0</v>
      </c>
      <c r="Y1771" t="s">
        <v>1</v>
      </c>
      <c r="Z1771">
        <v>3000</v>
      </c>
      <c r="AA1771">
        <v>216</v>
      </c>
      <c r="AB1771">
        <v>1</v>
      </c>
      <c r="AC1771">
        <v>0</v>
      </c>
      <c r="AD1771">
        <v>8488218</v>
      </c>
      <c r="AE1771">
        <v>41933.94</v>
      </c>
      <c r="AF1771">
        <v>8446284.0600000005</v>
      </c>
      <c r="AG1771">
        <v>8446284.0600000005</v>
      </c>
      <c r="AH1771">
        <v>0</v>
      </c>
      <c r="AI1771">
        <v>0</v>
      </c>
    </row>
    <row r="1772" spans="13:35" x14ac:dyDescent="0.35">
      <c r="M1772" t="s">
        <v>3</v>
      </c>
      <c r="N1772">
        <v>5500</v>
      </c>
      <c r="O1772">
        <v>168</v>
      </c>
      <c r="P1772">
        <v>1</v>
      </c>
      <c r="Q1772">
        <v>0</v>
      </c>
      <c r="R1772">
        <v>8238806</v>
      </c>
      <c r="S1772">
        <v>22572.25</v>
      </c>
      <c r="T1772">
        <v>8216233.75</v>
      </c>
      <c r="U1772">
        <v>8216233.75</v>
      </c>
      <c r="V1772">
        <v>0</v>
      </c>
      <c r="W1772">
        <v>0</v>
      </c>
      <c r="Y1772" t="s">
        <v>3</v>
      </c>
      <c r="Z1772">
        <v>2750</v>
      </c>
      <c r="AA1772">
        <v>168</v>
      </c>
      <c r="AB1772">
        <v>1</v>
      </c>
      <c r="AC1772">
        <v>0</v>
      </c>
      <c r="AD1772">
        <v>21429830</v>
      </c>
      <c r="AE1772">
        <v>83026.45</v>
      </c>
      <c r="AF1772">
        <v>21346803.550000001</v>
      </c>
      <c r="AG1772">
        <v>21346803.550000001</v>
      </c>
      <c r="AH1772">
        <v>0</v>
      </c>
      <c r="AI1772">
        <v>0</v>
      </c>
    </row>
    <row r="1773" spans="13:35" x14ac:dyDescent="0.35">
      <c r="M1773" t="s">
        <v>2</v>
      </c>
      <c r="N1773">
        <v>5500</v>
      </c>
      <c r="O1773">
        <v>168</v>
      </c>
      <c r="P1773">
        <v>3</v>
      </c>
      <c r="Q1773">
        <v>0</v>
      </c>
      <c r="R1773">
        <v>22340969</v>
      </c>
      <c r="S1773">
        <v>85521.57</v>
      </c>
      <c r="T1773">
        <v>22255447.43</v>
      </c>
      <c r="U1773">
        <v>22255447.43</v>
      </c>
      <c r="V1773">
        <v>0</v>
      </c>
      <c r="W1773">
        <v>0</v>
      </c>
      <c r="Y1773" t="s">
        <v>3</v>
      </c>
      <c r="Z1773">
        <v>5250</v>
      </c>
      <c r="AA1773">
        <v>168</v>
      </c>
      <c r="AB1773">
        <v>8</v>
      </c>
      <c r="AC1773">
        <v>0</v>
      </c>
      <c r="AD1773">
        <v>65452999</v>
      </c>
      <c r="AE1773">
        <v>189534.51</v>
      </c>
      <c r="AF1773">
        <v>65263464.490000002</v>
      </c>
      <c r="AG1773">
        <v>65263464.490000002</v>
      </c>
      <c r="AH1773">
        <v>0</v>
      </c>
      <c r="AI1773">
        <v>0</v>
      </c>
    </row>
    <row r="1774" spans="13:35" x14ac:dyDescent="0.35">
      <c r="M1774" t="s">
        <v>0</v>
      </c>
      <c r="N1774">
        <v>6750</v>
      </c>
      <c r="O1774">
        <v>144</v>
      </c>
      <c r="P1774">
        <v>10</v>
      </c>
      <c r="Q1774">
        <v>0</v>
      </c>
      <c r="R1774">
        <v>97892436</v>
      </c>
      <c r="S1774">
        <v>222176.58</v>
      </c>
      <c r="T1774">
        <v>97670259.420000002</v>
      </c>
      <c r="U1774">
        <v>97670259.420000002</v>
      </c>
      <c r="V1774">
        <v>0</v>
      </c>
      <c r="W1774">
        <v>0</v>
      </c>
      <c r="Y1774" t="s">
        <v>0</v>
      </c>
      <c r="Z1774">
        <v>6750</v>
      </c>
      <c r="AA1774">
        <v>168</v>
      </c>
      <c r="AB1774">
        <v>3</v>
      </c>
      <c r="AC1774">
        <v>0</v>
      </c>
      <c r="AD1774">
        <v>17839603</v>
      </c>
      <c r="AE1774">
        <v>44431.37</v>
      </c>
      <c r="AF1774">
        <v>17795171.629999999</v>
      </c>
      <c r="AG1774">
        <v>17795171.629999999</v>
      </c>
      <c r="AH1774">
        <v>0</v>
      </c>
      <c r="AI1774">
        <v>0</v>
      </c>
    </row>
    <row r="1775" spans="13:35" x14ac:dyDescent="0.35">
      <c r="M1775" t="s">
        <v>1</v>
      </c>
      <c r="N1775">
        <v>5750</v>
      </c>
      <c r="O1775">
        <v>144</v>
      </c>
      <c r="P1775">
        <v>9</v>
      </c>
      <c r="Q1775">
        <v>0</v>
      </c>
      <c r="R1775">
        <v>55257973</v>
      </c>
      <c r="S1775">
        <v>137337.21</v>
      </c>
      <c r="T1775">
        <v>55120635.789999999</v>
      </c>
      <c r="U1775">
        <v>55120635.789999999</v>
      </c>
      <c r="V1775">
        <v>0</v>
      </c>
      <c r="W1775">
        <v>0</v>
      </c>
      <c r="Y1775" t="s">
        <v>0</v>
      </c>
      <c r="Z1775">
        <v>6250</v>
      </c>
      <c r="AA1775">
        <v>168</v>
      </c>
      <c r="AB1775">
        <v>1</v>
      </c>
      <c r="AC1775">
        <v>0</v>
      </c>
      <c r="AD1775">
        <v>3722814</v>
      </c>
      <c r="AE1775">
        <v>9558.2800000000007</v>
      </c>
      <c r="AF1775">
        <v>3713255.72</v>
      </c>
      <c r="AG1775">
        <v>3713255.72</v>
      </c>
      <c r="AH1775">
        <v>0</v>
      </c>
      <c r="AI1775">
        <v>0</v>
      </c>
    </row>
    <row r="1776" spans="13:35" x14ac:dyDescent="0.35">
      <c r="M1776" t="s">
        <v>1</v>
      </c>
      <c r="N1776">
        <v>6000</v>
      </c>
      <c r="O1776">
        <v>168</v>
      </c>
      <c r="P1776">
        <v>1</v>
      </c>
      <c r="Q1776">
        <v>0</v>
      </c>
      <c r="R1776">
        <v>10662056</v>
      </c>
      <c r="S1776">
        <v>28310.44</v>
      </c>
      <c r="T1776">
        <v>10633745.560000001</v>
      </c>
      <c r="U1776">
        <v>10633745.560000001</v>
      </c>
      <c r="V1776">
        <v>0</v>
      </c>
      <c r="W1776">
        <v>0</v>
      </c>
      <c r="Y1776" t="s">
        <v>3</v>
      </c>
      <c r="Z1776">
        <v>5500</v>
      </c>
      <c r="AA1776">
        <v>144</v>
      </c>
      <c r="AB1776">
        <v>1</v>
      </c>
      <c r="AC1776">
        <v>0</v>
      </c>
      <c r="AD1776">
        <v>8294925</v>
      </c>
      <c r="AE1776">
        <v>22560.79</v>
      </c>
      <c r="AF1776">
        <v>8272364.21</v>
      </c>
      <c r="AG1776">
        <v>8272364.21</v>
      </c>
      <c r="AH1776">
        <v>0</v>
      </c>
      <c r="AI1776">
        <v>0</v>
      </c>
    </row>
    <row r="1777" spans="13:35" x14ac:dyDescent="0.35">
      <c r="M1777" t="s">
        <v>1</v>
      </c>
      <c r="N1777">
        <v>6000</v>
      </c>
      <c r="O1777">
        <v>144</v>
      </c>
      <c r="P1777">
        <v>1</v>
      </c>
      <c r="Q1777">
        <v>0</v>
      </c>
      <c r="R1777">
        <v>7314734</v>
      </c>
      <c r="S1777">
        <v>18433.669999999998</v>
      </c>
      <c r="T1777">
        <v>7296300.3300000001</v>
      </c>
      <c r="U1777">
        <v>7296300.3300000001</v>
      </c>
      <c r="V1777">
        <v>0</v>
      </c>
      <c r="W1777">
        <v>0</v>
      </c>
      <c r="Y1777" t="s">
        <v>2</v>
      </c>
      <c r="Z1777">
        <v>5500</v>
      </c>
      <c r="AA1777">
        <v>168</v>
      </c>
      <c r="AB1777">
        <v>3</v>
      </c>
      <c r="AC1777">
        <v>0</v>
      </c>
      <c r="AD1777">
        <v>22429239</v>
      </c>
      <c r="AE1777">
        <v>85148.58</v>
      </c>
      <c r="AF1777">
        <v>22344090.420000002</v>
      </c>
      <c r="AG1777">
        <v>22344090.420000002</v>
      </c>
      <c r="AH1777">
        <v>0</v>
      </c>
      <c r="AI1777">
        <v>0</v>
      </c>
    </row>
    <row r="1778" spans="13:35" x14ac:dyDescent="0.35">
      <c r="M1778" t="s">
        <v>0</v>
      </c>
      <c r="N1778">
        <v>2500</v>
      </c>
      <c r="O1778">
        <v>144</v>
      </c>
      <c r="P1778">
        <v>19</v>
      </c>
      <c r="Q1778">
        <v>0</v>
      </c>
      <c r="R1778">
        <v>168279011</v>
      </c>
      <c r="S1778">
        <v>580113.67000000004</v>
      </c>
      <c r="T1778">
        <v>167698897.33000001</v>
      </c>
      <c r="U1778">
        <v>167698897.33000001</v>
      </c>
      <c r="V1778">
        <v>0</v>
      </c>
      <c r="W1778">
        <v>0</v>
      </c>
      <c r="Y1778" t="s">
        <v>0</v>
      </c>
      <c r="Z1778">
        <v>6750</v>
      </c>
      <c r="AA1778">
        <v>144</v>
      </c>
      <c r="AB1778">
        <v>10</v>
      </c>
      <c r="AC1778">
        <v>0</v>
      </c>
      <c r="AD1778">
        <v>79073854</v>
      </c>
      <c r="AE1778">
        <v>182487.24</v>
      </c>
      <c r="AF1778">
        <v>78891366.760000005</v>
      </c>
      <c r="AG1778">
        <v>78891366.760000005</v>
      </c>
      <c r="AH1778">
        <v>0</v>
      </c>
      <c r="AI1778">
        <v>0</v>
      </c>
    </row>
    <row r="1779" spans="13:35" x14ac:dyDescent="0.35">
      <c r="M1779" t="s">
        <v>3</v>
      </c>
      <c r="N1779">
        <v>3250</v>
      </c>
      <c r="O1779">
        <v>144</v>
      </c>
      <c r="P1779">
        <v>23</v>
      </c>
      <c r="Q1779">
        <v>0</v>
      </c>
      <c r="R1779">
        <v>331993873</v>
      </c>
      <c r="S1779">
        <v>1053140.8400000001</v>
      </c>
      <c r="T1779">
        <v>330940732.16000003</v>
      </c>
      <c r="U1779">
        <v>330940732.16000003</v>
      </c>
      <c r="V1779">
        <v>0</v>
      </c>
      <c r="W1779">
        <v>0</v>
      </c>
      <c r="Y1779" t="s">
        <v>1</v>
      </c>
      <c r="Z1779">
        <v>5750</v>
      </c>
      <c r="AA1779">
        <v>144</v>
      </c>
      <c r="AB1779">
        <v>9</v>
      </c>
      <c r="AC1779">
        <v>0</v>
      </c>
      <c r="AD1779">
        <v>55499235</v>
      </c>
      <c r="AE1779">
        <v>136940.9</v>
      </c>
      <c r="AF1779">
        <v>55362294.100000001</v>
      </c>
      <c r="AG1779">
        <v>55362294.100000001</v>
      </c>
      <c r="AH1779">
        <v>0</v>
      </c>
      <c r="AI1779">
        <v>0</v>
      </c>
    </row>
    <row r="1780" spans="13:35" x14ac:dyDescent="0.35">
      <c r="M1780" t="s">
        <v>0</v>
      </c>
      <c r="N1780">
        <v>7000</v>
      </c>
      <c r="O1780">
        <v>144</v>
      </c>
      <c r="P1780">
        <v>1</v>
      </c>
      <c r="Q1780">
        <v>0</v>
      </c>
      <c r="R1780">
        <v>15989340</v>
      </c>
      <c r="S1780">
        <v>36244.870000000003</v>
      </c>
      <c r="T1780">
        <v>15953095.130000001</v>
      </c>
      <c r="U1780">
        <v>15953095.130000001</v>
      </c>
      <c r="V1780">
        <v>0</v>
      </c>
      <c r="W1780">
        <v>0</v>
      </c>
      <c r="Y1780" t="s">
        <v>2</v>
      </c>
      <c r="Z1780">
        <v>5250</v>
      </c>
      <c r="AA1780">
        <v>144</v>
      </c>
      <c r="AB1780">
        <v>6</v>
      </c>
      <c r="AC1780">
        <v>0</v>
      </c>
      <c r="AD1780">
        <v>43746973</v>
      </c>
      <c r="AE1780">
        <v>114542.23</v>
      </c>
      <c r="AF1780">
        <v>43632430.770000003</v>
      </c>
      <c r="AG1780">
        <v>43632430.770000003</v>
      </c>
      <c r="AH1780">
        <v>0</v>
      </c>
      <c r="AI1780">
        <v>0</v>
      </c>
    </row>
    <row r="1781" spans="13:35" x14ac:dyDescent="0.35">
      <c r="M1781" t="s">
        <v>2</v>
      </c>
      <c r="N1781">
        <v>7250</v>
      </c>
      <c r="O1781">
        <v>144</v>
      </c>
      <c r="P1781">
        <v>1</v>
      </c>
      <c r="Q1781">
        <v>0</v>
      </c>
      <c r="R1781">
        <v>6159865</v>
      </c>
      <c r="S1781">
        <v>13251.52</v>
      </c>
      <c r="T1781">
        <v>6146613.4800000004</v>
      </c>
      <c r="U1781">
        <v>6146613.4800000004</v>
      </c>
      <c r="V1781">
        <v>0</v>
      </c>
      <c r="W1781">
        <v>0</v>
      </c>
      <c r="Y1781" t="s">
        <v>1</v>
      </c>
      <c r="Z1781">
        <v>6000</v>
      </c>
      <c r="AA1781">
        <v>168</v>
      </c>
      <c r="AB1781">
        <v>1</v>
      </c>
      <c r="AC1781">
        <v>0</v>
      </c>
      <c r="AD1781">
        <v>10690442</v>
      </c>
      <c r="AE1781">
        <v>28173.07</v>
      </c>
      <c r="AF1781">
        <v>10662268.93</v>
      </c>
      <c r="AG1781">
        <v>10662268.93</v>
      </c>
      <c r="AH1781">
        <v>0</v>
      </c>
      <c r="AI1781">
        <v>0</v>
      </c>
    </row>
    <row r="1782" spans="13:35" x14ac:dyDescent="0.35">
      <c r="M1782" t="s">
        <v>0</v>
      </c>
      <c r="N1782">
        <v>2500</v>
      </c>
      <c r="O1782">
        <v>192</v>
      </c>
      <c r="P1782">
        <v>2</v>
      </c>
      <c r="Q1782">
        <v>0</v>
      </c>
      <c r="R1782">
        <v>17385887</v>
      </c>
      <c r="S1782">
        <v>77579.88</v>
      </c>
      <c r="T1782">
        <v>17308307.120000001</v>
      </c>
      <c r="U1782">
        <v>17308307.120000001</v>
      </c>
      <c r="V1782">
        <v>0</v>
      </c>
      <c r="W1782">
        <v>0</v>
      </c>
      <c r="Y1782" t="s">
        <v>1</v>
      </c>
      <c r="Z1782">
        <v>6000</v>
      </c>
      <c r="AA1782">
        <v>144</v>
      </c>
      <c r="AB1782">
        <v>1</v>
      </c>
      <c r="AC1782">
        <v>0</v>
      </c>
      <c r="AD1782">
        <v>7333215</v>
      </c>
      <c r="AE1782">
        <v>18344.2</v>
      </c>
      <c r="AF1782">
        <v>7314870.7999999998</v>
      </c>
      <c r="AG1782">
        <v>7314870.7999999998</v>
      </c>
      <c r="AH1782">
        <v>0</v>
      </c>
      <c r="AI1782">
        <v>0</v>
      </c>
    </row>
    <row r="1783" spans="13:35" x14ac:dyDescent="0.35">
      <c r="M1783" t="s">
        <v>0</v>
      </c>
      <c r="N1783">
        <v>6500</v>
      </c>
      <c r="O1783">
        <v>144</v>
      </c>
      <c r="P1783">
        <v>3</v>
      </c>
      <c r="Q1783">
        <v>0</v>
      </c>
      <c r="R1783">
        <v>17751394</v>
      </c>
      <c r="S1783">
        <v>38744.85</v>
      </c>
      <c r="T1783">
        <v>17712649.149999999</v>
      </c>
      <c r="U1783">
        <v>17712649.149999999</v>
      </c>
      <c r="V1783">
        <v>0</v>
      </c>
      <c r="W1783">
        <v>0</v>
      </c>
      <c r="Y1783" t="s">
        <v>0</v>
      </c>
      <c r="Z1783">
        <v>2500</v>
      </c>
      <c r="AA1783">
        <v>144</v>
      </c>
      <c r="AB1783">
        <v>20</v>
      </c>
      <c r="AC1783">
        <v>0</v>
      </c>
      <c r="AD1783">
        <v>175110638</v>
      </c>
      <c r="AE1783">
        <v>601897.4</v>
      </c>
      <c r="AF1783">
        <v>174508740.59999999</v>
      </c>
      <c r="AG1783">
        <v>174508740.59999999</v>
      </c>
      <c r="AH1783">
        <v>0</v>
      </c>
      <c r="AI1783">
        <v>0</v>
      </c>
    </row>
    <row r="1784" spans="13:35" x14ac:dyDescent="0.35">
      <c r="M1784" t="s">
        <v>2</v>
      </c>
      <c r="N1784">
        <v>4250</v>
      </c>
      <c r="O1784">
        <v>240</v>
      </c>
      <c r="P1784">
        <v>1</v>
      </c>
      <c r="Q1784">
        <v>0</v>
      </c>
      <c r="R1784">
        <v>7969059</v>
      </c>
      <c r="S1784">
        <v>51296.27</v>
      </c>
      <c r="T1784">
        <v>7917762.7300000004</v>
      </c>
      <c r="U1784">
        <v>7917762.7300000004</v>
      </c>
      <c r="V1784">
        <v>0</v>
      </c>
      <c r="W1784">
        <v>0</v>
      </c>
      <c r="Y1784" t="s">
        <v>3</v>
      </c>
      <c r="Z1784">
        <v>3250</v>
      </c>
      <c r="AA1784">
        <v>144</v>
      </c>
      <c r="AB1784">
        <v>22</v>
      </c>
      <c r="AC1784">
        <v>0</v>
      </c>
      <c r="AD1784">
        <v>317415855</v>
      </c>
      <c r="AE1784">
        <v>1003975.51</v>
      </c>
      <c r="AF1784">
        <v>316411879.49000001</v>
      </c>
      <c r="AG1784">
        <v>316411879.49000001</v>
      </c>
      <c r="AH1784">
        <v>0</v>
      </c>
      <c r="AI1784">
        <v>0</v>
      </c>
    </row>
    <row r="1785" spans="13:35" x14ac:dyDescent="0.35">
      <c r="M1785" t="s">
        <v>0</v>
      </c>
      <c r="N1785">
        <v>5750</v>
      </c>
      <c r="O1785">
        <v>120</v>
      </c>
      <c r="P1785">
        <v>32</v>
      </c>
      <c r="Q1785">
        <v>0</v>
      </c>
      <c r="R1785">
        <v>298094615</v>
      </c>
      <c r="S1785">
        <v>637735.56000000006</v>
      </c>
      <c r="T1785">
        <v>281003461.06999999</v>
      </c>
      <c r="U1785">
        <v>297456879.44</v>
      </c>
      <c r="V1785">
        <v>0.49405300000000002</v>
      </c>
      <c r="W1785">
        <v>0</v>
      </c>
      <c r="Y1785" t="s">
        <v>0</v>
      </c>
      <c r="Z1785">
        <v>7000</v>
      </c>
      <c r="AA1785">
        <v>144</v>
      </c>
      <c r="AB1785">
        <v>1</v>
      </c>
      <c r="AC1785">
        <v>0</v>
      </c>
      <c r="AD1785">
        <v>16026135</v>
      </c>
      <c r="AE1785">
        <v>36040.839999999997</v>
      </c>
      <c r="AF1785">
        <v>15990094.16</v>
      </c>
      <c r="AG1785">
        <v>15990094.16</v>
      </c>
      <c r="AH1785">
        <v>0</v>
      </c>
      <c r="AI1785">
        <v>0</v>
      </c>
    </row>
    <row r="1786" spans="13:35" x14ac:dyDescent="0.35">
      <c r="M1786" t="s">
        <v>0</v>
      </c>
      <c r="N1786">
        <v>6000</v>
      </c>
      <c r="O1786">
        <v>120</v>
      </c>
      <c r="P1786">
        <v>14</v>
      </c>
      <c r="Q1786">
        <v>0</v>
      </c>
      <c r="R1786">
        <v>95719553</v>
      </c>
      <c r="S1786">
        <v>205177.3</v>
      </c>
      <c r="T1786">
        <v>95514375.700000003</v>
      </c>
      <c r="U1786">
        <v>95514375.700000003</v>
      </c>
      <c r="V1786">
        <v>0</v>
      </c>
      <c r="W1786">
        <v>0</v>
      </c>
      <c r="Y1786" t="s">
        <v>2</v>
      </c>
      <c r="Z1786">
        <v>7250</v>
      </c>
      <c r="AA1786">
        <v>144</v>
      </c>
      <c r="AB1786">
        <v>1</v>
      </c>
      <c r="AC1786">
        <v>0</v>
      </c>
      <c r="AD1786">
        <v>6186351</v>
      </c>
      <c r="AE1786">
        <v>13200.35</v>
      </c>
      <c r="AF1786">
        <v>6173150.6500000004</v>
      </c>
      <c r="AG1786">
        <v>6173150.6500000004</v>
      </c>
      <c r="AH1786">
        <v>0</v>
      </c>
      <c r="AI1786">
        <v>0</v>
      </c>
    </row>
    <row r="1787" spans="13:35" x14ac:dyDescent="0.35">
      <c r="M1787" t="s">
        <v>0</v>
      </c>
      <c r="N1787">
        <v>6250</v>
      </c>
      <c r="O1787">
        <v>120</v>
      </c>
      <c r="P1787">
        <v>7</v>
      </c>
      <c r="Q1787">
        <v>0</v>
      </c>
      <c r="R1787">
        <v>77512932</v>
      </c>
      <c r="S1787">
        <v>153059.4</v>
      </c>
      <c r="T1787">
        <v>77359872.599999994</v>
      </c>
      <c r="U1787">
        <v>77359872.599999994</v>
      </c>
      <c r="V1787">
        <v>0</v>
      </c>
      <c r="W1787">
        <v>0</v>
      </c>
      <c r="Y1787" t="s">
        <v>0</v>
      </c>
      <c r="Z1787">
        <v>2500</v>
      </c>
      <c r="AA1787">
        <v>192</v>
      </c>
      <c r="AB1787">
        <v>2</v>
      </c>
      <c r="AC1787">
        <v>0</v>
      </c>
      <c r="AD1787">
        <v>17515230</v>
      </c>
      <c r="AE1787">
        <v>77661.87</v>
      </c>
      <c r="AF1787">
        <v>17437568.129999999</v>
      </c>
      <c r="AG1787">
        <v>17437568.129999999</v>
      </c>
      <c r="AH1787">
        <v>0</v>
      </c>
      <c r="AI1787">
        <v>0</v>
      </c>
    </row>
    <row r="1788" spans="13:35" x14ac:dyDescent="0.35">
      <c r="M1788" t="s">
        <v>1</v>
      </c>
      <c r="N1788">
        <v>6250</v>
      </c>
      <c r="O1788">
        <v>120</v>
      </c>
      <c r="P1788">
        <v>1</v>
      </c>
      <c r="Q1788">
        <v>0</v>
      </c>
      <c r="R1788">
        <v>7952330</v>
      </c>
      <c r="S1788">
        <v>16586.2</v>
      </c>
      <c r="T1788">
        <v>7935743.7999999998</v>
      </c>
      <c r="U1788">
        <v>7935743.7999999998</v>
      </c>
      <c r="V1788">
        <v>0</v>
      </c>
      <c r="W1788">
        <v>0</v>
      </c>
      <c r="Y1788" t="s">
        <v>0</v>
      </c>
      <c r="Z1788">
        <v>6500</v>
      </c>
      <c r="AA1788">
        <v>144</v>
      </c>
      <c r="AB1788">
        <v>2</v>
      </c>
      <c r="AC1788">
        <v>0</v>
      </c>
      <c r="AD1788">
        <v>14029677</v>
      </c>
      <c r="AE1788">
        <v>30872.31</v>
      </c>
      <c r="AF1788">
        <v>13998804.689999999</v>
      </c>
      <c r="AG1788">
        <v>13998804.689999999</v>
      </c>
      <c r="AH1788">
        <v>0</v>
      </c>
      <c r="AI1788">
        <v>0</v>
      </c>
    </row>
    <row r="1789" spans="13:35" x14ac:dyDescent="0.35">
      <c r="M1789" t="s">
        <v>3</v>
      </c>
      <c r="N1789">
        <v>3000</v>
      </c>
      <c r="O1789">
        <v>120</v>
      </c>
      <c r="P1789">
        <v>5</v>
      </c>
      <c r="Q1789">
        <v>0</v>
      </c>
      <c r="R1789">
        <v>85631219</v>
      </c>
      <c r="S1789">
        <v>251101.66</v>
      </c>
      <c r="T1789">
        <v>85380117.340000004</v>
      </c>
      <c r="U1789">
        <v>85380117.340000004</v>
      </c>
      <c r="V1789">
        <v>0</v>
      </c>
      <c r="W1789">
        <v>0</v>
      </c>
      <c r="Y1789" t="s">
        <v>2</v>
      </c>
      <c r="Z1789">
        <v>4250</v>
      </c>
      <c r="AA1789">
        <v>240</v>
      </c>
      <c r="AB1789">
        <v>1</v>
      </c>
      <c r="AC1789">
        <v>0</v>
      </c>
      <c r="AD1789">
        <v>8020218</v>
      </c>
      <c r="AE1789">
        <v>51115.51</v>
      </c>
      <c r="AF1789">
        <v>7969102.4900000002</v>
      </c>
      <c r="AG1789">
        <v>7969102.4900000002</v>
      </c>
      <c r="AH1789">
        <v>0</v>
      </c>
      <c r="AI1789">
        <v>0</v>
      </c>
    </row>
    <row r="1790" spans="13:35" x14ac:dyDescent="0.35">
      <c r="M1790" t="s">
        <v>0</v>
      </c>
      <c r="N1790">
        <v>2250</v>
      </c>
      <c r="O1790">
        <v>120</v>
      </c>
      <c r="P1790">
        <v>6</v>
      </c>
      <c r="Q1790">
        <v>0</v>
      </c>
      <c r="R1790">
        <v>46485945</v>
      </c>
      <c r="S1790">
        <v>149606.16</v>
      </c>
      <c r="T1790">
        <v>46336338.840000004</v>
      </c>
      <c r="U1790">
        <v>46336338.840000004</v>
      </c>
      <c r="V1790">
        <v>0</v>
      </c>
      <c r="W1790">
        <v>0</v>
      </c>
      <c r="Y1790" t="s">
        <v>0</v>
      </c>
      <c r="Z1790">
        <v>5750</v>
      </c>
      <c r="AA1790">
        <v>120</v>
      </c>
      <c r="AB1790">
        <v>31</v>
      </c>
      <c r="AC1790">
        <v>0</v>
      </c>
      <c r="AD1790">
        <v>312684340</v>
      </c>
      <c r="AE1790">
        <v>671323.22</v>
      </c>
      <c r="AF1790">
        <v>279427383.75999999</v>
      </c>
      <c r="AG1790">
        <v>312013016.77999997</v>
      </c>
      <c r="AH1790">
        <v>0.73303200000000002</v>
      </c>
      <c r="AI1790">
        <v>0</v>
      </c>
    </row>
    <row r="1791" spans="13:35" x14ac:dyDescent="0.35">
      <c r="M1791" t="s">
        <v>0</v>
      </c>
      <c r="N1791">
        <v>2250</v>
      </c>
      <c r="O1791">
        <v>144</v>
      </c>
      <c r="P1791">
        <v>11</v>
      </c>
      <c r="Q1791">
        <v>0</v>
      </c>
      <c r="R1791">
        <v>100732338</v>
      </c>
      <c r="S1791">
        <v>354668.01</v>
      </c>
      <c r="T1791">
        <v>100377669.98999999</v>
      </c>
      <c r="U1791">
        <v>100377669.98999999</v>
      </c>
      <c r="V1791">
        <v>0</v>
      </c>
      <c r="W1791">
        <v>0</v>
      </c>
      <c r="Y1791" t="s">
        <v>0</v>
      </c>
      <c r="Z1791">
        <v>6000</v>
      </c>
      <c r="AA1791">
        <v>120</v>
      </c>
      <c r="AB1791">
        <v>14</v>
      </c>
      <c r="AC1791">
        <v>0</v>
      </c>
      <c r="AD1791">
        <v>96001928</v>
      </c>
      <c r="AE1791">
        <v>204341.3</v>
      </c>
      <c r="AF1791">
        <v>95797586.700000003</v>
      </c>
      <c r="AG1791">
        <v>95797586.700000003</v>
      </c>
      <c r="AH1791">
        <v>0</v>
      </c>
      <c r="AI1791">
        <v>0</v>
      </c>
    </row>
    <row r="1792" spans="13:35" x14ac:dyDescent="0.35">
      <c r="M1792" t="s">
        <v>1</v>
      </c>
      <c r="N1792">
        <v>2500</v>
      </c>
      <c r="O1792">
        <v>144</v>
      </c>
      <c r="P1792">
        <v>7</v>
      </c>
      <c r="Q1792">
        <v>0</v>
      </c>
      <c r="R1792">
        <v>78925842</v>
      </c>
      <c r="S1792">
        <v>289371.71000000002</v>
      </c>
      <c r="T1792">
        <v>78636470.290000007</v>
      </c>
      <c r="U1792">
        <v>78636470.290000007</v>
      </c>
      <c r="V1792">
        <v>0</v>
      </c>
      <c r="W1792">
        <v>0</v>
      </c>
      <c r="Y1792" t="s">
        <v>0</v>
      </c>
      <c r="Z1792">
        <v>2000</v>
      </c>
      <c r="AA1792">
        <v>120</v>
      </c>
      <c r="AB1792">
        <v>5</v>
      </c>
      <c r="AC1792">
        <v>0</v>
      </c>
      <c r="AD1792">
        <v>53951765</v>
      </c>
      <c r="AE1792">
        <v>181428.27</v>
      </c>
      <c r="AF1792">
        <v>53770336.729999997</v>
      </c>
      <c r="AG1792">
        <v>53770336.729999997</v>
      </c>
      <c r="AH1792">
        <v>0</v>
      </c>
      <c r="AI1792">
        <v>0</v>
      </c>
    </row>
    <row r="1793" spans="13:35" x14ac:dyDescent="0.35">
      <c r="M1793" t="s">
        <v>2</v>
      </c>
      <c r="N1793">
        <v>2250</v>
      </c>
      <c r="O1793">
        <v>120</v>
      </c>
      <c r="P1793">
        <v>1</v>
      </c>
      <c r="Q1793">
        <v>0</v>
      </c>
      <c r="R1793">
        <v>4310314</v>
      </c>
      <c r="S1793">
        <v>13598.81</v>
      </c>
      <c r="T1793">
        <v>4296715.1900000004</v>
      </c>
      <c r="U1793">
        <v>4296715.1900000004</v>
      </c>
      <c r="V1793">
        <v>0</v>
      </c>
      <c r="W1793">
        <v>0</v>
      </c>
      <c r="Y1793" t="s">
        <v>0</v>
      </c>
      <c r="Z1793">
        <v>6250</v>
      </c>
      <c r="AA1793">
        <v>120</v>
      </c>
      <c r="AB1793">
        <v>4</v>
      </c>
      <c r="AC1793">
        <v>0</v>
      </c>
      <c r="AD1793">
        <v>34823821</v>
      </c>
      <c r="AE1793">
        <v>69014.179999999993</v>
      </c>
      <c r="AF1793">
        <v>34754806.82</v>
      </c>
      <c r="AG1793">
        <v>34754806.82</v>
      </c>
      <c r="AH1793">
        <v>0</v>
      </c>
      <c r="AI1793">
        <v>0</v>
      </c>
    </row>
    <row r="1794" spans="13:35" x14ac:dyDescent="0.35">
      <c r="M1794" t="s">
        <v>2</v>
      </c>
      <c r="N1794">
        <v>5500</v>
      </c>
      <c r="O1794">
        <v>120</v>
      </c>
      <c r="P1794">
        <v>1</v>
      </c>
      <c r="Q1794">
        <v>0</v>
      </c>
      <c r="R1794">
        <v>19666256</v>
      </c>
      <c r="S1794">
        <v>43118.6</v>
      </c>
      <c r="T1794">
        <v>19623137.399999999</v>
      </c>
      <c r="U1794">
        <v>19623137.399999999</v>
      </c>
      <c r="V1794">
        <v>0</v>
      </c>
      <c r="W1794">
        <v>0</v>
      </c>
      <c r="Y1794" t="s">
        <v>0</v>
      </c>
      <c r="Z1794">
        <v>6500</v>
      </c>
      <c r="AA1794">
        <v>120</v>
      </c>
      <c r="AB1794">
        <v>1</v>
      </c>
      <c r="AC1794">
        <v>0</v>
      </c>
      <c r="AD1794">
        <v>3771238</v>
      </c>
      <c r="AE1794">
        <v>7689.8</v>
      </c>
      <c r="AF1794">
        <v>3763548.2</v>
      </c>
      <c r="AG1794">
        <v>3763548.2</v>
      </c>
      <c r="AH1794">
        <v>0</v>
      </c>
      <c r="AI1794">
        <v>0</v>
      </c>
    </row>
    <row r="1795" spans="13:35" x14ac:dyDescent="0.35">
      <c r="M1795" t="s">
        <v>1</v>
      </c>
      <c r="N1795">
        <v>2750</v>
      </c>
      <c r="O1795">
        <v>108</v>
      </c>
      <c r="P1795">
        <v>20</v>
      </c>
      <c r="Q1795">
        <v>0</v>
      </c>
      <c r="R1795">
        <v>385224069</v>
      </c>
      <c r="S1795">
        <v>1106383.27</v>
      </c>
      <c r="T1795">
        <v>366514405.35000002</v>
      </c>
      <c r="U1795">
        <v>384117685.73000002</v>
      </c>
      <c r="V1795">
        <v>0.42952099999999999</v>
      </c>
      <c r="W1795">
        <v>0</v>
      </c>
      <c r="Y1795" t="s">
        <v>1</v>
      </c>
      <c r="Z1795">
        <v>6250</v>
      </c>
      <c r="AA1795">
        <v>120</v>
      </c>
      <c r="AB1795">
        <v>1</v>
      </c>
      <c r="AC1795">
        <v>0</v>
      </c>
      <c r="AD1795">
        <v>7969372</v>
      </c>
      <c r="AE1795">
        <v>16501.39</v>
      </c>
      <c r="AF1795">
        <v>7952870.6100000003</v>
      </c>
      <c r="AG1795">
        <v>7952870.6100000003</v>
      </c>
      <c r="AH1795">
        <v>0</v>
      </c>
      <c r="AI1795">
        <v>0</v>
      </c>
    </row>
    <row r="1796" spans="13:35" x14ac:dyDescent="0.35">
      <c r="M1796" t="s">
        <v>0</v>
      </c>
      <c r="N1796">
        <v>6500</v>
      </c>
      <c r="O1796">
        <v>120</v>
      </c>
      <c r="P1796">
        <v>1</v>
      </c>
      <c r="Q1796">
        <v>0</v>
      </c>
      <c r="R1796">
        <v>8037818</v>
      </c>
      <c r="S1796">
        <v>15115.81</v>
      </c>
      <c r="T1796">
        <v>8022702.1900000004</v>
      </c>
      <c r="U1796">
        <v>8022702.1900000004</v>
      </c>
      <c r="V1796">
        <v>0</v>
      </c>
      <c r="W1796">
        <v>0</v>
      </c>
      <c r="Y1796" t="s">
        <v>3</v>
      </c>
      <c r="Z1796">
        <v>3000</v>
      </c>
      <c r="AA1796">
        <v>120</v>
      </c>
      <c r="AB1796">
        <v>5</v>
      </c>
      <c r="AC1796">
        <v>0</v>
      </c>
      <c r="AD1796">
        <v>85891543</v>
      </c>
      <c r="AE1796">
        <v>250504.49</v>
      </c>
      <c r="AF1796">
        <v>85641038.510000005</v>
      </c>
      <c r="AG1796">
        <v>85641038.510000005</v>
      </c>
      <c r="AH1796">
        <v>0</v>
      </c>
      <c r="AI1796">
        <v>0</v>
      </c>
    </row>
    <row r="1797" spans="13:35" x14ac:dyDescent="0.35">
      <c r="M1797" t="s">
        <v>3</v>
      </c>
      <c r="N1797">
        <v>3500</v>
      </c>
      <c r="O1797">
        <v>108</v>
      </c>
      <c r="P1797">
        <v>12</v>
      </c>
      <c r="Q1797">
        <v>0</v>
      </c>
      <c r="R1797">
        <v>154668371</v>
      </c>
      <c r="S1797">
        <v>401995.28</v>
      </c>
      <c r="T1797">
        <v>154266375.72</v>
      </c>
      <c r="U1797">
        <v>154266375.72</v>
      </c>
      <c r="V1797">
        <v>0</v>
      </c>
      <c r="W1797">
        <v>0</v>
      </c>
      <c r="Y1797" t="s">
        <v>0</v>
      </c>
      <c r="Z1797">
        <v>2250</v>
      </c>
      <c r="AA1797">
        <v>120</v>
      </c>
      <c r="AB1797">
        <v>6</v>
      </c>
      <c r="AC1797">
        <v>0</v>
      </c>
      <c r="AD1797">
        <v>46679277</v>
      </c>
      <c r="AE1797">
        <v>149465.92000000001</v>
      </c>
      <c r="AF1797">
        <v>46529811.079999998</v>
      </c>
      <c r="AG1797">
        <v>46529811.079999998</v>
      </c>
      <c r="AH1797">
        <v>0</v>
      </c>
      <c r="AI1797">
        <v>0</v>
      </c>
    </row>
    <row r="1798" spans="13:35" x14ac:dyDescent="0.35">
      <c r="M1798" t="s">
        <v>1</v>
      </c>
      <c r="N1798">
        <v>2000</v>
      </c>
      <c r="O1798">
        <v>108</v>
      </c>
      <c r="P1798">
        <v>6</v>
      </c>
      <c r="Q1798">
        <v>0</v>
      </c>
      <c r="R1798">
        <v>78121851</v>
      </c>
      <c r="S1798">
        <v>278585.49</v>
      </c>
      <c r="T1798">
        <v>77843265.510000005</v>
      </c>
      <c r="U1798">
        <v>77843265.510000005</v>
      </c>
      <c r="V1798">
        <v>0</v>
      </c>
      <c r="W1798">
        <v>0</v>
      </c>
      <c r="Y1798" t="s">
        <v>0</v>
      </c>
      <c r="Z1798">
        <v>2250</v>
      </c>
      <c r="AA1798">
        <v>144</v>
      </c>
      <c r="AB1798">
        <v>11</v>
      </c>
      <c r="AC1798">
        <v>0</v>
      </c>
      <c r="AD1798">
        <v>101118010</v>
      </c>
      <c r="AE1798">
        <v>354125.71</v>
      </c>
      <c r="AF1798">
        <v>100763884.29000001</v>
      </c>
      <c r="AG1798">
        <v>100763884.29000001</v>
      </c>
      <c r="AH1798">
        <v>0</v>
      </c>
      <c r="AI1798">
        <v>0</v>
      </c>
    </row>
    <row r="1799" spans="13:35" x14ac:dyDescent="0.35">
      <c r="M1799" t="s">
        <v>3</v>
      </c>
      <c r="N1799">
        <v>3250</v>
      </c>
      <c r="O1799">
        <v>108</v>
      </c>
      <c r="P1799">
        <v>1</v>
      </c>
      <c r="Q1799">
        <v>0</v>
      </c>
      <c r="R1799">
        <v>16202523</v>
      </c>
      <c r="S1799">
        <v>43947.82</v>
      </c>
      <c r="T1799">
        <v>16158575.18</v>
      </c>
      <c r="U1799">
        <v>16158575.18</v>
      </c>
      <c r="V1799">
        <v>0</v>
      </c>
      <c r="W1799">
        <v>0</v>
      </c>
      <c r="Y1799" t="s">
        <v>1</v>
      </c>
      <c r="Z1799">
        <v>2500</v>
      </c>
      <c r="AA1799">
        <v>144</v>
      </c>
      <c r="AB1799">
        <v>8</v>
      </c>
      <c r="AC1799">
        <v>0</v>
      </c>
      <c r="AD1799">
        <v>85576049</v>
      </c>
      <c r="AE1799">
        <v>312142.94</v>
      </c>
      <c r="AF1799">
        <v>85263906.060000002</v>
      </c>
      <c r="AG1799">
        <v>85263906.060000002</v>
      </c>
      <c r="AH1799">
        <v>0</v>
      </c>
      <c r="AI1799">
        <v>0</v>
      </c>
    </row>
    <row r="1800" spans="13:35" x14ac:dyDescent="0.35">
      <c r="M1800" t="s">
        <v>2</v>
      </c>
      <c r="N1800">
        <v>5500</v>
      </c>
      <c r="O1800">
        <v>108</v>
      </c>
      <c r="P1800">
        <v>1</v>
      </c>
      <c r="Q1800">
        <v>0</v>
      </c>
      <c r="R1800">
        <v>6975829</v>
      </c>
      <c r="S1800">
        <v>14796.59</v>
      </c>
      <c r="T1800">
        <v>6961032.4100000001</v>
      </c>
      <c r="U1800">
        <v>6961032.4100000001</v>
      </c>
      <c r="V1800">
        <v>0</v>
      </c>
      <c r="W1800">
        <v>0</v>
      </c>
      <c r="Y1800" t="s">
        <v>2</v>
      </c>
      <c r="Z1800">
        <v>2250</v>
      </c>
      <c r="AA1800">
        <v>120</v>
      </c>
      <c r="AB1800">
        <v>1</v>
      </c>
      <c r="AC1800">
        <v>0</v>
      </c>
      <c r="AD1800">
        <v>4323957</v>
      </c>
      <c r="AE1800">
        <v>13573.58</v>
      </c>
      <c r="AF1800">
        <v>4310383.42</v>
      </c>
      <c r="AG1800">
        <v>4310383.42</v>
      </c>
      <c r="AH1800">
        <v>0</v>
      </c>
      <c r="AI1800">
        <v>0</v>
      </c>
    </row>
    <row r="1801" spans="13:35" x14ac:dyDescent="0.35">
      <c r="M1801" t="s">
        <v>0</v>
      </c>
      <c r="N1801">
        <v>6500</v>
      </c>
      <c r="O1801">
        <v>108</v>
      </c>
      <c r="P1801">
        <v>1</v>
      </c>
      <c r="Q1801">
        <v>0</v>
      </c>
      <c r="R1801">
        <v>5221877</v>
      </c>
      <c r="S1801">
        <v>9488.8799999999992</v>
      </c>
      <c r="T1801">
        <v>5212388.12</v>
      </c>
      <c r="U1801">
        <v>5212388.12</v>
      </c>
      <c r="V1801">
        <v>0</v>
      </c>
      <c r="W1801">
        <v>0</v>
      </c>
      <c r="Y1801" t="s">
        <v>1</v>
      </c>
      <c r="Z1801">
        <v>2750</v>
      </c>
      <c r="AA1801">
        <v>108</v>
      </c>
      <c r="AB1801">
        <v>26</v>
      </c>
      <c r="AC1801">
        <v>0</v>
      </c>
      <c r="AD1801">
        <v>487587248</v>
      </c>
      <c r="AE1801">
        <v>1402925.35</v>
      </c>
      <c r="AF1801">
        <v>486184322.64999998</v>
      </c>
      <c r="AG1801">
        <v>486184322.64999998</v>
      </c>
      <c r="AH1801">
        <v>0</v>
      </c>
      <c r="AI1801">
        <v>0</v>
      </c>
    </row>
    <row r="1802" spans="13:35" x14ac:dyDescent="0.35">
      <c r="M1802" t="s">
        <v>1</v>
      </c>
      <c r="N1802">
        <v>6250</v>
      </c>
      <c r="O1802">
        <v>108</v>
      </c>
      <c r="P1802">
        <v>2</v>
      </c>
      <c r="Q1802">
        <v>0</v>
      </c>
      <c r="R1802">
        <v>10221042</v>
      </c>
      <c r="S1802">
        <v>18342.77</v>
      </c>
      <c r="T1802">
        <v>10202699.23</v>
      </c>
      <c r="U1802">
        <v>10202699.23</v>
      </c>
      <c r="V1802">
        <v>0</v>
      </c>
      <c r="W1802">
        <v>0</v>
      </c>
      <c r="Y1802" t="s">
        <v>3</v>
      </c>
      <c r="Z1802">
        <v>3500</v>
      </c>
      <c r="AA1802">
        <v>108</v>
      </c>
      <c r="AB1802">
        <v>16</v>
      </c>
      <c r="AC1802">
        <v>0</v>
      </c>
      <c r="AD1802">
        <v>216857912</v>
      </c>
      <c r="AE1802">
        <v>568043.5</v>
      </c>
      <c r="AF1802">
        <v>216289868.5</v>
      </c>
      <c r="AG1802">
        <v>216289868.5</v>
      </c>
      <c r="AH1802">
        <v>0</v>
      </c>
      <c r="AI1802">
        <v>0</v>
      </c>
    </row>
    <row r="1803" spans="13:35" x14ac:dyDescent="0.35">
      <c r="M1803" t="s">
        <v>0</v>
      </c>
      <c r="N1803">
        <v>6750</v>
      </c>
      <c r="O1803">
        <v>108</v>
      </c>
      <c r="P1803">
        <v>1</v>
      </c>
      <c r="Q1803">
        <v>0</v>
      </c>
      <c r="R1803">
        <v>26196553</v>
      </c>
      <c r="S1803">
        <v>43699.24</v>
      </c>
      <c r="T1803">
        <v>26152853.760000002</v>
      </c>
      <c r="U1803">
        <v>26152853.760000002</v>
      </c>
      <c r="V1803">
        <v>0</v>
      </c>
      <c r="W1803">
        <v>0</v>
      </c>
      <c r="Y1803" t="s">
        <v>3</v>
      </c>
      <c r="Z1803">
        <v>3250</v>
      </c>
      <c r="AA1803">
        <v>108</v>
      </c>
      <c r="AB1803">
        <v>2</v>
      </c>
      <c r="AC1803">
        <v>0</v>
      </c>
      <c r="AD1803">
        <v>44311790</v>
      </c>
      <c r="AE1803">
        <v>121628.78</v>
      </c>
      <c r="AF1803">
        <v>44190161.219999999</v>
      </c>
      <c r="AG1803">
        <v>44190161.219999999</v>
      </c>
      <c r="AH1803">
        <v>0</v>
      </c>
      <c r="AI1803">
        <v>0</v>
      </c>
    </row>
    <row r="1804" spans="13:35" x14ac:dyDescent="0.35">
      <c r="M1804" t="s">
        <v>1</v>
      </c>
      <c r="N1804">
        <v>3000</v>
      </c>
      <c r="O1804">
        <v>96</v>
      </c>
      <c r="P1804">
        <v>9</v>
      </c>
      <c r="Q1804">
        <v>0</v>
      </c>
      <c r="R1804">
        <v>184961741</v>
      </c>
      <c r="S1804">
        <v>490087.25</v>
      </c>
      <c r="T1804">
        <v>184471653.75</v>
      </c>
      <c r="U1804">
        <v>184471653.75</v>
      </c>
      <c r="V1804">
        <v>0</v>
      </c>
      <c r="W1804">
        <v>0</v>
      </c>
      <c r="Y1804" t="s">
        <v>2</v>
      </c>
      <c r="Z1804">
        <v>5500</v>
      </c>
      <c r="AA1804">
        <v>120</v>
      </c>
      <c r="AB1804">
        <v>1</v>
      </c>
      <c r="AC1804">
        <v>0</v>
      </c>
      <c r="AD1804">
        <v>19709183</v>
      </c>
      <c r="AE1804">
        <v>42926.32</v>
      </c>
      <c r="AF1804">
        <v>19666256.68</v>
      </c>
      <c r="AG1804">
        <v>19666256.68</v>
      </c>
      <c r="AH1804">
        <v>0</v>
      </c>
      <c r="AI1804">
        <v>0</v>
      </c>
    </row>
    <row r="1805" spans="13:35" x14ac:dyDescent="0.35">
      <c r="M1805" t="s">
        <v>0</v>
      </c>
      <c r="N1805">
        <v>3000</v>
      </c>
      <c r="O1805">
        <v>96</v>
      </c>
      <c r="P1805">
        <v>29</v>
      </c>
      <c r="Q1805">
        <v>0</v>
      </c>
      <c r="R1805">
        <v>319933014</v>
      </c>
      <c r="S1805">
        <v>844141.74</v>
      </c>
      <c r="T1805">
        <v>319088872.25999999</v>
      </c>
      <c r="U1805">
        <v>319088872.25999999</v>
      </c>
      <c r="V1805">
        <v>0</v>
      </c>
      <c r="W1805">
        <v>0</v>
      </c>
      <c r="Y1805" t="s">
        <v>0</v>
      </c>
      <c r="Z1805">
        <v>6500</v>
      </c>
      <c r="AA1805">
        <v>108</v>
      </c>
      <c r="AB1805">
        <v>3</v>
      </c>
      <c r="AC1805">
        <v>0</v>
      </c>
      <c r="AD1805">
        <v>19178994</v>
      </c>
      <c r="AE1805">
        <v>35108.06</v>
      </c>
      <c r="AF1805">
        <v>13244688.960000001</v>
      </c>
      <c r="AG1805">
        <v>19143885.940000001</v>
      </c>
      <c r="AH1805">
        <v>0.98785500000000004</v>
      </c>
      <c r="AI1805">
        <v>0</v>
      </c>
    </row>
    <row r="1806" spans="13:35" x14ac:dyDescent="0.35">
      <c r="M1806" t="s">
        <v>3</v>
      </c>
      <c r="N1806">
        <v>3750</v>
      </c>
      <c r="O1806">
        <v>96</v>
      </c>
      <c r="P1806">
        <v>14</v>
      </c>
      <c r="Q1806">
        <v>0</v>
      </c>
      <c r="R1806">
        <v>242288755</v>
      </c>
      <c r="S1806">
        <v>593412.38</v>
      </c>
      <c r="T1806">
        <v>241695342.62</v>
      </c>
      <c r="U1806">
        <v>241695342.62</v>
      </c>
      <c r="V1806">
        <v>0</v>
      </c>
      <c r="W1806">
        <v>0</v>
      </c>
      <c r="Y1806" t="s">
        <v>1</v>
      </c>
      <c r="Z1806">
        <v>2000</v>
      </c>
      <c r="AA1806">
        <v>108</v>
      </c>
      <c r="AB1806">
        <v>7</v>
      </c>
      <c r="AC1806">
        <v>0</v>
      </c>
      <c r="AD1806">
        <v>98580637</v>
      </c>
      <c r="AE1806">
        <v>352912.12</v>
      </c>
      <c r="AF1806">
        <v>98227724.879999995</v>
      </c>
      <c r="AG1806">
        <v>98227724.879999995</v>
      </c>
      <c r="AH1806">
        <v>0</v>
      </c>
      <c r="AI1806">
        <v>0</v>
      </c>
    </row>
    <row r="1807" spans="13:35" x14ac:dyDescent="0.35">
      <c r="M1807" t="s">
        <v>3</v>
      </c>
      <c r="N1807">
        <v>4000</v>
      </c>
      <c r="O1807">
        <v>96</v>
      </c>
      <c r="P1807">
        <v>22</v>
      </c>
      <c r="Q1807">
        <v>0</v>
      </c>
      <c r="R1807">
        <v>322630541</v>
      </c>
      <c r="S1807">
        <v>762941.39</v>
      </c>
      <c r="T1807">
        <v>302952847.04000002</v>
      </c>
      <c r="U1807">
        <v>321867599.61000001</v>
      </c>
      <c r="V1807">
        <v>0.51566900000000004</v>
      </c>
      <c r="W1807">
        <v>0</v>
      </c>
      <c r="Y1807" t="s">
        <v>2</v>
      </c>
      <c r="Z1807">
        <v>5500</v>
      </c>
      <c r="AA1807">
        <v>108</v>
      </c>
      <c r="AB1807">
        <v>1</v>
      </c>
      <c r="AC1807">
        <v>0</v>
      </c>
      <c r="AD1807">
        <v>6993150</v>
      </c>
      <c r="AE1807">
        <v>14736.07</v>
      </c>
      <c r="AF1807">
        <v>6978413.9299999997</v>
      </c>
      <c r="AG1807">
        <v>6978413.9299999997</v>
      </c>
      <c r="AH1807">
        <v>0</v>
      </c>
      <c r="AI1807">
        <v>0</v>
      </c>
    </row>
    <row r="1808" spans="13:35" x14ac:dyDescent="0.35">
      <c r="M1808" t="s">
        <v>0</v>
      </c>
      <c r="N1808">
        <v>7000</v>
      </c>
      <c r="O1808">
        <v>96</v>
      </c>
      <c r="P1808">
        <v>14</v>
      </c>
      <c r="Q1808">
        <v>0</v>
      </c>
      <c r="R1808">
        <v>156697459</v>
      </c>
      <c r="S1808">
        <v>245396.67</v>
      </c>
      <c r="T1808">
        <v>156452062.33000001</v>
      </c>
      <c r="U1808">
        <v>156452062.33000001</v>
      </c>
      <c r="V1808">
        <v>0</v>
      </c>
      <c r="W1808">
        <v>0</v>
      </c>
      <c r="Y1808" t="s">
        <v>0</v>
      </c>
      <c r="Z1808">
        <v>6750</v>
      </c>
      <c r="AA1808">
        <v>120</v>
      </c>
      <c r="AB1808">
        <v>1</v>
      </c>
      <c r="AC1808">
        <v>0</v>
      </c>
      <c r="AD1808">
        <v>23395374</v>
      </c>
      <c r="AE1808">
        <v>48832.66</v>
      </c>
      <c r="AF1808">
        <v>23346541.34</v>
      </c>
      <c r="AG1808">
        <v>23346541.34</v>
      </c>
      <c r="AH1808">
        <v>0</v>
      </c>
      <c r="AI1808">
        <v>0</v>
      </c>
    </row>
    <row r="1809" spans="13:35" x14ac:dyDescent="0.35">
      <c r="M1809" t="s">
        <v>0</v>
      </c>
      <c r="N1809">
        <v>7250</v>
      </c>
      <c r="O1809">
        <v>96</v>
      </c>
      <c r="P1809">
        <v>17</v>
      </c>
      <c r="Q1809">
        <v>0</v>
      </c>
      <c r="R1809">
        <v>232759561</v>
      </c>
      <c r="S1809">
        <v>351023.31</v>
      </c>
      <c r="T1809">
        <v>216948533.53</v>
      </c>
      <c r="U1809">
        <v>232408537.69</v>
      </c>
      <c r="V1809">
        <v>0.56165500000000002</v>
      </c>
      <c r="W1809">
        <v>0</v>
      </c>
      <c r="Y1809" t="s">
        <v>1</v>
      </c>
      <c r="Z1809">
        <v>2500</v>
      </c>
      <c r="AA1809">
        <v>108</v>
      </c>
      <c r="AB1809">
        <v>1</v>
      </c>
      <c r="AC1809">
        <v>0</v>
      </c>
      <c r="AD1809">
        <v>12142809</v>
      </c>
      <c r="AE1809">
        <v>36687.75</v>
      </c>
      <c r="AF1809">
        <v>12106121.25</v>
      </c>
      <c r="AG1809">
        <v>12106121.25</v>
      </c>
      <c r="AH1809">
        <v>0</v>
      </c>
      <c r="AI1809">
        <v>0</v>
      </c>
    </row>
    <row r="1810" spans="13:35" x14ac:dyDescent="0.35">
      <c r="M1810" t="s">
        <v>1</v>
      </c>
      <c r="N1810">
        <v>2750</v>
      </c>
      <c r="O1810">
        <v>96</v>
      </c>
      <c r="P1810">
        <v>2</v>
      </c>
      <c r="Q1810">
        <v>0</v>
      </c>
      <c r="R1810">
        <v>39334216</v>
      </c>
      <c r="S1810">
        <v>107298.19</v>
      </c>
      <c r="T1810">
        <v>39226917.810000002</v>
      </c>
      <c r="U1810">
        <v>39226917.810000002</v>
      </c>
      <c r="V1810">
        <v>0</v>
      </c>
      <c r="W1810">
        <v>0</v>
      </c>
      <c r="Y1810" t="s">
        <v>2</v>
      </c>
      <c r="Z1810">
        <v>3000</v>
      </c>
      <c r="AA1810">
        <v>96</v>
      </c>
      <c r="AB1810">
        <v>4</v>
      </c>
      <c r="AC1810">
        <v>0</v>
      </c>
      <c r="AD1810">
        <v>30607323</v>
      </c>
      <c r="AE1810">
        <v>82790.48</v>
      </c>
      <c r="AF1810">
        <v>30524532.52</v>
      </c>
      <c r="AG1810">
        <v>30524532.52</v>
      </c>
      <c r="AH1810">
        <v>0</v>
      </c>
      <c r="AI1810">
        <v>0</v>
      </c>
    </row>
    <row r="1811" spans="13:35" x14ac:dyDescent="0.35">
      <c r="M1811" t="s">
        <v>2</v>
      </c>
      <c r="N1811">
        <v>6000</v>
      </c>
      <c r="O1811">
        <v>96</v>
      </c>
      <c r="P1811">
        <v>1</v>
      </c>
      <c r="Q1811">
        <v>0</v>
      </c>
      <c r="R1811">
        <v>4767653</v>
      </c>
      <c r="S1811">
        <v>8755.15</v>
      </c>
      <c r="T1811">
        <v>4758897.8499999996</v>
      </c>
      <c r="U1811">
        <v>4758897.8499999996</v>
      </c>
      <c r="V1811">
        <v>0</v>
      </c>
      <c r="W1811">
        <v>0</v>
      </c>
      <c r="Y1811" t="s">
        <v>3</v>
      </c>
      <c r="Z1811">
        <v>4000</v>
      </c>
      <c r="AA1811">
        <v>96</v>
      </c>
      <c r="AB1811">
        <v>35</v>
      </c>
      <c r="AC1811">
        <v>0</v>
      </c>
      <c r="AD1811">
        <v>536407082</v>
      </c>
      <c r="AE1811">
        <v>1270352.3799999999</v>
      </c>
      <c r="AF1811">
        <v>535136729.62</v>
      </c>
      <c r="AG1811">
        <v>535136729.62</v>
      </c>
      <c r="AH1811">
        <v>0</v>
      </c>
      <c r="AI1811">
        <v>0</v>
      </c>
    </row>
    <row r="1812" spans="13:35" x14ac:dyDescent="0.35">
      <c r="M1812" t="s">
        <v>3</v>
      </c>
      <c r="N1812">
        <v>6250</v>
      </c>
      <c r="O1812">
        <v>96</v>
      </c>
      <c r="P1812">
        <v>4</v>
      </c>
      <c r="Q1812">
        <v>0</v>
      </c>
      <c r="R1812">
        <v>41378299</v>
      </c>
      <c r="S1812">
        <v>70208.33</v>
      </c>
      <c r="T1812">
        <v>41308090.670000002</v>
      </c>
      <c r="U1812">
        <v>41308090.670000002</v>
      </c>
      <c r="V1812">
        <v>0</v>
      </c>
      <c r="W1812">
        <v>0</v>
      </c>
      <c r="Y1812" t="s">
        <v>3</v>
      </c>
      <c r="Z1812">
        <v>3750</v>
      </c>
      <c r="AA1812">
        <v>96</v>
      </c>
      <c r="AB1812">
        <v>26</v>
      </c>
      <c r="AC1812">
        <v>0</v>
      </c>
      <c r="AD1812">
        <v>407771582</v>
      </c>
      <c r="AE1812">
        <v>995358</v>
      </c>
      <c r="AF1812">
        <v>406776224</v>
      </c>
      <c r="AG1812">
        <v>406776224</v>
      </c>
      <c r="AH1812">
        <v>0</v>
      </c>
      <c r="AI1812">
        <v>0</v>
      </c>
    </row>
    <row r="1813" spans="13:35" x14ac:dyDescent="0.35">
      <c r="M1813" t="s">
        <v>0</v>
      </c>
      <c r="N1813">
        <v>2250</v>
      </c>
      <c r="O1813">
        <v>96</v>
      </c>
      <c r="P1813">
        <v>4</v>
      </c>
      <c r="Q1813">
        <v>0</v>
      </c>
      <c r="R1813">
        <v>39670560</v>
      </c>
      <c r="S1813">
        <v>112955.17</v>
      </c>
      <c r="T1813">
        <v>39557604.829999998</v>
      </c>
      <c r="U1813">
        <v>39557604.829999998</v>
      </c>
      <c r="V1813">
        <v>0</v>
      </c>
      <c r="W1813">
        <v>0</v>
      </c>
      <c r="Y1813" t="s">
        <v>1</v>
      </c>
      <c r="Z1813">
        <v>6250</v>
      </c>
      <c r="AA1813">
        <v>108</v>
      </c>
      <c r="AB1813">
        <v>1</v>
      </c>
      <c r="AC1813">
        <v>0</v>
      </c>
      <c r="AD1813">
        <v>4635017</v>
      </c>
      <c r="AE1813">
        <v>8323.65</v>
      </c>
      <c r="AF1813">
        <v>4626693.3499999996</v>
      </c>
      <c r="AG1813">
        <v>4626693.3499999996</v>
      </c>
      <c r="AH1813">
        <v>0</v>
      </c>
      <c r="AI1813">
        <v>0</v>
      </c>
    </row>
    <row r="1814" spans="13:35" x14ac:dyDescent="0.35">
      <c r="M1814" t="s">
        <v>0</v>
      </c>
      <c r="N1814">
        <v>7000</v>
      </c>
      <c r="O1814">
        <v>84</v>
      </c>
      <c r="P1814">
        <v>4</v>
      </c>
      <c r="Q1814">
        <v>0</v>
      </c>
      <c r="R1814">
        <v>32116715</v>
      </c>
      <c r="S1814">
        <v>47111.59</v>
      </c>
      <c r="T1814">
        <v>32069603.41</v>
      </c>
      <c r="U1814">
        <v>32069603.41</v>
      </c>
      <c r="V1814">
        <v>0</v>
      </c>
      <c r="W1814">
        <v>0</v>
      </c>
      <c r="Y1814" t="s">
        <v>1</v>
      </c>
      <c r="Z1814">
        <v>3000</v>
      </c>
      <c r="AA1814">
        <v>96</v>
      </c>
      <c r="AB1814">
        <v>10</v>
      </c>
      <c r="AC1814">
        <v>0</v>
      </c>
      <c r="AD1814">
        <v>195334969</v>
      </c>
      <c r="AE1814">
        <v>523286.55</v>
      </c>
      <c r="AF1814">
        <v>194811682.44999999</v>
      </c>
      <c r="AG1814">
        <v>194811682.44999999</v>
      </c>
      <c r="AH1814">
        <v>0</v>
      </c>
      <c r="AI1814">
        <v>0</v>
      </c>
    </row>
    <row r="1815" spans="13:35" x14ac:dyDescent="0.35">
      <c r="M1815" t="s">
        <v>0</v>
      </c>
      <c r="N1815">
        <v>7250</v>
      </c>
      <c r="O1815">
        <v>84</v>
      </c>
      <c r="P1815">
        <v>2</v>
      </c>
      <c r="Q1815">
        <v>0</v>
      </c>
      <c r="R1815">
        <v>21770792</v>
      </c>
      <c r="S1815">
        <v>31213.01</v>
      </c>
      <c r="T1815">
        <v>21739578.989999998</v>
      </c>
      <c r="U1815">
        <v>21739578.989999998</v>
      </c>
      <c r="V1815">
        <v>0</v>
      </c>
      <c r="W1815">
        <v>0</v>
      </c>
      <c r="Y1815" t="s">
        <v>0</v>
      </c>
      <c r="Z1815">
        <v>7000</v>
      </c>
      <c r="AA1815">
        <v>96</v>
      </c>
      <c r="AB1815">
        <v>13</v>
      </c>
      <c r="AC1815">
        <v>0</v>
      </c>
      <c r="AD1815">
        <v>144667371</v>
      </c>
      <c r="AE1815">
        <v>225682.72</v>
      </c>
      <c r="AF1815">
        <v>144441688.28</v>
      </c>
      <c r="AG1815">
        <v>144441688.28</v>
      </c>
      <c r="AH1815">
        <v>0</v>
      </c>
      <c r="AI1815">
        <v>0</v>
      </c>
    </row>
    <row r="1816" spans="13:35" x14ac:dyDescent="0.35">
      <c r="M1816" t="s">
        <v>1</v>
      </c>
      <c r="N1816">
        <v>2250</v>
      </c>
      <c r="O1816">
        <v>96</v>
      </c>
      <c r="P1816">
        <v>1</v>
      </c>
      <c r="Q1816">
        <v>0</v>
      </c>
      <c r="R1816">
        <v>19258146</v>
      </c>
      <c r="S1816">
        <v>53584.04</v>
      </c>
      <c r="T1816">
        <v>19204561.960000001</v>
      </c>
      <c r="U1816">
        <v>19204561.960000001</v>
      </c>
      <c r="V1816">
        <v>0</v>
      </c>
      <c r="W1816">
        <v>0</v>
      </c>
      <c r="Y1816" t="s">
        <v>0</v>
      </c>
      <c r="Z1816">
        <v>7250</v>
      </c>
      <c r="AA1816">
        <v>96</v>
      </c>
      <c r="AB1816">
        <v>16</v>
      </c>
      <c r="AC1816">
        <v>0</v>
      </c>
      <c r="AD1816">
        <v>222363307</v>
      </c>
      <c r="AE1816">
        <v>333476.52</v>
      </c>
      <c r="AF1816">
        <v>222029830.47999999</v>
      </c>
      <c r="AG1816">
        <v>222029830.47999999</v>
      </c>
      <c r="AH1816">
        <v>0</v>
      </c>
      <c r="AI1816">
        <v>0</v>
      </c>
    </row>
    <row r="1817" spans="13:35" x14ac:dyDescent="0.35">
      <c r="M1817" t="s">
        <v>3</v>
      </c>
      <c r="N1817">
        <v>6000</v>
      </c>
      <c r="O1817">
        <v>84</v>
      </c>
      <c r="P1817">
        <v>1</v>
      </c>
      <c r="Q1817">
        <v>0</v>
      </c>
      <c r="R1817">
        <v>10142726</v>
      </c>
      <c r="S1817">
        <v>17085.7</v>
      </c>
      <c r="T1817">
        <v>10125640.300000001</v>
      </c>
      <c r="U1817">
        <v>10125640.300000001</v>
      </c>
      <c r="V1817">
        <v>0</v>
      </c>
      <c r="W1817">
        <v>0</v>
      </c>
      <c r="Y1817" t="s">
        <v>1</v>
      </c>
      <c r="Z1817">
        <v>2750</v>
      </c>
      <c r="AA1817">
        <v>96</v>
      </c>
      <c r="AB1817">
        <v>3</v>
      </c>
      <c r="AC1817">
        <v>0</v>
      </c>
      <c r="AD1817">
        <v>49419182</v>
      </c>
      <c r="AE1817">
        <v>134602.81</v>
      </c>
      <c r="AF1817">
        <v>49284579.189999998</v>
      </c>
      <c r="AG1817">
        <v>49284579.189999998</v>
      </c>
      <c r="AH1817">
        <v>0</v>
      </c>
      <c r="AI1817">
        <v>0</v>
      </c>
    </row>
    <row r="1818" spans="13:35" x14ac:dyDescent="0.35">
      <c r="M1818" t="s">
        <v>1</v>
      </c>
      <c r="N1818">
        <v>6500</v>
      </c>
      <c r="O1818">
        <v>84</v>
      </c>
      <c r="P1818">
        <v>2</v>
      </c>
      <c r="Q1818">
        <v>0</v>
      </c>
      <c r="R1818">
        <v>33663199</v>
      </c>
      <c r="S1818">
        <v>52233.9</v>
      </c>
      <c r="T1818">
        <v>33610965.100000001</v>
      </c>
      <c r="U1818">
        <v>33610965.100000001</v>
      </c>
      <c r="V1818">
        <v>0</v>
      </c>
      <c r="W1818">
        <v>0</v>
      </c>
      <c r="Y1818" t="s">
        <v>2</v>
      </c>
      <c r="Z1818">
        <v>6000</v>
      </c>
      <c r="AA1818">
        <v>96</v>
      </c>
      <c r="AB1818">
        <v>1</v>
      </c>
      <c r="AC1818">
        <v>0</v>
      </c>
      <c r="AD1818">
        <v>4785028</v>
      </c>
      <c r="AE1818">
        <v>8728.2900000000009</v>
      </c>
      <c r="AF1818">
        <v>4776299.71</v>
      </c>
      <c r="AG1818">
        <v>4776299.71</v>
      </c>
      <c r="AH1818">
        <v>0</v>
      </c>
      <c r="AI1818">
        <v>0</v>
      </c>
    </row>
    <row r="1819" spans="13:35" x14ac:dyDescent="0.35">
      <c r="M1819" t="s">
        <v>1</v>
      </c>
      <c r="N1819">
        <v>2000</v>
      </c>
      <c r="O1819">
        <v>96</v>
      </c>
      <c r="P1819">
        <v>2</v>
      </c>
      <c r="Q1819">
        <v>0</v>
      </c>
      <c r="R1819">
        <v>28252100</v>
      </c>
      <c r="S1819">
        <v>97964.51</v>
      </c>
      <c r="T1819">
        <v>28154135.489999998</v>
      </c>
      <c r="U1819">
        <v>28154135.489999998</v>
      </c>
      <c r="V1819">
        <v>0</v>
      </c>
      <c r="W1819">
        <v>0</v>
      </c>
      <c r="Y1819" t="s">
        <v>3</v>
      </c>
      <c r="Z1819">
        <v>6250</v>
      </c>
      <c r="AA1819">
        <v>96</v>
      </c>
      <c r="AB1819">
        <v>4</v>
      </c>
      <c r="AC1819">
        <v>0</v>
      </c>
      <c r="AD1819">
        <v>41458961</v>
      </c>
      <c r="AE1819">
        <v>69870.070000000007</v>
      </c>
      <c r="AF1819">
        <v>41389090.93</v>
      </c>
      <c r="AG1819">
        <v>41389090.93</v>
      </c>
      <c r="AH1819">
        <v>0</v>
      </c>
      <c r="AI1819">
        <v>0</v>
      </c>
    </row>
    <row r="1820" spans="13:35" x14ac:dyDescent="0.35">
      <c r="M1820" t="s">
        <v>0</v>
      </c>
      <c r="N1820">
        <v>2000</v>
      </c>
      <c r="O1820">
        <v>84</v>
      </c>
      <c r="P1820">
        <v>8</v>
      </c>
      <c r="Q1820">
        <v>0</v>
      </c>
      <c r="R1820">
        <v>94909314</v>
      </c>
      <c r="S1820">
        <v>266932.08</v>
      </c>
      <c r="T1820">
        <v>94642381.920000002</v>
      </c>
      <c r="U1820">
        <v>94642381.920000002</v>
      </c>
      <c r="V1820">
        <v>0</v>
      </c>
      <c r="W1820">
        <v>0</v>
      </c>
      <c r="Y1820" t="s">
        <v>0</v>
      </c>
      <c r="Z1820">
        <v>7000</v>
      </c>
      <c r="AA1820">
        <v>84</v>
      </c>
      <c r="AB1820">
        <v>5</v>
      </c>
      <c r="AC1820">
        <v>0</v>
      </c>
      <c r="AD1820">
        <v>44482109</v>
      </c>
      <c r="AE1820">
        <v>65226.5</v>
      </c>
      <c r="AF1820">
        <v>44416882.5</v>
      </c>
      <c r="AG1820">
        <v>44416882.5</v>
      </c>
      <c r="AH1820">
        <v>0</v>
      </c>
      <c r="AI1820">
        <v>0</v>
      </c>
    </row>
    <row r="1821" spans="13:35" x14ac:dyDescent="0.35">
      <c r="M1821" t="s">
        <v>1</v>
      </c>
      <c r="N1821">
        <v>2250</v>
      </c>
      <c r="O1821">
        <v>84</v>
      </c>
      <c r="P1821">
        <v>1</v>
      </c>
      <c r="Q1821">
        <v>0</v>
      </c>
      <c r="R1821">
        <v>15069481</v>
      </c>
      <c r="S1821">
        <v>41350.61</v>
      </c>
      <c r="T1821">
        <v>15028130.390000001</v>
      </c>
      <c r="U1821">
        <v>15028130.390000001</v>
      </c>
      <c r="V1821">
        <v>0</v>
      </c>
      <c r="W1821">
        <v>0</v>
      </c>
      <c r="Y1821" t="s">
        <v>3</v>
      </c>
      <c r="Z1821">
        <v>6000</v>
      </c>
      <c r="AA1821">
        <v>84</v>
      </c>
      <c r="AB1821">
        <v>2</v>
      </c>
      <c r="AC1821">
        <v>0</v>
      </c>
      <c r="AD1821">
        <v>23404700</v>
      </c>
      <c r="AE1821">
        <v>39365.72</v>
      </c>
      <c r="AF1821">
        <v>23365334.280000001</v>
      </c>
      <c r="AG1821">
        <v>23365334.280000001</v>
      </c>
      <c r="AH1821">
        <v>0</v>
      </c>
      <c r="AI1821">
        <v>0</v>
      </c>
    </row>
    <row r="1822" spans="13:35" x14ac:dyDescent="0.35">
      <c r="M1822" t="s">
        <v>3</v>
      </c>
      <c r="N1822">
        <v>3000</v>
      </c>
      <c r="O1822">
        <v>84</v>
      </c>
      <c r="P1822">
        <v>3</v>
      </c>
      <c r="Q1822">
        <v>0</v>
      </c>
      <c r="R1822">
        <v>59803308</v>
      </c>
      <c r="S1822">
        <v>144292.13</v>
      </c>
      <c r="T1822">
        <v>59659015.869999997</v>
      </c>
      <c r="U1822">
        <v>59659015.869999997</v>
      </c>
      <c r="V1822">
        <v>0</v>
      </c>
      <c r="W1822">
        <v>0</v>
      </c>
      <c r="Y1822" t="s">
        <v>0</v>
      </c>
      <c r="Z1822">
        <v>7250</v>
      </c>
      <c r="AA1822">
        <v>84</v>
      </c>
      <c r="AB1822">
        <v>3</v>
      </c>
      <c r="AC1822">
        <v>0</v>
      </c>
      <c r="AD1822">
        <v>32488654</v>
      </c>
      <c r="AE1822">
        <v>46415.8</v>
      </c>
      <c r="AF1822">
        <v>32442238.199999999</v>
      </c>
      <c r="AG1822">
        <v>32442238.199999999</v>
      </c>
      <c r="AH1822">
        <v>0</v>
      </c>
      <c r="AI1822">
        <v>0</v>
      </c>
    </row>
    <row r="1823" spans="13:35" x14ac:dyDescent="0.35">
      <c r="M1823" t="s">
        <v>2</v>
      </c>
      <c r="N1823">
        <v>3000</v>
      </c>
      <c r="O1823">
        <v>96</v>
      </c>
      <c r="P1823">
        <v>2</v>
      </c>
      <c r="Q1823">
        <v>0</v>
      </c>
      <c r="R1823">
        <v>11720260</v>
      </c>
      <c r="S1823">
        <v>32360.05</v>
      </c>
      <c r="T1823">
        <v>11687899.949999999</v>
      </c>
      <c r="U1823">
        <v>11687899.949999999</v>
      </c>
      <c r="V1823">
        <v>0</v>
      </c>
      <c r="W1823">
        <v>0</v>
      </c>
      <c r="Y1823" t="s">
        <v>1</v>
      </c>
      <c r="Z1823">
        <v>2250</v>
      </c>
      <c r="AA1823">
        <v>84</v>
      </c>
      <c r="AB1823">
        <v>2</v>
      </c>
      <c r="AC1823">
        <v>0</v>
      </c>
      <c r="AD1823">
        <v>34447403</v>
      </c>
      <c r="AE1823">
        <v>94825.33</v>
      </c>
      <c r="AF1823">
        <v>34352577.670000002</v>
      </c>
      <c r="AG1823">
        <v>34352577.670000002</v>
      </c>
      <c r="AH1823">
        <v>0</v>
      </c>
      <c r="AI1823">
        <v>0</v>
      </c>
    </row>
    <row r="1824" spans="13:35" x14ac:dyDescent="0.35">
      <c r="M1824" t="s">
        <v>3</v>
      </c>
      <c r="N1824">
        <v>5250</v>
      </c>
      <c r="O1824">
        <v>72</v>
      </c>
      <c r="P1824">
        <v>1</v>
      </c>
      <c r="Q1824">
        <v>0</v>
      </c>
      <c r="R1824">
        <v>8917302</v>
      </c>
      <c r="S1824">
        <v>15787.68</v>
      </c>
      <c r="T1824">
        <v>8901514.3200000003</v>
      </c>
      <c r="U1824">
        <v>8901514.3200000003</v>
      </c>
      <c r="V1824">
        <v>0</v>
      </c>
      <c r="W1824">
        <v>0</v>
      </c>
      <c r="Y1824" t="s">
        <v>1</v>
      </c>
      <c r="Z1824">
        <v>6500</v>
      </c>
      <c r="AA1824">
        <v>84</v>
      </c>
      <c r="AB1824">
        <v>2</v>
      </c>
      <c r="AC1824">
        <v>0</v>
      </c>
      <c r="AD1824">
        <v>33716162</v>
      </c>
      <c r="AE1824">
        <v>51959.42</v>
      </c>
      <c r="AF1824">
        <v>33664202.579999998</v>
      </c>
      <c r="AG1824">
        <v>33664202.579999998</v>
      </c>
      <c r="AH1824">
        <v>0</v>
      </c>
      <c r="AI1824">
        <v>0</v>
      </c>
    </row>
    <row r="1825" spans="13:35" x14ac:dyDescent="0.35">
      <c r="M1825" t="s">
        <v>1</v>
      </c>
      <c r="N1825">
        <v>5750</v>
      </c>
      <c r="O1825">
        <v>72</v>
      </c>
      <c r="P1825">
        <v>13</v>
      </c>
      <c r="Q1825">
        <v>0</v>
      </c>
      <c r="R1825">
        <v>175330025</v>
      </c>
      <c r="S1825">
        <v>281252.87</v>
      </c>
      <c r="T1825">
        <v>175048772.13</v>
      </c>
      <c r="U1825">
        <v>175048772.13</v>
      </c>
      <c r="V1825">
        <v>0</v>
      </c>
      <c r="W1825">
        <v>0</v>
      </c>
      <c r="Y1825" t="s">
        <v>1</v>
      </c>
      <c r="Z1825">
        <v>2500</v>
      </c>
      <c r="AA1825">
        <v>84</v>
      </c>
      <c r="AB1825">
        <v>1</v>
      </c>
      <c r="AC1825">
        <v>0</v>
      </c>
      <c r="AD1825">
        <v>11637959</v>
      </c>
      <c r="AE1825">
        <v>31145.78</v>
      </c>
      <c r="AF1825">
        <v>11606813.220000001</v>
      </c>
      <c r="AG1825">
        <v>11606813.220000001</v>
      </c>
      <c r="AH1825">
        <v>0</v>
      </c>
      <c r="AI1825">
        <v>0</v>
      </c>
    </row>
    <row r="1826" spans="13:35" x14ac:dyDescent="0.35">
      <c r="M1826" t="s">
        <v>0</v>
      </c>
      <c r="N1826">
        <v>2500</v>
      </c>
      <c r="O1826">
        <v>96</v>
      </c>
      <c r="P1826">
        <v>3</v>
      </c>
      <c r="Q1826">
        <v>0</v>
      </c>
      <c r="R1826">
        <v>30318225</v>
      </c>
      <c r="S1826">
        <v>84452.33</v>
      </c>
      <c r="T1826">
        <v>30233772.670000002</v>
      </c>
      <c r="U1826">
        <v>30233772.670000002</v>
      </c>
      <c r="V1826">
        <v>0</v>
      </c>
      <c r="W1826">
        <v>0</v>
      </c>
      <c r="Y1826" t="s">
        <v>1</v>
      </c>
      <c r="Z1826">
        <v>2000</v>
      </c>
      <c r="AA1826">
        <v>96</v>
      </c>
      <c r="AB1826">
        <v>2</v>
      </c>
      <c r="AC1826">
        <v>0</v>
      </c>
      <c r="AD1826">
        <v>28350828</v>
      </c>
      <c r="AE1826">
        <v>97804.68</v>
      </c>
      <c r="AF1826">
        <v>28253023.32</v>
      </c>
      <c r="AG1826">
        <v>28253023.32</v>
      </c>
      <c r="AH1826">
        <v>0</v>
      </c>
      <c r="AI1826">
        <v>0</v>
      </c>
    </row>
    <row r="1827" spans="13:35" x14ac:dyDescent="0.35">
      <c r="M1827" t="s">
        <v>0</v>
      </c>
      <c r="N1827">
        <v>2500</v>
      </c>
      <c r="O1827">
        <v>108</v>
      </c>
      <c r="P1827">
        <v>3</v>
      </c>
      <c r="Q1827">
        <v>0</v>
      </c>
      <c r="R1827">
        <v>5935378</v>
      </c>
      <c r="S1827">
        <v>17860.46</v>
      </c>
      <c r="T1827">
        <v>5917517.54</v>
      </c>
      <c r="U1827">
        <v>5917517.54</v>
      </c>
      <c r="V1827">
        <v>0</v>
      </c>
      <c r="W1827">
        <v>0</v>
      </c>
      <c r="Y1827" t="s">
        <v>0</v>
      </c>
      <c r="Z1827">
        <v>2000</v>
      </c>
      <c r="AA1827">
        <v>84</v>
      </c>
      <c r="AB1827">
        <v>8</v>
      </c>
      <c r="AC1827">
        <v>0</v>
      </c>
      <c r="AD1827">
        <v>95203251</v>
      </c>
      <c r="AE1827">
        <v>266586.08</v>
      </c>
      <c r="AF1827">
        <v>94936664.920000002</v>
      </c>
      <c r="AG1827">
        <v>94936664.920000002</v>
      </c>
      <c r="AH1827">
        <v>0</v>
      </c>
      <c r="AI1827">
        <v>0</v>
      </c>
    </row>
    <row r="1828" spans="13:35" x14ac:dyDescent="0.35">
      <c r="M1828" t="s">
        <v>1</v>
      </c>
      <c r="N1828">
        <v>6000</v>
      </c>
      <c r="O1828">
        <v>72</v>
      </c>
      <c r="P1828">
        <v>1</v>
      </c>
      <c r="Q1828">
        <v>0</v>
      </c>
      <c r="R1828">
        <v>22833816</v>
      </c>
      <c r="S1828">
        <v>35383.64</v>
      </c>
      <c r="T1828">
        <v>22798432.359999999</v>
      </c>
      <c r="U1828">
        <v>22798432.359999999</v>
      </c>
      <c r="V1828">
        <v>0</v>
      </c>
      <c r="W1828">
        <v>0</v>
      </c>
      <c r="Y1828" t="s">
        <v>3</v>
      </c>
      <c r="Z1828">
        <v>3000</v>
      </c>
      <c r="AA1828">
        <v>84</v>
      </c>
      <c r="AB1828">
        <v>2</v>
      </c>
      <c r="AC1828">
        <v>0</v>
      </c>
      <c r="AD1828">
        <v>39785519</v>
      </c>
      <c r="AE1828">
        <v>96049.05</v>
      </c>
      <c r="AF1828">
        <v>39689469.950000003</v>
      </c>
      <c r="AG1828">
        <v>39689469.950000003</v>
      </c>
      <c r="AH1828">
        <v>0</v>
      </c>
      <c r="AI1828">
        <v>0</v>
      </c>
    </row>
    <row r="1829" spans="13:35" x14ac:dyDescent="0.35">
      <c r="M1829" t="s">
        <v>0</v>
      </c>
      <c r="N1829">
        <v>2250</v>
      </c>
      <c r="O1829">
        <v>108</v>
      </c>
      <c r="P1829">
        <v>1</v>
      </c>
      <c r="Q1829">
        <v>0</v>
      </c>
      <c r="R1829">
        <v>9305057</v>
      </c>
      <c r="S1829">
        <v>28919.74</v>
      </c>
      <c r="T1829">
        <v>9276137.2599999998</v>
      </c>
      <c r="U1829">
        <v>9276137.2599999998</v>
      </c>
      <c r="V1829">
        <v>0</v>
      </c>
      <c r="W1829">
        <v>0</v>
      </c>
      <c r="Y1829" t="s">
        <v>0</v>
      </c>
      <c r="Z1829">
        <v>6500</v>
      </c>
      <c r="AA1829">
        <v>72</v>
      </c>
      <c r="AB1829">
        <v>2</v>
      </c>
      <c r="AC1829">
        <v>0</v>
      </c>
      <c r="AD1829">
        <v>24868165</v>
      </c>
      <c r="AE1829">
        <v>36398.26</v>
      </c>
      <c r="AF1829">
        <v>24831766.739999998</v>
      </c>
      <c r="AG1829">
        <v>24831766.739999998</v>
      </c>
      <c r="AH1829">
        <v>0</v>
      </c>
      <c r="AI1829">
        <v>0</v>
      </c>
    </row>
    <row r="1830" spans="13:35" x14ac:dyDescent="0.35">
      <c r="M1830" t="s">
        <v>0</v>
      </c>
      <c r="N1830">
        <v>6500</v>
      </c>
      <c r="O1830">
        <v>72</v>
      </c>
      <c r="P1830">
        <v>1</v>
      </c>
      <c r="Q1830">
        <v>0</v>
      </c>
      <c r="R1830">
        <v>15318416</v>
      </c>
      <c r="S1830">
        <v>22455.919999999998</v>
      </c>
      <c r="T1830">
        <v>15295960.08</v>
      </c>
      <c r="U1830">
        <v>15295960.08</v>
      </c>
      <c r="V1830">
        <v>0</v>
      </c>
      <c r="W1830">
        <v>0</v>
      </c>
      <c r="Y1830" t="s">
        <v>1</v>
      </c>
      <c r="Z1830">
        <v>6250</v>
      </c>
      <c r="AA1830">
        <v>72</v>
      </c>
      <c r="AB1830">
        <v>2</v>
      </c>
      <c r="AC1830">
        <v>0</v>
      </c>
      <c r="AD1830">
        <v>24160672</v>
      </c>
      <c r="AE1830">
        <v>35704.6</v>
      </c>
      <c r="AF1830">
        <v>24124967.399999999</v>
      </c>
      <c r="AG1830">
        <v>24124967.399999999</v>
      </c>
      <c r="AH1830">
        <v>0</v>
      </c>
      <c r="AI1830">
        <v>0</v>
      </c>
    </row>
    <row r="1831" spans="13:35" x14ac:dyDescent="0.35">
      <c r="M1831" t="s">
        <v>2</v>
      </c>
      <c r="N1831">
        <v>6000</v>
      </c>
      <c r="O1831">
        <v>72</v>
      </c>
      <c r="P1831">
        <v>4</v>
      </c>
      <c r="Q1831">
        <v>0</v>
      </c>
      <c r="R1831">
        <v>35421793</v>
      </c>
      <c r="S1831">
        <v>57530.93</v>
      </c>
      <c r="T1831">
        <v>35364262.07</v>
      </c>
      <c r="U1831">
        <v>35364262.07</v>
      </c>
      <c r="V1831">
        <v>0</v>
      </c>
      <c r="W1831">
        <v>0</v>
      </c>
      <c r="Y1831" t="s">
        <v>3</v>
      </c>
      <c r="Z1831">
        <v>5250</v>
      </c>
      <c r="AA1831">
        <v>72</v>
      </c>
      <c r="AB1831">
        <v>1</v>
      </c>
      <c r="AC1831">
        <v>0</v>
      </c>
      <c r="AD1831">
        <v>8933117</v>
      </c>
      <c r="AE1831">
        <v>15720.7</v>
      </c>
      <c r="AF1831">
        <v>8917396.3000000007</v>
      </c>
      <c r="AG1831">
        <v>8917396.3000000007</v>
      </c>
      <c r="AH1831">
        <v>0</v>
      </c>
      <c r="AI1831">
        <v>0</v>
      </c>
    </row>
    <row r="1832" spans="13:35" x14ac:dyDescent="0.35">
      <c r="M1832" t="s">
        <v>2</v>
      </c>
      <c r="N1832">
        <v>2500</v>
      </c>
      <c r="O1832">
        <v>144</v>
      </c>
      <c r="P1832">
        <v>1</v>
      </c>
      <c r="Q1832">
        <v>0</v>
      </c>
      <c r="R1832">
        <v>8501233</v>
      </c>
      <c r="S1832">
        <v>27777.119999999999</v>
      </c>
      <c r="T1832">
        <v>8473455.8800000008</v>
      </c>
      <c r="U1832">
        <v>8473455.8800000008</v>
      </c>
      <c r="V1832">
        <v>0</v>
      </c>
      <c r="W1832">
        <v>0</v>
      </c>
      <c r="Y1832" t="s">
        <v>0</v>
      </c>
      <c r="Z1832">
        <v>2500</v>
      </c>
      <c r="AA1832">
        <v>96</v>
      </c>
      <c r="AB1832">
        <v>2</v>
      </c>
      <c r="AC1832">
        <v>0</v>
      </c>
      <c r="AD1832">
        <v>21508076</v>
      </c>
      <c r="AE1832">
        <v>60029.57</v>
      </c>
      <c r="AF1832">
        <v>21448046.43</v>
      </c>
      <c r="AG1832">
        <v>21448046.43</v>
      </c>
      <c r="AH1832">
        <v>0</v>
      </c>
      <c r="AI1832">
        <v>0</v>
      </c>
    </row>
    <row r="1833" spans="13:35" x14ac:dyDescent="0.35">
      <c r="M1833" t="s">
        <v>2</v>
      </c>
      <c r="N1833">
        <v>2750</v>
      </c>
      <c r="O1833">
        <v>108</v>
      </c>
      <c r="P1833">
        <v>1</v>
      </c>
      <c r="Q1833">
        <v>0</v>
      </c>
      <c r="R1833">
        <v>9006194</v>
      </c>
      <c r="S1833">
        <v>27008.47</v>
      </c>
      <c r="T1833">
        <v>8979185.5299999993</v>
      </c>
      <c r="U1833">
        <v>8979185.5299999993</v>
      </c>
      <c r="V1833">
        <v>0</v>
      </c>
      <c r="W1833">
        <v>0</v>
      </c>
      <c r="Y1833" t="s">
        <v>0</v>
      </c>
      <c r="Z1833">
        <v>2500</v>
      </c>
      <c r="AA1833">
        <v>108</v>
      </c>
      <c r="AB1833">
        <v>3</v>
      </c>
      <c r="AC1833">
        <v>0</v>
      </c>
      <c r="AD1833">
        <v>5956938</v>
      </c>
      <c r="AE1833">
        <v>17836.39</v>
      </c>
      <c r="AF1833">
        <v>5939101.6100000003</v>
      </c>
      <c r="AG1833">
        <v>5939101.6100000003</v>
      </c>
      <c r="AH1833">
        <v>0</v>
      </c>
      <c r="AI1833">
        <v>0</v>
      </c>
    </row>
    <row r="1834" spans="13:35" x14ac:dyDescent="0.35">
      <c r="M1834" t="s">
        <v>1</v>
      </c>
      <c r="N1834">
        <v>6250</v>
      </c>
      <c r="O1834">
        <v>72</v>
      </c>
      <c r="P1834">
        <v>2</v>
      </c>
      <c r="Q1834">
        <v>0</v>
      </c>
      <c r="R1834">
        <v>23482332</v>
      </c>
      <c r="S1834">
        <v>33240.69</v>
      </c>
      <c r="T1834">
        <v>23449091.309999999</v>
      </c>
      <c r="U1834">
        <v>23449091.309999999</v>
      </c>
      <c r="V1834">
        <v>0</v>
      </c>
      <c r="W1834">
        <v>0</v>
      </c>
      <c r="Y1834" t="s">
        <v>1</v>
      </c>
      <c r="Z1834">
        <v>6000</v>
      </c>
      <c r="AA1834">
        <v>72</v>
      </c>
      <c r="AB1834">
        <v>1</v>
      </c>
      <c r="AC1834">
        <v>0</v>
      </c>
      <c r="AD1834">
        <v>22869298</v>
      </c>
      <c r="AE1834">
        <v>35208.019999999997</v>
      </c>
      <c r="AF1834">
        <v>22834089.98</v>
      </c>
      <c r="AG1834">
        <v>22834089.98</v>
      </c>
      <c r="AH1834">
        <v>0</v>
      </c>
      <c r="AI1834">
        <v>0</v>
      </c>
    </row>
    <row r="1835" spans="13:35" x14ac:dyDescent="0.35">
      <c r="M1835" t="s">
        <v>2</v>
      </c>
      <c r="N1835">
        <v>2000</v>
      </c>
      <c r="O1835">
        <v>144</v>
      </c>
      <c r="P1835">
        <v>2</v>
      </c>
      <c r="Q1835">
        <v>0</v>
      </c>
      <c r="R1835">
        <v>14839630</v>
      </c>
      <c r="S1835">
        <v>58974.63</v>
      </c>
      <c r="T1835">
        <v>14780655.369999999</v>
      </c>
      <c r="U1835">
        <v>14780655.369999999</v>
      </c>
      <c r="V1835">
        <v>0</v>
      </c>
      <c r="W1835">
        <v>0</v>
      </c>
      <c r="Y1835" t="s">
        <v>0</v>
      </c>
      <c r="Z1835">
        <v>2250</v>
      </c>
      <c r="AA1835">
        <v>108</v>
      </c>
      <c r="AB1835">
        <v>1</v>
      </c>
      <c r="AC1835">
        <v>0</v>
      </c>
      <c r="AD1835">
        <v>9336157</v>
      </c>
      <c r="AE1835">
        <v>28872.53</v>
      </c>
      <c r="AF1835">
        <v>9307284.4700000007</v>
      </c>
      <c r="AG1835">
        <v>9307284.4700000007</v>
      </c>
      <c r="AH1835">
        <v>0</v>
      </c>
      <c r="AI1835">
        <v>0</v>
      </c>
    </row>
    <row r="1836" spans="13:35" x14ac:dyDescent="0.35">
      <c r="M1836" t="s">
        <v>1</v>
      </c>
      <c r="N1836">
        <v>2000</v>
      </c>
      <c r="O1836">
        <v>72</v>
      </c>
      <c r="P1836">
        <v>4805</v>
      </c>
      <c r="Q1836">
        <v>0</v>
      </c>
      <c r="R1836">
        <v>135487893087</v>
      </c>
      <c r="S1836">
        <v>357484011.25</v>
      </c>
      <c r="T1836">
        <v>134485448037.81</v>
      </c>
      <c r="U1836">
        <v>135130409075.75</v>
      </c>
      <c r="V1836">
        <v>5.5650999999999999E-2</v>
      </c>
      <c r="W1836">
        <v>0</v>
      </c>
      <c r="Y1836" t="s">
        <v>2</v>
      </c>
      <c r="Z1836">
        <v>6000</v>
      </c>
      <c r="AA1836">
        <v>72</v>
      </c>
      <c r="AB1836">
        <v>4</v>
      </c>
      <c r="AC1836">
        <v>0</v>
      </c>
      <c r="AD1836">
        <v>35438935</v>
      </c>
      <c r="AE1836">
        <v>57309.61</v>
      </c>
      <c r="AF1836">
        <v>35381625.390000001</v>
      </c>
      <c r="AG1836">
        <v>35381625.390000001</v>
      </c>
      <c r="AH1836">
        <v>0</v>
      </c>
      <c r="AI1836">
        <v>0</v>
      </c>
    </row>
    <row r="1837" spans="13:35" x14ac:dyDescent="0.35">
      <c r="M1837" t="s">
        <v>0</v>
      </c>
      <c r="N1837">
        <v>2000</v>
      </c>
      <c r="O1837">
        <v>72</v>
      </c>
      <c r="P1837">
        <v>260</v>
      </c>
      <c r="Q1837">
        <v>0</v>
      </c>
      <c r="R1837">
        <v>6433700997</v>
      </c>
      <c r="S1837">
        <v>16861848.670000002</v>
      </c>
      <c r="T1837">
        <v>6416839148.3299999</v>
      </c>
      <c r="U1837">
        <v>6416839148.3299999</v>
      </c>
      <c r="V1837">
        <v>0</v>
      </c>
      <c r="W1837">
        <v>0</v>
      </c>
      <c r="Y1837" t="s">
        <v>2</v>
      </c>
      <c r="Z1837">
        <v>2500</v>
      </c>
      <c r="AA1837">
        <v>144</v>
      </c>
      <c r="AB1837">
        <v>1</v>
      </c>
      <c r="AC1837">
        <v>0</v>
      </c>
      <c r="AD1837">
        <v>8529452</v>
      </c>
      <c r="AE1837">
        <v>27720.99</v>
      </c>
      <c r="AF1837">
        <v>8501731.0099999998</v>
      </c>
      <c r="AG1837">
        <v>8501731.0099999998</v>
      </c>
      <c r="AH1837">
        <v>0</v>
      </c>
      <c r="AI1837">
        <v>0</v>
      </c>
    </row>
    <row r="1838" spans="13:35" x14ac:dyDescent="0.35">
      <c r="M1838" t="s">
        <v>0</v>
      </c>
      <c r="N1838">
        <v>2000</v>
      </c>
      <c r="O1838">
        <v>120</v>
      </c>
      <c r="P1838">
        <v>4</v>
      </c>
      <c r="Q1838">
        <v>0</v>
      </c>
      <c r="R1838">
        <v>45275634</v>
      </c>
      <c r="S1838">
        <v>152758.95000000001</v>
      </c>
      <c r="T1838">
        <v>45122875.049999997</v>
      </c>
      <c r="U1838">
        <v>45122875.049999997</v>
      </c>
      <c r="V1838">
        <v>0</v>
      </c>
      <c r="W1838">
        <v>0</v>
      </c>
      <c r="Y1838" t="s">
        <v>0</v>
      </c>
      <c r="Z1838">
        <v>2250</v>
      </c>
      <c r="AA1838">
        <v>96</v>
      </c>
      <c r="AB1838">
        <v>3</v>
      </c>
      <c r="AC1838">
        <v>0</v>
      </c>
      <c r="AD1838">
        <v>33002831</v>
      </c>
      <c r="AE1838">
        <v>93966.36</v>
      </c>
      <c r="AF1838">
        <v>32908864.640000001</v>
      </c>
      <c r="AG1838">
        <v>32908864.640000001</v>
      </c>
      <c r="AH1838">
        <v>0</v>
      </c>
      <c r="AI1838">
        <v>0</v>
      </c>
    </row>
    <row r="1839" spans="13:35" x14ac:dyDescent="0.35">
      <c r="M1839" t="s">
        <v>2</v>
      </c>
      <c r="N1839">
        <v>2000</v>
      </c>
      <c r="O1839">
        <v>84</v>
      </c>
      <c r="P1839">
        <v>1</v>
      </c>
      <c r="Q1839">
        <v>0</v>
      </c>
      <c r="R1839">
        <v>6687084</v>
      </c>
      <c r="S1839">
        <v>18269</v>
      </c>
      <c r="T1839">
        <v>6668815</v>
      </c>
      <c r="U1839">
        <v>6668815</v>
      </c>
      <c r="V1839">
        <v>0</v>
      </c>
      <c r="W1839">
        <v>0</v>
      </c>
      <c r="Y1839" t="s">
        <v>2</v>
      </c>
      <c r="Z1839">
        <v>2750</v>
      </c>
      <c r="AA1839">
        <v>108</v>
      </c>
      <c r="AB1839">
        <v>1</v>
      </c>
      <c r="AC1839">
        <v>0</v>
      </c>
      <c r="AD1839">
        <v>9033289</v>
      </c>
      <c r="AE1839">
        <v>26947.16</v>
      </c>
      <c r="AF1839">
        <v>9006341.8399999999</v>
      </c>
      <c r="AG1839">
        <v>9006341.8399999999</v>
      </c>
      <c r="AH1839">
        <v>0</v>
      </c>
      <c r="AI1839">
        <v>0</v>
      </c>
    </row>
    <row r="1840" spans="13:35" x14ac:dyDescent="0.35">
      <c r="M1840" t="s">
        <v>2</v>
      </c>
      <c r="N1840">
        <v>2000</v>
      </c>
      <c r="O1840">
        <v>72</v>
      </c>
      <c r="P1840">
        <v>49</v>
      </c>
      <c r="Q1840">
        <v>0</v>
      </c>
      <c r="R1840">
        <v>826639507</v>
      </c>
      <c r="S1840">
        <v>2168204.71</v>
      </c>
      <c r="T1840">
        <v>824471302.28999996</v>
      </c>
      <c r="U1840">
        <v>824471302.28999996</v>
      </c>
      <c r="V1840">
        <v>0</v>
      </c>
      <c r="W1840">
        <v>0</v>
      </c>
      <c r="Y1840" t="s">
        <v>2</v>
      </c>
      <c r="Z1840">
        <v>2000</v>
      </c>
      <c r="AA1840">
        <v>144</v>
      </c>
      <c r="AB1840">
        <v>2</v>
      </c>
      <c r="AC1840">
        <v>0</v>
      </c>
      <c r="AD1840">
        <v>14898477</v>
      </c>
      <c r="AE1840">
        <v>58876.37</v>
      </c>
      <c r="AF1840">
        <v>14839600.630000001</v>
      </c>
      <c r="AG1840">
        <v>14839600.630000001</v>
      </c>
      <c r="AH1840">
        <v>0</v>
      </c>
      <c r="AI1840">
        <v>0</v>
      </c>
    </row>
    <row r="1841" spans="13:35" x14ac:dyDescent="0.35">
      <c r="M1841" t="s">
        <v>1</v>
      </c>
      <c r="N1841">
        <v>2250</v>
      </c>
      <c r="O1841">
        <v>144</v>
      </c>
      <c r="P1841">
        <v>1</v>
      </c>
      <c r="Q1841">
        <v>0</v>
      </c>
      <c r="R1841">
        <v>16446590</v>
      </c>
      <c r="S1841">
        <v>59800.09</v>
      </c>
      <c r="T1841">
        <v>16386789.91</v>
      </c>
      <c r="U1841">
        <v>16386789.91</v>
      </c>
      <c r="V1841">
        <v>0</v>
      </c>
      <c r="W1841">
        <v>0</v>
      </c>
      <c r="Y1841" t="s">
        <v>1</v>
      </c>
      <c r="Z1841">
        <v>2000</v>
      </c>
      <c r="AA1841">
        <v>72</v>
      </c>
      <c r="AB1841">
        <v>2134</v>
      </c>
      <c r="AC1841">
        <v>0</v>
      </c>
      <c r="AD1841">
        <v>59250797735</v>
      </c>
      <c r="AE1841">
        <v>156154083.91999999</v>
      </c>
      <c r="AF1841">
        <v>58794101921.919998</v>
      </c>
      <c r="AG1841">
        <v>59073806941.32</v>
      </c>
      <c r="AH1841">
        <v>5.9199000000000002E-2</v>
      </c>
      <c r="AI1841">
        <v>4.2119999999999996E-3</v>
      </c>
    </row>
    <row r="1842" spans="13:35" x14ac:dyDescent="0.35">
      <c r="M1842" t="s">
        <v>2</v>
      </c>
      <c r="N1842">
        <v>2000</v>
      </c>
      <c r="O1842">
        <v>120</v>
      </c>
      <c r="P1842">
        <v>2</v>
      </c>
      <c r="Q1842">
        <v>0</v>
      </c>
      <c r="R1842">
        <v>20002783</v>
      </c>
      <c r="S1842">
        <v>64781.04</v>
      </c>
      <c r="T1842">
        <v>19938001.960000001</v>
      </c>
      <c r="U1842">
        <v>19938001.960000001</v>
      </c>
      <c r="V1842">
        <v>0</v>
      </c>
      <c r="W1842">
        <v>0</v>
      </c>
      <c r="Y1842" t="s">
        <v>0</v>
      </c>
      <c r="Z1842">
        <v>2000</v>
      </c>
      <c r="AA1842">
        <v>72</v>
      </c>
      <c r="AB1842">
        <v>169</v>
      </c>
      <c r="AC1842">
        <v>0</v>
      </c>
      <c r="AD1842">
        <v>4017816095</v>
      </c>
      <c r="AE1842">
        <v>10527517.529999999</v>
      </c>
      <c r="AF1842">
        <v>4007288577.4699998</v>
      </c>
      <c r="AG1842">
        <v>4007288577.4699998</v>
      </c>
      <c r="AH1842">
        <v>0</v>
      </c>
      <c r="AI1842">
        <v>0</v>
      </c>
    </row>
    <row r="1843" spans="13:35" x14ac:dyDescent="0.35">
      <c r="M1843" t="s">
        <v>2</v>
      </c>
      <c r="N1843">
        <v>2250</v>
      </c>
      <c r="O1843">
        <v>144</v>
      </c>
      <c r="P1843">
        <v>1</v>
      </c>
      <c r="Q1843">
        <v>0</v>
      </c>
      <c r="R1843">
        <v>18670865</v>
      </c>
      <c r="S1843">
        <v>63303.71</v>
      </c>
      <c r="T1843">
        <v>18607561.289999999</v>
      </c>
      <c r="U1843">
        <v>18607561.289999999</v>
      </c>
      <c r="V1843">
        <v>0</v>
      </c>
      <c r="W1843">
        <v>0</v>
      </c>
      <c r="Y1843" t="s">
        <v>2</v>
      </c>
      <c r="Z1843">
        <v>2000</v>
      </c>
      <c r="AA1843">
        <v>84</v>
      </c>
      <c r="AB1843">
        <v>1</v>
      </c>
      <c r="AC1843">
        <v>0</v>
      </c>
      <c r="AD1843">
        <v>6705402</v>
      </c>
      <c r="AE1843">
        <v>18238.82</v>
      </c>
      <c r="AF1843">
        <v>6687163.1799999997</v>
      </c>
      <c r="AG1843">
        <v>6687163.1799999997</v>
      </c>
      <c r="AH1843">
        <v>0</v>
      </c>
      <c r="AI1843">
        <v>0</v>
      </c>
    </row>
    <row r="1844" spans="13:35" x14ac:dyDescent="0.35">
      <c r="M1844" t="s">
        <v>0</v>
      </c>
      <c r="N1844">
        <v>2000</v>
      </c>
      <c r="O1844">
        <v>96</v>
      </c>
      <c r="P1844">
        <v>1</v>
      </c>
      <c r="Q1844">
        <v>0</v>
      </c>
      <c r="R1844">
        <v>15084454</v>
      </c>
      <c r="S1844">
        <v>43480.89</v>
      </c>
      <c r="T1844">
        <v>15040973.109999999</v>
      </c>
      <c r="U1844">
        <v>15040973.109999999</v>
      </c>
      <c r="V1844">
        <v>0</v>
      </c>
      <c r="W1844">
        <v>0</v>
      </c>
      <c r="Y1844" t="s">
        <v>2</v>
      </c>
      <c r="Z1844">
        <v>2000</v>
      </c>
      <c r="AA1844">
        <v>72</v>
      </c>
      <c r="AB1844">
        <v>29</v>
      </c>
      <c r="AC1844">
        <v>0</v>
      </c>
      <c r="AD1844">
        <v>417121950</v>
      </c>
      <c r="AE1844">
        <v>1099483.1499999999</v>
      </c>
      <c r="AF1844">
        <v>390267410.06</v>
      </c>
      <c r="AG1844">
        <v>416022466.85000002</v>
      </c>
      <c r="AH1844">
        <v>0.53457200000000005</v>
      </c>
      <c r="AI1844">
        <v>0</v>
      </c>
    </row>
    <row r="1845" spans="13:35" x14ac:dyDescent="0.35">
      <c r="M1845" t="s">
        <v>0</v>
      </c>
      <c r="N1845">
        <v>2000</v>
      </c>
      <c r="O1845">
        <v>108</v>
      </c>
      <c r="P1845">
        <v>2</v>
      </c>
      <c r="Q1845">
        <v>0</v>
      </c>
      <c r="R1845">
        <v>16289061</v>
      </c>
      <c r="S1845">
        <v>51141.54</v>
      </c>
      <c r="T1845">
        <v>16237919.460000001</v>
      </c>
      <c r="U1845">
        <v>16237919.460000001</v>
      </c>
      <c r="V1845">
        <v>0</v>
      </c>
      <c r="W1845">
        <v>0</v>
      </c>
      <c r="Y1845" t="s">
        <v>1</v>
      </c>
      <c r="Z1845">
        <v>2250</v>
      </c>
      <c r="AA1845">
        <v>144</v>
      </c>
      <c r="AB1845">
        <v>1</v>
      </c>
      <c r="AC1845">
        <v>0</v>
      </c>
      <c r="AD1845">
        <v>16506609</v>
      </c>
      <c r="AE1845">
        <v>59689.37</v>
      </c>
      <c r="AF1845">
        <v>16446919.630000001</v>
      </c>
      <c r="AG1845">
        <v>16446919.630000001</v>
      </c>
      <c r="AH1845">
        <v>0</v>
      </c>
      <c r="AI1845">
        <v>0</v>
      </c>
    </row>
    <row r="1846" spans="13:35" x14ac:dyDescent="0.35">
      <c r="M1846" t="s">
        <v>1</v>
      </c>
      <c r="N1846">
        <v>2500</v>
      </c>
      <c r="O1846">
        <v>192</v>
      </c>
      <c r="P1846">
        <v>2</v>
      </c>
      <c r="Q1846">
        <v>0</v>
      </c>
      <c r="R1846">
        <v>15652670</v>
      </c>
      <c r="S1846">
        <v>71584.28</v>
      </c>
      <c r="T1846">
        <v>15581085.720000001</v>
      </c>
      <c r="U1846">
        <v>15581085.720000001</v>
      </c>
      <c r="V1846">
        <v>0</v>
      </c>
      <c r="W1846">
        <v>0</v>
      </c>
      <c r="Y1846" t="s">
        <v>2</v>
      </c>
      <c r="Z1846">
        <v>2000</v>
      </c>
      <c r="AA1846">
        <v>120</v>
      </c>
      <c r="AB1846">
        <v>2</v>
      </c>
      <c r="AC1846">
        <v>0</v>
      </c>
      <c r="AD1846">
        <v>20045069</v>
      </c>
      <c r="AE1846">
        <v>64600.639999999999</v>
      </c>
      <c r="AF1846">
        <v>19980468.359999999</v>
      </c>
      <c r="AG1846">
        <v>19980468.359999999</v>
      </c>
      <c r="AH1846">
        <v>0</v>
      </c>
      <c r="AI1846">
        <v>0</v>
      </c>
    </row>
    <row r="1847" spans="13:35" x14ac:dyDescent="0.35">
      <c r="M1847" t="s">
        <v>2</v>
      </c>
      <c r="N1847">
        <v>6250</v>
      </c>
      <c r="O1847">
        <v>72</v>
      </c>
      <c r="P1847">
        <v>1</v>
      </c>
      <c r="Q1847">
        <v>0</v>
      </c>
      <c r="R1847">
        <v>14937401</v>
      </c>
      <c r="S1847">
        <v>21293.11</v>
      </c>
      <c r="T1847">
        <v>14916107.890000001</v>
      </c>
      <c r="U1847">
        <v>14916107.890000001</v>
      </c>
      <c r="V1847">
        <v>0</v>
      </c>
      <c r="W1847">
        <v>0</v>
      </c>
      <c r="Y1847" t="s">
        <v>2</v>
      </c>
      <c r="Z1847">
        <v>2250</v>
      </c>
      <c r="AA1847">
        <v>144</v>
      </c>
      <c r="AB1847">
        <v>1</v>
      </c>
      <c r="AC1847">
        <v>0</v>
      </c>
      <c r="AD1847">
        <v>18733944</v>
      </c>
      <c r="AE1847">
        <v>63190.12</v>
      </c>
      <c r="AF1847">
        <v>18670753.879999999</v>
      </c>
      <c r="AG1847">
        <v>18670753.879999999</v>
      </c>
      <c r="AH1847">
        <v>0</v>
      </c>
      <c r="AI1847">
        <v>0</v>
      </c>
    </row>
    <row r="1848" spans="13:35" x14ac:dyDescent="0.35">
      <c r="M1848" t="s">
        <v>2</v>
      </c>
      <c r="N1848">
        <v>2000</v>
      </c>
      <c r="O1848">
        <v>192</v>
      </c>
      <c r="P1848">
        <v>3</v>
      </c>
      <c r="Q1848">
        <v>0</v>
      </c>
      <c r="R1848">
        <v>25272642</v>
      </c>
      <c r="S1848">
        <v>149355.1</v>
      </c>
      <c r="T1848">
        <v>25123286.899999999</v>
      </c>
      <c r="U1848">
        <v>25123286.899999999</v>
      </c>
      <c r="V1848">
        <v>0</v>
      </c>
      <c r="W1848">
        <v>0</v>
      </c>
      <c r="Y1848" t="s">
        <v>0</v>
      </c>
      <c r="Z1848">
        <v>2000</v>
      </c>
      <c r="AA1848">
        <v>96</v>
      </c>
      <c r="AB1848">
        <v>1</v>
      </c>
      <c r="AC1848">
        <v>0</v>
      </c>
      <c r="AD1848">
        <v>15128108</v>
      </c>
      <c r="AE1848">
        <v>43409.24</v>
      </c>
      <c r="AF1848">
        <v>15084698.76</v>
      </c>
      <c r="AG1848">
        <v>15084698.76</v>
      </c>
      <c r="AH1848">
        <v>0</v>
      </c>
      <c r="AI1848">
        <v>0</v>
      </c>
    </row>
    <row r="1849" spans="13:35" x14ac:dyDescent="0.35">
      <c r="M1849" t="s">
        <v>1</v>
      </c>
      <c r="N1849">
        <v>2750</v>
      </c>
      <c r="O1849">
        <v>192</v>
      </c>
      <c r="P1849">
        <v>2</v>
      </c>
      <c r="Q1849">
        <v>0</v>
      </c>
      <c r="R1849">
        <v>22889506</v>
      </c>
      <c r="S1849">
        <v>95655.14</v>
      </c>
      <c r="T1849">
        <v>22793850.859999999</v>
      </c>
      <c r="U1849">
        <v>22793850.859999999</v>
      </c>
      <c r="V1849">
        <v>0</v>
      </c>
      <c r="W1849">
        <v>0</v>
      </c>
      <c r="Y1849" t="s">
        <v>0</v>
      </c>
      <c r="Z1849">
        <v>2000</v>
      </c>
      <c r="AA1849">
        <v>108</v>
      </c>
      <c r="AB1849">
        <v>2</v>
      </c>
      <c r="AC1849">
        <v>0</v>
      </c>
      <c r="AD1849">
        <v>16323129</v>
      </c>
      <c r="AE1849">
        <v>51004.71</v>
      </c>
      <c r="AF1849">
        <v>16272124.289999999</v>
      </c>
      <c r="AG1849">
        <v>16272124.289999999</v>
      </c>
      <c r="AH1849">
        <v>0</v>
      </c>
      <c r="AI1849">
        <v>0</v>
      </c>
    </row>
    <row r="1850" spans="13:35" x14ac:dyDescent="0.35">
      <c r="M1850" t="s">
        <v>0</v>
      </c>
      <c r="N1850">
        <v>5750</v>
      </c>
      <c r="O1850">
        <v>60</v>
      </c>
      <c r="P1850">
        <v>20</v>
      </c>
      <c r="Q1850">
        <v>0</v>
      </c>
      <c r="R1850">
        <v>293374831</v>
      </c>
      <c r="S1850">
        <v>437316.28</v>
      </c>
      <c r="T1850">
        <v>273678440.01999998</v>
      </c>
      <c r="U1850">
        <v>292937514.72000003</v>
      </c>
      <c r="V1850">
        <v>0.55727499999999996</v>
      </c>
      <c r="W1850">
        <v>0</v>
      </c>
      <c r="Y1850" t="s">
        <v>1</v>
      </c>
      <c r="Z1850">
        <v>2500</v>
      </c>
      <c r="AA1850">
        <v>192</v>
      </c>
      <c r="AB1850">
        <v>2</v>
      </c>
      <c r="AC1850">
        <v>0</v>
      </c>
      <c r="AD1850">
        <v>15724767</v>
      </c>
      <c r="AE1850">
        <v>71438.460000000006</v>
      </c>
      <c r="AF1850">
        <v>15653328.539999999</v>
      </c>
      <c r="AG1850">
        <v>15653328.539999999</v>
      </c>
      <c r="AH1850">
        <v>0</v>
      </c>
      <c r="AI1850">
        <v>0</v>
      </c>
    </row>
    <row r="1851" spans="13:35" x14ac:dyDescent="0.35">
      <c r="M1851" t="s">
        <v>3</v>
      </c>
      <c r="N1851">
        <v>4500</v>
      </c>
      <c r="O1851">
        <v>60</v>
      </c>
      <c r="P1851">
        <v>1</v>
      </c>
      <c r="Q1851">
        <v>0</v>
      </c>
      <c r="R1851">
        <v>30854441</v>
      </c>
      <c r="S1851">
        <v>55486.44</v>
      </c>
      <c r="T1851">
        <v>30798954.559999999</v>
      </c>
      <c r="U1851">
        <v>30798954.559999999</v>
      </c>
      <c r="V1851">
        <v>0</v>
      </c>
      <c r="W1851">
        <v>0</v>
      </c>
      <c r="Y1851" t="s">
        <v>2</v>
      </c>
      <c r="Z1851">
        <v>6250</v>
      </c>
      <c r="AA1851">
        <v>72</v>
      </c>
      <c r="AB1851">
        <v>1</v>
      </c>
      <c r="AC1851">
        <v>0</v>
      </c>
      <c r="AD1851">
        <v>14959128</v>
      </c>
      <c r="AE1851">
        <v>21183.56</v>
      </c>
      <c r="AF1851">
        <v>14937944.439999999</v>
      </c>
      <c r="AG1851">
        <v>14937944.439999999</v>
      </c>
      <c r="AH1851">
        <v>0</v>
      </c>
      <c r="AI1851">
        <v>0</v>
      </c>
    </row>
    <row r="1852" spans="13:35" x14ac:dyDescent="0.35">
      <c r="M1852" t="s">
        <v>0</v>
      </c>
      <c r="N1852">
        <v>5500</v>
      </c>
      <c r="O1852">
        <v>60</v>
      </c>
      <c r="P1852">
        <v>11</v>
      </c>
      <c r="Q1852">
        <v>0</v>
      </c>
      <c r="R1852">
        <v>193764070</v>
      </c>
      <c r="S1852">
        <v>300036.46000000002</v>
      </c>
      <c r="T1852">
        <v>193464033.53999999</v>
      </c>
      <c r="U1852">
        <v>193464033.53999999</v>
      </c>
      <c r="V1852">
        <v>0</v>
      </c>
      <c r="W1852">
        <v>0</v>
      </c>
      <c r="Y1852" t="s">
        <v>2</v>
      </c>
      <c r="Z1852">
        <v>2000</v>
      </c>
      <c r="AA1852">
        <v>192</v>
      </c>
      <c r="AB1852">
        <v>3</v>
      </c>
      <c r="AC1852">
        <v>0</v>
      </c>
      <c r="AD1852">
        <v>25476450</v>
      </c>
      <c r="AE1852">
        <v>149427.82999999999</v>
      </c>
      <c r="AF1852">
        <v>25327022.170000002</v>
      </c>
      <c r="AG1852">
        <v>25327022.170000002</v>
      </c>
      <c r="AH1852">
        <v>0</v>
      </c>
      <c r="AI1852">
        <v>0</v>
      </c>
    </row>
    <row r="1853" spans="13:35" x14ac:dyDescent="0.35">
      <c r="M1853" t="s">
        <v>2</v>
      </c>
      <c r="N1853">
        <v>5500</v>
      </c>
      <c r="O1853">
        <v>60</v>
      </c>
      <c r="P1853">
        <v>15</v>
      </c>
      <c r="Q1853">
        <v>0</v>
      </c>
      <c r="R1853">
        <v>171919480</v>
      </c>
      <c r="S1853">
        <v>296115.61</v>
      </c>
      <c r="T1853">
        <v>171623364.38999999</v>
      </c>
      <c r="U1853">
        <v>171623364.38999999</v>
      </c>
      <c r="V1853">
        <v>0</v>
      </c>
      <c r="W1853">
        <v>0</v>
      </c>
      <c r="Y1853" t="s">
        <v>3</v>
      </c>
      <c r="Z1853">
        <v>2500</v>
      </c>
      <c r="AA1853">
        <v>60</v>
      </c>
      <c r="AB1853">
        <v>124</v>
      </c>
      <c r="AC1853">
        <v>0</v>
      </c>
      <c r="AD1853">
        <v>2581598463</v>
      </c>
      <c r="AE1853">
        <v>6220561.5800000001</v>
      </c>
      <c r="AF1853">
        <v>2561595638.0799999</v>
      </c>
      <c r="AG1853">
        <v>2575377901.4200001</v>
      </c>
      <c r="AH1853">
        <v>6.2216E-2</v>
      </c>
      <c r="AI1853">
        <v>0</v>
      </c>
    </row>
    <row r="1854" spans="13:35" x14ac:dyDescent="0.35">
      <c r="M1854" t="s">
        <v>1</v>
      </c>
      <c r="N1854">
        <v>2000</v>
      </c>
      <c r="O1854">
        <v>84</v>
      </c>
      <c r="P1854">
        <v>1</v>
      </c>
      <c r="Q1854">
        <v>0</v>
      </c>
      <c r="R1854">
        <v>25116741</v>
      </c>
      <c r="S1854">
        <v>71101.86</v>
      </c>
      <c r="T1854">
        <v>25045639.140000001</v>
      </c>
      <c r="U1854">
        <v>25045639.140000001</v>
      </c>
      <c r="V1854">
        <v>0</v>
      </c>
      <c r="W1854">
        <v>0</v>
      </c>
      <c r="Y1854" t="s">
        <v>3</v>
      </c>
      <c r="Z1854">
        <v>2250</v>
      </c>
      <c r="AA1854">
        <v>60</v>
      </c>
      <c r="AB1854">
        <v>59</v>
      </c>
      <c r="AC1854">
        <v>0</v>
      </c>
      <c r="AD1854">
        <v>1274578787</v>
      </c>
      <c r="AE1854">
        <v>3152399.27</v>
      </c>
      <c r="AF1854">
        <v>1271426387.73</v>
      </c>
      <c r="AG1854">
        <v>1271426387.73</v>
      </c>
      <c r="AH1854">
        <v>0</v>
      </c>
      <c r="AI1854">
        <v>0</v>
      </c>
    </row>
    <row r="1855" spans="13:35" x14ac:dyDescent="0.35">
      <c r="M1855" t="s">
        <v>2</v>
      </c>
      <c r="N1855">
        <v>5750</v>
      </c>
      <c r="O1855">
        <v>60</v>
      </c>
      <c r="P1855">
        <v>6</v>
      </c>
      <c r="Q1855">
        <v>0</v>
      </c>
      <c r="R1855">
        <v>60660367</v>
      </c>
      <c r="S1855">
        <v>94850.14</v>
      </c>
      <c r="T1855">
        <v>60565516.859999999</v>
      </c>
      <c r="U1855">
        <v>60565516.859999999</v>
      </c>
      <c r="V1855">
        <v>0</v>
      </c>
      <c r="W1855">
        <v>0</v>
      </c>
      <c r="Y1855" t="s">
        <v>0</v>
      </c>
      <c r="Z1855">
        <v>5500</v>
      </c>
      <c r="AA1855">
        <v>60</v>
      </c>
      <c r="AB1855">
        <v>9</v>
      </c>
      <c r="AC1855">
        <v>0</v>
      </c>
      <c r="AD1855">
        <v>155823564</v>
      </c>
      <c r="AE1855">
        <v>241946.36</v>
      </c>
      <c r="AF1855">
        <v>155581617.63999999</v>
      </c>
      <c r="AG1855">
        <v>155581617.63999999</v>
      </c>
      <c r="AH1855">
        <v>0</v>
      </c>
      <c r="AI1855">
        <v>0</v>
      </c>
    </row>
    <row r="1856" spans="13:35" x14ac:dyDescent="0.35">
      <c r="M1856" t="s">
        <v>0</v>
      </c>
      <c r="N1856">
        <v>6250</v>
      </c>
      <c r="O1856">
        <v>60</v>
      </c>
      <c r="P1856">
        <v>6</v>
      </c>
      <c r="Q1856">
        <v>0</v>
      </c>
      <c r="R1856">
        <v>131724555</v>
      </c>
      <c r="S1856">
        <v>177876.22</v>
      </c>
      <c r="T1856">
        <v>131546678.78</v>
      </c>
      <c r="U1856">
        <v>131546678.78</v>
      </c>
      <c r="V1856">
        <v>0</v>
      </c>
      <c r="W1856">
        <v>0</v>
      </c>
      <c r="Y1856" t="s">
        <v>0</v>
      </c>
      <c r="Z1856">
        <v>5750</v>
      </c>
      <c r="AA1856">
        <v>60</v>
      </c>
      <c r="AB1856">
        <v>17</v>
      </c>
      <c r="AC1856">
        <v>0</v>
      </c>
      <c r="AD1856">
        <v>263204370</v>
      </c>
      <c r="AE1856">
        <v>392045.16</v>
      </c>
      <c r="AF1856">
        <v>262812324.84</v>
      </c>
      <c r="AG1856">
        <v>262812324.84</v>
      </c>
      <c r="AH1856">
        <v>0</v>
      </c>
      <c r="AI1856">
        <v>0</v>
      </c>
    </row>
    <row r="1857" spans="13:35" x14ac:dyDescent="0.35">
      <c r="M1857" t="s">
        <v>3</v>
      </c>
      <c r="N1857">
        <v>4750</v>
      </c>
      <c r="O1857">
        <v>60</v>
      </c>
      <c r="P1857">
        <v>2</v>
      </c>
      <c r="Q1857">
        <v>0</v>
      </c>
      <c r="R1857">
        <v>11664055</v>
      </c>
      <c r="S1857">
        <v>20416.78</v>
      </c>
      <c r="T1857">
        <v>11643638.220000001</v>
      </c>
      <c r="U1857">
        <v>11643638.220000001</v>
      </c>
      <c r="V1857">
        <v>0</v>
      </c>
      <c r="W1857">
        <v>0</v>
      </c>
      <c r="Y1857" t="s">
        <v>2</v>
      </c>
      <c r="Z1857">
        <v>5750</v>
      </c>
      <c r="AA1857">
        <v>60</v>
      </c>
      <c r="AB1857">
        <v>7</v>
      </c>
      <c r="AC1857">
        <v>0</v>
      </c>
      <c r="AD1857">
        <v>77285909</v>
      </c>
      <c r="AE1857">
        <v>119192.41</v>
      </c>
      <c r="AF1857">
        <v>77166716.590000004</v>
      </c>
      <c r="AG1857">
        <v>77166716.590000004</v>
      </c>
      <c r="AH1857">
        <v>0</v>
      </c>
      <c r="AI1857">
        <v>0</v>
      </c>
    </row>
    <row r="1858" spans="13:35" x14ac:dyDescent="0.35">
      <c r="M1858" t="s">
        <v>0</v>
      </c>
      <c r="N1858">
        <v>3000</v>
      </c>
      <c r="O1858">
        <v>216</v>
      </c>
      <c r="P1858">
        <v>1</v>
      </c>
      <c r="Q1858">
        <v>0</v>
      </c>
      <c r="R1858">
        <v>8050119</v>
      </c>
      <c r="S1858">
        <v>42585.95</v>
      </c>
      <c r="T1858">
        <v>8007533.0499999998</v>
      </c>
      <c r="U1858">
        <v>8007533.0499999998</v>
      </c>
      <c r="V1858">
        <v>0</v>
      </c>
      <c r="W1858">
        <v>0</v>
      </c>
      <c r="Y1858" t="s">
        <v>1</v>
      </c>
      <c r="Z1858">
        <v>6250</v>
      </c>
      <c r="AA1858">
        <v>60</v>
      </c>
      <c r="AB1858">
        <v>1</v>
      </c>
      <c r="AC1858">
        <v>0</v>
      </c>
      <c r="AD1858">
        <v>14469357</v>
      </c>
      <c r="AE1858">
        <v>20088.68</v>
      </c>
      <c r="AF1858">
        <v>14449268.32</v>
      </c>
      <c r="AG1858">
        <v>14449268.32</v>
      </c>
      <c r="AH1858">
        <v>0</v>
      </c>
      <c r="AI1858">
        <v>0</v>
      </c>
    </row>
    <row r="1859" spans="13:35" x14ac:dyDescent="0.35">
      <c r="M1859" t="s">
        <v>1</v>
      </c>
      <c r="N1859">
        <v>2250</v>
      </c>
      <c r="O1859">
        <v>120</v>
      </c>
      <c r="P1859">
        <v>1</v>
      </c>
      <c r="Q1859">
        <v>0</v>
      </c>
      <c r="R1859">
        <v>9533005</v>
      </c>
      <c r="S1859">
        <v>34472.199999999997</v>
      </c>
      <c r="T1859">
        <v>9498532.8000000007</v>
      </c>
      <c r="U1859">
        <v>9498532.8000000007</v>
      </c>
      <c r="V1859">
        <v>0</v>
      </c>
      <c r="W1859">
        <v>0</v>
      </c>
      <c r="Y1859" t="s">
        <v>2</v>
      </c>
      <c r="Z1859">
        <v>5500</v>
      </c>
      <c r="AA1859">
        <v>60</v>
      </c>
      <c r="AB1859">
        <v>15</v>
      </c>
      <c r="AC1859">
        <v>0</v>
      </c>
      <c r="AD1859">
        <v>152025286</v>
      </c>
      <c r="AE1859">
        <v>255300.44</v>
      </c>
      <c r="AF1859">
        <v>151769985.56</v>
      </c>
      <c r="AG1859">
        <v>151769985.56</v>
      </c>
      <c r="AH1859">
        <v>0</v>
      </c>
      <c r="AI1859">
        <v>0</v>
      </c>
    </row>
    <row r="1860" spans="13:35" x14ac:dyDescent="0.35">
      <c r="M1860" t="s">
        <v>1</v>
      </c>
      <c r="N1860">
        <v>5750</v>
      </c>
      <c r="O1860">
        <v>60</v>
      </c>
      <c r="P1860">
        <v>2</v>
      </c>
      <c r="Q1860">
        <v>0</v>
      </c>
      <c r="R1860">
        <v>37557790</v>
      </c>
      <c r="S1860">
        <v>55852.05</v>
      </c>
      <c r="T1860">
        <v>37501937.950000003</v>
      </c>
      <c r="U1860">
        <v>37501937.950000003</v>
      </c>
      <c r="V1860">
        <v>0</v>
      </c>
      <c r="W1860">
        <v>0</v>
      </c>
      <c r="Y1860" t="s">
        <v>3</v>
      </c>
      <c r="Z1860">
        <v>4500</v>
      </c>
      <c r="AA1860">
        <v>60</v>
      </c>
      <c r="AB1860">
        <v>1</v>
      </c>
      <c r="AC1860">
        <v>0</v>
      </c>
      <c r="AD1860">
        <v>30963656</v>
      </c>
      <c r="AE1860">
        <v>55375.6</v>
      </c>
      <c r="AF1860">
        <v>30908280.399999999</v>
      </c>
      <c r="AG1860">
        <v>30908280.399999999</v>
      </c>
      <c r="AH1860">
        <v>0</v>
      </c>
      <c r="AI1860">
        <v>0</v>
      </c>
    </row>
    <row r="1861" spans="13:35" x14ac:dyDescent="0.35">
      <c r="M1861" t="s">
        <v>0</v>
      </c>
      <c r="N1861">
        <v>6000</v>
      </c>
      <c r="O1861">
        <v>60</v>
      </c>
      <c r="P1861">
        <v>1</v>
      </c>
      <c r="Q1861">
        <v>0</v>
      </c>
      <c r="R1861">
        <v>13056763</v>
      </c>
      <c r="S1861">
        <v>18725.919999999998</v>
      </c>
      <c r="T1861">
        <v>13038037.08</v>
      </c>
      <c r="U1861">
        <v>13038037.08</v>
      </c>
      <c r="V1861">
        <v>0</v>
      </c>
      <c r="W1861">
        <v>0</v>
      </c>
      <c r="Y1861" t="s">
        <v>1</v>
      </c>
      <c r="Z1861">
        <v>2000</v>
      </c>
      <c r="AA1861">
        <v>84</v>
      </c>
      <c r="AB1861">
        <v>1</v>
      </c>
      <c r="AC1861">
        <v>0</v>
      </c>
      <c r="AD1861">
        <v>25187724</v>
      </c>
      <c r="AE1861">
        <v>70983.56</v>
      </c>
      <c r="AF1861">
        <v>25116740.440000001</v>
      </c>
      <c r="AG1861">
        <v>25116740.440000001</v>
      </c>
      <c r="AH1861">
        <v>0</v>
      </c>
      <c r="AI1861">
        <v>0</v>
      </c>
    </row>
    <row r="1862" spans="13:35" x14ac:dyDescent="0.35">
      <c r="M1862" t="s">
        <v>0</v>
      </c>
      <c r="N1862">
        <v>2000</v>
      </c>
      <c r="O1862">
        <v>54</v>
      </c>
      <c r="P1862">
        <v>138</v>
      </c>
      <c r="Q1862">
        <v>0</v>
      </c>
      <c r="R1862">
        <v>3723275285</v>
      </c>
      <c r="S1862">
        <v>9393860.3399999999</v>
      </c>
      <c r="T1862">
        <v>3713881424.6599998</v>
      </c>
      <c r="U1862">
        <v>3713881424.6599998</v>
      </c>
      <c r="V1862">
        <v>0</v>
      </c>
      <c r="W1862">
        <v>0</v>
      </c>
      <c r="Y1862" t="s">
        <v>0</v>
      </c>
      <c r="Z1862">
        <v>6250</v>
      </c>
      <c r="AA1862">
        <v>60</v>
      </c>
      <c r="AB1862">
        <v>3</v>
      </c>
      <c r="AC1862">
        <v>0</v>
      </c>
      <c r="AD1862">
        <v>50791862</v>
      </c>
      <c r="AE1862">
        <v>68686.649999999994</v>
      </c>
      <c r="AF1862">
        <v>50723175.350000001</v>
      </c>
      <c r="AG1862">
        <v>50723175.350000001</v>
      </c>
      <c r="AH1862">
        <v>0</v>
      </c>
      <c r="AI1862">
        <v>0</v>
      </c>
    </row>
    <row r="1863" spans="13:35" x14ac:dyDescent="0.35">
      <c r="M1863" t="s">
        <v>2</v>
      </c>
      <c r="N1863">
        <v>2000</v>
      </c>
      <c r="O1863">
        <v>54</v>
      </c>
      <c r="P1863">
        <v>2</v>
      </c>
      <c r="Q1863">
        <v>0</v>
      </c>
      <c r="R1863">
        <v>33164990</v>
      </c>
      <c r="S1863">
        <v>84386.92</v>
      </c>
      <c r="T1863">
        <v>33080603.079999998</v>
      </c>
      <c r="U1863">
        <v>33080603.079999998</v>
      </c>
      <c r="V1863">
        <v>0</v>
      </c>
      <c r="W1863">
        <v>0</v>
      </c>
      <c r="Y1863" t="s">
        <v>3</v>
      </c>
      <c r="Z1863">
        <v>4750</v>
      </c>
      <c r="AA1863">
        <v>60</v>
      </c>
      <c r="AB1863">
        <v>2</v>
      </c>
      <c r="AC1863">
        <v>0</v>
      </c>
      <c r="AD1863">
        <v>11753053</v>
      </c>
      <c r="AE1863">
        <v>20459.09</v>
      </c>
      <c r="AF1863">
        <v>11732593.91</v>
      </c>
      <c r="AG1863">
        <v>11732593.91</v>
      </c>
      <c r="AH1863">
        <v>0</v>
      </c>
      <c r="AI1863">
        <v>0</v>
      </c>
    </row>
    <row r="1864" spans="13:35" x14ac:dyDescent="0.35">
      <c r="M1864" t="s">
        <v>3</v>
      </c>
      <c r="N1864">
        <v>2250</v>
      </c>
      <c r="O1864">
        <v>54</v>
      </c>
      <c r="P1864">
        <v>13</v>
      </c>
      <c r="Q1864">
        <v>0</v>
      </c>
      <c r="R1864">
        <v>349887165</v>
      </c>
      <c r="S1864">
        <v>850644.43</v>
      </c>
      <c r="T1864">
        <v>349036520.56999999</v>
      </c>
      <c r="U1864">
        <v>349036520.56999999</v>
      </c>
      <c r="V1864">
        <v>0</v>
      </c>
      <c r="W1864">
        <v>0</v>
      </c>
      <c r="Y1864" t="s">
        <v>0</v>
      </c>
      <c r="Z1864">
        <v>3000</v>
      </c>
      <c r="AA1864">
        <v>216</v>
      </c>
      <c r="AB1864">
        <v>1</v>
      </c>
      <c r="AC1864">
        <v>0</v>
      </c>
      <c r="AD1864">
        <v>8092530</v>
      </c>
      <c r="AE1864">
        <v>42479.39</v>
      </c>
      <c r="AF1864">
        <v>8050050.6100000003</v>
      </c>
      <c r="AG1864">
        <v>8050050.6100000003</v>
      </c>
      <c r="AH1864">
        <v>0</v>
      </c>
      <c r="AI1864">
        <v>0</v>
      </c>
    </row>
    <row r="1865" spans="13:35" x14ac:dyDescent="0.35">
      <c r="M1865" t="s">
        <v>0</v>
      </c>
      <c r="N1865">
        <v>6250</v>
      </c>
      <c r="O1865">
        <v>54</v>
      </c>
      <c r="P1865">
        <v>49</v>
      </c>
      <c r="Q1865">
        <v>0</v>
      </c>
      <c r="R1865">
        <v>958434034</v>
      </c>
      <c r="S1865">
        <v>1255275.6499999999</v>
      </c>
      <c r="T1865">
        <v>957178758.35000002</v>
      </c>
      <c r="U1865">
        <v>957178758.35000002</v>
      </c>
      <c r="V1865">
        <v>0</v>
      </c>
      <c r="W1865">
        <v>0</v>
      </c>
      <c r="Y1865" t="s">
        <v>0</v>
      </c>
      <c r="Z1865">
        <v>2000</v>
      </c>
      <c r="AA1865">
        <v>54</v>
      </c>
      <c r="AB1865">
        <v>162</v>
      </c>
      <c r="AC1865">
        <v>0</v>
      </c>
      <c r="AD1865">
        <v>4478869586</v>
      </c>
      <c r="AE1865">
        <v>11285340.75</v>
      </c>
      <c r="AF1865">
        <v>4444052548.9200001</v>
      </c>
      <c r="AG1865">
        <v>4467584245.25</v>
      </c>
      <c r="AH1865">
        <v>6.1256999999999999E-2</v>
      </c>
      <c r="AI1865">
        <v>0</v>
      </c>
    </row>
    <row r="1866" spans="13:35" x14ac:dyDescent="0.35">
      <c r="M1866" t="s">
        <v>1</v>
      </c>
      <c r="N1866">
        <v>5500</v>
      </c>
      <c r="O1866">
        <v>54</v>
      </c>
      <c r="P1866">
        <v>13</v>
      </c>
      <c r="Q1866">
        <v>0</v>
      </c>
      <c r="R1866">
        <v>418426377</v>
      </c>
      <c r="S1866">
        <v>647425.15</v>
      </c>
      <c r="T1866">
        <v>417778951.85000002</v>
      </c>
      <c r="U1866">
        <v>417778951.85000002</v>
      </c>
      <c r="V1866">
        <v>0</v>
      </c>
      <c r="W1866">
        <v>0</v>
      </c>
      <c r="Y1866" t="s">
        <v>1</v>
      </c>
      <c r="Z1866">
        <v>2250</v>
      </c>
      <c r="AA1866">
        <v>108</v>
      </c>
      <c r="AB1866">
        <v>1</v>
      </c>
      <c r="AC1866">
        <v>0</v>
      </c>
      <c r="AD1866">
        <v>9568317</v>
      </c>
      <c r="AE1866">
        <v>34410.94</v>
      </c>
      <c r="AF1866">
        <v>9533906.0600000005</v>
      </c>
      <c r="AG1866">
        <v>9533906.0600000005</v>
      </c>
      <c r="AH1866">
        <v>0</v>
      </c>
      <c r="AI1866">
        <v>0</v>
      </c>
    </row>
    <row r="1867" spans="13:35" x14ac:dyDescent="0.35">
      <c r="M1867" t="s">
        <v>2</v>
      </c>
      <c r="N1867">
        <v>7000</v>
      </c>
      <c r="O1867">
        <v>72</v>
      </c>
      <c r="P1867">
        <v>1</v>
      </c>
      <c r="Q1867">
        <v>0</v>
      </c>
      <c r="R1867">
        <v>7242153</v>
      </c>
      <c r="S1867">
        <v>10539.05</v>
      </c>
      <c r="T1867">
        <v>7231613.9500000002</v>
      </c>
      <c r="U1867">
        <v>7231613.9500000002</v>
      </c>
      <c r="V1867">
        <v>0</v>
      </c>
      <c r="W1867">
        <v>0</v>
      </c>
      <c r="Y1867" t="s">
        <v>1</v>
      </c>
      <c r="Z1867">
        <v>5750</v>
      </c>
      <c r="AA1867">
        <v>54</v>
      </c>
      <c r="AB1867">
        <v>2</v>
      </c>
      <c r="AC1867">
        <v>0</v>
      </c>
      <c r="AD1867">
        <v>38634890</v>
      </c>
      <c r="AE1867">
        <v>56217.4</v>
      </c>
      <c r="AF1867">
        <v>38578672.600000001</v>
      </c>
      <c r="AG1867">
        <v>38578672.600000001</v>
      </c>
      <c r="AH1867">
        <v>0</v>
      </c>
      <c r="AI1867">
        <v>0</v>
      </c>
    </row>
    <row r="1868" spans="13:35" x14ac:dyDescent="0.35">
      <c r="M1868" t="s">
        <v>3</v>
      </c>
      <c r="N1868">
        <v>7750</v>
      </c>
      <c r="O1868">
        <v>240</v>
      </c>
      <c r="P1868">
        <v>1</v>
      </c>
      <c r="Q1868">
        <v>0</v>
      </c>
      <c r="R1868">
        <v>2494230</v>
      </c>
      <c r="S1868">
        <v>11725.86</v>
      </c>
      <c r="T1868">
        <v>2482504.14</v>
      </c>
      <c r="U1868">
        <v>2482504.14</v>
      </c>
      <c r="V1868">
        <v>0</v>
      </c>
      <c r="W1868">
        <v>0</v>
      </c>
      <c r="Y1868" t="s">
        <v>0</v>
      </c>
      <c r="Z1868">
        <v>6000</v>
      </c>
      <c r="AA1868">
        <v>60</v>
      </c>
      <c r="AB1868">
        <v>1</v>
      </c>
      <c r="AC1868">
        <v>0</v>
      </c>
      <c r="AD1868">
        <v>13075516</v>
      </c>
      <c r="AE1868">
        <v>18634.86</v>
      </c>
      <c r="AF1868">
        <v>13056881.140000001</v>
      </c>
      <c r="AG1868">
        <v>13056881.140000001</v>
      </c>
      <c r="AH1868">
        <v>0</v>
      </c>
      <c r="AI1868">
        <v>0</v>
      </c>
    </row>
    <row r="1869" spans="13:35" x14ac:dyDescent="0.35">
      <c r="M1869" t="s">
        <v>2</v>
      </c>
      <c r="N1869">
        <v>6250</v>
      </c>
      <c r="O1869">
        <v>54</v>
      </c>
      <c r="P1869">
        <v>2</v>
      </c>
      <c r="Q1869">
        <v>0</v>
      </c>
      <c r="R1869">
        <v>28501175</v>
      </c>
      <c r="S1869">
        <v>37066.620000000003</v>
      </c>
      <c r="T1869">
        <v>28464108.379999999</v>
      </c>
      <c r="U1869">
        <v>28464108.379999999</v>
      </c>
      <c r="V1869">
        <v>0</v>
      </c>
      <c r="W1869">
        <v>0</v>
      </c>
      <c r="Y1869" t="s">
        <v>0</v>
      </c>
      <c r="Z1869">
        <v>6250</v>
      </c>
      <c r="AA1869">
        <v>54</v>
      </c>
      <c r="AB1869">
        <v>45</v>
      </c>
      <c r="AC1869">
        <v>0</v>
      </c>
      <c r="AD1869">
        <v>928270059</v>
      </c>
      <c r="AE1869">
        <v>1213421.82</v>
      </c>
      <c r="AF1869">
        <v>893970972.26999998</v>
      </c>
      <c r="AG1869">
        <v>893970972.26999998</v>
      </c>
      <c r="AH1869">
        <v>0.35306900000000002</v>
      </c>
      <c r="AI1869">
        <v>0.35306900000000002</v>
      </c>
    </row>
    <row r="1870" spans="13:35" x14ac:dyDescent="0.35">
      <c r="M1870" t="s">
        <v>2</v>
      </c>
      <c r="N1870">
        <v>6000</v>
      </c>
      <c r="O1870">
        <v>54</v>
      </c>
      <c r="P1870">
        <v>4</v>
      </c>
      <c r="Q1870">
        <v>0</v>
      </c>
      <c r="R1870">
        <v>42139741</v>
      </c>
      <c r="S1870">
        <v>63045.18</v>
      </c>
      <c r="T1870">
        <v>42076695.82</v>
      </c>
      <c r="U1870">
        <v>42076695.82</v>
      </c>
      <c r="V1870">
        <v>0</v>
      </c>
      <c r="W1870">
        <v>0</v>
      </c>
      <c r="Y1870" t="s">
        <v>2</v>
      </c>
      <c r="Z1870">
        <v>2000</v>
      </c>
      <c r="AA1870">
        <v>54</v>
      </c>
      <c r="AB1870">
        <v>4</v>
      </c>
      <c r="AC1870">
        <v>0</v>
      </c>
      <c r="AD1870">
        <v>70796944</v>
      </c>
      <c r="AE1870">
        <v>178914.83</v>
      </c>
      <c r="AF1870">
        <v>70618029.170000002</v>
      </c>
      <c r="AG1870">
        <v>70618029.170000002</v>
      </c>
      <c r="AH1870">
        <v>0</v>
      </c>
      <c r="AI1870">
        <v>0</v>
      </c>
    </row>
    <row r="1871" spans="13:35" x14ac:dyDescent="0.35">
      <c r="M1871" t="s">
        <v>1</v>
      </c>
      <c r="N1871">
        <v>6250</v>
      </c>
      <c r="O1871">
        <v>54</v>
      </c>
      <c r="P1871">
        <v>1</v>
      </c>
      <c r="Q1871">
        <v>0</v>
      </c>
      <c r="R1871">
        <v>32563580</v>
      </c>
      <c r="S1871">
        <v>43467</v>
      </c>
      <c r="T1871">
        <v>0</v>
      </c>
      <c r="U1871">
        <v>0</v>
      </c>
      <c r="V1871">
        <v>1</v>
      </c>
      <c r="W1871">
        <v>1</v>
      </c>
      <c r="Y1871" t="s">
        <v>1</v>
      </c>
      <c r="Z1871">
        <v>5500</v>
      </c>
      <c r="AA1871">
        <v>54</v>
      </c>
      <c r="AB1871">
        <v>12</v>
      </c>
      <c r="AC1871">
        <v>0</v>
      </c>
      <c r="AD1871">
        <v>393917091</v>
      </c>
      <c r="AE1871">
        <v>607366.5</v>
      </c>
      <c r="AF1871">
        <v>355358966.56999999</v>
      </c>
      <c r="AG1871">
        <v>393309724.5</v>
      </c>
      <c r="AH1871">
        <v>0.70348299999999997</v>
      </c>
      <c r="AI1871">
        <v>0</v>
      </c>
    </row>
    <row r="1872" spans="13:35" x14ac:dyDescent="0.35">
      <c r="M1872" t="s">
        <v>2</v>
      </c>
      <c r="N1872">
        <v>7000</v>
      </c>
      <c r="O1872">
        <v>54</v>
      </c>
      <c r="P1872">
        <v>1</v>
      </c>
      <c r="Q1872">
        <v>0</v>
      </c>
      <c r="R1872">
        <v>13278946</v>
      </c>
      <c r="S1872">
        <v>18189.34</v>
      </c>
      <c r="T1872">
        <v>13260756.66</v>
      </c>
      <c r="U1872">
        <v>13260756.66</v>
      </c>
      <c r="V1872">
        <v>0</v>
      </c>
      <c r="W1872">
        <v>0</v>
      </c>
      <c r="Y1872" t="s">
        <v>2</v>
      </c>
      <c r="Z1872">
        <v>7000</v>
      </c>
      <c r="AA1872">
        <v>72</v>
      </c>
      <c r="AB1872">
        <v>1</v>
      </c>
      <c r="AC1872">
        <v>0</v>
      </c>
      <c r="AD1872">
        <v>7257490</v>
      </c>
      <c r="AE1872">
        <v>10484.950000000001</v>
      </c>
      <c r="AF1872">
        <v>7247005.0499999998</v>
      </c>
      <c r="AG1872">
        <v>7247005.0499999998</v>
      </c>
      <c r="AH1872">
        <v>0</v>
      </c>
      <c r="AI1872">
        <v>0</v>
      </c>
    </row>
    <row r="1873" spans="13:35" x14ac:dyDescent="0.35">
      <c r="M1873" t="s">
        <v>0</v>
      </c>
      <c r="N1873">
        <v>2250</v>
      </c>
      <c r="O1873">
        <v>48</v>
      </c>
      <c r="P1873">
        <v>185</v>
      </c>
      <c r="Q1873">
        <v>0</v>
      </c>
      <c r="R1873">
        <v>4726597749</v>
      </c>
      <c r="S1873">
        <v>11152906.869999999</v>
      </c>
      <c r="T1873">
        <v>4681039535.3999996</v>
      </c>
      <c r="U1873">
        <v>4715444842.1300001</v>
      </c>
      <c r="V1873">
        <v>8.3934999999999996E-2</v>
      </c>
      <c r="W1873">
        <v>0</v>
      </c>
      <c r="Y1873" t="s">
        <v>3</v>
      </c>
      <c r="Z1873">
        <v>7750</v>
      </c>
      <c r="AA1873">
        <v>240</v>
      </c>
      <c r="AB1873">
        <v>1</v>
      </c>
      <c r="AC1873">
        <v>0</v>
      </c>
      <c r="AD1873">
        <v>2513008</v>
      </c>
      <c r="AE1873">
        <v>11684.96</v>
      </c>
      <c r="AF1873">
        <v>2501323.04</v>
      </c>
      <c r="AG1873">
        <v>2501323.04</v>
      </c>
      <c r="AH1873">
        <v>0</v>
      </c>
      <c r="AI1873">
        <v>0</v>
      </c>
    </row>
    <row r="1874" spans="13:35" x14ac:dyDescent="0.35">
      <c r="M1874" t="s">
        <v>1</v>
      </c>
      <c r="N1874">
        <v>2000</v>
      </c>
      <c r="O1874">
        <v>48</v>
      </c>
      <c r="P1874">
        <v>6</v>
      </c>
      <c r="Q1874">
        <v>0</v>
      </c>
      <c r="R1874">
        <v>203980789</v>
      </c>
      <c r="S1874">
        <v>517091.23</v>
      </c>
      <c r="T1874">
        <v>203463697.77000001</v>
      </c>
      <c r="U1874">
        <v>203463697.77000001</v>
      </c>
      <c r="V1874">
        <v>0</v>
      </c>
      <c r="W1874">
        <v>0</v>
      </c>
      <c r="Y1874" t="s">
        <v>2</v>
      </c>
      <c r="Z1874">
        <v>5750</v>
      </c>
      <c r="AA1874">
        <v>54</v>
      </c>
      <c r="AB1874">
        <v>1</v>
      </c>
      <c r="AC1874">
        <v>0</v>
      </c>
      <c r="AD1874">
        <v>8862131</v>
      </c>
      <c r="AE1874">
        <v>12719.6</v>
      </c>
      <c r="AF1874">
        <v>8849411.4000000004</v>
      </c>
      <c r="AG1874">
        <v>8849411.4000000004</v>
      </c>
      <c r="AH1874">
        <v>0</v>
      </c>
      <c r="AI1874">
        <v>0</v>
      </c>
    </row>
    <row r="1875" spans="13:35" x14ac:dyDescent="0.35">
      <c r="M1875" t="s">
        <v>0</v>
      </c>
      <c r="N1875">
        <v>2000</v>
      </c>
      <c r="O1875">
        <v>216</v>
      </c>
      <c r="P1875">
        <v>1</v>
      </c>
      <c r="Q1875">
        <v>0</v>
      </c>
      <c r="R1875">
        <v>21336699</v>
      </c>
      <c r="S1875">
        <v>124384.17</v>
      </c>
      <c r="T1875">
        <v>21212314.829999998</v>
      </c>
      <c r="U1875">
        <v>21212314.829999998</v>
      </c>
      <c r="V1875">
        <v>0</v>
      </c>
      <c r="W1875">
        <v>0</v>
      </c>
      <c r="Y1875" t="s">
        <v>2</v>
      </c>
      <c r="Z1875">
        <v>6250</v>
      </c>
      <c r="AA1875">
        <v>54</v>
      </c>
      <c r="AB1875">
        <v>2</v>
      </c>
      <c r="AC1875">
        <v>0</v>
      </c>
      <c r="AD1875">
        <v>28521027</v>
      </c>
      <c r="AE1875">
        <v>36852.57</v>
      </c>
      <c r="AF1875">
        <v>28484174.43</v>
      </c>
      <c r="AG1875">
        <v>28484174.43</v>
      </c>
      <c r="AH1875">
        <v>0</v>
      </c>
      <c r="AI1875">
        <v>0</v>
      </c>
    </row>
    <row r="1876" spans="13:35" x14ac:dyDescent="0.35">
      <c r="M1876" t="s">
        <v>2</v>
      </c>
      <c r="N1876">
        <v>2500</v>
      </c>
      <c r="O1876">
        <v>48</v>
      </c>
      <c r="P1876">
        <v>56</v>
      </c>
      <c r="Q1876">
        <v>0</v>
      </c>
      <c r="R1876">
        <v>1063660955</v>
      </c>
      <c r="S1876">
        <v>2455261.39</v>
      </c>
      <c r="T1876">
        <v>1043257669.98</v>
      </c>
      <c r="U1876">
        <v>1061205693.61</v>
      </c>
      <c r="V1876">
        <v>0.18471199999999999</v>
      </c>
      <c r="W1876">
        <v>0</v>
      </c>
      <c r="Y1876" t="s">
        <v>1</v>
      </c>
      <c r="Z1876">
        <v>2000</v>
      </c>
      <c r="AA1876">
        <v>48</v>
      </c>
      <c r="AB1876">
        <v>21</v>
      </c>
      <c r="AC1876">
        <v>0</v>
      </c>
      <c r="AD1876">
        <v>868281764</v>
      </c>
      <c r="AE1876">
        <v>2173913.33</v>
      </c>
      <c r="AF1876">
        <v>866107850.66999996</v>
      </c>
      <c r="AG1876">
        <v>866107850.66999996</v>
      </c>
      <c r="AH1876">
        <v>0</v>
      </c>
      <c r="AI1876">
        <v>0</v>
      </c>
    </row>
    <row r="1877" spans="13:35" x14ac:dyDescent="0.35">
      <c r="M1877" t="s">
        <v>2</v>
      </c>
      <c r="N1877">
        <v>2250</v>
      </c>
      <c r="O1877">
        <v>48</v>
      </c>
      <c r="P1877">
        <v>11</v>
      </c>
      <c r="Q1877">
        <v>0</v>
      </c>
      <c r="R1877">
        <v>244696235</v>
      </c>
      <c r="S1877">
        <v>585489.43999999994</v>
      </c>
      <c r="T1877">
        <v>232098454.91999999</v>
      </c>
      <c r="U1877">
        <v>244110745.56</v>
      </c>
      <c r="V1877">
        <v>0.45340000000000003</v>
      </c>
      <c r="W1877">
        <v>0</v>
      </c>
      <c r="Y1877" t="s">
        <v>0</v>
      </c>
      <c r="Z1877">
        <v>2000</v>
      </c>
      <c r="AA1877">
        <v>48</v>
      </c>
      <c r="AB1877">
        <v>5</v>
      </c>
      <c r="AC1877">
        <v>0</v>
      </c>
      <c r="AD1877">
        <v>108087075</v>
      </c>
      <c r="AE1877">
        <v>267825.01</v>
      </c>
      <c r="AF1877">
        <v>107819249.98999999</v>
      </c>
      <c r="AG1877">
        <v>107819249.98999999</v>
      </c>
      <c r="AH1877">
        <v>0</v>
      </c>
      <c r="AI1877">
        <v>0</v>
      </c>
    </row>
    <row r="1878" spans="13:35" x14ac:dyDescent="0.35">
      <c r="M1878" t="s">
        <v>3</v>
      </c>
      <c r="N1878">
        <v>2250</v>
      </c>
      <c r="O1878">
        <v>48</v>
      </c>
      <c r="P1878">
        <v>1</v>
      </c>
      <c r="Q1878">
        <v>0</v>
      </c>
      <c r="R1878">
        <v>30984381</v>
      </c>
      <c r="S1878">
        <v>73167.66</v>
      </c>
      <c r="T1878">
        <v>30911213.34</v>
      </c>
      <c r="U1878">
        <v>30911213.34</v>
      </c>
      <c r="V1878">
        <v>0</v>
      </c>
      <c r="W1878">
        <v>0</v>
      </c>
      <c r="Y1878" t="s">
        <v>2</v>
      </c>
      <c r="Z1878">
        <v>2250</v>
      </c>
      <c r="AA1878">
        <v>48</v>
      </c>
      <c r="AB1878">
        <v>30</v>
      </c>
      <c r="AC1878">
        <v>0</v>
      </c>
      <c r="AD1878">
        <v>675618842</v>
      </c>
      <c r="AE1878">
        <v>1600067.13</v>
      </c>
      <c r="AF1878">
        <v>674018774.87</v>
      </c>
      <c r="AG1878">
        <v>674018774.87</v>
      </c>
      <c r="AH1878">
        <v>0</v>
      </c>
      <c r="AI1878">
        <v>0</v>
      </c>
    </row>
    <row r="1879" spans="13:35" x14ac:dyDescent="0.35">
      <c r="M1879" t="s">
        <v>3</v>
      </c>
      <c r="N1879">
        <v>2500</v>
      </c>
      <c r="O1879">
        <v>48</v>
      </c>
      <c r="P1879">
        <v>1</v>
      </c>
      <c r="Q1879">
        <v>0</v>
      </c>
      <c r="R1879">
        <v>13247088</v>
      </c>
      <c r="S1879">
        <v>30730.86</v>
      </c>
      <c r="T1879">
        <v>13216357.140000001</v>
      </c>
      <c r="U1879">
        <v>13216357.140000001</v>
      </c>
      <c r="V1879">
        <v>0</v>
      </c>
      <c r="W1879">
        <v>0</v>
      </c>
      <c r="Y1879" t="s">
        <v>3</v>
      </c>
      <c r="Z1879">
        <v>2500</v>
      </c>
      <c r="AA1879">
        <v>48</v>
      </c>
      <c r="AB1879">
        <v>4</v>
      </c>
      <c r="AC1879">
        <v>0</v>
      </c>
      <c r="AD1879">
        <v>61843770</v>
      </c>
      <c r="AE1879">
        <v>142139.26999999999</v>
      </c>
      <c r="AF1879">
        <v>61701630.729999997</v>
      </c>
      <c r="AG1879">
        <v>61701630.729999997</v>
      </c>
      <c r="AH1879">
        <v>0</v>
      </c>
      <c r="AI1879">
        <v>0</v>
      </c>
    </row>
    <row r="1880" spans="13:35" x14ac:dyDescent="0.35">
      <c r="M1880" t="s">
        <v>3</v>
      </c>
      <c r="N1880">
        <v>3250</v>
      </c>
      <c r="O1880">
        <v>48</v>
      </c>
      <c r="P1880">
        <v>19</v>
      </c>
      <c r="Q1880">
        <v>0</v>
      </c>
      <c r="R1880">
        <v>443603293</v>
      </c>
      <c r="S1880">
        <v>911684.42</v>
      </c>
      <c r="T1880">
        <v>442691608.57999998</v>
      </c>
      <c r="U1880">
        <v>442691608.57999998</v>
      </c>
      <c r="V1880">
        <v>0</v>
      </c>
      <c r="W1880">
        <v>0</v>
      </c>
      <c r="Y1880" t="s">
        <v>3</v>
      </c>
      <c r="Z1880">
        <v>2750</v>
      </c>
      <c r="AA1880">
        <v>48</v>
      </c>
      <c r="AB1880">
        <v>11</v>
      </c>
      <c r="AC1880">
        <v>0</v>
      </c>
      <c r="AD1880">
        <v>192287263</v>
      </c>
      <c r="AE1880">
        <v>422975.24</v>
      </c>
      <c r="AF1880">
        <v>191864287.75999999</v>
      </c>
      <c r="AG1880">
        <v>191864287.75999999</v>
      </c>
      <c r="AH1880">
        <v>0</v>
      </c>
      <c r="AI1880">
        <v>0</v>
      </c>
    </row>
    <row r="1881" spans="13:35" x14ac:dyDescent="0.35">
      <c r="M1881" t="s">
        <v>3</v>
      </c>
      <c r="N1881">
        <v>2750</v>
      </c>
      <c r="O1881">
        <v>48</v>
      </c>
      <c r="P1881">
        <v>2</v>
      </c>
      <c r="Q1881">
        <v>0</v>
      </c>
      <c r="R1881">
        <v>38199122</v>
      </c>
      <c r="S1881">
        <v>83969.67</v>
      </c>
      <c r="T1881">
        <v>38115152.329999998</v>
      </c>
      <c r="U1881">
        <v>38115152.329999998</v>
      </c>
      <c r="V1881">
        <v>0</v>
      </c>
      <c r="W1881">
        <v>0</v>
      </c>
      <c r="Y1881" t="s">
        <v>3</v>
      </c>
      <c r="Z1881">
        <v>3000</v>
      </c>
      <c r="AA1881">
        <v>48</v>
      </c>
      <c r="AB1881">
        <v>12</v>
      </c>
      <c r="AC1881">
        <v>0</v>
      </c>
      <c r="AD1881">
        <v>288019226</v>
      </c>
      <c r="AE1881">
        <v>611937.93999999994</v>
      </c>
      <c r="AF1881">
        <v>287407288.06</v>
      </c>
      <c r="AG1881">
        <v>287407288.06</v>
      </c>
      <c r="AH1881">
        <v>0</v>
      </c>
      <c r="AI1881">
        <v>0</v>
      </c>
    </row>
    <row r="1882" spans="13:35" x14ac:dyDescent="0.35">
      <c r="M1882" t="s">
        <v>3</v>
      </c>
      <c r="N1882">
        <v>3000</v>
      </c>
      <c r="O1882">
        <v>48</v>
      </c>
      <c r="P1882">
        <v>6</v>
      </c>
      <c r="Q1882">
        <v>0</v>
      </c>
      <c r="R1882">
        <v>144798169</v>
      </c>
      <c r="S1882">
        <v>307147.8</v>
      </c>
      <c r="T1882">
        <v>144491021.19999999</v>
      </c>
      <c r="U1882">
        <v>144491021.19999999</v>
      </c>
      <c r="V1882">
        <v>0</v>
      </c>
      <c r="W1882">
        <v>0</v>
      </c>
      <c r="Y1882" t="s">
        <v>2</v>
      </c>
      <c r="Z1882">
        <v>6000</v>
      </c>
      <c r="AA1882">
        <v>54</v>
      </c>
      <c r="AB1882">
        <v>4</v>
      </c>
      <c r="AC1882">
        <v>0</v>
      </c>
      <c r="AD1882">
        <v>42215343</v>
      </c>
      <c r="AE1882">
        <v>62752.28</v>
      </c>
      <c r="AF1882">
        <v>42152590.719999999</v>
      </c>
      <c r="AG1882">
        <v>42152590.719999999</v>
      </c>
      <c r="AH1882">
        <v>0</v>
      </c>
      <c r="AI1882">
        <v>0</v>
      </c>
    </row>
    <row r="1883" spans="13:35" x14ac:dyDescent="0.35">
      <c r="M1883" t="s">
        <v>2</v>
      </c>
      <c r="N1883">
        <v>6750</v>
      </c>
      <c r="O1883">
        <v>54</v>
      </c>
      <c r="P1883">
        <v>2</v>
      </c>
      <c r="Q1883">
        <v>0</v>
      </c>
      <c r="R1883">
        <v>13619652</v>
      </c>
      <c r="S1883">
        <v>19831.52</v>
      </c>
      <c r="T1883">
        <v>13599820.48</v>
      </c>
      <c r="U1883">
        <v>13599820.48</v>
      </c>
      <c r="V1883">
        <v>0</v>
      </c>
      <c r="W1883">
        <v>0</v>
      </c>
      <c r="Y1883" t="s">
        <v>1</v>
      </c>
      <c r="Z1883">
        <v>6250</v>
      </c>
      <c r="AA1883">
        <v>54</v>
      </c>
      <c r="AB1883">
        <v>1</v>
      </c>
      <c r="AC1883">
        <v>0</v>
      </c>
      <c r="AD1883">
        <v>32563580</v>
      </c>
      <c r="AE1883">
        <v>43184.44</v>
      </c>
      <c r="AF1883">
        <v>32520395.559999999</v>
      </c>
      <c r="AG1883">
        <v>32520395.559999999</v>
      </c>
      <c r="AH1883">
        <v>0</v>
      </c>
      <c r="AI1883">
        <v>0</v>
      </c>
    </row>
    <row r="1884" spans="13:35" x14ac:dyDescent="0.35">
      <c r="M1884" t="s">
        <v>2</v>
      </c>
      <c r="N1884">
        <v>6500</v>
      </c>
      <c r="O1884">
        <v>54</v>
      </c>
      <c r="P1884">
        <v>3</v>
      </c>
      <c r="Q1884">
        <v>0</v>
      </c>
      <c r="R1884">
        <v>26208879</v>
      </c>
      <c r="S1884">
        <v>38834.480000000003</v>
      </c>
      <c r="T1884">
        <v>26170044.52</v>
      </c>
      <c r="U1884">
        <v>26170044.52</v>
      </c>
      <c r="V1884">
        <v>0</v>
      </c>
      <c r="W1884">
        <v>0</v>
      </c>
      <c r="Y1884" t="s">
        <v>2</v>
      </c>
      <c r="Z1884">
        <v>7000</v>
      </c>
      <c r="AA1884">
        <v>54</v>
      </c>
      <c r="AB1884">
        <v>1</v>
      </c>
      <c r="AC1884">
        <v>0</v>
      </c>
      <c r="AD1884">
        <v>13278946</v>
      </c>
      <c r="AE1884">
        <v>18061.13</v>
      </c>
      <c r="AF1884">
        <v>13260884.869999999</v>
      </c>
      <c r="AG1884">
        <v>13260884.869999999</v>
      </c>
      <c r="AH1884">
        <v>0</v>
      </c>
      <c r="AI1884">
        <v>0</v>
      </c>
    </row>
    <row r="1885" spans="13:35" x14ac:dyDescent="0.35">
      <c r="M1885" t="s">
        <v>1</v>
      </c>
      <c r="N1885">
        <v>2750</v>
      </c>
      <c r="O1885">
        <v>42</v>
      </c>
      <c r="P1885">
        <v>105</v>
      </c>
      <c r="Q1885">
        <v>0</v>
      </c>
      <c r="R1885">
        <v>3431254407</v>
      </c>
      <c r="S1885">
        <v>7611236.6600000001</v>
      </c>
      <c r="T1885">
        <v>3410636418.8499999</v>
      </c>
      <c r="U1885">
        <v>3410636418.8499999</v>
      </c>
      <c r="V1885">
        <v>4.4552000000000001E-2</v>
      </c>
      <c r="W1885">
        <v>4.4552000000000001E-2</v>
      </c>
      <c r="Y1885" t="s">
        <v>0</v>
      </c>
      <c r="Z1885">
        <v>2000</v>
      </c>
      <c r="AA1885">
        <v>216</v>
      </c>
      <c r="AB1885">
        <v>1</v>
      </c>
      <c r="AC1885">
        <v>0</v>
      </c>
      <c r="AD1885">
        <v>21460942</v>
      </c>
      <c r="AE1885">
        <v>124177.59</v>
      </c>
      <c r="AF1885">
        <v>21336764.41</v>
      </c>
      <c r="AG1885">
        <v>21336764.41</v>
      </c>
      <c r="AH1885">
        <v>0</v>
      </c>
      <c r="AI1885">
        <v>0</v>
      </c>
    </row>
    <row r="1886" spans="13:35" x14ac:dyDescent="0.35">
      <c r="M1886" t="s">
        <v>1</v>
      </c>
      <c r="N1886">
        <v>2500</v>
      </c>
      <c r="O1886">
        <v>42</v>
      </c>
      <c r="P1886">
        <v>39</v>
      </c>
      <c r="Q1886">
        <v>0</v>
      </c>
      <c r="R1886">
        <v>1376878501</v>
      </c>
      <c r="S1886">
        <v>3182110.25</v>
      </c>
      <c r="T1886">
        <v>1373696390.75</v>
      </c>
      <c r="U1886">
        <v>1373696390.75</v>
      </c>
      <c r="V1886">
        <v>0</v>
      </c>
      <c r="W1886">
        <v>0</v>
      </c>
      <c r="Y1886" t="s">
        <v>3</v>
      </c>
      <c r="Z1886">
        <v>2250</v>
      </c>
      <c r="AA1886">
        <v>48</v>
      </c>
      <c r="AB1886">
        <v>1</v>
      </c>
      <c r="AC1886">
        <v>0</v>
      </c>
      <c r="AD1886">
        <v>31057411</v>
      </c>
      <c r="AE1886">
        <v>73030.73</v>
      </c>
      <c r="AF1886">
        <v>30984380.27</v>
      </c>
      <c r="AG1886">
        <v>30984380.27</v>
      </c>
      <c r="AH1886">
        <v>0</v>
      </c>
      <c r="AI1886">
        <v>0</v>
      </c>
    </row>
    <row r="1887" spans="13:35" x14ac:dyDescent="0.35">
      <c r="M1887" t="s">
        <v>2</v>
      </c>
      <c r="N1887">
        <v>3000</v>
      </c>
      <c r="O1887">
        <v>42</v>
      </c>
      <c r="P1887">
        <v>34</v>
      </c>
      <c r="Q1887">
        <v>0</v>
      </c>
      <c r="R1887">
        <v>628644346</v>
      </c>
      <c r="S1887">
        <v>1358279.39</v>
      </c>
      <c r="T1887">
        <v>627286066.61000001</v>
      </c>
      <c r="U1887">
        <v>627286066.61000001</v>
      </c>
      <c r="V1887">
        <v>0</v>
      </c>
      <c r="W1887">
        <v>0</v>
      </c>
      <c r="Y1887" t="s">
        <v>2</v>
      </c>
      <c r="Z1887">
        <v>6750</v>
      </c>
      <c r="AA1887">
        <v>54</v>
      </c>
      <c r="AB1887">
        <v>1</v>
      </c>
      <c r="AC1887">
        <v>0</v>
      </c>
      <c r="AD1887">
        <v>6685817</v>
      </c>
      <c r="AE1887">
        <v>9597.24</v>
      </c>
      <c r="AF1887">
        <v>6676219.7599999998</v>
      </c>
      <c r="AG1887">
        <v>6676219.7599999998</v>
      </c>
      <c r="AH1887">
        <v>0</v>
      </c>
      <c r="AI1887">
        <v>0</v>
      </c>
    </row>
    <row r="1888" spans="13:35" x14ac:dyDescent="0.35">
      <c r="M1888" t="s">
        <v>0</v>
      </c>
      <c r="N1888">
        <v>2750</v>
      </c>
      <c r="O1888">
        <v>42</v>
      </c>
      <c r="P1888">
        <v>24</v>
      </c>
      <c r="Q1888">
        <v>0</v>
      </c>
      <c r="R1888">
        <v>525657655</v>
      </c>
      <c r="S1888">
        <v>1119643.99</v>
      </c>
      <c r="T1888">
        <v>524538011.00999999</v>
      </c>
      <c r="U1888">
        <v>524538011.00999999</v>
      </c>
      <c r="V1888">
        <v>0</v>
      </c>
      <c r="W1888">
        <v>0</v>
      </c>
      <c r="Y1888" t="s">
        <v>1</v>
      </c>
      <c r="Z1888">
        <v>2750</v>
      </c>
      <c r="AA1888">
        <v>42</v>
      </c>
      <c r="AB1888">
        <v>150</v>
      </c>
      <c r="AC1888">
        <v>0</v>
      </c>
      <c r="AD1888">
        <v>4719652065</v>
      </c>
      <c r="AE1888">
        <v>10458173.74</v>
      </c>
      <c r="AF1888">
        <v>4537507751.8400002</v>
      </c>
      <c r="AG1888">
        <v>4630112153.1400003</v>
      </c>
      <c r="AH1888">
        <v>0.358958</v>
      </c>
      <c r="AI1888">
        <v>0.18353700000000001</v>
      </c>
    </row>
    <row r="1889" spans="13:35" x14ac:dyDescent="0.35">
      <c r="M1889" t="s">
        <v>2</v>
      </c>
      <c r="N1889">
        <v>3750</v>
      </c>
      <c r="O1889">
        <v>42</v>
      </c>
      <c r="P1889">
        <v>61</v>
      </c>
      <c r="Q1889">
        <v>0</v>
      </c>
      <c r="R1889">
        <v>956030935</v>
      </c>
      <c r="S1889">
        <v>1839269.88</v>
      </c>
      <c r="T1889">
        <v>951322931.34000003</v>
      </c>
      <c r="U1889">
        <v>951322931.34000003</v>
      </c>
      <c r="V1889">
        <v>3.542E-2</v>
      </c>
      <c r="W1889">
        <v>3.542E-2</v>
      </c>
      <c r="Y1889" t="s">
        <v>2</v>
      </c>
      <c r="Z1889">
        <v>2500</v>
      </c>
      <c r="AA1889">
        <v>42</v>
      </c>
      <c r="AB1889">
        <v>7</v>
      </c>
      <c r="AC1889">
        <v>0</v>
      </c>
      <c r="AD1889">
        <v>149875939</v>
      </c>
      <c r="AE1889">
        <v>350490.48</v>
      </c>
      <c r="AF1889">
        <v>149525448.52000001</v>
      </c>
      <c r="AG1889">
        <v>149525448.52000001</v>
      </c>
      <c r="AH1889">
        <v>0</v>
      </c>
      <c r="AI1889">
        <v>0</v>
      </c>
    </row>
    <row r="1890" spans="13:35" x14ac:dyDescent="0.35">
      <c r="M1890" t="s">
        <v>3</v>
      </c>
      <c r="N1890">
        <v>3750</v>
      </c>
      <c r="O1890">
        <v>42</v>
      </c>
      <c r="P1890">
        <v>1</v>
      </c>
      <c r="Q1890">
        <v>0</v>
      </c>
      <c r="R1890">
        <v>34309805</v>
      </c>
      <c r="S1890">
        <v>64393.36</v>
      </c>
      <c r="T1890">
        <v>34245411.640000001</v>
      </c>
      <c r="U1890">
        <v>34245411.640000001</v>
      </c>
      <c r="V1890">
        <v>0</v>
      </c>
      <c r="W1890">
        <v>0</v>
      </c>
      <c r="Y1890" t="s">
        <v>1</v>
      </c>
      <c r="Z1890">
        <v>2500</v>
      </c>
      <c r="AA1890">
        <v>42</v>
      </c>
      <c r="AB1890">
        <v>57</v>
      </c>
      <c r="AC1890">
        <v>0</v>
      </c>
      <c r="AD1890">
        <v>1885530777</v>
      </c>
      <c r="AE1890">
        <v>4324863.22</v>
      </c>
      <c r="AF1890">
        <v>1881205913.78</v>
      </c>
      <c r="AG1890">
        <v>1881205913.78</v>
      </c>
      <c r="AH1890">
        <v>0</v>
      </c>
      <c r="AI1890">
        <v>0</v>
      </c>
    </row>
    <row r="1891" spans="13:35" x14ac:dyDescent="0.35">
      <c r="M1891" t="s">
        <v>3</v>
      </c>
      <c r="N1891">
        <v>4500</v>
      </c>
      <c r="O1891">
        <v>42</v>
      </c>
      <c r="P1891">
        <v>3</v>
      </c>
      <c r="Q1891">
        <v>0</v>
      </c>
      <c r="R1891">
        <v>93964350</v>
      </c>
      <c r="S1891">
        <v>154997.76999999999</v>
      </c>
      <c r="T1891">
        <v>93809352.230000004</v>
      </c>
      <c r="U1891">
        <v>93809352.230000004</v>
      </c>
      <c r="V1891">
        <v>0</v>
      </c>
      <c r="W1891">
        <v>0</v>
      </c>
      <c r="Y1891" t="s">
        <v>1</v>
      </c>
      <c r="Z1891">
        <v>2250</v>
      </c>
      <c r="AA1891">
        <v>42</v>
      </c>
      <c r="AB1891">
        <v>43</v>
      </c>
      <c r="AC1891">
        <v>0</v>
      </c>
      <c r="AD1891">
        <v>1290390258</v>
      </c>
      <c r="AE1891">
        <v>3087934.63</v>
      </c>
      <c r="AF1891">
        <v>1287302323.3699999</v>
      </c>
      <c r="AG1891">
        <v>1287302323.3699999</v>
      </c>
      <c r="AH1891">
        <v>0</v>
      </c>
      <c r="AI1891">
        <v>0</v>
      </c>
    </row>
    <row r="1892" spans="13:35" x14ac:dyDescent="0.35">
      <c r="M1892" t="s">
        <v>2</v>
      </c>
      <c r="N1892">
        <v>2750</v>
      </c>
      <c r="O1892">
        <v>42</v>
      </c>
      <c r="P1892">
        <v>44</v>
      </c>
      <c r="Q1892">
        <v>0</v>
      </c>
      <c r="R1892">
        <v>819334935</v>
      </c>
      <c r="S1892">
        <v>1810292.2</v>
      </c>
      <c r="T1892">
        <v>817524642.79999995</v>
      </c>
      <c r="U1892">
        <v>817524642.79999995</v>
      </c>
      <c r="V1892">
        <v>0</v>
      </c>
      <c r="W1892">
        <v>0</v>
      </c>
      <c r="Y1892" t="s">
        <v>2</v>
      </c>
      <c r="Z1892">
        <v>2750</v>
      </c>
      <c r="AA1892">
        <v>42</v>
      </c>
      <c r="AB1892">
        <v>39</v>
      </c>
      <c r="AC1892">
        <v>0</v>
      </c>
      <c r="AD1892">
        <v>696404701</v>
      </c>
      <c r="AE1892">
        <v>1541256.4</v>
      </c>
      <c r="AF1892">
        <v>694863444.60000002</v>
      </c>
      <c r="AG1892">
        <v>694863444.60000002</v>
      </c>
      <c r="AH1892">
        <v>0</v>
      </c>
      <c r="AI1892">
        <v>0</v>
      </c>
    </row>
    <row r="1893" spans="13:35" x14ac:dyDescent="0.35">
      <c r="M1893" t="s">
        <v>1</v>
      </c>
      <c r="N1893">
        <v>2250</v>
      </c>
      <c r="O1893">
        <v>42</v>
      </c>
      <c r="P1893">
        <v>33</v>
      </c>
      <c r="Q1893">
        <v>0</v>
      </c>
      <c r="R1893">
        <v>1011328402</v>
      </c>
      <c r="S1893">
        <v>2422485.4700000002</v>
      </c>
      <c r="T1893">
        <v>1008905916.53</v>
      </c>
      <c r="U1893">
        <v>1008905916.53</v>
      </c>
      <c r="V1893">
        <v>0</v>
      </c>
      <c r="W1893">
        <v>0</v>
      </c>
      <c r="Y1893" t="s">
        <v>2</v>
      </c>
      <c r="Z1893">
        <v>3500</v>
      </c>
      <c r="AA1893">
        <v>42</v>
      </c>
      <c r="AB1893">
        <v>101</v>
      </c>
      <c r="AC1893">
        <v>0</v>
      </c>
      <c r="AD1893">
        <v>1624358454</v>
      </c>
      <c r="AE1893">
        <v>3278939.58</v>
      </c>
      <c r="AF1893">
        <v>1615584442.1700001</v>
      </c>
      <c r="AG1893">
        <v>1615584442.1700001</v>
      </c>
      <c r="AH1893">
        <v>3.9848000000000001E-2</v>
      </c>
      <c r="AI1893">
        <v>3.9848000000000001E-2</v>
      </c>
    </row>
    <row r="1894" spans="13:35" x14ac:dyDescent="0.35">
      <c r="M1894" t="s">
        <v>3</v>
      </c>
      <c r="N1894">
        <v>4250</v>
      </c>
      <c r="O1894">
        <v>42</v>
      </c>
      <c r="P1894">
        <v>20</v>
      </c>
      <c r="Q1894">
        <v>0</v>
      </c>
      <c r="R1894">
        <v>295107908</v>
      </c>
      <c r="S1894">
        <v>498021.58</v>
      </c>
      <c r="T1894">
        <v>294609886.42000002</v>
      </c>
      <c r="U1894">
        <v>294609886.42000002</v>
      </c>
      <c r="V1894">
        <v>0</v>
      </c>
      <c r="W1894">
        <v>0</v>
      </c>
      <c r="Y1894" t="s">
        <v>3</v>
      </c>
      <c r="Z1894">
        <v>4000</v>
      </c>
      <c r="AA1894">
        <v>42</v>
      </c>
      <c r="AB1894">
        <v>2</v>
      </c>
      <c r="AC1894">
        <v>0</v>
      </c>
      <c r="AD1894">
        <v>41309784</v>
      </c>
      <c r="AE1894">
        <v>74400.13</v>
      </c>
      <c r="AF1894">
        <v>41235383.869999997</v>
      </c>
      <c r="AG1894">
        <v>41235383.869999997</v>
      </c>
      <c r="AH1894">
        <v>0</v>
      </c>
      <c r="AI1894">
        <v>0</v>
      </c>
    </row>
    <row r="1895" spans="13:35" x14ac:dyDescent="0.35">
      <c r="M1895" t="s">
        <v>2</v>
      </c>
      <c r="N1895">
        <v>2250</v>
      </c>
      <c r="O1895">
        <v>42</v>
      </c>
      <c r="P1895">
        <v>3</v>
      </c>
      <c r="Q1895">
        <v>0</v>
      </c>
      <c r="R1895">
        <v>50525947</v>
      </c>
      <c r="S1895">
        <v>121438.39999999999</v>
      </c>
      <c r="T1895">
        <v>50404508.600000001</v>
      </c>
      <c r="U1895">
        <v>50404508.600000001</v>
      </c>
      <c r="V1895">
        <v>0</v>
      </c>
      <c r="W1895">
        <v>0</v>
      </c>
      <c r="Y1895" t="s">
        <v>3</v>
      </c>
      <c r="Z1895">
        <v>4250</v>
      </c>
      <c r="AA1895">
        <v>42</v>
      </c>
      <c r="AB1895">
        <v>23</v>
      </c>
      <c r="AC1895">
        <v>0</v>
      </c>
      <c r="AD1895">
        <v>378695047</v>
      </c>
      <c r="AE1895">
        <v>637885.07999999996</v>
      </c>
      <c r="AF1895">
        <v>378057161.92000002</v>
      </c>
      <c r="AG1895">
        <v>378057161.92000002</v>
      </c>
      <c r="AH1895">
        <v>0</v>
      </c>
      <c r="AI1895">
        <v>0</v>
      </c>
    </row>
    <row r="1896" spans="13:35" x14ac:dyDescent="0.35">
      <c r="M1896" t="s">
        <v>2</v>
      </c>
      <c r="N1896">
        <v>2500</v>
      </c>
      <c r="O1896">
        <v>42</v>
      </c>
      <c r="P1896">
        <v>5</v>
      </c>
      <c r="Q1896">
        <v>0</v>
      </c>
      <c r="R1896">
        <v>87219433</v>
      </c>
      <c r="S1896">
        <v>206187.37</v>
      </c>
      <c r="T1896">
        <v>87013245.629999995</v>
      </c>
      <c r="U1896">
        <v>87013245.629999995</v>
      </c>
      <c r="V1896">
        <v>0</v>
      </c>
      <c r="W1896">
        <v>0</v>
      </c>
      <c r="Y1896" t="s">
        <v>3</v>
      </c>
      <c r="Z1896">
        <v>4500</v>
      </c>
      <c r="AA1896">
        <v>42</v>
      </c>
      <c r="AB1896">
        <v>5</v>
      </c>
      <c r="AC1896">
        <v>0</v>
      </c>
      <c r="AD1896">
        <v>164923965</v>
      </c>
      <c r="AE1896">
        <v>270474.74</v>
      </c>
      <c r="AF1896">
        <v>164653490.25999999</v>
      </c>
      <c r="AG1896">
        <v>164653490.25999999</v>
      </c>
      <c r="AH1896">
        <v>0</v>
      </c>
      <c r="AI1896">
        <v>0</v>
      </c>
    </row>
    <row r="1897" spans="13:35" x14ac:dyDescent="0.35">
      <c r="M1897" t="s">
        <v>1</v>
      </c>
      <c r="N1897">
        <v>9000</v>
      </c>
      <c r="O1897">
        <v>42</v>
      </c>
      <c r="P1897">
        <v>1</v>
      </c>
      <c r="Q1897">
        <v>0</v>
      </c>
      <c r="R1897">
        <v>24310659</v>
      </c>
      <c r="S1897">
        <v>19061.009999999998</v>
      </c>
      <c r="T1897">
        <v>24291597.989999998</v>
      </c>
      <c r="U1897">
        <v>24291597.989999998</v>
      </c>
      <c r="V1897">
        <v>0</v>
      </c>
      <c r="W1897">
        <v>0</v>
      </c>
      <c r="Y1897" t="s">
        <v>3</v>
      </c>
      <c r="Z1897">
        <v>6500</v>
      </c>
      <c r="AA1897">
        <v>48</v>
      </c>
      <c r="AB1897">
        <v>1</v>
      </c>
      <c r="AC1897">
        <v>0</v>
      </c>
      <c r="AD1897">
        <v>9901192</v>
      </c>
      <c r="AE1897">
        <v>11806.54</v>
      </c>
      <c r="AF1897">
        <v>9889385.4600000009</v>
      </c>
      <c r="AG1897">
        <v>9889385.4600000009</v>
      </c>
      <c r="AH1897">
        <v>0</v>
      </c>
      <c r="AI1897">
        <v>0</v>
      </c>
    </row>
    <row r="1898" spans="13:35" x14ac:dyDescent="0.35">
      <c r="M1898" t="s">
        <v>1</v>
      </c>
      <c r="N1898">
        <v>8250</v>
      </c>
      <c r="O1898">
        <v>42</v>
      </c>
      <c r="P1898">
        <v>5</v>
      </c>
      <c r="Q1898">
        <v>0</v>
      </c>
      <c r="R1898">
        <v>105043103</v>
      </c>
      <c r="S1898">
        <v>92076.83</v>
      </c>
      <c r="T1898">
        <v>104951026.17</v>
      </c>
      <c r="U1898">
        <v>104951026.17</v>
      </c>
      <c r="V1898">
        <v>0</v>
      </c>
      <c r="W1898">
        <v>0</v>
      </c>
      <c r="Y1898" t="s">
        <v>2</v>
      </c>
      <c r="Z1898">
        <v>6500</v>
      </c>
      <c r="AA1898">
        <v>54</v>
      </c>
      <c r="AB1898">
        <v>2</v>
      </c>
      <c r="AC1898">
        <v>0</v>
      </c>
      <c r="AD1898">
        <v>17191474</v>
      </c>
      <c r="AE1898">
        <v>24017.4</v>
      </c>
      <c r="AF1898">
        <v>17167456.600000001</v>
      </c>
      <c r="AG1898">
        <v>17167456.600000001</v>
      </c>
      <c r="AH1898">
        <v>0</v>
      </c>
      <c r="AI1898">
        <v>0</v>
      </c>
    </row>
    <row r="1899" spans="13:35" x14ac:dyDescent="0.35">
      <c r="M1899" t="s">
        <v>3</v>
      </c>
      <c r="N1899">
        <v>4000</v>
      </c>
      <c r="O1899">
        <v>42</v>
      </c>
      <c r="P1899">
        <v>1</v>
      </c>
      <c r="Q1899">
        <v>0</v>
      </c>
      <c r="R1899">
        <v>3108478</v>
      </c>
      <c r="S1899">
        <v>5424.36</v>
      </c>
      <c r="T1899">
        <v>3103053.64</v>
      </c>
      <c r="U1899">
        <v>3103053.64</v>
      </c>
      <c r="V1899">
        <v>0</v>
      </c>
      <c r="W1899">
        <v>0</v>
      </c>
      <c r="Y1899" t="s">
        <v>2</v>
      </c>
      <c r="Z1899">
        <v>2250</v>
      </c>
      <c r="AA1899">
        <v>42</v>
      </c>
      <c r="AB1899">
        <v>4</v>
      </c>
      <c r="AC1899">
        <v>0</v>
      </c>
      <c r="AD1899">
        <v>76931682</v>
      </c>
      <c r="AE1899">
        <v>183797.62</v>
      </c>
      <c r="AF1899">
        <v>76747884.379999995</v>
      </c>
      <c r="AG1899">
        <v>76747884.379999995</v>
      </c>
      <c r="AH1899">
        <v>0</v>
      </c>
      <c r="AI1899">
        <v>0</v>
      </c>
    </row>
    <row r="1900" spans="13:35" x14ac:dyDescent="0.35">
      <c r="M1900" t="s">
        <v>1</v>
      </c>
      <c r="N1900">
        <v>2000</v>
      </c>
      <c r="O1900">
        <v>42</v>
      </c>
      <c r="P1900">
        <v>1</v>
      </c>
      <c r="Q1900">
        <v>0</v>
      </c>
      <c r="R1900">
        <v>37824913</v>
      </c>
      <c r="S1900">
        <v>91765.45</v>
      </c>
      <c r="T1900">
        <v>37733147.549999997</v>
      </c>
      <c r="U1900">
        <v>37733147.549999997</v>
      </c>
      <c r="V1900">
        <v>0</v>
      </c>
      <c r="W1900">
        <v>0</v>
      </c>
      <c r="Y1900" t="s">
        <v>0</v>
      </c>
      <c r="Z1900">
        <v>2250</v>
      </c>
      <c r="AA1900">
        <v>42</v>
      </c>
      <c r="AB1900">
        <v>2</v>
      </c>
      <c r="AC1900">
        <v>0</v>
      </c>
      <c r="AD1900">
        <v>42029210</v>
      </c>
      <c r="AE1900">
        <v>96777.81</v>
      </c>
      <c r="AF1900">
        <v>41932432.189999998</v>
      </c>
      <c r="AG1900">
        <v>41932432.189999998</v>
      </c>
      <c r="AH1900">
        <v>0</v>
      </c>
      <c r="AI1900">
        <v>0</v>
      </c>
    </row>
    <row r="1901" spans="13:35" x14ac:dyDescent="0.35">
      <c r="M1901" t="s">
        <v>2</v>
      </c>
      <c r="N1901">
        <v>3000</v>
      </c>
      <c r="O1901">
        <v>36</v>
      </c>
      <c r="P1901">
        <v>27</v>
      </c>
      <c r="Q1901">
        <v>0</v>
      </c>
      <c r="R1901">
        <v>495812210</v>
      </c>
      <c r="S1901">
        <v>1042848.83</v>
      </c>
      <c r="T1901">
        <v>494769361.17000002</v>
      </c>
      <c r="U1901">
        <v>494769361.17000002</v>
      </c>
      <c r="V1901">
        <v>0</v>
      </c>
      <c r="W1901">
        <v>0</v>
      </c>
      <c r="Y1901" t="s">
        <v>2</v>
      </c>
      <c r="Z1901">
        <v>3000</v>
      </c>
      <c r="AA1901">
        <v>42</v>
      </c>
      <c r="AB1901">
        <v>31</v>
      </c>
      <c r="AC1901">
        <v>0</v>
      </c>
      <c r="AD1901">
        <v>602055931</v>
      </c>
      <c r="AE1901">
        <v>1305923.3400000001</v>
      </c>
      <c r="AF1901">
        <v>581539571.00999999</v>
      </c>
      <c r="AG1901">
        <v>600750007.65999997</v>
      </c>
      <c r="AH1901">
        <v>0.32235999999999998</v>
      </c>
      <c r="AI1901">
        <v>0</v>
      </c>
    </row>
    <row r="1902" spans="13:35" x14ac:dyDescent="0.35">
      <c r="M1902" t="s">
        <v>2</v>
      </c>
      <c r="N1902">
        <v>2750</v>
      </c>
      <c r="O1902">
        <v>36</v>
      </c>
      <c r="P1902">
        <v>27</v>
      </c>
      <c r="Q1902">
        <v>0</v>
      </c>
      <c r="R1902">
        <v>611554404</v>
      </c>
      <c r="S1902">
        <v>1325195.8400000001</v>
      </c>
      <c r="T1902">
        <v>591618269.36000001</v>
      </c>
      <c r="U1902">
        <v>610229208.15999997</v>
      </c>
      <c r="V1902">
        <v>0.30985800000000002</v>
      </c>
      <c r="W1902">
        <v>0</v>
      </c>
      <c r="Y1902" t="s">
        <v>3</v>
      </c>
      <c r="Z1902">
        <v>3750</v>
      </c>
      <c r="AA1902">
        <v>42</v>
      </c>
      <c r="AB1902">
        <v>1</v>
      </c>
      <c r="AC1902">
        <v>0</v>
      </c>
      <c r="AD1902">
        <v>34374320</v>
      </c>
      <c r="AE1902">
        <v>64200.02</v>
      </c>
      <c r="AF1902">
        <v>34310119.979999997</v>
      </c>
      <c r="AG1902">
        <v>34310119.979999997</v>
      </c>
      <c r="AH1902">
        <v>0</v>
      </c>
      <c r="AI1902">
        <v>0</v>
      </c>
    </row>
    <row r="1903" spans="13:35" x14ac:dyDescent="0.35">
      <c r="M1903" t="s">
        <v>1</v>
      </c>
      <c r="N1903">
        <v>3500</v>
      </c>
      <c r="O1903">
        <v>36</v>
      </c>
      <c r="P1903">
        <v>55</v>
      </c>
      <c r="Q1903">
        <v>0</v>
      </c>
      <c r="R1903">
        <v>1547621257</v>
      </c>
      <c r="S1903">
        <v>2988326.35</v>
      </c>
      <c r="T1903">
        <v>1481030456.0799999</v>
      </c>
      <c r="U1903">
        <v>1496358848.5999999</v>
      </c>
      <c r="V1903">
        <v>0.39563900000000002</v>
      </c>
      <c r="W1903">
        <v>0.31632399999999999</v>
      </c>
      <c r="Y1903" t="s">
        <v>3</v>
      </c>
      <c r="Z1903">
        <v>3250</v>
      </c>
      <c r="AA1903">
        <v>42</v>
      </c>
      <c r="AB1903">
        <v>1</v>
      </c>
      <c r="AC1903">
        <v>0</v>
      </c>
      <c r="AD1903">
        <v>9649250</v>
      </c>
      <c r="AE1903">
        <v>19531.349999999999</v>
      </c>
      <c r="AF1903">
        <v>9629718.6500000004</v>
      </c>
      <c r="AG1903">
        <v>9629718.6500000004</v>
      </c>
      <c r="AH1903">
        <v>0</v>
      </c>
      <c r="AI1903">
        <v>0</v>
      </c>
    </row>
    <row r="1904" spans="13:35" x14ac:dyDescent="0.35">
      <c r="M1904" t="s">
        <v>1</v>
      </c>
      <c r="N1904">
        <v>3750</v>
      </c>
      <c r="O1904">
        <v>36</v>
      </c>
      <c r="P1904">
        <v>99</v>
      </c>
      <c r="Q1904">
        <v>0</v>
      </c>
      <c r="R1904">
        <v>3355936722</v>
      </c>
      <c r="S1904">
        <v>6149729.2699999996</v>
      </c>
      <c r="T1904">
        <v>3327119700.6700001</v>
      </c>
      <c r="U1904">
        <v>3327119700.6700001</v>
      </c>
      <c r="V1904">
        <v>7.8107999999999997E-2</v>
      </c>
      <c r="W1904">
        <v>7.8107999999999997E-2</v>
      </c>
      <c r="Y1904" t="s">
        <v>1</v>
      </c>
      <c r="Z1904">
        <v>9000</v>
      </c>
      <c r="AA1904">
        <v>42</v>
      </c>
      <c r="AB1904">
        <v>1</v>
      </c>
      <c r="AC1904">
        <v>0</v>
      </c>
      <c r="AD1904">
        <v>24329999</v>
      </c>
      <c r="AE1904">
        <v>18923.36</v>
      </c>
      <c r="AF1904">
        <v>24311075.640000001</v>
      </c>
      <c r="AG1904">
        <v>24311075.640000001</v>
      </c>
      <c r="AH1904">
        <v>0</v>
      </c>
      <c r="AI1904">
        <v>0</v>
      </c>
    </row>
    <row r="1905" spans="13:35" x14ac:dyDescent="0.35">
      <c r="M1905" t="s">
        <v>2</v>
      </c>
      <c r="N1905">
        <v>3500</v>
      </c>
      <c r="O1905">
        <v>36</v>
      </c>
      <c r="P1905">
        <v>26</v>
      </c>
      <c r="Q1905">
        <v>0</v>
      </c>
      <c r="R1905">
        <v>373170658</v>
      </c>
      <c r="S1905">
        <v>731497.77</v>
      </c>
      <c r="T1905">
        <v>372439160.23000002</v>
      </c>
      <c r="U1905">
        <v>372439160.23000002</v>
      </c>
      <c r="V1905">
        <v>0</v>
      </c>
      <c r="W1905">
        <v>0</v>
      </c>
      <c r="Y1905" t="s">
        <v>1</v>
      </c>
      <c r="Z1905">
        <v>8250</v>
      </c>
      <c r="AA1905">
        <v>42</v>
      </c>
      <c r="AB1905">
        <v>6</v>
      </c>
      <c r="AC1905">
        <v>0</v>
      </c>
      <c r="AD1905">
        <v>127610740</v>
      </c>
      <c r="AE1905">
        <v>111009.84</v>
      </c>
      <c r="AF1905">
        <v>104963419.79000001</v>
      </c>
      <c r="AG1905">
        <v>104963419.79000001</v>
      </c>
      <c r="AH1905">
        <v>0.90287799999999996</v>
      </c>
      <c r="AI1905">
        <v>0.90287799999999996</v>
      </c>
    </row>
    <row r="1906" spans="13:35" x14ac:dyDescent="0.35">
      <c r="M1906" t="s">
        <v>2</v>
      </c>
      <c r="N1906">
        <v>3250</v>
      </c>
      <c r="O1906">
        <v>36</v>
      </c>
      <c r="P1906">
        <v>30</v>
      </c>
      <c r="Q1906">
        <v>0</v>
      </c>
      <c r="R1906">
        <v>536454071</v>
      </c>
      <c r="S1906">
        <v>1075411.26</v>
      </c>
      <c r="T1906">
        <v>535378659.74000001</v>
      </c>
      <c r="U1906">
        <v>535378659.74000001</v>
      </c>
      <c r="V1906">
        <v>0</v>
      </c>
      <c r="W1906">
        <v>0</v>
      </c>
      <c r="Y1906" t="s">
        <v>1</v>
      </c>
      <c r="Z1906">
        <v>2000</v>
      </c>
      <c r="AA1906">
        <v>36</v>
      </c>
      <c r="AB1906">
        <v>1</v>
      </c>
      <c r="AC1906">
        <v>0</v>
      </c>
      <c r="AD1906">
        <v>37916981</v>
      </c>
      <c r="AE1906">
        <v>91632.87</v>
      </c>
      <c r="AF1906">
        <v>37825348.130000003</v>
      </c>
      <c r="AG1906">
        <v>37825348.130000003</v>
      </c>
      <c r="AH1906">
        <v>0</v>
      </c>
      <c r="AI1906">
        <v>0</v>
      </c>
    </row>
    <row r="1907" spans="13:35" x14ac:dyDescent="0.35">
      <c r="M1907" t="s">
        <v>2</v>
      </c>
      <c r="N1907">
        <v>3750</v>
      </c>
      <c r="O1907">
        <v>36</v>
      </c>
      <c r="P1907">
        <v>39</v>
      </c>
      <c r="Q1907">
        <v>0</v>
      </c>
      <c r="R1907">
        <v>535428524</v>
      </c>
      <c r="S1907">
        <v>1012134.82</v>
      </c>
      <c r="T1907">
        <v>534416389.18000001</v>
      </c>
      <c r="U1907">
        <v>534416389.18000001</v>
      </c>
      <c r="V1907">
        <v>0</v>
      </c>
      <c r="W1907">
        <v>0</v>
      </c>
      <c r="Y1907" t="s">
        <v>2</v>
      </c>
      <c r="Z1907">
        <v>2750</v>
      </c>
      <c r="AA1907">
        <v>36</v>
      </c>
      <c r="AB1907">
        <v>31</v>
      </c>
      <c r="AC1907">
        <v>0</v>
      </c>
      <c r="AD1907">
        <v>652175219</v>
      </c>
      <c r="AE1907">
        <v>1408257.58</v>
      </c>
      <c r="AF1907">
        <v>650766961.41999996</v>
      </c>
      <c r="AG1907">
        <v>650766961.41999996</v>
      </c>
      <c r="AH1907">
        <v>0</v>
      </c>
      <c r="AI1907">
        <v>0</v>
      </c>
    </row>
    <row r="1908" spans="13:35" x14ac:dyDescent="0.35">
      <c r="M1908" t="s">
        <v>2</v>
      </c>
      <c r="N1908">
        <v>4000</v>
      </c>
      <c r="O1908">
        <v>36</v>
      </c>
      <c r="P1908">
        <v>25</v>
      </c>
      <c r="Q1908">
        <v>0</v>
      </c>
      <c r="R1908">
        <v>411665950</v>
      </c>
      <c r="S1908">
        <v>745374.12</v>
      </c>
      <c r="T1908">
        <v>410920575.88</v>
      </c>
      <c r="U1908">
        <v>410920575.88</v>
      </c>
      <c r="V1908">
        <v>0</v>
      </c>
      <c r="W1908">
        <v>0</v>
      </c>
      <c r="Y1908" t="s">
        <v>2</v>
      </c>
      <c r="Z1908">
        <v>3000</v>
      </c>
      <c r="AA1908">
        <v>36</v>
      </c>
      <c r="AB1908">
        <v>33</v>
      </c>
      <c r="AC1908">
        <v>0</v>
      </c>
      <c r="AD1908">
        <v>579985927</v>
      </c>
      <c r="AE1908">
        <v>1220158.9099999999</v>
      </c>
      <c r="AF1908">
        <v>578765768.09000003</v>
      </c>
      <c r="AG1908">
        <v>578765768.09000003</v>
      </c>
      <c r="AH1908">
        <v>0</v>
      </c>
      <c r="AI1908">
        <v>0</v>
      </c>
    </row>
    <row r="1909" spans="13:35" x14ac:dyDescent="0.35">
      <c r="M1909" t="s">
        <v>2</v>
      </c>
      <c r="N1909">
        <v>4500</v>
      </c>
      <c r="O1909">
        <v>36</v>
      </c>
      <c r="P1909">
        <v>35</v>
      </c>
      <c r="Q1909">
        <v>0</v>
      </c>
      <c r="R1909">
        <v>683085941</v>
      </c>
      <c r="S1909">
        <v>1094786.9099999999</v>
      </c>
      <c r="T1909">
        <v>681991154.09000003</v>
      </c>
      <c r="U1909">
        <v>681991154.09000003</v>
      </c>
      <c r="V1909">
        <v>0</v>
      </c>
      <c r="W1909">
        <v>0</v>
      </c>
      <c r="Y1909" t="s">
        <v>0</v>
      </c>
      <c r="Z1909">
        <v>2750</v>
      </c>
      <c r="AA1909">
        <v>36</v>
      </c>
      <c r="AB1909">
        <v>10</v>
      </c>
      <c r="AC1909">
        <v>0</v>
      </c>
      <c r="AD1909">
        <v>288612675</v>
      </c>
      <c r="AE1909">
        <v>612219.43000000005</v>
      </c>
      <c r="AF1909">
        <v>288000455.56999999</v>
      </c>
      <c r="AG1909">
        <v>288000455.56999999</v>
      </c>
      <c r="AH1909">
        <v>0</v>
      </c>
      <c r="AI1909">
        <v>0</v>
      </c>
    </row>
    <row r="1910" spans="13:35" x14ac:dyDescent="0.35">
      <c r="M1910" t="s">
        <v>3</v>
      </c>
      <c r="N1910">
        <v>5500</v>
      </c>
      <c r="O1910">
        <v>36</v>
      </c>
      <c r="P1910">
        <v>10</v>
      </c>
      <c r="Q1910">
        <v>0</v>
      </c>
      <c r="R1910">
        <v>290610814</v>
      </c>
      <c r="S1910">
        <v>387456.03</v>
      </c>
      <c r="T1910">
        <v>290223357.97000003</v>
      </c>
      <c r="U1910">
        <v>290223357.97000003</v>
      </c>
      <c r="V1910">
        <v>0</v>
      </c>
      <c r="W1910">
        <v>0</v>
      </c>
      <c r="Y1910" t="s">
        <v>0</v>
      </c>
      <c r="Z1910">
        <v>3250</v>
      </c>
      <c r="AA1910">
        <v>36</v>
      </c>
      <c r="AB1910">
        <v>27</v>
      </c>
      <c r="AC1910">
        <v>0</v>
      </c>
      <c r="AD1910">
        <v>623311474</v>
      </c>
      <c r="AE1910">
        <v>1199135.06</v>
      </c>
      <c r="AF1910">
        <v>611706643.13999999</v>
      </c>
      <c r="AG1910">
        <v>611706643.13999999</v>
      </c>
      <c r="AH1910">
        <v>0.182923</v>
      </c>
      <c r="AI1910">
        <v>0.182923</v>
      </c>
    </row>
    <row r="1911" spans="13:35" x14ac:dyDescent="0.35">
      <c r="M1911" t="s">
        <v>3</v>
      </c>
      <c r="N1911">
        <v>5250</v>
      </c>
      <c r="O1911">
        <v>36</v>
      </c>
      <c r="P1911">
        <v>4</v>
      </c>
      <c r="Q1911">
        <v>0</v>
      </c>
      <c r="R1911">
        <v>95393373</v>
      </c>
      <c r="S1911">
        <v>133430.15</v>
      </c>
      <c r="T1911">
        <v>95259942.849999994</v>
      </c>
      <c r="U1911">
        <v>95259942.849999994</v>
      </c>
      <c r="V1911">
        <v>0</v>
      </c>
      <c r="W1911">
        <v>0</v>
      </c>
      <c r="Y1911" t="s">
        <v>2</v>
      </c>
      <c r="Z1911">
        <v>3250</v>
      </c>
      <c r="AA1911">
        <v>36</v>
      </c>
      <c r="AB1911">
        <v>37</v>
      </c>
      <c r="AC1911">
        <v>0</v>
      </c>
      <c r="AD1911">
        <v>627661815</v>
      </c>
      <c r="AE1911">
        <v>1256363.68</v>
      </c>
      <c r="AF1911">
        <v>615607129.82000005</v>
      </c>
      <c r="AG1911">
        <v>615607129.82000005</v>
      </c>
      <c r="AH1911">
        <v>0.18799199999999999</v>
      </c>
      <c r="AI1911">
        <v>0.18799199999999999</v>
      </c>
    </row>
    <row r="1912" spans="13:35" x14ac:dyDescent="0.35">
      <c r="M1912" t="s">
        <v>0</v>
      </c>
      <c r="N1912">
        <v>2000</v>
      </c>
      <c r="O1912">
        <v>36</v>
      </c>
      <c r="P1912">
        <v>2</v>
      </c>
      <c r="Q1912">
        <v>0</v>
      </c>
      <c r="R1912">
        <v>71575688</v>
      </c>
      <c r="S1912">
        <v>164871.95000000001</v>
      </c>
      <c r="T1912">
        <v>71410816.049999997</v>
      </c>
      <c r="U1912">
        <v>71410816.049999997</v>
      </c>
      <c r="V1912">
        <v>0</v>
      </c>
      <c r="W1912">
        <v>0</v>
      </c>
      <c r="Y1912" t="s">
        <v>2</v>
      </c>
      <c r="Z1912">
        <v>3750</v>
      </c>
      <c r="AA1912">
        <v>36</v>
      </c>
      <c r="AB1912">
        <v>42</v>
      </c>
      <c r="AC1912">
        <v>0</v>
      </c>
      <c r="AD1912">
        <v>564953351</v>
      </c>
      <c r="AE1912">
        <v>1065567.2</v>
      </c>
      <c r="AF1912">
        <v>563887783.79999995</v>
      </c>
      <c r="AG1912">
        <v>563887783.79999995</v>
      </c>
      <c r="AH1912">
        <v>0</v>
      </c>
      <c r="AI1912">
        <v>0</v>
      </c>
    </row>
    <row r="1913" spans="13:35" x14ac:dyDescent="0.35">
      <c r="M1913" t="s">
        <v>2</v>
      </c>
      <c r="N1913">
        <v>2500</v>
      </c>
      <c r="O1913">
        <v>36</v>
      </c>
      <c r="P1913">
        <v>6</v>
      </c>
      <c r="Q1913">
        <v>0</v>
      </c>
      <c r="R1913">
        <v>111404598</v>
      </c>
      <c r="S1913">
        <v>250485.73</v>
      </c>
      <c r="T1913">
        <v>111154112.27</v>
      </c>
      <c r="U1913">
        <v>111154112.27</v>
      </c>
      <c r="V1913">
        <v>0</v>
      </c>
      <c r="W1913">
        <v>0</v>
      </c>
      <c r="Y1913" t="s">
        <v>1</v>
      </c>
      <c r="Z1913">
        <v>3750</v>
      </c>
      <c r="AA1913">
        <v>36</v>
      </c>
      <c r="AB1913">
        <v>117</v>
      </c>
      <c r="AC1913">
        <v>0</v>
      </c>
      <c r="AD1913">
        <v>3914003301</v>
      </c>
      <c r="AE1913">
        <v>7176338.2699999996</v>
      </c>
      <c r="AF1913">
        <v>3906826962.73</v>
      </c>
      <c r="AG1913">
        <v>3906826962.73</v>
      </c>
      <c r="AH1913">
        <v>0</v>
      </c>
      <c r="AI1913">
        <v>0</v>
      </c>
    </row>
    <row r="1914" spans="13:35" x14ac:dyDescent="0.35">
      <c r="M1914" t="s">
        <v>0</v>
      </c>
      <c r="N1914">
        <v>2750</v>
      </c>
      <c r="O1914">
        <v>36</v>
      </c>
      <c r="P1914">
        <v>9</v>
      </c>
      <c r="Q1914">
        <v>0</v>
      </c>
      <c r="R1914">
        <v>262883026</v>
      </c>
      <c r="S1914">
        <v>559567.82999999996</v>
      </c>
      <c r="T1914">
        <v>262323458.16999999</v>
      </c>
      <c r="U1914">
        <v>262323458.16999999</v>
      </c>
      <c r="V1914">
        <v>0</v>
      </c>
      <c r="W1914">
        <v>0</v>
      </c>
      <c r="Y1914" t="s">
        <v>2</v>
      </c>
      <c r="Z1914">
        <v>4500</v>
      </c>
      <c r="AA1914">
        <v>36</v>
      </c>
      <c r="AB1914">
        <v>46</v>
      </c>
      <c r="AC1914">
        <v>0</v>
      </c>
      <c r="AD1914">
        <v>924004921</v>
      </c>
      <c r="AE1914">
        <v>1500201.51</v>
      </c>
      <c r="AF1914">
        <v>922504719.49000001</v>
      </c>
      <c r="AG1914">
        <v>922504719.49000001</v>
      </c>
      <c r="AH1914">
        <v>0</v>
      </c>
      <c r="AI1914">
        <v>0</v>
      </c>
    </row>
    <row r="1915" spans="13:35" x14ac:dyDescent="0.35">
      <c r="M1915" t="s">
        <v>2</v>
      </c>
      <c r="N1915">
        <v>2250</v>
      </c>
      <c r="O1915">
        <v>36</v>
      </c>
      <c r="P1915">
        <v>1</v>
      </c>
      <c r="Q1915">
        <v>0</v>
      </c>
      <c r="R1915">
        <v>11864130</v>
      </c>
      <c r="S1915">
        <v>28619.22</v>
      </c>
      <c r="T1915">
        <v>11835510.779999999</v>
      </c>
      <c r="U1915">
        <v>11835510.779999999</v>
      </c>
      <c r="V1915">
        <v>0</v>
      </c>
      <c r="W1915">
        <v>0</v>
      </c>
      <c r="Y1915" t="s">
        <v>2</v>
      </c>
      <c r="Z1915">
        <v>2500</v>
      </c>
      <c r="AA1915">
        <v>36</v>
      </c>
      <c r="AB1915">
        <v>6</v>
      </c>
      <c r="AC1915">
        <v>0</v>
      </c>
      <c r="AD1915">
        <v>91631372</v>
      </c>
      <c r="AE1915">
        <v>208666.19</v>
      </c>
      <c r="AF1915">
        <v>91422705.810000002</v>
      </c>
      <c r="AG1915">
        <v>91422705.810000002</v>
      </c>
      <c r="AH1915">
        <v>0</v>
      </c>
      <c r="AI1915">
        <v>0</v>
      </c>
    </row>
    <row r="1916" spans="13:35" x14ac:dyDescent="0.35">
      <c r="M1916" t="s">
        <v>0</v>
      </c>
      <c r="N1916">
        <v>3250</v>
      </c>
      <c r="O1916">
        <v>36</v>
      </c>
      <c r="P1916">
        <v>22</v>
      </c>
      <c r="Q1916">
        <v>0</v>
      </c>
      <c r="R1916">
        <v>510403343</v>
      </c>
      <c r="S1916">
        <v>983563.41</v>
      </c>
      <c r="T1916">
        <v>509419779.58999997</v>
      </c>
      <c r="U1916">
        <v>509419779.58999997</v>
      </c>
      <c r="V1916">
        <v>0</v>
      </c>
      <c r="W1916">
        <v>0</v>
      </c>
      <c r="Y1916" t="s">
        <v>2</v>
      </c>
      <c r="Z1916">
        <v>4000</v>
      </c>
      <c r="AA1916">
        <v>36</v>
      </c>
      <c r="AB1916">
        <v>29</v>
      </c>
      <c r="AC1916">
        <v>0</v>
      </c>
      <c r="AD1916">
        <v>426327238</v>
      </c>
      <c r="AE1916">
        <v>772600.72</v>
      </c>
      <c r="AF1916">
        <v>425554637.27999997</v>
      </c>
      <c r="AG1916">
        <v>425554637.27999997</v>
      </c>
      <c r="AH1916">
        <v>0</v>
      </c>
      <c r="AI1916">
        <v>0</v>
      </c>
    </row>
    <row r="1917" spans="13:35" x14ac:dyDescent="0.35">
      <c r="M1917" t="s">
        <v>3</v>
      </c>
      <c r="N1917">
        <v>5000</v>
      </c>
      <c r="O1917">
        <v>36</v>
      </c>
      <c r="P1917">
        <v>2</v>
      </c>
      <c r="Q1917">
        <v>0</v>
      </c>
      <c r="R1917">
        <v>25519628</v>
      </c>
      <c r="S1917">
        <v>37631.379999999997</v>
      </c>
      <c r="T1917">
        <v>25481996.620000001</v>
      </c>
      <c r="U1917">
        <v>25481996.620000001</v>
      </c>
      <c r="V1917">
        <v>0</v>
      </c>
      <c r="W1917">
        <v>0</v>
      </c>
      <c r="Y1917" t="s">
        <v>3</v>
      </c>
      <c r="Z1917">
        <v>4750</v>
      </c>
      <c r="AA1917">
        <v>36</v>
      </c>
      <c r="AB1917">
        <v>1</v>
      </c>
      <c r="AC1917">
        <v>0</v>
      </c>
      <c r="AD1917">
        <v>19388864</v>
      </c>
      <c r="AE1917">
        <v>29557.8</v>
      </c>
      <c r="AF1917">
        <v>19359306.199999999</v>
      </c>
      <c r="AG1917">
        <v>19359306.199999999</v>
      </c>
      <c r="AH1917">
        <v>0</v>
      </c>
      <c r="AI1917">
        <v>0</v>
      </c>
    </row>
    <row r="1918" spans="13:35" x14ac:dyDescent="0.35">
      <c r="M1918" t="s">
        <v>2</v>
      </c>
      <c r="N1918">
        <v>7250</v>
      </c>
      <c r="O1918">
        <v>60</v>
      </c>
      <c r="P1918">
        <v>1</v>
      </c>
      <c r="Q1918">
        <v>0</v>
      </c>
      <c r="R1918">
        <v>6586688</v>
      </c>
      <c r="S1918">
        <v>7693.19</v>
      </c>
      <c r="T1918">
        <v>6578994.8099999996</v>
      </c>
      <c r="U1918">
        <v>6578994.8099999996</v>
      </c>
      <c r="V1918">
        <v>0</v>
      </c>
      <c r="W1918">
        <v>0</v>
      </c>
      <c r="Y1918" t="s">
        <v>3</v>
      </c>
      <c r="Z1918">
        <v>5500</v>
      </c>
      <c r="AA1918">
        <v>36</v>
      </c>
      <c r="AB1918">
        <v>10</v>
      </c>
      <c r="AC1918">
        <v>0</v>
      </c>
      <c r="AD1918">
        <v>291097048</v>
      </c>
      <c r="AE1918">
        <v>385830.28</v>
      </c>
      <c r="AF1918">
        <v>290711217.72000003</v>
      </c>
      <c r="AG1918">
        <v>290711217.72000003</v>
      </c>
      <c r="AH1918">
        <v>0</v>
      </c>
      <c r="AI1918">
        <v>0</v>
      </c>
    </row>
    <row r="1919" spans="13:35" x14ac:dyDescent="0.35">
      <c r="M1919" t="s">
        <v>2</v>
      </c>
      <c r="N1919">
        <v>2000</v>
      </c>
      <c r="O1919">
        <v>108</v>
      </c>
      <c r="P1919">
        <v>1</v>
      </c>
      <c r="Q1919">
        <v>0</v>
      </c>
      <c r="R1919">
        <v>12035069</v>
      </c>
      <c r="S1919">
        <v>37195.660000000003</v>
      </c>
      <c r="T1919">
        <v>0</v>
      </c>
      <c r="U1919">
        <v>0</v>
      </c>
      <c r="V1919">
        <v>1</v>
      </c>
      <c r="W1919">
        <v>1</v>
      </c>
      <c r="Y1919" t="s">
        <v>0</v>
      </c>
      <c r="Z1919">
        <v>2000</v>
      </c>
      <c r="AA1919">
        <v>36</v>
      </c>
      <c r="AB1919">
        <v>2</v>
      </c>
      <c r="AC1919">
        <v>0</v>
      </c>
      <c r="AD1919">
        <v>71740718</v>
      </c>
      <c r="AE1919">
        <v>164598.60999999999</v>
      </c>
      <c r="AF1919">
        <v>71576119.390000001</v>
      </c>
      <c r="AG1919">
        <v>71576119.390000001</v>
      </c>
      <c r="AH1919">
        <v>0</v>
      </c>
      <c r="AI1919">
        <v>0</v>
      </c>
    </row>
    <row r="1920" spans="13:35" x14ac:dyDescent="0.35">
      <c r="M1920" t="s">
        <v>0</v>
      </c>
      <c r="N1920">
        <v>2500</v>
      </c>
      <c r="O1920">
        <v>36</v>
      </c>
      <c r="P1920">
        <v>2</v>
      </c>
      <c r="Q1920">
        <v>0</v>
      </c>
      <c r="R1920">
        <v>60172333</v>
      </c>
      <c r="S1920">
        <v>131253.6</v>
      </c>
      <c r="T1920">
        <v>60041079.399999999</v>
      </c>
      <c r="U1920">
        <v>60041079.399999999</v>
      </c>
      <c r="V1920">
        <v>0</v>
      </c>
      <c r="W1920">
        <v>0</v>
      </c>
      <c r="Y1920" t="s">
        <v>2</v>
      </c>
      <c r="Z1920">
        <v>2250</v>
      </c>
      <c r="AA1920">
        <v>36</v>
      </c>
      <c r="AB1920">
        <v>1</v>
      </c>
      <c r="AC1920">
        <v>0</v>
      </c>
      <c r="AD1920">
        <v>11864130</v>
      </c>
      <c r="AE1920">
        <v>28497.040000000001</v>
      </c>
      <c r="AF1920">
        <v>11835632.960000001</v>
      </c>
      <c r="AG1920">
        <v>11835632.960000001</v>
      </c>
      <c r="AH1920">
        <v>0</v>
      </c>
      <c r="AI1920">
        <v>0</v>
      </c>
    </row>
    <row r="1921" spans="13:35" x14ac:dyDescent="0.35">
      <c r="M1921" t="s">
        <v>0</v>
      </c>
      <c r="N1921">
        <v>9000</v>
      </c>
      <c r="O1921">
        <v>42</v>
      </c>
      <c r="P1921">
        <v>1</v>
      </c>
      <c r="Q1921">
        <v>0</v>
      </c>
      <c r="R1921">
        <v>19627179</v>
      </c>
      <c r="S1921">
        <v>15527.44</v>
      </c>
      <c r="T1921">
        <v>19611651.559999999</v>
      </c>
      <c r="U1921">
        <v>19611651.559999999</v>
      </c>
      <c r="V1921">
        <v>0</v>
      </c>
      <c r="W1921">
        <v>0</v>
      </c>
      <c r="Y1921" t="s">
        <v>3</v>
      </c>
      <c r="Z1921">
        <v>5000</v>
      </c>
      <c r="AA1921">
        <v>36</v>
      </c>
      <c r="AB1921">
        <v>2</v>
      </c>
      <c r="AC1921">
        <v>0</v>
      </c>
      <c r="AD1921">
        <v>25557220</v>
      </c>
      <c r="AE1921">
        <v>37477.89</v>
      </c>
      <c r="AF1921">
        <v>25519742.109999999</v>
      </c>
      <c r="AG1921">
        <v>25519742.109999999</v>
      </c>
      <c r="AH1921">
        <v>0</v>
      </c>
      <c r="AI1921">
        <v>0</v>
      </c>
    </row>
    <row r="1922" spans="13:35" x14ac:dyDescent="0.35">
      <c r="M1922" t="s">
        <v>1</v>
      </c>
      <c r="N1922">
        <v>9000</v>
      </c>
      <c r="O1922">
        <v>36</v>
      </c>
      <c r="P1922">
        <v>1</v>
      </c>
      <c r="Q1922">
        <v>0</v>
      </c>
      <c r="R1922">
        <v>36830523</v>
      </c>
      <c r="S1922">
        <v>27824.560000000001</v>
      </c>
      <c r="T1922">
        <v>36802698.439999998</v>
      </c>
      <c r="U1922">
        <v>36802698.439999998</v>
      </c>
      <c r="V1922">
        <v>0</v>
      </c>
      <c r="W1922">
        <v>0</v>
      </c>
      <c r="Y1922" t="s">
        <v>2</v>
      </c>
      <c r="Z1922">
        <v>7250</v>
      </c>
      <c r="AA1922">
        <v>54</v>
      </c>
      <c r="AB1922">
        <v>1</v>
      </c>
      <c r="AC1922">
        <v>0</v>
      </c>
      <c r="AD1922">
        <v>6597183</v>
      </c>
      <c r="AE1922">
        <v>7651.09</v>
      </c>
      <c r="AF1922">
        <v>6589531.9100000001</v>
      </c>
      <c r="AG1922">
        <v>6589531.9100000001</v>
      </c>
      <c r="AH1922">
        <v>0</v>
      </c>
      <c r="AI1922">
        <v>0</v>
      </c>
    </row>
    <row r="1923" spans="13:35" x14ac:dyDescent="0.35">
      <c r="M1923" t="s">
        <v>0</v>
      </c>
      <c r="N1923">
        <v>2250</v>
      </c>
      <c r="O1923">
        <v>36</v>
      </c>
      <c r="P1923">
        <v>2</v>
      </c>
      <c r="Q1923">
        <v>0</v>
      </c>
      <c r="R1923">
        <v>44515894</v>
      </c>
      <c r="S1923">
        <v>98063.42</v>
      </c>
      <c r="T1923">
        <v>44417830.579999998</v>
      </c>
      <c r="U1923">
        <v>44417830.579999998</v>
      </c>
      <c r="V1923">
        <v>0</v>
      </c>
      <c r="W1923">
        <v>0</v>
      </c>
      <c r="Y1923" t="s">
        <v>2</v>
      </c>
      <c r="Z1923">
        <v>2000</v>
      </c>
      <c r="AA1923">
        <v>108</v>
      </c>
      <c r="AB1923">
        <v>1</v>
      </c>
      <c r="AC1923">
        <v>0</v>
      </c>
      <c r="AD1923">
        <v>12035069</v>
      </c>
      <c r="AE1923">
        <v>37019.54</v>
      </c>
      <c r="AF1923">
        <v>11998049.460000001</v>
      </c>
      <c r="AG1923">
        <v>11998049.460000001</v>
      </c>
      <c r="AH1923">
        <v>0</v>
      </c>
      <c r="AI1923">
        <v>0</v>
      </c>
    </row>
    <row r="1924" spans="13:35" x14ac:dyDescent="0.35">
      <c r="M1924" t="s">
        <v>1</v>
      </c>
      <c r="N1924">
        <v>4000</v>
      </c>
      <c r="O1924">
        <v>30</v>
      </c>
      <c r="P1924">
        <v>79</v>
      </c>
      <c r="Q1924">
        <v>0</v>
      </c>
      <c r="R1924">
        <v>2820005348</v>
      </c>
      <c r="S1924">
        <v>4764346.12</v>
      </c>
      <c r="T1924">
        <v>2794871620.8400002</v>
      </c>
      <c r="U1924">
        <v>2794871620.8400002</v>
      </c>
      <c r="V1924">
        <v>8.3316000000000001E-2</v>
      </c>
      <c r="W1924">
        <v>8.3316000000000001E-2</v>
      </c>
      <c r="Y1924" t="s">
        <v>0</v>
      </c>
      <c r="Z1924">
        <v>2500</v>
      </c>
      <c r="AA1924">
        <v>36</v>
      </c>
      <c r="AB1924">
        <v>2</v>
      </c>
      <c r="AC1924">
        <v>0</v>
      </c>
      <c r="AD1924">
        <v>60303676</v>
      </c>
      <c r="AE1924">
        <v>130995.1</v>
      </c>
      <c r="AF1924">
        <v>60172680.899999999</v>
      </c>
      <c r="AG1924">
        <v>60172680.899999999</v>
      </c>
      <c r="AH1924">
        <v>0</v>
      </c>
      <c r="AI1924">
        <v>0</v>
      </c>
    </row>
    <row r="1925" spans="13:35" x14ac:dyDescent="0.35">
      <c r="M1925" t="s">
        <v>1</v>
      </c>
      <c r="N1925">
        <v>2250</v>
      </c>
      <c r="O1925">
        <v>30</v>
      </c>
      <c r="P1925">
        <v>25</v>
      </c>
      <c r="Q1925">
        <v>0</v>
      </c>
      <c r="R1925">
        <v>1010380766</v>
      </c>
      <c r="S1925">
        <v>2378582.2000000002</v>
      </c>
      <c r="T1925">
        <v>1008002183.8</v>
      </c>
      <c r="U1925">
        <v>1008002183.8</v>
      </c>
      <c r="V1925">
        <v>0</v>
      </c>
      <c r="W1925">
        <v>0</v>
      </c>
      <c r="Y1925" t="s">
        <v>0</v>
      </c>
      <c r="Z1925">
        <v>9000</v>
      </c>
      <c r="AA1925">
        <v>42</v>
      </c>
      <c r="AB1925">
        <v>1</v>
      </c>
      <c r="AC1925">
        <v>0</v>
      </c>
      <c r="AD1925">
        <v>19692633</v>
      </c>
      <c r="AE1925">
        <v>15453.8</v>
      </c>
      <c r="AF1925">
        <v>19677179.199999999</v>
      </c>
      <c r="AG1925">
        <v>19677179.199999999</v>
      </c>
      <c r="AH1925">
        <v>0</v>
      </c>
      <c r="AI1925">
        <v>0</v>
      </c>
    </row>
    <row r="1926" spans="13:35" x14ac:dyDescent="0.35">
      <c r="M1926" t="s">
        <v>1</v>
      </c>
      <c r="N1926">
        <v>2750</v>
      </c>
      <c r="O1926">
        <v>30</v>
      </c>
      <c r="P1926">
        <v>15</v>
      </c>
      <c r="Q1926">
        <v>0</v>
      </c>
      <c r="R1926">
        <v>607085006</v>
      </c>
      <c r="S1926">
        <v>1299465.6100000001</v>
      </c>
      <c r="T1926">
        <v>605785540.38999999</v>
      </c>
      <c r="U1926">
        <v>605785540.38999999</v>
      </c>
      <c r="V1926">
        <v>0</v>
      </c>
      <c r="W1926">
        <v>0</v>
      </c>
      <c r="Y1926" t="s">
        <v>1</v>
      </c>
      <c r="Z1926">
        <v>8250</v>
      </c>
      <c r="AA1926">
        <v>36</v>
      </c>
      <c r="AB1926">
        <v>3</v>
      </c>
      <c r="AC1926">
        <v>0</v>
      </c>
      <c r="AD1926">
        <v>71453437</v>
      </c>
      <c r="AE1926">
        <v>57696.79</v>
      </c>
      <c r="AF1926">
        <v>58809090.479999997</v>
      </c>
      <c r="AG1926">
        <v>71395740.209999993</v>
      </c>
      <c r="AH1926">
        <v>0.90223900000000001</v>
      </c>
      <c r="AI1926">
        <v>0</v>
      </c>
    </row>
    <row r="1927" spans="13:35" x14ac:dyDescent="0.35">
      <c r="M1927" t="s">
        <v>2</v>
      </c>
      <c r="N1927">
        <v>2750</v>
      </c>
      <c r="O1927">
        <v>30</v>
      </c>
      <c r="P1927">
        <v>19</v>
      </c>
      <c r="Q1927">
        <v>0</v>
      </c>
      <c r="R1927">
        <v>334159892</v>
      </c>
      <c r="S1927">
        <v>707651.15</v>
      </c>
      <c r="T1927">
        <v>284140640.07999998</v>
      </c>
      <c r="U1927">
        <v>313635534.49000001</v>
      </c>
      <c r="V1927">
        <v>0.85279899999999997</v>
      </c>
      <c r="W1927">
        <v>0.51982799999999996</v>
      </c>
      <c r="Y1927" t="s">
        <v>1</v>
      </c>
      <c r="Z1927">
        <v>9000</v>
      </c>
      <c r="AA1927">
        <v>36</v>
      </c>
      <c r="AB1927">
        <v>1</v>
      </c>
      <c r="AC1927">
        <v>0</v>
      </c>
      <c r="AD1927">
        <v>36830523</v>
      </c>
      <c r="AE1927">
        <v>27603.81</v>
      </c>
      <c r="AF1927">
        <v>36802919.189999998</v>
      </c>
      <c r="AG1927">
        <v>36802919.189999998</v>
      </c>
      <c r="AH1927">
        <v>0</v>
      </c>
      <c r="AI1927">
        <v>0</v>
      </c>
    </row>
    <row r="1928" spans="13:35" x14ac:dyDescent="0.35">
      <c r="M1928" t="s">
        <v>1</v>
      </c>
      <c r="N1928">
        <v>3500</v>
      </c>
      <c r="O1928">
        <v>30</v>
      </c>
      <c r="P1928">
        <v>33</v>
      </c>
      <c r="Q1928">
        <v>0</v>
      </c>
      <c r="R1928">
        <v>1040496159</v>
      </c>
      <c r="S1928">
        <v>1975331.22</v>
      </c>
      <c r="T1928">
        <v>1009411343.41</v>
      </c>
      <c r="U1928">
        <v>1009411343.41</v>
      </c>
      <c r="V1928">
        <v>0.28858800000000001</v>
      </c>
      <c r="W1928">
        <v>0.28858800000000001</v>
      </c>
      <c r="Y1928" t="s">
        <v>1</v>
      </c>
      <c r="Z1928">
        <v>2250</v>
      </c>
      <c r="AA1928">
        <v>30</v>
      </c>
      <c r="AB1928">
        <v>25</v>
      </c>
      <c r="AC1928">
        <v>0</v>
      </c>
      <c r="AD1928">
        <v>977108226</v>
      </c>
      <c r="AE1928">
        <v>2284266.87</v>
      </c>
      <c r="AF1928">
        <v>974823959.13</v>
      </c>
      <c r="AG1928">
        <v>974823959.13</v>
      </c>
      <c r="AH1928">
        <v>0</v>
      </c>
      <c r="AI1928">
        <v>0</v>
      </c>
    </row>
    <row r="1929" spans="13:35" x14ac:dyDescent="0.35">
      <c r="M1929" t="s">
        <v>0</v>
      </c>
      <c r="N1929">
        <v>3250</v>
      </c>
      <c r="O1929">
        <v>30</v>
      </c>
      <c r="P1929">
        <v>7</v>
      </c>
      <c r="Q1929">
        <v>0</v>
      </c>
      <c r="R1929">
        <v>163118020</v>
      </c>
      <c r="S1929">
        <v>302923.86</v>
      </c>
      <c r="T1929">
        <v>162815096.13999999</v>
      </c>
      <c r="U1929">
        <v>162815096.13999999</v>
      </c>
      <c r="V1929">
        <v>0</v>
      </c>
      <c r="W1929">
        <v>0</v>
      </c>
      <c r="Y1929" t="s">
        <v>1</v>
      </c>
      <c r="Z1929">
        <v>2750</v>
      </c>
      <c r="AA1929">
        <v>30</v>
      </c>
      <c r="AB1929">
        <v>18</v>
      </c>
      <c r="AC1929">
        <v>0</v>
      </c>
      <c r="AD1929">
        <v>736469349</v>
      </c>
      <c r="AE1929">
        <v>1567112.77</v>
      </c>
      <c r="AF1929">
        <v>734902236.23000002</v>
      </c>
      <c r="AG1929">
        <v>734902236.23000002</v>
      </c>
      <c r="AH1929">
        <v>0</v>
      </c>
      <c r="AI1929">
        <v>0</v>
      </c>
    </row>
    <row r="1930" spans="13:35" x14ac:dyDescent="0.35">
      <c r="M1930" t="s">
        <v>2</v>
      </c>
      <c r="N1930">
        <v>3250</v>
      </c>
      <c r="O1930">
        <v>30</v>
      </c>
      <c r="P1930">
        <v>28</v>
      </c>
      <c r="Q1930">
        <v>0</v>
      </c>
      <c r="R1930">
        <v>489961422</v>
      </c>
      <c r="S1930">
        <v>966288.4</v>
      </c>
      <c r="T1930">
        <v>488995133.60000002</v>
      </c>
      <c r="U1930">
        <v>488995133.60000002</v>
      </c>
      <c r="V1930">
        <v>0</v>
      </c>
      <c r="W1930">
        <v>0</v>
      </c>
      <c r="Y1930" t="s">
        <v>0</v>
      </c>
      <c r="Z1930">
        <v>2250</v>
      </c>
      <c r="AA1930">
        <v>36</v>
      </c>
      <c r="AB1930">
        <v>1</v>
      </c>
      <c r="AC1930">
        <v>0</v>
      </c>
      <c r="AD1930">
        <v>11569987</v>
      </c>
      <c r="AE1930">
        <v>25460.39</v>
      </c>
      <c r="AF1930">
        <v>11544526.609999999</v>
      </c>
      <c r="AG1930">
        <v>11544526.609999999</v>
      </c>
      <c r="AH1930">
        <v>0</v>
      </c>
      <c r="AI1930">
        <v>0</v>
      </c>
    </row>
    <row r="1931" spans="13:35" x14ac:dyDescent="0.35">
      <c r="M1931" t="s">
        <v>0</v>
      </c>
      <c r="N1931">
        <v>3750</v>
      </c>
      <c r="O1931">
        <v>30</v>
      </c>
      <c r="P1931">
        <v>31</v>
      </c>
      <c r="Q1931">
        <v>0</v>
      </c>
      <c r="R1931">
        <v>1025843999</v>
      </c>
      <c r="S1931">
        <v>1771403.88</v>
      </c>
      <c r="T1931">
        <v>1024072595.12</v>
      </c>
      <c r="U1931">
        <v>1024072595.12</v>
      </c>
      <c r="V1931">
        <v>0</v>
      </c>
      <c r="W1931">
        <v>0</v>
      </c>
      <c r="Y1931" t="s">
        <v>0</v>
      </c>
      <c r="Z1931">
        <v>2250</v>
      </c>
      <c r="AA1931">
        <v>30</v>
      </c>
      <c r="AB1931">
        <v>3</v>
      </c>
      <c r="AC1931">
        <v>0</v>
      </c>
      <c r="AD1931">
        <v>101706515</v>
      </c>
      <c r="AE1931">
        <v>220939.26</v>
      </c>
      <c r="AF1931">
        <v>101485575.73999999</v>
      </c>
      <c r="AG1931">
        <v>101485575.73999999</v>
      </c>
      <c r="AH1931">
        <v>0</v>
      </c>
      <c r="AI1931">
        <v>0</v>
      </c>
    </row>
    <row r="1932" spans="13:35" x14ac:dyDescent="0.35">
      <c r="M1932" t="s">
        <v>0</v>
      </c>
      <c r="N1932">
        <v>4000</v>
      </c>
      <c r="O1932">
        <v>30</v>
      </c>
      <c r="P1932">
        <v>28</v>
      </c>
      <c r="Q1932">
        <v>0</v>
      </c>
      <c r="R1932">
        <v>910495701</v>
      </c>
      <c r="S1932">
        <v>1513086.77</v>
      </c>
      <c r="T1932">
        <v>908982614.23000002</v>
      </c>
      <c r="U1932">
        <v>908982614.23000002</v>
      </c>
      <c r="V1932">
        <v>0</v>
      </c>
      <c r="W1932">
        <v>0</v>
      </c>
      <c r="Y1932" t="s">
        <v>2</v>
      </c>
      <c r="Z1932">
        <v>2500</v>
      </c>
      <c r="AA1932">
        <v>30</v>
      </c>
      <c r="AB1932">
        <v>3</v>
      </c>
      <c r="AC1932">
        <v>0</v>
      </c>
      <c r="AD1932">
        <v>48291992</v>
      </c>
      <c r="AE1932">
        <v>102928.84</v>
      </c>
      <c r="AF1932">
        <v>48189063.159999996</v>
      </c>
      <c r="AG1932">
        <v>48189063.159999996</v>
      </c>
      <c r="AH1932">
        <v>0</v>
      </c>
      <c r="AI1932">
        <v>0</v>
      </c>
    </row>
    <row r="1933" spans="13:35" x14ac:dyDescent="0.35">
      <c r="M1933" t="s">
        <v>2</v>
      </c>
      <c r="N1933">
        <v>4000</v>
      </c>
      <c r="O1933">
        <v>30</v>
      </c>
      <c r="P1933">
        <v>18</v>
      </c>
      <c r="Q1933">
        <v>0</v>
      </c>
      <c r="R1933">
        <v>355760866</v>
      </c>
      <c r="S1933">
        <v>606523.07999999996</v>
      </c>
      <c r="T1933">
        <v>355154342.92000002</v>
      </c>
      <c r="U1933">
        <v>355154342.92000002</v>
      </c>
      <c r="V1933">
        <v>0</v>
      </c>
      <c r="W1933">
        <v>0</v>
      </c>
      <c r="Y1933" t="s">
        <v>0</v>
      </c>
      <c r="Z1933">
        <v>2750</v>
      </c>
      <c r="AA1933">
        <v>30</v>
      </c>
      <c r="AB1933">
        <v>4</v>
      </c>
      <c r="AC1933">
        <v>0</v>
      </c>
      <c r="AD1933">
        <v>108399396</v>
      </c>
      <c r="AE1933">
        <v>242489.01</v>
      </c>
      <c r="AF1933">
        <v>108156906.98999999</v>
      </c>
      <c r="AG1933">
        <v>108156906.98999999</v>
      </c>
      <c r="AH1933">
        <v>0</v>
      </c>
      <c r="AI1933">
        <v>0</v>
      </c>
    </row>
    <row r="1934" spans="13:35" x14ac:dyDescent="0.35">
      <c r="M1934" t="s">
        <v>1</v>
      </c>
      <c r="N1934">
        <v>4250</v>
      </c>
      <c r="O1934">
        <v>30</v>
      </c>
      <c r="P1934">
        <v>352</v>
      </c>
      <c r="Q1934">
        <v>0</v>
      </c>
      <c r="R1934">
        <v>10387403774</v>
      </c>
      <c r="S1934">
        <v>16527144.359999999</v>
      </c>
      <c r="T1934">
        <v>10288119737.559999</v>
      </c>
      <c r="U1934">
        <v>10313015107.85</v>
      </c>
      <c r="V1934">
        <v>9.1524999999999995E-2</v>
      </c>
      <c r="W1934">
        <v>6.4834000000000003E-2</v>
      </c>
      <c r="Y1934" t="s">
        <v>2</v>
      </c>
      <c r="Z1934">
        <v>2750</v>
      </c>
      <c r="AA1934">
        <v>30</v>
      </c>
      <c r="AB1934">
        <v>25</v>
      </c>
      <c r="AC1934">
        <v>0</v>
      </c>
      <c r="AD1934">
        <v>493557406</v>
      </c>
      <c r="AE1934">
        <v>1053555.92</v>
      </c>
      <c r="AF1934">
        <v>492503850.07999998</v>
      </c>
      <c r="AG1934">
        <v>492503850.07999998</v>
      </c>
      <c r="AH1934">
        <v>0</v>
      </c>
      <c r="AI1934">
        <v>0</v>
      </c>
    </row>
    <row r="1935" spans="13:35" x14ac:dyDescent="0.35">
      <c r="M1935" t="s">
        <v>1</v>
      </c>
      <c r="N1935">
        <v>4500</v>
      </c>
      <c r="O1935">
        <v>30</v>
      </c>
      <c r="P1935">
        <v>645</v>
      </c>
      <c r="Q1935">
        <v>0</v>
      </c>
      <c r="R1935">
        <v>21638363204</v>
      </c>
      <c r="S1935">
        <v>32967783.989999998</v>
      </c>
      <c r="T1935">
        <v>21526886388.299999</v>
      </c>
      <c r="U1935">
        <v>21526886388.299999</v>
      </c>
      <c r="V1935">
        <v>4.2680000000000003E-2</v>
      </c>
      <c r="W1935">
        <v>4.2680000000000003E-2</v>
      </c>
      <c r="Y1935" t="s">
        <v>2</v>
      </c>
      <c r="Z1935">
        <v>3000</v>
      </c>
      <c r="AA1935">
        <v>30</v>
      </c>
      <c r="AB1935">
        <v>15</v>
      </c>
      <c r="AC1935">
        <v>0</v>
      </c>
      <c r="AD1935">
        <v>271826478</v>
      </c>
      <c r="AE1935">
        <v>554211.4</v>
      </c>
      <c r="AF1935">
        <v>271272266.60000002</v>
      </c>
      <c r="AG1935">
        <v>271272266.60000002</v>
      </c>
      <c r="AH1935">
        <v>0</v>
      </c>
      <c r="AI1935">
        <v>0</v>
      </c>
    </row>
    <row r="1936" spans="13:35" x14ac:dyDescent="0.35">
      <c r="M1936" t="s">
        <v>0</v>
      </c>
      <c r="N1936">
        <v>4250</v>
      </c>
      <c r="O1936">
        <v>30</v>
      </c>
      <c r="P1936">
        <v>890</v>
      </c>
      <c r="Q1936">
        <v>0</v>
      </c>
      <c r="R1936">
        <v>24094612481</v>
      </c>
      <c r="S1936">
        <v>38044672.530000001</v>
      </c>
      <c r="T1936">
        <v>23988449157.080002</v>
      </c>
      <c r="U1936">
        <v>24034434503.290001</v>
      </c>
      <c r="V1936">
        <v>3.3403000000000002E-2</v>
      </c>
      <c r="W1936">
        <v>1.0968E-2</v>
      </c>
      <c r="Y1936" t="s">
        <v>2</v>
      </c>
      <c r="Z1936">
        <v>3750</v>
      </c>
      <c r="AA1936">
        <v>30</v>
      </c>
      <c r="AB1936">
        <v>26</v>
      </c>
      <c r="AC1936">
        <v>0</v>
      </c>
      <c r="AD1936">
        <v>445395248</v>
      </c>
      <c r="AE1936">
        <v>792345.77</v>
      </c>
      <c r="AF1936">
        <v>444602902.23000002</v>
      </c>
      <c r="AG1936">
        <v>444602902.23000002</v>
      </c>
      <c r="AH1936">
        <v>0</v>
      </c>
      <c r="AI1936">
        <v>0</v>
      </c>
    </row>
    <row r="1937" spans="13:35" x14ac:dyDescent="0.35">
      <c r="M1937" t="s">
        <v>2</v>
      </c>
      <c r="N1937">
        <v>4500</v>
      </c>
      <c r="O1937">
        <v>30</v>
      </c>
      <c r="P1937">
        <v>48</v>
      </c>
      <c r="Q1937">
        <v>0</v>
      </c>
      <c r="R1937">
        <v>1037608224</v>
      </c>
      <c r="S1937">
        <v>1584442.21</v>
      </c>
      <c r="T1937">
        <v>1036023781.79</v>
      </c>
      <c r="U1937">
        <v>1036023781.79</v>
      </c>
      <c r="V1937">
        <v>0</v>
      </c>
      <c r="W1937">
        <v>0</v>
      </c>
      <c r="Y1937" t="s">
        <v>0</v>
      </c>
      <c r="Z1937">
        <v>3500</v>
      </c>
      <c r="AA1937">
        <v>30</v>
      </c>
      <c r="AB1937">
        <v>11</v>
      </c>
      <c r="AC1937">
        <v>0</v>
      </c>
      <c r="AD1937">
        <v>296971586</v>
      </c>
      <c r="AE1937">
        <v>536325.59</v>
      </c>
      <c r="AF1937">
        <v>296435260.41000003</v>
      </c>
      <c r="AG1937">
        <v>296435260.41000003</v>
      </c>
      <c r="AH1937">
        <v>0</v>
      </c>
      <c r="AI1937">
        <v>0</v>
      </c>
    </row>
    <row r="1938" spans="13:35" x14ac:dyDescent="0.35">
      <c r="M1938" t="s">
        <v>1</v>
      </c>
      <c r="N1938">
        <v>3250</v>
      </c>
      <c r="O1938">
        <v>30</v>
      </c>
      <c r="P1938">
        <v>36</v>
      </c>
      <c r="Q1938">
        <v>0</v>
      </c>
      <c r="R1938">
        <v>1266854845</v>
      </c>
      <c r="S1938">
        <v>2450143.04</v>
      </c>
      <c r="T1938">
        <v>1213056727.03</v>
      </c>
      <c r="U1938">
        <v>1213056727.03</v>
      </c>
      <c r="V1938">
        <v>0.391351</v>
      </c>
      <c r="W1938">
        <v>0.391351</v>
      </c>
      <c r="Y1938" t="s">
        <v>0</v>
      </c>
      <c r="Z1938">
        <v>3750</v>
      </c>
      <c r="AA1938">
        <v>30</v>
      </c>
      <c r="AB1938">
        <v>36</v>
      </c>
      <c r="AC1938">
        <v>0</v>
      </c>
      <c r="AD1938">
        <v>1079833984</v>
      </c>
      <c r="AE1938">
        <v>1865213.84</v>
      </c>
      <c r="AF1938">
        <v>1077968770.1600001</v>
      </c>
      <c r="AG1938">
        <v>1077968770.1600001</v>
      </c>
      <c r="AH1938">
        <v>0</v>
      </c>
      <c r="AI1938">
        <v>0</v>
      </c>
    </row>
    <row r="1939" spans="13:35" x14ac:dyDescent="0.35">
      <c r="M1939" t="s">
        <v>2</v>
      </c>
      <c r="N1939">
        <v>3000</v>
      </c>
      <c r="O1939">
        <v>30</v>
      </c>
      <c r="P1939">
        <v>14</v>
      </c>
      <c r="Q1939">
        <v>0</v>
      </c>
      <c r="R1939">
        <v>250326416</v>
      </c>
      <c r="S1939">
        <v>511895.17</v>
      </c>
      <c r="T1939">
        <v>249814520.83000001</v>
      </c>
      <c r="U1939">
        <v>249814520.83000001</v>
      </c>
      <c r="V1939">
        <v>0</v>
      </c>
      <c r="W1939">
        <v>0</v>
      </c>
      <c r="Y1939" t="s">
        <v>1</v>
      </c>
      <c r="Z1939">
        <v>3500</v>
      </c>
      <c r="AA1939">
        <v>30</v>
      </c>
      <c r="AB1939">
        <v>37</v>
      </c>
      <c r="AC1939">
        <v>0</v>
      </c>
      <c r="AD1939">
        <v>1142132717</v>
      </c>
      <c r="AE1939">
        <v>2157294.3199999998</v>
      </c>
      <c r="AF1939">
        <v>1139975422.6800001</v>
      </c>
      <c r="AG1939">
        <v>1139975422.6800001</v>
      </c>
      <c r="AH1939">
        <v>0</v>
      </c>
      <c r="AI1939">
        <v>0</v>
      </c>
    </row>
    <row r="1940" spans="13:35" x14ac:dyDescent="0.35">
      <c r="M1940" t="s">
        <v>1</v>
      </c>
      <c r="N1940">
        <v>3750</v>
      </c>
      <c r="O1940">
        <v>30</v>
      </c>
      <c r="P1940">
        <v>51</v>
      </c>
      <c r="Q1940">
        <v>0</v>
      </c>
      <c r="R1940">
        <v>1764980322</v>
      </c>
      <c r="S1940">
        <v>3140488.25</v>
      </c>
      <c r="T1940">
        <v>1696244840.75</v>
      </c>
      <c r="U1940">
        <v>1761839833.75</v>
      </c>
      <c r="V1940">
        <v>0.36521900000000002</v>
      </c>
      <c r="W1940">
        <v>0</v>
      </c>
      <c r="Y1940" t="s">
        <v>1</v>
      </c>
      <c r="Z1940">
        <v>3250</v>
      </c>
      <c r="AA1940">
        <v>30</v>
      </c>
      <c r="AB1940">
        <v>35</v>
      </c>
      <c r="AC1940">
        <v>0</v>
      </c>
      <c r="AD1940">
        <v>1228087223</v>
      </c>
      <c r="AE1940">
        <v>2386479.4</v>
      </c>
      <c r="AF1940">
        <v>1225700743.5999999</v>
      </c>
      <c r="AG1940">
        <v>1225700743.5999999</v>
      </c>
      <c r="AH1940">
        <v>0</v>
      </c>
      <c r="AI1940">
        <v>0</v>
      </c>
    </row>
    <row r="1941" spans="13:35" x14ac:dyDescent="0.35">
      <c r="M1941" t="s">
        <v>2</v>
      </c>
      <c r="N1941">
        <v>3750</v>
      </c>
      <c r="O1941">
        <v>30</v>
      </c>
      <c r="P1941">
        <v>28</v>
      </c>
      <c r="Q1941">
        <v>0</v>
      </c>
      <c r="R1941">
        <v>496705090</v>
      </c>
      <c r="S1941">
        <v>880310.83</v>
      </c>
      <c r="T1941">
        <v>477498134.08999997</v>
      </c>
      <c r="U1941">
        <v>477498134.08999997</v>
      </c>
      <c r="V1941">
        <v>0.363093</v>
      </c>
      <c r="W1941">
        <v>0.363093</v>
      </c>
      <c r="Y1941" t="s">
        <v>1</v>
      </c>
      <c r="Z1941">
        <v>3750</v>
      </c>
      <c r="AA1941">
        <v>30</v>
      </c>
      <c r="AB1941">
        <v>59</v>
      </c>
      <c r="AC1941">
        <v>0</v>
      </c>
      <c r="AD1941">
        <v>2054221382</v>
      </c>
      <c r="AE1941">
        <v>3673272.76</v>
      </c>
      <c r="AF1941">
        <v>2020045698.9200001</v>
      </c>
      <c r="AG1941">
        <v>2050548109.24</v>
      </c>
      <c r="AH1941">
        <v>0.164329</v>
      </c>
      <c r="AI1941">
        <v>0</v>
      </c>
    </row>
    <row r="1942" spans="13:35" x14ac:dyDescent="0.35">
      <c r="M1942" t="s">
        <v>0</v>
      </c>
      <c r="N1942">
        <v>3500</v>
      </c>
      <c r="O1942">
        <v>30</v>
      </c>
      <c r="P1942">
        <v>10</v>
      </c>
      <c r="Q1942">
        <v>0</v>
      </c>
      <c r="R1942">
        <v>265251161</v>
      </c>
      <c r="S1942">
        <v>479091.51</v>
      </c>
      <c r="T1942">
        <v>264772069.49000001</v>
      </c>
      <c r="U1942">
        <v>264772069.49000001</v>
      </c>
      <c r="V1942">
        <v>0</v>
      </c>
      <c r="W1942">
        <v>0</v>
      </c>
      <c r="Y1942" t="s">
        <v>1</v>
      </c>
      <c r="Z1942">
        <v>4000</v>
      </c>
      <c r="AA1942">
        <v>30</v>
      </c>
      <c r="AB1942">
        <v>75</v>
      </c>
      <c r="AC1942">
        <v>0</v>
      </c>
      <c r="AD1942">
        <v>2603680736</v>
      </c>
      <c r="AE1942">
        <v>4392174.0599999996</v>
      </c>
      <c r="AF1942">
        <v>2560376972.96</v>
      </c>
      <c r="AG1942">
        <v>2599288561.9400001</v>
      </c>
      <c r="AH1942">
        <v>0.16530700000000001</v>
      </c>
      <c r="AI1942">
        <v>0</v>
      </c>
    </row>
    <row r="1943" spans="13:35" x14ac:dyDescent="0.35">
      <c r="M1943" t="s">
        <v>2</v>
      </c>
      <c r="N1943">
        <v>3500</v>
      </c>
      <c r="O1943">
        <v>30</v>
      </c>
      <c r="P1943">
        <v>30</v>
      </c>
      <c r="Q1943">
        <v>0</v>
      </c>
      <c r="R1943">
        <v>398661802</v>
      </c>
      <c r="S1943">
        <v>747306.75</v>
      </c>
      <c r="T1943">
        <v>381864184.35000002</v>
      </c>
      <c r="U1943">
        <v>397914495.25</v>
      </c>
      <c r="V1943">
        <v>0.38928200000000002</v>
      </c>
      <c r="W1943">
        <v>0</v>
      </c>
      <c r="Y1943" t="s">
        <v>0</v>
      </c>
      <c r="Z1943">
        <v>4000</v>
      </c>
      <c r="AA1943">
        <v>30</v>
      </c>
      <c r="AB1943">
        <v>32</v>
      </c>
      <c r="AC1943">
        <v>0</v>
      </c>
      <c r="AD1943">
        <v>1026634090</v>
      </c>
      <c r="AE1943">
        <v>1703462.94</v>
      </c>
      <c r="AF1943">
        <v>1024930627.0599999</v>
      </c>
      <c r="AG1943">
        <v>1024930627.0599999</v>
      </c>
      <c r="AH1943">
        <v>0</v>
      </c>
      <c r="AI1943">
        <v>0</v>
      </c>
    </row>
    <row r="1944" spans="13:35" x14ac:dyDescent="0.35">
      <c r="M1944" t="s">
        <v>2</v>
      </c>
      <c r="N1944">
        <v>4250</v>
      </c>
      <c r="O1944">
        <v>30</v>
      </c>
      <c r="P1944">
        <v>30</v>
      </c>
      <c r="Q1944">
        <v>0</v>
      </c>
      <c r="R1944">
        <v>565657075</v>
      </c>
      <c r="S1944">
        <v>911866.91</v>
      </c>
      <c r="T1944">
        <v>564745208.09000003</v>
      </c>
      <c r="U1944">
        <v>564745208.09000003</v>
      </c>
      <c r="V1944">
        <v>0</v>
      </c>
      <c r="W1944">
        <v>0</v>
      </c>
      <c r="Y1944" t="s">
        <v>1</v>
      </c>
      <c r="Z1944">
        <v>4250</v>
      </c>
      <c r="AA1944">
        <v>30</v>
      </c>
      <c r="AB1944">
        <v>310</v>
      </c>
      <c r="AC1944">
        <v>0</v>
      </c>
      <c r="AD1944">
        <v>9426391492</v>
      </c>
      <c r="AE1944">
        <v>15024424.52</v>
      </c>
      <c r="AF1944">
        <v>9233313587.4400005</v>
      </c>
      <c r="AG1944">
        <v>9353342055.6299992</v>
      </c>
      <c r="AH1944">
        <v>0.204539</v>
      </c>
      <c r="AI1944">
        <v>7.1416999999999994E-2</v>
      </c>
    </row>
    <row r="1945" spans="13:35" x14ac:dyDescent="0.35">
      <c r="M1945" t="s">
        <v>2</v>
      </c>
      <c r="N1945">
        <v>2250</v>
      </c>
      <c r="O1945">
        <v>30</v>
      </c>
      <c r="P1945">
        <v>5</v>
      </c>
      <c r="Q1945">
        <v>0</v>
      </c>
      <c r="R1945">
        <v>106411644</v>
      </c>
      <c r="S1945">
        <v>250905.44</v>
      </c>
      <c r="T1945">
        <v>106160738.56</v>
      </c>
      <c r="U1945">
        <v>106160738.56</v>
      </c>
      <c r="V1945">
        <v>0</v>
      </c>
      <c r="W1945">
        <v>0</v>
      </c>
      <c r="Y1945" t="s">
        <v>0</v>
      </c>
      <c r="Z1945">
        <v>4250</v>
      </c>
      <c r="AA1945">
        <v>30</v>
      </c>
      <c r="AB1945">
        <v>807</v>
      </c>
      <c r="AC1945">
        <v>0</v>
      </c>
      <c r="AD1945">
        <v>22151819859</v>
      </c>
      <c r="AE1945">
        <v>35118759.719999999</v>
      </c>
      <c r="AF1945">
        <v>22066598306.009998</v>
      </c>
      <c r="AG1945">
        <v>22116701099.279999</v>
      </c>
      <c r="AH1945">
        <v>2.6806E-2</v>
      </c>
      <c r="AI1945">
        <v>0</v>
      </c>
    </row>
    <row r="1946" spans="13:35" x14ac:dyDescent="0.35">
      <c r="M1946" t="s">
        <v>0</v>
      </c>
      <c r="N1946">
        <v>3000</v>
      </c>
      <c r="O1946">
        <v>30</v>
      </c>
      <c r="P1946">
        <v>5</v>
      </c>
      <c r="Q1946">
        <v>0</v>
      </c>
      <c r="R1946">
        <v>167746447</v>
      </c>
      <c r="S1946">
        <v>331054.33</v>
      </c>
      <c r="T1946">
        <v>167415392.66999999</v>
      </c>
      <c r="U1946">
        <v>167415392.66999999</v>
      </c>
      <c r="V1946">
        <v>0</v>
      </c>
      <c r="W1946">
        <v>0</v>
      </c>
      <c r="Y1946" t="s">
        <v>1</v>
      </c>
      <c r="Z1946">
        <v>4500</v>
      </c>
      <c r="AA1946">
        <v>30</v>
      </c>
      <c r="AB1946">
        <v>475</v>
      </c>
      <c r="AC1946">
        <v>0</v>
      </c>
      <c r="AD1946">
        <v>15700714890</v>
      </c>
      <c r="AE1946">
        <v>24103473.77</v>
      </c>
      <c r="AF1946">
        <v>15486485035.75</v>
      </c>
      <c r="AG1946">
        <v>15610143375.42</v>
      </c>
      <c r="AH1946">
        <v>0.136015</v>
      </c>
      <c r="AI1946">
        <v>4.9634999999999999E-2</v>
      </c>
    </row>
    <row r="1947" spans="13:35" x14ac:dyDescent="0.35">
      <c r="M1947" t="s">
        <v>3</v>
      </c>
      <c r="N1947">
        <v>5500</v>
      </c>
      <c r="O1947">
        <v>30</v>
      </c>
      <c r="P1947">
        <v>2</v>
      </c>
      <c r="Q1947">
        <v>0</v>
      </c>
      <c r="R1947">
        <v>76954378</v>
      </c>
      <c r="S1947">
        <v>99241.1</v>
      </c>
      <c r="T1947">
        <v>76855136.900000006</v>
      </c>
      <c r="U1947">
        <v>76855136.900000006</v>
      </c>
      <c r="V1947">
        <v>0</v>
      </c>
      <c r="W1947">
        <v>0</v>
      </c>
      <c r="Y1947" t="s">
        <v>2</v>
      </c>
      <c r="Z1947">
        <v>4500</v>
      </c>
      <c r="AA1947">
        <v>30</v>
      </c>
      <c r="AB1947">
        <v>35</v>
      </c>
      <c r="AC1947">
        <v>0</v>
      </c>
      <c r="AD1947">
        <v>701629482</v>
      </c>
      <c r="AE1947">
        <v>1077969.95</v>
      </c>
      <c r="AF1947">
        <v>700551512.04999995</v>
      </c>
      <c r="AG1947">
        <v>700551512.04999995</v>
      </c>
      <c r="AH1947">
        <v>0</v>
      </c>
      <c r="AI1947">
        <v>0</v>
      </c>
    </row>
    <row r="1948" spans="13:35" x14ac:dyDescent="0.35">
      <c r="M1948" t="s">
        <v>0</v>
      </c>
      <c r="N1948">
        <v>6750</v>
      </c>
      <c r="O1948">
        <v>54</v>
      </c>
      <c r="P1948">
        <v>1</v>
      </c>
      <c r="Q1948">
        <v>0</v>
      </c>
      <c r="R1948">
        <v>6567181</v>
      </c>
      <c r="S1948">
        <v>8201.39</v>
      </c>
      <c r="T1948">
        <v>6558979.6100000003</v>
      </c>
      <c r="U1948">
        <v>6558979.6100000003</v>
      </c>
      <c r="V1948">
        <v>0</v>
      </c>
      <c r="W1948">
        <v>0</v>
      </c>
      <c r="Y1948" t="s">
        <v>2</v>
      </c>
      <c r="Z1948">
        <v>3250</v>
      </c>
      <c r="AA1948">
        <v>30</v>
      </c>
      <c r="AB1948">
        <v>25</v>
      </c>
      <c r="AC1948">
        <v>0</v>
      </c>
      <c r="AD1948">
        <v>443779685</v>
      </c>
      <c r="AE1948">
        <v>867521.42</v>
      </c>
      <c r="AF1948">
        <v>442912163.57999998</v>
      </c>
      <c r="AG1948">
        <v>442912163.57999998</v>
      </c>
      <c r="AH1948">
        <v>0</v>
      </c>
      <c r="AI1948">
        <v>0</v>
      </c>
    </row>
    <row r="1949" spans="13:35" x14ac:dyDescent="0.35">
      <c r="M1949" t="s">
        <v>0</v>
      </c>
      <c r="N1949">
        <v>2250</v>
      </c>
      <c r="O1949">
        <v>30</v>
      </c>
      <c r="P1949">
        <v>2</v>
      </c>
      <c r="Q1949">
        <v>0</v>
      </c>
      <c r="R1949">
        <v>68513494</v>
      </c>
      <c r="S1949">
        <v>148796.66</v>
      </c>
      <c r="T1949">
        <v>68364697.340000004</v>
      </c>
      <c r="U1949">
        <v>68364697.340000004</v>
      </c>
      <c r="V1949">
        <v>0</v>
      </c>
      <c r="W1949">
        <v>0</v>
      </c>
      <c r="Y1949" t="s">
        <v>2</v>
      </c>
      <c r="Z1949">
        <v>3500</v>
      </c>
      <c r="AA1949">
        <v>30</v>
      </c>
      <c r="AB1949">
        <v>28</v>
      </c>
      <c r="AC1949">
        <v>0</v>
      </c>
      <c r="AD1949">
        <v>385768639</v>
      </c>
      <c r="AE1949">
        <v>727159.1</v>
      </c>
      <c r="AF1949">
        <v>385041479.89999998</v>
      </c>
      <c r="AG1949">
        <v>385041479.89999998</v>
      </c>
      <c r="AH1949">
        <v>0</v>
      </c>
      <c r="AI1949">
        <v>0</v>
      </c>
    </row>
    <row r="1950" spans="13:35" x14ac:dyDescent="0.35">
      <c r="M1950" t="s">
        <v>0</v>
      </c>
      <c r="N1950">
        <v>2500</v>
      </c>
      <c r="O1950">
        <v>30</v>
      </c>
      <c r="P1950">
        <v>3</v>
      </c>
      <c r="Q1950">
        <v>0</v>
      </c>
      <c r="R1950">
        <v>91862143</v>
      </c>
      <c r="S1950">
        <v>195322.92</v>
      </c>
      <c r="T1950">
        <v>91666820.079999998</v>
      </c>
      <c r="U1950">
        <v>91666820.079999998</v>
      </c>
      <c r="V1950">
        <v>0</v>
      </c>
      <c r="W1950">
        <v>0</v>
      </c>
      <c r="Y1950" t="s">
        <v>0</v>
      </c>
      <c r="Z1950">
        <v>3250</v>
      </c>
      <c r="AA1950">
        <v>30</v>
      </c>
      <c r="AB1950">
        <v>5</v>
      </c>
      <c r="AC1950">
        <v>0</v>
      </c>
      <c r="AD1950">
        <v>103356311</v>
      </c>
      <c r="AE1950">
        <v>193794.5</v>
      </c>
      <c r="AF1950">
        <v>103162516.5</v>
      </c>
      <c r="AG1950">
        <v>103162516.5</v>
      </c>
      <c r="AH1950">
        <v>0</v>
      </c>
      <c r="AI1950">
        <v>0</v>
      </c>
    </row>
    <row r="1951" spans="13:35" x14ac:dyDescent="0.35">
      <c r="M1951" t="s">
        <v>0</v>
      </c>
      <c r="N1951">
        <v>2750</v>
      </c>
      <c r="O1951">
        <v>30</v>
      </c>
      <c r="P1951">
        <v>3</v>
      </c>
      <c r="Q1951">
        <v>0</v>
      </c>
      <c r="R1951">
        <v>81223311</v>
      </c>
      <c r="S1951">
        <v>188138.27</v>
      </c>
      <c r="T1951">
        <v>81035172.730000004</v>
      </c>
      <c r="U1951">
        <v>81035172.730000004</v>
      </c>
      <c r="V1951">
        <v>0</v>
      </c>
      <c r="W1951">
        <v>0</v>
      </c>
      <c r="Y1951" t="s">
        <v>2</v>
      </c>
      <c r="Z1951">
        <v>4000</v>
      </c>
      <c r="AA1951">
        <v>30</v>
      </c>
      <c r="AB1951">
        <v>18</v>
      </c>
      <c r="AC1951">
        <v>0</v>
      </c>
      <c r="AD1951">
        <v>387892790</v>
      </c>
      <c r="AE1951">
        <v>659921.51</v>
      </c>
      <c r="AF1951">
        <v>387232868.49000001</v>
      </c>
      <c r="AG1951">
        <v>387232868.49000001</v>
      </c>
      <c r="AH1951">
        <v>0</v>
      </c>
      <c r="AI1951">
        <v>0</v>
      </c>
    </row>
    <row r="1952" spans="13:35" x14ac:dyDescent="0.35">
      <c r="M1952" t="s">
        <v>1</v>
      </c>
      <c r="N1952">
        <v>6250</v>
      </c>
      <c r="O1952">
        <v>144</v>
      </c>
      <c r="P1952">
        <v>1</v>
      </c>
      <c r="Q1952">
        <v>0</v>
      </c>
      <c r="R1952">
        <v>5901966</v>
      </c>
      <c r="S1952">
        <v>12769.01</v>
      </c>
      <c r="T1952">
        <v>5889196.9900000002</v>
      </c>
      <c r="U1952">
        <v>5889196.9900000002</v>
      </c>
      <c r="V1952">
        <v>0</v>
      </c>
      <c r="W1952">
        <v>0</v>
      </c>
      <c r="Y1952" t="s">
        <v>2</v>
      </c>
      <c r="Z1952">
        <v>2250</v>
      </c>
      <c r="AA1952">
        <v>30</v>
      </c>
      <c r="AB1952">
        <v>4</v>
      </c>
      <c r="AC1952">
        <v>0</v>
      </c>
      <c r="AD1952">
        <v>85467043</v>
      </c>
      <c r="AE1952">
        <v>197987.75</v>
      </c>
      <c r="AF1952">
        <v>85269055.25</v>
      </c>
      <c r="AG1952">
        <v>85269055.25</v>
      </c>
      <c r="AH1952">
        <v>0</v>
      </c>
      <c r="AI1952">
        <v>0</v>
      </c>
    </row>
    <row r="1953" spans="13:35" x14ac:dyDescent="0.35">
      <c r="M1953" t="s">
        <v>2</v>
      </c>
      <c r="N1953">
        <v>2500</v>
      </c>
      <c r="O1953">
        <v>30</v>
      </c>
      <c r="P1953">
        <v>2</v>
      </c>
      <c r="Q1953">
        <v>0</v>
      </c>
      <c r="R1953">
        <v>20152640</v>
      </c>
      <c r="S1953">
        <v>42466.61</v>
      </c>
      <c r="T1953">
        <v>20110173.390000001</v>
      </c>
      <c r="U1953">
        <v>20110173.390000001</v>
      </c>
      <c r="V1953">
        <v>0</v>
      </c>
      <c r="W1953">
        <v>0</v>
      </c>
      <c r="Y1953" t="s">
        <v>0</v>
      </c>
      <c r="Z1953">
        <v>3000</v>
      </c>
      <c r="AA1953">
        <v>30</v>
      </c>
      <c r="AB1953">
        <v>4</v>
      </c>
      <c r="AC1953">
        <v>0</v>
      </c>
      <c r="AD1953">
        <v>133239548</v>
      </c>
      <c r="AE1953">
        <v>262651.26</v>
      </c>
      <c r="AF1953">
        <v>132976896.73999999</v>
      </c>
      <c r="AG1953">
        <v>132976896.73999999</v>
      </c>
      <c r="AH1953">
        <v>0</v>
      </c>
      <c r="AI1953">
        <v>0</v>
      </c>
    </row>
    <row r="1954" spans="13:35" x14ac:dyDescent="0.35">
      <c r="M1954" t="s">
        <v>3</v>
      </c>
      <c r="N1954">
        <v>5250</v>
      </c>
      <c r="O1954">
        <v>30</v>
      </c>
      <c r="P1954">
        <v>3</v>
      </c>
      <c r="Q1954">
        <v>0</v>
      </c>
      <c r="R1954">
        <v>79301588</v>
      </c>
      <c r="S1954">
        <v>104806.99</v>
      </c>
      <c r="T1954">
        <v>79196781.010000005</v>
      </c>
      <c r="U1954">
        <v>79196781.010000005</v>
      </c>
      <c r="V1954">
        <v>0</v>
      </c>
      <c r="W1954">
        <v>0</v>
      </c>
      <c r="Y1954" t="s">
        <v>3</v>
      </c>
      <c r="Z1954">
        <v>5500</v>
      </c>
      <c r="AA1954">
        <v>30</v>
      </c>
      <c r="AB1954">
        <v>2</v>
      </c>
      <c r="AC1954">
        <v>0</v>
      </c>
      <c r="AD1954">
        <v>77053242</v>
      </c>
      <c r="AE1954">
        <v>98792.94</v>
      </c>
      <c r="AF1954">
        <v>76954449.060000002</v>
      </c>
      <c r="AG1954">
        <v>76954449.060000002</v>
      </c>
      <c r="AH1954">
        <v>0</v>
      </c>
      <c r="AI1954">
        <v>0</v>
      </c>
    </row>
    <row r="1955" spans="13:35" x14ac:dyDescent="0.35">
      <c r="M1955" t="s">
        <v>0</v>
      </c>
      <c r="N1955">
        <v>20000</v>
      </c>
      <c r="O1955">
        <v>30</v>
      </c>
      <c r="P1955">
        <v>1</v>
      </c>
      <c r="Q1955">
        <v>0</v>
      </c>
      <c r="R1955">
        <v>18359479</v>
      </c>
      <c r="S1955">
        <v>12081.24</v>
      </c>
      <c r="T1955">
        <v>18347397.760000002</v>
      </c>
      <c r="U1955">
        <v>18347397.760000002</v>
      </c>
      <c r="V1955">
        <v>0</v>
      </c>
      <c r="W1955">
        <v>0</v>
      </c>
      <c r="Y1955" t="s">
        <v>1</v>
      </c>
      <c r="Z1955">
        <v>5750</v>
      </c>
      <c r="AA1955">
        <v>60</v>
      </c>
      <c r="AB1955">
        <v>1</v>
      </c>
      <c r="AC1955">
        <v>0</v>
      </c>
      <c r="AD1955">
        <v>24249686</v>
      </c>
      <c r="AE1955">
        <v>35907.050000000003</v>
      </c>
      <c r="AF1955">
        <v>24213778.949999999</v>
      </c>
      <c r="AG1955">
        <v>24213778.949999999</v>
      </c>
      <c r="AH1955">
        <v>0</v>
      </c>
      <c r="AI1955">
        <v>0</v>
      </c>
    </row>
    <row r="1956" spans="13:35" x14ac:dyDescent="0.35">
      <c r="M1956" t="s">
        <v>1</v>
      </c>
      <c r="N1956">
        <v>2750</v>
      </c>
      <c r="O1956">
        <v>24</v>
      </c>
      <c r="P1956">
        <v>13</v>
      </c>
      <c r="Q1956">
        <v>0</v>
      </c>
      <c r="R1956">
        <v>634663232</v>
      </c>
      <c r="S1956">
        <v>1370635.97</v>
      </c>
      <c r="T1956">
        <v>633292596.02999997</v>
      </c>
      <c r="U1956">
        <v>633292596.02999997</v>
      </c>
      <c r="V1956">
        <v>0</v>
      </c>
      <c r="W1956">
        <v>0</v>
      </c>
      <c r="Y1956" t="s">
        <v>0</v>
      </c>
      <c r="Z1956">
        <v>6750</v>
      </c>
      <c r="AA1956">
        <v>54</v>
      </c>
      <c r="AB1956">
        <v>1</v>
      </c>
      <c r="AC1956">
        <v>0</v>
      </c>
      <c r="AD1956">
        <v>6575337</v>
      </c>
      <c r="AE1956">
        <v>8156.36</v>
      </c>
      <c r="AF1956">
        <v>6567180.6399999997</v>
      </c>
      <c r="AG1956">
        <v>6567180.6399999997</v>
      </c>
      <c r="AH1956">
        <v>0</v>
      </c>
      <c r="AI1956">
        <v>0</v>
      </c>
    </row>
    <row r="1957" spans="13:35" x14ac:dyDescent="0.35">
      <c r="M1957" t="s">
        <v>1</v>
      </c>
      <c r="N1957">
        <v>3250</v>
      </c>
      <c r="O1957">
        <v>24</v>
      </c>
      <c r="P1957">
        <v>23</v>
      </c>
      <c r="Q1957">
        <v>0</v>
      </c>
      <c r="R1957">
        <v>750786834</v>
      </c>
      <c r="S1957">
        <v>1477577.75</v>
      </c>
      <c r="T1957">
        <v>730962112.33000004</v>
      </c>
      <c r="U1957">
        <v>730962112.33000004</v>
      </c>
      <c r="V1957">
        <v>0.25687399999999999</v>
      </c>
      <c r="W1957">
        <v>0.25687399999999999</v>
      </c>
      <c r="Y1957" t="s">
        <v>0</v>
      </c>
      <c r="Z1957">
        <v>2500</v>
      </c>
      <c r="AA1957">
        <v>30</v>
      </c>
      <c r="AB1957">
        <v>3</v>
      </c>
      <c r="AC1957">
        <v>0</v>
      </c>
      <c r="AD1957">
        <v>91981015</v>
      </c>
      <c r="AE1957">
        <v>194768.61</v>
      </c>
      <c r="AF1957">
        <v>91786246.390000001</v>
      </c>
      <c r="AG1957">
        <v>91786246.390000001</v>
      </c>
      <c r="AH1957">
        <v>0</v>
      </c>
      <c r="AI1957">
        <v>0</v>
      </c>
    </row>
    <row r="1958" spans="13:35" x14ac:dyDescent="0.35">
      <c r="M1958" t="s">
        <v>1</v>
      </c>
      <c r="N1958">
        <v>2250</v>
      </c>
      <c r="O1958">
        <v>24</v>
      </c>
      <c r="P1958">
        <v>15</v>
      </c>
      <c r="Q1958">
        <v>0</v>
      </c>
      <c r="R1958">
        <v>502324046</v>
      </c>
      <c r="S1958">
        <v>1191217.73</v>
      </c>
      <c r="T1958">
        <v>501132828.26999998</v>
      </c>
      <c r="U1958">
        <v>501132828.26999998</v>
      </c>
      <c r="V1958">
        <v>0</v>
      </c>
      <c r="W1958">
        <v>0</v>
      </c>
      <c r="Y1958" t="s">
        <v>1</v>
      </c>
      <c r="Z1958">
        <v>6250</v>
      </c>
      <c r="AA1958">
        <v>144</v>
      </c>
      <c r="AB1958">
        <v>1</v>
      </c>
      <c r="AC1958">
        <v>0</v>
      </c>
      <c r="AD1958">
        <v>5915203</v>
      </c>
      <c r="AE1958">
        <v>12705.31</v>
      </c>
      <c r="AF1958">
        <v>5902497.6900000004</v>
      </c>
      <c r="AG1958">
        <v>5902497.6900000004</v>
      </c>
      <c r="AH1958">
        <v>0</v>
      </c>
      <c r="AI1958">
        <v>0</v>
      </c>
    </row>
    <row r="1959" spans="13:35" x14ac:dyDescent="0.35">
      <c r="M1959" t="s">
        <v>1</v>
      </c>
      <c r="N1959">
        <v>3750</v>
      </c>
      <c r="O1959">
        <v>24</v>
      </c>
      <c r="P1959">
        <v>41</v>
      </c>
      <c r="Q1959">
        <v>0</v>
      </c>
      <c r="R1959">
        <v>1261543648</v>
      </c>
      <c r="S1959">
        <v>2200456.7599999998</v>
      </c>
      <c r="T1959">
        <v>1259343191.24</v>
      </c>
      <c r="U1959">
        <v>1259343191.24</v>
      </c>
      <c r="V1959">
        <v>0</v>
      </c>
      <c r="W1959">
        <v>0</v>
      </c>
      <c r="Y1959" t="s">
        <v>3</v>
      </c>
      <c r="Z1959">
        <v>5250</v>
      </c>
      <c r="AA1959">
        <v>30</v>
      </c>
      <c r="AB1959">
        <v>1</v>
      </c>
      <c r="AC1959">
        <v>0</v>
      </c>
      <c r="AD1959">
        <v>25707565</v>
      </c>
      <c r="AE1959">
        <v>33913.17</v>
      </c>
      <c r="AF1959">
        <v>25673651.829999998</v>
      </c>
      <c r="AG1959">
        <v>25673651.829999998</v>
      </c>
      <c r="AH1959">
        <v>0</v>
      </c>
      <c r="AI1959">
        <v>0</v>
      </c>
    </row>
    <row r="1960" spans="13:35" x14ac:dyDescent="0.35">
      <c r="M1960" t="s">
        <v>0</v>
      </c>
      <c r="N1960">
        <v>3250</v>
      </c>
      <c r="O1960">
        <v>24</v>
      </c>
      <c r="P1960">
        <v>2</v>
      </c>
      <c r="Q1960">
        <v>0</v>
      </c>
      <c r="R1960">
        <v>56093505</v>
      </c>
      <c r="S1960">
        <v>102800.86</v>
      </c>
      <c r="T1960">
        <v>55990704.140000001</v>
      </c>
      <c r="U1960">
        <v>55990704.140000001</v>
      </c>
      <c r="V1960">
        <v>0</v>
      </c>
      <c r="W1960">
        <v>0</v>
      </c>
      <c r="Y1960" t="s">
        <v>1</v>
      </c>
      <c r="Z1960">
        <v>2250</v>
      </c>
      <c r="AA1960">
        <v>24</v>
      </c>
      <c r="AB1960">
        <v>14</v>
      </c>
      <c r="AC1960">
        <v>0</v>
      </c>
      <c r="AD1960">
        <v>537806576</v>
      </c>
      <c r="AE1960">
        <v>1262304.18</v>
      </c>
      <c r="AF1960">
        <v>536544271.81999999</v>
      </c>
      <c r="AG1960">
        <v>536544271.81999999</v>
      </c>
      <c r="AH1960">
        <v>0</v>
      </c>
      <c r="AI1960">
        <v>0</v>
      </c>
    </row>
    <row r="1961" spans="13:35" x14ac:dyDescent="0.35">
      <c r="M1961" t="s">
        <v>1</v>
      </c>
      <c r="N1961">
        <v>3500</v>
      </c>
      <c r="O1961">
        <v>24</v>
      </c>
      <c r="P1961">
        <v>26</v>
      </c>
      <c r="Q1961">
        <v>0</v>
      </c>
      <c r="R1961">
        <v>1010447474</v>
      </c>
      <c r="S1961">
        <v>1892796.7</v>
      </c>
      <c r="T1961">
        <v>1008554677.3</v>
      </c>
      <c r="U1961">
        <v>1008554677.3</v>
      </c>
      <c r="V1961">
        <v>0</v>
      </c>
      <c r="W1961">
        <v>0</v>
      </c>
      <c r="Y1961" t="s">
        <v>1</v>
      </c>
      <c r="Z1961">
        <v>2500</v>
      </c>
      <c r="AA1961">
        <v>24</v>
      </c>
      <c r="AB1961">
        <v>9</v>
      </c>
      <c r="AC1961">
        <v>0</v>
      </c>
      <c r="AD1961">
        <v>311938608</v>
      </c>
      <c r="AE1961">
        <v>718830.2</v>
      </c>
      <c r="AF1961">
        <v>284638333.98000002</v>
      </c>
      <c r="AG1961">
        <v>311219777.80000001</v>
      </c>
      <c r="AH1961">
        <v>0.65657200000000004</v>
      </c>
      <c r="AI1961">
        <v>0</v>
      </c>
    </row>
    <row r="1962" spans="13:35" x14ac:dyDescent="0.35">
      <c r="M1962" t="s">
        <v>1</v>
      </c>
      <c r="N1962">
        <v>4000</v>
      </c>
      <c r="O1962">
        <v>24</v>
      </c>
      <c r="P1962">
        <v>62</v>
      </c>
      <c r="Q1962">
        <v>0</v>
      </c>
      <c r="R1962">
        <v>2485478338</v>
      </c>
      <c r="S1962">
        <v>4116930.88</v>
      </c>
      <c r="T1962">
        <v>2481361407.1199999</v>
      </c>
      <c r="U1962">
        <v>2481361407.1199999</v>
      </c>
      <c r="V1962">
        <v>0</v>
      </c>
      <c r="W1962">
        <v>0</v>
      </c>
      <c r="Y1962" t="s">
        <v>0</v>
      </c>
      <c r="Z1962">
        <v>3000</v>
      </c>
      <c r="AA1962">
        <v>24</v>
      </c>
      <c r="AB1962">
        <v>2</v>
      </c>
      <c r="AC1962">
        <v>0</v>
      </c>
      <c r="AD1962">
        <v>49489234</v>
      </c>
      <c r="AE1962">
        <v>95230.01</v>
      </c>
      <c r="AF1962">
        <v>49394003.990000002</v>
      </c>
      <c r="AG1962">
        <v>49394003.990000002</v>
      </c>
      <c r="AH1962">
        <v>0</v>
      </c>
      <c r="AI1962">
        <v>0</v>
      </c>
    </row>
    <row r="1963" spans="13:35" x14ac:dyDescent="0.35">
      <c r="M1963" t="s">
        <v>0</v>
      </c>
      <c r="N1963">
        <v>4250</v>
      </c>
      <c r="O1963">
        <v>24</v>
      </c>
      <c r="P1963">
        <v>364</v>
      </c>
      <c r="Q1963">
        <v>0</v>
      </c>
      <c r="R1963">
        <v>10700301720</v>
      </c>
      <c r="S1963">
        <v>16519939.390000001</v>
      </c>
      <c r="T1963">
        <v>10656977211.35</v>
      </c>
      <c r="U1963">
        <v>10683781780.610001</v>
      </c>
      <c r="V1963">
        <v>2.9649999999999999E-2</v>
      </c>
      <c r="W1963">
        <v>0</v>
      </c>
      <c r="Y1963" t="s">
        <v>2</v>
      </c>
      <c r="Z1963">
        <v>2750</v>
      </c>
      <c r="AA1963">
        <v>24</v>
      </c>
      <c r="AB1963">
        <v>10</v>
      </c>
      <c r="AC1963">
        <v>0</v>
      </c>
      <c r="AD1963">
        <v>219648139</v>
      </c>
      <c r="AE1963">
        <v>441153.4</v>
      </c>
      <c r="AF1963">
        <v>219206985.59999999</v>
      </c>
      <c r="AG1963">
        <v>219206985.59999999</v>
      </c>
      <c r="AH1963">
        <v>0</v>
      </c>
      <c r="AI1963">
        <v>0</v>
      </c>
    </row>
    <row r="1964" spans="13:35" x14ac:dyDescent="0.35">
      <c r="M1964" t="s">
        <v>0</v>
      </c>
      <c r="N1964">
        <v>4000</v>
      </c>
      <c r="O1964">
        <v>24</v>
      </c>
      <c r="P1964">
        <v>19</v>
      </c>
      <c r="Q1964">
        <v>0</v>
      </c>
      <c r="R1964">
        <v>643085737</v>
      </c>
      <c r="S1964">
        <v>1038305.84</v>
      </c>
      <c r="T1964">
        <v>642047431.15999997</v>
      </c>
      <c r="U1964">
        <v>642047431.15999997</v>
      </c>
      <c r="V1964">
        <v>0</v>
      </c>
      <c r="W1964">
        <v>0</v>
      </c>
      <c r="Y1964" t="s">
        <v>1</v>
      </c>
      <c r="Z1964">
        <v>3250</v>
      </c>
      <c r="AA1964">
        <v>24</v>
      </c>
      <c r="AB1964">
        <v>23</v>
      </c>
      <c r="AC1964">
        <v>0</v>
      </c>
      <c r="AD1964">
        <v>754618665</v>
      </c>
      <c r="AE1964">
        <v>1477884.65</v>
      </c>
      <c r="AF1964">
        <v>753140780.35000002</v>
      </c>
      <c r="AG1964">
        <v>753140780.35000002</v>
      </c>
      <c r="AH1964">
        <v>0</v>
      </c>
      <c r="AI1964">
        <v>0</v>
      </c>
    </row>
    <row r="1965" spans="13:35" x14ac:dyDescent="0.35">
      <c r="M1965" t="s">
        <v>0</v>
      </c>
      <c r="N1965">
        <v>3750</v>
      </c>
      <c r="O1965">
        <v>24</v>
      </c>
      <c r="P1965">
        <v>18</v>
      </c>
      <c r="Q1965">
        <v>0</v>
      </c>
      <c r="R1965">
        <v>657493174</v>
      </c>
      <c r="S1965">
        <v>1103341.75</v>
      </c>
      <c r="T1965">
        <v>656389832.25</v>
      </c>
      <c r="U1965">
        <v>656389832.25</v>
      </c>
      <c r="V1965">
        <v>0</v>
      </c>
      <c r="W1965">
        <v>0</v>
      </c>
      <c r="Y1965" t="s">
        <v>2</v>
      </c>
      <c r="Z1965">
        <v>3500</v>
      </c>
      <c r="AA1965">
        <v>24</v>
      </c>
      <c r="AB1965">
        <v>16</v>
      </c>
      <c r="AC1965">
        <v>0</v>
      </c>
      <c r="AD1965">
        <v>253496422</v>
      </c>
      <c r="AE1965">
        <v>459646.97</v>
      </c>
      <c r="AF1965">
        <v>253036775.03</v>
      </c>
      <c r="AG1965">
        <v>253036775.03</v>
      </c>
      <c r="AH1965">
        <v>0</v>
      </c>
      <c r="AI1965">
        <v>0</v>
      </c>
    </row>
    <row r="1966" spans="13:35" x14ac:dyDescent="0.35">
      <c r="M1966" t="s">
        <v>2</v>
      </c>
      <c r="N1966">
        <v>4250</v>
      </c>
      <c r="O1966">
        <v>24</v>
      </c>
      <c r="P1966">
        <v>14</v>
      </c>
      <c r="Q1966">
        <v>0</v>
      </c>
      <c r="R1966">
        <v>292157978</v>
      </c>
      <c r="S1966">
        <v>467327.49</v>
      </c>
      <c r="T1966">
        <v>291690650.50999999</v>
      </c>
      <c r="U1966">
        <v>291690650.50999999</v>
      </c>
      <c r="V1966">
        <v>0</v>
      </c>
      <c r="W1966">
        <v>0</v>
      </c>
      <c r="Y1966" t="s">
        <v>1</v>
      </c>
      <c r="Z1966">
        <v>3500</v>
      </c>
      <c r="AA1966">
        <v>24</v>
      </c>
      <c r="AB1966">
        <v>23</v>
      </c>
      <c r="AC1966">
        <v>0</v>
      </c>
      <c r="AD1966">
        <v>906767422</v>
      </c>
      <c r="AE1966">
        <v>1694921.25</v>
      </c>
      <c r="AF1966">
        <v>905072500.75</v>
      </c>
      <c r="AG1966">
        <v>905072500.75</v>
      </c>
      <c r="AH1966">
        <v>0</v>
      </c>
      <c r="AI1966">
        <v>0</v>
      </c>
    </row>
    <row r="1967" spans="13:35" x14ac:dyDescent="0.35">
      <c r="M1967" t="s">
        <v>2</v>
      </c>
      <c r="N1967">
        <v>4000</v>
      </c>
      <c r="O1967">
        <v>24</v>
      </c>
      <c r="P1967">
        <v>15</v>
      </c>
      <c r="Q1967">
        <v>0</v>
      </c>
      <c r="R1967">
        <v>229977991</v>
      </c>
      <c r="S1967">
        <v>390634.31</v>
      </c>
      <c r="T1967">
        <v>229587356.69</v>
      </c>
      <c r="U1967">
        <v>229587356.69</v>
      </c>
      <c r="V1967">
        <v>0</v>
      </c>
      <c r="W1967">
        <v>0</v>
      </c>
      <c r="Y1967" t="s">
        <v>1</v>
      </c>
      <c r="Z1967">
        <v>4000</v>
      </c>
      <c r="AA1967">
        <v>24</v>
      </c>
      <c r="AB1967">
        <v>60</v>
      </c>
      <c r="AC1967">
        <v>0</v>
      </c>
      <c r="AD1967">
        <v>2445417892</v>
      </c>
      <c r="AE1967">
        <v>4048957.4399999999</v>
      </c>
      <c r="AF1967">
        <v>2441368934.5599999</v>
      </c>
      <c r="AG1967">
        <v>2441368934.5599999</v>
      </c>
      <c r="AH1967">
        <v>0</v>
      </c>
      <c r="AI1967">
        <v>0</v>
      </c>
    </row>
    <row r="1968" spans="13:35" x14ac:dyDescent="0.35">
      <c r="M1968" t="s">
        <v>1</v>
      </c>
      <c r="N1968">
        <v>4250</v>
      </c>
      <c r="O1968">
        <v>24</v>
      </c>
      <c r="P1968">
        <v>202</v>
      </c>
      <c r="Q1968">
        <v>0</v>
      </c>
      <c r="R1968">
        <v>6613340772</v>
      </c>
      <c r="S1968">
        <v>10352459.9</v>
      </c>
      <c r="T1968">
        <v>6602988312.1000004</v>
      </c>
      <c r="U1968">
        <v>6602988312.1000004</v>
      </c>
      <c r="V1968">
        <v>0</v>
      </c>
      <c r="W1968">
        <v>0</v>
      </c>
      <c r="Y1968" t="s">
        <v>1</v>
      </c>
      <c r="Z1968">
        <v>3750</v>
      </c>
      <c r="AA1968">
        <v>24</v>
      </c>
      <c r="AB1968">
        <v>34</v>
      </c>
      <c r="AC1968">
        <v>0</v>
      </c>
      <c r="AD1968">
        <v>1056739840</v>
      </c>
      <c r="AE1968">
        <v>1842559.9</v>
      </c>
      <c r="AF1968">
        <v>1054897280.1</v>
      </c>
      <c r="AG1968">
        <v>1054897280.1</v>
      </c>
      <c r="AH1968">
        <v>0</v>
      </c>
      <c r="AI1968">
        <v>0</v>
      </c>
    </row>
    <row r="1969" spans="13:35" x14ac:dyDescent="0.35">
      <c r="M1969" t="s">
        <v>2</v>
      </c>
      <c r="N1969">
        <v>4500</v>
      </c>
      <c r="O1969">
        <v>24</v>
      </c>
      <c r="P1969">
        <v>58</v>
      </c>
      <c r="Q1969">
        <v>0</v>
      </c>
      <c r="R1969">
        <v>1519788997</v>
      </c>
      <c r="S1969">
        <v>2264992.7599999998</v>
      </c>
      <c r="T1969">
        <v>1517524004.24</v>
      </c>
      <c r="U1969">
        <v>1517524004.24</v>
      </c>
      <c r="V1969">
        <v>0</v>
      </c>
      <c r="W1969">
        <v>0</v>
      </c>
      <c r="Y1969" t="s">
        <v>0</v>
      </c>
      <c r="Z1969">
        <v>3750</v>
      </c>
      <c r="AA1969">
        <v>24</v>
      </c>
      <c r="AB1969">
        <v>20</v>
      </c>
      <c r="AC1969">
        <v>0</v>
      </c>
      <c r="AD1969">
        <v>740417701</v>
      </c>
      <c r="AE1969">
        <v>1240026.1000000001</v>
      </c>
      <c r="AF1969">
        <v>739177674.89999998</v>
      </c>
      <c r="AG1969">
        <v>739177674.89999998</v>
      </c>
      <c r="AH1969">
        <v>0</v>
      </c>
      <c r="AI1969">
        <v>0</v>
      </c>
    </row>
    <row r="1970" spans="13:35" x14ac:dyDescent="0.35">
      <c r="M1970" t="s">
        <v>1</v>
      </c>
      <c r="N1970">
        <v>4750</v>
      </c>
      <c r="O1970">
        <v>24</v>
      </c>
      <c r="P1970">
        <v>722</v>
      </c>
      <c r="Q1970">
        <v>0</v>
      </c>
      <c r="R1970">
        <v>26024108349</v>
      </c>
      <c r="S1970">
        <v>37129900.990000002</v>
      </c>
      <c r="T1970">
        <v>25769232943.459999</v>
      </c>
      <c r="U1970">
        <v>25902983472.18</v>
      </c>
      <c r="V1970">
        <v>9.5910999999999996E-2</v>
      </c>
      <c r="W1970">
        <v>3.8051000000000001E-2</v>
      </c>
      <c r="Y1970" t="s">
        <v>0</v>
      </c>
      <c r="Z1970">
        <v>4000</v>
      </c>
      <c r="AA1970">
        <v>24</v>
      </c>
      <c r="AB1970">
        <v>21</v>
      </c>
      <c r="AC1970">
        <v>0</v>
      </c>
      <c r="AD1970">
        <v>728197363</v>
      </c>
      <c r="AE1970">
        <v>1173732.5</v>
      </c>
      <c r="AF1970">
        <v>727023630.5</v>
      </c>
      <c r="AG1970">
        <v>727023630.5</v>
      </c>
      <c r="AH1970">
        <v>0</v>
      </c>
      <c r="AI1970">
        <v>0</v>
      </c>
    </row>
    <row r="1971" spans="13:35" x14ac:dyDescent="0.35">
      <c r="M1971" t="s">
        <v>2</v>
      </c>
      <c r="N1971">
        <v>4750</v>
      </c>
      <c r="O1971">
        <v>24</v>
      </c>
      <c r="P1971">
        <v>57</v>
      </c>
      <c r="Q1971">
        <v>0</v>
      </c>
      <c r="R1971">
        <v>1457855617</v>
      </c>
      <c r="S1971">
        <v>2084227.55</v>
      </c>
      <c r="T1971">
        <v>1455771389.45</v>
      </c>
      <c r="U1971">
        <v>1455771389.45</v>
      </c>
      <c r="V1971">
        <v>0</v>
      </c>
      <c r="W1971">
        <v>0</v>
      </c>
      <c r="Y1971" t="s">
        <v>0</v>
      </c>
      <c r="Z1971">
        <v>4250</v>
      </c>
      <c r="AA1971">
        <v>24</v>
      </c>
      <c r="AB1971">
        <v>611</v>
      </c>
      <c r="AC1971">
        <v>0</v>
      </c>
      <c r="AD1971">
        <v>17300618471</v>
      </c>
      <c r="AE1971">
        <v>26728983.93</v>
      </c>
      <c r="AF1971">
        <v>17234978488.950001</v>
      </c>
      <c r="AG1971">
        <v>17260967278.450001</v>
      </c>
      <c r="AH1971">
        <v>2.6658000000000001E-2</v>
      </c>
      <c r="AI1971">
        <v>8.9259999999999999E-3</v>
      </c>
    </row>
    <row r="1972" spans="13:35" x14ac:dyDescent="0.35">
      <c r="M1972" t="s">
        <v>3</v>
      </c>
      <c r="N1972">
        <v>5250</v>
      </c>
      <c r="O1972">
        <v>24</v>
      </c>
      <c r="P1972">
        <v>3</v>
      </c>
      <c r="Q1972">
        <v>0</v>
      </c>
      <c r="R1972">
        <v>78512071</v>
      </c>
      <c r="S1972">
        <v>102807.03999999999</v>
      </c>
      <c r="T1972">
        <v>78409263.959999993</v>
      </c>
      <c r="U1972">
        <v>78409263.959999993</v>
      </c>
      <c r="V1972">
        <v>0</v>
      </c>
      <c r="W1972">
        <v>0</v>
      </c>
      <c r="Y1972" t="s">
        <v>1</v>
      </c>
      <c r="Z1972">
        <v>4250</v>
      </c>
      <c r="AA1972">
        <v>24</v>
      </c>
      <c r="AB1972">
        <v>278</v>
      </c>
      <c r="AC1972">
        <v>0</v>
      </c>
      <c r="AD1972">
        <v>8775945829</v>
      </c>
      <c r="AE1972">
        <v>13727549.23</v>
      </c>
      <c r="AF1972">
        <v>8715672674.5300007</v>
      </c>
      <c r="AG1972">
        <v>8715672674.5300007</v>
      </c>
      <c r="AH1972">
        <v>6.1821000000000001E-2</v>
      </c>
      <c r="AI1972">
        <v>6.1821000000000001E-2</v>
      </c>
    </row>
    <row r="1973" spans="13:35" x14ac:dyDescent="0.35">
      <c r="M1973" t="s">
        <v>1</v>
      </c>
      <c r="N1973">
        <v>9000</v>
      </c>
      <c r="O1973">
        <v>24</v>
      </c>
      <c r="P1973">
        <v>12</v>
      </c>
      <c r="Q1973">
        <v>0</v>
      </c>
      <c r="R1973">
        <v>311562161</v>
      </c>
      <c r="S1973">
        <v>212959.43</v>
      </c>
      <c r="T1973">
        <v>294223318.76999998</v>
      </c>
      <c r="U1973">
        <v>294223318.76999998</v>
      </c>
      <c r="V1973">
        <v>0.49258999999999997</v>
      </c>
      <c r="W1973">
        <v>0.49258999999999997</v>
      </c>
      <c r="Y1973" t="s">
        <v>2</v>
      </c>
      <c r="Z1973">
        <v>4250</v>
      </c>
      <c r="AA1973">
        <v>24</v>
      </c>
      <c r="AB1973">
        <v>21</v>
      </c>
      <c r="AC1973">
        <v>0</v>
      </c>
      <c r="AD1973">
        <v>450438411</v>
      </c>
      <c r="AE1973">
        <v>711660.69</v>
      </c>
      <c r="AF1973">
        <v>449726750.31</v>
      </c>
      <c r="AG1973">
        <v>449726750.31</v>
      </c>
      <c r="AH1973">
        <v>0</v>
      </c>
      <c r="AI1973">
        <v>0</v>
      </c>
    </row>
    <row r="1974" spans="13:35" x14ac:dyDescent="0.35">
      <c r="M1974" t="s">
        <v>2</v>
      </c>
      <c r="N1974">
        <v>2750</v>
      </c>
      <c r="O1974">
        <v>24</v>
      </c>
      <c r="P1974">
        <v>12</v>
      </c>
      <c r="Q1974">
        <v>0</v>
      </c>
      <c r="R1974">
        <v>275277562</v>
      </c>
      <c r="S1974">
        <v>551625.4</v>
      </c>
      <c r="T1974">
        <v>274725936.60000002</v>
      </c>
      <c r="U1974">
        <v>274725936.60000002</v>
      </c>
      <c r="V1974">
        <v>0</v>
      </c>
      <c r="W1974">
        <v>0</v>
      </c>
      <c r="Y1974" t="s">
        <v>2</v>
      </c>
      <c r="Z1974">
        <v>4500</v>
      </c>
      <c r="AA1974">
        <v>24</v>
      </c>
      <c r="AB1974">
        <v>65</v>
      </c>
      <c r="AC1974">
        <v>0</v>
      </c>
      <c r="AD1974">
        <v>1706154076</v>
      </c>
      <c r="AE1974">
        <v>2538101.46</v>
      </c>
      <c r="AF1974">
        <v>1703615974.54</v>
      </c>
      <c r="AG1974">
        <v>1703615974.54</v>
      </c>
      <c r="AH1974">
        <v>0</v>
      </c>
      <c r="AI1974">
        <v>0</v>
      </c>
    </row>
    <row r="1975" spans="13:35" x14ac:dyDescent="0.35">
      <c r="M1975" t="s">
        <v>2</v>
      </c>
      <c r="N1975">
        <v>2500</v>
      </c>
      <c r="O1975">
        <v>24</v>
      </c>
      <c r="P1975">
        <v>2</v>
      </c>
      <c r="Q1975">
        <v>0</v>
      </c>
      <c r="R1975">
        <v>48340551</v>
      </c>
      <c r="S1975">
        <v>100939.21</v>
      </c>
      <c r="T1975">
        <v>48239611.789999999</v>
      </c>
      <c r="U1975">
        <v>48239611.789999999</v>
      </c>
      <c r="V1975">
        <v>0</v>
      </c>
      <c r="W1975">
        <v>0</v>
      </c>
      <c r="Y1975" t="s">
        <v>3</v>
      </c>
      <c r="Z1975">
        <v>5250</v>
      </c>
      <c r="AA1975">
        <v>24</v>
      </c>
      <c r="AB1975">
        <v>5</v>
      </c>
      <c r="AC1975">
        <v>0</v>
      </c>
      <c r="AD1975">
        <v>132345968</v>
      </c>
      <c r="AE1975">
        <v>172839.84</v>
      </c>
      <c r="AF1975">
        <v>132173128.16</v>
      </c>
      <c r="AG1975">
        <v>132173128.16</v>
      </c>
      <c r="AH1975">
        <v>0</v>
      </c>
      <c r="AI1975">
        <v>0</v>
      </c>
    </row>
    <row r="1976" spans="13:35" x14ac:dyDescent="0.35">
      <c r="M1976" t="s">
        <v>2</v>
      </c>
      <c r="N1976">
        <v>3000</v>
      </c>
      <c r="O1976">
        <v>24</v>
      </c>
      <c r="P1976">
        <v>15</v>
      </c>
      <c r="Q1976">
        <v>0</v>
      </c>
      <c r="R1976">
        <v>240569164</v>
      </c>
      <c r="S1976">
        <v>469875.39</v>
      </c>
      <c r="T1976">
        <v>240099288.61000001</v>
      </c>
      <c r="U1976">
        <v>240099288.61000001</v>
      </c>
      <c r="V1976">
        <v>0</v>
      </c>
      <c r="W1976">
        <v>0</v>
      </c>
      <c r="Y1976" t="s">
        <v>0</v>
      </c>
      <c r="Z1976">
        <v>20000</v>
      </c>
      <c r="AA1976">
        <v>30</v>
      </c>
      <c r="AB1976">
        <v>1</v>
      </c>
      <c r="AC1976">
        <v>0</v>
      </c>
      <c r="AD1976">
        <v>18371569</v>
      </c>
      <c r="AE1976">
        <v>11990.13</v>
      </c>
      <c r="AF1976">
        <v>18359578.870000001</v>
      </c>
      <c r="AG1976">
        <v>18359578.870000001</v>
      </c>
      <c r="AH1976">
        <v>0</v>
      </c>
      <c r="AI1976">
        <v>0</v>
      </c>
    </row>
    <row r="1977" spans="13:35" x14ac:dyDescent="0.35">
      <c r="M1977" t="s">
        <v>1</v>
      </c>
      <c r="N1977">
        <v>3000</v>
      </c>
      <c r="O1977">
        <v>24</v>
      </c>
      <c r="P1977">
        <v>5</v>
      </c>
      <c r="Q1977">
        <v>0</v>
      </c>
      <c r="R1977">
        <v>118764431</v>
      </c>
      <c r="S1977">
        <v>252074.39</v>
      </c>
      <c r="T1977">
        <v>118512356.61</v>
      </c>
      <c r="U1977">
        <v>118512356.61</v>
      </c>
      <c r="V1977">
        <v>0</v>
      </c>
      <c r="W1977">
        <v>0</v>
      </c>
      <c r="Y1977" t="s">
        <v>1</v>
      </c>
      <c r="Z1977">
        <v>2750</v>
      </c>
      <c r="AA1977">
        <v>24</v>
      </c>
      <c r="AB1977">
        <v>10</v>
      </c>
      <c r="AC1977">
        <v>0</v>
      </c>
      <c r="AD1977">
        <v>500716312</v>
      </c>
      <c r="AE1977">
        <v>1072897.24</v>
      </c>
      <c r="AF1977">
        <v>499643414.75999999</v>
      </c>
      <c r="AG1977">
        <v>499643414.75999999</v>
      </c>
      <c r="AH1977">
        <v>0</v>
      </c>
      <c r="AI1977">
        <v>0</v>
      </c>
    </row>
    <row r="1978" spans="13:35" x14ac:dyDescent="0.35">
      <c r="M1978" t="s">
        <v>2</v>
      </c>
      <c r="N1978">
        <v>3500</v>
      </c>
      <c r="O1978">
        <v>24</v>
      </c>
      <c r="P1978">
        <v>11</v>
      </c>
      <c r="Q1978">
        <v>0</v>
      </c>
      <c r="R1978">
        <v>199842305</v>
      </c>
      <c r="S1978">
        <v>363909.76</v>
      </c>
      <c r="T1978">
        <v>199478395.24000001</v>
      </c>
      <c r="U1978">
        <v>199478395.24000001</v>
      </c>
      <c r="V1978">
        <v>0</v>
      </c>
      <c r="W1978">
        <v>0</v>
      </c>
      <c r="Y1978" t="s">
        <v>2</v>
      </c>
      <c r="Z1978">
        <v>3000</v>
      </c>
      <c r="AA1978">
        <v>24</v>
      </c>
      <c r="AB1978">
        <v>13</v>
      </c>
      <c r="AC1978">
        <v>0</v>
      </c>
      <c r="AD1978">
        <v>217849459</v>
      </c>
      <c r="AE1978">
        <v>426167.94</v>
      </c>
      <c r="AF1978">
        <v>217423291.06</v>
      </c>
      <c r="AG1978">
        <v>217423291.06</v>
      </c>
      <c r="AH1978">
        <v>0</v>
      </c>
      <c r="AI1978">
        <v>0</v>
      </c>
    </row>
    <row r="1979" spans="13:35" x14ac:dyDescent="0.35">
      <c r="M1979" t="s">
        <v>2</v>
      </c>
      <c r="N1979">
        <v>3750</v>
      </c>
      <c r="O1979">
        <v>24</v>
      </c>
      <c r="P1979">
        <v>20</v>
      </c>
      <c r="Q1979">
        <v>0</v>
      </c>
      <c r="R1979">
        <v>271095652</v>
      </c>
      <c r="S1979">
        <v>465707.26</v>
      </c>
      <c r="T1979">
        <v>270629944.74000001</v>
      </c>
      <c r="U1979">
        <v>270629944.74000001</v>
      </c>
      <c r="V1979">
        <v>0</v>
      </c>
      <c r="W1979">
        <v>0</v>
      </c>
      <c r="Y1979" t="s">
        <v>1</v>
      </c>
      <c r="Z1979">
        <v>3000</v>
      </c>
      <c r="AA1979">
        <v>24</v>
      </c>
      <c r="AB1979">
        <v>8</v>
      </c>
      <c r="AC1979">
        <v>0</v>
      </c>
      <c r="AD1979">
        <v>210345408</v>
      </c>
      <c r="AE1979">
        <v>446771.96</v>
      </c>
      <c r="AF1979">
        <v>209898636.03999999</v>
      </c>
      <c r="AG1979">
        <v>209898636.03999999</v>
      </c>
      <c r="AH1979">
        <v>0</v>
      </c>
      <c r="AI1979">
        <v>0</v>
      </c>
    </row>
    <row r="1980" spans="13:35" x14ac:dyDescent="0.35">
      <c r="M1980" t="s">
        <v>2</v>
      </c>
      <c r="N1980">
        <v>2250</v>
      </c>
      <c r="O1980">
        <v>24</v>
      </c>
      <c r="P1980">
        <v>1</v>
      </c>
      <c r="Q1980">
        <v>0</v>
      </c>
      <c r="R1980">
        <v>16785033</v>
      </c>
      <c r="S1980">
        <v>35620</v>
      </c>
      <c r="T1980">
        <v>16749413</v>
      </c>
      <c r="U1980">
        <v>16749413</v>
      </c>
      <c r="V1980">
        <v>0</v>
      </c>
      <c r="W1980">
        <v>0</v>
      </c>
      <c r="Y1980" t="s">
        <v>2</v>
      </c>
      <c r="Z1980">
        <v>3750</v>
      </c>
      <c r="AA1980">
        <v>24</v>
      </c>
      <c r="AB1980">
        <v>24</v>
      </c>
      <c r="AC1980">
        <v>0</v>
      </c>
      <c r="AD1980">
        <v>338604797</v>
      </c>
      <c r="AE1980">
        <v>582866.47</v>
      </c>
      <c r="AF1980">
        <v>323111906.58999997</v>
      </c>
      <c r="AG1980">
        <v>338021930.52999997</v>
      </c>
      <c r="AH1980">
        <v>0.41748000000000002</v>
      </c>
      <c r="AI1980">
        <v>0</v>
      </c>
    </row>
    <row r="1981" spans="13:35" x14ac:dyDescent="0.35">
      <c r="M1981" t="s">
        <v>0</v>
      </c>
      <c r="N1981">
        <v>3500</v>
      </c>
      <c r="O1981">
        <v>24</v>
      </c>
      <c r="P1981">
        <v>3</v>
      </c>
      <c r="Q1981">
        <v>0</v>
      </c>
      <c r="R1981">
        <v>59534981</v>
      </c>
      <c r="S1981">
        <v>104419.53</v>
      </c>
      <c r="T1981">
        <v>59430561.469999999</v>
      </c>
      <c r="U1981">
        <v>59430561.469999999</v>
      </c>
      <c r="V1981">
        <v>0</v>
      </c>
      <c r="W1981">
        <v>0</v>
      </c>
      <c r="Y1981" t="s">
        <v>0</v>
      </c>
      <c r="Z1981">
        <v>3250</v>
      </c>
      <c r="AA1981">
        <v>24</v>
      </c>
      <c r="AB1981">
        <v>5</v>
      </c>
      <c r="AC1981">
        <v>0</v>
      </c>
      <c r="AD1981">
        <v>133326269</v>
      </c>
      <c r="AE1981">
        <v>243549.1</v>
      </c>
      <c r="AF1981">
        <v>133082719.90000001</v>
      </c>
      <c r="AG1981">
        <v>133082719.90000001</v>
      </c>
      <c r="AH1981">
        <v>0</v>
      </c>
      <c r="AI1981">
        <v>0</v>
      </c>
    </row>
    <row r="1982" spans="13:35" x14ac:dyDescent="0.35">
      <c r="M1982" t="s">
        <v>0</v>
      </c>
      <c r="N1982">
        <v>3000</v>
      </c>
      <c r="O1982">
        <v>24</v>
      </c>
      <c r="P1982">
        <v>1</v>
      </c>
      <c r="Q1982">
        <v>0</v>
      </c>
      <c r="R1982">
        <v>14837287</v>
      </c>
      <c r="S1982">
        <v>28106.78</v>
      </c>
      <c r="T1982">
        <v>14809180.220000001</v>
      </c>
      <c r="U1982">
        <v>14809180.220000001</v>
      </c>
      <c r="V1982">
        <v>0</v>
      </c>
      <c r="W1982">
        <v>0</v>
      </c>
      <c r="Y1982" t="s">
        <v>0</v>
      </c>
      <c r="Z1982">
        <v>3500</v>
      </c>
      <c r="AA1982">
        <v>24</v>
      </c>
      <c r="AB1982">
        <v>3</v>
      </c>
      <c r="AC1982">
        <v>0</v>
      </c>
      <c r="AD1982">
        <v>51073579</v>
      </c>
      <c r="AE1982">
        <v>89867.17</v>
      </c>
      <c r="AF1982">
        <v>50983711.829999998</v>
      </c>
      <c r="AG1982">
        <v>50983711.829999998</v>
      </c>
      <c r="AH1982">
        <v>0</v>
      </c>
      <c r="AI1982">
        <v>0</v>
      </c>
    </row>
    <row r="1983" spans="13:35" x14ac:dyDescent="0.35">
      <c r="M1983" t="s">
        <v>0</v>
      </c>
      <c r="N1983">
        <v>2750</v>
      </c>
      <c r="O1983">
        <v>24</v>
      </c>
      <c r="P1983">
        <v>1</v>
      </c>
      <c r="Q1983">
        <v>0</v>
      </c>
      <c r="R1983">
        <v>30520919</v>
      </c>
      <c r="S1983">
        <v>59895.37</v>
      </c>
      <c r="T1983">
        <v>30461023.629999999</v>
      </c>
      <c r="U1983">
        <v>30461023.629999999</v>
      </c>
      <c r="V1983">
        <v>0</v>
      </c>
      <c r="W1983">
        <v>0</v>
      </c>
      <c r="Y1983" t="s">
        <v>2</v>
      </c>
      <c r="Z1983">
        <v>4000</v>
      </c>
      <c r="AA1983">
        <v>24</v>
      </c>
      <c r="AB1983">
        <v>13</v>
      </c>
      <c r="AC1983">
        <v>0</v>
      </c>
      <c r="AD1983">
        <v>222077068</v>
      </c>
      <c r="AE1983">
        <v>380327.51</v>
      </c>
      <c r="AF1983">
        <v>206715390.09999999</v>
      </c>
      <c r="AG1983">
        <v>206715390.09999999</v>
      </c>
      <c r="AH1983">
        <v>0.56747700000000001</v>
      </c>
      <c r="AI1983">
        <v>0.56747700000000001</v>
      </c>
    </row>
    <row r="1984" spans="13:35" x14ac:dyDescent="0.35">
      <c r="M1984" t="s">
        <v>1</v>
      </c>
      <c r="N1984">
        <v>2500</v>
      </c>
      <c r="O1984">
        <v>24</v>
      </c>
      <c r="P1984">
        <v>8</v>
      </c>
      <c r="Q1984">
        <v>0</v>
      </c>
      <c r="R1984">
        <v>270523825</v>
      </c>
      <c r="S1984">
        <v>620579.76</v>
      </c>
      <c r="T1984">
        <v>269903245.24000001</v>
      </c>
      <c r="U1984">
        <v>269903245.24000001</v>
      </c>
      <c r="V1984">
        <v>0</v>
      </c>
      <c r="W1984">
        <v>0</v>
      </c>
      <c r="Y1984" t="s">
        <v>1</v>
      </c>
      <c r="Z1984">
        <v>9000</v>
      </c>
      <c r="AA1984">
        <v>24</v>
      </c>
      <c r="AB1984">
        <v>7</v>
      </c>
      <c r="AC1984">
        <v>0</v>
      </c>
      <c r="AD1984">
        <v>140753210</v>
      </c>
      <c r="AE1984">
        <v>96867.13</v>
      </c>
      <c r="AF1984">
        <v>140656342.87</v>
      </c>
      <c r="AG1984">
        <v>140656342.87</v>
      </c>
      <c r="AH1984">
        <v>0</v>
      </c>
      <c r="AI1984">
        <v>0</v>
      </c>
    </row>
    <row r="1985" spans="13:35" x14ac:dyDescent="0.35">
      <c r="M1985" t="s">
        <v>2</v>
      </c>
      <c r="N1985">
        <v>3000</v>
      </c>
      <c r="O1985">
        <v>20</v>
      </c>
      <c r="P1985">
        <v>2</v>
      </c>
      <c r="Q1985">
        <v>0</v>
      </c>
      <c r="R1985">
        <v>28244465</v>
      </c>
      <c r="S1985">
        <v>53803.67</v>
      </c>
      <c r="T1985">
        <v>28190661.329999998</v>
      </c>
      <c r="U1985">
        <v>28190661.329999998</v>
      </c>
      <c r="V1985">
        <v>0</v>
      </c>
      <c r="W1985">
        <v>0</v>
      </c>
      <c r="Y1985" t="s">
        <v>2</v>
      </c>
      <c r="Z1985">
        <v>2500</v>
      </c>
      <c r="AA1985">
        <v>24</v>
      </c>
      <c r="AB1985">
        <v>2</v>
      </c>
      <c r="AC1985">
        <v>0</v>
      </c>
      <c r="AD1985">
        <v>48365892</v>
      </c>
      <c r="AE1985">
        <v>100579.64</v>
      </c>
      <c r="AF1985">
        <v>48265312.359999999</v>
      </c>
      <c r="AG1985">
        <v>48265312.359999999</v>
      </c>
      <c r="AH1985">
        <v>0</v>
      </c>
      <c r="AI1985">
        <v>0</v>
      </c>
    </row>
    <row r="1986" spans="13:35" x14ac:dyDescent="0.35">
      <c r="M1986" t="s">
        <v>0</v>
      </c>
      <c r="N1986">
        <v>3500</v>
      </c>
      <c r="O1986">
        <v>20</v>
      </c>
      <c r="P1986">
        <v>3</v>
      </c>
      <c r="Q1986">
        <v>0</v>
      </c>
      <c r="R1986">
        <v>136007281</v>
      </c>
      <c r="S1986">
        <v>235615.65</v>
      </c>
      <c r="T1986">
        <v>135771665.34999999</v>
      </c>
      <c r="U1986">
        <v>135771665.34999999</v>
      </c>
      <c r="V1986">
        <v>0</v>
      </c>
      <c r="W1986">
        <v>0</v>
      </c>
      <c r="Y1986" t="s">
        <v>2</v>
      </c>
      <c r="Z1986">
        <v>2250</v>
      </c>
      <c r="AA1986">
        <v>24</v>
      </c>
      <c r="AB1986">
        <v>2</v>
      </c>
      <c r="AC1986">
        <v>0</v>
      </c>
      <c r="AD1986">
        <v>37912459</v>
      </c>
      <c r="AE1986">
        <v>87766.44</v>
      </c>
      <c r="AF1986">
        <v>37824692.560000002</v>
      </c>
      <c r="AG1986">
        <v>37824692.560000002</v>
      </c>
      <c r="AH1986">
        <v>0</v>
      </c>
      <c r="AI1986">
        <v>0</v>
      </c>
    </row>
    <row r="1987" spans="13:35" x14ac:dyDescent="0.35">
      <c r="M1987" t="s">
        <v>2</v>
      </c>
      <c r="N1987">
        <v>3750</v>
      </c>
      <c r="O1987">
        <v>20</v>
      </c>
      <c r="P1987">
        <v>5</v>
      </c>
      <c r="Q1987">
        <v>0</v>
      </c>
      <c r="R1987">
        <v>113603815</v>
      </c>
      <c r="S1987">
        <v>190908.41</v>
      </c>
      <c r="T1987">
        <v>113412906.59</v>
      </c>
      <c r="U1987">
        <v>113412906.59</v>
      </c>
      <c r="V1987">
        <v>0</v>
      </c>
      <c r="W1987">
        <v>0</v>
      </c>
      <c r="Y1987" t="s">
        <v>1</v>
      </c>
      <c r="Z1987">
        <v>2250</v>
      </c>
      <c r="AA1987">
        <v>20</v>
      </c>
      <c r="AB1987">
        <v>5</v>
      </c>
      <c r="AC1987">
        <v>0</v>
      </c>
      <c r="AD1987">
        <v>158913383</v>
      </c>
      <c r="AE1987">
        <v>377478.18</v>
      </c>
      <c r="AF1987">
        <v>158535904.81999999</v>
      </c>
      <c r="AG1987">
        <v>158535904.81999999</v>
      </c>
      <c r="AH1987">
        <v>0</v>
      </c>
      <c r="AI1987">
        <v>0</v>
      </c>
    </row>
    <row r="1988" spans="13:35" x14ac:dyDescent="0.35">
      <c r="M1988" t="s">
        <v>0</v>
      </c>
      <c r="N1988">
        <v>3250</v>
      </c>
      <c r="O1988">
        <v>20</v>
      </c>
      <c r="P1988">
        <v>2</v>
      </c>
      <c r="Q1988">
        <v>0</v>
      </c>
      <c r="R1988">
        <v>39452315</v>
      </c>
      <c r="S1988">
        <v>71069.25</v>
      </c>
      <c r="T1988">
        <v>39381245.75</v>
      </c>
      <c r="U1988">
        <v>39381245.75</v>
      </c>
      <c r="V1988">
        <v>0</v>
      </c>
      <c r="W1988">
        <v>0</v>
      </c>
      <c r="Y1988" t="s">
        <v>2</v>
      </c>
      <c r="Z1988">
        <v>3000</v>
      </c>
      <c r="AA1988">
        <v>20</v>
      </c>
      <c r="AB1988">
        <v>4</v>
      </c>
      <c r="AC1988">
        <v>0</v>
      </c>
      <c r="AD1988">
        <v>66625369</v>
      </c>
      <c r="AE1988">
        <v>126058.05</v>
      </c>
      <c r="AF1988">
        <v>66499310.950000003</v>
      </c>
      <c r="AG1988">
        <v>66499310.950000003</v>
      </c>
      <c r="AH1988">
        <v>0</v>
      </c>
      <c r="AI1988">
        <v>0</v>
      </c>
    </row>
    <row r="1989" spans="13:35" x14ac:dyDescent="0.35">
      <c r="M1989" t="s">
        <v>0</v>
      </c>
      <c r="N1989">
        <v>3750</v>
      </c>
      <c r="O1989">
        <v>20</v>
      </c>
      <c r="P1989">
        <v>34</v>
      </c>
      <c r="Q1989">
        <v>0</v>
      </c>
      <c r="R1989">
        <v>1084811854</v>
      </c>
      <c r="S1989">
        <v>1789610.69</v>
      </c>
      <c r="T1989">
        <v>1083022243.3099999</v>
      </c>
      <c r="U1989">
        <v>1083022243.3099999</v>
      </c>
      <c r="V1989">
        <v>0</v>
      </c>
      <c r="W1989">
        <v>0</v>
      </c>
      <c r="Y1989" t="s">
        <v>2</v>
      </c>
      <c r="Z1989">
        <v>2750</v>
      </c>
      <c r="AA1989">
        <v>20</v>
      </c>
      <c r="AB1989">
        <v>5</v>
      </c>
      <c r="AC1989">
        <v>0</v>
      </c>
      <c r="AD1989">
        <v>96595462</v>
      </c>
      <c r="AE1989">
        <v>188355.84</v>
      </c>
      <c r="AF1989">
        <v>96407106.159999996</v>
      </c>
      <c r="AG1989">
        <v>96407106.159999996</v>
      </c>
      <c r="AH1989">
        <v>0</v>
      </c>
      <c r="AI1989">
        <v>0</v>
      </c>
    </row>
    <row r="1990" spans="13:35" x14ac:dyDescent="0.35">
      <c r="M1990" t="s">
        <v>1</v>
      </c>
      <c r="N1990">
        <v>3750</v>
      </c>
      <c r="O1990">
        <v>20</v>
      </c>
      <c r="P1990">
        <v>27</v>
      </c>
      <c r="Q1990">
        <v>0</v>
      </c>
      <c r="R1990">
        <v>920867952</v>
      </c>
      <c r="S1990">
        <v>1593421.33</v>
      </c>
      <c r="T1990">
        <v>919274530.66999996</v>
      </c>
      <c r="U1990">
        <v>919274530.66999996</v>
      </c>
      <c r="V1990">
        <v>0</v>
      </c>
      <c r="W1990">
        <v>0</v>
      </c>
      <c r="Y1990" t="s">
        <v>0</v>
      </c>
      <c r="Z1990">
        <v>2750</v>
      </c>
      <c r="AA1990">
        <v>24</v>
      </c>
      <c r="AB1990">
        <v>1</v>
      </c>
      <c r="AC1990">
        <v>0</v>
      </c>
      <c r="AD1990">
        <v>30520919</v>
      </c>
      <c r="AE1990">
        <v>59641.64</v>
      </c>
      <c r="AF1990">
        <v>30461277.359999999</v>
      </c>
      <c r="AG1990">
        <v>30461277.359999999</v>
      </c>
      <c r="AH1990">
        <v>0</v>
      </c>
      <c r="AI1990">
        <v>0</v>
      </c>
    </row>
    <row r="1991" spans="13:35" x14ac:dyDescent="0.35">
      <c r="M1991" t="s">
        <v>0</v>
      </c>
      <c r="N1991">
        <v>4000</v>
      </c>
      <c r="O1991">
        <v>20</v>
      </c>
      <c r="P1991">
        <v>136</v>
      </c>
      <c r="Q1991">
        <v>0</v>
      </c>
      <c r="R1991">
        <v>4487922049</v>
      </c>
      <c r="S1991">
        <v>7110045.4299999997</v>
      </c>
      <c r="T1991">
        <v>4480812003.5699997</v>
      </c>
      <c r="U1991">
        <v>4480812003.5699997</v>
      </c>
      <c r="V1991">
        <v>0</v>
      </c>
      <c r="W1991">
        <v>0</v>
      </c>
      <c r="Y1991" t="s">
        <v>1</v>
      </c>
      <c r="Z1991">
        <v>3250</v>
      </c>
      <c r="AA1991">
        <v>20</v>
      </c>
      <c r="AB1991">
        <v>10</v>
      </c>
      <c r="AC1991">
        <v>0</v>
      </c>
      <c r="AD1991">
        <v>310007262</v>
      </c>
      <c r="AE1991">
        <v>576584.55000000005</v>
      </c>
      <c r="AF1991">
        <v>309430677.44999999</v>
      </c>
      <c r="AG1991">
        <v>309430677.44999999</v>
      </c>
      <c r="AH1991">
        <v>0</v>
      </c>
      <c r="AI1991">
        <v>0</v>
      </c>
    </row>
    <row r="1992" spans="13:35" x14ac:dyDescent="0.35">
      <c r="M1992" t="s">
        <v>1</v>
      </c>
      <c r="N1992">
        <v>4000</v>
      </c>
      <c r="O1992">
        <v>20</v>
      </c>
      <c r="P1992">
        <v>66</v>
      </c>
      <c r="Q1992">
        <v>0</v>
      </c>
      <c r="R1992">
        <v>2133519572</v>
      </c>
      <c r="S1992">
        <v>3439859.99</v>
      </c>
      <c r="T1992">
        <v>2130079712.01</v>
      </c>
      <c r="U1992">
        <v>2130079712.01</v>
      </c>
      <c r="V1992">
        <v>0</v>
      </c>
      <c r="W1992">
        <v>0</v>
      </c>
      <c r="Y1992" t="s">
        <v>2</v>
      </c>
      <c r="Z1992">
        <v>3250</v>
      </c>
      <c r="AA1992">
        <v>20</v>
      </c>
      <c r="AB1992">
        <v>9</v>
      </c>
      <c r="AC1992">
        <v>0</v>
      </c>
      <c r="AD1992">
        <v>154048421</v>
      </c>
      <c r="AE1992">
        <v>279709.03000000003</v>
      </c>
      <c r="AF1992">
        <v>153768711.97</v>
      </c>
      <c r="AG1992">
        <v>153768711.97</v>
      </c>
      <c r="AH1992">
        <v>0</v>
      </c>
      <c r="AI1992">
        <v>0</v>
      </c>
    </row>
    <row r="1993" spans="13:35" x14ac:dyDescent="0.35">
      <c r="M1993" t="s">
        <v>1</v>
      </c>
      <c r="N1993">
        <v>4250</v>
      </c>
      <c r="O1993">
        <v>20</v>
      </c>
      <c r="P1993">
        <v>229</v>
      </c>
      <c r="Q1993">
        <v>0</v>
      </c>
      <c r="R1993">
        <v>7744272775</v>
      </c>
      <c r="S1993">
        <v>11817868.619999999</v>
      </c>
      <c r="T1993">
        <v>7732454906.3800001</v>
      </c>
      <c r="U1993">
        <v>7732454906.3800001</v>
      </c>
      <c r="V1993">
        <v>0</v>
      </c>
      <c r="W1993">
        <v>0</v>
      </c>
      <c r="Y1993" t="s">
        <v>1</v>
      </c>
      <c r="Z1993">
        <v>4000</v>
      </c>
      <c r="AA1993">
        <v>20</v>
      </c>
      <c r="AB1993">
        <v>24</v>
      </c>
      <c r="AC1993">
        <v>0</v>
      </c>
      <c r="AD1993">
        <v>836621472</v>
      </c>
      <c r="AE1993">
        <v>1363711.85</v>
      </c>
      <c r="AF1993">
        <v>835257760.14999998</v>
      </c>
      <c r="AG1993">
        <v>835257760.14999998</v>
      </c>
      <c r="AH1993">
        <v>0</v>
      </c>
      <c r="AI1993">
        <v>0</v>
      </c>
    </row>
    <row r="1994" spans="13:35" x14ac:dyDescent="0.35">
      <c r="M1994" t="s">
        <v>2</v>
      </c>
      <c r="N1994">
        <v>4250</v>
      </c>
      <c r="O1994">
        <v>20</v>
      </c>
      <c r="P1994">
        <v>15</v>
      </c>
      <c r="Q1994">
        <v>0</v>
      </c>
      <c r="R1994">
        <v>320494107</v>
      </c>
      <c r="S1994">
        <v>490636.15</v>
      </c>
      <c r="T1994">
        <v>320003470.85000002</v>
      </c>
      <c r="U1994">
        <v>320003470.85000002</v>
      </c>
      <c r="V1994">
        <v>0</v>
      </c>
      <c r="W1994">
        <v>0</v>
      </c>
      <c r="Y1994" t="s">
        <v>1</v>
      </c>
      <c r="Z1994">
        <v>4250</v>
      </c>
      <c r="AA1994">
        <v>20</v>
      </c>
      <c r="AB1994">
        <v>107</v>
      </c>
      <c r="AC1994">
        <v>0</v>
      </c>
      <c r="AD1994">
        <v>3436116450</v>
      </c>
      <c r="AE1994">
        <v>5263853.4000000004</v>
      </c>
      <c r="AF1994">
        <v>3430852596.5999999</v>
      </c>
      <c r="AG1994">
        <v>3430852596.5999999</v>
      </c>
      <c r="AH1994">
        <v>0</v>
      </c>
      <c r="AI1994">
        <v>0</v>
      </c>
    </row>
    <row r="1995" spans="13:35" x14ac:dyDescent="0.35">
      <c r="M1995" t="s">
        <v>1</v>
      </c>
      <c r="N1995">
        <v>4500</v>
      </c>
      <c r="O1995">
        <v>20</v>
      </c>
      <c r="P1995">
        <v>419</v>
      </c>
      <c r="Q1995">
        <v>0</v>
      </c>
      <c r="R1995">
        <v>13944875455</v>
      </c>
      <c r="S1995">
        <v>20380684.030000001</v>
      </c>
      <c r="T1995">
        <v>13901093838.389999</v>
      </c>
      <c r="U1995">
        <v>13901093838.389999</v>
      </c>
      <c r="V1995">
        <v>1.9952000000000001E-2</v>
      </c>
      <c r="W1995">
        <v>1.9952000000000001E-2</v>
      </c>
      <c r="Y1995" t="s">
        <v>1</v>
      </c>
      <c r="Z1995">
        <v>3750</v>
      </c>
      <c r="AA1995">
        <v>20</v>
      </c>
      <c r="AB1995">
        <v>21</v>
      </c>
      <c r="AC1995">
        <v>0</v>
      </c>
      <c r="AD1995">
        <v>740309550</v>
      </c>
      <c r="AE1995">
        <v>1276029.99</v>
      </c>
      <c r="AF1995">
        <v>739033520.00999999</v>
      </c>
      <c r="AG1995">
        <v>739033520.00999999</v>
      </c>
      <c r="AH1995">
        <v>0</v>
      </c>
      <c r="AI1995">
        <v>0</v>
      </c>
    </row>
    <row r="1996" spans="13:35" x14ac:dyDescent="0.35">
      <c r="M1996" t="s">
        <v>0</v>
      </c>
      <c r="N1996">
        <v>4250</v>
      </c>
      <c r="O1996">
        <v>20</v>
      </c>
      <c r="P1996">
        <v>635</v>
      </c>
      <c r="Q1996">
        <v>0</v>
      </c>
      <c r="R1996">
        <v>18634102266</v>
      </c>
      <c r="S1996">
        <v>28273724.760000002</v>
      </c>
      <c r="T1996">
        <v>18605828541.240002</v>
      </c>
      <c r="U1996">
        <v>18605828541.240002</v>
      </c>
      <c r="V1996">
        <v>0</v>
      </c>
      <c r="W1996">
        <v>0</v>
      </c>
      <c r="Y1996" t="s">
        <v>2</v>
      </c>
      <c r="Z1996">
        <v>4000</v>
      </c>
      <c r="AA1996">
        <v>20</v>
      </c>
      <c r="AB1996">
        <v>6</v>
      </c>
      <c r="AC1996">
        <v>0</v>
      </c>
      <c r="AD1996">
        <v>54323691</v>
      </c>
      <c r="AE1996">
        <v>87383.39</v>
      </c>
      <c r="AF1996">
        <v>54236307.609999999</v>
      </c>
      <c r="AG1996">
        <v>54236307.609999999</v>
      </c>
      <c r="AH1996">
        <v>0</v>
      </c>
      <c r="AI1996">
        <v>0</v>
      </c>
    </row>
    <row r="1997" spans="13:35" x14ac:dyDescent="0.35">
      <c r="M1997" t="s">
        <v>2</v>
      </c>
      <c r="N1997">
        <v>4500</v>
      </c>
      <c r="O1997">
        <v>20</v>
      </c>
      <c r="P1997">
        <v>48</v>
      </c>
      <c r="Q1997">
        <v>0</v>
      </c>
      <c r="R1997">
        <v>1159643592</v>
      </c>
      <c r="S1997">
        <v>1693526.23</v>
      </c>
      <c r="T1997">
        <v>1157950065.77</v>
      </c>
      <c r="U1997">
        <v>1157950065.77</v>
      </c>
      <c r="V1997">
        <v>0</v>
      </c>
      <c r="W1997">
        <v>0</v>
      </c>
      <c r="Y1997" t="s">
        <v>0</v>
      </c>
      <c r="Z1997">
        <v>3750</v>
      </c>
      <c r="AA1997">
        <v>20</v>
      </c>
      <c r="AB1997">
        <v>9</v>
      </c>
      <c r="AC1997">
        <v>0</v>
      </c>
      <c r="AD1997">
        <v>323108960</v>
      </c>
      <c r="AE1997">
        <v>533888.62</v>
      </c>
      <c r="AF1997">
        <v>322575071.38</v>
      </c>
      <c r="AG1997">
        <v>322575071.38</v>
      </c>
      <c r="AH1997">
        <v>0</v>
      </c>
      <c r="AI1997">
        <v>0</v>
      </c>
    </row>
    <row r="1998" spans="13:35" x14ac:dyDescent="0.35">
      <c r="M1998" t="s">
        <v>3</v>
      </c>
      <c r="N1998">
        <v>5250</v>
      </c>
      <c r="O1998">
        <v>20</v>
      </c>
      <c r="P1998">
        <v>5</v>
      </c>
      <c r="Q1998">
        <v>0</v>
      </c>
      <c r="R1998">
        <v>114725942</v>
      </c>
      <c r="S1998">
        <v>146806.82999999999</v>
      </c>
      <c r="T1998">
        <v>114579135.17</v>
      </c>
      <c r="U1998">
        <v>114579135.17</v>
      </c>
      <c r="V1998">
        <v>0</v>
      </c>
      <c r="W1998">
        <v>0</v>
      </c>
      <c r="Y1998" t="s">
        <v>1</v>
      </c>
      <c r="Z1998">
        <v>4500</v>
      </c>
      <c r="AA1998">
        <v>20</v>
      </c>
      <c r="AB1998">
        <v>239</v>
      </c>
      <c r="AC1998">
        <v>0</v>
      </c>
      <c r="AD1998">
        <v>7873178776</v>
      </c>
      <c r="AE1998">
        <v>11516238.960000001</v>
      </c>
      <c r="AF1998">
        <v>7832140554.96</v>
      </c>
      <c r="AG1998">
        <v>7832140554.96</v>
      </c>
      <c r="AH1998">
        <v>4.4080000000000001E-2</v>
      </c>
      <c r="AI1998">
        <v>4.4080000000000001E-2</v>
      </c>
    </row>
    <row r="1999" spans="13:35" x14ac:dyDescent="0.35">
      <c r="M1999" t="s">
        <v>1</v>
      </c>
      <c r="N1999">
        <v>8500</v>
      </c>
      <c r="O1999">
        <v>20</v>
      </c>
      <c r="P1999">
        <v>14</v>
      </c>
      <c r="Q1999">
        <v>0</v>
      </c>
      <c r="R1999">
        <v>339937065</v>
      </c>
      <c r="S1999">
        <v>239858.56</v>
      </c>
      <c r="T1999">
        <v>339697206.44</v>
      </c>
      <c r="U1999">
        <v>339697206.44</v>
      </c>
      <c r="V1999">
        <v>0</v>
      </c>
      <c r="W1999">
        <v>0</v>
      </c>
      <c r="Y1999" t="s">
        <v>1</v>
      </c>
      <c r="Z1999">
        <v>4750</v>
      </c>
      <c r="AA1999">
        <v>20</v>
      </c>
      <c r="AB1999">
        <v>338</v>
      </c>
      <c r="AC1999">
        <v>0</v>
      </c>
      <c r="AD1999">
        <v>11771397665</v>
      </c>
      <c r="AE1999">
        <v>16538140.75</v>
      </c>
      <c r="AF1999">
        <v>11731468433.940001</v>
      </c>
      <c r="AG1999">
        <v>11731468433.940001</v>
      </c>
      <c r="AH1999">
        <v>2.3585999999999999E-2</v>
      </c>
      <c r="AI1999">
        <v>2.3585999999999999E-2</v>
      </c>
    </row>
    <row r="2000" spans="13:35" x14ac:dyDescent="0.35">
      <c r="M2000" t="s">
        <v>2</v>
      </c>
      <c r="N2000">
        <v>8500</v>
      </c>
      <c r="O2000">
        <v>20</v>
      </c>
      <c r="P2000">
        <v>1</v>
      </c>
      <c r="Q2000">
        <v>0</v>
      </c>
      <c r="R2000">
        <v>3489466</v>
      </c>
      <c r="S2000">
        <v>2466.41</v>
      </c>
      <c r="T2000">
        <v>3486999.59</v>
      </c>
      <c r="U2000">
        <v>3486999.59</v>
      </c>
      <c r="V2000">
        <v>0</v>
      </c>
      <c r="W2000">
        <v>0</v>
      </c>
      <c r="Y2000" t="s">
        <v>0</v>
      </c>
      <c r="Z2000">
        <v>4250</v>
      </c>
      <c r="AA2000">
        <v>20</v>
      </c>
      <c r="AB2000">
        <v>221</v>
      </c>
      <c r="AC2000">
        <v>0</v>
      </c>
      <c r="AD2000">
        <v>6608167622</v>
      </c>
      <c r="AE2000">
        <v>10017604.24</v>
      </c>
      <c r="AF2000">
        <v>6598150017.7600002</v>
      </c>
      <c r="AG2000">
        <v>6598150017.7600002</v>
      </c>
      <c r="AH2000">
        <v>0</v>
      </c>
      <c r="AI2000">
        <v>0</v>
      </c>
    </row>
    <row r="2001" spans="13:35" x14ac:dyDescent="0.35">
      <c r="M2001" t="s">
        <v>1</v>
      </c>
      <c r="N2001">
        <v>9000</v>
      </c>
      <c r="O2001">
        <v>20</v>
      </c>
      <c r="P2001">
        <v>1</v>
      </c>
      <c r="Q2001">
        <v>0</v>
      </c>
      <c r="R2001">
        <v>18478634</v>
      </c>
      <c r="S2001">
        <v>12447.72</v>
      </c>
      <c r="T2001">
        <v>18466186.280000001</v>
      </c>
      <c r="U2001">
        <v>18466186.280000001</v>
      </c>
      <c r="V2001">
        <v>0</v>
      </c>
      <c r="W2001">
        <v>0</v>
      </c>
      <c r="Y2001" t="s">
        <v>2</v>
      </c>
      <c r="Z2001">
        <v>4500</v>
      </c>
      <c r="AA2001">
        <v>20</v>
      </c>
      <c r="AB2001">
        <v>30</v>
      </c>
      <c r="AC2001">
        <v>0</v>
      </c>
      <c r="AD2001">
        <v>740661926</v>
      </c>
      <c r="AE2001">
        <v>1082233.58</v>
      </c>
      <c r="AF2001">
        <v>739579692.41999996</v>
      </c>
      <c r="AG2001">
        <v>739579692.41999996</v>
      </c>
      <c r="AH2001">
        <v>0</v>
      </c>
      <c r="AI2001">
        <v>0</v>
      </c>
    </row>
    <row r="2002" spans="13:35" x14ac:dyDescent="0.35">
      <c r="M2002" t="s">
        <v>1</v>
      </c>
      <c r="N2002">
        <v>2000</v>
      </c>
      <c r="O2002">
        <v>24</v>
      </c>
      <c r="P2002">
        <v>1</v>
      </c>
      <c r="Q2002">
        <v>0</v>
      </c>
      <c r="R2002">
        <v>29789295</v>
      </c>
      <c r="S2002">
        <v>77939.75</v>
      </c>
      <c r="T2002">
        <v>29711355.25</v>
      </c>
      <c r="U2002">
        <v>29711355.25</v>
      </c>
      <c r="V2002">
        <v>0</v>
      </c>
      <c r="W2002">
        <v>0</v>
      </c>
      <c r="Y2002" t="s">
        <v>2</v>
      </c>
      <c r="Z2002">
        <v>5000</v>
      </c>
      <c r="AA2002">
        <v>20</v>
      </c>
      <c r="AB2002">
        <v>71</v>
      </c>
      <c r="AC2002">
        <v>0</v>
      </c>
      <c r="AD2002">
        <v>1843043987</v>
      </c>
      <c r="AE2002">
        <v>2471931.86</v>
      </c>
      <c r="AF2002">
        <v>1840572055.1400001</v>
      </c>
      <c r="AG2002">
        <v>1840572055.1400001</v>
      </c>
      <c r="AH2002">
        <v>0</v>
      </c>
      <c r="AI2002">
        <v>0</v>
      </c>
    </row>
    <row r="2003" spans="13:35" x14ac:dyDescent="0.35">
      <c r="M2003" t="s">
        <v>1</v>
      </c>
      <c r="N2003">
        <v>2750</v>
      </c>
      <c r="O2003">
        <v>20</v>
      </c>
      <c r="P2003">
        <v>4</v>
      </c>
      <c r="Q2003">
        <v>0</v>
      </c>
      <c r="R2003">
        <v>191001754</v>
      </c>
      <c r="S2003">
        <v>426099.25</v>
      </c>
      <c r="T2003">
        <v>190575654.75</v>
      </c>
      <c r="U2003">
        <v>190575654.75</v>
      </c>
      <c r="V2003">
        <v>0</v>
      </c>
      <c r="W2003">
        <v>0</v>
      </c>
      <c r="Y2003" t="s">
        <v>3</v>
      </c>
      <c r="Z2003">
        <v>5500</v>
      </c>
      <c r="AA2003">
        <v>20</v>
      </c>
      <c r="AB2003">
        <v>1</v>
      </c>
      <c r="AC2003">
        <v>0</v>
      </c>
      <c r="AD2003">
        <v>37000434</v>
      </c>
      <c r="AE2003">
        <v>45416.38</v>
      </c>
      <c r="AF2003">
        <v>36955017.619999997</v>
      </c>
      <c r="AG2003">
        <v>36955017.619999997</v>
      </c>
      <c r="AH2003">
        <v>0</v>
      </c>
      <c r="AI2003">
        <v>0</v>
      </c>
    </row>
    <row r="2004" spans="13:35" x14ac:dyDescent="0.35">
      <c r="M2004" t="s">
        <v>2</v>
      </c>
      <c r="N2004">
        <v>3250</v>
      </c>
      <c r="O2004">
        <v>20</v>
      </c>
      <c r="P2004">
        <v>8</v>
      </c>
      <c r="Q2004">
        <v>0</v>
      </c>
      <c r="R2004">
        <v>110167068</v>
      </c>
      <c r="S2004">
        <v>199127.77</v>
      </c>
      <c r="T2004">
        <v>90217411.859999999</v>
      </c>
      <c r="U2004">
        <v>90217411.859999999</v>
      </c>
      <c r="V2004">
        <v>0.90659900000000004</v>
      </c>
      <c r="W2004">
        <v>0.90659900000000004</v>
      </c>
      <c r="Y2004" t="s">
        <v>3</v>
      </c>
      <c r="Z2004">
        <v>5750</v>
      </c>
      <c r="AA2004">
        <v>20</v>
      </c>
      <c r="AB2004">
        <v>4</v>
      </c>
      <c r="AC2004">
        <v>0</v>
      </c>
      <c r="AD2004">
        <v>99496406</v>
      </c>
      <c r="AE2004">
        <v>117281.86</v>
      </c>
      <c r="AF2004">
        <v>99379124.140000001</v>
      </c>
      <c r="AG2004">
        <v>99379124.140000001</v>
      </c>
      <c r="AH2004">
        <v>0</v>
      </c>
      <c r="AI2004">
        <v>0</v>
      </c>
    </row>
    <row r="2005" spans="13:35" x14ac:dyDescent="0.35">
      <c r="M2005" t="s">
        <v>2</v>
      </c>
      <c r="N2005">
        <v>2750</v>
      </c>
      <c r="O2005">
        <v>20</v>
      </c>
      <c r="P2005">
        <v>5</v>
      </c>
      <c r="Q2005">
        <v>0</v>
      </c>
      <c r="R2005">
        <v>73333221</v>
      </c>
      <c r="S2005">
        <v>142310.09</v>
      </c>
      <c r="T2005">
        <v>73190910.909999996</v>
      </c>
      <c r="U2005">
        <v>73190910.909999996</v>
      </c>
      <c r="V2005">
        <v>0</v>
      </c>
      <c r="W2005">
        <v>0</v>
      </c>
      <c r="Y2005" t="s">
        <v>1</v>
      </c>
      <c r="Z2005">
        <v>9000</v>
      </c>
      <c r="AA2005">
        <v>20</v>
      </c>
      <c r="AB2005">
        <v>8</v>
      </c>
      <c r="AC2005">
        <v>0</v>
      </c>
      <c r="AD2005">
        <v>241988794</v>
      </c>
      <c r="AE2005">
        <v>163233.31</v>
      </c>
      <c r="AF2005">
        <v>214467166.49000001</v>
      </c>
      <c r="AG2005">
        <v>214467166.49000001</v>
      </c>
      <c r="AH2005">
        <v>0.76299799999999995</v>
      </c>
      <c r="AI2005">
        <v>0.76299799999999995</v>
      </c>
    </row>
    <row r="2006" spans="13:35" x14ac:dyDescent="0.35">
      <c r="M2006" t="s">
        <v>0</v>
      </c>
      <c r="N2006">
        <v>2750</v>
      </c>
      <c r="O2006">
        <v>20</v>
      </c>
      <c r="P2006">
        <v>1</v>
      </c>
      <c r="Q2006">
        <v>0</v>
      </c>
      <c r="R2006">
        <v>42752519</v>
      </c>
      <c r="S2006">
        <v>82839.460000000006</v>
      </c>
      <c r="T2006">
        <v>42669679.539999999</v>
      </c>
      <c r="U2006">
        <v>42669679.539999999</v>
      </c>
      <c r="V2006">
        <v>0</v>
      </c>
      <c r="W2006">
        <v>0</v>
      </c>
      <c r="Y2006" t="s">
        <v>1</v>
      </c>
      <c r="Z2006">
        <v>8500</v>
      </c>
      <c r="AA2006">
        <v>20</v>
      </c>
      <c r="AB2006">
        <v>25</v>
      </c>
      <c r="AC2006">
        <v>0</v>
      </c>
      <c r="AD2006">
        <v>620075381</v>
      </c>
      <c r="AE2006">
        <v>436836.24</v>
      </c>
      <c r="AF2006">
        <v>619638544.75999999</v>
      </c>
      <c r="AG2006">
        <v>619638544.75999999</v>
      </c>
      <c r="AH2006">
        <v>0</v>
      </c>
      <c r="AI2006">
        <v>0</v>
      </c>
    </row>
    <row r="2007" spans="13:35" x14ac:dyDescent="0.35">
      <c r="M2007" t="s">
        <v>2</v>
      </c>
      <c r="N2007">
        <v>3500</v>
      </c>
      <c r="O2007">
        <v>20</v>
      </c>
      <c r="P2007">
        <v>8</v>
      </c>
      <c r="Q2007">
        <v>0</v>
      </c>
      <c r="R2007">
        <v>179112519</v>
      </c>
      <c r="S2007">
        <v>313524.08</v>
      </c>
      <c r="T2007">
        <v>178798994.91999999</v>
      </c>
      <c r="U2007">
        <v>178798994.91999999</v>
      </c>
      <c r="V2007">
        <v>0</v>
      </c>
      <c r="W2007">
        <v>0</v>
      </c>
      <c r="Y2007" t="s">
        <v>1</v>
      </c>
      <c r="Z2007">
        <v>2750</v>
      </c>
      <c r="AA2007">
        <v>20</v>
      </c>
      <c r="AB2007">
        <v>5</v>
      </c>
      <c r="AC2007">
        <v>0</v>
      </c>
      <c r="AD2007">
        <v>252095148</v>
      </c>
      <c r="AE2007">
        <v>553736.67000000004</v>
      </c>
      <c r="AF2007">
        <v>251541411.33000001</v>
      </c>
      <c r="AG2007">
        <v>251541411.33000001</v>
      </c>
      <c r="AH2007">
        <v>0</v>
      </c>
      <c r="AI2007">
        <v>0</v>
      </c>
    </row>
    <row r="2008" spans="13:35" x14ac:dyDescent="0.35">
      <c r="M2008" t="s">
        <v>1</v>
      </c>
      <c r="N2008">
        <v>3250</v>
      </c>
      <c r="O2008">
        <v>20</v>
      </c>
      <c r="P2008">
        <v>6</v>
      </c>
      <c r="Q2008">
        <v>0</v>
      </c>
      <c r="R2008">
        <v>171633175</v>
      </c>
      <c r="S2008">
        <v>321811.26</v>
      </c>
      <c r="T2008">
        <v>146263252.78</v>
      </c>
      <c r="U2008">
        <v>146263252.78</v>
      </c>
      <c r="V2008">
        <v>0.849387</v>
      </c>
      <c r="W2008">
        <v>0.849387</v>
      </c>
      <c r="Y2008" t="s">
        <v>1</v>
      </c>
      <c r="Z2008">
        <v>3500</v>
      </c>
      <c r="AA2008">
        <v>20</v>
      </c>
      <c r="AB2008">
        <v>8</v>
      </c>
      <c r="AC2008">
        <v>0</v>
      </c>
      <c r="AD2008">
        <v>261959020</v>
      </c>
      <c r="AE2008">
        <v>485452.01</v>
      </c>
      <c r="AF2008">
        <v>261473567.99000001</v>
      </c>
      <c r="AG2008">
        <v>261473567.99000001</v>
      </c>
      <c r="AH2008">
        <v>0</v>
      </c>
      <c r="AI2008">
        <v>0</v>
      </c>
    </row>
    <row r="2009" spans="13:35" x14ac:dyDescent="0.35">
      <c r="M2009" t="s">
        <v>2</v>
      </c>
      <c r="N2009">
        <v>4000</v>
      </c>
      <c r="O2009">
        <v>20</v>
      </c>
      <c r="P2009">
        <v>7</v>
      </c>
      <c r="Q2009">
        <v>0</v>
      </c>
      <c r="R2009">
        <v>111868478</v>
      </c>
      <c r="S2009">
        <v>185598.38</v>
      </c>
      <c r="T2009">
        <v>111682879.62</v>
      </c>
      <c r="U2009">
        <v>111682879.62</v>
      </c>
      <c r="V2009">
        <v>0</v>
      </c>
      <c r="W2009">
        <v>0</v>
      </c>
      <c r="Y2009" t="s">
        <v>0</v>
      </c>
      <c r="Z2009">
        <v>3500</v>
      </c>
      <c r="AA2009">
        <v>20</v>
      </c>
      <c r="AB2009">
        <v>2</v>
      </c>
      <c r="AC2009">
        <v>0</v>
      </c>
      <c r="AD2009">
        <v>69687911</v>
      </c>
      <c r="AE2009">
        <v>119994.52</v>
      </c>
      <c r="AF2009">
        <v>69567916.480000004</v>
      </c>
      <c r="AG2009">
        <v>69567916.480000004</v>
      </c>
      <c r="AH2009">
        <v>0</v>
      </c>
      <c r="AI2009">
        <v>0</v>
      </c>
    </row>
    <row r="2010" spans="13:35" x14ac:dyDescent="0.35">
      <c r="M2010" t="s">
        <v>1</v>
      </c>
      <c r="N2010">
        <v>2000</v>
      </c>
      <c r="O2010">
        <v>30</v>
      </c>
      <c r="P2010">
        <v>1</v>
      </c>
      <c r="Q2010">
        <v>0</v>
      </c>
      <c r="R2010">
        <v>34631870</v>
      </c>
      <c r="S2010">
        <v>89876.73</v>
      </c>
      <c r="T2010">
        <v>34541993.270000003</v>
      </c>
      <c r="U2010">
        <v>34541993.270000003</v>
      </c>
      <c r="V2010">
        <v>0</v>
      </c>
      <c r="W2010">
        <v>0</v>
      </c>
      <c r="Y2010" t="s">
        <v>2</v>
      </c>
      <c r="Z2010">
        <v>3750</v>
      </c>
      <c r="AA2010">
        <v>20</v>
      </c>
      <c r="AB2010">
        <v>5</v>
      </c>
      <c r="AC2010">
        <v>0</v>
      </c>
      <c r="AD2010">
        <v>96378660</v>
      </c>
      <c r="AE2010">
        <v>161657.22</v>
      </c>
      <c r="AF2010">
        <v>96217002.780000001</v>
      </c>
      <c r="AG2010">
        <v>96217002.780000001</v>
      </c>
      <c r="AH2010">
        <v>0</v>
      </c>
      <c r="AI2010">
        <v>0</v>
      </c>
    </row>
    <row r="2011" spans="13:35" x14ac:dyDescent="0.35">
      <c r="M2011" t="s">
        <v>1</v>
      </c>
      <c r="N2011">
        <v>2500</v>
      </c>
      <c r="O2011">
        <v>18</v>
      </c>
      <c r="P2011">
        <v>1</v>
      </c>
      <c r="Q2011">
        <v>0</v>
      </c>
      <c r="R2011">
        <v>39599179</v>
      </c>
      <c r="S2011">
        <v>90691.01</v>
      </c>
      <c r="T2011">
        <v>39508487.990000002</v>
      </c>
      <c r="U2011">
        <v>39508487.990000002</v>
      </c>
      <c r="V2011">
        <v>0</v>
      </c>
      <c r="W2011">
        <v>0</v>
      </c>
      <c r="Y2011" t="s">
        <v>0</v>
      </c>
      <c r="Z2011">
        <v>3250</v>
      </c>
      <c r="AA2011">
        <v>20</v>
      </c>
      <c r="AB2011">
        <v>1</v>
      </c>
      <c r="AC2011">
        <v>0</v>
      </c>
      <c r="AD2011">
        <v>31620283</v>
      </c>
      <c r="AE2011">
        <v>56524.99</v>
      </c>
      <c r="AF2011">
        <v>31563758.010000002</v>
      </c>
      <c r="AG2011">
        <v>31563758.010000002</v>
      </c>
      <c r="AH2011">
        <v>0</v>
      </c>
      <c r="AI2011">
        <v>0</v>
      </c>
    </row>
    <row r="2012" spans="13:35" x14ac:dyDescent="0.35">
      <c r="M2012" t="s">
        <v>1</v>
      </c>
      <c r="N2012">
        <v>2250</v>
      </c>
      <c r="O2012">
        <v>20</v>
      </c>
      <c r="P2012">
        <v>3</v>
      </c>
      <c r="Q2012">
        <v>0</v>
      </c>
      <c r="R2012">
        <v>104891444</v>
      </c>
      <c r="S2012">
        <v>252161.43</v>
      </c>
      <c r="T2012">
        <v>104639282.56999999</v>
      </c>
      <c r="U2012">
        <v>104639282.56999999</v>
      </c>
      <c r="V2012">
        <v>0</v>
      </c>
      <c r="W2012">
        <v>0</v>
      </c>
      <c r="Y2012" t="s">
        <v>0</v>
      </c>
      <c r="Z2012">
        <v>4000</v>
      </c>
      <c r="AA2012">
        <v>20</v>
      </c>
      <c r="AB2012">
        <v>5</v>
      </c>
      <c r="AC2012">
        <v>0</v>
      </c>
      <c r="AD2012">
        <v>164701736</v>
      </c>
      <c r="AE2012">
        <v>260775.84</v>
      </c>
      <c r="AF2012">
        <v>164440960.16</v>
      </c>
      <c r="AG2012">
        <v>164440960.16</v>
      </c>
      <c r="AH2012">
        <v>0</v>
      </c>
      <c r="AI2012">
        <v>0</v>
      </c>
    </row>
    <row r="2013" spans="13:35" x14ac:dyDescent="0.35">
      <c r="M2013" t="s">
        <v>0</v>
      </c>
      <c r="N2013">
        <v>3500</v>
      </c>
      <c r="O2013">
        <v>18</v>
      </c>
      <c r="P2013">
        <v>73</v>
      </c>
      <c r="Q2013">
        <v>0</v>
      </c>
      <c r="R2013">
        <v>3127538399</v>
      </c>
      <c r="S2013">
        <v>5333959.6900000004</v>
      </c>
      <c r="T2013">
        <v>3122204439.3099999</v>
      </c>
      <c r="U2013">
        <v>3122204439.3099999</v>
      </c>
      <c r="V2013">
        <v>0</v>
      </c>
      <c r="W2013">
        <v>0</v>
      </c>
      <c r="Y2013" t="s">
        <v>2</v>
      </c>
      <c r="Z2013">
        <v>4250</v>
      </c>
      <c r="AA2013">
        <v>20</v>
      </c>
      <c r="AB2013">
        <v>8</v>
      </c>
      <c r="AC2013">
        <v>0</v>
      </c>
      <c r="AD2013">
        <v>145572910</v>
      </c>
      <c r="AE2013">
        <v>221889.89</v>
      </c>
      <c r="AF2013">
        <v>145351020.11000001</v>
      </c>
      <c r="AG2013">
        <v>145351020.11000001</v>
      </c>
      <c r="AH2013">
        <v>0</v>
      </c>
      <c r="AI2013">
        <v>0</v>
      </c>
    </row>
    <row r="2014" spans="13:35" x14ac:dyDescent="0.35">
      <c r="M2014" t="s">
        <v>1</v>
      </c>
      <c r="N2014">
        <v>3500</v>
      </c>
      <c r="O2014">
        <v>20</v>
      </c>
      <c r="P2014">
        <v>6</v>
      </c>
      <c r="Q2014">
        <v>0</v>
      </c>
      <c r="R2014">
        <v>214566984</v>
      </c>
      <c r="S2014">
        <v>383067.61</v>
      </c>
      <c r="T2014">
        <v>214183916.38999999</v>
      </c>
      <c r="U2014">
        <v>214183916.38999999</v>
      </c>
      <c r="V2014">
        <v>0</v>
      </c>
      <c r="W2014">
        <v>0</v>
      </c>
      <c r="Y2014" t="s">
        <v>3</v>
      </c>
      <c r="Z2014">
        <v>5250</v>
      </c>
      <c r="AA2014">
        <v>20</v>
      </c>
      <c r="AB2014">
        <v>2</v>
      </c>
      <c r="AC2014">
        <v>0</v>
      </c>
      <c r="AD2014">
        <v>71420047</v>
      </c>
      <c r="AE2014">
        <v>91070.95</v>
      </c>
      <c r="AF2014">
        <v>71328976.049999997</v>
      </c>
      <c r="AG2014">
        <v>71328976.049999997</v>
      </c>
      <c r="AH2014">
        <v>0</v>
      </c>
      <c r="AI2014">
        <v>0</v>
      </c>
    </row>
    <row r="2015" spans="13:35" x14ac:dyDescent="0.35">
      <c r="M2015" t="s">
        <v>1</v>
      </c>
      <c r="N2015">
        <v>3500</v>
      </c>
      <c r="O2015">
        <v>18</v>
      </c>
      <c r="P2015">
        <v>27</v>
      </c>
      <c r="Q2015">
        <v>0</v>
      </c>
      <c r="R2015">
        <v>1004246886</v>
      </c>
      <c r="S2015">
        <v>1725376.84</v>
      </c>
      <c r="T2015">
        <v>1002521509.16</v>
      </c>
      <c r="U2015">
        <v>1002521509.16</v>
      </c>
      <c r="V2015">
        <v>0</v>
      </c>
      <c r="W2015">
        <v>0</v>
      </c>
      <c r="Y2015" t="s">
        <v>2</v>
      </c>
      <c r="Z2015">
        <v>8500</v>
      </c>
      <c r="AA2015">
        <v>20</v>
      </c>
      <c r="AB2015">
        <v>1</v>
      </c>
      <c r="AC2015">
        <v>0</v>
      </c>
      <c r="AD2015">
        <v>3499157</v>
      </c>
      <c r="AE2015">
        <v>2454.14</v>
      </c>
      <c r="AF2015">
        <v>3496702.86</v>
      </c>
      <c r="AG2015">
        <v>3496702.86</v>
      </c>
      <c r="AH2015">
        <v>0</v>
      </c>
      <c r="AI2015">
        <v>0</v>
      </c>
    </row>
    <row r="2016" spans="13:35" x14ac:dyDescent="0.35">
      <c r="M2016" t="s">
        <v>0</v>
      </c>
      <c r="N2016">
        <v>3750</v>
      </c>
      <c r="O2016">
        <v>18</v>
      </c>
      <c r="P2016">
        <v>357</v>
      </c>
      <c r="Q2016">
        <v>0</v>
      </c>
      <c r="R2016">
        <v>11091830597</v>
      </c>
      <c r="S2016">
        <v>18123724.640000001</v>
      </c>
      <c r="T2016">
        <v>11047542756.360001</v>
      </c>
      <c r="U2016">
        <v>11073706872.360001</v>
      </c>
      <c r="V2016">
        <v>2.7942000000000002E-2</v>
      </c>
      <c r="W2016">
        <v>0</v>
      </c>
      <c r="Y2016" t="s">
        <v>1</v>
      </c>
      <c r="Z2016">
        <v>2000</v>
      </c>
      <c r="AA2016">
        <v>24</v>
      </c>
      <c r="AB2016">
        <v>1</v>
      </c>
      <c r="AC2016">
        <v>0</v>
      </c>
      <c r="AD2016">
        <v>30369482</v>
      </c>
      <c r="AE2016">
        <v>79135.28</v>
      </c>
      <c r="AF2016">
        <v>30290346.719999999</v>
      </c>
      <c r="AG2016">
        <v>30290346.719999999</v>
      </c>
      <c r="AH2016">
        <v>0</v>
      </c>
      <c r="AI2016">
        <v>0</v>
      </c>
    </row>
    <row r="2017" spans="13:35" x14ac:dyDescent="0.35">
      <c r="M2017" t="s">
        <v>1</v>
      </c>
      <c r="N2017">
        <v>3750</v>
      </c>
      <c r="O2017">
        <v>18</v>
      </c>
      <c r="P2017">
        <v>181</v>
      </c>
      <c r="Q2017">
        <v>0</v>
      </c>
      <c r="R2017">
        <v>6279821939</v>
      </c>
      <c r="S2017">
        <v>10277795.460000001</v>
      </c>
      <c r="T2017">
        <v>6176724367.3100004</v>
      </c>
      <c r="U2017">
        <v>6269544143.54</v>
      </c>
      <c r="V2017">
        <v>0.163636</v>
      </c>
      <c r="W2017">
        <v>0</v>
      </c>
      <c r="Y2017" t="s">
        <v>1</v>
      </c>
      <c r="Z2017">
        <v>2750</v>
      </c>
      <c r="AA2017">
        <v>18</v>
      </c>
      <c r="AB2017">
        <v>3</v>
      </c>
      <c r="AC2017">
        <v>0</v>
      </c>
      <c r="AD2017">
        <v>90138752</v>
      </c>
      <c r="AE2017">
        <v>201040.72</v>
      </c>
      <c r="AF2017">
        <v>89937711.280000001</v>
      </c>
      <c r="AG2017">
        <v>89937711.280000001</v>
      </c>
      <c r="AH2017">
        <v>0</v>
      </c>
      <c r="AI2017">
        <v>0</v>
      </c>
    </row>
    <row r="2018" spans="13:35" x14ac:dyDescent="0.35">
      <c r="M2018" t="s">
        <v>1</v>
      </c>
      <c r="N2018">
        <v>4000</v>
      </c>
      <c r="O2018">
        <v>18</v>
      </c>
      <c r="P2018">
        <v>842</v>
      </c>
      <c r="Q2018">
        <v>0</v>
      </c>
      <c r="R2018">
        <v>29121004961</v>
      </c>
      <c r="S2018">
        <v>45848714.109999999</v>
      </c>
      <c r="T2018">
        <v>28939014489.209999</v>
      </c>
      <c r="U2018">
        <v>29037459951.07</v>
      </c>
      <c r="V2018">
        <v>5.4679999999999999E-2</v>
      </c>
      <c r="W2018">
        <v>1.5424E-2</v>
      </c>
      <c r="Y2018" t="s">
        <v>1</v>
      </c>
      <c r="Z2018">
        <v>2500</v>
      </c>
      <c r="AA2018">
        <v>20</v>
      </c>
      <c r="AB2018">
        <v>4</v>
      </c>
      <c r="AC2018">
        <v>0</v>
      </c>
      <c r="AD2018">
        <v>167234482</v>
      </c>
      <c r="AE2018">
        <v>367799.88</v>
      </c>
      <c r="AF2018">
        <v>166866682.12</v>
      </c>
      <c r="AG2018">
        <v>166866682.12</v>
      </c>
      <c r="AH2018">
        <v>0</v>
      </c>
      <c r="AI2018">
        <v>0</v>
      </c>
    </row>
    <row r="2019" spans="13:35" x14ac:dyDescent="0.35">
      <c r="M2019" t="s">
        <v>2</v>
      </c>
      <c r="N2019">
        <v>4000</v>
      </c>
      <c r="O2019">
        <v>18</v>
      </c>
      <c r="P2019">
        <v>110</v>
      </c>
      <c r="Q2019">
        <v>0</v>
      </c>
      <c r="R2019">
        <v>3053452307</v>
      </c>
      <c r="S2019">
        <v>4811014.9800000004</v>
      </c>
      <c r="T2019">
        <v>3048641292.02</v>
      </c>
      <c r="U2019">
        <v>3048641292.02</v>
      </c>
      <c r="V2019">
        <v>0</v>
      </c>
      <c r="W2019">
        <v>0</v>
      </c>
      <c r="Y2019" t="s">
        <v>2</v>
      </c>
      <c r="Z2019">
        <v>3000</v>
      </c>
      <c r="AA2019">
        <v>18</v>
      </c>
      <c r="AB2019">
        <v>1</v>
      </c>
      <c r="AC2019">
        <v>0</v>
      </c>
      <c r="AD2019">
        <v>8755611</v>
      </c>
      <c r="AE2019">
        <v>16558.27</v>
      </c>
      <c r="AF2019">
        <v>8739052.7300000004</v>
      </c>
      <c r="AG2019">
        <v>8739052.7300000004</v>
      </c>
      <c r="AH2019">
        <v>0</v>
      </c>
      <c r="AI2019">
        <v>0</v>
      </c>
    </row>
    <row r="2020" spans="13:35" x14ac:dyDescent="0.35">
      <c r="M2020" t="s">
        <v>2</v>
      </c>
      <c r="N2020">
        <v>3750</v>
      </c>
      <c r="O2020">
        <v>18</v>
      </c>
      <c r="P2020">
        <v>8</v>
      </c>
      <c r="Q2020">
        <v>0</v>
      </c>
      <c r="R2020">
        <v>247403548</v>
      </c>
      <c r="S2020">
        <v>404679.84</v>
      </c>
      <c r="T2020">
        <v>246998868.16</v>
      </c>
      <c r="U2020">
        <v>246998868.16</v>
      </c>
      <c r="V2020">
        <v>0</v>
      </c>
      <c r="W2020">
        <v>0</v>
      </c>
      <c r="Y2020" t="s">
        <v>0</v>
      </c>
      <c r="Z2020">
        <v>2750</v>
      </c>
      <c r="AA2020">
        <v>18</v>
      </c>
      <c r="AB2020">
        <v>2</v>
      </c>
      <c r="AC2020">
        <v>0</v>
      </c>
      <c r="AD2020">
        <v>68141051</v>
      </c>
      <c r="AE2020">
        <v>131272.26999999999</v>
      </c>
      <c r="AF2020">
        <v>68009778.730000004</v>
      </c>
      <c r="AG2020">
        <v>68009778.730000004</v>
      </c>
      <c r="AH2020">
        <v>0</v>
      </c>
      <c r="AI2020">
        <v>0</v>
      </c>
    </row>
    <row r="2021" spans="13:35" x14ac:dyDescent="0.35">
      <c r="M2021" t="s">
        <v>3</v>
      </c>
      <c r="N2021">
        <v>7000</v>
      </c>
      <c r="O2021">
        <v>18</v>
      </c>
      <c r="P2021">
        <v>3</v>
      </c>
      <c r="Q2021">
        <v>0</v>
      </c>
      <c r="R2021">
        <v>78976579</v>
      </c>
      <c r="S2021">
        <v>72860.28</v>
      </c>
      <c r="T2021">
        <v>78903718.719999999</v>
      </c>
      <c r="U2021">
        <v>78903718.719999999</v>
      </c>
      <c r="V2021">
        <v>0</v>
      </c>
      <c r="W2021">
        <v>0</v>
      </c>
      <c r="Y2021" t="s">
        <v>2</v>
      </c>
      <c r="Z2021">
        <v>3500</v>
      </c>
      <c r="AA2021">
        <v>20</v>
      </c>
      <c r="AB2021">
        <v>3</v>
      </c>
      <c r="AC2021">
        <v>0</v>
      </c>
      <c r="AD2021">
        <v>86292676</v>
      </c>
      <c r="AE2021">
        <v>148760.56</v>
      </c>
      <c r="AF2021">
        <v>86143915.439999998</v>
      </c>
      <c r="AG2021">
        <v>86143915.439999998</v>
      </c>
      <c r="AH2021">
        <v>0</v>
      </c>
      <c r="AI2021">
        <v>0</v>
      </c>
    </row>
    <row r="2022" spans="13:35" x14ac:dyDescent="0.35">
      <c r="M2022" t="s">
        <v>1</v>
      </c>
      <c r="N2022">
        <v>2250</v>
      </c>
      <c r="O2022">
        <v>18</v>
      </c>
      <c r="P2022">
        <v>4</v>
      </c>
      <c r="Q2022">
        <v>0</v>
      </c>
      <c r="R2022">
        <v>129511499</v>
      </c>
      <c r="S2022">
        <v>296236.82</v>
      </c>
      <c r="T2022">
        <v>129215262.18000001</v>
      </c>
      <c r="U2022">
        <v>129215262.18000001</v>
      </c>
      <c r="V2022">
        <v>0</v>
      </c>
      <c r="W2022">
        <v>0</v>
      </c>
      <c r="Y2022" t="s">
        <v>0</v>
      </c>
      <c r="Z2022">
        <v>3500</v>
      </c>
      <c r="AA2022">
        <v>18</v>
      </c>
      <c r="AB2022">
        <v>28</v>
      </c>
      <c r="AC2022">
        <v>0</v>
      </c>
      <c r="AD2022">
        <v>1183854969</v>
      </c>
      <c r="AE2022">
        <v>2018669.55</v>
      </c>
      <c r="AF2022">
        <v>1181836299.45</v>
      </c>
      <c r="AG2022">
        <v>1181836299.45</v>
      </c>
      <c r="AH2022">
        <v>0</v>
      </c>
      <c r="AI2022">
        <v>0</v>
      </c>
    </row>
    <row r="2023" spans="13:35" x14ac:dyDescent="0.35">
      <c r="M2023" t="s">
        <v>2</v>
      </c>
      <c r="N2023">
        <v>2750</v>
      </c>
      <c r="O2023">
        <v>18</v>
      </c>
      <c r="P2023">
        <v>1</v>
      </c>
      <c r="Q2023">
        <v>0</v>
      </c>
      <c r="R2023">
        <v>17732382</v>
      </c>
      <c r="S2023">
        <v>34214.46</v>
      </c>
      <c r="T2023">
        <v>17698167.539999999</v>
      </c>
      <c r="U2023">
        <v>17698167.539999999</v>
      </c>
      <c r="V2023">
        <v>0</v>
      </c>
      <c r="W2023">
        <v>0</v>
      </c>
      <c r="Y2023" t="s">
        <v>0</v>
      </c>
      <c r="Z2023">
        <v>3750</v>
      </c>
      <c r="AA2023">
        <v>18</v>
      </c>
      <c r="AB2023">
        <v>155</v>
      </c>
      <c r="AC2023">
        <v>0</v>
      </c>
      <c r="AD2023">
        <v>4730793472</v>
      </c>
      <c r="AE2023">
        <v>7724124.6299999999</v>
      </c>
      <c r="AF2023">
        <v>4684123861.1999998</v>
      </c>
      <c r="AG2023">
        <v>4723069347.3699999</v>
      </c>
      <c r="AH2023">
        <v>9.4436000000000006E-2</v>
      </c>
      <c r="AI2023">
        <v>0</v>
      </c>
    </row>
    <row r="2024" spans="13:35" x14ac:dyDescent="0.35">
      <c r="M2024" t="s">
        <v>0</v>
      </c>
      <c r="N2024">
        <v>2750</v>
      </c>
      <c r="O2024">
        <v>18</v>
      </c>
      <c r="P2024">
        <v>1</v>
      </c>
      <c r="Q2024">
        <v>0</v>
      </c>
      <c r="R2024">
        <v>25256661</v>
      </c>
      <c r="S2024">
        <v>48732.49</v>
      </c>
      <c r="T2024">
        <v>25207928.510000002</v>
      </c>
      <c r="U2024">
        <v>25207928.510000002</v>
      </c>
      <c r="V2024">
        <v>0</v>
      </c>
      <c r="W2024">
        <v>0</v>
      </c>
      <c r="Y2024" t="s">
        <v>1</v>
      </c>
      <c r="Z2024">
        <v>4000</v>
      </c>
      <c r="AA2024">
        <v>18</v>
      </c>
      <c r="AB2024">
        <v>406</v>
      </c>
      <c r="AC2024">
        <v>0</v>
      </c>
      <c r="AD2024">
        <v>13749623178</v>
      </c>
      <c r="AE2024">
        <v>21648141.84</v>
      </c>
      <c r="AF2024">
        <v>13698864148.76</v>
      </c>
      <c r="AG2024">
        <v>13698864148.76</v>
      </c>
      <c r="AH2024">
        <v>2.5113E-2</v>
      </c>
      <c r="AI2024">
        <v>2.5113E-2</v>
      </c>
    </row>
    <row r="2025" spans="13:35" x14ac:dyDescent="0.35">
      <c r="M2025" t="s">
        <v>0</v>
      </c>
      <c r="N2025">
        <v>3000</v>
      </c>
      <c r="O2025">
        <v>18</v>
      </c>
      <c r="P2025">
        <v>3</v>
      </c>
      <c r="Q2025">
        <v>0</v>
      </c>
      <c r="R2025">
        <v>77154209</v>
      </c>
      <c r="S2025">
        <v>144476.47</v>
      </c>
      <c r="T2025">
        <v>77009732.530000001</v>
      </c>
      <c r="U2025">
        <v>77009732.530000001</v>
      </c>
      <c r="V2025">
        <v>0</v>
      </c>
      <c r="W2025">
        <v>0</v>
      </c>
      <c r="Y2025" t="s">
        <v>0</v>
      </c>
      <c r="Z2025">
        <v>4000</v>
      </c>
      <c r="AA2025">
        <v>18</v>
      </c>
      <c r="AB2025">
        <v>1194</v>
      </c>
      <c r="AC2025">
        <v>0</v>
      </c>
      <c r="AD2025">
        <v>38127166446</v>
      </c>
      <c r="AE2025">
        <v>59867873.840000004</v>
      </c>
      <c r="AF2025">
        <v>38036743068.540001</v>
      </c>
      <c r="AG2025">
        <v>38067298572.160004</v>
      </c>
      <c r="AH2025">
        <v>9.5750000000000002E-3</v>
      </c>
      <c r="AI2025">
        <v>0</v>
      </c>
    </row>
    <row r="2026" spans="13:35" x14ac:dyDescent="0.35">
      <c r="M2026" t="s">
        <v>1</v>
      </c>
      <c r="N2026">
        <v>3000</v>
      </c>
      <c r="O2026">
        <v>20</v>
      </c>
      <c r="P2026">
        <v>1</v>
      </c>
      <c r="Q2026">
        <v>0</v>
      </c>
      <c r="R2026">
        <v>56704027</v>
      </c>
      <c r="S2026">
        <v>118600.99</v>
      </c>
      <c r="T2026">
        <v>56585426.009999998</v>
      </c>
      <c r="U2026">
        <v>56585426.009999998</v>
      </c>
      <c r="V2026">
        <v>0</v>
      </c>
      <c r="W2026">
        <v>0</v>
      </c>
      <c r="Y2026" t="s">
        <v>2</v>
      </c>
      <c r="Z2026">
        <v>4000</v>
      </c>
      <c r="AA2026">
        <v>18</v>
      </c>
      <c r="AB2026">
        <v>58</v>
      </c>
      <c r="AC2026">
        <v>0</v>
      </c>
      <c r="AD2026">
        <v>1510897642</v>
      </c>
      <c r="AE2026">
        <v>2388075.79</v>
      </c>
      <c r="AF2026">
        <v>1508509566.21</v>
      </c>
      <c r="AG2026">
        <v>1508509566.21</v>
      </c>
      <c r="AH2026">
        <v>0</v>
      </c>
      <c r="AI2026">
        <v>0</v>
      </c>
    </row>
    <row r="2027" spans="13:35" x14ac:dyDescent="0.35">
      <c r="M2027" t="s">
        <v>1</v>
      </c>
      <c r="N2027">
        <v>3250</v>
      </c>
      <c r="O2027">
        <v>18</v>
      </c>
      <c r="P2027">
        <v>9</v>
      </c>
      <c r="Q2027">
        <v>0</v>
      </c>
      <c r="R2027">
        <v>263506160</v>
      </c>
      <c r="S2027">
        <v>478728.46</v>
      </c>
      <c r="T2027">
        <v>263027431.53999999</v>
      </c>
      <c r="U2027">
        <v>263027431.53999999</v>
      </c>
      <c r="V2027">
        <v>0</v>
      </c>
      <c r="W2027">
        <v>0</v>
      </c>
      <c r="Y2027" t="s">
        <v>1</v>
      </c>
      <c r="Z2027">
        <v>3750</v>
      </c>
      <c r="AA2027">
        <v>18</v>
      </c>
      <c r="AB2027">
        <v>76</v>
      </c>
      <c r="AC2027">
        <v>0</v>
      </c>
      <c r="AD2027">
        <v>2542977296</v>
      </c>
      <c r="AE2027">
        <v>4199328.5599999996</v>
      </c>
      <c r="AF2027">
        <v>2538777967.4400001</v>
      </c>
      <c r="AG2027">
        <v>2538777967.4400001</v>
      </c>
      <c r="AH2027">
        <v>0</v>
      </c>
      <c r="AI2027">
        <v>0</v>
      </c>
    </row>
    <row r="2028" spans="13:35" x14ac:dyDescent="0.35">
      <c r="M2028" t="s">
        <v>2</v>
      </c>
      <c r="N2028">
        <v>3250</v>
      </c>
      <c r="O2028">
        <v>18</v>
      </c>
      <c r="P2028">
        <v>7</v>
      </c>
      <c r="Q2028">
        <v>0</v>
      </c>
      <c r="R2028">
        <v>124225102</v>
      </c>
      <c r="S2028">
        <v>228647.66</v>
      </c>
      <c r="T2028">
        <v>123996454.34</v>
      </c>
      <c r="U2028">
        <v>123996454.34</v>
      </c>
      <c r="V2028">
        <v>0</v>
      </c>
      <c r="W2028">
        <v>0</v>
      </c>
      <c r="Y2028" t="s">
        <v>1</v>
      </c>
      <c r="Z2028">
        <v>8500</v>
      </c>
      <c r="AA2028">
        <v>18</v>
      </c>
      <c r="AB2028">
        <v>2</v>
      </c>
      <c r="AC2028">
        <v>0</v>
      </c>
      <c r="AD2028">
        <v>75897400</v>
      </c>
      <c r="AE2028">
        <v>52819.7</v>
      </c>
      <c r="AF2028">
        <v>75844580.299999997</v>
      </c>
      <c r="AG2028">
        <v>75844580.299999997</v>
      </c>
      <c r="AH2028">
        <v>0</v>
      </c>
      <c r="AI2028">
        <v>0</v>
      </c>
    </row>
    <row r="2029" spans="13:35" x14ac:dyDescent="0.35">
      <c r="M2029" t="s">
        <v>2</v>
      </c>
      <c r="N2029">
        <v>3500</v>
      </c>
      <c r="O2029">
        <v>18</v>
      </c>
      <c r="P2029">
        <v>11</v>
      </c>
      <c r="Q2029">
        <v>0</v>
      </c>
      <c r="R2029">
        <v>256172368</v>
      </c>
      <c r="S2029">
        <v>442470.01</v>
      </c>
      <c r="T2029">
        <v>255729897.99000001</v>
      </c>
      <c r="U2029">
        <v>255729897.99000001</v>
      </c>
      <c r="V2029">
        <v>0</v>
      </c>
      <c r="W2029">
        <v>0</v>
      </c>
      <c r="Y2029" t="s">
        <v>1</v>
      </c>
      <c r="Z2029">
        <v>2000</v>
      </c>
      <c r="AA2029">
        <v>30</v>
      </c>
      <c r="AB2029">
        <v>1</v>
      </c>
      <c r="AC2029">
        <v>0</v>
      </c>
      <c r="AD2029">
        <v>34721616</v>
      </c>
      <c r="AE2029">
        <v>89745.85</v>
      </c>
      <c r="AF2029">
        <v>34631870.149999999</v>
      </c>
      <c r="AG2029">
        <v>34631870.149999999</v>
      </c>
      <c r="AH2029">
        <v>0</v>
      </c>
      <c r="AI2029">
        <v>0</v>
      </c>
    </row>
    <row r="2030" spans="13:35" x14ac:dyDescent="0.35">
      <c r="M2030" t="s">
        <v>0</v>
      </c>
      <c r="N2030">
        <v>3250</v>
      </c>
      <c r="O2030">
        <v>18</v>
      </c>
      <c r="P2030">
        <v>6</v>
      </c>
      <c r="Q2030">
        <v>0</v>
      </c>
      <c r="R2030">
        <v>187480750</v>
      </c>
      <c r="S2030">
        <v>333046.69</v>
      </c>
      <c r="T2030">
        <v>187147703.31</v>
      </c>
      <c r="U2030">
        <v>187147703.31</v>
      </c>
      <c r="V2030">
        <v>0</v>
      </c>
      <c r="W2030">
        <v>0</v>
      </c>
      <c r="Y2030" t="s">
        <v>1</v>
      </c>
      <c r="Z2030">
        <v>2500</v>
      </c>
      <c r="AA2030">
        <v>18</v>
      </c>
      <c r="AB2030">
        <v>1</v>
      </c>
      <c r="AC2030">
        <v>0</v>
      </c>
      <c r="AD2030">
        <v>39690079</v>
      </c>
      <c r="AE2030">
        <v>90512.76</v>
      </c>
      <c r="AF2030">
        <v>39599566.240000002</v>
      </c>
      <c r="AG2030">
        <v>39599566.240000002</v>
      </c>
      <c r="AH2030">
        <v>0</v>
      </c>
      <c r="AI2030">
        <v>0</v>
      </c>
    </row>
    <row r="2031" spans="13:35" x14ac:dyDescent="0.35">
      <c r="M2031" t="s">
        <v>3</v>
      </c>
      <c r="N2031">
        <v>4000</v>
      </c>
      <c r="O2031">
        <v>18</v>
      </c>
      <c r="P2031">
        <v>5</v>
      </c>
      <c r="Q2031">
        <v>0</v>
      </c>
      <c r="R2031">
        <v>53589921</v>
      </c>
      <c r="S2031">
        <v>84227.26</v>
      </c>
      <c r="T2031">
        <v>53505693.740000002</v>
      </c>
      <c r="U2031">
        <v>53505693.740000002</v>
      </c>
      <c r="V2031">
        <v>0</v>
      </c>
      <c r="W2031">
        <v>0</v>
      </c>
      <c r="Y2031" t="s">
        <v>1</v>
      </c>
      <c r="Z2031">
        <v>2250</v>
      </c>
      <c r="AA2031">
        <v>18</v>
      </c>
      <c r="AB2031">
        <v>7</v>
      </c>
      <c r="AC2031">
        <v>0</v>
      </c>
      <c r="AD2031">
        <v>235077356</v>
      </c>
      <c r="AE2031">
        <v>547649.98</v>
      </c>
      <c r="AF2031">
        <v>234529706.02000001</v>
      </c>
      <c r="AG2031">
        <v>234529706.02000001</v>
      </c>
      <c r="AH2031">
        <v>0</v>
      </c>
      <c r="AI2031">
        <v>0</v>
      </c>
    </row>
    <row r="2032" spans="13:35" x14ac:dyDescent="0.35">
      <c r="M2032" t="s">
        <v>3</v>
      </c>
      <c r="N2032">
        <v>4500</v>
      </c>
      <c r="O2032">
        <v>18</v>
      </c>
      <c r="P2032">
        <v>1</v>
      </c>
      <c r="Q2032">
        <v>0</v>
      </c>
      <c r="R2032">
        <v>34142422</v>
      </c>
      <c r="S2032">
        <v>49045.94</v>
      </c>
      <c r="T2032">
        <v>34093376.060000002</v>
      </c>
      <c r="U2032">
        <v>34093376.060000002</v>
      </c>
      <c r="V2032">
        <v>0</v>
      </c>
      <c r="W2032">
        <v>0</v>
      </c>
      <c r="Y2032" t="s">
        <v>2</v>
      </c>
      <c r="Z2032">
        <v>2750</v>
      </c>
      <c r="AA2032">
        <v>18</v>
      </c>
      <c r="AB2032">
        <v>4</v>
      </c>
      <c r="AC2032">
        <v>0</v>
      </c>
      <c r="AD2032">
        <v>64895198</v>
      </c>
      <c r="AE2032">
        <v>125070.57</v>
      </c>
      <c r="AF2032">
        <v>64770127.43</v>
      </c>
      <c r="AG2032">
        <v>64770127.43</v>
      </c>
      <c r="AH2032">
        <v>0</v>
      </c>
      <c r="AI2032">
        <v>0</v>
      </c>
    </row>
    <row r="2033" spans="13:35" x14ac:dyDescent="0.35">
      <c r="M2033" t="s">
        <v>3</v>
      </c>
      <c r="N2033">
        <v>4750</v>
      </c>
      <c r="O2033">
        <v>18</v>
      </c>
      <c r="P2033">
        <v>1</v>
      </c>
      <c r="Q2033">
        <v>0</v>
      </c>
      <c r="R2033">
        <v>36354283</v>
      </c>
      <c r="S2033">
        <v>50020.45</v>
      </c>
      <c r="T2033">
        <v>36304262.549999997</v>
      </c>
      <c r="U2033">
        <v>36304262.549999997</v>
      </c>
      <c r="V2033">
        <v>0</v>
      </c>
      <c r="W2033">
        <v>0</v>
      </c>
      <c r="Y2033" t="s">
        <v>2</v>
      </c>
      <c r="Z2033">
        <v>3250</v>
      </c>
      <c r="AA2033">
        <v>18</v>
      </c>
      <c r="AB2033">
        <v>8</v>
      </c>
      <c r="AC2033">
        <v>0</v>
      </c>
      <c r="AD2033">
        <v>126799102</v>
      </c>
      <c r="AE2033">
        <v>226180.03</v>
      </c>
      <c r="AF2033">
        <v>126572921.97</v>
      </c>
      <c r="AG2033">
        <v>126572921.97</v>
      </c>
      <c r="AH2033">
        <v>0</v>
      </c>
      <c r="AI2033">
        <v>0</v>
      </c>
    </row>
    <row r="2034" spans="13:35" x14ac:dyDescent="0.35">
      <c r="M2034" t="s">
        <v>2</v>
      </c>
      <c r="N2034">
        <v>2500</v>
      </c>
      <c r="O2034">
        <v>18</v>
      </c>
      <c r="P2034">
        <v>1</v>
      </c>
      <c r="Q2034">
        <v>0</v>
      </c>
      <c r="R2034">
        <v>12794235</v>
      </c>
      <c r="S2034">
        <v>25689.46</v>
      </c>
      <c r="T2034">
        <v>12768545.539999999</v>
      </c>
      <c r="U2034">
        <v>12768545.539999999</v>
      </c>
      <c r="V2034">
        <v>0</v>
      </c>
      <c r="W2034">
        <v>0</v>
      </c>
      <c r="Y2034" t="s">
        <v>1</v>
      </c>
      <c r="Z2034">
        <v>3250</v>
      </c>
      <c r="AA2034">
        <v>18</v>
      </c>
      <c r="AB2034">
        <v>7</v>
      </c>
      <c r="AC2034">
        <v>0</v>
      </c>
      <c r="AD2034">
        <v>192658618</v>
      </c>
      <c r="AE2034">
        <v>352335.78</v>
      </c>
      <c r="AF2034">
        <v>192306282.22</v>
      </c>
      <c r="AG2034">
        <v>192306282.22</v>
      </c>
      <c r="AH2034">
        <v>0</v>
      </c>
      <c r="AI2034">
        <v>0</v>
      </c>
    </row>
    <row r="2035" spans="13:35" x14ac:dyDescent="0.35">
      <c r="M2035" t="s">
        <v>0</v>
      </c>
      <c r="N2035">
        <v>2500</v>
      </c>
      <c r="O2035">
        <v>18</v>
      </c>
      <c r="P2035">
        <v>1</v>
      </c>
      <c r="Q2035">
        <v>0</v>
      </c>
      <c r="R2035">
        <v>18307041</v>
      </c>
      <c r="S2035">
        <v>36758.58</v>
      </c>
      <c r="T2035">
        <v>18270282.420000002</v>
      </c>
      <c r="U2035">
        <v>18270282.420000002</v>
      </c>
      <c r="V2035">
        <v>0</v>
      </c>
      <c r="W2035">
        <v>0</v>
      </c>
      <c r="Y2035" t="s">
        <v>2</v>
      </c>
      <c r="Z2035">
        <v>3500</v>
      </c>
      <c r="AA2035">
        <v>18</v>
      </c>
      <c r="AB2035">
        <v>10</v>
      </c>
      <c r="AC2035">
        <v>0</v>
      </c>
      <c r="AD2035">
        <v>208572221</v>
      </c>
      <c r="AE2035">
        <v>361501.84</v>
      </c>
      <c r="AF2035">
        <v>208210719.16</v>
      </c>
      <c r="AG2035">
        <v>208210719.16</v>
      </c>
      <c r="AH2035">
        <v>0</v>
      </c>
      <c r="AI2035">
        <v>0</v>
      </c>
    </row>
    <row r="2036" spans="13:35" x14ac:dyDescent="0.35">
      <c r="M2036" t="s">
        <v>1</v>
      </c>
      <c r="N2036">
        <v>2750</v>
      </c>
      <c r="O2036">
        <v>18</v>
      </c>
      <c r="P2036">
        <v>2</v>
      </c>
      <c r="Q2036">
        <v>0</v>
      </c>
      <c r="R2036">
        <v>62661827</v>
      </c>
      <c r="S2036">
        <v>136501.26999999999</v>
      </c>
      <c r="T2036">
        <v>62525325.729999997</v>
      </c>
      <c r="U2036">
        <v>62525325.729999997</v>
      </c>
      <c r="V2036">
        <v>0</v>
      </c>
      <c r="W2036">
        <v>0</v>
      </c>
      <c r="Y2036" t="s">
        <v>1</v>
      </c>
      <c r="Z2036">
        <v>3500</v>
      </c>
      <c r="AA2036">
        <v>18</v>
      </c>
      <c r="AB2036">
        <v>13</v>
      </c>
      <c r="AC2036">
        <v>0</v>
      </c>
      <c r="AD2036">
        <v>515928813</v>
      </c>
      <c r="AE2036">
        <v>891641.51</v>
      </c>
      <c r="AF2036">
        <v>515037171.49000001</v>
      </c>
      <c r="AG2036">
        <v>515037171.49000001</v>
      </c>
      <c r="AH2036">
        <v>0</v>
      </c>
      <c r="AI2036">
        <v>0</v>
      </c>
    </row>
    <row r="2037" spans="13:35" x14ac:dyDescent="0.35">
      <c r="M2037" t="s">
        <v>1</v>
      </c>
      <c r="N2037">
        <v>2750</v>
      </c>
      <c r="O2037">
        <v>16</v>
      </c>
      <c r="P2037">
        <v>4</v>
      </c>
      <c r="Q2037">
        <v>0</v>
      </c>
      <c r="R2037">
        <v>137309348</v>
      </c>
      <c r="S2037">
        <v>297203.71000000002</v>
      </c>
      <c r="T2037">
        <v>137012144.28999999</v>
      </c>
      <c r="U2037">
        <v>137012144.28999999</v>
      </c>
      <c r="V2037">
        <v>0</v>
      </c>
      <c r="W2037">
        <v>0</v>
      </c>
      <c r="Y2037" t="s">
        <v>2</v>
      </c>
      <c r="Z2037">
        <v>3750</v>
      </c>
      <c r="AA2037">
        <v>18</v>
      </c>
      <c r="AB2037">
        <v>4</v>
      </c>
      <c r="AC2037">
        <v>0</v>
      </c>
      <c r="AD2037">
        <v>88588368</v>
      </c>
      <c r="AE2037">
        <v>145687.13</v>
      </c>
      <c r="AF2037">
        <v>88442680.870000005</v>
      </c>
      <c r="AG2037">
        <v>88442680.870000005</v>
      </c>
      <c r="AH2037">
        <v>0</v>
      </c>
      <c r="AI2037">
        <v>0</v>
      </c>
    </row>
    <row r="2038" spans="13:35" x14ac:dyDescent="0.35">
      <c r="M2038" t="s">
        <v>0</v>
      </c>
      <c r="N2038">
        <v>3500</v>
      </c>
      <c r="O2038">
        <v>16</v>
      </c>
      <c r="P2038">
        <v>34</v>
      </c>
      <c r="Q2038">
        <v>0</v>
      </c>
      <c r="R2038">
        <v>1355235647</v>
      </c>
      <c r="S2038">
        <v>2295361.5299999998</v>
      </c>
      <c r="T2038">
        <v>1352940285.47</v>
      </c>
      <c r="U2038">
        <v>1352940285.47</v>
      </c>
      <c r="V2038">
        <v>0</v>
      </c>
      <c r="W2038">
        <v>0</v>
      </c>
      <c r="Y2038" t="s">
        <v>1</v>
      </c>
      <c r="Z2038">
        <v>3750</v>
      </c>
      <c r="AA2038">
        <v>16</v>
      </c>
      <c r="AB2038">
        <v>273</v>
      </c>
      <c r="AC2038">
        <v>0</v>
      </c>
      <c r="AD2038">
        <v>10072779627</v>
      </c>
      <c r="AE2038">
        <v>16316911.08</v>
      </c>
      <c r="AF2038">
        <v>10009415453.02</v>
      </c>
      <c r="AG2038">
        <v>10009415453.02</v>
      </c>
      <c r="AH2038">
        <v>5.4630999999999999E-2</v>
      </c>
      <c r="AI2038">
        <v>5.4630999999999999E-2</v>
      </c>
    </row>
    <row r="2039" spans="13:35" x14ac:dyDescent="0.35">
      <c r="M2039" t="s">
        <v>1</v>
      </c>
      <c r="N2039">
        <v>3500</v>
      </c>
      <c r="O2039">
        <v>16</v>
      </c>
      <c r="P2039">
        <v>34</v>
      </c>
      <c r="Q2039">
        <v>0</v>
      </c>
      <c r="R2039">
        <v>1497067185</v>
      </c>
      <c r="S2039">
        <v>2539281.38</v>
      </c>
      <c r="T2039">
        <v>1494527903.6199999</v>
      </c>
      <c r="U2039">
        <v>1494527903.6199999</v>
      </c>
      <c r="V2039">
        <v>0</v>
      </c>
      <c r="W2039">
        <v>0</v>
      </c>
      <c r="Y2039" t="s">
        <v>0</v>
      </c>
      <c r="Z2039">
        <v>3000</v>
      </c>
      <c r="AA2039">
        <v>16</v>
      </c>
      <c r="AB2039">
        <v>3</v>
      </c>
      <c r="AC2039">
        <v>0</v>
      </c>
      <c r="AD2039">
        <v>77324118</v>
      </c>
      <c r="AE2039">
        <v>144174.67000000001</v>
      </c>
      <c r="AF2039">
        <v>77179943.329999998</v>
      </c>
      <c r="AG2039">
        <v>77179943.329999998</v>
      </c>
      <c r="AH2039">
        <v>0</v>
      </c>
      <c r="AI2039">
        <v>0</v>
      </c>
    </row>
    <row r="2040" spans="13:35" x14ac:dyDescent="0.35">
      <c r="M2040" t="s">
        <v>1</v>
      </c>
      <c r="N2040">
        <v>3250</v>
      </c>
      <c r="O2040">
        <v>16</v>
      </c>
      <c r="P2040">
        <v>20</v>
      </c>
      <c r="Q2040">
        <v>0</v>
      </c>
      <c r="R2040">
        <v>568970237</v>
      </c>
      <c r="S2040">
        <v>1001312.02</v>
      </c>
      <c r="T2040">
        <v>567968924.98000002</v>
      </c>
      <c r="U2040">
        <v>567968924.98000002</v>
      </c>
      <c r="V2040">
        <v>0</v>
      </c>
      <c r="W2040">
        <v>0</v>
      </c>
      <c r="Y2040" t="s">
        <v>1</v>
      </c>
      <c r="Z2040">
        <v>3000</v>
      </c>
      <c r="AA2040">
        <v>18</v>
      </c>
      <c r="AB2040">
        <v>2</v>
      </c>
      <c r="AC2040">
        <v>0</v>
      </c>
      <c r="AD2040">
        <v>87529165</v>
      </c>
      <c r="AE2040">
        <v>186437.55</v>
      </c>
      <c r="AF2040">
        <v>87342727.450000003</v>
      </c>
      <c r="AG2040">
        <v>87342727.450000003</v>
      </c>
      <c r="AH2040">
        <v>0</v>
      </c>
      <c r="AI2040">
        <v>0</v>
      </c>
    </row>
    <row r="2041" spans="13:35" x14ac:dyDescent="0.35">
      <c r="M2041" t="s">
        <v>1</v>
      </c>
      <c r="N2041">
        <v>3750</v>
      </c>
      <c r="O2041">
        <v>16</v>
      </c>
      <c r="P2041">
        <v>210</v>
      </c>
      <c r="Q2041">
        <v>0</v>
      </c>
      <c r="R2041">
        <v>8020435912</v>
      </c>
      <c r="S2041">
        <v>13021490.699999999</v>
      </c>
      <c r="T2041">
        <v>8007414421.3000002</v>
      </c>
      <c r="U2041">
        <v>8007414421.3000002</v>
      </c>
      <c r="V2041">
        <v>0</v>
      </c>
      <c r="W2041">
        <v>0</v>
      </c>
      <c r="Y2041" t="s">
        <v>0</v>
      </c>
      <c r="Z2041">
        <v>3500</v>
      </c>
      <c r="AA2041">
        <v>16</v>
      </c>
      <c r="AB2041">
        <v>73</v>
      </c>
      <c r="AC2041">
        <v>0</v>
      </c>
      <c r="AD2041">
        <v>3085001413</v>
      </c>
      <c r="AE2041">
        <v>5221369.3600000003</v>
      </c>
      <c r="AF2041">
        <v>3079780043.6399999</v>
      </c>
      <c r="AG2041">
        <v>3079780043.6399999</v>
      </c>
      <c r="AH2041">
        <v>0</v>
      </c>
      <c r="AI2041">
        <v>0</v>
      </c>
    </row>
    <row r="2042" spans="13:35" x14ac:dyDescent="0.35">
      <c r="M2042" t="s">
        <v>0</v>
      </c>
      <c r="N2042">
        <v>3750</v>
      </c>
      <c r="O2042">
        <v>16</v>
      </c>
      <c r="P2042">
        <v>484</v>
      </c>
      <c r="Q2042">
        <v>0</v>
      </c>
      <c r="R2042">
        <v>16129149845</v>
      </c>
      <c r="S2042">
        <v>26157669.390000001</v>
      </c>
      <c r="T2042">
        <v>16102992175.610001</v>
      </c>
      <c r="U2042">
        <v>16102992175.610001</v>
      </c>
      <c r="V2042">
        <v>0</v>
      </c>
      <c r="W2042">
        <v>0</v>
      </c>
      <c r="Y2042" t="s">
        <v>1</v>
      </c>
      <c r="Z2042">
        <v>3500</v>
      </c>
      <c r="AA2042">
        <v>16</v>
      </c>
      <c r="AB2042">
        <v>36</v>
      </c>
      <c r="AC2042">
        <v>0</v>
      </c>
      <c r="AD2042">
        <v>1419624263</v>
      </c>
      <c r="AE2042">
        <v>2407033.7000000002</v>
      </c>
      <c r="AF2042">
        <v>1417217229.3</v>
      </c>
      <c r="AG2042">
        <v>1417217229.3</v>
      </c>
      <c r="AH2042">
        <v>0</v>
      </c>
      <c r="AI2042">
        <v>0</v>
      </c>
    </row>
    <row r="2043" spans="13:35" x14ac:dyDescent="0.35">
      <c r="M2043" t="s">
        <v>2</v>
      </c>
      <c r="N2043">
        <v>3500</v>
      </c>
      <c r="O2043">
        <v>16</v>
      </c>
      <c r="P2043">
        <v>9</v>
      </c>
      <c r="Q2043">
        <v>0</v>
      </c>
      <c r="R2043">
        <v>190058273</v>
      </c>
      <c r="S2043">
        <v>323323.53000000003</v>
      </c>
      <c r="T2043">
        <v>189734949.47</v>
      </c>
      <c r="U2043">
        <v>189734949.47</v>
      </c>
      <c r="V2043">
        <v>0</v>
      </c>
      <c r="W2043">
        <v>0</v>
      </c>
      <c r="Y2043" t="s">
        <v>0</v>
      </c>
      <c r="Z2043">
        <v>3250</v>
      </c>
      <c r="AA2043">
        <v>18</v>
      </c>
      <c r="AB2043">
        <v>3</v>
      </c>
      <c r="AC2043">
        <v>0</v>
      </c>
      <c r="AD2043">
        <v>70907067</v>
      </c>
      <c r="AE2043">
        <v>125975.66</v>
      </c>
      <c r="AF2043">
        <v>70781091.340000004</v>
      </c>
      <c r="AG2043">
        <v>70781091.340000004</v>
      </c>
      <c r="AH2043">
        <v>0</v>
      </c>
      <c r="AI2043">
        <v>0</v>
      </c>
    </row>
    <row r="2044" spans="13:35" x14ac:dyDescent="0.35">
      <c r="M2044" t="s">
        <v>0</v>
      </c>
      <c r="N2044">
        <v>3250</v>
      </c>
      <c r="O2044">
        <v>16</v>
      </c>
      <c r="P2044">
        <v>3</v>
      </c>
      <c r="Q2044">
        <v>0</v>
      </c>
      <c r="R2044">
        <v>74109897</v>
      </c>
      <c r="S2044">
        <v>132081.96</v>
      </c>
      <c r="T2044">
        <v>73977815.040000007</v>
      </c>
      <c r="U2044">
        <v>73977815.040000007</v>
      </c>
      <c r="V2044">
        <v>0</v>
      </c>
      <c r="W2044">
        <v>0</v>
      </c>
      <c r="Y2044" t="s">
        <v>0</v>
      </c>
      <c r="Z2044">
        <v>3250</v>
      </c>
      <c r="AA2044">
        <v>16</v>
      </c>
      <c r="AB2044">
        <v>5</v>
      </c>
      <c r="AC2044">
        <v>0</v>
      </c>
      <c r="AD2044">
        <v>151161366</v>
      </c>
      <c r="AE2044">
        <v>266801.82</v>
      </c>
      <c r="AF2044">
        <v>150894564.18000001</v>
      </c>
      <c r="AG2044">
        <v>150894564.18000001</v>
      </c>
      <c r="AH2044">
        <v>0</v>
      </c>
      <c r="AI2044">
        <v>0</v>
      </c>
    </row>
    <row r="2045" spans="13:35" x14ac:dyDescent="0.35">
      <c r="M2045" t="s">
        <v>2</v>
      </c>
      <c r="N2045">
        <v>3750</v>
      </c>
      <c r="O2045">
        <v>16</v>
      </c>
      <c r="P2045">
        <v>19</v>
      </c>
      <c r="Q2045">
        <v>0</v>
      </c>
      <c r="R2045">
        <v>547006532</v>
      </c>
      <c r="S2045">
        <v>897422.36</v>
      </c>
      <c r="T2045">
        <v>546109109.63999999</v>
      </c>
      <c r="U2045">
        <v>546109109.63999999</v>
      </c>
      <c r="V2045">
        <v>0</v>
      </c>
      <c r="W2045">
        <v>0</v>
      </c>
      <c r="Y2045" t="s">
        <v>0</v>
      </c>
      <c r="Z2045">
        <v>3750</v>
      </c>
      <c r="AA2045">
        <v>16</v>
      </c>
      <c r="AB2045">
        <v>588</v>
      </c>
      <c r="AC2045">
        <v>0</v>
      </c>
      <c r="AD2045">
        <v>19197804047</v>
      </c>
      <c r="AE2045">
        <v>31078062.34</v>
      </c>
      <c r="AF2045">
        <v>19166725984.66</v>
      </c>
      <c r="AG2045">
        <v>19166725984.66</v>
      </c>
      <c r="AH2045">
        <v>0</v>
      </c>
      <c r="AI2045">
        <v>0</v>
      </c>
    </row>
    <row r="2046" spans="13:35" x14ac:dyDescent="0.35">
      <c r="M2046" t="s">
        <v>3</v>
      </c>
      <c r="N2046">
        <v>4250</v>
      </c>
      <c r="O2046">
        <v>18</v>
      </c>
      <c r="P2046">
        <v>1</v>
      </c>
      <c r="Q2046">
        <v>0</v>
      </c>
      <c r="R2046">
        <v>29915424</v>
      </c>
      <c r="S2046">
        <v>44849.26</v>
      </c>
      <c r="T2046">
        <v>29870574.739999998</v>
      </c>
      <c r="U2046">
        <v>29870574.739999998</v>
      </c>
      <c r="V2046">
        <v>0</v>
      </c>
      <c r="W2046">
        <v>0</v>
      </c>
      <c r="Y2046" t="s">
        <v>2</v>
      </c>
      <c r="Z2046">
        <v>3500</v>
      </c>
      <c r="AA2046">
        <v>16</v>
      </c>
      <c r="AB2046">
        <v>15</v>
      </c>
      <c r="AC2046">
        <v>0</v>
      </c>
      <c r="AD2046">
        <v>339054560</v>
      </c>
      <c r="AE2046">
        <v>585154.05000000005</v>
      </c>
      <c r="AF2046">
        <v>318127341.35000002</v>
      </c>
      <c r="AG2046">
        <v>318127341.35000002</v>
      </c>
      <c r="AH2046">
        <v>0.52405800000000002</v>
      </c>
      <c r="AI2046">
        <v>0.52405800000000002</v>
      </c>
    </row>
    <row r="2047" spans="13:35" x14ac:dyDescent="0.35">
      <c r="M2047" t="s">
        <v>3</v>
      </c>
      <c r="N2047">
        <v>5250</v>
      </c>
      <c r="O2047">
        <v>16</v>
      </c>
      <c r="P2047">
        <v>7</v>
      </c>
      <c r="Q2047">
        <v>0</v>
      </c>
      <c r="R2047">
        <v>191266325</v>
      </c>
      <c r="S2047">
        <v>239608.59</v>
      </c>
      <c r="T2047">
        <v>191026716.41</v>
      </c>
      <c r="U2047">
        <v>191026716.41</v>
      </c>
      <c r="V2047">
        <v>0</v>
      </c>
      <c r="W2047">
        <v>0</v>
      </c>
      <c r="Y2047" t="s">
        <v>3</v>
      </c>
      <c r="Z2047">
        <v>4000</v>
      </c>
      <c r="AA2047">
        <v>18</v>
      </c>
      <c r="AB2047">
        <v>5</v>
      </c>
      <c r="AC2047">
        <v>0</v>
      </c>
      <c r="AD2047">
        <v>53742806</v>
      </c>
      <c r="AE2047">
        <v>84055.25</v>
      </c>
      <c r="AF2047">
        <v>53658750.75</v>
      </c>
      <c r="AG2047">
        <v>53658750.75</v>
      </c>
      <c r="AH2047">
        <v>0</v>
      </c>
      <c r="AI2047">
        <v>0</v>
      </c>
    </row>
    <row r="2048" spans="13:35" x14ac:dyDescent="0.35">
      <c r="M2048" t="s">
        <v>0</v>
      </c>
      <c r="N2048">
        <v>2750</v>
      </c>
      <c r="O2048">
        <v>16</v>
      </c>
      <c r="P2048">
        <v>2</v>
      </c>
      <c r="Q2048">
        <v>0</v>
      </c>
      <c r="R2048">
        <v>32470964</v>
      </c>
      <c r="S2048">
        <v>62127.32</v>
      </c>
      <c r="T2048">
        <v>32408836.68</v>
      </c>
      <c r="U2048">
        <v>32408836.68</v>
      </c>
      <c r="V2048">
        <v>0</v>
      </c>
      <c r="W2048">
        <v>0</v>
      </c>
      <c r="Y2048" t="s">
        <v>2</v>
      </c>
      <c r="Z2048">
        <v>3750</v>
      </c>
      <c r="AA2048">
        <v>16</v>
      </c>
      <c r="AB2048">
        <v>17</v>
      </c>
      <c r="AC2048">
        <v>0</v>
      </c>
      <c r="AD2048">
        <v>517511701</v>
      </c>
      <c r="AE2048">
        <v>843725.86</v>
      </c>
      <c r="AF2048">
        <v>516667975.13999999</v>
      </c>
      <c r="AG2048">
        <v>516667975.13999999</v>
      </c>
      <c r="AH2048">
        <v>0</v>
      </c>
      <c r="AI2048">
        <v>0</v>
      </c>
    </row>
    <row r="2049" spans="13:35" x14ac:dyDescent="0.35">
      <c r="M2049" t="s">
        <v>1</v>
      </c>
      <c r="N2049">
        <v>3000</v>
      </c>
      <c r="O2049">
        <v>18</v>
      </c>
      <c r="P2049">
        <v>3</v>
      </c>
      <c r="Q2049">
        <v>0</v>
      </c>
      <c r="R2049">
        <v>132763366</v>
      </c>
      <c r="S2049">
        <v>291882.25</v>
      </c>
      <c r="T2049">
        <v>132471483.75</v>
      </c>
      <c r="U2049">
        <v>132471483.75</v>
      </c>
      <c r="V2049">
        <v>0</v>
      </c>
      <c r="W2049">
        <v>0</v>
      </c>
      <c r="Y2049" t="s">
        <v>3</v>
      </c>
      <c r="Z2049">
        <v>4500</v>
      </c>
      <c r="AA2049">
        <v>16</v>
      </c>
      <c r="AB2049">
        <v>1</v>
      </c>
      <c r="AC2049">
        <v>0</v>
      </c>
      <c r="AD2049">
        <v>34191539</v>
      </c>
      <c r="AE2049">
        <v>48863.07</v>
      </c>
      <c r="AF2049">
        <v>34142675.93</v>
      </c>
      <c r="AG2049">
        <v>34142675.93</v>
      </c>
      <c r="AH2049">
        <v>0</v>
      </c>
      <c r="AI2049">
        <v>0</v>
      </c>
    </row>
    <row r="2050" spans="13:35" x14ac:dyDescent="0.35">
      <c r="M2050" t="s">
        <v>3</v>
      </c>
      <c r="N2050">
        <v>4750</v>
      </c>
      <c r="O2050">
        <v>16</v>
      </c>
      <c r="P2050">
        <v>1</v>
      </c>
      <c r="Q2050">
        <v>0</v>
      </c>
      <c r="R2050">
        <v>24592415</v>
      </c>
      <c r="S2050">
        <v>33479.230000000003</v>
      </c>
      <c r="T2050">
        <v>24558935.77</v>
      </c>
      <c r="U2050">
        <v>24558935.77</v>
      </c>
      <c r="V2050">
        <v>0</v>
      </c>
      <c r="W2050">
        <v>0</v>
      </c>
      <c r="Y2050" t="s">
        <v>3</v>
      </c>
      <c r="Z2050">
        <v>4750</v>
      </c>
      <c r="AA2050">
        <v>16</v>
      </c>
      <c r="AB2050">
        <v>1</v>
      </c>
      <c r="AC2050">
        <v>0</v>
      </c>
      <c r="AD2050">
        <v>36404372</v>
      </c>
      <c r="AE2050">
        <v>49823.6</v>
      </c>
      <c r="AF2050">
        <v>36354548.399999999</v>
      </c>
      <c r="AG2050">
        <v>36354548.399999999</v>
      </c>
      <c r="AH2050">
        <v>0</v>
      </c>
      <c r="AI2050">
        <v>0</v>
      </c>
    </row>
    <row r="2051" spans="13:35" x14ac:dyDescent="0.35">
      <c r="M2051" t="s">
        <v>3</v>
      </c>
      <c r="N2051">
        <v>7750</v>
      </c>
      <c r="O2051">
        <v>16</v>
      </c>
      <c r="P2051">
        <v>1</v>
      </c>
      <c r="Q2051">
        <v>0</v>
      </c>
      <c r="R2051">
        <v>19359220</v>
      </c>
      <c r="S2051">
        <v>15585.13</v>
      </c>
      <c r="T2051">
        <v>19343634.870000001</v>
      </c>
      <c r="U2051">
        <v>19343634.870000001</v>
      </c>
      <c r="V2051">
        <v>0</v>
      </c>
      <c r="W2051">
        <v>0</v>
      </c>
      <c r="Y2051" t="s">
        <v>2</v>
      </c>
      <c r="Z2051">
        <v>2500</v>
      </c>
      <c r="AA2051">
        <v>18</v>
      </c>
      <c r="AB2051">
        <v>1</v>
      </c>
      <c r="AC2051">
        <v>0</v>
      </c>
      <c r="AD2051">
        <v>12819871</v>
      </c>
      <c r="AE2051">
        <v>25636.05</v>
      </c>
      <c r="AF2051">
        <v>12794234.949999999</v>
      </c>
      <c r="AG2051">
        <v>12794234.949999999</v>
      </c>
      <c r="AH2051">
        <v>0</v>
      </c>
      <c r="AI2051">
        <v>0</v>
      </c>
    </row>
    <row r="2052" spans="13:35" x14ac:dyDescent="0.35">
      <c r="M2052" t="s">
        <v>1</v>
      </c>
      <c r="N2052">
        <v>8000</v>
      </c>
      <c r="O2052">
        <v>16</v>
      </c>
      <c r="P2052">
        <v>4</v>
      </c>
      <c r="Q2052">
        <v>0</v>
      </c>
      <c r="R2052">
        <v>125579565</v>
      </c>
      <c r="S2052">
        <v>94454.41</v>
      </c>
      <c r="T2052">
        <v>125485110.59</v>
      </c>
      <c r="U2052">
        <v>125485110.59</v>
      </c>
      <c r="V2052">
        <v>0</v>
      </c>
      <c r="W2052">
        <v>0</v>
      </c>
      <c r="Y2052" t="s">
        <v>0</v>
      </c>
      <c r="Z2052">
        <v>2500</v>
      </c>
      <c r="AA2052">
        <v>18</v>
      </c>
      <c r="AB2052">
        <v>1</v>
      </c>
      <c r="AC2052">
        <v>0</v>
      </c>
      <c r="AD2052">
        <v>18307041</v>
      </c>
      <c r="AE2052">
        <v>36608.81</v>
      </c>
      <c r="AF2052">
        <v>18270432.190000001</v>
      </c>
      <c r="AG2052">
        <v>18270432.190000001</v>
      </c>
      <c r="AH2052">
        <v>0</v>
      </c>
      <c r="AI2052">
        <v>0</v>
      </c>
    </row>
    <row r="2053" spans="13:35" x14ac:dyDescent="0.35">
      <c r="M2053" t="s">
        <v>1</v>
      </c>
      <c r="N2053">
        <v>4000</v>
      </c>
      <c r="O2053">
        <v>14</v>
      </c>
      <c r="P2053">
        <v>452</v>
      </c>
      <c r="Q2053">
        <v>0</v>
      </c>
      <c r="R2053">
        <v>16019679977</v>
      </c>
      <c r="S2053">
        <v>24690994.82</v>
      </c>
      <c r="T2053">
        <v>15994988982.18</v>
      </c>
      <c r="U2053">
        <v>15994988982.18</v>
      </c>
      <c r="V2053">
        <v>0</v>
      </c>
      <c r="W2053">
        <v>0</v>
      </c>
      <c r="Y2053" t="s">
        <v>1</v>
      </c>
      <c r="Z2053">
        <v>2750</v>
      </c>
      <c r="AA2053">
        <v>16</v>
      </c>
      <c r="AB2053">
        <v>3</v>
      </c>
      <c r="AC2053">
        <v>0</v>
      </c>
      <c r="AD2053">
        <v>116406662</v>
      </c>
      <c r="AE2053">
        <v>246376.91</v>
      </c>
      <c r="AF2053">
        <v>116160285.09</v>
      </c>
      <c r="AG2053">
        <v>116160285.09</v>
      </c>
      <c r="AH2053">
        <v>0</v>
      </c>
      <c r="AI2053">
        <v>0</v>
      </c>
    </row>
    <row r="2054" spans="13:35" x14ac:dyDescent="0.35">
      <c r="M2054" t="s">
        <v>1</v>
      </c>
      <c r="N2054">
        <v>2250</v>
      </c>
      <c r="O2054">
        <v>16</v>
      </c>
      <c r="P2054">
        <v>1</v>
      </c>
      <c r="Q2054">
        <v>0</v>
      </c>
      <c r="R2054">
        <v>47639550</v>
      </c>
      <c r="S2054">
        <v>109696.36</v>
      </c>
      <c r="T2054">
        <v>47529853.640000001</v>
      </c>
      <c r="U2054">
        <v>47529853.640000001</v>
      </c>
      <c r="V2054">
        <v>0</v>
      </c>
      <c r="W2054">
        <v>0</v>
      </c>
      <c r="Y2054" t="s">
        <v>1</v>
      </c>
      <c r="Z2054">
        <v>3250</v>
      </c>
      <c r="AA2054">
        <v>16</v>
      </c>
      <c r="AB2054">
        <v>14</v>
      </c>
      <c r="AC2054">
        <v>0</v>
      </c>
      <c r="AD2054">
        <v>391858398</v>
      </c>
      <c r="AE2054">
        <v>688985.58</v>
      </c>
      <c r="AF2054">
        <v>391169412.42000002</v>
      </c>
      <c r="AG2054">
        <v>391169412.42000002</v>
      </c>
      <c r="AH2054">
        <v>0</v>
      </c>
      <c r="AI2054">
        <v>0</v>
      </c>
    </row>
    <row r="2055" spans="13:35" x14ac:dyDescent="0.35">
      <c r="M2055" t="s">
        <v>2</v>
      </c>
      <c r="N2055">
        <v>2750</v>
      </c>
      <c r="O2055">
        <v>16</v>
      </c>
      <c r="P2055">
        <v>2</v>
      </c>
      <c r="Q2055">
        <v>0</v>
      </c>
      <c r="R2055">
        <v>36791107</v>
      </c>
      <c r="S2055">
        <v>71354.429999999993</v>
      </c>
      <c r="T2055">
        <v>36719752.57</v>
      </c>
      <c r="U2055">
        <v>36719752.57</v>
      </c>
      <c r="V2055">
        <v>0</v>
      </c>
      <c r="W2055">
        <v>0</v>
      </c>
      <c r="Y2055" t="s">
        <v>2</v>
      </c>
      <c r="Z2055">
        <v>3250</v>
      </c>
      <c r="AA2055">
        <v>16</v>
      </c>
      <c r="AB2055">
        <v>6</v>
      </c>
      <c r="AC2055">
        <v>0</v>
      </c>
      <c r="AD2055">
        <v>102788788</v>
      </c>
      <c r="AE2055">
        <v>189167.14</v>
      </c>
      <c r="AF2055">
        <v>102599620.86</v>
      </c>
      <c r="AG2055">
        <v>102599620.86</v>
      </c>
      <c r="AH2055">
        <v>0</v>
      </c>
      <c r="AI2055">
        <v>0</v>
      </c>
    </row>
    <row r="2056" spans="13:35" x14ac:dyDescent="0.35">
      <c r="M2056" t="s">
        <v>1</v>
      </c>
      <c r="N2056">
        <v>2250</v>
      </c>
      <c r="O2056">
        <v>14</v>
      </c>
      <c r="P2056">
        <v>1</v>
      </c>
      <c r="Q2056">
        <v>0</v>
      </c>
      <c r="R2056">
        <v>27017833</v>
      </c>
      <c r="S2056">
        <v>64071.839999999997</v>
      </c>
      <c r="T2056">
        <v>26953761.16</v>
      </c>
      <c r="U2056">
        <v>26953761.16</v>
      </c>
      <c r="V2056">
        <v>0</v>
      </c>
      <c r="W2056">
        <v>0</v>
      </c>
      <c r="Y2056" t="s">
        <v>3</v>
      </c>
      <c r="Z2056">
        <v>4250</v>
      </c>
      <c r="AA2056">
        <v>16</v>
      </c>
      <c r="AB2056">
        <v>1</v>
      </c>
      <c r="AC2056">
        <v>0</v>
      </c>
      <c r="AD2056">
        <v>29915424</v>
      </c>
      <c r="AE2056">
        <v>44624.31</v>
      </c>
      <c r="AF2056">
        <v>29870799.690000001</v>
      </c>
      <c r="AG2056">
        <v>29870799.690000001</v>
      </c>
      <c r="AH2056">
        <v>0</v>
      </c>
      <c r="AI2056">
        <v>0</v>
      </c>
    </row>
    <row r="2057" spans="13:35" x14ac:dyDescent="0.35">
      <c r="M2057" t="s">
        <v>1</v>
      </c>
      <c r="N2057">
        <v>2500</v>
      </c>
      <c r="O2057">
        <v>20</v>
      </c>
      <c r="P2057">
        <v>1</v>
      </c>
      <c r="Q2057">
        <v>0</v>
      </c>
      <c r="R2057">
        <v>56995419</v>
      </c>
      <c r="S2057">
        <v>125141.69</v>
      </c>
      <c r="T2057">
        <v>56870277.310000002</v>
      </c>
      <c r="U2057">
        <v>56870277.310000002</v>
      </c>
      <c r="V2057">
        <v>0</v>
      </c>
      <c r="W2057">
        <v>0</v>
      </c>
      <c r="Y2057" t="s">
        <v>0</v>
      </c>
      <c r="Z2057">
        <v>3250</v>
      </c>
      <c r="AA2057">
        <v>14</v>
      </c>
      <c r="AB2057">
        <v>3</v>
      </c>
      <c r="AC2057">
        <v>0</v>
      </c>
      <c r="AD2057">
        <v>88578098</v>
      </c>
      <c r="AE2057">
        <v>156277.26999999999</v>
      </c>
      <c r="AF2057">
        <v>88421820.730000004</v>
      </c>
      <c r="AG2057">
        <v>88421820.730000004</v>
      </c>
      <c r="AH2057">
        <v>0</v>
      </c>
      <c r="AI2057">
        <v>0</v>
      </c>
    </row>
    <row r="2058" spans="13:35" x14ac:dyDescent="0.35">
      <c r="M2058" t="s">
        <v>2</v>
      </c>
      <c r="N2058">
        <v>3000</v>
      </c>
      <c r="O2058">
        <v>16</v>
      </c>
      <c r="P2058">
        <v>4</v>
      </c>
      <c r="Q2058">
        <v>0</v>
      </c>
      <c r="R2058">
        <v>92717615</v>
      </c>
      <c r="S2058">
        <v>183976.79</v>
      </c>
      <c r="T2058">
        <v>92533638.209999993</v>
      </c>
      <c r="U2058">
        <v>92533638.209999993</v>
      </c>
      <c r="V2058">
        <v>0</v>
      </c>
      <c r="W2058">
        <v>0</v>
      </c>
      <c r="Y2058" t="s">
        <v>0</v>
      </c>
      <c r="Z2058">
        <v>2750</v>
      </c>
      <c r="AA2058">
        <v>16</v>
      </c>
      <c r="AB2058">
        <v>2</v>
      </c>
      <c r="AC2058">
        <v>0</v>
      </c>
      <c r="AD2058">
        <v>32595167</v>
      </c>
      <c r="AE2058">
        <v>62103.81</v>
      </c>
      <c r="AF2058">
        <v>32533063.190000001</v>
      </c>
      <c r="AG2058">
        <v>32533063.190000001</v>
      </c>
      <c r="AH2058">
        <v>0</v>
      </c>
      <c r="AI2058">
        <v>0</v>
      </c>
    </row>
    <row r="2059" spans="13:35" x14ac:dyDescent="0.35">
      <c r="M2059" t="s">
        <v>0</v>
      </c>
      <c r="N2059">
        <v>3500</v>
      </c>
      <c r="O2059">
        <v>14</v>
      </c>
      <c r="P2059">
        <v>26</v>
      </c>
      <c r="Q2059">
        <v>0</v>
      </c>
      <c r="R2059">
        <v>906593149</v>
      </c>
      <c r="S2059">
        <v>1521863.6</v>
      </c>
      <c r="T2059">
        <v>905071285.39999998</v>
      </c>
      <c r="U2059">
        <v>905071285.39999998</v>
      </c>
      <c r="V2059">
        <v>0</v>
      </c>
      <c r="W2059">
        <v>0</v>
      </c>
      <c r="Y2059" t="s">
        <v>1</v>
      </c>
      <c r="Z2059">
        <v>3000</v>
      </c>
      <c r="AA2059">
        <v>16</v>
      </c>
      <c r="AB2059">
        <v>2</v>
      </c>
      <c r="AC2059">
        <v>0</v>
      </c>
      <c r="AD2059">
        <v>102387029</v>
      </c>
      <c r="AE2059">
        <v>223125.82</v>
      </c>
      <c r="AF2059">
        <v>102163903.18000001</v>
      </c>
      <c r="AG2059">
        <v>102163903.18000001</v>
      </c>
      <c r="AH2059">
        <v>0</v>
      </c>
      <c r="AI2059">
        <v>0</v>
      </c>
    </row>
    <row r="2060" spans="13:35" x14ac:dyDescent="0.35">
      <c r="M2060" t="s">
        <v>1</v>
      </c>
      <c r="N2060">
        <v>3500</v>
      </c>
      <c r="O2060">
        <v>14</v>
      </c>
      <c r="P2060">
        <v>27</v>
      </c>
      <c r="Q2060">
        <v>0</v>
      </c>
      <c r="R2060">
        <v>1010357518</v>
      </c>
      <c r="S2060">
        <v>1717205.4</v>
      </c>
      <c r="T2060">
        <v>1008640312.6</v>
      </c>
      <c r="U2060">
        <v>1008640312.6</v>
      </c>
      <c r="V2060">
        <v>0</v>
      </c>
      <c r="W2060">
        <v>0</v>
      </c>
      <c r="Y2060" t="s">
        <v>1</v>
      </c>
      <c r="Z2060">
        <v>3250</v>
      </c>
      <c r="AA2060">
        <v>14</v>
      </c>
      <c r="AB2060">
        <v>15</v>
      </c>
      <c r="AC2060">
        <v>0</v>
      </c>
      <c r="AD2060">
        <v>403339187</v>
      </c>
      <c r="AE2060">
        <v>710483.72</v>
      </c>
      <c r="AF2060">
        <v>402628703.27999997</v>
      </c>
      <c r="AG2060">
        <v>402628703.27999997</v>
      </c>
      <c r="AH2060">
        <v>0</v>
      </c>
      <c r="AI2060">
        <v>0</v>
      </c>
    </row>
    <row r="2061" spans="13:35" x14ac:dyDescent="0.35">
      <c r="M2061" t="s">
        <v>0</v>
      </c>
      <c r="N2061">
        <v>3250</v>
      </c>
      <c r="O2061">
        <v>14</v>
      </c>
      <c r="P2061">
        <v>5</v>
      </c>
      <c r="Q2061">
        <v>0</v>
      </c>
      <c r="R2061">
        <v>146029428</v>
      </c>
      <c r="S2061">
        <v>255015.27</v>
      </c>
      <c r="T2061">
        <v>145774412.72999999</v>
      </c>
      <c r="U2061">
        <v>145774412.72999999</v>
      </c>
      <c r="V2061">
        <v>0</v>
      </c>
      <c r="W2061">
        <v>0</v>
      </c>
      <c r="Y2061" t="s">
        <v>0</v>
      </c>
      <c r="Z2061">
        <v>3500</v>
      </c>
      <c r="AA2061">
        <v>14</v>
      </c>
      <c r="AB2061">
        <v>29</v>
      </c>
      <c r="AC2061">
        <v>0</v>
      </c>
      <c r="AD2061">
        <v>1068771738</v>
      </c>
      <c r="AE2061">
        <v>1788178.72</v>
      </c>
      <c r="AF2061">
        <v>1066983559.28</v>
      </c>
      <c r="AG2061">
        <v>1066983559.28</v>
      </c>
      <c r="AH2061">
        <v>0</v>
      </c>
      <c r="AI2061">
        <v>0</v>
      </c>
    </row>
    <row r="2062" spans="13:35" x14ac:dyDescent="0.35">
      <c r="M2062" t="s">
        <v>2</v>
      </c>
      <c r="N2062">
        <v>3500</v>
      </c>
      <c r="O2062">
        <v>14</v>
      </c>
      <c r="P2062">
        <v>8</v>
      </c>
      <c r="Q2062">
        <v>0</v>
      </c>
      <c r="R2062">
        <v>146811346</v>
      </c>
      <c r="S2062">
        <v>248762.05</v>
      </c>
      <c r="T2062">
        <v>146562583.94999999</v>
      </c>
      <c r="U2062">
        <v>146562583.94999999</v>
      </c>
      <c r="V2062">
        <v>0</v>
      </c>
      <c r="W2062">
        <v>0</v>
      </c>
      <c r="Y2062" t="s">
        <v>1</v>
      </c>
      <c r="Z2062">
        <v>3500</v>
      </c>
      <c r="AA2062">
        <v>14</v>
      </c>
      <c r="AB2062">
        <v>35</v>
      </c>
      <c r="AC2062">
        <v>0</v>
      </c>
      <c r="AD2062">
        <v>1459812809</v>
      </c>
      <c r="AE2062">
        <v>2447030.5099999998</v>
      </c>
      <c r="AF2062">
        <v>1457365778.49</v>
      </c>
      <c r="AG2062">
        <v>1457365778.49</v>
      </c>
      <c r="AH2062">
        <v>0</v>
      </c>
      <c r="AI2062">
        <v>0</v>
      </c>
    </row>
    <row r="2063" spans="13:35" x14ac:dyDescent="0.35">
      <c r="M2063" t="s">
        <v>2</v>
      </c>
      <c r="N2063">
        <v>3250</v>
      </c>
      <c r="O2063">
        <v>16</v>
      </c>
      <c r="P2063">
        <v>4</v>
      </c>
      <c r="Q2063">
        <v>0</v>
      </c>
      <c r="R2063">
        <v>51005793</v>
      </c>
      <c r="S2063">
        <v>92110.33</v>
      </c>
      <c r="T2063">
        <v>50913682.670000002</v>
      </c>
      <c r="U2063">
        <v>50913682.670000002</v>
      </c>
      <c r="V2063">
        <v>0</v>
      </c>
      <c r="W2063">
        <v>0</v>
      </c>
      <c r="Y2063" t="s">
        <v>1</v>
      </c>
      <c r="Z2063">
        <v>3750</v>
      </c>
      <c r="AA2063">
        <v>14</v>
      </c>
      <c r="AB2063">
        <v>90</v>
      </c>
      <c r="AC2063">
        <v>0</v>
      </c>
      <c r="AD2063">
        <v>3355454921</v>
      </c>
      <c r="AE2063">
        <v>5408939.25</v>
      </c>
      <c r="AF2063">
        <v>3326841968.1199999</v>
      </c>
      <c r="AG2063">
        <v>3326841968.1199999</v>
      </c>
      <c r="AH2063">
        <v>7.9898999999999998E-2</v>
      </c>
      <c r="AI2063">
        <v>7.9898999999999998E-2</v>
      </c>
    </row>
    <row r="2064" spans="13:35" x14ac:dyDescent="0.35">
      <c r="M2064" t="s">
        <v>1</v>
      </c>
      <c r="N2064">
        <v>3250</v>
      </c>
      <c r="O2064">
        <v>14</v>
      </c>
      <c r="P2064">
        <v>9</v>
      </c>
      <c r="Q2064">
        <v>0</v>
      </c>
      <c r="R2064">
        <v>184104938</v>
      </c>
      <c r="S2064">
        <v>340503.65</v>
      </c>
      <c r="T2064">
        <v>183764434.34999999</v>
      </c>
      <c r="U2064">
        <v>183764434.34999999</v>
      </c>
      <c r="V2064">
        <v>0</v>
      </c>
      <c r="W2064">
        <v>0</v>
      </c>
      <c r="Y2064" t="s">
        <v>1</v>
      </c>
      <c r="Z2064">
        <v>4000</v>
      </c>
      <c r="AA2064">
        <v>14</v>
      </c>
      <c r="AB2064">
        <v>683</v>
      </c>
      <c r="AC2064">
        <v>0</v>
      </c>
      <c r="AD2064">
        <v>24293553299</v>
      </c>
      <c r="AE2064">
        <v>37476889.880000003</v>
      </c>
      <c r="AF2064">
        <v>24232045776.200001</v>
      </c>
      <c r="AG2064">
        <v>24232045776.200001</v>
      </c>
      <c r="AH2064">
        <v>1.1806000000000001E-2</v>
      </c>
      <c r="AI2064">
        <v>1.1806000000000001E-2</v>
      </c>
    </row>
    <row r="2065" spans="13:35" x14ac:dyDescent="0.35">
      <c r="M2065" t="s">
        <v>2</v>
      </c>
      <c r="N2065">
        <v>4000</v>
      </c>
      <c r="O2065">
        <v>14</v>
      </c>
      <c r="P2065">
        <v>63</v>
      </c>
      <c r="Q2065">
        <v>0</v>
      </c>
      <c r="R2065">
        <v>1795093554</v>
      </c>
      <c r="S2065">
        <v>2770841</v>
      </c>
      <c r="T2065">
        <v>1792322713</v>
      </c>
      <c r="U2065">
        <v>1792322713</v>
      </c>
      <c r="V2065">
        <v>0</v>
      </c>
      <c r="W2065">
        <v>0</v>
      </c>
      <c r="Y2065" t="s">
        <v>2</v>
      </c>
      <c r="Z2065">
        <v>4000</v>
      </c>
      <c r="AA2065">
        <v>14</v>
      </c>
      <c r="AB2065">
        <v>87</v>
      </c>
      <c r="AC2065">
        <v>0</v>
      </c>
      <c r="AD2065">
        <v>2471699955</v>
      </c>
      <c r="AE2065">
        <v>3811427.12</v>
      </c>
      <c r="AF2065">
        <v>2467888527.8800001</v>
      </c>
      <c r="AG2065">
        <v>2467888527.8800001</v>
      </c>
      <c r="AH2065">
        <v>0</v>
      </c>
      <c r="AI2065">
        <v>0</v>
      </c>
    </row>
    <row r="2066" spans="13:35" x14ac:dyDescent="0.35">
      <c r="M2066" t="s">
        <v>0</v>
      </c>
      <c r="N2066">
        <v>4250</v>
      </c>
      <c r="O2066">
        <v>14</v>
      </c>
      <c r="P2066">
        <v>687</v>
      </c>
      <c r="Q2066">
        <v>0</v>
      </c>
      <c r="R2066">
        <v>22805558465</v>
      </c>
      <c r="S2066">
        <v>33747968.520000003</v>
      </c>
      <c r="T2066">
        <v>22771810496.48</v>
      </c>
      <c r="U2066">
        <v>22771810496.48</v>
      </c>
      <c r="V2066">
        <v>0</v>
      </c>
      <c r="W2066">
        <v>0</v>
      </c>
      <c r="Y2066" t="s">
        <v>2</v>
      </c>
      <c r="Z2066">
        <v>3750</v>
      </c>
      <c r="AA2066">
        <v>14</v>
      </c>
      <c r="AB2066">
        <v>15</v>
      </c>
      <c r="AC2066">
        <v>0</v>
      </c>
      <c r="AD2066">
        <v>380853561</v>
      </c>
      <c r="AE2066">
        <v>625799.96</v>
      </c>
      <c r="AF2066">
        <v>357647776.83999997</v>
      </c>
      <c r="AG2066">
        <v>380227761.04000002</v>
      </c>
      <c r="AH2066">
        <v>0.51973499999999995</v>
      </c>
      <c r="AI2066">
        <v>0</v>
      </c>
    </row>
    <row r="2067" spans="13:35" x14ac:dyDescent="0.35">
      <c r="M2067" t="s">
        <v>1</v>
      </c>
      <c r="N2067">
        <v>3750</v>
      </c>
      <c r="O2067">
        <v>14</v>
      </c>
      <c r="P2067">
        <v>64</v>
      </c>
      <c r="Q2067">
        <v>0</v>
      </c>
      <c r="R2067">
        <v>2268638363</v>
      </c>
      <c r="S2067">
        <v>3670421.51</v>
      </c>
      <c r="T2067">
        <v>2264967941.4899998</v>
      </c>
      <c r="U2067">
        <v>2264967941.4899998</v>
      </c>
      <c r="V2067">
        <v>0</v>
      </c>
      <c r="W2067">
        <v>0</v>
      </c>
      <c r="Y2067" t="s">
        <v>3</v>
      </c>
      <c r="Z2067">
        <v>4750</v>
      </c>
      <c r="AA2067">
        <v>14</v>
      </c>
      <c r="AB2067">
        <v>1</v>
      </c>
      <c r="AC2067">
        <v>0</v>
      </c>
      <c r="AD2067">
        <v>24646888</v>
      </c>
      <c r="AE2067">
        <v>33375.83</v>
      </c>
      <c r="AF2067">
        <v>24613512.170000002</v>
      </c>
      <c r="AG2067">
        <v>24613512.170000002</v>
      </c>
      <c r="AH2067">
        <v>0</v>
      </c>
      <c r="AI2067">
        <v>0</v>
      </c>
    </row>
    <row r="2068" spans="13:35" x14ac:dyDescent="0.35">
      <c r="M2068" t="s">
        <v>1</v>
      </c>
      <c r="N2068">
        <v>4250</v>
      </c>
      <c r="O2068">
        <v>14</v>
      </c>
      <c r="P2068">
        <v>263</v>
      </c>
      <c r="Q2068">
        <v>0</v>
      </c>
      <c r="R2068">
        <v>9362207883</v>
      </c>
      <c r="S2068">
        <v>13846446.550000001</v>
      </c>
      <c r="T2068">
        <v>9285271939.1599998</v>
      </c>
      <c r="U2068">
        <v>9299989676.0200005</v>
      </c>
      <c r="V2068">
        <v>7.7934000000000003E-2</v>
      </c>
      <c r="W2068">
        <v>6.0269000000000003E-2</v>
      </c>
      <c r="Y2068" t="s">
        <v>3</v>
      </c>
      <c r="Z2068">
        <v>7750</v>
      </c>
      <c r="AA2068">
        <v>14</v>
      </c>
      <c r="AB2068">
        <v>1</v>
      </c>
      <c r="AC2068">
        <v>0</v>
      </c>
      <c r="AD2068">
        <v>19359220</v>
      </c>
      <c r="AE2068">
        <v>15474.34</v>
      </c>
      <c r="AF2068">
        <v>19343745.66</v>
      </c>
      <c r="AG2068">
        <v>19343745.66</v>
      </c>
      <c r="AH2068">
        <v>0</v>
      </c>
      <c r="AI2068">
        <v>0</v>
      </c>
    </row>
    <row r="2069" spans="13:35" x14ac:dyDescent="0.35">
      <c r="M2069" t="s">
        <v>2</v>
      </c>
      <c r="N2069">
        <v>4250</v>
      </c>
      <c r="O2069">
        <v>14</v>
      </c>
      <c r="P2069">
        <v>22</v>
      </c>
      <c r="Q2069">
        <v>0</v>
      </c>
      <c r="R2069">
        <v>589614972</v>
      </c>
      <c r="S2069">
        <v>870454.66</v>
      </c>
      <c r="T2069">
        <v>588744517.34000003</v>
      </c>
      <c r="U2069">
        <v>588744517.34000003</v>
      </c>
      <c r="V2069">
        <v>0</v>
      </c>
      <c r="W2069">
        <v>0</v>
      </c>
      <c r="Y2069" t="s">
        <v>1</v>
      </c>
      <c r="Z2069">
        <v>8000</v>
      </c>
      <c r="AA2069">
        <v>14</v>
      </c>
      <c r="AB2069">
        <v>6</v>
      </c>
      <c r="AC2069">
        <v>0</v>
      </c>
      <c r="AD2069">
        <v>176512307</v>
      </c>
      <c r="AE2069">
        <v>134043.63</v>
      </c>
      <c r="AF2069">
        <v>147773965.47999999</v>
      </c>
      <c r="AG2069">
        <v>176378263.37</v>
      </c>
      <c r="AH2069">
        <v>0.88016000000000005</v>
      </c>
      <c r="AI2069">
        <v>0</v>
      </c>
    </row>
    <row r="2070" spans="13:35" x14ac:dyDescent="0.35">
      <c r="M2070" t="s">
        <v>2</v>
      </c>
      <c r="N2070">
        <v>3750</v>
      </c>
      <c r="O2070">
        <v>14</v>
      </c>
      <c r="P2070">
        <v>16</v>
      </c>
      <c r="Q2070">
        <v>0</v>
      </c>
      <c r="R2070">
        <v>375467089</v>
      </c>
      <c r="S2070">
        <v>605644.71</v>
      </c>
      <c r="T2070">
        <v>374861444.29000002</v>
      </c>
      <c r="U2070">
        <v>374861444.29000002</v>
      </c>
      <c r="V2070">
        <v>0</v>
      </c>
      <c r="W2070">
        <v>0</v>
      </c>
      <c r="Y2070" t="s">
        <v>1</v>
      </c>
      <c r="Z2070">
        <v>2250</v>
      </c>
      <c r="AA2070">
        <v>14</v>
      </c>
      <c r="AB2070">
        <v>2</v>
      </c>
      <c r="AC2070">
        <v>0</v>
      </c>
      <c r="AD2070">
        <v>74833692</v>
      </c>
      <c r="AE2070">
        <v>173449.63</v>
      </c>
      <c r="AF2070">
        <v>74660242.370000005</v>
      </c>
      <c r="AG2070">
        <v>74660242.370000005</v>
      </c>
      <c r="AH2070">
        <v>0</v>
      </c>
      <c r="AI2070">
        <v>0</v>
      </c>
    </row>
    <row r="2071" spans="13:35" x14ac:dyDescent="0.35">
      <c r="M2071" t="s">
        <v>3</v>
      </c>
      <c r="N2071">
        <v>5250</v>
      </c>
      <c r="O2071">
        <v>14</v>
      </c>
      <c r="P2071">
        <v>3</v>
      </c>
      <c r="Q2071">
        <v>0</v>
      </c>
      <c r="R2071">
        <v>63904688</v>
      </c>
      <c r="S2071">
        <v>79019.73</v>
      </c>
      <c r="T2071">
        <v>63825668.270000003</v>
      </c>
      <c r="U2071">
        <v>63825668.270000003</v>
      </c>
      <c r="V2071">
        <v>0</v>
      </c>
      <c r="W2071">
        <v>0</v>
      </c>
      <c r="Y2071" t="s">
        <v>2</v>
      </c>
      <c r="Z2071">
        <v>2750</v>
      </c>
      <c r="AA2071">
        <v>16</v>
      </c>
      <c r="AB2071">
        <v>2</v>
      </c>
      <c r="AC2071">
        <v>0</v>
      </c>
      <c r="AD2071">
        <v>36841304</v>
      </c>
      <c r="AE2071">
        <v>71156.28</v>
      </c>
      <c r="AF2071">
        <v>36770147.719999999</v>
      </c>
      <c r="AG2071">
        <v>36770147.719999999</v>
      </c>
      <c r="AH2071">
        <v>0</v>
      </c>
      <c r="AI2071">
        <v>0</v>
      </c>
    </row>
    <row r="2072" spans="13:35" x14ac:dyDescent="0.35">
      <c r="M2072" t="s">
        <v>1</v>
      </c>
      <c r="N2072">
        <v>8000</v>
      </c>
      <c r="O2072">
        <v>14</v>
      </c>
      <c r="P2072">
        <v>1</v>
      </c>
      <c r="Q2072">
        <v>0</v>
      </c>
      <c r="R2072">
        <v>22269328</v>
      </c>
      <c r="S2072">
        <v>16561.439999999999</v>
      </c>
      <c r="T2072">
        <v>22252766.559999999</v>
      </c>
      <c r="U2072">
        <v>22252766.559999999</v>
      </c>
      <c r="V2072">
        <v>0</v>
      </c>
      <c r="W2072">
        <v>0</v>
      </c>
      <c r="Y2072" t="s">
        <v>1</v>
      </c>
      <c r="Z2072">
        <v>2750</v>
      </c>
      <c r="AA2072">
        <v>14</v>
      </c>
      <c r="AB2072">
        <v>3</v>
      </c>
      <c r="AC2072">
        <v>0</v>
      </c>
      <c r="AD2072">
        <v>112992589</v>
      </c>
      <c r="AE2072">
        <v>246615.85</v>
      </c>
      <c r="AF2072">
        <v>112745973.15000001</v>
      </c>
      <c r="AG2072">
        <v>112745973.15000001</v>
      </c>
      <c r="AH2072">
        <v>0</v>
      </c>
      <c r="AI2072">
        <v>0</v>
      </c>
    </row>
    <row r="2073" spans="13:35" x14ac:dyDescent="0.35">
      <c r="M2073" t="s">
        <v>2</v>
      </c>
      <c r="N2073">
        <v>2500</v>
      </c>
      <c r="O2073">
        <v>16</v>
      </c>
      <c r="P2073">
        <v>1</v>
      </c>
      <c r="Q2073">
        <v>0</v>
      </c>
      <c r="R2073">
        <v>23008605</v>
      </c>
      <c r="S2073">
        <v>45637.51</v>
      </c>
      <c r="T2073">
        <v>22962967.489999998</v>
      </c>
      <c r="U2073">
        <v>22962967.489999998</v>
      </c>
      <c r="V2073">
        <v>0</v>
      </c>
      <c r="W2073">
        <v>0</v>
      </c>
      <c r="Y2073" t="s">
        <v>2</v>
      </c>
      <c r="Z2073">
        <v>3000</v>
      </c>
      <c r="AA2073">
        <v>16</v>
      </c>
      <c r="AB2073">
        <v>3</v>
      </c>
      <c r="AC2073">
        <v>0</v>
      </c>
      <c r="AD2073">
        <v>61232199</v>
      </c>
      <c r="AE2073">
        <v>120491.21</v>
      </c>
      <c r="AF2073">
        <v>61111707.789999999</v>
      </c>
      <c r="AG2073">
        <v>61111707.789999999</v>
      </c>
      <c r="AH2073">
        <v>0</v>
      </c>
      <c r="AI2073">
        <v>0</v>
      </c>
    </row>
    <row r="2074" spans="13:35" x14ac:dyDescent="0.35">
      <c r="M2074" t="s">
        <v>1</v>
      </c>
      <c r="N2074">
        <v>3000</v>
      </c>
      <c r="O2074">
        <v>14</v>
      </c>
      <c r="P2074">
        <v>2</v>
      </c>
      <c r="Q2074">
        <v>0</v>
      </c>
      <c r="R2074">
        <v>45772225</v>
      </c>
      <c r="S2074">
        <v>98940.34</v>
      </c>
      <c r="T2074">
        <v>45673284.659999996</v>
      </c>
      <c r="U2074">
        <v>45673284.659999996</v>
      </c>
      <c r="V2074">
        <v>0</v>
      </c>
      <c r="W2074">
        <v>0</v>
      </c>
      <c r="Y2074" t="s">
        <v>2</v>
      </c>
      <c r="Z2074">
        <v>3500</v>
      </c>
      <c r="AA2074">
        <v>14</v>
      </c>
      <c r="AB2074">
        <v>4</v>
      </c>
      <c r="AC2074">
        <v>0</v>
      </c>
      <c r="AD2074">
        <v>78852267</v>
      </c>
      <c r="AE2074">
        <v>133609.37</v>
      </c>
      <c r="AF2074">
        <v>78718657.629999995</v>
      </c>
      <c r="AG2074">
        <v>78718657.629999995</v>
      </c>
      <c r="AH2074">
        <v>0</v>
      </c>
      <c r="AI2074">
        <v>0</v>
      </c>
    </row>
    <row r="2075" spans="13:35" x14ac:dyDescent="0.35">
      <c r="M2075" t="s">
        <v>2</v>
      </c>
      <c r="N2075">
        <v>3000</v>
      </c>
      <c r="O2075">
        <v>18</v>
      </c>
      <c r="P2075">
        <v>1</v>
      </c>
      <c r="Q2075">
        <v>0</v>
      </c>
      <c r="R2075">
        <v>20384664</v>
      </c>
      <c r="S2075">
        <v>45023.27</v>
      </c>
      <c r="T2075">
        <v>20339640.73</v>
      </c>
      <c r="U2075">
        <v>20339640.73</v>
      </c>
      <c r="V2075">
        <v>0</v>
      </c>
      <c r="W2075">
        <v>0</v>
      </c>
      <c r="Y2075" t="s">
        <v>2</v>
      </c>
      <c r="Z2075">
        <v>3250</v>
      </c>
      <c r="AA2075">
        <v>14</v>
      </c>
      <c r="AB2075">
        <v>3</v>
      </c>
      <c r="AC2075">
        <v>0</v>
      </c>
      <c r="AD2075">
        <v>45460756</v>
      </c>
      <c r="AE2075">
        <v>81584.67</v>
      </c>
      <c r="AF2075">
        <v>45379171.329999998</v>
      </c>
      <c r="AG2075">
        <v>45379171.329999998</v>
      </c>
      <c r="AH2075">
        <v>0</v>
      </c>
      <c r="AI2075">
        <v>0</v>
      </c>
    </row>
    <row r="2076" spans="13:35" x14ac:dyDescent="0.35">
      <c r="M2076" t="s">
        <v>1</v>
      </c>
      <c r="N2076">
        <v>2750</v>
      </c>
      <c r="O2076">
        <v>14</v>
      </c>
      <c r="P2076">
        <v>2</v>
      </c>
      <c r="Q2076">
        <v>0</v>
      </c>
      <c r="R2076">
        <v>62400936</v>
      </c>
      <c r="S2076">
        <v>135606.89000000001</v>
      </c>
      <c r="T2076">
        <v>62265329.109999999</v>
      </c>
      <c r="U2076">
        <v>62265329.109999999</v>
      </c>
      <c r="V2076">
        <v>0</v>
      </c>
      <c r="W2076">
        <v>0</v>
      </c>
      <c r="Y2076" t="s">
        <v>3</v>
      </c>
      <c r="Z2076">
        <v>5250</v>
      </c>
      <c r="AA2076">
        <v>14</v>
      </c>
      <c r="AB2076">
        <v>3</v>
      </c>
      <c r="AC2076">
        <v>0</v>
      </c>
      <c r="AD2076">
        <v>62333768</v>
      </c>
      <c r="AE2076">
        <v>77049.56</v>
      </c>
      <c r="AF2076">
        <v>62256718.439999998</v>
      </c>
      <c r="AG2076">
        <v>62256718.439999998</v>
      </c>
      <c r="AH2076">
        <v>0</v>
      </c>
      <c r="AI2076">
        <v>0</v>
      </c>
    </row>
    <row r="2077" spans="13:35" x14ac:dyDescent="0.35">
      <c r="M2077" t="s">
        <v>0</v>
      </c>
      <c r="N2077">
        <v>3000</v>
      </c>
      <c r="O2077">
        <v>14</v>
      </c>
      <c r="P2077">
        <v>1</v>
      </c>
      <c r="Q2077">
        <v>0</v>
      </c>
      <c r="R2077">
        <v>31925736</v>
      </c>
      <c r="S2077">
        <v>58154.91</v>
      </c>
      <c r="T2077">
        <v>31867581.09</v>
      </c>
      <c r="U2077">
        <v>31867581.09</v>
      </c>
      <c r="V2077">
        <v>0</v>
      </c>
      <c r="W2077">
        <v>0</v>
      </c>
      <c r="Y2077" t="s">
        <v>3</v>
      </c>
      <c r="Z2077">
        <v>7000</v>
      </c>
      <c r="AA2077">
        <v>16</v>
      </c>
      <c r="AB2077">
        <v>1</v>
      </c>
      <c r="AC2077">
        <v>0</v>
      </c>
      <c r="AD2077">
        <v>24800474</v>
      </c>
      <c r="AE2077">
        <v>22621.42</v>
      </c>
      <c r="AF2077">
        <v>24777852.579999998</v>
      </c>
      <c r="AG2077">
        <v>24777852.579999998</v>
      </c>
      <c r="AH2077">
        <v>0</v>
      </c>
      <c r="AI2077">
        <v>0</v>
      </c>
    </row>
    <row r="2078" spans="13:35" x14ac:dyDescent="0.35">
      <c r="M2078" t="s">
        <v>2</v>
      </c>
      <c r="N2078">
        <v>3250</v>
      </c>
      <c r="O2078">
        <v>14</v>
      </c>
      <c r="P2078">
        <v>4</v>
      </c>
      <c r="Q2078">
        <v>0</v>
      </c>
      <c r="R2078">
        <v>74440584</v>
      </c>
      <c r="S2078">
        <v>130847.43</v>
      </c>
      <c r="T2078">
        <v>74309736.569999993</v>
      </c>
      <c r="U2078">
        <v>74309736.569999993</v>
      </c>
      <c r="V2078">
        <v>0</v>
      </c>
      <c r="W2078">
        <v>0</v>
      </c>
      <c r="Y2078" t="s">
        <v>2</v>
      </c>
      <c r="Z2078">
        <v>2500</v>
      </c>
      <c r="AA2078">
        <v>14</v>
      </c>
      <c r="AB2078">
        <v>1</v>
      </c>
      <c r="AC2078">
        <v>0</v>
      </c>
      <c r="AD2078">
        <v>23008605</v>
      </c>
      <c r="AE2078">
        <v>45452.66</v>
      </c>
      <c r="AF2078">
        <v>22963152.34</v>
      </c>
      <c r="AG2078">
        <v>22963152.34</v>
      </c>
      <c r="AH2078">
        <v>0</v>
      </c>
      <c r="AI2078">
        <v>0</v>
      </c>
    </row>
    <row r="2079" spans="13:35" x14ac:dyDescent="0.35">
      <c r="M2079" t="s">
        <v>0</v>
      </c>
      <c r="N2079">
        <v>8500</v>
      </c>
      <c r="O2079">
        <v>14</v>
      </c>
      <c r="P2079">
        <v>2</v>
      </c>
      <c r="Q2079">
        <v>0</v>
      </c>
      <c r="R2079">
        <v>38305915</v>
      </c>
      <c r="S2079">
        <v>26127.81</v>
      </c>
      <c r="T2079">
        <v>38279787.189999998</v>
      </c>
      <c r="U2079">
        <v>38279787.189999998</v>
      </c>
      <c r="V2079">
        <v>0</v>
      </c>
      <c r="W2079">
        <v>0</v>
      </c>
      <c r="Y2079" t="s">
        <v>1</v>
      </c>
      <c r="Z2079">
        <v>3000</v>
      </c>
      <c r="AA2079">
        <v>12</v>
      </c>
      <c r="AB2079">
        <v>7</v>
      </c>
      <c r="AC2079">
        <v>0</v>
      </c>
      <c r="AD2079">
        <v>174708753</v>
      </c>
      <c r="AE2079">
        <v>366949.54</v>
      </c>
      <c r="AF2079">
        <v>174341803.46000001</v>
      </c>
      <c r="AG2079">
        <v>174341803.46000001</v>
      </c>
      <c r="AH2079">
        <v>0</v>
      </c>
      <c r="AI2079">
        <v>0</v>
      </c>
    </row>
    <row r="2080" spans="13:35" x14ac:dyDescent="0.35">
      <c r="M2080" t="s">
        <v>0</v>
      </c>
      <c r="N2080">
        <v>9000</v>
      </c>
      <c r="O2080">
        <v>16</v>
      </c>
      <c r="P2080">
        <v>1</v>
      </c>
      <c r="Q2080">
        <v>0</v>
      </c>
      <c r="R2080">
        <v>12159072</v>
      </c>
      <c r="S2080">
        <v>7872.54</v>
      </c>
      <c r="T2080">
        <v>12151199.460000001</v>
      </c>
      <c r="U2080">
        <v>12151199.460000001</v>
      </c>
      <c r="V2080">
        <v>0</v>
      </c>
      <c r="W2080">
        <v>0</v>
      </c>
      <c r="Y2080" t="s">
        <v>2</v>
      </c>
      <c r="Z2080">
        <v>3000</v>
      </c>
      <c r="AA2080">
        <v>14</v>
      </c>
      <c r="AB2080">
        <v>3</v>
      </c>
      <c r="AC2080">
        <v>0</v>
      </c>
      <c r="AD2080">
        <v>63073355</v>
      </c>
      <c r="AE2080">
        <v>128191.71</v>
      </c>
      <c r="AF2080">
        <v>62945163.289999999</v>
      </c>
      <c r="AG2080">
        <v>62945163.289999999</v>
      </c>
      <c r="AH2080">
        <v>0</v>
      </c>
      <c r="AI2080">
        <v>0</v>
      </c>
    </row>
    <row r="2081" spans="13:35" x14ac:dyDescent="0.35">
      <c r="M2081" t="s">
        <v>1</v>
      </c>
      <c r="N2081">
        <v>4500</v>
      </c>
      <c r="O2081">
        <v>12</v>
      </c>
      <c r="P2081">
        <v>626</v>
      </c>
      <c r="Q2081">
        <v>0</v>
      </c>
      <c r="R2081">
        <v>22480330084</v>
      </c>
      <c r="S2081">
        <v>31510637.07</v>
      </c>
      <c r="T2081">
        <v>22399994803.349998</v>
      </c>
      <c r="U2081">
        <v>22423996648.900002</v>
      </c>
      <c r="V2081">
        <v>2.5753999999999999E-2</v>
      </c>
      <c r="W2081">
        <v>1.3169999999999999E-2</v>
      </c>
      <c r="Y2081" t="s">
        <v>0</v>
      </c>
      <c r="Z2081">
        <v>3000</v>
      </c>
      <c r="AA2081">
        <v>14</v>
      </c>
      <c r="AB2081">
        <v>1</v>
      </c>
      <c r="AC2081">
        <v>0</v>
      </c>
      <c r="AD2081">
        <v>31983937</v>
      </c>
      <c r="AE2081">
        <v>58010.23</v>
      </c>
      <c r="AF2081">
        <v>31925926.77</v>
      </c>
      <c r="AG2081">
        <v>31925926.77</v>
      </c>
      <c r="AH2081">
        <v>0</v>
      </c>
      <c r="AI2081">
        <v>0</v>
      </c>
    </row>
    <row r="2082" spans="13:35" x14ac:dyDescent="0.35">
      <c r="M2082" t="s">
        <v>1</v>
      </c>
      <c r="N2082">
        <v>2500</v>
      </c>
      <c r="O2082">
        <v>12</v>
      </c>
      <c r="P2082">
        <v>7</v>
      </c>
      <c r="Q2082">
        <v>0</v>
      </c>
      <c r="R2082">
        <v>281551729</v>
      </c>
      <c r="S2082">
        <v>568606.63</v>
      </c>
      <c r="T2082">
        <v>280983122.37</v>
      </c>
      <c r="U2082">
        <v>280983122.37</v>
      </c>
      <c r="V2082">
        <v>0</v>
      </c>
      <c r="W2082">
        <v>0</v>
      </c>
      <c r="Y2082" t="s">
        <v>1</v>
      </c>
      <c r="Z2082">
        <v>3500</v>
      </c>
      <c r="AA2082">
        <v>12</v>
      </c>
      <c r="AB2082">
        <v>10</v>
      </c>
      <c r="AC2082">
        <v>0</v>
      </c>
      <c r="AD2082">
        <v>318414513</v>
      </c>
      <c r="AE2082">
        <v>558252.5</v>
      </c>
      <c r="AF2082">
        <v>317856260.5</v>
      </c>
      <c r="AG2082">
        <v>317856260.5</v>
      </c>
      <c r="AH2082">
        <v>0</v>
      </c>
      <c r="AI2082">
        <v>0</v>
      </c>
    </row>
    <row r="2083" spans="13:35" x14ac:dyDescent="0.35">
      <c r="M2083" t="s">
        <v>0</v>
      </c>
      <c r="N2083">
        <v>2500</v>
      </c>
      <c r="O2083">
        <v>14</v>
      </c>
      <c r="P2083">
        <v>1</v>
      </c>
      <c r="Q2083">
        <v>0</v>
      </c>
      <c r="R2083">
        <v>16032225</v>
      </c>
      <c r="S2083">
        <v>31543.05</v>
      </c>
      <c r="T2083">
        <v>16000681.949999999</v>
      </c>
      <c r="U2083">
        <v>16000681.949999999</v>
      </c>
      <c r="V2083">
        <v>0</v>
      </c>
      <c r="W2083">
        <v>0</v>
      </c>
      <c r="Y2083" t="s">
        <v>0</v>
      </c>
      <c r="Z2083">
        <v>3500</v>
      </c>
      <c r="AA2083">
        <v>12</v>
      </c>
      <c r="AB2083">
        <v>9</v>
      </c>
      <c r="AC2083">
        <v>0</v>
      </c>
      <c r="AD2083">
        <v>263409206</v>
      </c>
      <c r="AE2083">
        <v>440764.33</v>
      </c>
      <c r="AF2083">
        <v>262968441.66999999</v>
      </c>
      <c r="AG2083">
        <v>262968441.66999999</v>
      </c>
      <c r="AH2083">
        <v>0</v>
      </c>
      <c r="AI2083">
        <v>0</v>
      </c>
    </row>
    <row r="2084" spans="13:35" x14ac:dyDescent="0.35">
      <c r="M2084" t="s">
        <v>0</v>
      </c>
      <c r="N2084">
        <v>2500</v>
      </c>
      <c r="O2084">
        <v>12</v>
      </c>
      <c r="P2084">
        <v>6</v>
      </c>
      <c r="Q2084">
        <v>0</v>
      </c>
      <c r="R2084">
        <v>141096054</v>
      </c>
      <c r="S2084">
        <v>276350.01</v>
      </c>
      <c r="T2084">
        <v>140819703.99000001</v>
      </c>
      <c r="U2084">
        <v>140819703.99000001</v>
      </c>
      <c r="V2084">
        <v>0</v>
      </c>
      <c r="W2084">
        <v>0</v>
      </c>
      <c r="Y2084" t="s">
        <v>1</v>
      </c>
      <c r="Z2084">
        <v>3750</v>
      </c>
      <c r="AA2084">
        <v>12</v>
      </c>
      <c r="AB2084">
        <v>55</v>
      </c>
      <c r="AC2084">
        <v>0</v>
      </c>
      <c r="AD2084">
        <v>2070337583</v>
      </c>
      <c r="AE2084">
        <v>3353235.41</v>
      </c>
      <c r="AF2084">
        <v>2066984347.5899999</v>
      </c>
      <c r="AG2084">
        <v>2066984347.5899999</v>
      </c>
      <c r="AH2084">
        <v>0</v>
      </c>
      <c r="AI2084">
        <v>0</v>
      </c>
    </row>
    <row r="2085" spans="13:35" x14ac:dyDescent="0.35">
      <c r="M2085" t="s">
        <v>2</v>
      </c>
      <c r="N2085">
        <v>2750</v>
      </c>
      <c r="O2085">
        <v>14</v>
      </c>
      <c r="P2085">
        <v>8</v>
      </c>
      <c r="Q2085">
        <v>0</v>
      </c>
      <c r="R2085">
        <v>204787512</v>
      </c>
      <c r="S2085">
        <v>395397.72</v>
      </c>
      <c r="T2085">
        <v>204392114.28</v>
      </c>
      <c r="U2085">
        <v>204392114.28</v>
      </c>
      <c r="V2085">
        <v>0</v>
      </c>
      <c r="W2085">
        <v>0</v>
      </c>
      <c r="Y2085" t="s">
        <v>0</v>
      </c>
      <c r="Z2085">
        <v>3250</v>
      </c>
      <c r="AA2085">
        <v>12</v>
      </c>
      <c r="AB2085">
        <v>9</v>
      </c>
      <c r="AC2085">
        <v>0</v>
      </c>
      <c r="AD2085">
        <v>214217951</v>
      </c>
      <c r="AE2085">
        <v>373174.19</v>
      </c>
      <c r="AF2085">
        <v>213844776.81</v>
      </c>
      <c r="AG2085">
        <v>213844776.81</v>
      </c>
      <c r="AH2085">
        <v>0</v>
      </c>
      <c r="AI2085">
        <v>0</v>
      </c>
    </row>
    <row r="2086" spans="13:35" x14ac:dyDescent="0.35">
      <c r="M2086" t="s">
        <v>1</v>
      </c>
      <c r="N2086">
        <v>2500</v>
      </c>
      <c r="O2086">
        <v>14</v>
      </c>
      <c r="P2086">
        <v>1</v>
      </c>
      <c r="Q2086">
        <v>0</v>
      </c>
      <c r="R2086">
        <v>30617378</v>
      </c>
      <c r="S2086">
        <v>70381.289999999994</v>
      </c>
      <c r="T2086">
        <v>30546996.710000001</v>
      </c>
      <c r="U2086">
        <v>30546996.710000001</v>
      </c>
      <c r="V2086">
        <v>0</v>
      </c>
      <c r="W2086">
        <v>0</v>
      </c>
      <c r="Y2086" t="s">
        <v>1</v>
      </c>
      <c r="Z2086">
        <v>3250</v>
      </c>
      <c r="AA2086">
        <v>12</v>
      </c>
      <c r="AB2086">
        <v>7</v>
      </c>
      <c r="AC2086">
        <v>0</v>
      </c>
      <c r="AD2086">
        <v>200300062</v>
      </c>
      <c r="AE2086">
        <v>366328.66</v>
      </c>
      <c r="AF2086">
        <v>199933733.34</v>
      </c>
      <c r="AG2086">
        <v>199933733.34</v>
      </c>
      <c r="AH2086">
        <v>0</v>
      </c>
      <c r="AI2086">
        <v>0</v>
      </c>
    </row>
    <row r="2087" spans="13:35" x14ac:dyDescent="0.35">
      <c r="M2087" t="s">
        <v>0</v>
      </c>
      <c r="N2087">
        <v>3000</v>
      </c>
      <c r="O2087">
        <v>12</v>
      </c>
      <c r="P2087">
        <v>10</v>
      </c>
      <c r="Q2087">
        <v>0</v>
      </c>
      <c r="R2087">
        <v>265459254</v>
      </c>
      <c r="S2087">
        <v>485309.75</v>
      </c>
      <c r="T2087">
        <v>264973944.25</v>
      </c>
      <c r="U2087">
        <v>264973944.25</v>
      </c>
      <c r="V2087">
        <v>0</v>
      </c>
      <c r="W2087">
        <v>0</v>
      </c>
      <c r="Y2087" t="s">
        <v>0</v>
      </c>
      <c r="Z2087">
        <v>4250</v>
      </c>
      <c r="AA2087">
        <v>12</v>
      </c>
      <c r="AB2087">
        <v>728</v>
      </c>
      <c r="AC2087">
        <v>0</v>
      </c>
      <c r="AD2087">
        <v>24722448058</v>
      </c>
      <c r="AE2087">
        <v>36206286.039999999</v>
      </c>
      <c r="AF2087">
        <v>24686241771.959999</v>
      </c>
      <c r="AG2087">
        <v>24686241771.959999</v>
      </c>
      <c r="AH2087">
        <v>0</v>
      </c>
      <c r="AI2087">
        <v>0</v>
      </c>
    </row>
    <row r="2088" spans="13:35" x14ac:dyDescent="0.35">
      <c r="M2088" t="s">
        <v>0</v>
      </c>
      <c r="N2088">
        <v>3250</v>
      </c>
      <c r="O2088">
        <v>12</v>
      </c>
      <c r="P2088">
        <v>17</v>
      </c>
      <c r="Q2088">
        <v>0</v>
      </c>
      <c r="R2088">
        <v>366965630</v>
      </c>
      <c r="S2088">
        <v>637371.15</v>
      </c>
      <c r="T2088">
        <v>345443998.10000002</v>
      </c>
      <c r="U2088">
        <v>366328258.85000002</v>
      </c>
      <c r="V2088">
        <v>0.50496700000000005</v>
      </c>
      <c r="W2088">
        <v>0</v>
      </c>
      <c r="Y2088" t="s">
        <v>1</v>
      </c>
      <c r="Z2088">
        <v>4250</v>
      </c>
      <c r="AA2088">
        <v>12</v>
      </c>
      <c r="AB2088">
        <v>260</v>
      </c>
      <c r="AC2088">
        <v>0</v>
      </c>
      <c r="AD2088">
        <v>9513419620</v>
      </c>
      <c r="AE2088">
        <v>13931955.98</v>
      </c>
      <c r="AF2088">
        <v>9471606774.0499992</v>
      </c>
      <c r="AG2088">
        <v>9471606774.0499992</v>
      </c>
      <c r="AH2088">
        <v>3.4606999999999999E-2</v>
      </c>
      <c r="AI2088">
        <v>3.4606999999999999E-2</v>
      </c>
    </row>
    <row r="2089" spans="13:35" x14ac:dyDescent="0.35">
      <c r="M2089" t="s">
        <v>0</v>
      </c>
      <c r="N2089">
        <v>2750</v>
      </c>
      <c r="O2089">
        <v>12</v>
      </c>
      <c r="P2089">
        <v>12</v>
      </c>
      <c r="Q2089">
        <v>0</v>
      </c>
      <c r="R2089">
        <v>273895079</v>
      </c>
      <c r="S2089">
        <v>515621.47</v>
      </c>
      <c r="T2089">
        <v>273379457.52999997</v>
      </c>
      <c r="U2089">
        <v>273379457.52999997</v>
      </c>
      <c r="V2089">
        <v>0</v>
      </c>
      <c r="W2089">
        <v>0</v>
      </c>
      <c r="Y2089" t="s">
        <v>2</v>
      </c>
      <c r="Z2089">
        <v>3750</v>
      </c>
      <c r="AA2089">
        <v>12</v>
      </c>
      <c r="AB2089">
        <v>14</v>
      </c>
      <c r="AC2089">
        <v>0</v>
      </c>
      <c r="AD2089">
        <v>347786889</v>
      </c>
      <c r="AE2089">
        <v>555820.6</v>
      </c>
      <c r="AF2089">
        <v>347231068.39999998</v>
      </c>
      <c r="AG2089">
        <v>347231068.39999998</v>
      </c>
      <c r="AH2089">
        <v>0</v>
      </c>
      <c r="AI2089">
        <v>0</v>
      </c>
    </row>
    <row r="2090" spans="13:35" x14ac:dyDescent="0.35">
      <c r="M2090" t="s">
        <v>2</v>
      </c>
      <c r="N2090">
        <v>3000</v>
      </c>
      <c r="O2090">
        <v>14</v>
      </c>
      <c r="P2090">
        <v>4</v>
      </c>
      <c r="Q2090">
        <v>0</v>
      </c>
      <c r="R2090">
        <v>57908316</v>
      </c>
      <c r="S2090">
        <v>106343.45</v>
      </c>
      <c r="T2090">
        <v>57801972.549999997</v>
      </c>
      <c r="U2090">
        <v>57801972.549999997</v>
      </c>
      <c r="V2090">
        <v>0</v>
      </c>
      <c r="W2090">
        <v>0</v>
      </c>
      <c r="Y2090" t="s">
        <v>0</v>
      </c>
      <c r="Z2090">
        <v>3750</v>
      </c>
      <c r="AA2090">
        <v>12</v>
      </c>
      <c r="AB2090">
        <v>114</v>
      </c>
      <c r="AC2090">
        <v>0</v>
      </c>
      <c r="AD2090">
        <v>4076131058</v>
      </c>
      <c r="AE2090">
        <v>6475939.1399999997</v>
      </c>
      <c r="AF2090">
        <v>4069655118.8600001</v>
      </c>
      <c r="AG2090">
        <v>4069655118.8600001</v>
      </c>
      <c r="AH2090">
        <v>0</v>
      </c>
      <c r="AI2090">
        <v>0</v>
      </c>
    </row>
    <row r="2091" spans="13:35" x14ac:dyDescent="0.35">
      <c r="M2091" t="s">
        <v>1</v>
      </c>
      <c r="N2091">
        <v>3250</v>
      </c>
      <c r="O2091">
        <v>12</v>
      </c>
      <c r="P2091">
        <v>9</v>
      </c>
      <c r="Q2091">
        <v>0</v>
      </c>
      <c r="R2091">
        <v>283646766</v>
      </c>
      <c r="S2091">
        <v>523340.09</v>
      </c>
      <c r="T2091">
        <v>283123425.91000003</v>
      </c>
      <c r="U2091">
        <v>283123425.91000003</v>
      </c>
      <c r="V2091">
        <v>0</v>
      </c>
      <c r="W2091">
        <v>0</v>
      </c>
      <c r="Y2091" t="s">
        <v>1</v>
      </c>
      <c r="Z2091">
        <v>4500</v>
      </c>
      <c r="AA2091">
        <v>12</v>
      </c>
      <c r="AB2091">
        <v>678</v>
      </c>
      <c r="AC2091">
        <v>0</v>
      </c>
      <c r="AD2091">
        <v>23090825223</v>
      </c>
      <c r="AE2091">
        <v>32343840.390000001</v>
      </c>
      <c r="AF2091">
        <v>22998907676.119999</v>
      </c>
      <c r="AG2091">
        <v>23023185093.330002</v>
      </c>
      <c r="AH2091">
        <v>3.0523999999999999E-2</v>
      </c>
      <c r="AI2091">
        <v>1.8190000000000001E-2</v>
      </c>
    </row>
    <row r="2092" spans="13:35" x14ac:dyDescent="0.35">
      <c r="M2092" t="s">
        <v>1</v>
      </c>
      <c r="N2092">
        <v>2750</v>
      </c>
      <c r="O2092">
        <v>12</v>
      </c>
      <c r="P2092">
        <v>5</v>
      </c>
      <c r="Q2092">
        <v>0</v>
      </c>
      <c r="R2092">
        <v>121242383</v>
      </c>
      <c r="S2092">
        <v>255670.62</v>
      </c>
      <c r="T2092">
        <v>120986712.38</v>
      </c>
      <c r="U2092">
        <v>120986712.38</v>
      </c>
      <c r="V2092">
        <v>0</v>
      </c>
      <c r="W2092">
        <v>0</v>
      </c>
      <c r="Y2092" t="s">
        <v>2</v>
      </c>
      <c r="Z2092">
        <v>4500</v>
      </c>
      <c r="AA2092">
        <v>12</v>
      </c>
      <c r="AB2092">
        <v>87</v>
      </c>
      <c r="AC2092">
        <v>0</v>
      </c>
      <c r="AD2092">
        <v>2322626187</v>
      </c>
      <c r="AE2092">
        <v>3252000.77</v>
      </c>
      <c r="AF2092">
        <v>2319374186.23</v>
      </c>
      <c r="AG2092">
        <v>2319374186.23</v>
      </c>
      <c r="AH2092">
        <v>0</v>
      </c>
      <c r="AI2092">
        <v>0</v>
      </c>
    </row>
    <row r="2093" spans="13:35" x14ac:dyDescent="0.35">
      <c r="M2093" t="s">
        <v>0</v>
      </c>
      <c r="N2093">
        <v>3500</v>
      </c>
      <c r="O2093">
        <v>12</v>
      </c>
      <c r="P2093">
        <v>25</v>
      </c>
      <c r="Q2093">
        <v>0</v>
      </c>
      <c r="R2093">
        <v>779415420</v>
      </c>
      <c r="S2093">
        <v>1294584.06</v>
      </c>
      <c r="T2093">
        <v>778120835.94000006</v>
      </c>
      <c r="U2093">
        <v>778120835.94000006</v>
      </c>
      <c r="V2093">
        <v>0</v>
      </c>
      <c r="W2093">
        <v>0</v>
      </c>
      <c r="Y2093" t="s">
        <v>2</v>
      </c>
      <c r="Z2093">
        <v>4250</v>
      </c>
      <c r="AA2093">
        <v>12</v>
      </c>
      <c r="AB2093">
        <v>17</v>
      </c>
      <c r="AC2093">
        <v>0</v>
      </c>
      <c r="AD2093">
        <v>480140180</v>
      </c>
      <c r="AE2093">
        <v>701475.37</v>
      </c>
      <c r="AF2093">
        <v>479438704.63</v>
      </c>
      <c r="AG2093">
        <v>479438704.63</v>
      </c>
      <c r="AH2093">
        <v>0</v>
      </c>
      <c r="AI2093">
        <v>0</v>
      </c>
    </row>
    <row r="2094" spans="13:35" x14ac:dyDescent="0.35">
      <c r="M2094" t="s">
        <v>1</v>
      </c>
      <c r="N2094">
        <v>3750</v>
      </c>
      <c r="O2094">
        <v>12</v>
      </c>
      <c r="P2094">
        <v>64</v>
      </c>
      <c r="Q2094">
        <v>0</v>
      </c>
      <c r="R2094">
        <v>2553494744</v>
      </c>
      <c r="S2094">
        <v>4105637.05</v>
      </c>
      <c r="T2094">
        <v>2549389106.9499998</v>
      </c>
      <c r="U2094">
        <v>2549389106.9499998</v>
      </c>
      <c r="V2094">
        <v>0</v>
      </c>
      <c r="W2094">
        <v>0</v>
      </c>
      <c r="Y2094" t="s">
        <v>3</v>
      </c>
      <c r="Z2094">
        <v>5250</v>
      </c>
      <c r="AA2094">
        <v>12</v>
      </c>
      <c r="AB2094">
        <v>4</v>
      </c>
      <c r="AC2094">
        <v>0</v>
      </c>
      <c r="AD2094">
        <v>126388923</v>
      </c>
      <c r="AE2094">
        <v>154299.07999999999</v>
      </c>
      <c r="AF2094">
        <v>126234623.92</v>
      </c>
      <c r="AG2094">
        <v>126234623.92</v>
      </c>
      <c r="AH2094">
        <v>0</v>
      </c>
      <c r="AI2094">
        <v>0</v>
      </c>
    </row>
    <row r="2095" spans="13:35" x14ac:dyDescent="0.35">
      <c r="M2095" t="s">
        <v>0</v>
      </c>
      <c r="N2095">
        <v>3750</v>
      </c>
      <c r="O2095">
        <v>12</v>
      </c>
      <c r="P2095">
        <v>175</v>
      </c>
      <c r="Q2095">
        <v>0</v>
      </c>
      <c r="R2095">
        <v>6688974856</v>
      </c>
      <c r="S2095">
        <v>10628820.42</v>
      </c>
      <c r="T2095">
        <v>6678346035.5799999</v>
      </c>
      <c r="U2095">
        <v>6678346035.5799999</v>
      </c>
      <c r="V2095">
        <v>0</v>
      </c>
      <c r="W2095">
        <v>0</v>
      </c>
      <c r="Y2095" t="s">
        <v>0</v>
      </c>
      <c r="Z2095">
        <v>8500</v>
      </c>
      <c r="AA2095">
        <v>14</v>
      </c>
      <c r="AB2095">
        <v>2</v>
      </c>
      <c r="AC2095">
        <v>0</v>
      </c>
      <c r="AD2095">
        <v>38331949</v>
      </c>
      <c r="AE2095">
        <v>25945.3</v>
      </c>
      <c r="AF2095">
        <v>38306003.700000003</v>
      </c>
      <c r="AG2095">
        <v>38306003.700000003</v>
      </c>
      <c r="AH2095">
        <v>0</v>
      </c>
      <c r="AI2095">
        <v>0</v>
      </c>
    </row>
    <row r="2096" spans="13:35" x14ac:dyDescent="0.35">
      <c r="M2096" t="s">
        <v>0</v>
      </c>
      <c r="N2096">
        <v>4250</v>
      </c>
      <c r="O2096">
        <v>12</v>
      </c>
      <c r="P2096">
        <v>663</v>
      </c>
      <c r="Q2096">
        <v>0</v>
      </c>
      <c r="R2096">
        <v>22414849011</v>
      </c>
      <c r="S2096">
        <v>32779280.57</v>
      </c>
      <c r="T2096">
        <v>22382069730.43</v>
      </c>
      <c r="U2096">
        <v>22382069730.43</v>
      </c>
      <c r="V2096">
        <v>0</v>
      </c>
      <c r="W2096">
        <v>0</v>
      </c>
      <c r="Y2096" t="s">
        <v>0</v>
      </c>
      <c r="Z2096">
        <v>9000</v>
      </c>
      <c r="AA2096">
        <v>14</v>
      </c>
      <c r="AB2096">
        <v>1</v>
      </c>
      <c r="AC2096">
        <v>0</v>
      </c>
      <c r="AD2096">
        <v>12166704</v>
      </c>
      <c r="AE2096">
        <v>7815.44</v>
      </c>
      <c r="AF2096">
        <v>12158888.560000001</v>
      </c>
      <c r="AG2096">
        <v>12158888.560000001</v>
      </c>
      <c r="AH2096">
        <v>0</v>
      </c>
      <c r="AI2096">
        <v>0</v>
      </c>
    </row>
    <row r="2097" spans="13:35" x14ac:dyDescent="0.35">
      <c r="M2097" t="s">
        <v>1</v>
      </c>
      <c r="N2097">
        <v>4250</v>
      </c>
      <c r="O2097">
        <v>12</v>
      </c>
      <c r="P2097">
        <v>244</v>
      </c>
      <c r="Q2097">
        <v>0</v>
      </c>
      <c r="R2097">
        <v>9161020944</v>
      </c>
      <c r="S2097">
        <v>13401025.91</v>
      </c>
      <c r="T2097">
        <v>9147619918.0900002</v>
      </c>
      <c r="U2097">
        <v>9147619918.0900002</v>
      </c>
      <c r="V2097">
        <v>0</v>
      </c>
      <c r="W2097">
        <v>0</v>
      </c>
      <c r="Y2097" t="s">
        <v>1</v>
      </c>
      <c r="Z2097">
        <v>2500</v>
      </c>
      <c r="AA2097">
        <v>12</v>
      </c>
      <c r="AB2097">
        <v>8</v>
      </c>
      <c r="AC2097">
        <v>0</v>
      </c>
      <c r="AD2097">
        <v>312744182</v>
      </c>
      <c r="AE2097">
        <v>637583.18999999994</v>
      </c>
      <c r="AF2097">
        <v>312106598.81</v>
      </c>
      <c r="AG2097">
        <v>312106598.81</v>
      </c>
      <c r="AH2097">
        <v>0</v>
      </c>
      <c r="AI2097">
        <v>0</v>
      </c>
    </row>
    <row r="2098" spans="13:35" x14ac:dyDescent="0.35">
      <c r="M2098" t="s">
        <v>2</v>
      </c>
      <c r="N2098">
        <v>3750</v>
      </c>
      <c r="O2098">
        <v>12</v>
      </c>
      <c r="P2098">
        <v>9</v>
      </c>
      <c r="Q2098">
        <v>0</v>
      </c>
      <c r="R2098">
        <v>213548748</v>
      </c>
      <c r="S2098">
        <v>339747.18</v>
      </c>
      <c r="T2098">
        <v>213209000.81999999</v>
      </c>
      <c r="U2098">
        <v>213209000.81999999</v>
      </c>
      <c r="V2098">
        <v>0</v>
      </c>
      <c r="W2098">
        <v>0</v>
      </c>
      <c r="Y2098" t="s">
        <v>0</v>
      </c>
      <c r="Z2098">
        <v>2500</v>
      </c>
      <c r="AA2098">
        <v>12</v>
      </c>
      <c r="AB2098">
        <v>6</v>
      </c>
      <c r="AC2098">
        <v>0</v>
      </c>
      <c r="AD2098">
        <v>132823165</v>
      </c>
      <c r="AE2098">
        <v>259411.57</v>
      </c>
      <c r="AF2098">
        <v>132563753.43000001</v>
      </c>
      <c r="AG2098">
        <v>132563753.43000001</v>
      </c>
      <c r="AH2098">
        <v>0</v>
      </c>
      <c r="AI2098">
        <v>0</v>
      </c>
    </row>
    <row r="2099" spans="13:35" x14ac:dyDescent="0.35">
      <c r="M2099" t="s">
        <v>2</v>
      </c>
      <c r="N2099">
        <v>4250</v>
      </c>
      <c r="O2099">
        <v>12</v>
      </c>
      <c r="P2099">
        <v>19</v>
      </c>
      <c r="Q2099">
        <v>0</v>
      </c>
      <c r="R2099">
        <v>512868224</v>
      </c>
      <c r="S2099">
        <v>754170.84</v>
      </c>
      <c r="T2099">
        <v>512114053.16000003</v>
      </c>
      <c r="U2099">
        <v>512114053.16000003</v>
      </c>
      <c r="V2099">
        <v>0</v>
      </c>
      <c r="W2099">
        <v>0</v>
      </c>
      <c r="Y2099" t="s">
        <v>2</v>
      </c>
      <c r="Z2099">
        <v>2750</v>
      </c>
      <c r="AA2099">
        <v>12</v>
      </c>
      <c r="AB2099">
        <v>6</v>
      </c>
      <c r="AC2099">
        <v>0</v>
      </c>
      <c r="AD2099">
        <v>174225368</v>
      </c>
      <c r="AE2099">
        <v>335689.77</v>
      </c>
      <c r="AF2099">
        <v>173889678.22999999</v>
      </c>
      <c r="AG2099">
        <v>173889678.22999999</v>
      </c>
      <c r="AH2099">
        <v>0</v>
      </c>
      <c r="AI2099">
        <v>0</v>
      </c>
    </row>
    <row r="2100" spans="13:35" x14ac:dyDescent="0.35">
      <c r="M2100" t="s">
        <v>2</v>
      </c>
      <c r="N2100">
        <v>4500</v>
      </c>
      <c r="O2100">
        <v>12</v>
      </c>
      <c r="P2100">
        <v>61</v>
      </c>
      <c r="Q2100">
        <v>0</v>
      </c>
      <c r="R2100">
        <v>1632202076</v>
      </c>
      <c r="S2100">
        <v>2288638.46</v>
      </c>
      <c r="T2100">
        <v>1629913437.54</v>
      </c>
      <c r="U2100">
        <v>1629913437.54</v>
      </c>
      <c r="V2100">
        <v>0</v>
      </c>
      <c r="W2100">
        <v>0</v>
      </c>
      <c r="Y2100" t="s">
        <v>2</v>
      </c>
      <c r="Z2100">
        <v>2750</v>
      </c>
      <c r="AA2100">
        <v>14</v>
      </c>
      <c r="AB2100">
        <v>3</v>
      </c>
      <c r="AC2100">
        <v>0</v>
      </c>
      <c r="AD2100">
        <v>54039299</v>
      </c>
      <c r="AE2100">
        <v>102103.44</v>
      </c>
      <c r="AF2100">
        <v>53937195.560000002</v>
      </c>
      <c r="AG2100">
        <v>53937195.560000002</v>
      </c>
      <c r="AH2100">
        <v>0</v>
      </c>
      <c r="AI2100">
        <v>0</v>
      </c>
    </row>
    <row r="2101" spans="13:35" x14ac:dyDescent="0.35">
      <c r="M2101" t="s">
        <v>3</v>
      </c>
      <c r="N2101">
        <v>5250</v>
      </c>
      <c r="O2101">
        <v>12</v>
      </c>
      <c r="P2101">
        <v>4</v>
      </c>
      <c r="Q2101">
        <v>0</v>
      </c>
      <c r="R2101">
        <v>127506890</v>
      </c>
      <c r="S2101">
        <v>156983.75</v>
      </c>
      <c r="T2101">
        <v>127349906.25</v>
      </c>
      <c r="U2101">
        <v>127349906.25</v>
      </c>
      <c r="V2101">
        <v>0</v>
      </c>
      <c r="W2101">
        <v>0</v>
      </c>
      <c r="Y2101" t="s">
        <v>1</v>
      </c>
      <c r="Z2101">
        <v>2750</v>
      </c>
      <c r="AA2101">
        <v>12</v>
      </c>
      <c r="AB2101">
        <v>5</v>
      </c>
      <c r="AC2101">
        <v>0</v>
      </c>
      <c r="AD2101">
        <v>123283880</v>
      </c>
      <c r="AE2101">
        <v>261615.7</v>
      </c>
      <c r="AF2101">
        <v>123022264.3</v>
      </c>
      <c r="AG2101">
        <v>123022264.3</v>
      </c>
      <c r="AH2101">
        <v>0</v>
      </c>
      <c r="AI2101">
        <v>0</v>
      </c>
    </row>
    <row r="2102" spans="13:35" x14ac:dyDescent="0.35">
      <c r="M2102" t="s">
        <v>1</v>
      </c>
      <c r="N2102">
        <v>8000</v>
      </c>
      <c r="O2102">
        <v>12</v>
      </c>
      <c r="P2102">
        <v>6</v>
      </c>
      <c r="Q2102">
        <v>0</v>
      </c>
      <c r="R2102">
        <v>208690584</v>
      </c>
      <c r="S2102">
        <v>152646.24</v>
      </c>
      <c r="T2102">
        <v>208537937.75999999</v>
      </c>
      <c r="U2102">
        <v>208537937.75999999</v>
      </c>
      <c r="V2102">
        <v>0</v>
      </c>
      <c r="W2102">
        <v>0</v>
      </c>
      <c r="Y2102" t="s">
        <v>0</v>
      </c>
      <c r="Z2102">
        <v>3000</v>
      </c>
      <c r="AA2102">
        <v>12</v>
      </c>
      <c r="AB2102">
        <v>5</v>
      </c>
      <c r="AC2102">
        <v>0</v>
      </c>
      <c r="AD2102">
        <v>109591987</v>
      </c>
      <c r="AE2102">
        <v>200261.14</v>
      </c>
      <c r="AF2102">
        <v>109391725.86</v>
      </c>
      <c r="AG2102">
        <v>109391725.86</v>
      </c>
      <c r="AH2102">
        <v>0</v>
      </c>
      <c r="AI2102">
        <v>0</v>
      </c>
    </row>
    <row r="2103" spans="13:35" x14ac:dyDescent="0.35">
      <c r="M2103" t="s">
        <v>1</v>
      </c>
      <c r="N2103">
        <v>2250</v>
      </c>
      <c r="O2103">
        <v>12</v>
      </c>
      <c r="P2103">
        <v>4</v>
      </c>
      <c r="Q2103">
        <v>0</v>
      </c>
      <c r="R2103">
        <v>124983331</v>
      </c>
      <c r="S2103">
        <v>292794.46999999997</v>
      </c>
      <c r="T2103">
        <v>124690536.53</v>
      </c>
      <c r="U2103">
        <v>124690536.53</v>
      </c>
      <c r="V2103">
        <v>0</v>
      </c>
      <c r="W2103">
        <v>0</v>
      </c>
      <c r="Y2103" t="s">
        <v>0</v>
      </c>
      <c r="Z2103">
        <v>2750</v>
      </c>
      <c r="AA2103">
        <v>12</v>
      </c>
      <c r="AB2103">
        <v>9</v>
      </c>
      <c r="AC2103">
        <v>0</v>
      </c>
      <c r="AD2103">
        <v>207267109</v>
      </c>
      <c r="AE2103">
        <v>389157.92</v>
      </c>
      <c r="AF2103">
        <v>206877951.08000001</v>
      </c>
      <c r="AG2103">
        <v>206877951.08000001</v>
      </c>
      <c r="AH2103">
        <v>0</v>
      </c>
      <c r="AI2103">
        <v>0</v>
      </c>
    </row>
    <row r="2104" spans="13:35" x14ac:dyDescent="0.35">
      <c r="M2104" t="s">
        <v>2</v>
      </c>
      <c r="N2104">
        <v>2250</v>
      </c>
      <c r="O2104">
        <v>12</v>
      </c>
      <c r="P2104">
        <v>1</v>
      </c>
      <c r="Q2104">
        <v>0</v>
      </c>
      <c r="R2104">
        <v>19002740</v>
      </c>
      <c r="S2104">
        <v>43393.42</v>
      </c>
      <c r="T2104">
        <v>18959346.579999998</v>
      </c>
      <c r="U2104">
        <v>18959346.579999998</v>
      </c>
      <c r="V2104">
        <v>0</v>
      </c>
      <c r="W2104">
        <v>0</v>
      </c>
      <c r="Y2104" t="s">
        <v>2</v>
      </c>
      <c r="Z2104">
        <v>3000</v>
      </c>
      <c r="AA2104">
        <v>12</v>
      </c>
      <c r="AB2104">
        <v>5</v>
      </c>
      <c r="AC2104">
        <v>0</v>
      </c>
      <c r="AD2104">
        <v>81767382</v>
      </c>
      <c r="AE2104">
        <v>148294.76</v>
      </c>
      <c r="AF2104">
        <v>81619087.239999995</v>
      </c>
      <c r="AG2104">
        <v>81619087.239999995</v>
      </c>
      <c r="AH2104">
        <v>0</v>
      </c>
      <c r="AI2104">
        <v>0</v>
      </c>
    </row>
    <row r="2105" spans="13:35" x14ac:dyDescent="0.35">
      <c r="M2105" t="s">
        <v>1</v>
      </c>
      <c r="N2105">
        <v>3000</v>
      </c>
      <c r="O2105">
        <v>12</v>
      </c>
      <c r="P2105">
        <v>8</v>
      </c>
      <c r="Q2105">
        <v>0</v>
      </c>
      <c r="R2105">
        <v>230596517</v>
      </c>
      <c r="S2105">
        <v>477993.76</v>
      </c>
      <c r="T2105">
        <v>230118523.24000001</v>
      </c>
      <c r="U2105">
        <v>230118523.24000001</v>
      </c>
      <c r="V2105">
        <v>0</v>
      </c>
      <c r="W2105">
        <v>0</v>
      </c>
      <c r="Y2105" t="s">
        <v>2</v>
      </c>
      <c r="Z2105">
        <v>3250</v>
      </c>
      <c r="AA2105">
        <v>12</v>
      </c>
      <c r="AB2105">
        <v>7</v>
      </c>
      <c r="AC2105">
        <v>0</v>
      </c>
      <c r="AD2105">
        <v>97633628</v>
      </c>
      <c r="AE2105">
        <v>170283.19</v>
      </c>
      <c r="AF2105">
        <v>97463344.810000002</v>
      </c>
      <c r="AG2105">
        <v>97463344.810000002</v>
      </c>
      <c r="AH2105">
        <v>0</v>
      </c>
      <c r="AI2105">
        <v>0</v>
      </c>
    </row>
    <row r="2106" spans="13:35" x14ac:dyDescent="0.35">
      <c r="M2106" t="s">
        <v>2</v>
      </c>
      <c r="N2106">
        <v>3250</v>
      </c>
      <c r="O2106">
        <v>12</v>
      </c>
      <c r="P2106">
        <v>7</v>
      </c>
      <c r="Q2106">
        <v>0</v>
      </c>
      <c r="R2106">
        <v>109092544</v>
      </c>
      <c r="S2106">
        <v>195743.35999999999</v>
      </c>
      <c r="T2106">
        <v>108896800.64</v>
      </c>
      <c r="U2106">
        <v>108896800.64</v>
      </c>
      <c r="V2106">
        <v>0</v>
      </c>
      <c r="W2106">
        <v>0</v>
      </c>
      <c r="Y2106" t="s">
        <v>2</v>
      </c>
      <c r="Z2106">
        <v>3500</v>
      </c>
      <c r="AA2106">
        <v>12</v>
      </c>
      <c r="AB2106">
        <v>7</v>
      </c>
      <c r="AC2106">
        <v>0</v>
      </c>
      <c r="AD2106">
        <v>99402803</v>
      </c>
      <c r="AE2106">
        <v>167529.18</v>
      </c>
      <c r="AF2106">
        <v>99235273.819999993</v>
      </c>
      <c r="AG2106">
        <v>99235273.819999993</v>
      </c>
      <c r="AH2106">
        <v>0</v>
      </c>
      <c r="AI2106">
        <v>0</v>
      </c>
    </row>
    <row r="2107" spans="13:35" x14ac:dyDescent="0.35">
      <c r="M2107" t="s">
        <v>2</v>
      </c>
      <c r="N2107">
        <v>3000</v>
      </c>
      <c r="O2107">
        <v>12</v>
      </c>
      <c r="P2107">
        <v>3</v>
      </c>
      <c r="Q2107">
        <v>0</v>
      </c>
      <c r="R2107">
        <v>52199724</v>
      </c>
      <c r="S2107">
        <v>94787.18</v>
      </c>
      <c r="T2107">
        <v>52104936.82</v>
      </c>
      <c r="U2107">
        <v>52104936.82</v>
      </c>
      <c r="V2107">
        <v>0</v>
      </c>
      <c r="W2107">
        <v>0</v>
      </c>
      <c r="Y2107" t="s">
        <v>1</v>
      </c>
      <c r="Z2107">
        <v>8000</v>
      </c>
      <c r="AA2107">
        <v>12</v>
      </c>
      <c r="AB2107">
        <v>4</v>
      </c>
      <c r="AC2107">
        <v>0</v>
      </c>
      <c r="AD2107">
        <v>149814560</v>
      </c>
      <c r="AE2107">
        <v>108976.47</v>
      </c>
      <c r="AF2107">
        <v>149705583.53</v>
      </c>
      <c r="AG2107">
        <v>149705583.53</v>
      </c>
      <c r="AH2107">
        <v>0</v>
      </c>
      <c r="AI2107">
        <v>0</v>
      </c>
    </row>
    <row r="2108" spans="13:35" x14ac:dyDescent="0.35">
      <c r="M2108" t="s">
        <v>1</v>
      </c>
      <c r="N2108">
        <v>3500</v>
      </c>
      <c r="O2108">
        <v>12</v>
      </c>
      <c r="P2108">
        <v>6</v>
      </c>
      <c r="Q2108">
        <v>0</v>
      </c>
      <c r="R2108">
        <v>181758896</v>
      </c>
      <c r="S2108">
        <v>316181.25</v>
      </c>
      <c r="T2108">
        <v>181442714.75</v>
      </c>
      <c r="U2108">
        <v>181442714.75</v>
      </c>
      <c r="V2108">
        <v>0</v>
      </c>
      <c r="W2108">
        <v>0</v>
      </c>
      <c r="Y2108" t="s">
        <v>1</v>
      </c>
      <c r="Z2108">
        <v>4000</v>
      </c>
      <c r="AA2108">
        <v>10</v>
      </c>
      <c r="AB2108">
        <v>288</v>
      </c>
      <c r="AC2108">
        <v>0</v>
      </c>
      <c r="AD2108">
        <v>11360208872</v>
      </c>
      <c r="AE2108">
        <v>17222479.789999999</v>
      </c>
      <c r="AF2108">
        <v>11342986392.209999</v>
      </c>
      <c r="AG2108">
        <v>11342986392.209999</v>
      </c>
      <c r="AH2108">
        <v>0</v>
      </c>
      <c r="AI2108">
        <v>0</v>
      </c>
    </row>
    <row r="2109" spans="13:35" x14ac:dyDescent="0.35">
      <c r="M2109" t="s">
        <v>2</v>
      </c>
      <c r="N2109">
        <v>3500</v>
      </c>
      <c r="O2109">
        <v>12</v>
      </c>
      <c r="P2109">
        <v>6</v>
      </c>
      <c r="Q2109">
        <v>0</v>
      </c>
      <c r="R2109">
        <v>102818443</v>
      </c>
      <c r="S2109">
        <v>171181.08</v>
      </c>
      <c r="T2109">
        <v>102647261.92</v>
      </c>
      <c r="U2109">
        <v>102647261.92</v>
      </c>
      <c r="V2109">
        <v>0</v>
      </c>
      <c r="W2109">
        <v>0</v>
      </c>
      <c r="Y2109" t="s">
        <v>1</v>
      </c>
      <c r="Z2109">
        <v>2250</v>
      </c>
      <c r="AA2109">
        <v>10</v>
      </c>
      <c r="AB2109">
        <v>3</v>
      </c>
      <c r="AC2109">
        <v>0</v>
      </c>
      <c r="AD2109">
        <v>92125742</v>
      </c>
      <c r="AE2109">
        <v>216545.9</v>
      </c>
      <c r="AF2109">
        <v>91909196.099999994</v>
      </c>
      <c r="AG2109">
        <v>91909196.099999994</v>
      </c>
      <c r="AH2109">
        <v>0</v>
      </c>
      <c r="AI2109">
        <v>0</v>
      </c>
    </row>
    <row r="2110" spans="13:35" x14ac:dyDescent="0.35">
      <c r="M2110" t="s">
        <v>3</v>
      </c>
      <c r="N2110">
        <v>7500</v>
      </c>
      <c r="O2110">
        <v>12</v>
      </c>
      <c r="P2110">
        <v>1</v>
      </c>
      <c r="Q2110">
        <v>0</v>
      </c>
      <c r="R2110">
        <v>27381504</v>
      </c>
      <c r="S2110">
        <v>22481.78</v>
      </c>
      <c r="T2110">
        <v>27359022.219999999</v>
      </c>
      <c r="U2110">
        <v>27359022.219999999</v>
      </c>
      <c r="V2110">
        <v>0</v>
      </c>
      <c r="W2110">
        <v>0</v>
      </c>
      <c r="Y2110" t="s">
        <v>1</v>
      </c>
      <c r="Z2110">
        <v>2250</v>
      </c>
      <c r="AA2110">
        <v>12</v>
      </c>
      <c r="AB2110">
        <v>1</v>
      </c>
      <c r="AC2110">
        <v>0</v>
      </c>
      <c r="AD2110">
        <v>33102712</v>
      </c>
      <c r="AE2110">
        <v>75591.199999999997</v>
      </c>
      <c r="AF2110">
        <v>33027120.800000001</v>
      </c>
      <c r="AG2110">
        <v>33027120.800000001</v>
      </c>
      <c r="AH2110">
        <v>0</v>
      </c>
      <c r="AI2110">
        <v>0</v>
      </c>
    </row>
    <row r="2111" spans="13:35" x14ac:dyDescent="0.35">
      <c r="M2111" t="s">
        <v>0</v>
      </c>
      <c r="N2111">
        <v>9000</v>
      </c>
      <c r="O2111">
        <v>14</v>
      </c>
      <c r="P2111">
        <v>1</v>
      </c>
      <c r="Q2111">
        <v>0</v>
      </c>
      <c r="R2111">
        <v>16564801</v>
      </c>
      <c r="S2111">
        <v>10298.540000000001</v>
      </c>
      <c r="T2111">
        <v>16554502.460000001</v>
      </c>
      <c r="U2111">
        <v>16554502.460000001</v>
      </c>
      <c r="V2111">
        <v>0</v>
      </c>
      <c r="W2111">
        <v>0</v>
      </c>
      <c r="Y2111" t="s">
        <v>2</v>
      </c>
      <c r="Z2111">
        <v>2250</v>
      </c>
      <c r="AA2111">
        <v>12</v>
      </c>
      <c r="AB2111">
        <v>1</v>
      </c>
      <c r="AC2111">
        <v>0</v>
      </c>
      <c r="AD2111">
        <v>19045873</v>
      </c>
      <c r="AE2111">
        <v>43311.8</v>
      </c>
      <c r="AF2111">
        <v>19002561.199999999</v>
      </c>
      <c r="AG2111">
        <v>19002561.199999999</v>
      </c>
      <c r="AH2111">
        <v>0</v>
      </c>
      <c r="AI2111">
        <v>0</v>
      </c>
    </row>
    <row r="2112" spans="13:35" x14ac:dyDescent="0.35">
      <c r="M2112" t="s">
        <v>1</v>
      </c>
      <c r="N2112">
        <v>2250</v>
      </c>
      <c r="O2112">
        <v>10</v>
      </c>
      <c r="P2112">
        <v>1</v>
      </c>
      <c r="Q2112">
        <v>0</v>
      </c>
      <c r="R2112">
        <v>57094899</v>
      </c>
      <c r="S2112">
        <v>130378.19</v>
      </c>
      <c r="T2112">
        <v>56964520.810000002</v>
      </c>
      <c r="U2112">
        <v>56964520.810000002</v>
      </c>
      <c r="V2112">
        <v>0</v>
      </c>
      <c r="W2112">
        <v>0</v>
      </c>
      <c r="Y2112" t="s">
        <v>0</v>
      </c>
      <c r="Z2112">
        <v>3250</v>
      </c>
      <c r="AA2112">
        <v>10</v>
      </c>
      <c r="AB2112">
        <v>12</v>
      </c>
      <c r="AC2112">
        <v>0</v>
      </c>
      <c r="AD2112">
        <v>259091367</v>
      </c>
      <c r="AE2112">
        <v>446209.6</v>
      </c>
      <c r="AF2112">
        <v>258645157.40000001</v>
      </c>
      <c r="AG2112">
        <v>258645157.40000001</v>
      </c>
      <c r="AH2112">
        <v>0</v>
      </c>
      <c r="AI2112">
        <v>0</v>
      </c>
    </row>
    <row r="2113" spans="13:35" x14ac:dyDescent="0.35">
      <c r="M2113" t="s">
        <v>1</v>
      </c>
      <c r="N2113">
        <v>2500</v>
      </c>
      <c r="O2113">
        <v>10</v>
      </c>
      <c r="P2113">
        <v>1</v>
      </c>
      <c r="Q2113">
        <v>0</v>
      </c>
      <c r="R2113">
        <v>11831783</v>
      </c>
      <c r="S2113">
        <v>26766.77</v>
      </c>
      <c r="T2113">
        <v>11805016.23</v>
      </c>
      <c r="U2113">
        <v>11805016.23</v>
      </c>
      <c r="V2113">
        <v>0</v>
      </c>
      <c r="W2113">
        <v>0</v>
      </c>
      <c r="Y2113" t="s">
        <v>0</v>
      </c>
      <c r="Z2113">
        <v>2750</v>
      </c>
      <c r="AA2113">
        <v>10</v>
      </c>
      <c r="AB2113">
        <v>3</v>
      </c>
      <c r="AC2113">
        <v>0</v>
      </c>
      <c r="AD2113">
        <v>67136752</v>
      </c>
      <c r="AE2113">
        <v>125275.19</v>
      </c>
      <c r="AF2113">
        <v>67011476.810000002</v>
      </c>
      <c r="AG2113">
        <v>67011476.810000002</v>
      </c>
      <c r="AH2113">
        <v>0</v>
      </c>
      <c r="AI2113">
        <v>0</v>
      </c>
    </row>
    <row r="2114" spans="13:35" x14ac:dyDescent="0.35">
      <c r="M2114" t="s">
        <v>2</v>
      </c>
      <c r="N2114">
        <v>2750</v>
      </c>
      <c r="O2114">
        <v>12</v>
      </c>
      <c r="P2114">
        <v>1</v>
      </c>
      <c r="Q2114">
        <v>0</v>
      </c>
      <c r="R2114">
        <v>22986504</v>
      </c>
      <c r="S2114">
        <v>43250.54</v>
      </c>
      <c r="T2114">
        <v>22943253.460000001</v>
      </c>
      <c r="U2114">
        <v>22943253.460000001</v>
      </c>
      <c r="V2114">
        <v>0</v>
      </c>
      <c r="W2114">
        <v>0</v>
      </c>
      <c r="Y2114" t="s">
        <v>0</v>
      </c>
      <c r="Z2114">
        <v>3000</v>
      </c>
      <c r="AA2114">
        <v>10</v>
      </c>
      <c r="AB2114">
        <v>5</v>
      </c>
      <c r="AC2114">
        <v>0</v>
      </c>
      <c r="AD2114">
        <v>155943566</v>
      </c>
      <c r="AE2114">
        <v>283130.32</v>
      </c>
      <c r="AF2114">
        <v>155660435.68000001</v>
      </c>
      <c r="AG2114">
        <v>155660435.68000001</v>
      </c>
      <c r="AH2114">
        <v>0</v>
      </c>
      <c r="AI2114">
        <v>0</v>
      </c>
    </row>
    <row r="2115" spans="13:35" x14ac:dyDescent="0.35">
      <c r="M2115" t="s">
        <v>1</v>
      </c>
      <c r="N2115">
        <v>3000</v>
      </c>
      <c r="O2115">
        <v>10</v>
      </c>
      <c r="P2115">
        <v>1</v>
      </c>
      <c r="Q2115">
        <v>0</v>
      </c>
      <c r="R2115">
        <v>33995785</v>
      </c>
      <c r="S2115">
        <v>70213.7</v>
      </c>
      <c r="T2115">
        <v>33925571.299999997</v>
      </c>
      <c r="U2115">
        <v>33925571.299999997</v>
      </c>
      <c r="V2115">
        <v>0</v>
      </c>
      <c r="W2115">
        <v>0</v>
      </c>
      <c r="Y2115" t="s">
        <v>1</v>
      </c>
      <c r="Z2115">
        <v>2750</v>
      </c>
      <c r="AA2115">
        <v>10</v>
      </c>
      <c r="AB2115">
        <v>1</v>
      </c>
      <c r="AC2115">
        <v>0</v>
      </c>
      <c r="AD2115">
        <v>16938839</v>
      </c>
      <c r="AE2115">
        <v>35001.879999999997</v>
      </c>
      <c r="AF2115">
        <v>16903837.120000001</v>
      </c>
      <c r="AG2115">
        <v>16903837.120000001</v>
      </c>
      <c r="AH2115">
        <v>0</v>
      </c>
      <c r="AI2115">
        <v>0</v>
      </c>
    </row>
    <row r="2116" spans="13:35" x14ac:dyDescent="0.35">
      <c r="M2116" t="s">
        <v>0</v>
      </c>
      <c r="N2116">
        <v>3000</v>
      </c>
      <c r="O2116">
        <v>20</v>
      </c>
      <c r="P2116">
        <v>1</v>
      </c>
      <c r="Q2116">
        <v>0</v>
      </c>
      <c r="R2116">
        <v>16403244</v>
      </c>
      <c r="S2116">
        <v>30534.49</v>
      </c>
      <c r="T2116">
        <v>16372709.51</v>
      </c>
      <c r="U2116">
        <v>16372709.51</v>
      </c>
      <c r="V2116">
        <v>0</v>
      </c>
      <c r="W2116">
        <v>0</v>
      </c>
      <c r="Y2116" t="s">
        <v>0</v>
      </c>
      <c r="Z2116">
        <v>3500</v>
      </c>
      <c r="AA2116">
        <v>10</v>
      </c>
      <c r="AB2116">
        <v>21</v>
      </c>
      <c r="AC2116">
        <v>0</v>
      </c>
      <c r="AD2116">
        <v>671685782</v>
      </c>
      <c r="AE2116">
        <v>1108003.67</v>
      </c>
      <c r="AF2116">
        <v>670577778.33000004</v>
      </c>
      <c r="AG2116">
        <v>670577778.33000004</v>
      </c>
      <c r="AH2116">
        <v>0</v>
      </c>
      <c r="AI2116">
        <v>0</v>
      </c>
    </row>
    <row r="2117" spans="13:35" x14ac:dyDescent="0.35">
      <c r="M2117" t="s">
        <v>1</v>
      </c>
      <c r="N2117">
        <v>3750</v>
      </c>
      <c r="O2117">
        <v>10</v>
      </c>
      <c r="P2117">
        <v>65</v>
      </c>
      <c r="Q2117">
        <v>0</v>
      </c>
      <c r="R2117">
        <v>2504214274</v>
      </c>
      <c r="S2117">
        <v>3954065.14</v>
      </c>
      <c r="T2117">
        <v>2500260208.8600001</v>
      </c>
      <c r="U2117">
        <v>2500260208.8600001</v>
      </c>
      <c r="V2117">
        <v>0</v>
      </c>
      <c r="W2117">
        <v>0</v>
      </c>
      <c r="Y2117" t="s">
        <v>1</v>
      </c>
      <c r="Z2117">
        <v>3750</v>
      </c>
      <c r="AA2117">
        <v>10</v>
      </c>
      <c r="AB2117">
        <v>43</v>
      </c>
      <c r="AC2117">
        <v>0</v>
      </c>
      <c r="AD2117">
        <v>1689997381</v>
      </c>
      <c r="AE2117">
        <v>2679556.36</v>
      </c>
      <c r="AF2117">
        <v>1687317824.6400001</v>
      </c>
      <c r="AG2117">
        <v>1687317824.6400001</v>
      </c>
      <c r="AH2117">
        <v>0</v>
      </c>
      <c r="AI2117">
        <v>0</v>
      </c>
    </row>
    <row r="2118" spans="13:35" x14ac:dyDescent="0.35">
      <c r="M2118" t="s">
        <v>1</v>
      </c>
      <c r="N2118">
        <v>3250</v>
      </c>
      <c r="O2118">
        <v>10</v>
      </c>
      <c r="P2118">
        <v>9</v>
      </c>
      <c r="Q2118">
        <v>0</v>
      </c>
      <c r="R2118">
        <v>260236106</v>
      </c>
      <c r="S2118">
        <v>463962.06</v>
      </c>
      <c r="T2118">
        <v>259772143.94</v>
      </c>
      <c r="U2118">
        <v>259772143.94</v>
      </c>
      <c r="V2118">
        <v>0</v>
      </c>
      <c r="W2118">
        <v>0</v>
      </c>
      <c r="Y2118" t="s">
        <v>0</v>
      </c>
      <c r="Z2118">
        <v>3750</v>
      </c>
      <c r="AA2118">
        <v>10</v>
      </c>
      <c r="AB2118">
        <v>112</v>
      </c>
      <c r="AC2118">
        <v>0</v>
      </c>
      <c r="AD2118">
        <v>4278732416</v>
      </c>
      <c r="AE2118">
        <v>6756523.9900000002</v>
      </c>
      <c r="AF2118">
        <v>4271975892.0100002</v>
      </c>
      <c r="AG2118">
        <v>4271975892.0100002</v>
      </c>
      <c r="AH2118">
        <v>0</v>
      </c>
      <c r="AI2118">
        <v>0</v>
      </c>
    </row>
    <row r="2119" spans="13:35" x14ac:dyDescent="0.35">
      <c r="M2119" t="s">
        <v>1</v>
      </c>
      <c r="N2119">
        <v>3500</v>
      </c>
      <c r="O2119">
        <v>10</v>
      </c>
      <c r="P2119">
        <v>9</v>
      </c>
      <c r="Q2119">
        <v>0</v>
      </c>
      <c r="R2119">
        <v>335356878</v>
      </c>
      <c r="S2119">
        <v>570124.93000000005</v>
      </c>
      <c r="T2119">
        <v>334786753.06999999</v>
      </c>
      <c r="U2119">
        <v>334786753.06999999</v>
      </c>
      <c r="V2119">
        <v>0</v>
      </c>
      <c r="W2119">
        <v>0</v>
      </c>
      <c r="Y2119" t="s">
        <v>2</v>
      </c>
      <c r="Z2119">
        <v>3750</v>
      </c>
      <c r="AA2119">
        <v>10</v>
      </c>
      <c r="AB2119">
        <v>5</v>
      </c>
      <c r="AC2119">
        <v>0</v>
      </c>
      <c r="AD2119">
        <v>112751608</v>
      </c>
      <c r="AE2119">
        <v>177921.45</v>
      </c>
      <c r="AF2119">
        <v>112573686.55</v>
      </c>
      <c r="AG2119">
        <v>112573686.55</v>
      </c>
      <c r="AH2119">
        <v>0</v>
      </c>
      <c r="AI2119">
        <v>0</v>
      </c>
    </row>
    <row r="2120" spans="13:35" x14ac:dyDescent="0.35">
      <c r="M2120" t="s">
        <v>0</v>
      </c>
      <c r="N2120">
        <v>3750</v>
      </c>
      <c r="O2120">
        <v>10</v>
      </c>
      <c r="P2120">
        <v>202</v>
      </c>
      <c r="Q2120">
        <v>0</v>
      </c>
      <c r="R2120">
        <v>7407925956</v>
      </c>
      <c r="S2120">
        <v>11692242.91</v>
      </c>
      <c r="T2120">
        <v>7396233713.0900002</v>
      </c>
      <c r="U2120">
        <v>7396233713.0900002</v>
      </c>
      <c r="V2120">
        <v>0</v>
      </c>
      <c r="W2120">
        <v>0</v>
      </c>
      <c r="Y2120" t="s">
        <v>1</v>
      </c>
      <c r="Z2120">
        <v>3500</v>
      </c>
      <c r="AA2120">
        <v>10</v>
      </c>
      <c r="AB2120">
        <v>3</v>
      </c>
      <c r="AC2120">
        <v>0</v>
      </c>
      <c r="AD2120">
        <v>110745491</v>
      </c>
      <c r="AE2120">
        <v>190332.43</v>
      </c>
      <c r="AF2120">
        <v>110555158.56999999</v>
      </c>
      <c r="AG2120">
        <v>110555158.56999999</v>
      </c>
      <c r="AH2120">
        <v>0</v>
      </c>
      <c r="AI2120">
        <v>0</v>
      </c>
    </row>
    <row r="2121" spans="13:35" x14ac:dyDescent="0.35">
      <c r="M2121" t="s">
        <v>2</v>
      </c>
      <c r="N2121">
        <v>4000</v>
      </c>
      <c r="O2121">
        <v>10</v>
      </c>
      <c r="P2121">
        <v>69</v>
      </c>
      <c r="Q2121">
        <v>0</v>
      </c>
      <c r="R2121">
        <v>2021948198</v>
      </c>
      <c r="S2121">
        <v>3062844.86</v>
      </c>
      <c r="T2121">
        <v>2018885353.1400001</v>
      </c>
      <c r="U2121">
        <v>2018885353.1400001</v>
      </c>
      <c r="V2121">
        <v>0</v>
      </c>
      <c r="W2121">
        <v>0</v>
      </c>
      <c r="Y2121" t="s">
        <v>2</v>
      </c>
      <c r="Z2121">
        <v>4000</v>
      </c>
      <c r="AA2121">
        <v>10</v>
      </c>
      <c r="AB2121">
        <v>48</v>
      </c>
      <c r="AC2121">
        <v>0</v>
      </c>
      <c r="AD2121">
        <v>1361717657</v>
      </c>
      <c r="AE2121">
        <v>2062040.8</v>
      </c>
      <c r="AF2121">
        <v>1359655616.2</v>
      </c>
      <c r="AG2121">
        <v>1359655616.2</v>
      </c>
      <c r="AH2121">
        <v>0</v>
      </c>
      <c r="AI2121">
        <v>0</v>
      </c>
    </row>
    <row r="2122" spans="13:35" x14ac:dyDescent="0.35">
      <c r="M2122" t="s">
        <v>2</v>
      </c>
      <c r="N2122">
        <v>4250</v>
      </c>
      <c r="O2122">
        <v>10</v>
      </c>
      <c r="P2122">
        <v>10</v>
      </c>
      <c r="Q2122">
        <v>0</v>
      </c>
      <c r="R2122">
        <v>267911795</v>
      </c>
      <c r="S2122">
        <v>389922.08</v>
      </c>
      <c r="T2122">
        <v>267521872.91999999</v>
      </c>
      <c r="U2122">
        <v>267521872.91999999</v>
      </c>
      <c r="V2122">
        <v>0</v>
      </c>
      <c r="W2122">
        <v>0</v>
      </c>
      <c r="Y2122" t="s">
        <v>0</v>
      </c>
      <c r="Z2122">
        <v>4250</v>
      </c>
      <c r="AA2122">
        <v>10</v>
      </c>
      <c r="AB2122">
        <v>330</v>
      </c>
      <c r="AC2122">
        <v>0</v>
      </c>
      <c r="AD2122">
        <v>10769812126</v>
      </c>
      <c r="AE2122">
        <v>15627913.24</v>
      </c>
      <c r="AF2122">
        <v>10754184212.76</v>
      </c>
      <c r="AG2122">
        <v>10754184212.76</v>
      </c>
      <c r="AH2122">
        <v>0</v>
      </c>
      <c r="AI2122">
        <v>0</v>
      </c>
    </row>
    <row r="2123" spans="13:35" x14ac:dyDescent="0.35">
      <c r="M2123" t="s">
        <v>0</v>
      </c>
      <c r="N2123">
        <v>4500</v>
      </c>
      <c r="O2123">
        <v>10</v>
      </c>
      <c r="P2123">
        <v>1068</v>
      </c>
      <c r="Q2123">
        <v>0</v>
      </c>
      <c r="R2123">
        <v>35945273197</v>
      </c>
      <c r="S2123">
        <v>49941551.689999998</v>
      </c>
      <c r="T2123">
        <v>35895331645.309998</v>
      </c>
      <c r="U2123">
        <v>35895331645.309998</v>
      </c>
      <c r="V2123">
        <v>0</v>
      </c>
      <c r="W2123">
        <v>0</v>
      </c>
      <c r="Y2123" t="s">
        <v>1</v>
      </c>
      <c r="Z2123">
        <v>4250</v>
      </c>
      <c r="AA2123">
        <v>10</v>
      </c>
      <c r="AB2123">
        <v>130</v>
      </c>
      <c r="AC2123">
        <v>0</v>
      </c>
      <c r="AD2123">
        <v>4969351032</v>
      </c>
      <c r="AE2123">
        <v>7215565.2800000003</v>
      </c>
      <c r="AF2123">
        <v>4962135466.7200003</v>
      </c>
      <c r="AG2123">
        <v>4962135466.7200003</v>
      </c>
      <c r="AH2123">
        <v>0</v>
      </c>
      <c r="AI2123">
        <v>0</v>
      </c>
    </row>
    <row r="2124" spans="13:35" x14ac:dyDescent="0.35">
      <c r="M2124" t="s">
        <v>1</v>
      </c>
      <c r="N2124">
        <v>4500</v>
      </c>
      <c r="O2124">
        <v>10</v>
      </c>
      <c r="P2124">
        <v>368</v>
      </c>
      <c r="Q2124">
        <v>0</v>
      </c>
      <c r="R2124">
        <v>13884246605</v>
      </c>
      <c r="S2124">
        <v>19309263.670000002</v>
      </c>
      <c r="T2124">
        <v>13826360592.77</v>
      </c>
      <c r="U2124">
        <v>13864937341.33</v>
      </c>
      <c r="V2124">
        <v>3.2836999999999998E-2</v>
      </c>
      <c r="W2124">
        <v>0</v>
      </c>
      <c r="Y2124" t="s">
        <v>2</v>
      </c>
      <c r="Z2124">
        <v>4250</v>
      </c>
      <c r="AA2124">
        <v>10</v>
      </c>
      <c r="AB2124">
        <v>12</v>
      </c>
      <c r="AC2124">
        <v>0</v>
      </c>
      <c r="AD2124">
        <v>302707808</v>
      </c>
      <c r="AE2124">
        <v>444681.44</v>
      </c>
      <c r="AF2124">
        <v>302263126.56</v>
      </c>
      <c r="AG2124">
        <v>302263126.56</v>
      </c>
      <c r="AH2124">
        <v>0</v>
      </c>
      <c r="AI2124">
        <v>0</v>
      </c>
    </row>
    <row r="2125" spans="13:35" x14ac:dyDescent="0.35">
      <c r="M2125" t="s">
        <v>2</v>
      </c>
      <c r="N2125">
        <v>4500</v>
      </c>
      <c r="O2125">
        <v>10</v>
      </c>
      <c r="P2125">
        <v>29</v>
      </c>
      <c r="Q2125">
        <v>0</v>
      </c>
      <c r="R2125">
        <v>808757461</v>
      </c>
      <c r="S2125">
        <v>1123178.6599999999</v>
      </c>
      <c r="T2125">
        <v>807634282.34000003</v>
      </c>
      <c r="U2125">
        <v>807634282.34000003</v>
      </c>
      <c r="V2125">
        <v>0</v>
      </c>
      <c r="W2125">
        <v>0</v>
      </c>
      <c r="Y2125" t="s">
        <v>0</v>
      </c>
      <c r="Z2125">
        <v>4500</v>
      </c>
      <c r="AA2125">
        <v>10</v>
      </c>
      <c r="AB2125">
        <v>945</v>
      </c>
      <c r="AC2125">
        <v>0</v>
      </c>
      <c r="AD2125">
        <v>31670797665</v>
      </c>
      <c r="AE2125">
        <v>44016650.200000003</v>
      </c>
      <c r="AF2125">
        <v>31626781014.799999</v>
      </c>
      <c r="AG2125">
        <v>31626781014.799999</v>
      </c>
      <c r="AH2125">
        <v>0</v>
      </c>
      <c r="AI2125">
        <v>0</v>
      </c>
    </row>
    <row r="2126" spans="13:35" x14ac:dyDescent="0.35">
      <c r="M2126" t="s">
        <v>3</v>
      </c>
      <c r="N2126">
        <v>5250</v>
      </c>
      <c r="O2126">
        <v>10</v>
      </c>
      <c r="P2126">
        <v>2</v>
      </c>
      <c r="Q2126">
        <v>0</v>
      </c>
      <c r="R2126">
        <v>34762217</v>
      </c>
      <c r="S2126">
        <v>42145.82</v>
      </c>
      <c r="T2126">
        <v>34720071.18</v>
      </c>
      <c r="U2126">
        <v>34720071.18</v>
      </c>
      <c r="V2126">
        <v>0</v>
      </c>
      <c r="W2126">
        <v>0</v>
      </c>
      <c r="Y2126" t="s">
        <v>1</v>
      </c>
      <c r="Z2126">
        <v>4500</v>
      </c>
      <c r="AA2126">
        <v>10</v>
      </c>
      <c r="AB2126">
        <v>303</v>
      </c>
      <c r="AC2126">
        <v>0</v>
      </c>
      <c r="AD2126">
        <v>11056311677</v>
      </c>
      <c r="AE2126">
        <v>15386043.68</v>
      </c>
      <c r="AF2126">
        <v>11040925633.32</v>
      </c>
      <c r="AG2126">
        <v>11040925633.32</v>
      </c>
      <c r="AH2126">
        <v>0</v>
      </c>
      <c r="AI2126">
        <v>0</v>
      </c>
    </row>
    <row r="2127" spans="13:35" x14ac:dyDescent="0.35">
      <c r="M2127" t="s">
        <v>3</v>
      </c>
      <c r="N2127">
        <v>5500</v>
      </c>
      <c r="O2127">
        <v>10</v>
      </c>
      <c r="P2127">
        <v>1</v>
      </c>
      <c r="Q2127">
        <v>0</v>
      </c>
      <c r="R2127">
        <v>19447339</v>
      </c>
      <c r="S2127">
        <v>22534</v>
      </c>
      <c r="T2127">
        <v>19424805</v>
      </c>
      <c r="U2127">
        <v>19424805</v>
      </c>
      <c r="V2127">
        <v>0</v>
      </c>
      <c r="W2127">
        <v>0</v>
      </c>
      <c r="Y2127" t="s">
        <v>2</v>
      </c>
      <c r="Z2127">
        <v>4500</v>
      </c>
      <c r="AA2127">
        <v>10</v>
      </c>
      <c r="AB2127">
        <v>25</v>
      </c>
      <c r="AC2127">
        <v>0</v>
      </c>
      <c r="AD2127">
        <v>702940876</v>
      </c>
      <c r="AE2127">
        <v>977618.93</v>
      </c>
      <c r="AF2127">
        <v>701963257.07000005</v>
      </c>
      <c r="AG2127">
        <v>701963257.07000005</v>
      </c>
      <c r="AH2127">
        <v>0</v>
      </c>
      <c r="AI2127">
        <v>0</v>
      </c>
    </row>
    <row r="2128" spans="13:35" x14ac:dyDescent="0.35">
      <c r="M2128" t="s">
        <v>1</v>
      </c>
      <c r="N2128">
        <v>2500</v>
      </c>
      <c r="O2128">
        <v>9</v>
      </c>
      <c r="P2128">
        <v>6</v>
      </c>
      <c r="Q2128">
        <v>0</v>
      </c>
      <c r="R2128">
        <v>201602627</v>
      </c>
      <c r="S2128">
        <v>390304.74</v>
      </c>
      <c r="T2128">
        <v>201212322.25999999</v>
      </c>
      <c r="U2128">
        <v>201212322.25999999</v>
      </c>
      <c r="V2128">
        <v>0</v>
      </c>
      <c r="W2128">
        <v>0</v>
      </c>
      <c r="Y2128" t="s">
        <v>3</v>
      </c>
      <c r="Z2128">
        <v>5250</v>
      </c>
      <c r="AA2128">
        <v>10</v>
      </c>
      <c r="AB2128">
        <v>1</v>
      </c>
      <c r="AC2128">
        <v>0</v>
      </c>
      <c r="AD2128">
        <v>31669524</v>
      </c>
      <c r="AE2128">
        <v>39269.99</v>
      </c>
      <c r="AF2128">
        <v>31630254.010000002</v>
      </c>
      <c r="AG2128">
        <v>31630254.010000002</v>
      </c>
      <c r="AH2128">
        <v>0</v>
      </c>
      <c r="AI2128">
        <v>0</v>
      </c>
    </row>
    <row r="2129" spans="13:35" x14ac:dyDescent="0.35">
      <c r="M2129" t="s">
        <v>2</v>
      </c>
      <c r="N2129">
        <v>3000</v>
      </c>
      <c r="O2129">
        <v>10</v>
      </c>
      <c r="P2129">
        <v>5</v>
      </c>
      <c r="Q2129">
        <v>0</v>
      </c>
      <c r="R2129">
        <v>123441991</v>
      </c>
      <c r="S2129">
        <v>231312.78</v>
      </c>
      <c r="T2129">
        <v>123210678.22</v>
      </c>
      <c r="U2129">
        <v>123210678.22</v>
      </c>
      <c r="V2129">
        <v>0</v>
      </c>
      <c r="W2129">
        <v>0</v>
      </c>
      <c r="Y2129" t="s">
        <v>3</v>
      </c>
      <c r="Z2129">
        <v>7500</v>
      </c>
      <c r="AA2129">
        <v>10</v>
      </c>
      <c r="AB2129">
        <v>1</v>
      </c>
      <c r="AC2129">
        <v>0</v>
      </c>
      <c r="AD2129">
        <v>27426880</v>
      </c>
      <c r="AE2129">
        <v>22363.23</v>
      </c>
      <c r="AF2129">
        <v>27404516.77</v>
      </c>
      <c r="AG2129">
        <v>27404516.77</v>
      </c>
      <c r="AH2129">
        <v>0</v>
      </c>
      <c r="AI2129">
        <v>0</v>
      </c>
    </row>
    <row r="2130" spans="13:35" x14ac:dyDescent="0.35">
      <c r="M2130" t="s">
        <v>0</v>
      </c>
      <c r="N2130">
        <v>3250</v>
      </c>
      <c r="O2130">
        <v>10</v>
      </c>
      <c r="P2130">
        <v>2</v>
      </c>
      <c r="Q2130">
        <v>0</v>
      </c>
      <c r="R2130">
        <v>75917974</v>
      </c>
      <c r="S2130">
        <v>131802.63</v>
      </c>
      <c r="T2130">
        <v>75786171.370000005</v>
      </c>
      <c r="U2130">
        <v>75786171.370000005</v>
      </c>
      <c r="V2130">
        <v>0</v>
      </c>
      <c r="W2130">
        <v>0</v>
      </c>
      <c r="Y2130" t="s">
        <v>1</v>
      </c>
      <c r="Z2130">
        <v>8000</v>
      </c>
      <c r="AA2130">
        <v>10</v>
      </c>
      <c r="AB2130">
        <v>2</v>
      </c>
      <c r="AC2130">
        <v>0</v>
      </c>
      <c r="AD2130">
        <v>58963210</v>
      </c>
      <c r="AE2130">
        <v>42612.27</v>
      </c>
      <c r="AF2130">
        <v>58920597.729999997</v>
      </c>
      <c r="AG2130">
        <v>58920597.729999997</v>
      </c>
      <c r="AH2130">
        <v>0</v>
      </c>
      <c r="AI2130">
        <v>0</v>
      </c>
    </row>
    <row r="2131" spans="13:35" x14ac:dyDescent="0.35">
      <c r="M2131" t="s">
        <v>1</v>
      </c>
      <c r="N2131">
        <v>3500</v>
      </c>
      <c r="O2131">
        <v>9</v>
      </c>
      <c r="P2131">
        <v>9</v>
      </c>
      <c r="Q2131">
        <v>0</v>
      </c>
      <c r="R2131">
        <v>340212509</v>
      </c>
      <c r="S2131">
        <v>570438.53</v>
      </c>
      <c r="T2131">
        <v>339642070.47000003</v>
      </c>
      <c r="U2131">
        <v>339642070.47000003</v>
      </c>
      <c r="V2131">
        <v>0</v>
      </c>
      <c r="W2131">
        <v>0</v>
      </c>
      <c r="Y2131" t="s">
        <v>0</v>
      </c>
      <c r="Z2131">
        <v>9000</v>
      </c>
      <c r="AA2131">
        <v>12</v>
      </c>
      <c r="AB2131">
        <v>1</v>
      </c>
      <c r="AC2131">
        <v>0</v>
      </c>
      <c r="AD2131">
        <v>16575024</v>
      </c>
      <c r="AE2131">
        <v>10222.93</v>
      </c>
      <c r="AF2131">
        <v>16564801.07</v>
      </c>
      <c r="AG2131">
        <v>16564801.07</v>
      </c>
      <c r="AH2131">
        <v>0</v>
      </c>
      <c r="AI2131">
        <v>0</v>
      </c>
    </row>
    <row r="2132" spans="13:35" x14ac:dyDescent="0.35">
      <c r="M2132" t="s">
        <v>2</v>
      </c>
      <c r="N2132">
        <v>3500</v>
      </c>
      <c r="O2132">
        <v>10</v>
      </c>
      <c r="P2132">
        <v>9</v>
      </c>
      <c r="Q2132">
        <v>0</v>
      </c>
      <c r="R2132">
        <v>225932929</v>
      </c>
      <c r="S2132">
        <v>373604.94</v>
      </c>
      <c r="T2132">
        <v>225559324.06</v>
      </c>
      <c r="U2132">
        <v>225559324.06</v>
      </c>
      <c r="V2132">
        <v>0</v>
      </c>
      <c r="W2132">
        <v>0</v>
      </c>
      <c r="Y2132" t="s">
        <v>1</v>
      </c>
      <c r="Z2132">
        <v>2250</v>
      </c>
      <c r="AA2132">
        <v>9</v>
      </c>
      <c r="AB2132">
        <v>1</v>
      </c>
      <c r="AC2132">
        <v>0</v>
      </c>
      <c r="AD2132">
        <v>57094899</v>
      </c>
      <c r="AE2132">
        <v>129838.25</v>
      </c>
      <c r="AF2132">
        <v>56965060.75</v>
      </c>
      <c r="AG2132">
        <v>56965060.75</v>
      </c>
      <c r="AH2132">
        <v>0</v>
      </c>
      <c r="AI2132">
        <v>0</v>
      </c>
    </row>
    <row r="2133" spans="13:35" x14ac:dyDescent="0.35">
      <c r="M2133" t="s">
        <v>0</v>
      </c>
      <c r="N2133">
        <v>3500</v>
      </c>
      <c r="O2133">
        <v>10</v>
      </c>
      <c r="P2133">
        <v>21</v>
      </c>
      <c r="Q2133">
        <v>0</v>
      </c>
      <c r="R2133">
        <v>670753640</v>
      </c>
      <c r="S2133">
        <v>1106296.8899999999</v>
      </c>
      <c r="T2133">
        <v>669647343.11000001</v>
      </c>
      <c r="U2133">
        <v>669647343.11000001</v>
      </c>
      <c r="V2133">
        <v>0</v>
      </c>
      <c r="W2133">
        <v>0</v>
      </c>
      <c r="Y2133" t="s">
        <v>1</v>
      </c>
      <c r="Z2133">
        <v>2500</v>
      </c>
      <c r="AA2133">
        <v>9</v>
      </c>
      <c r="AB2133">
        <v>1</v>
      </c>
      <c r="AC2133">
        <v>0</v>
      </c>
      <c r="AD2133">
        <v>11831783</v>
      </c>
      <c r="AE2133">
        <v>26651.17</v>
      </c>
      <c r="AF2133">
        <v>11805131.83</v>
      </c>
      <c r="AG2133">
        <v>11805131.83</v>
      </c>
      <c r="AH2133">
        <v>0</v>
      </c>
      <c r="AI2133">
        <v>0</v>
      </c>
    </row>
    <row r="2134" spans="13:35" x14ac:dyDescent="0.35">
      <c r="M2134" t="s">
        <v>0</v>
      </c>
      <c r="N2134">
        <v>3750</v>
      </c>
      <c r="O2134">
        <v>9</v>
      </c>
      <c r="P2134">
        <v>80</v>
      </c>
      <c r="Q2134">
        <v>0</v>
      </c>
      <c r="R2134">
        <v>2613368427</v>
      </c>
      <c r="S2134">
        <v>4105352.67</v>
      </c>
      <c r="T2134">
        <v>2609263074.3299999</v>
      </c>
      <c r="U2134">
        <v>2609263074.3299999</v>
      </c>
      <c r="V2134">
        <v>0</v>
      </c>
      <c r="W2134">
        <v>0</v>
      </c>
      <c r="Y2134" t="s">
        <v>2</v>
      </c>
      <c r="Z2134">
        <v>3250</v>
      </c>
      <c r="AA2134">
        <v>10</v>
      </c>
      <c r="AB2134">
        <v>3</v>
      </c>
      <c r="AC2134">
        <v>0</v>
      </c>
      <c r="AD2134">
        <v>61606719</v>
      </c>
      <c r="AE2134">
        <v>112571.06</v>
      </c>
      <c r="AF2134">
        <v>61494147.939999998</v>
      </c>
      <c r="AG2134">
        <v>61494147.939999998</v>
      </c>
      <c r="AH2134">
        <v>0</v>
      </c>
      <c r="AI2134">
        <v>0</v>
      </c>
    </row>
    <row r="2135" spans="13:35" x14ac:dyDescent="0.35">
      <c r="M2135" t="s">
        <v>2</v>
      </c>
      <c r="N2135">
        <v>3750</v>
      </c>
      <c r="O2135">
        <v>10</v>
      </c>
      <c r="P2135">
        <v>8</v>
      </c>
      <c r="Q2135">
        <v>0</v>
      </c>
      <c r="R2135">
        <v>206764952</v>
      </c>
      <c r="S2135">
        <v>329859.84000000003</v>
      </c>
      <c r="T2135">
        <v>206435092.16</v>
      </c>
      <c r="U2135">
        <v>206435092.16</v>
      </c>
      <c r="V2135">
        <v>0</v>
      </c>
      <c r="W2135">
        <v>0</v>
      </c>
      <c r="Y2135" t="s">
        <v>1</v>
      </c>
      <c r="Z2135">
        <v>3250</v>
      </c>
      <c r="AA2135">
        <v>10</v>
      </c>
      <c r="AB2135">
        <v>6</v>
      </c>
      <c r="AC2135">
        <v>0</v>
      </c>
      <c r="AD2135">
        <v>159592418</v>
      </c>
      <c r="AE2135">
        <v>299826.36</v>
      </c>
      <c r="AF2135">
        <v>159292591.63999999</v>
      </c>
      <c r="AG2135">
        <v>159292591.63999999</v>
      </c>
      <c r="AH2135">
        <v>0</v>
      </c>
      <c r="AI2135">
        <v>0</v>
      </c>
    </row>
    <row r="2136" spans="13:35" x14ac:dyDescent="0.35">
      <c r="M2136" t="s">
        <v>0</v>
      </c>
      <c r="N2136">
        <v>3500</v>
      </c>
      <c r="O2136">
        <v>9</v>
      </c>
      <c r="P2136">
        <v>12</v>
      </c>
      <c r="Q2136">
        <v>0</v>
      </c>
      <c r="R2136">
        <v>419353490</v>
      </c>
      <c r="S2136">
        <v>689663.23</v>
      </c>
      <c r="T2136">
        <v>418663826.76999998</v>
      </c>
      <c r="U2136">
        <v>418663826.76999998</v>
      </c>
      <c r="V2136">
        <v>0</v>
      </c>
      <c r="W2136">
        <v>0</v>
      </c>
      <c r="Y2136" t="s">
        <v>1</v>
      </c>
      <c r="Z2136">
        <v>3000</v>
      </c>
      <c r="AA2136">
        <v>9</v>
      </c>
      <c r="AB2136">
        <v>1</v>
      </c>
      <c r="AC2136">
        <v>0</v>
      </c>
      <c r="AD2136">
        <v>34138817</v>
      </c>
      <c r="AE2136">
        <v>70189.259999999995</v>
      </c>
      <c r="AF2136">
        <v>34068627.740000002</v>
      </c>
      <c r="AG2136">
        <v>34068627.740000002</v>
      </c>
      <c r="AH2136">
        <v>0</v>
      </c>
      <c r="AI2136">
        <v>0</v>
      </c>
    </row>
    <row r="2137" spans="13:35" x14ac:dyDescent="0.35">
      <c r="M2137" t="s">
        <v>1</v>
      </c>
      <c r="N2137">
        <v>3750</v>
      </c>
      <c r="O2137">
        <v>9</v>
      </c>
      <c r="P2137">
        <v>28</v>
      </c>
      <c r="Q2137">
        <v>0</v>
      </c>
      <c r="R2137">
        <v>1060845887</v>
      </c>
      <c r="S2137">
        <v>1666173.3</v>
      </c>
      <c r="T2137">
        <v>1059179713.7</v>
      </c>
      <c r="U2137">
        <v>1059179713.7</v>
      </c>
      <c r="V2137">
        <v>0</v>
      </c>
      <c r="W2137">
        <v>0</v>
      </c>
      <c r="Y2137" t="s">
        <v>0</v>
      </c>
      <c r="Z2137">
        <v>3000</v>
      </c>
      <c r="AA2137">
        <v>18</v>
      </c>
      <c r="AB2137">
        <v>1</v>
      </c>
      <c r="AC2137">
        <v>0</v>
      </c>
      <c r="AD2137">
        <v>16403244</v>
      </c>
      <c r="AE2137">
        <v>30401.9</v>
      </c>
      <c r="AF2137">
        <v>16372842.1</v>
      </c>
      <c r="AG2137">
        <v>16372842.1</v>
      </c>
      <c r="AH2137">
        <v>0</v>
      </c>
      <c r="AI2137">
        <v>0</v>
      </c>
    </row>
    <row r="2138" spans="13:35" x14ac:dyDescent="0.35">
      <c r="M2138" t="s">
        <v>2</v>
      </c>
      <c r="N2138">
        <v>3750</v>
      </c>
      <c r="O2138">
        <v>9</v>
      </c>
      <c r="P2138">
        <v>7</v>
      </c>
      <c r="Q2138">
        <v>0</v>
      </c>
      <c r="R2138">
        <v>203296102</v>
      </c>
      <c r="S2138">
        <v>321970.58</v>
      </c>
      <c r="T2138">
        <v>202974131.41999999</v>
      </c>
      <c r="U2138">
        <v>202974131.41999999</v>
      </c>
      <c r="V2138">
        <v>0</v>
      </c>
      <c r="W2138">
        <v>0</v>
      </c>
      <c r="Y2138" t="s">
        <v>1</v>
      </c>
      <c r="Z2138">
        <v>3000</v>
      </c>
      <c r="AA2138">
        <v>10</v>
      </c>
      <c r="AB2138">
        <v>3</v>
      </c>
      <c r="AC2138">
        <v>0</v>
      </c>
      <c r="AD2138">
        <v>102187882</v>
      </c>
      <c r="AE2138">
        <v>208466.55</v>
      </c>
      <c r="AF2138">
        <v>101979415.45</v>
      </c>
      <c r="AG2138">
        <v>101979415.45</v>
      </c>
      <c r="AH2138">
        <v>0</v>
      </c>
      <c r="AI2138">
        <v>0</v>
      </c>
    </row>
    <row r="2139" spans="13:35" x14ac:dyDescent="0.35">
      <c r="M2139" t="s">
        <v>2</v>
      </c>
      <c r="N2139">
        <v>3250</v>
      </c>
      <c r="O2139">
        <v>10</v>
      </c>
      <c r="P2139">
        <v>2</v>
      </c>
      <c r="Q2139">
        <v>0</v>
      </c>
      <c r="R2139">
        <v>27782135</v>
      </c>
      <c r="S2139">
        <v>47712.19</v>
      </c>
      <c r="T2139">
        <v>27734422.809999999</v>
      </c>
      <c r="U2139">
        <v>27734422.809999999</v>
      </c>
      <c r="V2139">
        <v>0</v>
      </c>
      <c r="W2139">
        <v>0</v>
      </c>
      <c r="Y2139" t="s">
        <v>1</v>
      </c>
      <c r="Z2139">
        <v>3750</v>
      </c>
      <c r="AA2139">
        <v>9</v>
      </c>
      <c r="AB2139">
        <v>65</v>
      </c>
      <c r="AC2139">
        <v>0</v>
      </c>
      <c r="AD2139">
        <v>2509190623</v>
      </c>
      <c r="AE2139">
        <v>3943384.05</v>
      </c>
      <c r="AF2139">
        <v>2505247238.9499998</v>
      </c>
      <c r="AG2139">
        <v>2505247238.9499998</v>
      </c>
      <c r="AH2139">
        <v>0</v>
      </c>
      <c r="AI2139">
        <v>0</v>
      </c>
    </row>
    <row r="2140" spans="13:35" x14ac:dyDescent="0.35">
      <c r="M2140" t="s">
        <v>1</v>
      </c>
      <c r="N2140">
        <v>3250</v>
      </c>
      <c r="O2140">
        <v>9</v>
      </c>
      <c r="P2140">
        <v>4</v>
      </c>
      <c r="Q2140">
        <v>0</v>
      </c>
      <c r="R2140">
        <v>154434568</v>
      </c>
      <c r="S2140">
        <v>264052.59999999998</v>
      </c>
      <c r="T2140">
        <v>154170515.40000001</v>
      </c>
      <c r="U2140">
        <v>154170515.40000001</v>
      </c>
      <c r="V2140">
        <v>0</v>
      </c>
      <c r="W2140">
        <v>0</v>
      </c>
      <c r="Y2140" t="s">
        <v>1</v>
      </c>
      <c r="Z2140">
        <v>3250</v>
      </c>
      <c r="AA2140">
        <v>9</v>
      </c>
      <c r="AB2140">
        <v>9</v>
      </c>
      <c r="AC2140">
        <v>0</v>
      </c>
      <c r="AD2140">
        <v>260830942</v>
      </c>
      <c r="AE2140">
        <v>462934.8</v>
      </c>
      <c r="AF2140">
        <v>260368007.19999999</v>
      </c>
      <c r="AG2140">
        <v>260368007.19999999</v>
      </c>
      <c r="AH2140">
        <v>0</v>
      </c>
      <c r="AI2140">
        <v>0</v>
      </c>
    </row>
    <row r="2141" spans="13:35" x14ac:dyDescent="0.35">
      <c r="M2141" t="s">
        <v>0</v>
      </c>
      <c r="N2141">
        <v>3250</v>
      </c>
      <c r="O2141">
        <v>9</v>
      </c>
      <c r="P2141">
        <v>2</v>
      </c>
      <c r="Q2141">
        <v>0</v>
      </c>
      <c r="R2141">
        <v>56433978</v>
      </c>
      <c r="S2141">
        <v>96490.95</v>
      </c>
      <c r="T2141">
        <v>56337487.049999997</v>
      </c>
      <c r="U2141">
        <v>56337487.049999997</v>
      </c>
      <c r="V2141">
        <v>0</v>
      </c>
      <c r="W2141">
        <v>0</v>
      </c>
      <c r="Y2141" t="s">
        <v>2</v>
      </c>
      <c r="Z2141">
        <v>3500</v>
      </c>
      <c r="AA2141">
        <v>10</v>
      </c>
      <c r="AB2141">
        <v>5</v>
      </c>
      <c r="AC2141">
        <v>0</v>
      </c>
      <c r="AD2141">
        <v>100285394</v>
      </c>
      <c r="AE2141">
        <v>165788.35999999999</v>
      </c>
      <c r="AF2141">
        <v>84539580.170000002</v>
      </c>
      <c r="AG2141">
        <v>84539580.170000002</v>
      </c>
      <c r="AH2141">
        <v>0.86814999999999998</v>
      </c>
      <c r="AI2141">
        <v>0.86814999999999998</v>
      </c>
    </row>
    <row r="2142" spans="13:35" x14ac:dyDescent="0.35">
      <c r="M2142" t="s">
        <v>2</v>
      </c>
      <c r="N2142">
        <v>4000</v>
      </c>
      <c r="O2142">
        <v>9</v>
      </c>
      <c r="P2142">
        <v>56</v>
      </c>
      <c r="Q2142">
        <v>0</v>
      </c>
      <c r="R2142">
        <v>1653441913</v>
      </c>
      <c r="S2142">
        <v>2492780.73</v>
      </c>
      <c r="T2142">
        <v>1650949132.27</v>
      </c>
      <c r="U2142">
        <v>1650949132.27</v>
      </c>
      <c r="V2142">
        <v>0</v>
      </c>
      <c r="W2142">
        <v>0</v>
      </c>
      <c r="Y2142" t="s">
        <v>1</v>
      </c>
      <c r="Z2142">
        <v>3500</v>
      </c>
      <c r="AA2142">
        <v>9</v>
      </c>
      <c r="AB2142">
        <v>9</v>
      </c>
      <c r="AC2142">
        <v>0</v>
      </c>
      <c r="AD2142">
        <v>335705715</v>
      </c>
      <c r="AE2142">
        <v>568080.9</v>
      </c>
      <c r="AF2142">
        <v>335137634.10000002</v>
      </c>
      <c r="AG2142">
        <v>335137634.10000002</v>
      </c>
      <c r="AH2142">
        <v>0</v>
      </c>
      <c r="AI2142">
        <v>0</v>
      </c>
    </row>
    <row r="2143" spans="13:35" x14ac:dyDescent="0.35">
      <c r="M2143" t="s">
        <v>2</v>
      </c>
      <c r="N2143">
        <v>4250</v>
      </c>
      <c r="O2143">
        <v>9</v>
      </c>
      <c r="P2143">
        <v>14</v>
      </c>
      <c r="Q2143">
        <v>0</v>
      </c>
      <c r="R2143">
        <v>415624880</v>
      </c>
      <c r="S2143">
        <v>600549.24</v>
      </c>
      <c r="T2143">
        <v>415024330.75999999</v>
      </c>
      <c r="U2143">
        <v>415024330.75999999</v>
      </c>
      <c r="V2143">
        <v>0</v>
      </c>
      <c r="W2143">
        <v>0</v>
      </c>
      <c r="Y2143" t="s">
        <v>0</v>
      </c>
      <c r="Z2143">
        <v>3750</v>
      </c>
      <c r="AA2143">
        <v>9</v>
      </c>
      <c r="AB2143">
        <v>202</v>
      </c>
      <c r="AC2143">
        <v>0</v>
      </c>
      <c r="AD2143">
        <v>7421041110</v>
      </c>
      <c r="AE2143">
        <v>11658120.68</v>
      </c>
      <c r="AF2143">
        <v>7409382989.3199997</v>
      </c>
      <c r="AG2143">
        <v>7409382989.3199997</v>
      </c>
      <c r="AH2143">
        <v>0</v>
      </c>
      <c r="AI2143">
        <v>0</v>
      </c>
    </row>
    <row r="2144" spans="13:35" x14ac:dyDescent="0.35">
      <c r="M2144" t="s">
        <v>0</v>
      </c>
      <c r="N2144">
        <v>4500</v>
      </c>
      <c r="O2144">
        <v>9</v>
      </c>
      <c r="P2144">
        <v>742</v>
      </c>
      <c r="Q2144">
        <v>0</v>
      </c>
      <c r="R2144">
        <v>26017700511</v>
      </c>
      <c r="S2144">
        <v>35942218.630000003</v>
      </c>
      <c r="T2144">
        <v>25981758292.369999</v>
      </c>
      <c r="U2144">
        <v>25981758292.369999</v>
      </c>
      <c r="V2144">
        <v>0</v>
      </c>
      <c r="W2144">
        <v>0</v>
      </c>
      <c r="Y2144" t="s">
        <v>2</v>
      </c>
      <c r="Z2144">
        <v>4000</v>
      </c>
      <c r="AA2144">
        <v>9</v>
      </c>
      <c r="AB2144">
        <v>69</v>
      </c>
      <c r="AC2144">
        <v>0</v>
      </c>
      <c r="AD2144">
        <v>2024763712</v>
      </c>
      <c r="AE2144">
        <v>3052342.17</v>
      </c>
      <c r="AF2144">
        <v>2021711369.8299999</v>
      </c>
      <c r="AG2144">
        <v>2021711369.8299999</v>
      </c>
      <c r="AH2144">
        <v>0</v>
      </c>
      <c r="AI2144">
        <v>0</v>
      </c>
    </row>
    <row r="2145" spans="13:35" x14ac:dyDescent="0.35">
      <c r="M2145" t="s">
        <v>1</v>
      </c>
      <c r="N2145">
        <v>4500</v>
      </c>
      <c r="O2145">
        <v>9</v>
      </c>
      <c r="P2145">
        <v>320</v>
      </c>
      <c r="Q2145">
        <v>0</v>
      </c>
      <c r="R2145">
        <v>12134425264</v>
      </c>
      <c r="S2145">
        <v>16767183.390000001</v>
      </c>
      <c r="T2145">
        <v>12117658080.610001</v>
      </c>
      <c r="U2145">
        <v>12117658080.610001</v>
      </c>
      <c r="V2145">
        <v>0</v>
      </c>
      <c r="W2145">
        <v>0</v>
      </c>
      <c r="Y2145" t="s">
        <v>2</v>
      </c>
      <c r="Z2145">
        <v>4250</v>
      </c>
      <c r="AA2145">
        <v>9</v>
      </c>
      <c r="AB2145">
        <v>10</v>
      </c>
      <c r="AC2145">
        <v>0</v>
      </c>
      <c r="AD2145">
        <v>268302134</v>
      </c>
      <c r="AE2145">
        <v>388558.66</v>
      </c>
      <c r="AF2145">
        <v>267913575.34</v>
      </c>
      <c r="AG2145">
        <v>267913575.34</v>
      </c>
      <c r="AH2145">
        <v>0</v>
      </c>
      <c r="AI2145">
        <v>0</v>
      </c>
    </row>
    <row r="2146" spans="13:35" x14ac:dyDescent="0.35">
      <c r="M2146" t="s">
        <v>2</v>
      </c>
      <c r="N2146">
        <v>4500</v>
      </c>
      <c r="O2146">
        <v>9</v>
      </c>
      <c r="P2146">
        <v>19</v>
      </c>
      <c r="Q2146">
        <v>0</v>
      </c>
      <c r="R2146">
        <v>510525444</v>
      </c>
      <c r="S2146">
        <v>705343.41</v>
      </c>
      <c r="T2146">
        <v>509820100.58999997</v>
      </c>
      <c r="U2146">
        <v>509820100.58999997</v>
      </c>
      <c r="V2146">
        <v>0</v>
      </c>
      <c r="W2146">
        <v>0</v>
      </c>
      <c r="Y2146" t="s">
        <v>0</v>
      </c>
      <c r="Z2146">
        <v>4500</v>
      </c>
      <c r="AA2146">
        <v>9</v>
      </c>
      <c r="AB2146">
        <v>1068</v>
      </c>
      <c r="AC2146">
        <v>0</v>
      </c>
      <c r="AD2146">
        <v>36005345288</v>
      </c>
      <c r="AE2146">
        <v>49769854.149999999</v>
      </c>
      <c r="AF2146">
        <v>35955575433.849998</v>
      </c>
      <c r="AG2146">
        <v>35955575433.849998</v>
      </c>
      <c r="AH2146">
        <v>0</v>
      </c>
      <c r="AI2146">
        <v>0</v>
      </c>
    </row>
    <row r="2147" spans="13:35" x14ac:dyDescent="0.35">
      <c r="M2147" t="s">
        <v>3</v>
      </c>
      <c r="N2147">
        <v>5500</v>
      </c>
      <c r="O2147">
        <v>9</v>
      </c>
      <c r="P2147">
        <v>2</v>
      </c>
      <c r="Q2147">
        <v>0</v>
      </c>
      <c r="R2147">
        <v>41213357</v>
      </c>
      <c r="S2147">
        <v>48064.89</v>
      </c>
      <c r="T2147">
        <v>41165292.109999999</v>
      </c>
      <c r="U2147">
        <v>41165292.109999999</v>
      </c>
      <c r="V2147">
        <v>0</v>
      </c>
      <c r="W2147">
        <v>0</v>
      </c>
      <c r="Y2147" t="s">
        <v>1</v>
      </c>
      <c r="Z2147">
        <v>4500</v>
      </c>
      <c r="AA2147">
        <v>9</v>
      </c>
      <c r="AB2147">
        <v>368</v>
      </c>
      <c r="AC2147">
        <v>0</v>
      </c>
      <c r="AD2147">
        <v>13904126963</v>
      </c>
      <c r="AE2147">
        <v>19238327.760000002</v>
      </c>
      <c r="AF2147">
        <v>13884888635.24</v>
      </c>
      <c r="AG2147">
        <v>13884888635.24</v>
      </c>
      <c r="AH2147">
        <v>0</v>
      </c>
      <c r="AI2147">
        <v>0</v>
      </c>
    </row>
    <row r="2148" spans="13:35" x14ac:dyDescent="0.35">
      <c r="M2148" t="s">
        <v>3</v>
      </c>
      <c r="N2148">
        <v>5250</v>
      </c>
      <c r="O2148">
        <v>9</v>
      </c>
      <c r="P2148">
        <v>1</v>
      </c>
      <c r="Q2148">
        <v>0</v>
      </c>
      <c r="R2148">
        <v>35186196</v>
      </c>
      <c r="S2148">
        <v>42422.82</v>
      </c>
      <c r="T2148">
        <v>35143773.18</v>
      </c>
      <c r="U2148">
        <v>35143773.18</v>
      </c>
      <c r="V2148">
        <v>0</v>
      </c>
      <c r="W2148">
        <v>0</v>
      </c>
      <c r="Y2148" t="s">
        <v>2</v>
      </c>
      <c r="Z2148">
        <v>4500</v>
      </c>
      <c r="AA2148">
        <v>9</v>
      </c>
      <c r="AB2148">
        <v>29</v>
      </c>
      <c r="AC2148">
        <v>0</v>
      </c>
      <c r="AD2148">
        <v>809794023</v>
      </c>
      <c r="AE2148">
        <v>1118880.82</v>
      </c>
      <c r="AF2148">
        <v>808675142.17999995</v>
      </c>
      <c r="AG2148">
        <v>808675142.17999995</v>
      </c>
      <c r="AH2148">
        <v>0</v>
      </c>
      <c r="AI2148">
        <v>0</v>
      </c>
    </row>
    <row r="2149" spans="13:35" x14ac:dyDescent="0.35">
      <c r="M2149" t="s">
        <v>1</v>
      </c>
      <c r="N2149">
        <v>2500</v>
      </c>
      <c r="O2149">
        <v>8</v>
      </c>
      <c r="P2149">
        <v>12</v>
      </c>
      <c r="Q2149">
        <v>0</v>
      </c>
      <c r="R2149">
        <v>354739347</v>
      </c>
      <c r="S2149">
        <v>695561.24</v>
      </c>
      <c r="T2149">
        <v>354043785.75999999</v>
      </c>
      <c r="U2149">
        <v>354043785.75999999</v>
      </c>
      <c r="V2149">
        <v>0</v>
      </c>
      <c r="W2149">
        <v>0</v>
      </c>
      <c r="Y2149" t="s">
        <v>3</v>
      </c>
      <c r="Z2149">
        <v>5250</v>
      </c>
      <c r="AA2149">
        <v>9</v>
      </c>
      <c r="AB2149">
        <v>2</v>
      </c>
      <c r="AC2149">
        <v>0</v>
      </c>
      <c r="AD2149">
        <v>34805303</v>
      </c>
      <c r="AE2149">
        <v>41963.59</v>
      </c>
      <c r="AF2149">
        <v>34763339.409999996</v>
      </c>
      <c r="AG2149">
        <v>34763339.409999996</v>
      </c>
      <c r="AH2149">
        <v>0</v>
      </c>
      <c r="AI2149">
        <v>0</v>
      </c>
    </row>
    <row r="2150" spans="13:35" x14ac:dyDescent="0.35">
      <c r="M2150" t="s">
        <v>1</v>
      </c>
      <c r="N2150">
        <v>2750</v>
      </c>
      <c r="O2150">
        <v>9</v>
      </c>
      <c r="P2150">
        <v>1</v>
      </c>
      <c r="Q2150">
        <v>0</v>
      </c>
      <c r="R2150">
        <v>21934993</v>
      </c>
      <c r="S2150">
        <v>44739.51</v>
      </c>
      <c r="T2150">
        <v>21890253.489999998</v>
      </c>
      <c r="U2150">
        <v>21890253.489999998</v>
      </c>
      <c r="V2150">
        <v>0</v>
      </c>
      <c r="W2150">
        <v>0</v>
      </c>
      <c r="Y2150" t="s">
        <v>3</v>
      </c>
      <c r="Z2150">
        <v>5500</v>
      </c>
      <c r="AA2150">
        <v>9</v>
      </c>
      <c r="AB2150">
        <v>1</v>
      </c>
      <c r="AC2150">
        <v>0</v>
      </c>
      <c r="AD2150">
        <v>19469928</v>
      </c>
      <c r="AE2150">
        <v>22431.37</v>
      </c>
      <c r="AF2150">
        <v>19447496.629999999</v>
      </c>
      <c r="AG2150">
        <v>19447496.629999999</v>
      </c>
      <c r="AH2150">
        <v>0</v>
      </c>
      <c r="AI2150">
        <v>0</v>
      </c>
    </row>
    <row r="2151" spans="13:35" x14ac:dyDescent="0.35">
      <c r="M2151" t="s">
        <v>1</v>
      </c>
      <c r="N2151">
        <v>2750</v>
      </c>
      <c r="O2151">
        <v>10</v>
      </c>
      <c r="P2151">
        <v>2</v>
      </c>
      <c r="Q2151">
        <v>0</v>
      </c>
      <c r="R2151">
        <v>36600257</v>
      </c>
      <c r="S2151">
        <v>77029.39</v>
      </c>
      <c r="T2151">
        <v>36523227.609999999</v>
      </c>
      <c r="U2151">
        <v>36523227.609999999</v>
      </c>
      <c r="V2151">
        <v>0</v>
      </c>
      <c r="W2151">
        <v>0</v>
      </c>
      <c r="Y2151" t="s">
        <v>0</v>
      </c>
      <c r="Z2151">
        <v>2500</v>
      </c>
      <c r="AA2151">
        <v>10</v>
      </c>
      <c r="AB2151">
        <v>1</v>
      </c>
      <c r="AC2151">
        <v>0</v>
      </c>
      <c r="AD2151">
        <v>24612936</v>
      </c>
      <c r="AE2151">
        <v>47842.79</v>
      </c>
      <c r="AF2151">
        <v>24565093.210000001</v>
      </c>
      <c r="AG2151">
        <v>24565093.210000001</v>
      </c>
      <c r="AH2151">
        <v>0</v>
      </c>
      <c r="AI2151">
        <v>0</v>
      </c>
    </row>
    <row r="2152" spans="13:35" x14ac:dyDescent="0.35">
      <c r="M2152" t="s">
        <v>1</v>
      </c>
      <c r="N2152">
        <v>3000</v>
      </c>
      <c r="O2152">
        <v>9</v>
      </c>
      <c r="P2152">
        <v>2</v>
      </c>
      <c r="Q2152">
        <v>0</v>
      </c>
      <c r="R2152">
        <v>43046774</v>
      </c>
      <c r="S2152">
        <v>90331.5</v>
      </c>
      <c r="T2152">
        <v>42956442.5</v>
      </c>
      <c r="U2152">
        <v>42956442.5</v>
      </c>
      <c r="V2152">
        <v>0</v>
      </c>
      <c r="W2152">
        <v>0</v>
      </c>
      <c r="Y2152" t="s">
        <v>1</v>
      </c>
      <c r="Z2152">
        <v>2500</v>
      </c>
      <c r="AA2152">
        <v>8</v>
      </c>
      <c r="AB2152">
        <v>6</v>
      </c>
      <c r="AC2152">
        <v>0</v>
      </c>
      <c r="AD2152">
        <v>202261079</v>
      </c>
      <c r="AE2152">
        <v>390011.92</v>
      </c>
      <c r="AF2152">
        <v>201871067.08000001</v>
      </c>
      <c r="AG2152">
        <v>201871067.08000001</v>
      </c>
      <c r="AH2152">
        <v>0</v>
      </c>
      <c r="AI2152">
        <v>0</v>
      </c>
    </row>
    <row r="2153" spans="13:35" x14ac:dyDescent="0.35">
      <c r="M2153" t="s">
        <v>1</v>
      </c>
      <c r="N2153">
        <v>3500</v>
      </c>
      <c r="O2153">
        <v>8</v>
      </c>
      <c r="P2153">
        <v>10</v>
      </c>
      <c r="Q2153">
        <v>0</v>
      </c>
      <c r="R2153">
        <v>291581142</v>
      </c>
      <c r="S2153">
        <v>482348.53</v>
      </c>
      <c r="T2153">
        <v>291098793.47000003</v>
      </c>
      <c r="U2153">
        <v>291098793.47000003</v>
      </c>
      <c r="V2153">
        <v>0</v>
      </c>
      <c r="W2153">
        <v>0</v>
      </c>
      <c r="Y2153" t="s">
        <v>2</v>
      </c>
      <c r="Z2153">
        <v>3000</v>
      </c>
      <c r="AA2153">
        <v>10</v>
      </c>
      <c r="AB2153">
        <v>1</v>
      </c>
      <c r="AC2153">
        <v>0</v>
      </c>
      <c r="AD2153">
        <v>17406809</v>
      </c>
      <c r="AE2153">
        <v>31818.63</v>
      </c>
      <c r="AF2153">
        <v>17374990.370000001</v>
      </c>
      <c r="AG2153">
        <v>17374990.370000001</v>
      </c>
      <c r="AH2153">
        <v>0</v>
      </c>
      <c r="AI2153">
        <v>0</v>
      </c>
    </row>
    <row r="2154" spans="13:35" x14ac:dyDescent="0.35">
      <c r="M2154" t="s">
        <v>2</v>
      </c>
      <c r="N2154">
        <v>3250</v>
      </c>
      <c r="O2154">
        <v>8</v>
      </c>
      <c r="P2154">
        <v>3</v>
      </c>
      <c r="Q2154">
        <v>0</v>
      </c>
      <c r="R2154">
        <v>45937977</v>
      </c>
      <c r="S2154">
        <v>81893.37</v>
      </c>
      <c r="T2154">
        <v>45856083.630000003</v>
      </c>
      <c r="U2154">
        <v>45856083.630000003</v>
      </c>
      <c r="V2154">
        <v>0</v>
      </c>
      <c r="W2154">
        <v>0</v>
      </c>
      <c r="Y2154" t="s">
        <v>2</v>
      </c>
      <c r="Z2154">
        <v>3000</v>
      </c>
      <c r="AA2154">
        <v>9</v>
      </c>
      <c r="AB2154">
        <v>5</v>
      </c>
      <c r="AC2154">
        <v>0</v>
      </c>
      <c r="AD2154">
        <v>123565620</v>
      </c>
      <c r="AE2154">
        <v>230549.5</v>
      </c>
      <c r="AF2154">
        <v>123335070.5</v>
      </c>
      <c r="AG2154">
        <v>123335070.5</v>
      </c>
      <c r="AH2154">
        <v>0</v>
      </c>
      <c r="AI2154">
        <v>0</v>
      </c>
    </row>
    <row r="2155" spans="13:35" x14ac:dyDescent="0.35">
      <c r="M2155" t="s">
        <v>0</v>
      </c>
      <c r="N2155">
        <v>3500</v>
      </c>
      <c r="O2155">
        <v>8</v>
      </c>
      <c r="P2155">
        <v>15</v>
      </c>
      <c r="Q2155">
        <v>0</v>
      </c>
      <c r="R2155">
        <v>499113614</v>
      </c>
      <c r="S2155">
        <v>815758.41</v>
      </c>
      <c r="T2155">
        <v>498297855.58999997</v>
      </c>
      <c r="U2155">
        <v>498297855.58999997</v>
      </c>
      <c r="V2155">
        <v>0</v>
      </c>
      <c r="W2155">
        <v>0</v>
      </c>
      <c r="Y2155" t="s">
        <v>0</v>
      </c>
      <c r="Z2155">
        <v>3250</v>
      </c>
      <c r="AA2155">
        <v>9</v>
      </c>
      <c r="AB2155">
        <v>2</v>
      </c>
      <c r="AC2155">
        <v>0</v>
      </c>
      <c r="AD2155">
        <v>76115387</v>
      </c>
      <c r="AE2155">
        <v>131566.54999999999</v>
      </c>
      <c r="AF2155">
        <v>75983820.450000003</v>
      </c>
      <c r="AG2155">
        <v>75983820.450000003</v>
      </c>
      <c r="AH2155">
        <v>0</v>
      </c>
      <c r="AI2155">
        <v>0</v>
      </c>
    </row>
    <row r="2156" spans="13:35" x14ac:dyDescent="0.35">
      <c r="M2156" t="s">
        <v>0</v>
      </c>
      <c r="N2156">
        <v>3250</v>
      </c>
      <c r="O2156">
        <v>8</v>
      </c>
      <c r="P2156">
        <v>2</v>
      </c>
      <c r="Q2156">
        <v>0</v>
      </c>
      <c r="R2156">
        <v>74595603</v>
      </c>
      <c r="S2156">
        <v>126982.72</v>
      </c>
      <c r="T2156">
        <v>74468620.280000001</v>
      </c>
      <c r="U2156">
        <v>74468620.280000001</v>
      </c>
      <c r="V2156">
        <v>0</v>
      </c>
      <c r="W2156">
        <v>0</v>
      </c>
      <c r="Y2156" t="s">
        <v>1</v>
      </c>
      <c r="Z2156">
        <v>3500</v>
      </c>
      <c r="AA2156">
        <v>8</v>
      </c>
      <c r="AB2156">
        <v>9</v>
      </c>
      <c r="AC2156">
        <v>0</v>
      </c>
      <c r="AD2156">
        <v>340827297</v>
      </c>
      <c r="AE2156">
        <v>568881.54</v>
      </c>
      <c r="AF2156">
        <v>340258415.45999998</v>
      </c>
      <c r="AG2156">
        <v>340258415.45999998</v>
      </c>
      <c r="AH2156">
        <v>0</v>
      </c>
      <c r="AI2156">
        <v>0</v>
      </c>
    </row>
    <row r="2157" spans="13:35" x14ac:dyDescent="0.35">
      <c r="M2157" t="s">
        <v>2</v>
      </c>
      <c r="N2157">
        <v>3500</v>
      </c>
      <c r="O2157">
        <v>8</v>
      </c>
      <c r="P2157">
        <v>7</v>
      </c>
      <c r="Q2157">
        <v>0</v>
      </c>
      <c r="R2157">
        <v>207450166</v>
      </c>
      <c r="S2157">
        <v>339059.51</v>
      </c>
      <c r="T2157">
        <v>207111106.49000001</v>
      </c>
      <c r="U2157">
        <v>207111106.49000001</v>
      </c>
      <c r="V2157">
        <v>0</v>
      </c>
      <c r="W2157">
        <v>0</v>
      </c>
      <c r="Y2157" t="s">
        <v>2</v>
      </c>
      <c r="Z2157">
        <v>3500</v>
      </c>
      <c r="AA2157">
        <v>9</v>
      </c>
      <c r="AB2157">
        <v>9</v>
      </c>
      <c r="AC2157">
        <v>0</v>
      </c>
      <c r="AD2157">
        <v>226341500</v>
      </c>
      <c r="AE2157">
        <v>372585.36</v>
      </c>
      <c r="AF2157">
        <v>225968914.63999999</v>
      </c>
      <c r="AG2157">
        <v>225968914.63999999</v>
      </c>
      <c r="AH2157">
        <v>0</v>
      </c>
      <c r="AI2157">
        <v>0</v>
      </c>
    </row>
    <row r="2158" spans="13:35" x14ac:dyDescent="0.35">
      <c r="M2158" t="s">
        <v>2</v>
      </c>
      <c r="N2158">
        <v>3750</v>
      </c>
      <c r="O2158">
        <v>8</v>
      </c>
      <c r="P2158">
        <v>9</v>
      </c>
      <c r="Q2158">
        <v>0</v>
      </c>
      <c r="R2158">
        <v>220374786</v>
      </c>
      <c r="S2158">
        <v>346146.18</v>
      </c>
      <c r="T2158">
        <v>220028639.81999999</v>
      </c>
      <c r="U2158">
        <v>220028639.81999999</v>
      </c>
      <c r="V2158">
        <v>0</v>
      </c>
      <c r="W2158">
        <v>0</v>
      </c>
      <c r="Y2158" t="s">
        <v>0</v>
      </c>
      <c r="Z2158">
        <v>3500</v>
      </c>
      <c r="AA2158">
        <v>9</v>
      </c>
      <c r="AB2158">
        <v>21</v>
      </c>
      <c r="AC2158">
        <v>0</v>
      </c>
      <c r="AD2158">
        <v>671932226</v>
      </c>
      <c r="AE2158">
        <v>1103212.7</v>
      </c>
      <c r="AF2158">
        <v>670829013.29999995</v>
      </c>
      <c r="AG2158">
        <v>670829013.29999995</v>
      </c>
      <c r="AH2158">
        <v>0</v>
      </c>
      <c r="AI2158">
        <v>0</v>
      </c>
    </row>
    <row r="2159" spans="13:35" x14ac:dyDescent="0.35">
      <c r="M2159" t="s">
        <v>0</v>
      </c>
      <c r="N2159">
        <v>3750</v>
      </c>
      <c r="O2159">
        <v>8</v>
      </c>
      <c r="P2159">
        <v>119</v>
      </c>
      <c r="Q2159">
        <v>0</v>
      </c>
      <c r="R2159">
        <v>3995144396</v>
      </c>
      <c r="S2159">
        <v>6247525.7000000002</v>
      </c>
      <c r="T2159">
        <v>3988896870.3000002</v>
      </c>
      <c r="U2159">
        <v>3988896870.3000002</v>
      </c>
      <c r="V2159">
        <v>0</v>
      </c>
      <c r="W2159">
        <v>0</v>
      </c>
      <c r="Y2159" t="s">
        <v>0</v>
      </c>
      <c r="Z2159">
        <v>3750</v>
      </c>
      <c r="AA2159">
        <v>8</v>
      </c>
      <c r="AB2159">
        <v>80</v>
      </c>
      <c r="AC2159">
        <v>0</v>
      </c>
      <c r="AD2159">
        <v>2617688292</v>
      </c>
      <c r="AE2159">
        <v>4092923.77</v>
      </c>
      <c r="AF2159">
        <v>2613595368.23</v>
      </c>
      <c r="AG2159">
        <v>2613595368.23</v>
      </c>
      <c r="AH2159">
        <v>0</v>
      </c>
      <c r="AI2159">
        <v>0</v>
      </c>
    </row>
    <row r="2160" spans="13:35" x14ac:dyDescent="0.35">
      <c r="M2160" t="s">
        <v>1</v>
      </c>
      <c r="N2160">
        <v>4000</v>
      </c>
      <c r="O2160">
        <v>8</v>
      </c>
      <c r="P2160">
        <v>441</v>
      </c>
      <c r="Q2160">
        <v>0</v>
      </c>
      <c r="R2160">
        <v>16056522144</v>
      </c>
      <c r="S2160">
        <v>24112923.420000002</v>
      </c>
      <c r="T2160">
        <v>16032409220.58</v>
      </c>
      <c r="U2160">
        <v>16032409220.58</v>
      </c>
      <c r="V2160">
        <v>0</v>
      </c>
      <c r="W2160">
        <v>0</v>
      </c>
      <c r="Y2160" t="s">
        <v>2</v>
      </c>
      <c r="Z2160">
        <v>3750</v>
      </c>
      <c r="AA2160">
        <v>9</v>
      </c>
      <c r="AB2160">
        <v>8</v>
      </c>
      <c r="AC2160">
        <v>0</v>
      </c>
      <c r="AD2160">
        <v>207100651</v>
      </c>
      <c r="AE2160">
        <v>328849.39</v>
      </c>
      <c r="AF2160">
        <v>206771801.61000001</v>
      </c>
      <c r="AG2160">
        <v>206771801.61000001</v>
      </c>
      <c r="AH2160">
        <v>0</v>
      </c>
      <c r="AI2160">
        <v>0</v>
      </c>
    </row>
    <row r="2161" spans="13:35" x14ac:dyDescent="0.35">
      <c r="M2161" t="s">
        <v>1</v>
      </c>
      <c r="N2161">
        <v>3750</v>
      </c>
      <c r="O2161">
        <v>8</v>
      </c>
      <c r="P2161">
        <v>44</v>
      </c>
      <c r="Q2161">
        <v>0</v>
      </c>
      <c r="R2161">
        <v>1494692586</v>
      </c>
      <c r="S2161">
        <v>2338153.9</v>
      </c>
      <c r="T2161">
        <v>1492354432.0999999</v>
      </c>
      <c r="U2161">
        <v>1492354432.0999999</v>
      </c>
      <c r="V2161">
        <v>0</v>
      </c>
      <c r="W2161">
        <v>0</v>
      </c>
      <c r="Y2161" t="s">
        <v>0</v>
      </c>
      <c r="Z2161">
        <v>3500</v>
      </c>
      <c r="AA2161">
        <v>8</v>
      </c>
      <c r="AB2161">
        <v>12</v>
      </c>
      <c r="AC2161">
        <v>0</v>
      </c>
      <c r="AD2161">
        <v>420069306</v>
      </c>
      <c r="AE2161">
        <v>687714.97</v>
      </c>
      <c r="AF2161">
        <v>419381591.02999997</v>
      </c>
      <c r="AG2161">
        <v>419381591.02999997</v>
      </c>
      <c r="AH2161">
        <v>0</v>
      </c>
      <c r="AI2161">
        <v>0</v>
      </c>
    </row>
    <row r="2162" spans="13:35" x14ac:dyDescent="0.35">
      <c r="M2162" t="s">
        <v>1</v>
      </c>
      <c r="N2162">
        <v>4250</v>
      </c>
      <c r="O2162">
        <v>8</v>
      </c>
      <c r="P2162">
        <v>127</v>
      </c>
      <c r="Q2162">
        <v>0</v>
      </c>
      <c r="R2162">
        <v>4794175699</v>
      </c>
      <c r="S2162">
        <v>6887956.5700000003</v>
      </c>
      <c r="T2162">
        <v>4753241279.5500002</v>
      </c>
      <c r="U2162">
        <v>4787287742.4300003</v>
      </c>
      <c r="V2162">
        <v>8.1969E-2</v>
      </c>
      <c r="W2162">
        <v>0</v>
      </c>
      <c r="Y2162" t="s">
        <v>1</v>
      </c>
      <c r="Z2162">
        <v>3750</v>
      </c>
      <c r="AA2162">
        <v>8</v>
      </c>
      <c r="AB2162">
        <v>28</v>
      </c>
      <c r="AC2162">
        <v>0</v>
      </c>
      <c r="AD2162">
        <v>1062534061</v>
      </c>
      <c r="AE2162">
        <v>1661025.23</v>
      </c>
      <c r="AF2162">
        <v>1060873035.77</v>
      </c>
      <c r="AG2162">
        <v>1060873035.77</v>
      </c>
      <c r="AH2162">
        <v>0</v>
      </c>
      <c r="AI2162">
        <v>0</v>
      </c>
    </row>
    <row r="2163" spans="13:35" x14ac:dyDescent="0.35">
      <c r="M2163" t="s">
        <v>0</v>
      </c>
      <c r="N2163">
        <v>4250</v>
      </c>
      <c r="O2163">
        <v>8</v>
      </c>
      <c r="P2163">
        <v>296</v>
      </c>
      <c r="Q2163">
        <v>0</v>
      </c>
      <c r="R2163">
        <v>9326403697</v>
      </c>
      <c r="S2163">
        <v>13410568.42</v>
      </c>
      <c r="T2163">
        <v>9312993128.5799999</v>
      </c>
      <c r="U2163">
        <v>9312993128.5799999</v>
      </c>
      <c r="V2163">
        <v>0</v>
      </c>
      <c r="W2163">
        <v>0</v>
      </c>
      <c r="Y2163" t="s">
        <v>2</v>
      </c>
      <c r="Z2163">
        <v>3750</v>
      </c>
      <c r="AA2163">
        <v>8</v>
      </c>
      <c r="AB2163">
        <v>7</v>
      </c>
      <c r="AC2163">
        <v>0</v>
      </c>
      <c r="AD2163">
        <v>203805835</v>
      </c>
      <c r="AE2163">
        <v>321282.09999999998</v>
      </c>
      <c r="AF2163">
        <v>203484552.90000001</v>
      </c>
      <c r="AG2163">
        <v>203484552.90000001</v>
      </c>
      <c r="AH2163">
        <v>0</v>
      </c>
      <c r="AI2163">
        <v>0</v>
      </c>
    </row>
    <row r="2164" spans="13:35" x14ac:dyDescent="0.35">
      <c r="M2164" t="s">
        <v>2</v>
      </c>
      <c r="N2164">
        <v>4000</v>
      </c>
      <c r="O2164">
        <v>8</v>
      </c>
      <c r="P2164">
        <v>61</v>
      </c>
      <c r="Q2164">
        <v>0</v>
      </c>
      <c r="R2164">
        <v>1793594668</v>
      </c>
      <c r="S2164">
        <v>2689951.33</v>
      </c>
      <c r="T2164">
        <v>1790904716.6700001</v>
      </c>
      <c r="U2164">
        <v>1790904716.6700001</v>
      </c>
      <c r="V2164">
        <v>0</v>
      </c>
      <c r="W2164">
        <v>0</v>
      </c>
      <c r="Y2164" t="s">
        <v>2</v>
      </c>
      <c r="Z2164">
        <v>3250</v>
      </c>
      <c r="AA2164">
        <v>9</v>
      </c>
      <c r="AB2164">
        <v>2</v>
      </c>
      <c r="AC2164">
        <v>0</v>
      </c>
      <c r="AD2164">
        <v>27805578</v>
      </c>
      <c r="AE2164">
        <v>47542.04</v>
      </c>
      <c r="AF2164">
        <v>27758035.960000001</v>
      </c>
      <c r="AG2164">
        <v>27758035.960000001</v>
      </c>
      <c r="AH2164">
        <v>0</v>
      </c>
      <c r="AI2164">
        <v>0</v>
      </c>
    </row>
    <row r="2165" spans="13:35" x14ac:dyDescent="0.35">
      <c r="M2165" t="s">
        <v>2</v>
      </c>
      <c r="N2165">
        <v>4250</v>
      </c>
      <c r="O2165">
        <v>8</v>
      </c>
      <c r="P2165">
        <v>15</v>
      </c>
      <c r="Q2165">
        <v>0</v>
      </c>
      <c r="R2165">
        <v>396083869</v>
      </c>
      <c r="S2165">
        <v>571010.14</v>
      </c>
      <c r="T2165">
        <v>395512858.86000001</v>
      </c>
      <c r="U2165">
        <v>395512858.86000001</v>
      </c>
      <c r="V2165">
        <v>0</v>
      </c>
      <c r="W2165">
        <v>0</v>
      </c>
      <c r="Y2165" t="s">
        <v>1</v>
      </c>
      <c r="Z2165">
        <v>3250</v>
      </c>
      <c r="AA2165">
        <v>8</v>
      </c>
      <c r="AB2165">
        <v>4</v>
      </c>
      <c r="AC2165">
        <v>0</v>
      </c>
      <c r="AD2165">
        <v>154642211</v>
      </c>
      <c r="AE2165">
        <v>263244.58</v>
      </c>
      <c r="AF2165">
        <v>154378966.41999999</v>
      </c>
      <c r="AG2165">
        <v>154378966.41999999</v>
      </c>
      <c r="AH2165">
        <v>0</v>
      </c>
      <c r="AI2165">
        <v>0</v>
      </c>
    </row>
    <row r="2166" spans="13:35" x14ac:dyDescent="0.35">
      <c r="M2166" t="s">
        <v>0</v>
      </c>
      <c r="N2166">
        <v>4500</v>
      </c>
      <c r="O2166">
        <v>8</v>
      </c>
      <c r="P2166">
        <v>558</v>
      </c>
      <c r="Q2166">
        <v>0</v>
      </c>
      <c r="R2166">
        <v>18886522241</v>
      </c>
      <c r="S2166">
        <v>25995941.890000001</v>
      </c>
      <c r="T2166">
        <v>18860526299.110001</v>
      </c>
      <c r="U2166">
        <v>18860526299.110001</v>
      </c>
      <c r="V2166">
        <v>0</v>
      </c>
      <c r="W2166">
        <v>0</v>
      </c>
      <c r="Y2166" t="s">
        <v>0</v>
      </c>
      <c r="Z2166">
        <v>3250</v>
      </c>
      <c r="AA2166">
        <v>8</v>
      </c>
      <c r="AB2166">
        <v>2</v>
      </c>
      <c r="AC2166">
        <v>0</v>
      </c>
      <c r="AD2166">
        <v>56578907</v>
      </c>
      <c r="AE2166">
        <v>96313.23</v>
      </c>
      <c r="AF2166">
        <v>56482593.770000003</v>
      </c>
      <c r="AG2166">
        <v>56482593.770000003</v>
      </c>
      <c r="AH2166">
        <v>0</v>
      </c>
      <c r="AI2166">
        <v>0</v>
      </c>
    </row>
    <row r="2167" spans="13:35" x14ac:dyDescent="0.35">
      <c r="M2167" t="s">
        <v>2</v>
      </c>
      <c r="N2167">
        <v>4500</v>
      </c>
      <c r="O2167">
        <v>8</v>
      </c>
      <c r="P2167">
        <v>24</v>
      </c>
      <c r="Q2167">
        <v>0</v>
      </c>
      <c r="R2167">
        <v>701951905</v>
      </c>
      <c r="S2167">
        <v>965531.7</v>
      </c>
      <c r="T2167">
        <v>700986373.29999995</v>
      </c>
      <c r="U2167">
        <v>700986373.29999995</v>
      </c>
      <c r="V2167">
        <v>0</v>
      </c>
      <c r="W2167">
        <v>0</v>
      </c>
      <c r="Y2167" t="s">
        <v>2</v>
      </c>
      <c r="Z2167">
        <v>4000</v>
      </c>
      <c r="AA2167">
        <v>8</v>
      </c>
      <c r="AB2167">
        <v>56</v>
      </c>
      <c r="AC2167">
        <v>0</v>
      </c>
      <c r="AD2167">
        <v>1656237419</v>
      </c>
      <c r="AE2167">
        <v>2484989.54</v>
      </c>
      <c r="AF2167">
        <v>1653752429.46</v>
      </c>
      <c r="AG2167">
        <v>1653752429.46</v>
      </c>
      <c r="AH2167">
        <v>0</v>
      </c>
      <c r="AI2167">
        <v>0</v>
      </c>
    </row>
    <row r="2168" spans="13:35" x14ac:dyDescent="0.35">
      <c r="M2168" t="s">
        <v>3</v>
      </c>
      <c r="N2168">
        <v>5250</v>
      </c>
      <c r="O2168">
        <v>8</v>
      </c>
      <c r="P2168">
        <v>2</v>
      </c>
      <c r="Q2168">
        <v>0</v>
      </c>
      <c r="R2168">
        <v>64346213</v>
      </c>
      <c r="S2168">
        <v>77149.539999999994</v>
      </c>
      <c r="T2168">
        <v>64269063.460000001</v>
      </c>
      <c r="U2168">
        <v>64269063.460000001</v>
      </c>
      <c r="V2168">
        <v>0</v>
      </c>
      <c r="W2168">
        <v>0</v>
      </c>
      <c r="Y2168" t="s">
        <v>2</v>
      </c>
      <c r="Z2168">
        <v>4250</v>
      </c>
      <c r="AA2168">
        <v>8</v>
      </c>
      <c r="AB2168">
        <v>14</v>
      </c>
      <c r="AC2168">
        <v>0</v>
      </c>
      <c r="AD2168">
        <v>416280104</v>
      </c>
      <c r="AE2168">
        <v>598520.26</v>
      </c>
      <c r="AF2168">
        <v>415681583.74000001</v>
      </c>
      <c r="AG2168">
        <v>415681583.74000001</v>
      </c>
      <c r="AH2168">
        <v>0</v>
      </c>
      <c r="AI2168">
        <v>0</v>
      </c>
    </row>
    <row r="2169" spans="13:35" x14ac:dyDescent="0.35">
      <c r="M2169" t="s">
        <v>3</v>
      </c>
      <c r="N2169">
        <v>7500</v>
      </c>
      <c r="O2169">
        <v>8</v>
      </c>
      <c r="P2169">
        <v>1</v>
      </c>
      <c r="Q2169">
        <v>0</v>
      </c>
      <c r="R2169">
        <v>5887650</v>
      </c>
      <c r="S2169">
        <v>4620.8500000000004</v>
      </c>
      <c r="T2169">
        <v>5883029.1500000004</v>
      </c>
      <c r="U2169">
        <v>5883029.1500000004</v>
      </c>
      <c r="V2169">
        <v>0</v>
      </c>
      <c r="W2169">
        <v>0</v>
      </c>
      <c r="Y2169" t="s">
        <v>0</v>
      </c>
      <c r="Z2169">
        <v>4500</v>
      </c>
      <c r="AA2169">
        <v>8</v>
      </c>
      <c r="AB2169">
        <v>742</v>
      </c>
      <c r="AC2169">
        <v>0</v>
      </c>
      <c r="AD2169">
        <v>26058352258</v>
      </c>
      <c r="AE2169">
        <v>35814942.200000003</v>
      </c>
      <c r="AF2169">
        <v>26022537315.799999</v>
      </c>
      <c r="AG2169">
        <v>26022537315.799999</v>
      </c>
      <c r="AH2169">
        <v>0</v>
      </c>
      <c r="AI2169">
        <v>0</v>
      </c>
    </row>
    <row r="2170" spans="13:35" x14ac:dyDescent="0.35">
      <c r="M2170" t="s">
        <v>1</v>
      </c>
      <c r="N2170">
        <v>8000</v>
      </c>
      <c r="O2170">
        <v>8</v>
      </c>
      <c r="P2170">
        <v>2</v>
      </c>
      <c r="Q2170">
        <v>0</v>
      </c>
      <c r="R2170">
        <v>42195762</v>
      </c>
      <c r="S2170">
        <v>30041.33</v>
      </c>
      <c r="T2170">
        <v>42165720.670000002</v>
      </c>
      <c r="U2170">
        <v>42165720.670000002</v>
      </c>
      <c r="V2170">
        <v>0</v>
      </c>
      <c r="W2170">
        <v>0</v>
      </c>
      <c r="Y2170" t="s">
        <v>1</v>
      </c>
      <c r="Z2170">
        <v>4500</v>
      </c>
      <c r="AA2170">
        <v>8</v>
      </c>
      <c r="AB2170">
        <v>321</v>
      </c>
      <c r="AC2170">
        <v>0</v>
      </c>
      <c r="AD2170">
        <v>12174764903</v>
      </c>
      <c r="AE2170">
        <v>16737145.41</v>
      </c>
      <c r="AF2170">
        <v>12136369029.790001</v>
      </c>
      <c r="AG2170">
        <v>12158027757.59</v>
      </c>
      <c r="AH2170">
        <v>2.1139999999999999E-2</v>
      </c>
      <c r="AI2170">
        <v>0</v>
      </c>
    </row>
    <row r="2171" spans="13:35" x14ac:dyDescent="0.35">
      <c r="M2171" t="s">
        <v>1</v>
      </c>
      <c r="N2171">
        <v>2000</v>
      </c>
      <c r="O2171">
        <v>12</v>
      </c>
      <c r="P2171">
        <v>1</v>
      </c>
      <c r="Q2171">
        <v>0</v>
      </c>
      <c r="R2171">
        <v>35530050</v>
      </c>
      <c r="S2171">
        <v>75253.039999999994</v>
      </c>
      <c r="T2171">
        <v>35454796.960000001</v>
      </c>
      <c r="U2171">
        <v>35454796.960000001</v>
      </c>
      <c r="V2171">
        <v>0</v>
      </c>
      <c r="W2171">
        <v>0</v>
      </c>
      <c r="Y2171" t="s">
        <v>2</v>
      </c>
      <c r="Z2171">
        <v>4500</v>
      </c>
      <c r="AA2171">
        <v>8</v>
      </c>
      <c r="AB2171">
        <v>19</v>
      </c>
      <c r="AC2171">
        <v>0</v>
      </c>
      <c r="AD2171">
        <v>511230715</v>
      </c>
      <c r="AE2171">
        <v>702719.16</v>
      </c>
      <c r="AF2171">
        <v>510527995.83999997</v>
      </c>
      <c r="AG2171">
        <v>510527995.83999997</v>
      </c>
      <c r="AH2171">
        <v>0</v>
      </c>
      <c r="AI2171">
        <v>0</v>
      </c>
    </row>
    <row r="2172" spans="13:35" x14ac:dyDescent="0.35">
      <c r="M2172" t="s">
        <v>1</v>
      </c>
      <c r="N2172">
        <v>2500</v>
      </c>
      <c r="O2172">
        <v>7</v>
      </c>
      <c r="P2172">
        <v>3</v>
      </c>
      <c r="Q2172">
        <v>0</v>
      </c>
      <c r="R2172">
        <v>159520287</v>
      </c>
      <c r="S2172">
        <v>306367.53999999998</v>
      </c>
      <c r="T2172">
        <v>159213919.46000001</v>
      </c>
      <c r="U2172">
        <v>159213919.46000001</v>
      </c>
      <c r="V2172">
        <v>0</v>
      </c>
      <c r="W2172">
        <v>0</v>
      </c>
      <c r="Y2172" t="s">
        <v>3</v>
      </c>
      <c r="Z2172">
        <v>5500</v>
      </c>
      <c r="AA2172">
        <v>8</v>
      </c>
      <c r="AB2172">
        <v>2</v>
      </c>
      <c r="AC2172">
        <v>0</v>
      </c>
      <c r="AD2172">
        <v>41239278</v>
      </c>
      <c r="AE2172">
        <v>47823.16</v>
      </c>
      <c r="AF2172">
        <v>41191454.840000004</v>
      </c>
      <c r="AG2172">
        <v>41191454.840000004</v>
      </c>
      <c r="AH2172">
        <v>0</v>
      </c>
      <c r="AI2172">
        <v>0</v>
      </c>
    </row>
    <row r="2173" spans="13:35" x14ac:dyDescent="0.35">
      <c r="M2173" t="s">
        <v>1</v>
      </c>
      <c r="N2173">
        <v>2750</v>
      </c>
      <c r="O2173">
        <v>7</v>
      </c>
      <c r="P2173">
        <v>1</v>
      </c>
      <c r="Q2173">
        <v>0</v>
      </c>
      <c r="R2173">
        <v>20371509</v>
      </c>
      <c r="S2173">
        <v>42837.53</v>
      </c>
      <c r="T2173">
        <v>20328671.469999999</v>
      </c>
      <c r="U2173">
        <v>20328671.469999999</v>
      </c>
      <c r="V2173">
        <v>0</v>
      </c>
      <c r="W2173">
        <v>0</v>
      </c>
      <c r="Y2173" t="s">
        <v>3</v>
      </c>
      <c r="Z2173">
        <v>5250</v>
      </c>
      <c r="AA2173">
        <v>8</v>
      </c>
      <c r="AB2173">
        <v>1</v>
      </c>
      <c r="AC2173">
        <v>0</v>
      </c>
      <c r="AD2173">
        <v>35280761</v>
      </c>
      <c r="AE2173">
        <v>42300.77</v>
      </c>
      <c r="AF2173">
        <v>35238460.229999997</v>
      </c>
      <c r="AG2173">
        <v>35238460.229999997</v>
      </c>
      <c r="AH2173">
        <v>0</v>
      </c>
      <c r="AI2173">
        <v>0</v>
      </c>
    </row>
    <row r="2174" spans="13:35" x14ac:dyDescent="0.35">
      <c r="M2174" t="s">
        <v>2</v>
      </c>
      <c r="N2174">
        <v>2750</v>
      </c>
      <c r="O2174">
        <v>8</v>
      </c>
      <c r="P2174">
        <v>2</v>
      </c>
      <c r="Q2174">
        <v>0</v>
      </c>
      <c r="R2174">
        <v>31766974</v>
      </c>
      <c r="S2174">
        <v>62799.79</v>
      </c>
      <c r="T2174">
        <v>31704174.210000001</v>
      </c>
      <c r="U2174">
        <v>31704174.210000001</v>
      </c>
      <c r="V2174">
        <v>0</v>
      </c>
      <c r="W2174">
        <v>0</v>
      </c>
      <c r="Y2174" t="s">
        <v>1</v>
      </c>
      <c r="Z2174">
        <v>2500</v>
      </c>
      <c r="AA2174">
        <v>7</v>
      </c>
      <c r="AB2174">
        <v>12</v>
      </c>
      <c r="AC2174">
        <v>0</v>
      </c>
      <c r="AD2174">
        <v>355300047</v>
      </c>
      <c r="AE2174">
        <v>693861.66</v>
      </c>
      <c r="AF2174">
        <v>354606185.33999997</v>
      </c>
      <c r="AG2174">
        <v>354606185.33999997</v>
      </c>
      <c r="AH2174">
        <v>0</v>
      </c>
      <c r="AI2174">
        <v>0</v>
      </c>
    </row>
    <row r="2175" spans="13:35" x14ac:dyDescent="0.35">
      <c r="M2175" t="s">
        <v>1</v>
      </c>
      <c r="N2175">
        <v>3000</v>
      </c>
      <c r="O2175">
        <v>8</v>
      </c>
      <c r="P2175">
        <v>1</v>
      </c>
      <c r="Q2175">
        <v>0</v>
      </c>
      <c r="R2175">
        <v>36712360</v>
      </c>
      <c r="S2175">
        <v>66545.23</v>
      </c>
      <c r="T2175">
        <v>36645814.770000003</v>
      </c>
      <c r="U2175">
        <v>36645814.770000003</v>
      </c>
      <c r="V2175">
        <v>0</v>
      </c>
      <c r="W2175">
        <v>0</v>
      </c>
      <c r="Y2175" t="s">
        <v>1</v>
      </c>
      <c r="Z2175">
        <v>2750</v>
      </c>
      <c r="AA2175">
        <v>8</v>
      </c>
      <c r="AB2175">
        <v>1</v>
      </c>
      <c r="AC2175">
        <v>0</v>
      </c>
      <c r="AD2175">
        <v>21934993</v>
      </c>
      <c r="AE2175">
        <v>44546.559999999998</v>
      </c>
      <c r="AF2175">
        <v>21890446.440000001</v>
      </c>
      <c r="AG2175">
        <v>21890446.440000001</v>
      </c>
      <c r="AH2175">
        <v>0</v>
      </c>
      <c r="AI2175">
        <v>0</v>
      </c>
    </row>
    <row r="2176" spans="13:35" x14ac:dyDescent="0.35">
      <c r="M2176" t="s">
        <v>1</v>
      </c>
      <c r="N2176">
        <v>2750</v>
      </c>
      <c r="O2176">
        <v>8</v>
      </c>
      <c r="P2176">
        <v>1</v>
      </c>
      <c r="Q2176">
        <v>0</v>
      </c>
      <c r="R2176">
        <v>27407438</v>
      </c>
      <c r="S2176">
        <v>58658</v>
      </c>
      <c r="T2176">
        <v>27348780</v>
      </c>
      <c r="U2176">
        <v>27348780</v>
      </c>
      <c r="V2176">
        <v>0</v>
      </c>
      <c r="W2176">
        <v>0</v>
      </c>
      <c r="Y2176" t="s">
        <v>1</v>
      </c>
      <c r="Z2176">
        <v>2750</v>
      </c>
      <c r="AA2176">
        <v>9</v>
      </c>
      <c r="AB2176">
        <v>2</v>
      </c>
      <c r="AC2176">
        <v>0</v>
      </c>
      <c r="AD2176">
        <v>36889526</v>
      </c>
      <c r="AE2176">
        <v>77311.42</v>
      </c>
      <c r="AF2176">
        <v>36812214.579999998</v>
      </c>
      <c r="AG2176">
        <v>36812214.579999998</v>
      </c>
      <c r="AH2176">
        <v>0</v>
      </c>
      <c r="AI2176">
        <v>0</v>
      </c>
    </row>
    <row r="2177" spans="13:35" x14ac:dyDescent="0.35">
      <c r="M2177" t="s">
        <v>1</v>
      </c>
      <c r="N2177">
        <v>3250</v>
      </c>
      <c r="O2177">
        <v>8</v>
      </c>
      <c r="P2177">
        <v>3</v>
      </c>
      <c r="Q2177">
        <v>0</v>
      </c>
      <c r="R2177">
        <v>124461634</v>
      </c>
      <c r="S2177">
        <v>211868.74</v>
      </c>
      <c r="T2177">
        <v>124249765.26000001</v>
      </c>
      <c r="U2177">
        <v>124249765.26000001</v>
      </c>
      <c r="V2177">
        <v>0</v>
      </c>
      <c r="W2177">
        <v>0</v>
      </c>
      <c r="Y2177" t="s">
        <v>1</v>
      </c>
      <c r="Z2177">
        <v>3000</v>
      </c>
      <c r="AA2177">
        <v>8</v>
      </c>
      <c r="AB2177">
        <v>2</v>
      </c>
      <c r="AC2177">
        <v>0</v>
      </c>
      <c r="AD2177">
        <v>43133636</v>
      </c>
      <c r="AE2177">
        <v>90107.3</v>
      </c>
      <c r="AF2177">
        <v>43043528.700000003</v>
      </c>
      <c r="AG2177">
        <v>43043528.700000003</v>
      </c>
      <c r="AH2177">
        <v>0</v>
      </c>
      <c r="AI2177">
        <v>0</v>
      </c>
    </row>
    <row r="2178" spans="13:35" x14ac:dyDescent="0.35">
      <c r="M2178" t="s">
        <v>2</v>
      </c>
      <c r="N2178">
        <v>3500</v>
      </c>
      <c r="O2178">
        <v>7</v>
      </c>
      <c r="P2178">
        <v>4</v>
      </c>
      <c r="Q2178">
        <v>0</v>
      </c>
      <c r="R2178">
        <v>117874344</v>
      </c>
      <c r="S2178">
        <v>192781.55</v>
      </c>
      <c r="T2178">
        <v>117681562.45</v>
      </c>
      <c r="U2178">
        <v>117681562.45</v>
      </c>
      <c r="V2178">
        <v>0</v>
      </c>
      <c r="W2178">
        <v>0</v>
      </c>
      <c r="Y2178" t="s">
        <v>1</v>
      </c>
      <c r="Z2178">
        <v>3500</v>
      </c>
      <c r="AA2178">
        <v>7</v>
      </c>
      <c r="AB2178">
        <v>10</v>
      </c>
      <c r="AC2178">
        <v>0</v>
      </c>
      <c r="AD2178">
        <v>291941991</v>
      </c>
      <c r="AE2178">
        <v>480762.17</v>
      </c>
      <c r="AF2178">
        <v>291461228.82999998</v>
      </c>
      <c r="AG2178">
        <v>291461228.82999998</v>
      </c>
      <c r="AH2178">
        <v>0</v>
      </c>
      <c r="AI2178">
        <v>0</v>
      </c>
    </row>
    <row r="2179" spans="13:35" x14ac:dyDescent="0.35">
      <c r="M2179" t="s">
        <v>1</v>
      </c>
      <c r="N2179">
        <v>3750</v>
      </c>
      <c r="O2179">
        <v>7</v>
      </c>
      <c r="P2179">
        <v>72</v>
      </c>
      <c r="Q2179">
        <v>0</v>
      </c>
      <c r="R2179">
        <v>2831653244</v>
      </c>
      <c r="S2179">
        <v>4418349.16</v>
      </c>
      <c r="T2179">
        <v>2762787755.1100001</v>
      </c>
      <c r="U2179">
        <v>2785804214.3200002</v>
      </c>
      <c r="V2179">
        <v>0.241392</v>
      </c>
      <c r="W2179">
        <v>0.16211300000000001</v>
      </c>
      <c r="Y2179" t="s">
        <v>2</v>
      </c>
      <c r="Z2179">
        <v>3250</v>
      </c>
      <c r="AA2179">
        <v>7</v>
      </c>
      <c r="AB2179">
        <v>3</v>
      </c>
      <c r="AC2179">
        <v>0</v>
      </c>
      <c r="AD2179">
        <v>46166421</v>
      </c>
      <c r="AE2179">
        <v>81923.759999999995</v>
      </c>
      <c r="AF2179">
        <v>46084497.240000002</v>
      </c>
      <c r="AG2179">
        <v>46084497.240000002</v>
      </c>
      <c r="AH2179">
        <v>0</v>
      </c>
      <c r="AI2179">
        <v>0</v>
      </c>
    </row>
    <row r="2180" spans="13:35" x14ac:dyDescent="0.35">
      <c r="M2180" t="s">
        <v>0</v>
      </c>
      <c r="N2180">
        <v>3750</v>
      </c>
      <c r="O2180">
        <v>7</v>
      </c>
      <c r="P2180">
        <v>154</v>
      </c>
      <c r="Q2180">
        <v>0</v>
      </c>
      <c r="R2180">
        <v>5664059006</v>
      </c>
      <c r="S2180">
        <v>8816942.8800000008</v>
      </c>
      <c r="T2180">
        <v>5655242063.1199999</v>
      </c>
      <c r="U2180">
        <v>5655242063.1199999</v>
      </c>
      <c r="V2180">
        <v>0</v>
      </c>
      <c r="W2180">
        <v>0</v>
      </c>
      <c r="Y2180" t="s">
        <v>0</v>
      </c>
      <c r="Z2180">
        <v>3500</v>
      </c>
      <c r="AA2180">
        <v>7</v>
      </c>
      <c r="AB2180">
        <v>15</v>
      </c>
      <c r="AC2180">
        <v>0</v>
      </c>
      <c r="AD2180">
        <v>499753779</v>
      </c>
      <c r="AE2180">
        <v>813110.95</v>
      </c>
      <c r="AF2180">
        <v>498940668.05000001</v>
      </c>
      <c r="AG2180">
        <v>498940668.05000001</v>
      </c>
      <c r="AH2180">
        <v>0</v>
      </c>
      <c r="AI2180">
        <v>0</v>
      </c>
    </row>
    <row r="2181" spans="13:35" x14ac:dyDescent="0.35">
      <c r="M2181" t="s">
        <v>0</v>
      </c>
      <c r="N2181">
        <v>3500</v>
      </c>
      <c r="O2181">
        <v>7</v>
      </c>
      <c r="P2181">
        <v>35</v>
      </c>
      <c r="Q2181">
        <v>0</v>
      </c>
      <c r="R2181">
        <v>1132543940</v>
      </c>
      <c r="S2181">
        <v>1844611.94</v>
      </c>
      <c r="T2181">
        <v>1130699328.0599999</v>
      </c>
      <c r="U2181">
        <v>1130699328.0599999</v>
      </c>
      <c r="V2181">
        <v>0</v>
      </c>
      <c r="W2181">
        <v>0</v>
      </c>
      <c r="Y2181" t="s">
        <v>0</v>
      </c>
      <c r="Z2181">
        <v>3250</v>
      </c>
      <c r="AA2181">
        <v>7</v>
      </c>
      <c r="AB2181">
        <v>2</v>
      </c>
      <c r="AC2181">
        <v>0</v>
      </c>
      <c r="AD2181">
        <v>74722244</v>
      </c>
      <c r="AE2181">
        <v>126639.73</v>
      </c>
      <c r="AF2181">
        <v>74595604.269999996</v>
      </c>
      <c r="AG2181">
        <v>74595604.269999996</v>
      </c>
      <c r="AH2181">
        <v>0</v>
      </c>
      <c r="AI2181">
        <v>0</v>
      </c>
    </row>
    <row r="2182" spans="13:35" x14ac:dyDescent="0.35">
      <c r="M2182" t="s">
        <v>1</v>
      </c>
      <c r="N2182">
        <v>3250</v>
      </c>
      <c r="O2182">
        <v>7</v>
      </c>
      <c r="P2182">
        <v>16</v>
      </c>
      <c r="Q2182">
        <v>0</v>
      </c>
      <c r="R2182">
        <v>489790450</v>
      </c>
      <c r="S2182">
        <v>830099.97</v>
      </c>
      <c r="T2182">
        <v>471867294.63</v>
      </c>
      <c r="U2182">
        <v>488960350.02999997</v>
      </c>
      <c r="V2182">
        <v>0.34705799999999998</v>
      </c>
      <c r="W2182">
        <v>0</v>
      </c>
      <c r="Y2182" t="s">
        <v>2</v>
      </c>
      <c r="Z2182">
        <v>3500</v>
      </c>
      <c r="AA2182">
        <v>7</v>
      </c>
      <c r="AB2182">
        <v>7</v>
      </c>
      <c r="AC2182">
        <v>0</v>
      </c>
      <c r="AD2182">
        <v>207752644</v>
      </c>
      <c r="AE2182">
        <v>338018.35</v>
      </c>
      <c r="AF2182">
        <v>207414625.65000001</v>
      </c>
      <c r="AG2182">
        <v>207414625.65000001</v>
      </c>
      <c r="AH2182">
        <v>0</v>
      </c>
      <c r="AI2182">
        <v>0</v>
      </c>
    </row>
    <row r="2183" spans="13:35" x14ac:dyDescent="0.35">
      <c r="M2183" t="s">
        <v>2</v>
      </c>
      <c r="N2183">
        <v>3250</v>
      </c>
      <c r="O2183">
        <v>9</v>
      </c>
      <c r="P2183">
        <v>1</v>
      </c>
      <c r="Q2183">
        <v>0</v>
      </c>
      <c r="R2183">
        <v>42106583</v>
      </c>
      <c r="S2183">
        <v>71993.94</v>
      </c>
      <c r="T2183">
        <v>42034589.060000002</v>
      </c>
      <c r="U2183">
        <v>42034589.060000002</v>
      </c>
      <c r="V2183">
        <v>0</v>
      </c>
      <c r="W2183">
        <v>0</v>
      </c>
      <c r="Y2183" t="s">
        <v>2</v>
      </c>
      <c r="Z2183">
        <v>3750</v>
      </c>
      <c r="AA2183">
        <v>7</v>
      </c>
      <c r="AB2183">
        <v>9</v>
      </c>
      <c r="AC2183">
        <v>0</v>
      </c>
      <c r="AD2183">
        <v>220665620</v>
      </c>
      <c r="AE2183">
        <v>344990.18</v>
      </c>
      <c r="AF2183">
        <v>220320629.81999999</v>
      </c>
      <c r="AG2183">
        <v>220320629.81999999</v>
      </c>
      <c r="AH2183">
        <v>0</v>
      </c>
      <c r="AI2183">
        <v>0</v>
      </c>
    </row>
    <row r="2184" spans="13:35" x14ac:dyDescent="0.35">
      <c r="M2184" t="s">
        <v>1</v>
      </c>
      <c r="N2184">
        <v>3500</v>
      </c>
      <c r="O2184">
        <v>7</v>
      </c>
      <c r="P2184">
        <v>13</v>
      </c>
      <c r="Q2184">
        <v>0</v>
      </c>
      <c r="R2184">
        <v>446788685</v>
      </c>
      <c r="S2184">
        <v>730422.55</v>
      </c>
      <c r="T2184">
        <v>446058262.44999999</v>
      </c>
      <c r="U2184">
        <v>446058262.44999999</v>
      </c>
      <c r="V2184">
        <v>0</v>
      </c>
      <c r="W2184">
        <v>0</v>
      </c>
      <c r="Y2184" t="s">
        <v>0</v>
      </c>
      <c r="Z2184">
        <v>3750</v>
      </c>
      <c r="AA2184">
        <v>7</v>
      </c>
      <c r="AB2184">
        <v>119</v>
      </c>
      <c r="AC2184">
        <v>0</v>
      </c>
      <c r="AD2184">
        <v>4002500304</v>
      </c>
      <c r="AE2184">
        <v>6229827.9400000004</v>
      </c>
      <c r="AF2184">
        <v>3996270476.0599999</v>
      </c>
      <c r="AG2184">
        <v>3996270476.0599999</v>
      </c>
      <c r="AH2184">
        <v>0</v>
      </c>
      <c r="AI2184">
        <v>0</v>
      </c>
    </row>
    <row r="2185" spans="13:35" x14ac:dyDescent="0.35">
      <c r="M2185" t="s">
        <v>0</v>
      </c>
      <c r="N2185">
        <v>3250</v>
      </c>
      <c r="O2185">
        <v>7</v>
      </c>
      <c r="P2185">
        <v>5</v>
      </c>
      <c r="Q2185">
        <v>0</v>
      </c>
      <c r="R2185">
        <v>183228176</v>
      </c>
      <c r="S2185">
        <v>310821.32</v>
      </c>
      <c r="T2185">
        <v>182917354.68000001</v>
      </c>
      <c r="U2185">
        <v>182917354.68000001</v>
      </c>
      <c r="V2185">
        <v>0</v>
      </c>
      <c r="W2185">
        <v>0</v>
      </c>
      <c r="Y2185" t="s">
        <v>1</v>
      </c>
      <c r="Z2185">
        <v>4000</v>
      </c>
      <c r="AA2185">
        <v>7</v>
      </c>
      <c r="AB2185">
        <v>440</v>
      </c>
      <c r="AC2185">
        <v>0</v>
      </c>
      <c r="AD2185">
        <v>16052614081</v>
      </c>
      <c r="AE2185">
        <v>23991395.890000001</v>
      </c>
      <c r="AF2185">
        <v>16028622685.110001</v>
      </c>
      <c r="AG2185">
        <v>16028622685.110001</v>
      </c>
      <c r="AH2185">
        <v>0</v>
      </c>
      <c r="AI2185">
        <v>0</v>
      </c>
    </row>
    <row r="2186" spans="13:35" x14ac:dyDescent="0.35">
      <c r="M2186" t="s">
        <v>2</v>
      </c>
      <c r="N2186">
        <v>3750</v>
      </c>
      <c r="O2186">
        <v>7</v>
      </c>
      <c r="P2186">
        <v>3</v>
      </c>
      <c r="Q2186">
        <v>0</v>
      </c>
      <c r="R2186">
        <v>82249557</v>
      </c>
      <c r="S2186">
        <v>127978.08</v>
      </c>
      <c r="T2186">
        <v>82121578.920000002</v>
      </c>
      <c r="U2186">
        <v>82121578.920000002</v>
      </c>
      <c r="V2186">
        <v>0</v>
      </c>
      <c r="W2186">
        <v>0</v>
      </c>
      <c r="Y2186" t="s">
        <v>1</v>
      </c>
      <c r="Z2186">
        <v>3750</v>
      </c>
      <c r="AA2186">
        <v>7</v>
      </c>
      <c r="AB2186">
        <v>44</v>
      </c>
      <c r="AC2186">
        <v>0</v>
      </c>
      <c r="AD2186">
        <v>1498844572</v>
      </c>
      <c r="AE2186">
        <v>2333708.62</v>
      </c>
      <c r="AF2186">
        <v>1496510863.3800001</v>
      </c>
      <c r="AG2186">
        <v>1496510863.3800001</v>
      </c>
      <c r="AH2186">
        <v>0</v>
      </c>
      <c r="AI2186">
        <v>0</v>
      </c>
    </row>
    <row r="2187" spans="13:35" x14ac:dyDescent="0.35">
      <c r="M2187" t="s">
        <v>1</v>
      </c>
      <c r="N2187">
        <v>4000</v>
      </c>
      <c r="O2187">
        <v>7</v>
      </c>
      <c r="P2187">
        <v>630</v>
      </c>
      <c r="Q2187">
        <v>0</v>
      </c>
      <c r="R2187">
        <v>22611489723</v>
      </c>
      <c r="S2187">
        <v>33792087.439999998</v>
      </c>
      <c r="T2187">
        <v>22544920582.790001</v>
      </c>
      <c r="U2187">
        <v>22577697635.560001</v>
      </c>
      <c r="V2187">
        <v>1.7257000000000002E-2</v>
      </c>
      <c r="W2187">
        <v>0</v>
      </c>
      <c r="Y2187" t="s">
        <v>1</v>
      </c>
      <c r="Z2187">
        <v>4250</v>
      </c>
      <c r="AA2187">
        <v>7</v>
      </c>
      <c r="AB2187">
        <v>127</v>
      </c>
      <c r="AC2187">
        <v>0</v>
      </c>
      <c r="AD2187">
        <v>4801698884</v>
      </c>
      <c r="AE2187">
        <v>6864668.3099999996</v>
      </c>
      <c r="AF2187">
        <v>4794834215.6899996</v>
      </c>
      <c r="AG2187">
        <v>4794834215.6899996</v>
      </c>
      <c r="AH2187">
        <v>0</v>
      </c>
      <c r="AI2187">
        <v>0</v>
      </c>
    </row>
    <row r="2188" spans="13:35" x14ac:dyDescent="0.35">
      <c r="M2188" t="s">
        <v>0</v>
      </c>
      <c r="N2188">
        <v>4250</v>
      </c>
      <c r="O2188">
        <v>7</v>
      </c>
      <c r="P2188">
        <v>326</v>
      </c>
      <c r="Q2188">
        <v>0</v>
      </c>
      <c r="R2188">
        <v>10485062250</v>
      </c>
      <c r="S2188">
        <v>15021509.449999999</v>
      </c>
      <c r="T2188">
        <v>10470040740.549999</v>
      </c>
      <c r="U2188">
        <v>10470040740.549999</v>
      </c>
      <c r="V2188">
        <v>0</v>
      </c>
      <c r="W2188">
        <v>0</v>
      </c>
      <c r="Y2188" t="s">
        <v>0</v>
      </c>
      <c r="Z2188">
        <v>4250</v>
      </c>
      <c r="AA2188">
        <v>7</v>
      </c>
      <c r="AB2188">
        <v>296</v>
      </c>
      <c r="AC2188">
        <v>0</v>
      </c>
      <c r="AD2188">
        <v>9340252835</v>
      </c>
      <c r="AE2188">
        <v>13364148.09</v>
      </c>
      <c r="AF2188">
        <v>9326888686.9099998</v>
      </c>
      <c r="AG2188">
        <v>9326888686.9099998</v>
      </c>
      <c r="AH2188">
        <v>0</v>
      </c>
      <c r="AI2188">
        <v>0</v>
      </c>
    </row>
    <row r="2189" spans="13:35" x14ac:dyDescent="0.35">
      <c r="M2189" t="s">
        <v>1</v>
      </c>
      <c r="N2189">
        <v>4250</v>
      </c>
      <c r="O2189">
        <v>7</v>
      </c>
      <c r="P2189">
        <v>171</v>
      </c>
      <c r="Q2189">
        <v>0</v>
      </c>
      <c r="R2189">
        <v>6208112107</v>
      </c>
      <c r="S2189">
        <v>8900490.8599999994</v>
      </c>
      <c r="T2189">
        <v>6132013387.9499998</v>
      </c>
      <c r="U2189">
        <v>6163727400.3900003</v>
      </c>
      <c r="V2189">
        <v>0.122431</v>
      </c>
      <c r="W2189">
        <v>6.6474000000000005E-2</v>
      </c>
      <c r="Y2189" t="s">
        <v>2</v>
      </c>
      <c r="Z2189">
        <v>4000</v>
      </c>
      <c r="AA2189">
        <v>7</v>
      </c>
      <c r="AB2189">
        <v>61</v>
      </c>
      <c r="AC2189">
        <v>0</v>
      </c>
      <c r="AD2189">
        <v>1796673121</v>
      </c>
      <c r="AE2189">
        <v>2681630.0499999998</v>
      </c>
      <c r="AF2189">
        <v>1793991490.95</v>
      </c>
      <c r="AG2189">
        <v>1793991490.95</v>
      </c>
      <c r="AH2189">
        <v>0</v>
      </c>
      <c r="AI2189">
        <v>0</v>
      </c>
    </row>
    <row r="2190" spans="13:35" x14ac:dyDescent="0.35">
      <c r="M2190" t="s">
        <v>2</v>
      </c>
      <c r="N2190">
        <v>4000</v>
      </c>
      <c r="O2190">
        <v>7</v>
      </c>
      <c r="P2190">
        <v>84</v>
      </c>
      <c r="Q2190">
        <v>0</v>
      </c>
      <c r="R2190">
        <v>2520399334</v>
      </c>
      <c r="S2190">
        <v>3763423.32</v>
      </c>
      <c r="T2190">
        <v>2516635910.6799998</v>
      </c>
      <c r="U2190">
        <v>2516635910.6799998</v>
      </c>
      <c r="V2190">
        <v>0</v>
      </c>
      <c r="W2190">
        <v>0</v>
      </c>
      <c r="Y2190" t="s">
        <v>2</v>
      </c>
      <c r="Z2190">
        <v>4250</v>
      </c>
      <c r="AA2190">
        <v>7</v>
      </c>
      <c r="AB2190">
        <v>15</v>
      </c>
      <c r="AC2190">
        <v>0</v>
      </c>
      <c r="AD2190">
        <v>396785597</v>
      </c>
      <c r="AE2190">
        <v>569199.13</v>
      </c>
      <c r="AF2190">
        <v>396216397.87</v>
      </c>
      <c r="AG2190">
        <v>396216397.87</v>
      </c>
      <c r="AH2190">
        <v>0</v>
      </c>
      <c r="AI2190">
        <v>0</v>
      </c>
    </row>
    <row r="2191" spans="13:35" x14ac:dyDescent="0.35">
      <c r="M2191" t="s">
        <v>2</v>
      </c>
      <c r="N2191">
        <v>4250</v>
      </c>
      <c r="O2191">
        <v>7</v>
      </c>
      <c r="P2191">
        <v>13</v>
      </c>
      <c r="Q2191">
        <v>0</v>
      </c>
      <c r="R2191">
        <v>356186981</v>
      </c>
      <c r="S2191">
        <v>514459.6</v>
      </c>
      <c r="T2191">
        <v>355672521.39999998</v>
      </c>
      <c r="U2191">
        <v>355672521.39999998</v>
      </c>
      <c r="V2191">
        <v>0</v>
      </c>
      <c r="W2191">
        <v>0</v>
      </c>
      <c r="Y2191" t="s">
        <v>0</v>
      </c>
      <c r="Z2191">
        <v>4500</v>
      </c>
      <c r="AA2191">
        <v>7</v>
      </c>
      <c r="AB2191">
        <v>559</v>
      </c>
      <c r="AC2191">
        <v>0</v>
      </c>
      <c r="AD2191">
        <v>18947357830</v>
      </c>
      <c r="AE2191">
        <v>25946943.890000001</v>
      </c>
      <c r="AF2191">
        <v>18891145429.740002</v>
      </c>
      <c r="AG2191">
        <v>18921410886.110001</v>
      </c>
      <c r="AH2191">
        <v>1.9001000000000001E-2</v>
      </c>
      <c r="AI2191">
        <v>0</v>
      </c>
    </row>
    <row r="2192" spans="13:35" x14ac:dyDescent="0.35">
      <c r="M2192" t="s">
        <v>0</v>
      </c>
      <c r="N2192">
        <v>4500</v>
      </c>
      <c r="O2192">
        <v>7</v>
      </c>
      <c r="P2192">
        <v>582</v>
      </c>
      <c r="Q2192">
        <v>0</v>
      </c>
      <c r="R2192">
        <v>19376377450</v>
      </c>
      <c r="S2192">
        <v>26571704.100000001</v>
      </c>
      <c r="T2192">
        <v>19349805745.900002</v>
      </c>
      <c r="U2192">
        <v>19349805745.900002</v>
      </c>
      <c r="V2192">
        <v>0</v>
      </c>
      <c r="W2192">
        <v>0</v>
      </c>
      <c r="Y2192" t="s">
        <v>2</v>
      </c>
      <c r="Z2192">
        <v>4500</v>
      </c>
      <c r="AA2192">
        <v>7</v>
      </c>
      <c r="AB2192">
        <v>24</v>
      </c>
      <c r="AC2192">
        <v>0</v>
      </c>
      <c r="AD2192">
        <v>703003833</v>
      </c>
      <c r="AE2192">
        <v>962065.09</v>
      </c>
      <c r="AF2192">
        <v>702041767.90999997</v>
      </c>
      <c r="AG2192">
        <v>702041767.90999997</v>
      </c>
      <c r="AH2192">
        <v>0</v>
      </c>
      <c r="AI2192">
        <v>0</v>
      </c>
    </row>
    <row r="2193" spans="13:35" x14ac:dyDescent="0.35">
      <c r="M2193" t="s">
        <v>1</v>
      </c>
      <c r="N2193">
        <v>4500</v>
      </c>
      <c r="O2193">
        <v>7</v>
      </c>
      <c r="P2193">
        <v>225</v>
      </c>
      <c r="Q2193">
        <v>0</v>
      </c>
      <c r="R2193">
        <v>8243538350</v>
      </c>
      <c r="S2193">
        <v>11283820.17</v>
      </c>
      <c r="T2193">
        <v>8232254529.8299999</v>
      </c>
      <c r="U2193">
        <v>8232254529.8299999</v>
      </c>
      <c r="V2193">
        <v>0</v>
      </c>
      <c r="W2193">
        <v>0</v>
      </c>
      <c r="Y2193" t="s">
        <v>3</v>
      </c>
      <c r="Z2193">
        <v>5250</v>
      </c>
      <c r="AA2193">
        <v>7</v>
      </c>
      <c r="AB2193">
        <v>2</v>
      </c>
      <c r="AC2193">
        <v>0</v>
      </c>
      <c r="AD2193">
        <v>64423455</v>
      </c>
      <c r="AE2193">
        <v>76813.990000000005</v>
      </c>
      <c r="AF2193">
        <v>64346641.009999998</v>
      </c>
      <c r="AG2193">
        <v>64346641.009999998</v>
      </c>
      <c r="AH2193">
        <v>0</v>
      </c>
      <c r="AI2193">
        <v>0</v>
      </c>
    </row>
    <row r="2194" spans="13:35" x14ac:dyDescent="0.35">
      <c r="M2194" t="s">
        <v>2</v>
      </c>
      <c r="N2194">
        <v>4500</v>
      </c>
      <c r="O2194">
        <v>7</v>
      </c>
      <c r="P2194">
        <v>32</v>
      </c>
      <c r="Q2194">
        <v>0</v>
      </c>
      <c r="R2194">
        <v>842115759</v>
      </c>
      <c r="S2194">
        <v>1154024.04</v>
      </c>
      <c r="T2194">
        <v>840961734.96000004</v>
      </c>
      <c r="U2194">
        <v>840961734.96000004</v>
      </c>
      <c r="V2194">
        <v>0</v>
      </c>
      <c r="W2194">
        <v>0</v>
      </c>
      <c r="Y2194" t="s">
        <v>3</v>
      </c>
      <c r="Z2194">
        <v>7500</v>
      </c>
      <c r="AA2194">
        <v>7</v>
      </c>
      <c r="AB2194">
        <v>1</v>
      </c>
      <c r="AC2194">
        <v>0</v>
      </c>
      <c r="AD2194">
        <v>5892242</v>
      </c>
      <c r="AE2194">
        <v>4592.1499999999996</v>
      </c>
      <c r="AF2194">
        <v>5887649.8499999996</v>
      </c>
      <c r="AG2194">
        <v>5887649.8499999996</v>
      </c>
      <c r="AH2194">
        <v>0</v>
      </c>
      <c r="AI2194">
        <v>0</v>
      </c>
    </row>
    <row r="2195" spans="13:35" x14ac:dyDescent="0.35">
      <c r="M2195" t="s">
        <v>3</v>
      </c>
      <c r="N2195">
        <v>5500</v>
      </c>
      <c r="O2195">
        <v>7</v>
      </c>
      <c r="P2195">
        <v>2</v>
      </c>
      <c r="Q2195">
        <v>0</v>
      </c>
      <c r="R2195">
        <v>86982614</v>
      </c>
      <c r="S2195">
        <v>99985.31</v>
      </c>
      <c r="T2195">
        <v>86882628.689999998</v>
      </c>
      <c r="U2195">
        <v>86882628.689999998</v>
      </c>
      <c r="V2195">
        <v>0</v>
      </c>
      <c r="W2195">
        <v>0</v>
      </c>
      <c r="Y2195" t="s">
        <v>1</v>
      </c>
      <c r="Z2195">
        <v>2000</v>
      </c>
      <c r="AA2195">
        <v>10</v>
      </c>
      <c r="AB2195">
        <v>1</v>
      </c>
      <c r="AC2195">
        <v>0</v>
      </c>
      <c r="AD2195">
        <v>35605229</v>
      </c>
      <c r="AE2195">
        <v>75128.56</v>
      </c>
      <c r="AF2195">
        <v>35530100.439999998</v>
      </c>
      <c r="AG2195">
        <v>35530100.439999998</v>
      </c>
      <c r="AH2195">
        <v>0</v>
      </c>
      <c r="AI2195">
        <v>0</v>
      </c>
    </row>
    <row r="2196" spans="13:35" x14ac:dyDescent="0.35">
      <c r="M2196" t="s">
        <v>1</v>
      </c>
      <c r="N2196">
        <v>3250</v>
      </c>
      <c r="O2196">
        <v>6</v>
      </c>
      <c r="P2196">
        <v>1</v>
      </c>
      <c r="Q2196">
        <v>0</v>
      </c>
      <c r="R2196">
        <v>34248952</v>
      </c>
      <c r="S2196">
        <v>59027.55</v>
      </c>
      <c r="T2196">
        <v>34189924.450000003</v>
      </c>
      <c r="U2196">
        <v>34189924.450000003</v>
      </c>
      <c r="V2196">
        <v>0</v>
      </c>
      <c r="W2196">
        <v>0</v>
      </c>
      <c r="Y2196" t="s">
        <v>1</v>
      </c>
      <c r="Z2196">
        <v>2500</v>
      </c>
      <c r="AA2196">
        <v>6</v>
      </c>
      <c r="AB2196">
        <v>3</v>
      </c>
      <c r="AC2196">
        <v>0</v>
      </c>
      <c r="AD2196">
        <v>159752957</v>
      </c>
      <c r="AE2196">
        <v>305590.84000000003</v>
      </c>
      <c r="AF2196">
        <v>159447366.16</v>
      </c>
      <c r="AG2196">
        <v>159447366.16</v>
      </c>
      <c r="AH2196">
        <v>0</v>
      </c>
      <c r="AI2196">
        <v>0</v>
      </c>
    </row>
    <row r="2197" spans="13:35" x14ac:dyDescent="0.35">
      <c r="M2197" t="s">
        <v>2</v>
      </c>
      <c r="N2197">
        <v>2750</v>
      </c>
      <c r="O2197">
        <v>7</v>
      </c>
      <c r="P2197">
        <v>1</v>
      </c>
      <c r="Q2197">
        <v>0</v>
      </c>
      <c r="R2197">
        <v>14201727</v>
      </c>
      <c r="S2197">
        <v>29603.14</v>
      </c>
      <c r="T2197">
        <v>14172123.859999999</v>
      </c>
      <c r="U2197">
        <v>14172123.859999999</v>
      </c>
      <c r="V2197">
        <v>0</v>
      </c>
      <c r="W2197">
        <v>0</v>
      </c>
      <c r="Y2197" t="s">
        <v>1</v>
      </c>
      <c r="Z2197">
        <v>2750</v>
      </c>
      <c r="AA2197">
        <v>6</v>
      </c>
      <c r="AB2197">
        <v>1</v>
      </c>
      <c r="AC2197">
        <v>0</v>
      </c>
      <c r="AD2197">
        <v>20414248</v>
      </c>
      <c r="AE2197">
        <v>42739.59</v>
      </c>
      <c r="AF2197">
        <v>20371508.41</v>
      </c>
      <c r="AG2197">
        <v>20371508.41</v>
      </c>
      <c r="AH2197">
        <v>0</v>
      </c>
      <c r="AI2197">
        <v>0</v>
      </c>
    </row>
    <row r="2198" spans="13:35" x14ac:dyDescent="0.35">
      <c r="M2198" t="s">
        <v>1</v>
      </c>
      <c r="N2198">
        <v>3000</v>
      </c>
      <c r="O2198">
        <v>7</v>
      </c>
      <c r="P2198">
        <v>1</v>
      </c>
      <c r="Q2198">
        <v>0</v>
      </c>
      <c r="R2198">
        <v>37027231</v>
      </c>
      <c r="S2198">
        <v>65562.460000000006</v>
      </c>
      <c r="T2198">
        <v>36961668.539999999</v>
      </c>
      <c r="U2198">
        <v>36961668.539999999</v>
      </c>
      <c r="V2198">
        <v>0</v>
      </c>
      <c r="W2198">
        <v>0</v>
      </c>
      <c r="Y2198" t="s">
        <v>2</v>
      </c>
      <c r="Z2198">
        <v>2750</v>
      </c>
      <c r="AA2198">
        <v>7</v>
      </c>
      <c r="AB2198">
        <v>2</v>
      </c>
      <c r="AC2198">
        <v>0</v>
      </c>
      <c r="AD2198">
        <v>31959116</v>
      </c>
      <c r="AE2198">
        <v>62894.879999999997</v>
      </c>
      <c r="AF2198">
        <v>31896221.120000001</v>
      </c>
      <c r="AG2198">
        <v>31896221.120000001</v>
      </c>
      <c r="AH2198">
        <v>0</v>
      </c>
      <c r="AI2198">
        <v>0</v>
      </c>
    </row>
    <row r="2199" spans="13:35" x14ac:dyDescent="0.35">
      <c r="M2199" t="s">
        <v>0</v>
      </c>
      <c r="N2199">
        <v>2750</v>
      </c>
      <c r="O2199">
        <v>8</v>
      </c>
      <c r="P2199">
        <v>1</v>
      </c>
      <c r="Q2199">
        <v>0</v>
      </c>
      <c r="R2199">
        <v>22457348</v>
      </c>
      <c r="S2199">
        <v>41558.78</v>
      </c>
      <c r="T2199">
        <v>22415789.219999999</v>
      </c>
      <c r="U2199">
        <v>22415789.219999999</v>
      </c>
      <c r="V2199">
        <v>0</v>
      </c>
      <c r="W2199">
        <v>0</v>
      </c>
      <c r="Y2199" t="s">
        <v>1</v>
      </c>
      <c r="Z2199">
        <v>3000</v>
      </c>
      <c r="AA2199">
        <v>7</v>
      </c>
      <c r="AB2199">
        <v>1</v>
      </c>
      <c r="AC2199">
        <v>0</v>
      </c>
      <c r="AD2199">
        <v>36845532</v>
      </c>
      <c r="AE2199">
        <v>66506.73</v>
      </c>
      <c r="AF2199">
        <v>36779025.270000003</v>
      </c>
      <c r="AG2199">
        <v>36779025.270000003</v>
      </c>
      <c r="AH2199">
        <v>0</v>
      </c>
      <c r="AI2199">
        <v>0</v>
      </c>
    </row>
    <row r="2200" spans="13:35" x14ac:dyDescent="0.35">
      <c r="M2200" t="s">
        <v>1</v>
      </c>
      <c r="N2200">
        <v>3750</v>
      </c>
      <c r="O2200">
        <v>6</v>
      </c>
      <c r="P2200">
        <v>37</v>
      </c>
      <c r="Q2200">
        <v>0</v>
      </c>
      <c r="R2200">
        <v>1438588369</v>
      </c>
      <c r="S2200">
        <v>2230652.37</v>
      </c>
      <c r="T2200">
        <v>1436357716.6300001</v>
      </c>
      <c r="U2200">
        <v>1436357716.6300001</v>
      </c>
      <c r="V2200">
        <v>0</v>
      </c>
      <c r="W2200">
        <v>0</v>
      </c>
      <c r="Y2200" t="s">
        <v>1</v>
      </c>
      <c r="Z2200">
        <v>2750</v>
      </c>
      <c r="AA2200">
        <v>7</v>
      </c>
      <c r="AB2200">
        <v>1</v>
      </c>
      <c r="AC2200">
        <v>0</v>
      </c>
      <c r="AD2200">
        <v>27407438</v>
      </c>
      <c r="AE2200">
        <v>58399.19</v>
      </c>
      <c r="AF2200">
        <v>27349038.809999999</v>
      </c>
      <c r="AG2200">
        <v>27349038.809999999</v>
      </c>
      <c r="AH2200">
        <v>0</v>
      </c>
      <c r="AI2200">
        <v>0</v>
      </c>
    </row>
    <row r="2201" spans="13:35" x14ac:dyDescent="0.35">
      <c r="M2201" t="s">
        <v>0</v>
      </c>
      <c r="N2201">
        <v>3500</v>
      </c>
      <c r="O2201">
        <v>6</v>
      </c>
      <c r="P2201">
        <v>39</v>
      </c>
      <c r="Q2201">
        <v>0</v>
      </c>
      <c r="R2201">
        <v>1286937760</v>
      </c>
      <c r="S2201">
        <v>2088269.88</v>
      </c>
      <c r="T2201">
        <v>1284849490.1199999</v>
      </c>
      <c r="U2201">
        <v>1284849490.1199999</v>
      </c>
      <c r="V2201">
        <v>0</v>
      </c>
      <c r="W2201">
        <v>0</v>
      </c>
      <c r="Y2201" t="s">
        <v>1</v>
      </c>
      <c r="Z2201">
        <v>3250</v>
      </c>
      <c r="AA2201">
        <v>7</v>
      </c>
      <c r="AB2201">
        <v>3</v>
      </c>
      <c r="AC2201">
        <v>0</v>
      </c>
      <c r="AD2201">
        <v>124672951</v>
      </c>
      <c r="AE2201">
        <v>211296.51</v>
      </c>
      <c r="AF2201">
        <v>124461654.48999999</v>
      </c>
      <c r="AG2201">
        <v>124461654.48999999</v>
      </c>
      <c r="AH2201">
        <v>0</v>
      </c>
      <c r="AI2201">
        <v>0</v>
      </c>
    </row>
    <row r="2202" spans="13:35" x14ac:dyDescent="0.35">
      <c r="M2202" t="s">
        <v>1</v>
      </c>
      <c r="N2202">
        <v>3500</v>
      </c>
      <c r="O2202">
        <v>6</v>
      </c>
      <c r="P2202">
        <v>20</v>
      </c>
      <c r="Q2202">
        <v>0</v>
      </c>
      <c r="R2202">
        <v>727258560</v>
      </c>
      <c r="S2202">
        <v>1186084.51</v>
      </c>
      <c r="T2202">
        <v>726072475.49000001</v>
      </c>
      <c r="U2202">
        <v>726072475.49000001</v>
      </c>
      <c r="V2202">
        <v>0</v>
      </c>
      <c r="W2202">
        <v>0</v>
      </c>
      <c r="Y2202" t="s">
        <v>2</v>
      </c>
      <c r="Z2202">
        <v>3500</v>
      </c>
      <c r="AA2202">
        <v>6</v>
      </c>
      <c r="AB2202">
        <v>4</v>
      </c>
      <c r="AC2202">
        <v>0</v>
      </c>
      <c r="AD2202">
        <v>118702720</v>
      </c>
      <c r="AE2202">
        <v>193263.91</v>
      </c>
      <c r="AF2202">
        <v>118509456.09</v>
      </c>
      <c r="AG2202">
        <v>118509456.09</v>
      </c>
      <c r="AH2202">
        <v>0</v>
      </c>
      <c r="AI2202">
        <v>0</v>
      </c>
    </row>
    <row r="2203" spans="13:35" x14ac:dyDescent="0.35">
      <c r="M2203" t="s">
        <v>0</v>
      </c>
      <c r="N2203">
        <v>3750</v>
      </c>
      <c r="O2203">
        <v>6</v>
      </c>
      <c r="P2203">
        <v>107</v>
      </c>
      <c r="Q2203">
        <v>0</v>
      </c>
      <c r="R2203">
        <v>4183296263</v>
      </c>
      <c r="S2203">
        <v>6483937.2999999998</v>
      </c>
      <c r="T2203">
        <v>4176812325.6999998</v>
      </c>
      <c r="U2203">
        <v>4176812325.6999998</v>
      </c>
      <c r="V2203">
        <v>0</v>
      </c>
      <c r="W2203">
        <v>0</v>
      </c>
      <c r="Y2203" t="s">
        <v>1</v>
      </c>
      <c r="Z2203">
        <v>3750</v>
      </c>
      <c r="AA2203">
        <v>6</v>
      </c>
      <c r="AB2203">
        <v>72</v>
      </c>
      <c r="AC2203">
        <v>0</v>
      </c>
      <c r="AD2203">
        <v>2838691308</v>
      </c>
      <c r="AE2203">
        <v>4408756.13</v>
      </c>
      <c r="AF2203">
        <v>2834282551.8699999</v>
      </c>
      <c r="AG2203">
        <v>2834282551.8699999</v>
      </c>
      <c r="AH2203">
        <v>0</v>
      </c>
      <c r="AI2203">
        <v>0</v>
      </c>
    </row>
    <row r="2204" spans="13:35" x14ac:dyDescent="0.35">
      <c r="M2204" t="s">
        <v>2</v>
      </c>
      <c r="N2204">
        <v>3250</v>
      </c>
      <c r="O2204">
        <v>7</v>
      </c>
      <c r="P2204">
        <v>1</v>
      </c>
      <c r="Q2204">
        <v>0</v>
      </c>
      <c r="R2204">
        <v>25158241</v>
      </c>
      <c r="S2204">
        <v>42638.35</v>
      </c>
      <c r="T2204">
        <v>25115602.649999999</v>
      </c>
      <c r="U2204">
        <v>25115602.649999999</v>
      </c>
      <c r="V2204">
        <v>0</v>
      </c>
      <c r="W2204">
        <v>0</v>
      </c>
      <c r="Y2204" t="s">
        <v>0</v>
      </c>
      <c r="Z2204">
        <v>3750</v>
      </c>
      <c r="AA2204">
        <v>6</v>
      </c>
      <c r="AB2204">
        <v>154</v>
      </c>
      <c r="AC2204">
        <v>0</v>
      </c>
      <c r="AD2204">
        <v>5685921621</v>
      </c>
      <c r="AE2204">
        <v>8809755.7100000009</v>
      </c>
      <c r="AF2204">
        <v>5677111865.29</v>
      </c>
      <c r="AG2204">
        <v>5677111865.29</v>
      </c>
      <c r="AH2204">
        <v>0</v>
      </c>
      <c r="AI2204">
        <v>0</v>
      </c>
    </row>
    <row r="2205" spans="13:35" x14ac:dyDescent="0.35">
      <c r="M2205" t="s">
        <v>2</v>
      </c>
      <c r="N2205">
        <v>3750</v>
      </c>
      <c r="O2205">
        <v>6</v>
      </c>
      <c r="P2205">
        <v>5</v>
      </c>
      <c r="Q2205">
        <v>0</v>
      </c>
      <c r="R2205">
        <v>144318298</v>
      </c>
      <c r="S2205">
        <v>224934.65</v>
      </c>
      <c r="T2205">
        <v>144093363.34999999</v>
      </c>
      <c r="U2205">
        <v>144093363.34999999</v>
      </c>
      <c r="V2205">
        <v>0</v>
      </c>
      <c r="W2205">
        <v>0</v>
      </c>
      <c r="Y2205" t="s">
        <v>0</v>
      </c>
      <c r="Z2205">
        <v>3500</v>
      </c>
      <c r="AA2205">
        <v>6</v>
      </c>
      <c r="AB2205">
        <v>35</v>
      </c>
      <c r="AC2205">
        <v>0</v>
      </c>
      <c r="AD2205">
        <v>1140766752</v>
      </c>
      <c r="AE2205">
        <v>1849627.48</v>
      </c>
      <c r="AF2205">
        <v>1138917124.52</v>
      </c>
      <c r="AG2205">
        <v>1138917124.52</v>
      </c>
      <c r="AH2205">
        <v>0</v>
      </c>
      <c r="AI2205">
        <v>0</v>
      </c>
    </row>
    <row r="2206" spans="13:35" x14ac:dyDescent="0.35">
      <c r="M2206" t="s">
        <v>2</v>
      </c>
      <c r="N2206">
        <v>3500</v>
      </c>
      <c r="O2206">
        <v>6</v>
      </c>
      <c r="P2206">
        <v>7</v>
      </c>
      <c r="Q2206">
        <v>0</v>
      </c>
      <c r="R2206">
        <v>206636664</v>
      </c>
      <c r="S2206">
        <v>335649.91</v>
      </c>
      <c r="T2206">
        <v>206301014.09</v>
      </c>
      <c r="U2206">
        <v>206301014.09</v>
      </c>
      <c r="V2206">
        <v>0</v>
      </c>
      <c r="W2206">
        <v>0</v>
      </c>
      <c r="Y2206" t="s">
        <v>1</v>
      </c>
      <c r="Z2206">
        <v>3250</v>
      </c>
      <c r="AA2206">
        <v>6</v>
      </c>
      <c r="AB2206">
        <v>16</v>
      </c>
      <c r="AC2206">
        <v>0</v>
      </c>
      <c r="AD2206">
        <v>491715653</v>
      </c>
      <c r="AE2206">
        <v>829709.49</v>
      </c>
      <c r="AF2206">
        <v>490885943.50999999</v>
      </c>
      <c r="AG2206">
        <v>490885943.50999999</v>
      </c>
      <c r="AH2206">
        <v>0</v>
      </c>
      <c r="AI2206">
        <v>0</v>
      </c>
    </row>
    <row r="2207" spans="13:35" x14ac:dyDescent="0.35">
      <c r="M2207" t="s">
        <v>0</v>
      </c>
      <c r="N2207">
        <v>3250</v>
      </c>
      <c r="O2207">
        <v>6</v>
      </c>
      <c r="P2207">
        <v>2</v>
      </c>
      <c r="Q2207">
        <v>0</v>
      </c>
      <c r="R2207">
        <v>71182504</v>
      </c>
      <c r="S2207">
        <v>120111.69</v>
      </c>
      <c r="T2207">
        <v>71062392.310000002</v>
      </c>
      <c r="U2207">
        <v>71062392.310000002</v>
      </c>
      <c r="V2207">
        <v>0</v>
      </c>
      <c r="W2207">
        <v>0</v>
      </c>
      <c r="Y2207" t="s">
        <v>2</v>
      </c>
      <c r="Z2207">
        <v>3250</v>
      </c>
      <c r="AA2207">
        <v>8</v>
      </c>
      <c r="AB2207">
        <v>1</v>
      </c>
      <c r="AC2207">
        <v>0</v>
      </c>
      <c r="AD2207">
        <v>42178383</v>
      </c>
      <c r="AE2207">
        <v>71799.48</v>
      </c>
      <c r="AF2207">
        <v>42106583.520000003</v>
      </c>
      <c r="AG2207">
        <v>42106583.520000003</v>
      </c>
      <c r="AH2207">
        <v>0</v>
      </c>
      <c r="AI2207">
        <v>0</v>
      </c>
    </row>
    <row r="2208" spans="13:35" x14ac:dyDescent="0.35">
      <c r="M2208" t="s">
        <v>2</v>
      </c>
      <c r="N2208">
        <v>4000</v>
      </c>
      <c r="O2208">
        <v>6</v>
      </c>
      <c r="P2208">
        <v>131</v>
      </c>
      <c r="Q2208">
        <v>0</v>
      </c>
      <c r="R2208">
        <v>3903528342</v>
      </c>
      <c r="S2208">
        <v>5799222.04</v>
      </c>
      <c r="T2208">
        <v>3897729119.96</v>
      </c>
      <c r="U2208">
        <v>3897729119.96</v>
      </c>
      <c r="V2208">
        <v>0</v>
      </c>
      <c r="W2208">
        <v>0</v>
      </c>
      <c r="Y2208" t="s">
        <v>1</v>
      </c>
      <c r="Z2208">
        <v>3500</v>
      </c>
      <c r="AA2208">
        <v>6</v>
      </c>
      <c r="AB2208">
        <v>14</v>
      </c>
      <c r="AC2208">
        <v>0</v>
      </c>
      <c r="AD2208">
        <v>481619338</v>
      </c>
      <c r="AE2208">
        <v>784634.98</v>
      </c>
      <c r="AF2208">
        <v>448527014.80000001</v>
      </c>
      <c r="AG2208">
        <v>480834703.01999998</v>
      </c>
      <c r="AH2208">
        <v>0.56536500000000001</v>
      </c>
      <c r="AI2208">
        <v>0</v>
      </c>
    </row>
    <row r="2209" spans="13:35" x14ac:dyDescent="0.35">
      <c r="M2209" t="s">
        <v>1</v>
      </c>
      <c r="N2209">
        <v>4500</v>
      </c>
      <c r="O2209">
        <v>6</v>
      </c>
      <c r="P2209">
        <v>205</v>
      </c>
      <c r="Q2209">
        <v>0</v>
      </c>
      <c r="R2209">
        <v>7602341150</v>
      </c>
      <c r="S2209">
        <v>10367612.960000001</v>
      </c>
      <c r="T2209">
        <v>7569504768.7600002</v>
      </c>
      <c r="U2209">
        <v>7569504768.7600002</v>
      </c>
      <c r="V2209">
        <v>3.4895000000000002E-2</v>
      </c>
      <c r="W2209">
        <v>3.4895000000000002E-2</v>
      </c>
      <c r="Y2209" t="s">
        <v>0</v>
      </c>
      <c r="Z2209">
        <v>3250</v>
      </c>
      <c r="AA2209">
        <v>6</v>
      </c>
      <c r="AB2209">
        <v>5</v>
      </c>
      <c r="AC2209">
        <v>0</v>
      </c>
      <c r="AD2209">
        <v>183575947</v>
      </c>
      <c r="AE2209">
        <v>310046.46000000002</v>
      </c>
      <c r="AF2209">
        <v>183265900.53999999</v>
      </c>
      <c r="AG2209">
        <v>183265900.53999999</v>
      </c>
      <c r="AH2209">
        <v>0</v>
      </c>
      <c r="AI2209">
        <v>0</v>
      </c>
    </row>
    <row r="2210" spans="13:35" x14ac:dyDescent="0.35">
      <c r="M2210" t="s">
        <v>2</v>
      </c>
      <c r="N2210">
        <v>4500</v>
      </c>
      <c r="O2210">
        <v>6</v>
      </c>
      <c r="P2210">
        <v>25</v>
      </c>
      <c r="Q2210">
        <v>0</v>
      </c>
      <c r="R2210">
        <v>692079386</v>
      </c>
      <c r="S2210">
        <v>941980.06</v>
      </c>
      <c r="T2210">
        <v>691137405.94000006</v>
      </c>
      <c r="U2210">
        <v>691137405.94000006</v>
      </c>
      <c r="V2210">
        <v>0</v>
      </c>
      <c r="W2210">
        <v>0</v>
      </c>
      <c r="Y2210" t="s">
        <v>2</v>
      </c>
      <c r="Z2210">
        <v>3750</v>
      </c>
      <c r="AA2210">
        <v>6</v>
      </c>
      <c r="AB2210">
        <v>3</v>
      </c>
      <c r="AC2210">
        <v>0</v>
      </c>
      <c r="AD2210">
        <v>82577042</v>
      </c>
      <c r="AE2210">
        <v>127889</v>
      </c>
      <c r="AF2210">
        <v>82449153</v>
      </c>
      <c r="AG2210">
        <v>82449153</v>
      </c>
      <c r="AH2210">
        <v>0</v>
      </c>
      <c r="AI2210">
        <v>0</v>
      </c>
    </row>
    <row r="2211" spans="13:35" x14ac:dyDescent="0.35">
      <c r="M2211" t="s">
        <v>3</v>
      </c>
      <c r="N2211">
        <v>5500</v>
      </c>
      <c r="O2211">
        <v>6</v>
      </c>
      <c r="P2211">
        <v>2</v>
      </c>
      <c r="Q2211">
        <v>0</v>
      </c>
      <c r="R2211">
        <v>67107821</v>
      </c>
      <c r="S2211">
        <v>77769.84</v>
      </c>
      <c r="T2211">
        <v>67030051.159999996</v>
      </c>
      <c r="U2211">
        <v>67030051.159999996</v>
      </c>
      <c r="V2211">
        <v>0</v>
      </c>
      <c r="W2211">
        <v>0</v>
      </c>
      <c r="Y2211" t="s">
        <v>1</v>
      </c>
      <c r="Z2211">
        <v>4000</v>
      </c>
      <c r="AA2211">
        <v>6</v>
      </c>
      <c r="AB2211">
        <v>631</v>
      </c>
      <c r="AC2211">
        <v>0</v>
      </c>
      <c r="AD2211">
        <v>22720082755</v>
      </c>
      <c r="AE2211">
        <v>33791600.649999999</v>
      </c>
      <c r="AF2211">
        <v>22649251255.16</v>
      </c>
      <c r="AG2211">
        <v>22649251255.16</v>
      </c>
      <c r="AH2211">
        <v>1.9389E-2</v>
      </c>
      <c r="AI2211">
        <v>1.9389E-2</v>
      </c>
    </row>
    <row r="2212" spans="13:35" x14ac:dyDescent="0.35">
      <c r="M2212" t="s">
        <v>3</v>
      </c>
      <c r="N2212">
        <v>5250</v>
      </c>
      <c r="O2212">
        <v>7</v>
      </c>
      <c r="P2212">
        <v>1</v>
      </c>
      <c r="Q2212">
        <v>0</v>
      </c>
      <c r="R2212">
        <v>20077460</v>
      </c>
      <c r="S2212">
        <v>23938.95</v>
      </c>
      <c r="T2212">
        <v>20053521.050000001</v>
      </c>
      <c r="U2212">
        <v>20053521.050000001</v>
      </c>
      <c r="V2212">
        <v>0</v>
      </c>
      <c r="W2212">
        <v>0</v>
      </c>
      <c r="Y2212" t="s">
        <v>0</v>
      </c>
      <c r="Z2212">
        <v>4250</v>
      </c>
      <c r="AA2212">
        <v>6</v>
      </c>
      <c r="AB2212">
        <v>325</v>
      </c>
      <c r="AC2212">
        <v>0</v>
      </c>
      <c r="AD2212">
        <v>10502818134</v>
      </c>
      <c r="AE2212">
        <v>14972913.18</v>
      </c>
      <c r="AF2212">
        <v>10487845220.82</v>
      </c>
      <c r="AG2212">
        <v>10487845220.82</v>
      </c>
      <c r="AH2212">
        <v>0</v>
      </c>
      <c r="AI2212">
        <v>0</v>
      </c>
    </row>
    <row r="2213" spans="13:35" x14ac:dyDescent="0.35">
      <c r="M2213" t="s">
        <v>3</v>
      </c>
      <c r="N2213">
        <v>5250</v>
      </c>
      <c r="O2213">
        <v>6</v>
      </c>
      <c r="P2213">
        <v>1</v>
      </c>
      <c r="Q2213">
        <v>0</v>
      </c>
      <c r="R2213">
        <v>47390452</v>
      </c>
      <c r="S2213">
        <v>56192.2</v>
      </c>
      <c r="T2213">
        <v>47334259.799999997</v>
      </c>
      <c r="U2213">
        <v>47334259.799999997</v>
      </c>
      <c r="V2213">
        <v>0</v>
      </c>
      <c r="W2213">
        <v>0</v>
      </c>
      <c r="Y2213" t="s">
        <v>1</v>
      </c>
      <c r="Z2213">
        <v>4250</v>
      </c>
      <c r="AA2213">
        <v>6</v>
      </c>
      <c r="AB2213">
        <v>170</v>
      </c>
      <c r="AC2213">
        <v>0</v>
      </c>
      <c r="AD2213">
        <v>6200946802</v>
      </c>
      <c r="AE2213">
        <v>8846659.9700000007</v>
      </c>
      <c r="AF2213">
        <v>6192100142.0299997</v>
      </c>
      <c r="AG2213">
        <v>6192100142.0299997</v>
      </c>
      <c r="AH2213">
        <v>0</v>
      </c>
      <c r="AI2213">
        <v>0</v>
      </c>
    </row>
    <row r="2214" spans="13:35" x14ac:dyDescent="0.35">
      <c r="M2214" t="s">
        <v>3</v>
      </c>
      <c r="N2214">
        <v>7250</v>
      </c>
      <c r="O2214">
        <v>7</v>
      </c>
      <c r="P2214">
        <v>2</v>
      </c>
      <c r="Q2214">
        <v>0</v>
      </c>
      <c r="R2214">
        <v>63326668</v>
      </c>
      <c r="S2214">
        <v>52346.11</v>
      </c>
      <c r="T2214">
        <v>63274321.890000001</v>
      </c>
      <c r="U2214">
        <v>63274321.890000001</v>
      </c>
      <c r="V2214">
        <v>0</v>
      </c>
      <c r="W2214">
        <v>0</v>
      </c>
      <c r="Y2214" t="s">
        <v>2</v>
      </c>
      <c r="Z2214">
        <v>4000</v>
      </c>
      <c r="AA2214">
        <v>6</v>
      </c>
      <c r="AB2214">
        <v>84</v>
      </c>
      <c r="AC2214">
        <v>0</v>
      </c>
      <c r="AD2214">
        <v>2529993622</v>
      </c>
      <c r="AE2214">
        <v>3759648.85</v>
      </c>
      <c r="AF2214">
        <v>2526233973.1500001</v>
      </c>
      <c r="AG2214">
        <v>2526233973.1500001</v>
      </c>
      <c r="AH2214">
        <v>0</v>
      </c>
      <c r="AI2214">
        <v>0</v>
      </c>
    </row>
    <row r="2215" spans="13:35" x14ac:dyDescent="0.35">
      <c r="M2215" t="s">
        <v>0</v>
      </c>
      <c r="N2215">
        <v>3250</v>
      </c>
      <c r="O2215">
        <v>5</v>
      </c>
      <c r="P2215">
        <v>176</v>
      </c>
      <c r="Q2215">
        <v>0</v>
      </c>
      <c r="R2215">
        <v>5978200000</v>
      </c>
      <c r="S2215">
        <v>9956447.3200000003</v>
      </c>
      <c r="T2215">
        <v>5968243552.6800003</v>
      </c>
      <c r="U2215">
        <v>5968243552.6800003</v>
      </c>
      <c r="V2215">
        <v>0</v>
      </c>
      <c r="W2215">
        <v>0</v>
      </c>
      <c r="Y2215" t="s">
        <v>2</v>
      </c>
      <c r="Z2215">
        <v>4250</v>
      </c>
      <c r="AA2215">
        <v>6</v>
      </c>
      <c r="AB2215">
        <v>13</v>
      </c>
      <c r="AC2215">
        <v>0</v>
      </c>
      <c r="AD2215">
        <v>357529800</v>
      </c>
      <c r="AE2215">
        <v>513865.06</v>
      </c>
      <c r="AF2215">
        <v>357015934.94</v>
      </c>
      <c r="AG2215">
        <v>357015934.94</v>
      </c>
      <c r="AH2215">
        <v>0</v>
      </c>
      <c r="AI2215">
        <v>0</v>
      </c>
    </row>
    <row r="2216" spans="13:35" x14ac:dyDescent="0.35">
      <c r="M2216" t="s">
        <v>0</v>
      </c>
      <c r="N2216">
        <v>2750</v>
      </c>
      <c r="O2216">
        <v>5</v>
      </c>
      <c r="P2216">
        <v>6</v>
      </c>
      <c r="Q2216">
        <v>0</v>
      </c>
      <c r="R2216">
        <v>202600000</v>
      </c>
      <c r="S2216">
        <v>366871.63</v>
      </c>
      <c r="T2216">
        <v>202233128.37</v>
      </c>
      <c r="U2216">
        <v>202233128.37</v>
      </c>
      <c r="V2216">
        <v>0</v>
      </c>
      <c r="W2216">
        <v>0</v>
      </c>
      <c r="Y2216" t="s">
        <v>0</v>
      </c>
      <c r="Z2216">
        <v>4500</v>
      </c>
      <c r="AA2216">
        <v>6</v>
      </c>
      <c r="AB2216">
        <v>583</v>
      </c>
      <c r="AC2216">
        <v>0</v>
      </c>
      <c r="AD2216">
        <v>19462417588</v>
      </c>
      <c r="AE2216">
        <v>26554582.93</v>
      </c>
      <c r="AF2216">
        <v>19423879661.990002</v>
      </c>
      <c r="AG2216">
        <v>19435863005.07</v>
      </c>
      <c r="AH2216">
        <v>7.3639999999999999E-3</v>
      </c>
      <c r="AI2216">
        <v>0</v>
      </c>
    </row>
    <row r="2217" spans="13:35" x14ac:dyDescent="0.35">
      <c r="M2217" t="s">
        <v>1</v>
      </c>
      <c r="N2217">
        <v>3000</v>
      </c>
      <c r="O2217">
        <v>5</v>
      </c>
      <c r="P2217">
        <v>6</v>
      </c>
      <c r="Q2217">
        <v>0</v>
      </c>
      <c r="R2217">
        <v>259600000</v>
      </c>
      <c r="S2217">
        <v>452201.04</v>
      </c>
      <c r="T2217">
        <v>259147798.96000001</v>
      </c>
      <c r="U2217">
        <v>259147798.96000001</v>
      </c>
      <c r="V2217">
        <v>0</v>
      </c>
      <c r="W2217">
        <v>0</v>
      </c>
      <c r="Y2217" t="s">
        <v>1</v>
      </c>
      <c r="Z2217">
        <v>4500</v>
      </c>
      <c r="AA2217">
        <v>6</v>
      </c>
      <c r="AB2217">
        <v>224</v>
      </c>
      <c r="AC2217">
        <v>0</v>
      </c>
      <c r="AD2217">
        <v>8249123230</v>
      </c>
      <c r="AE2217">
        <v>11234375.43</v>
      </c>
      <c r="AF2217">
        <v>8237888854.5699997</v>
      </c>
      <c r="AG2217">
        <v>8237888854.5699997</v>
      </c>
      <c r="AH2217">
        <v>0</v>
      </c>
      <c r="AI2217">
        <v>0</v>
      </c>
    </row>
    <row r="2218" spans="13:35" x14ac:dyDescent="0.35">
      <c r="M2218" t="s">
        <v>1</v>
      </c>
      <c r="N2218">
        <v>3500</v>
      </c>
      <c r="O2218">
        <v>5</v>
      </c>
      <c r="P2218">
        <v>183</v>
      </c>
      <c r="Q2218">
        <v>0</v>
      </c>
      <c r="R2218">
        <v>7044600000</v>
      </c>
      <c r="S2218">
        <v>11236394.880000001</v>
      </c>
      <c r="T2218">
        <v>7033363605.1199999</v>
      </c>
      <c r="U2218">
        <v>7033363605.1199999</v>
      </c>
      <c r="V2218">
        <v>0</v>
      </c>
      <c r="W2218">
        <v>0</v>
      </c>
      <c r="Y2218" t="s">
        <v>2</v>
      </c>
      <c r="Z2218">
        <v>4500</v>
      </c>
      <c r="AA2218">
        <v>6</v>
      </c>
      <c r="AB2218">
        <v>32</v>
      </c>
      <c r="AC2218">
        <v>0</v>
      </c>
      <c r="AD2218">
        <v>846706287</v>
      </c>
      <c r="AE2218">
        <v>1154426.7</v>
      </c>
      <c r="AF2218">
        <v>845551860.29999995</v>
      </c>
      <c r="AG2218">
        <v>845551860.29999995</v>
      </c>
      <c r="AH2218">
        <v>0</v>
      </c>
      <c r="AI2218">
        <v>0</v>
      </c>
    </row>
    <row r="2219" spans="13:35" x14ac:dyDescent="0.35">
      <c r="M2219" t="s">
        <v>2</v>
      </c>
      <c r="N2219">
        <v>3250</v>
      </c>
      <c r="O2219">
        <v>6</v>
      </c>
      <c r="P2219">
        <v>1</v>
      </c>
      <c r="Q2219">
        <v>0</v>
      </c>
      <c r="R2219">
        <v>33700000</v>
      </c>
      <c r="S2219">
        <v>56864.59</v>
      </c>
      <c r="T2219">
        <v>33643135.409999996</v>
      </c>
      <c r="U2219">
        <v>33643135.409999996</v>
      </c>
      <c r="V2219">
        <v>0</v>
      </c>
      <c r="W2219">
        <v>0</v>
      </c>
      <c r="Y2219" t="s">
        <v>3</v>
      </c>
      <c r="Z2219">
        <v>5500</v>
      </c>
      <c r="AA2219">
        <v>6</v>
      </c>
      <c r="AB2219">
        <v>2</v>
      </c>
      <c r="AC2219">
        <v>0</v>
      </c>
      <c r="AD2219">
        <v>87348024</v>
      </c>
      <c r="AE2219">
        <v>99834.42</v>
      </c>
      <c r="AF2219">
        <v>87248189.579999998</v>
      </c>
      <c r="AG2219">
        <v>87248189.579999998</v>
      </c>
      <c r="AH2219">
        <v>0</v>
      </c>
      <c r="AI2219">
        <v>0</v>
      </c>
    </row>
    <row r="2220" spans="13:35" x14ac:dyDescent="0.35">
      <c r="M2220" t="s">
        <v>0</v>
      </c>
      <c r="N2220">
        <v>3500</v>
      </c>
      <c r="O2220">
        <v>5</v>
      </c>
      <c r="P2220">
        <v>483</v>
      </c>
      <c r="Q2220">
        <v>0</v>
      </c>
      <c r="R2220">
        <v>17720100000</v>
      </c>
      <c r="S2220">
        <v>28292211.48</v>
      </c>
      <c r="T2220">
        <v>17691807788.52</v>
      </c>
      <c r="U2220">
        <v>17691807788.52</v>
      </c>
      <c r="V2220">
        <v>0</v>
      </c>
      <c r="W2220">
        <v>0</v>
      </c>
      <c r="Y2220" t="s">
        <v>1</v>
      </c>
      <c r="Z2220">
        <v>3250</v>
      </c>
      <c r="AA2220">
        <v>5</v>
      </c>
      <c r="AB2220">
        <v>54</v>
      </c>
      <c r="AC2220">
        <v>0</v>
      </c>
      <c r="AD2220">
        <v>1926200000</v>
      </c>
      <c r="AE2220">
        <v>3195276.58</v>
      </c>
      <c r="AF2220">
        <v>1923004723.4200001</v>
      </c>
      <c r="AG2220">
        <v>1923004723.4200001</v>
      </c>
      <c r="AH2220">
        <v>0</v>
      </c>
      <c r="AI2220">
        <v>0</v>
      </c>
    </row>
    <row r="2221" spans="13:35" x14ac:dyDescent="0.35">
      <c r="M2221" t="s">
        <v>1</v>
      </c>
      <c r="N2221">
        <v>3250</v>
      </c>
      <c r="O2221">
        <v>5</v>
      </c>
      <c r="P2221">
        <v>59</v>
      </c>
      <c r="Q2221">
        <v>0</v>
      </c>
      <c r="R2221">
        <v>2075200000</v>
      </c>
      <c r="S2221">
        <v>3448684.88</v>
      </c>
      <c r="T2221">
        <v>2071751315.1199999</v>
      </c>
      <c r="U2221">
        <v>2071751315.1199999</v>
      </c>
      <c r="V2221">
        <v>0</v>
      </c>
      <c r="W2221">
        <v>0</v>
      </c>
      <c r="Y2221" t="s">
        <v>2</v>
      </c>
      <c r="Z2221">
        <v>2750</v>
      </c>
      <c r="AA2221">
        <v>6</v>
      </c>
      <c r="AB2221">
        <v>1</v>
      </c>
      <c r="AC2221">
        <v>0</v>
      </c>
      <c r="AD2221">
        <v>14300000</v>
      </c>
      <c r="AE2221">
        <v>29678.11</v>
      </c>
      <c r="AF2221">
        <v>14270321.890000001</v>
      </c>
      <c r="AG2221">
        <v>14270321.890000001</v>
      </c>
      <c r="AH2221">
        <v>0</v>
      </c>
      <c r="AI2221">
        <v>0</v>
      </c>
    </row>
    <row r="2222" spans="13:35" x14ac:dyDescent="0.35">
      <c r="M2222" t="s">
        <v>2</v>
      </c>
      <c r="N2222">
        <v>4250</v>
      </c>
      <c r="O2222">
        <v>5</v>
      </c>
      <c r="P2222">
        <v>58</v>
      </c>
      <c r="Q2222">
        <v>0</v>
      </c>
      <c r="R2222">
        <v>1629800000</v>
      </c>
      <c r="S2222">
        <v>2272031.98</v>
      </c>
      <c r="T2222">
        <v>1627527968.02</v>
      </c>
      <c r="U2222">
        <v>1627527968.02</v>
      </c>
      <c r="V2222">
        <v>0</v>
      </c>
      <c r="W2222">
        <v>0</v>
      </c>
      <c r="Y2222" t="s">
        <v>1</v>
      </c>
      <c r="Z2222">
        <v>3000</v>
      </c>
      <c r="AA2222">
        <v>6</v>
      </c>
      <c r="AB2222">
        <v>1</v>
      </c>
      <c r="AC2222">
        <v>0</v>
      </c>
      <c r="AD2222">
        <v>37300000</v>
      </c>
      <c r="AE2222">
        <v>65765.13</v>
      </c>
      <c r="AF2222">
        <v>37234234.869999997</v>
      </c>
      <c r="AG2222">
        <v>37234234.869999997</v>
      </c>
      <c r="AH2222">
        <v>0</v>
      </c>
      <c r="AI2222">
        <v>0</v>
      </c>
    </row>
    <row r="2223" spans="13:35" x14ac:dyDescent="0.35">
      <c r="M2223" t="s">
        <v>2</v>
      </c>
      <c r="N2223">
        <v>4500</v>
      </c>
      <c r="O2223">
        <v>5</v>
      </c>
      <c r="P2223">
        <v>100</v>
      </c>
      <c r="Q2223">
        <v>0</v>
      </c>
      <c r="R2223">
        <v>2816600000</v>
      </c>
      <c r="S2223">
        <v>3754734.77</v>
      </c>
      <c r="T2223">
        <v>2812845265.23</v>
      </c>
      <c r="U2223">
        <v>2812845265.23</v>
      </c>
      <c r="V2223">
        <v>0</v>
      </c>
      <c r="W2223">
        <v>0</v>
      </c>
      <c r="Y2223" t="s">
        <v>0</v>
      </c>
      <c r="Z2223">
        <v>2750</v>
      </c>
      <c r="AA2223">
        <v>7</v>
      </c>
      <c r="AB2223">
        <v>1</v>
      </c>
      <c r="AC2223">
        <v>0</v>
      </c>
      <c r="AD2223">
        <v>22700000</v>
      </c>
      <c r="AE2223">
        <v>41834.53</v>
      </c>
      <c r="AF2223">
        <v>22658165.469999999</v>
      </c>
      <c r="AG2223">
        <v>22658165.469999999</v>
      </c>
      <c r="AH2223">
        <v>0</v>
      </c>
      <c r="AI2223">
        <v>0</v>
      </c>
    </row>
    <row r="2224" spans="13:35" x14ac:dyDescent="0.35">
      <c r="M2224" t="s">
        <v>2</v>
      </c>
      <c r="N2224">
        <v>7750</v>
      </c>
      <c r="O2224">
        <v>5</v>
      </c>
      <c r="P2224">
        <v>18</v>
      </c>
      <c r="Q2224">
        <v>0</v>
      </c>
      <c r="R2224">
        <v>257900000</v>
      </c>
      <c r="S2224">
        <v>187112.56</v>
      </c>
      <c r="T2224">
        <v>257712887.44</v>
      </c>
      <c r="U2224">
        <v>257712887.44</v>
      </c>
      <c r="V2224">
        <v>0</v>
      </c>
      <c r="W2224">
        <v>0</v>
      </c>
      <c r="Y2224" t="s">
        <v>0</v>
      </c>
      <c r="Z2224">
        <v>3500</v>
      </c>
      <c r="AA2224">
        <v>5</v>
      </c>
      <c r="AB2224">
        <v>481</v>
      </c>
      <c r="AC2224">
        <v>0</v>
      </c>
      <c r="AD2224">
        <v>17536200000</v>
      </c>
      <c r="AE2224">
        <v>27943286.100000001</v>
      </c>
      <c r="AF2224">
        <v>17508256713.900002</v>
      </c>
      <c r="AG2224">
        <v>17508256713.900002</v>
      </c>
      <c r="AH2224">
        <v>0</v>
      </c>
      <c r="AI2224">
        <v>0</v>
      </c>
    </row>
    <row r="2225" spans="13:35" x14ac:dyDescent="0.35">
      <c r="M2225" t="s">
        <v>2</v>
      </c>
      <c r="N2225">
        <v>7500</v>
      </c>
      <c r="O2225">
        <v>5</v>
      </c>
      <c r="P2225">
        <v>10</v>
      </c>
      <c r="Q2225">
        <v>0</v>
      </c>
      <c r="R2225">
        <v>164000000</v>
      </c>
      <c r="S2225">
        <v>143177.57</v>
      </c>
      <c r="T2225">
        <v>163856822.43000001</v>
      </c>
      <c r="U2225">
        <v>163856822.43000001</v>
      </c>
      <c r="V2225">
        <v>0</v>
      </c>
      <c r="W2225">
        <v>0</v>
      </c>
      <c r="Y2225" t="s">
        <v>1</v>
      </c>
      <c r="Z2225">
        <v>3500</v>
      </c>
      <c r="AA2225">
        <v>5</v>
      </c>
      <c r="AB2225">
        <v>171</v>
      </c>
      <c r="AC2225">
        <v>0</v>
      </c>
      <c r="AD2225">
        <v>6465800000</v>
      </c>
      <c r="AE2225">
        <v>10314428.6</v>
      </c>
      <c r="AF2225">
        <v>6455485571.3999996</v>
      </c>
      <c r="AG2225">
        <v>6455485571.3999996</v>
      </c>
      <c r="AH2225">
        <v>0</v>
      </c>
      <c r="AI2225">
        <v>0</v>
      </c>
    </row>
    <row r="2226" spans="13:35" x14ac:dyDescent="0.35">
      <c r="M2226" t="s">
        <v>1</v>
      </c>
      <c r="N2226">
        <v>8000</v>
      </c>
      <c r="O2226">
        <v>5</v>
      </c>
      <c r="P2226">
        <v>4</v>
      </c>
      <c r="Q2226">
        <v>0</v>
      </c>
      <c r="R2226">
        <v>104800000</v>
      </c>
      <c r="S2226">
        <v>73996.160000000003</v>
      </c>
      <c r="T2226">
        <v>104726003.84</v>
      </c>
      <c r="U2226">
        <v>104726003.84</v>
      </c>
      <c r="V2226">
        <v>0</v>
      </c>
      <c r="W2226">
        <v>0</v>
      </c>
      <c r="Y2226" t="s">
        <v>2</v>
      </c>
      <c r="Z2226">
        <v>3250</v>
      </c>
      <c r="AA2226">
        <v>6</v>
      </c>
      <c r="AB2226">
        <v>1</v>
      </c>
      <c r="AC2226">
        <v>0</v>
      </c>
      <c r="AD2226">
        <v>25400000</v>
      </c>
      <c r="AE2226">
        <v>42859.37</v>
      </c>
      <c r="AF2226">
        <v>25357140.629999999</v>
      </c>
      <c r="AG2226">
        <v>25357140.629999999</v>
      </c>
      <c r="AH2226">
        <v>0</v>
      </c>
      <c r="AI2226">
        <v>0</v>
      </c>
    </row>
    <row r="2227" spans="13:35" x14ac:dyDescent="0.35">
      <c r="M2227" t="s">
        <v>1</v>
      </c>
      <c r="N2227">
        <v>8250</v>
      </c>
      <c r="O2227">
        <v>5</v>
      </c>
      <c r="P2227">
        <v>10</v>
      </c>
      <c r="Q2227">
        <v>0</v>
      </c>
      <c r="R2227">
        <v>347700000</v>
      </c>
      <c r="S2227">
        <v>224299.69</v>
      </c>
      <c r="T2227">
        <v>347475700.31</v>
      </c>
      <c r="U2227">
        <v>347475700.31</v>
      </c>
      <c r="V2227">
        <v>0</v>
      </c>
      <c r="W2227">
        <v>0</v>
      </c>
      <c r="Y2227" t="s">
        <v>2</v>
      </c>
      <c r="Z2227">
        <v>3500</v>
      </c>
      <c r="AA2227">
        <v>5</v>
      </c>
      <c r="AB2227">
        <v>75</v>
      </c>
      <c r="AC2227">
        <v>0</v>
      </c>
      <c r="AD2227">
        <v>2303800000</v>
      </c>
      <c r="AE2227">
        <v>3671840.81</v>
      </c>
      <c r="AF2227">
        <v>2300128159.1900001</v>
      </c>
      <c r="AG2227">
        <v>2300128159.1900001</v>
      </c>
      <c r="AH2227">
        <v>0</v>
      </c>
      <c r="AI2227">
        <v>0</v>
      </c>
    </row>
    <row r="2228" spans="13:35" x14ac:dyDescent="0.35">
      <c r="M2228" t="s">
        <v>1</v>
      </c>
      <c r="N2228">
        <v>2500</v>
      </c>
      <c r="O2228">
        <v>5</v>
      </c>
      <c r="P2228">
        <v>5</v>
      </c>
      <c r="Q2228">
        <v>0</v>
      </c>
      <c r="R2228">
        <v>267400000</v>
      </c>
      <c r="S2228">
        <v>534927.37</v>
      </c>
      <c r="T2228">
        <v>266865072.63</v>
      </c>
      <c r="U2228">
        <v>266865072.63</v>
      </c>
      <c r="V2228">
        <v>0</v>
      </c>
      <c r="W2228">
        <v>0</v>
      </c>
      <c r="Y2228" t="s">
        <v>0</v>
      </c>
      <c r="Z2228">
        <v>3250</v>
      </c>
      <c r="AA2228">
        <v>5</v>
      </c>
      <c r="AB2228">
        <v>155</v>
      </c>
      <c r="AC2228">
        <v>0</v>
      </c>
      <c r="AD2228">
        <v>5250000000</v>
      </c>
      <c r="AE2228">
        <v>8721296.9800000004</v>
      </c>
      <c r="AF2228">
        <v>5241278703.0200005</v>
      </c>
      <c r="AG2228">
        <v>5241278703.0200005</v>
      </c>
      <c r="AH2228">
        <v>0</v>
      </c>
      <c r="AI2228">
        <v>0</v>
      </c>
    </row>
    <row r="2229" spans="13:35" x14ac:dyDescent="0.35">
      <c r="M2229" t="s">
        <v>1</v>
      </c>
      <c r="N2229">
        <v>2500</v>
      </c>
      <c r="O2229">
        <v>6</v>
      </c>
      <c r="P2229">
        <v>1</v>
      </c>
      <c r="Q2229">
        <v>0</v>
      </c>
      <c r="R2229">
        <v>46600000</v>
      </c>
      <c r="S2229">
        <v>89140.97</v>
      </c>
      <c r="T2229">
        <v>46510859.030000001</v>
      </c>
      <c r="U2229">
        <v>46510859.030000001</v>
      </c>
      <c r="V2229">
        <v>0</v>
      </c>
      <c r="W2229">
        <v>0</v>
      </c>
      <c r="Y2229" t="s">
        <v>2</v>
      </c>
      <c r="Z2229">
        <v>4500</v>
      </c>
      <c r="AA2229">
        <v>5</v>
      </c>
      <c r="AB2229">
        <v>106</v>
      </c>
      <c r="AC2229">
        <v>0</v>
      </c>
      <c r="AD2229">
        <v>2955600000</v>
      </c>
      <c r="AE2229">
        <v>3949234.65</v>
      </c>
      <c r="AF2229">
        <v>2951650765.3499999</v>
      </c>
      <c r="AG2229">
        <v>2951650765.3499999</v>
      </c>
      <c r="AH2229">
        <v>0</v>
      </c>
      <c r="AI2229">
        <v>0</v>
      </c>
    </row>
    <row r="2230" spans="13:35" x14ac:dyDescent="0.35">
      <c r="M2230" t="s">
        <v>0</v>
      </c>
      <c r="N2230">
        <v>3000</v>
      </c>
      <c r="O2230">
        <v>5</v>
      </c>
      <c r="P2230">
        <v>18</v>
      </c>
      <c r="Q2230">
        <v>0</v>
      </c>
      <c r="R2230">
        <v>589000000</v>
      </c>
      <c r="S2230">
        <v>1018713.3</v>
      </c>
      <c r="T2230">
        <v>587981286.70000005</v>
      </c>
      <c r="U2230">
        <v>587981286.70000005</v>
      </c>
      <c r="V2230">
        <v>0</v>
      </c>
      <c r="W2230">
        <v>0</v>
      </c>
      <c r="Y2230" t="s">
        <v>3</v>
      </c>
      <c r="Z2230">
        <v>5250</v>
      </c>
      <c r="AA2230">
        <v>6</v>
      </c>
      <c r="AB2230">
        <v>1</v>
      </c>
      <c r="AC2230">
        <v>0</v>
      </c>
      <c r="AD2230">
        <v>20200000</v>
      </c>
      <c r="AE2230">
        <v>23951.71</v>
      </c>
      <c r="AF2230">
        <v>20176048.289999999</v>
      </c>
      <c r="AG2230">
        <v>20176048.289999999</v>
      </c>
      <c r="AH2230">
        <v>0</v>
      </c>
      <c r="AI2230">
        <v>0</v>
      </c>
    </row>
    <row r="2231" spans="13:35" x14ac:dyDescent="0.35">
      <c r="M2231" t="s">
        <v>1</v>
      </c>
      <c r="N2231">
        <v>2750</v>
      </c>
      <c r="O2231">
        <v>5</v>
      </c>
      <c r="P2231">
        <v>5</v>
      </c>
      <c r="Q2231">
        <v>0</v>
      </c>
      <c r="R2231">
        <v>205300000</v>
      </c>
      <c r="S2231">
        <v>371878.88</v>
      </c>
      <c r="T2231">
        <v>204928121.12</v>
      </c>
      <c r="U2231">
        <v>204928121.12</v>
      </c>
      <c r="V2231">
        <v>0</v>
      </c>
      <c r="W2231">
        <v>0</v>
      </c>
      <c r="Y2231" t="s">
        <v>3</v>
      </c>
      <c r="Z2231">
        <v>7250</v>
      </c>
      <c r="AA2231">
        <v>6</v>
      </c>
      <c r="AB2231">
        <v>2</v>
      </c>
      <c r="AC2231">
        <v>0</v>
      </c>
      <c r="AD2231">
        <v>64300000</v>
      </c>
      <c r="AE2231">
        <v>52784.17</v>
      </c>
      <c r="AF2231">
        <v>64247215.829999998</v>
      </c>
      <c r="AG2231">
        <v>64247215.829999998</v>
      </c>
      <c r="AH2231">
        <v>0</v>
      </c>
      <c r="AI2231">
        <v>0</v>
      </c>
    </row>
    <row r="2232" spans="13:35" x14ac:dyDescent="0.35">
      <c r="M2232" t="s">
        <v>0</v>
      </c>
      <c r="N2232">
        <v>3000</v>
      </c>
      <c r="O2232">
        <v>6</v>
      </c>
      <c r="P2232">
        <v>1</v>
      </c>
      <c r="Q2232">
        <v>0</v>
      </c>
      <c r="R2232">
        <v>8800000</v>
      </c>
      <c r="S2232">
        <v>15489.58</v>
      </c>
      <c r="T2232">
        <v>8784510.4199999999</v>
      </c>
      <c r="U2232">
        <v>8784510.4199999999</v>
      </c>
      <c r="V2232">
        <v>0</v>
      </c>
      <c r="W2232">
        <v>0</v>
      </c>
      <c r="Y2232" t="s">
        <v>0</v>
      </c>
      <c r="Z2232">
        <v>2750</v>
      </c>
      <c r="AA2232">
        <v>5</v>
      </c>
      <c r="AB2232">
        <v>5</v>
      </c>
      <c r="AC2232">
        <v>0</v>
      </c>
      <c r="AD2232">
        <v>164700000</v>
      </c>
      <c r="AE2232">
        <v>297980.03000000003</v>
      </c>
      <c r="AF2232">
        <v>164402019.97</v>
      </c>
      <c r="AG2232">
        <v>164402019.97</v>
      </c>
      <c r="AH2232">
        <v>0</v>
      </c>
      <c r="AI2232">
        <v>0</v>
      </c>
    </row>
    <row r="2233" spans="13:35" x14ac:dyDescent="0.35">
      <c r="M2233" t="s">
        <v>3</v>
      </c>
      <c r="N2233">
        <v>4750</v>
      </c>
      <c r="O2233">
        <v>5</v>
      </c>
      <c r="P2233">
        <v>9</v>
      </c>
      <c r="Q2233">
        <v>0</v>
      </c>
      <c r="R2233">
        <v>338600000</v>
      </c>
      <c r="S2233">
        <v>429333.29</v>
      </c>
      <c r="T2233">
        <v>338170666.70999998</v>
      </c>
      <c r="U2233">
        <v>338170666.70999998</v>
      </c>
      <c r="V2233">
        <v>0</v>
      </c>
      <c r="W2233">
        <v>0</v>
      </c>
      <c r="Y2233" t="s">
        <v>1</v>
      </c>
      <c r="Z2233">
        <v>3000</v>
      </c>
      <c r="AA2233">
        <v>5</v>
      </c>
      <c r="AB2233">
        <v>6</v>
      </c>
      <c r="AC2233">
        <v>0</v>
      </c>
      <c r="AD2233">
        <v>259600000</v>
      </c>
      <c r="AE2233">
        <v>450733.99</v>
      </c>
      <c r="AF2233">
        <v>259149266.00999999</v>
      </c>
      <c r="AG2233">
        <v>259149266.00999999</v>
      </c>
      <c r="AH2233">
        <v>0</v>
      </c>
      <c r="AI2233">
        <v>0</v>
      </c>
    </row>
    <row r="2234" spans="13:35" x14ac:dyDescent="0.35">
      <c r="M2234" t="s">
        <v>0</v>
      </c>
      <c r="N2234">
        <v>2750</v>
      </c>
      <c r="O2234">
        <v>14</v>
      </c>
      <c r="P2234">
        <v>1</v>
      </c>
      <c r="Q2234">
        <v>0</v>
      </c>
      <c r="R2234">
        <v>27300000</v>
      </c>
      <c r="S2234">
        <v>51581.42</v>
      </c>
      <c r="T2234">
        <v>27248418.579999998</v>
      </c>
      <c r="U2234">
        <v>27248418.579999998</v>
      </c>
      <c r="V2234">
        <v>0</v>
      </c>
      <c r="W2234">
        <v>0</v>
      </c>
      <c r="Y2234" t="s">
        <v>1</v>
      </c>
      <c r="Z2234">
        <v>2500</v>
      </c>
      <c r="AA2234">
        <v>5</v>
      </c>
      <c r="AB2234">
        <v>6</v>
      </c>
      <c r="AC2234">
        <v>0</v>
      </c>
      <c r="AD2234">
        <v>314000000</v>
      </c>
      <c r="AE2234">
        <v>621845.29</v>
      </c>
      <c r="AF2234">
        <v>313378154.70999998</v>
      </c>
      <c r="AG2234">
        <v>313378154.70999998</v>
      </c>
      <c r="AH2234">
        <v>0</v>
      </c>
      <c r="AI2234">
        <v>0</v>
      </c>
    </row>
    <row r="2235" spans="13:35" x14ac:dyDescent="0.35">
      <c r="Y2235" t="s">
        <v>0</v>
      </c>
      <c r="Z2235">
        <v>3000</v>
      </c>
      <c r="AA2235">
        <v>5</v>
      </c>
      <c r="AB2235">
        <v>6</v>
      </c>
      <c r="AC2235">
        <v>0</v>
      </c>
      <c r="AD2235">
        <v>183900000</v>
      </c>
      <c r="AE2235">
        <v>321160.65999999997</v>
      </c>
      <c r="AF2235">
        <v>183578839.34</v>
      </c>
      <c r="AG2235">
        <v>183578839.34</v>
      </c>
      <c r="AH2235">
        <v>0</v>
      </c>
      <c r="AI2235">
        <v>0</v>
      </c>
    </row>
    <row r="2236" spans="13:35" x14ac:dyDescent="0.35">
      <c r="Y2236" t="s">
        <v>1</v>
      </c>
      <c r="Z2236">
        <v>2750</v>
      </c>
      <c r="AA2236">
        <v>5</v>
      </c>
      <c r="AB2236">
        <v>5</v>
      </c>
      <c r="AC2236">
        <v>0</v>
      </c>
      <c r="AD2236">
        <v>205300000</v>
      </c>
      <c r="AE2236">
        <v>370359.26</v>
      </c>
      <c r="AF2236">
        <v>204929640.74000001</v>
      </c>
      <c r="AG2236">
        <v>204929640.74000001</v>
      </c>
      <c r="AH2236">
        <v>0</v>
      </c>
      <c r="AI2236">
        <v>0</v>
      </c>
    </row>
    <row r="2237" spans="13:35" x14ac:dyDescent="0.35">
      <c r="Y2237" t="s">
        <v>3</v>
      </c>
      <c r="Z2237">
        <v>4750</v>
      </c>
      <c r="AA2237">
        <v>5</v>
      </c>
      <c r="AB2237">
        <v>8</v>
      </c>
      <c r="AC2237">
        <v>0</v>
      </c>
      <c r="AD2237">
        <v>302300000</v>
      </c>
      <c r="AE2237">
        <v>382164.35</v>
      </c>
      <c r="AF2237">
        <v>301917835.64999998</v>
      </c>
      <c r="AG2237">
        <v>301917835.64999998</v>
      </c>
      <c r="AH2237">
        <v>0</v>
      </c>
      <c r="AI2237">
        <v>0</v>
      </c>
    </row>
    <row r="2250" spans="22:35" x14ac:dyDescent="0.35">
      <c r="V2250" s="1"/>
      <c r="W2250" s="1"/>
      <c r="AH2250" s="1"/>
      <c r="AI2250" s="1"/>
    </row>
    <row r="2251" spans="22:35" x14ac:dyDescent="0.35">
      <c r="V2251" s="1"/>
      <c r="W2251" s="1"/>
      <c r="AH2251" s="1"/>
      <c r="AI2251" s="1"/>
    </row>
    <row r="2252" spans="22:35" x14ac:dyDescent="0.35">
      <c r="V2252" s="1"/>
      <c r="W2252" s="1"/>
      <c r="AH2252" s="1"/>
      <c r="AI2252" s="1"/>
    </row>
    <row r="2253" spans="22:35" x14ac:dyDescent="0.35">
      <c r="V2253" s="1"/>
      <c r="W2253" s="1"/>
      <c r="AH2253" s="1"/>
      <c r="AI2253" s="1"/>
    </row>
    <row r="2254" spans="22:35" x14ac:dyDescent="0.35">
      <c r="V2254" s="1"/>
      <c r="W2254" s="1"/>
      <c r="AH2254" s="1"/>
      <c r="AI2254" s="1"/>
    </row>
    <row r="2255" spans="22:35" x14ac:dyDescent="0.35">
      <c r="V2255" s="1"/>
      <c r="W2255" s="1"/>
      <c r="AH2255" s="1"/>
      <c r="AI2255" s="1"/>
    </row>
    <row r="2256" spans="22:35" x14ac:dyDescent="0.35">
      <c r="V2256" s="1"/>
      <c r="W2256" s="1"/>
      <c r="AH2256" s="1"/>
      <c r="AI2256" s="1"/>
    </row>
    <row r="2257" spans="22:35" x14ac:dyDescent="0.35">
      <c r="V2257" s="1"/>
      <c r="W2257" s="1"/>
      <c r="AH2257" s="1"/>
      <c r="AI2257" s="1"/>
    </row>
    <row r="2258" spans="22:35" x14ac:dyDescent="0.35">
      <c r="V2258" s="1"/>
      <c r="W2258" s="1"/>
      <c r="AH2258" s="1"/>
      <c r="AI2258" s="1"/>
    </row>
    <row r="2259" spans="22:35" x14ac:dyDescent="0.35">
      <c r="V2259" s="1"/>
      <c r="W2259" s="1"/>
      <c r="AH2259" s="1"/>
      <c r="AI2259" s="1"/>
    </row>
    <row r="2260" spans="22:35" x14ac:dyDescent="0.35">
      <c r="V2260" s="1"/>
      <c r="W2260" s="1"/>
      <c r="AH2260" s="1"/>
      <c r="AI2260" s="1"/>
    </row>
    <row r="2261" spans="22:35" x14ac:dyDescent="0.35">
      <c r="V2261" s="1"/>
      <c r="W2261" s="1"/>
      <c r="AH2261" s="1"/>
      <c r="AI2261" s="1"/>
    </row>
    <row r="2262" spans="22:35" x14ac:dyDescent="0.35">
      <c r="V2262" s="1"/>
      <c r="W2262" s="1"/>
    </row>
    <row r="2263" spans="22:35" x14ac:dyDescent="0.35">
      <c r="V2263" s="1"/>
      <c r="W2263" s="1"/>
    </row>
    <row r="2264" spans="22:35" x14ac:dyDescent="0.35">
      <c r="V2264" s="1"/>
      <c r="W2264" s="1"/>
    </row>
    <row r="2265" spans="22:35" x14ac:dyDescent="0.35">
      <c r="V2265" s="1"/>
      <c r="W2265" s="1"/>
    </row>
    <row r="2266" spans="22:35" x14ac:dyDescent="0.35">
      <c r="V2266" s="1"/>
      <c r="W2266" s="1"/>
    </row>
    <row r="2267" spans="22:35" x14ac:dyDescent="0.35">
      <c r="V2267" s="1"/>
      <c r="W2267" s="1"/>
    </row>
    <row r="2268" spans="22:35" x14ac:dyDescent="0.35">
      <c r="V2268" s="1"/>
      <c r="W2268" s="1"/>
    </row>
    <row r="2269" spans="22:35" x14ac:dyDescent="0.35">
      <c r="V2269" s="1"/>
      <c r="W2269" s="1"/>
    </row>
    <row r="2270" spans="22:35" x14ac:dyDescent="0.35">
      <c r="V2270" s="1"/>
      <c r="W2270" s="1"/>
    </row>
    <row r="2271" spans="22:35" x14ac:dyDescent="0.35">
      <c r="V2271" s="1"/>
      <c r="W2271" s="1"/>
    </row>
    <row r="2272" spans="22:35" x14ac:dyDescent="0.35">
      <c r="V2272" s="1"/>
      <c r="W2272" s="1"/>
    </row>
    <row r="2273" spans="22:23" x14ac:dyDescent="0.35">
      <c r="V2273" s="1"/>
      <c r="W2273" s="1"/>
    </row>
    <row r="2274" spans="22:23" x14ac:dyDescent="0.35">
      <c r="V2274" s="1"/>
      <c r="W2274" s="1"/>
    </row>
    <row r="2275" spans="22:23" x14ac:dyDescent="0.35">
      <c r="V2275" s="1"/>
      <c r="W2275" s="1"/>
    </row>
    <row r="2276" spans="22:23" x14ac:dyDescent="0.35">
      <c r="V2276" s="1"/>
      <c r="W2276" s="1"/>
    </row>
    <row r="2277" spans="22:23" x14ac:dyDescent="0.35">
      <c r="V2277" s="1"/>
      <c r="W2277" s="1"/>
    </row>
    <row r="2278" spans="22:23" x14ac:dyDescent="0.35">
      <c r="V2278" s="1"/>
      <c r="W2278" s="1"/>
    </row>
    <row r="2279" spans="22:23" x14ac:dyDescent="0.35">
      <c r="V2279" s="1"/>
      <c r="W2279" s="1"/>
    </row>
    <row r="2280" spans="22:23" x14ac:dyDescent="0.35">
      <c r="V2280" s="1"/>
      <c r="W2280" s="1"/>
    </row>
    <row r="2281" spans="22:23" x14ac:dyDescent="0.35">
      <c r="V2281" s="1"/>
      <c r="W2281" s="1"/>
    </row>
    <row r="2282" spans="22:23" x14ac:dyDescent="0.35">
      <c r="V2282" s="1"/>
      <c r="W2282" s="1"/>
    </row>
    <row r="2283" spans="22:23" x14ac:dyDescent="0.35">
      <c r="V2283" s="1"/>
      <c r="W2283" s="1"/>
    </row>
    <row r="2284" spans="22:23" x14ac:dyDescent="0.35">
      <c r="V2284" s="1"/>
      <c r="W2284" s="1"/>
    </row>
    <row r="2285" spans="22:23" x14ac:dyDescent="0.35">
      <c r="V2285" s="1"/>
      <c r="W2285" s="1"/>
    </row>
    <row r="2286" spans="22:23" x14ac:dyDescent="0.35">
      <c r="V2286" s="1"/>
      <c r="W2286" s="1"/>
    </row>
    <row r="2287" spans="22:23" x14ac:dyDescent="0.35">
      <c r="V2287" s="1"/>
      <c r="W2287" s="1"/>
    </row>
    <row r="2288" spans="22:23" x14ac:dyDescent="0.35">
      <c r="V2288" s="1"/>
      <c r="W2288" s="1"/>
    </row>
    <row r="2289" spans="22:23" x14ac:dyDescent="0.35">
      <c r="V2289" s="1"/>
      <c r="W2289" s="1"/>
    </row>
    <row r="2290" spans="22:23" x14ac:dyDescent="0.35">
      <c r="V2290" s="1"/>
      <c r="W2290" s="1"/>
    </row>
    <row r="2291" spans="22:23" x14ac:dyDescent="0.35">
      <c r="V2291" s="1"/>
      <c r="W2291" s="1"/>
    </row>
    <row r="2292" spans="22:23" x14ac:dyDescent="0.35">
      <c r="V2292" s="1"/>
      <c r="W2292" s="1"/>
    </row>
    <row r="2293" spans="22:23" x14ac:dyDescent="0.35">
      <c r="V2293" s="1"/>
      <c r="W2293" s="1"/>
    </row>
    <row r="2294" spans="22:23" x14ac:dyDescent="0.35">
      <c r="V2294" s="1"/>
      <c r="W2294" s="1"/>
    </row>
    <row r="2295" spans="22:23" x14ac:dyDescent="0.35">
      <c r="V2295" s="1"/>
      <c r="W2295" s="1"/>
    </row>
    <row r="2296" spans="22:23" x14ac:dyDescent="0.35">
      <c r="V2296" s="1"/>
      <c r="W2296" s="1"/>
    </row>
    <row r="2297" spans="22:23" x14ac:dyDescent="0.35">
      <c r="V2297" s="1"/>
      <c r="W2297" s="1"/>
    </row>
    <row r="2298" spans="22:23" x14ac:dyDescent="0.35">
      <c r="V2298" s="1"/>
      <c r="W2298" s="1"/>
    </row>
    <row r="2299" spans="22:23" x14ac:dyDescent="0.35">
      <c r="V2299" s="1"/>
      <c r="W2299" s="1"/>
    </row>
    <row r="2300" spans="22:23" x14ac:dyDescent="0.35">
      <c r="V2300" s="1"/>
      <c r="W2300" s="1"/>
    </row>
    <row r="2301" spans="22:23" x14ac:dyDescent="0.35">
      <c r="V2301" s="1"/>
      <c r="W2301" s="1"/>
    </row>
    <row r="2302" spans="22:23" x14ac:dyDescent="0.35">
      <c r="V2302" s="1"/>
      <c r="W2302" s="1"/>
    </row>
    <row r="2303" spans="22:23" x14ac:dyDescent="0.35">
      <c r="V2303" s="1"/>
      <c r="W2303" s="1"/>
    </row>
    <row r="2304" spans="22:23" x14ac:dyDescent="0.35">
      <c r="V2304" s="1"/>
      <c r="W2304" s="1"/>
    </row>
    <row r="2305" spans="22:23" x14ac:dyDescent="0.35">
      <c r="V2305" s="1"/>
      <c r="W2305" s="1"/>
    </row>
    <row r="2306" spans="22:23" x14ac:dyDescent="0.35">
      <c r="V2306" s="1"/>
      <c r="W2306" s="1"/>
    </row>
    <row r="2307" spans="22:23" x14ac:dyDescent="0.35">
      <c r="V2307" s="1"/>
      <c r="W2307" s="1"/>
    </row>
    <row r="2308" spans="22:23" x14ac:dyDescent="0.35">
      <c r="V2308" s="1"/>
      <c r="W2308" s="1"/>
    </row>
    <row r="2309" spans="22:23" x14ac:dyDescent="0.35">
      <c r="V2309" s="1"/>
      <c r="W2309" s="1"/>
    </row>
    <row r="2310" spans="22:23" x14ac:dyDescent="0.35">
      <c r="V2310" s="1"/>
      <c r="W2310" s="1"/>
    </row>
    <row r="2311" spans="22:23" x14ac:dyDescent="0.35">
      <c r="V2311" s="1"/>
      <c r="W2311" s="1"/>
    </row>
    <row r="2312" spans="22:23" x14ac:dyDescent="0.35">
      <c r="V2312" s="1"/>
      <c r="W2312" s="1"/>
    </row>
    <row r="2313" spans="22:23" x14ac:dyDescent="0.35">
      <c r="V2313" s="1"/>
      <c r="W2313" s="1"/>
    </row>
    <row r="2314" spans="22:23" x14ac:dyDescent="0.35">
      <c r="V2314" s="1"/>
      <c r="W2314" s="1"/>
    </row>
    <row r="2315" spans="22:23" x14ac:dyDescent="0.35">
      <c r="V2315" s="1"/>
      <c r="W2315" s="1"/>
    </row>
    <row r="2316" spans="22:23" x14ac:dyDescent="0.35">
      <c r="V2316" s="1"/>
      <c r="W2316" s="1"/>
    </row>
    <row r="2317" spans="22:23" x14ac:dyDescent="0.35">
      <c r="V2317" s="1"/>
      <c r="W2317" s="1"/>
    </row>
    <row r="2318" spans="22:23" x14ac:dyDescent="0.35">
      <c r="V2318" s="1"/>
      <c r="W2318" s="1"/>
    </row>
    <row r="2319" spans="22:23" x14ac:dyDescent="0.35">
      <c r="V2319" s="1"/>
      <c r="W2319" s="1"/>
    </row>
    <row r="2320" spans="22:23" x14ac:dyDescent="0.35">
      <c r="V2320" s="1"/>
      <c r="W2320" s="1"/>
    </row>
    <row r="2321" spans="22:23" x14ac:dyDescent="0.35">
      <c r="V2321" s="1"/>
      <c r="W2321" s="1"/>
    </row>
    <row r="2322" spans="22:23" x14ac:dyDescent="0.35">
      <c r="V2322" s="1"/>
      <c r="W2322" s="1"/>
    </row>
    <row r="2323" spans="22:23" x14ac:dyDescent="0.35">
      <c r="V2323" s="1"/>
      <c r="W2323" s="1"/>
    </row>
    <row r="2324" spans="22:23" x14ac:dyDescent="0.35">
      <c r="V2324" s="1"/>
      <c r="W2324" s="1"/>
    </row>
    <row r="2325" spans="22:23" x14ac:dyDescent="0.35">
      <c r="V2325" s="1"/>
      <c r="W2325" s="1"/>
    </row>
    <row r="2326" spans="22:23" x14ac:dyDescent="0.35">
      <c r="V2326" s="1"/>
      <c r="W2326" s="1"/>
    </row>
    <row r="2327" spans="22:23" x14ac:dyDescent="0.35">
      <c r="V2327" s="1"/>
      <c r="W2327" s="1"/>
    </row>
    <row r="2328" spans="22:23" x14ac:dyDescent="0.35">
      <c r="V2328" s="1"/>
      <c r="W2328" s="1"/>
    </row>
    <row r="2329" spans="22:23" x14ac:dyDescent="0.35">
      <c r="V2329" s="1"/>
      <c r="W2329" s="1"/>
    </row>
    <row r="2330" spans="22:23" x14ac:dyDescent="0.35">
      <c r="V2330" s="1"/>
      <c r="W2330" s="1"/>
    </row>
    <row r="2331" spans="22:23" x14ac:dyDescent="0.35">
      <c r="V2331" s="1"/>
      <c r="W2331" s="1"/>
    </row>
    <row r="2332" spans="22:23" x14ac:dyDescent="0.35">
      <c r="V2332" s="1"/>
      <c r="W2332" s="1"/>
    </row>
    <row r="2333" spans="22:23" x14ac:dyDescent="0.35">
      <c r="V2333" s="1"/>
      <c r="W2333" s="1"/>
    </row>
    <row r="2334" spans="22:23" x14ac:dyDescent="0.35">
      <c r="V2334" s="1"/>
      <c r="W2334" s="1"/>
    </row>
    <row r="2335" spans="22:23" x14ac:dyDescent="0.35">
      <c r="V2335" s="1"/>
      <c r="W2335" s="1"/>
    </row>
    <row r="2336" spans="22:23" x14ac:dyDescent="0.35">
      <c r="V2336" s="1"/>
      <c r="W2336" s="1"/>
    </row>
    <row r="2337" spans="22:23" x14ac:dyDescent="0.35">
      <c r="V2337" s="1"/>
      <c r="W2337" s="1"/>
    </row>
    <row r="2338" spans="22:23" x14ac:dyDescent="0.35">
      <c r="V2338" s="1"/>
      <c r="W2338" s="1"/>
    </row>
    <row r="2339" spans="22:23" x14ac:dyDescent="0.35">
      <c r="V2339" s="1"/>
      <c r="W2339" s="1"/>
    </row>
    <row r="2340" spans="22:23" x14ac:dyDescent="0.35">
      <c r="V2340" s="1"/>
      <c r="W2340" s="1"/>
    </row>
    <row r="2341" spans="22:23" x14ac:dyDescent="0.35">
      <c r="V2341" s="1"/>
      <c r="W2341" s="1"/>
    </row>
    <row r="2342" spans="22:23" x14ac:dyDescent="0.35">
      <c r="V2342" s="1"/>
      <c r="W2342" s="1"/>
    </row>
  </sheetData>
  <sortState xmlns:xlrd2="http://schemas.microsoft.com/office/spreadsheetml/2017/richdata2" ref="A4:K2255">
    <sortCondition descending="1" ref="A4:A2255"/>
    <sortCondition ref="C4:C2255"/>
    <sortCondition ref="B4:B22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 Act vs May Act</vt:lpstr>
      <vt:lpstr>Grid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Rios</dc:creator>
  <cp:lastModifiedBy>micha</cp:lastModifiedBy>
  <dcterms:created xsi:type="dcterms:W3CDTF">2025-09-11T15:16:19Z</dcterms:created>
  <dcterms:modified xsi:type="dcterms:W3CDTF">2026-07-16T10:46:04Z</dcterms:modified>
</cp:coreProperties>
</file>